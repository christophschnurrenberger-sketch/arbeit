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ebherr.sharepoint.com/sites/LISEWMB-BPMteaminternal/Shared Documents/BPM team (internal)/D - Project Management/D.0​ LH IT BPM Roadmap​/"/>
    </mc:Choice>
  </mc:AlternateContent>
  <xr:revisionPtr revIDLastSave="1815" documentId="8_{2A86429C-1B4F-4D5A-9989-E5655EDC6BDD}" xr6:coauthVersionLast="47" xr6:coauthVersionMax="47" xr10:uidLastSave="{61F11DFC-DEA6-4537-BB88-529716428B77}"/>
  <bookViews>
    <workbookView xWindow="28680" yWindow="-120" windowWidth="29040" windowHeight="15720" firstSheet="10" activeTab="10" xr2:uid="{00000000-000D-0000-FFFF-FFFF00000000}"/>
  </bookViews>
  <sheets>
    <sheet name="Task_Table1" sheetId="1" state="hidden" r:id="rId1"/>
    <sheet name="Tabelle1" sheetId="2" state="hidden" r:id="rId2"/>
    <sheet name="Task_Table_02_26" sheetId="3" state="hidden" r:id="rId3"/>
    <sheet name="Date_table_02_26" sheetId="4" state="hidden" r:id="rId4"/>
    <sheet name="Task_table_03_26" sheetId="7" state="hidden" r:id="rId5"/>
    <sheet name="Date_table_03_26" sheetId="6" state="hidden" r:id="rId6"/>
    <sheet name="Task_table_03_2_26" sheetId="8" state="hidden" r:id="rId7"/>
    <sheet name="Date_table_03_2_26" sheetId="10" state="hidden" r:id="rId8"/>
    <sheet name="task_table_13_4_26" sheetId="11" state="hidden" r:id="rId9"/>
    <sheet name="Date_table_13_4_26" sheetId="13" state="hidden" r:id="rId10"/>
    <sheet name="data Draft-april26" sheetId="14" r:id="rId11"/>
    <sheet name="calc Draft-april26" sheetId="15" state="hidden" r:id="rId12"/>
    <sheet name="PBI_Source" sheetId="16" state="hidden" r:id="rId13"/>
    <sheet name="HTML_Dashboard" sheetId="17" state="hidden" r:id="rId14"/>
  </sheets>
  <definedNames>
    <definedName name="_xlnm._FilterDatabase" localSheetId="6" hidden="1">Task_table_03_2_26!$A$1:$R$591</definedName>
    <definedName name="Task_Table1">Task_Table1!$A$1:$P$1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45" i="14" l="1" a="1"/>
  <c r="M345" i="14" s="1"/>
  <c r="M290" i="14" a="1"/>
  <c r="M290" i="14" s="1"/>
  <c r="S33" i="14"/>
  <c r="S15" i="14"/>
  <c r="S16" i="14"/>
  <c r="S17" i="14"/>
  <c r="S14" i="14"/>
  <c r="S13" i="14"/>
  <c r="M2" i="14"/>
  <c r="M6" i="14"/>
  <c r="M7" i="14"/>
  <c r="M11" i="14"/>
  <c r="M12" i="14"/>
  <c r="M14" i="14"/>
  <c r="M16" i="14"/>
  <c r="M17" i="14"/>
  <c r="M25" i="14"/>
  <c r="M26" i="14"/>
  <c r="M27" i="14"/>
  <c r="M30" i="14"/>
  <c r="M31" i="14"/>
  <c r="M32" i="14"/>
  <c r="M36" i="14"/>
  <c r="M37" i="14"/>
  <c r="M41" i="14"/>
  <c r="M42" i="14"/>
  <c r="M46" i="14"/>
  <c r="M47" i="14"/>
  <c r="M48" i="14"/>
  <c r="M49" i="14"/>
  <c r="M50" i="14"/>
  <c r="M51" i="14"/>
  <c r="M52" i="14"/>
  <c r="M53" i="14"/>
  <c r="M54" i="14"/>
  <c r="M55" i="14"/>
  <c r="M56" i="14"/>
  <c r="M57" i="14"/>
  <c r="M58" i="14"/>
  <c r="M59" i="14"/>
  <c r="M60" i="14"/>
  <c r="M61" i="14"/>
  <c r="M62" i="14"/>
  <c r="M63" i="14"/>
  <c r="M64" i="14"/>
  <c r="M65" i="14"/>
  <c r="M66" i="14"/>
  <c r="M67" i="14"/>
  <c r="M68" i="14"/>
  <c r="M69" i="14"/>
  <c r="M70" i="14"/>
  <c r="M71" i="14"/>
  <c r="M72" i="14"/>
  <c r="M73" i="14"/>
  <c r="M74" i="14"/>
  <c r="M75" i="14"/>
  <c r="M76" i="14"/>
  <c r="M77" i="14"/>
  <c r="M78" i="14"/>
  <c r="M79" i="14"/>
  <c r="M80" i="14"/>
  <c r="M81" i="14"/>
  <c r="M82" i="14"/>
  <c r="M83" i="14"/>
  <c r="M84" i="14"/>
  <c r="M85" i="14"/>
  <c r="M86" i="14"/>
  <c r="M87" i="14"/>
  <c r="M88" i="14"/>
  <c r="M89" i="14"/>
  <c r="M90" i="14"/>
  <c r="M91" i="14"/>
  <c r="M92" i="14"/>
  <c r="M93" i="14"/>
  <c r="M94" i="14"/>
  <c r="M95" i="14"/>
  <c r="M96" i="14"/>
  <c r="M97" i="14"/>
  <c r="M98" i="14"/>
  <c r="M99" i="14"/>
  <c r="M100" i="14"/>
  <c r="M101" i="14"/>
  <c r="M102" i="14"/>
  <c r="M103" i="14"/>
  <c r="M104" i="14"/>
  <c r="M105" i="14"/>
  <c r="M106" i="14"/>
  <c r="M107" i="14"/>
  <c r="M108" i="14"/>
  <c r="M109" i="14"/>
  <c r="M110" i="14"/>
  <c r="M111" i="14"/>
  <c r="M112" i="14"/>
  <c r="M113" i="14"/>
  <c r="M114" i="14"/>
  <c r="M115" i="14"/>
  <c r="M116" i="14"/>
  <c r="M117" i="14"/>
  <c r="M118" i="14"/>
  <c r="M119" i="14"/>
  <c r="M120" i="14"/>
  <c r="M121" i="14"/>
  <c r="M122" i="14"/>
  <c r="M123" i="14"/>
  <c r="M124" i="14"/>
  <c r="M125" i="14"/>
  <c r="M126" i="14"/>
  <c r="M127" i="14"/>
  <c r="M128" i="14"/>
  <c r="M129" i="14"/>
  <c r="M130" i="14"/>
  <c r="M131" i="14"/>
  <c r="M132" i="14"/>
  <c r="M133" i="14"/>
  <c r="M134" i="14"/>
  <c r="M135" i="14"/>
  <c r="M136" i="14"/>
  <c r="M137" i="14"/>
  <c r="M138" i="14"/>
  <c r="M139" i="14"/>
  <c r="M140" i="14"/>
  <c r="M141" i="14"/>
  <c r="M142" i="14"/>
  <c r="M143" i="14"/>
  <c r="M144" i="14"/>
  <c r="M145" i="14"/>
  <c r="M146" i="14"/>
  <c r="M147" i="14"/>
  <c r="M151" i="14"/>
  <c r="M152" i="14"/>
  <c r="M155" i="14"/>
  <c r="M156" i="14"/>
  <c r="M157" i="14"/>
  <c r="M160" i="14"/>
  <c r="M161" i="14"/>
  <c r="M162" i="14"/>
  <c r="M165" i="14"/>
  <c r="M166" i="14"/>
  <c r="M167" i="14"/>
  <c r="M168" i="14"/>
  <c r="M169" i="14"/>
  <c r="M170" i="14"/>
  <c r="M171" i="14"/>
  <c r="M172" i="14"/>
  <c r="M173" i="14"/>
  <c r="M174" i="14"/>
  <c r="M175" i="14"/>
  <c r="M176" i="14"/>
  <c r="M177" i="14"/>
  <c r="M180" i="14"/>
  <c r="M181" i="14"/>
  <c r="M182" i="14"/>
  <c r="M185" i="14"/>
  <c r="M186" i="14"/>
  <c r="M187" i="14"/>
  <c r="M190" i="14"/>
  <c r="M191" i="14"/>
  <c r="M192" i="14"/>
  <c r="M195" i="14"/>
  <c r="M196" i="14"/>
  <c r="M197" i="14"/>
  <c r="M200" i="14"/>
  <c r="M201" i="14"/>
  <c r="M202" i="14"/>
  <c r="M205" i="14"/>
  <c r="M206" i="14"/>
  <c r="M207" i="14"/>
  <c r="M210" i="14"/>
  <c r="M211" i="14"/>
  <c r="M212" i="14"/>
  <c r="M215" i="14"/>
  <c r="M216" i="14"/>
  <c r="M217" i="14"/>
  <c r="M219" i="14"/>
  <c r="M220" i="14"/>
  <c r="M221" i="14"/>
  <c r="M222" i="14"/>
  <c r="M225" i="14"/>
  <c r="M226" i="14"/>
  <c r="M227" i="14"/>
  <c r="M230" i="14"/>
  <c r="M231" i="14"/>
  <c r="M232" i="14"/>
  <c r="M235" i="14"/>
  <c r="M236" i="14"/>
  <c r="M237" i="14"/>
  <c r="M240" i="14"/>
  <c r="M241" i="14"/>
  <c r="M242" i="14"/>
  <c r="M245" i="14"/>
  <c r="M246" i="14"/>
  <c r="M247" i="14"/>
  <c r="M250" i="14"/>
  <c r="M251" i="14"/>
  <c r="M252" i="14"/>
  <c r="M255" i="14"/>
  <c r="M256" i="14"/>
  <c r="M257" i="14"/>
  <c r="M263" i="14"/>
  <c r="M268" i="14"/>
  <c r="M273" i="14"/>
  <c r="M276" i="14"/>
  <c r="M278" i="14"/>
  <c r="M283" i="14"/>
  <c r="M285" i="14"/>
  <c r="M286" i="14"/>
  <c r="M287" i="14"/>
  <c r="M288" i="14"/>
  <c r="M292" i="14"/>
  <c r="M293" i="14"/>
  <c r="M303" i="14"/>
  <c r="M306" i="14"/>
  <c r="M307" i="14"/>
  <c r="M308" i="14"/>
  <c r="M311" i="14"/>
  <c r="M312" i="14"/>
  <c r="M313" i="14"/>
  <c r="M316" i="14"/>
  <c r="M317" i="14"/>
  <c r="M318" i="14"/>
  <c r="M321" i="14"/>
  <c r="M322" i="14"/>
  <c r="M323" i="14"/>
  <c r="M326" i="14"/>
  <c r="M327" i="14"/>
  <c r="M328" i="14"/>
  <c r="M332" i="14"/>
  <c r="M333" i="14"/>
  <c r="M337" i="14"/>
  <c r="M338" i="14"/>
  <c r="M342" i="14"/>
  <c r="M343" i="14"/>
  <c r="M344" i="14"/>
  <c r="M346" i="14"/>
  <c r="M347" i="14"/>
  <c r="M348" i="14"/>
  <c r="M352" i="14"/>
  <c r="M353" i="14"/>
  <c r="M357" i="14"/>
  <c r="M358" i="14"/>
  <c r="M360" i="14"/>
  <c r="M361" i="14"/>
  <c r="M362" i="14"/>
  <c r="M363" i="14"/>
  <c r="M367" i="14"/>
  <c r="M368" i="14"/>
  <c r="M372" i="14"/>
  <c r="M373" i="14"/>
  <c r="M376" i="14"/>
  <c r="M377" i="14"/>
  <c r="M378" i="14"/>
  <c r="M379" i="14"/>
  <c r="M380" i="14"/>
  <c r="M381" i="14"/>
  <c r="M382" i="14"/>
  <c r="M383" i="14"/>
  <c r="M384" i="14"/>
  <c r="M385" i="14"/>
  <c r="M386" i="14"/>
  <c r="M387" i="14"/>
  <c r="M388" i="14"/>
  <c r="M389" i="14"/>
  <c r="M390" i="14"/>
  <c r="M391" i="14"/>
  <c r="M392" i="14"/>
  <c r="M393" i="14"/>
  <c r="M394" i="14"/>
  <c r="M395" i="14"/>
  <c r="M396" i="14"/>
  <c r="M397" i="14"/>
  <c r="M398" i="14"/>
  <c r="M399" i="14"/>
  <c r="M400" i="14"/>
  <c r="M401" i="14"/>
  <c r="M402" i="14"/>
  <c r="M403" i="14"/>
  <c r="M404" i="14"/>
  <c r="M405" i="14"/>
  <c r="M406" i="14"/>
  <c r="M407" i="14"/>
  <c r="M408" i="14"/>
  <c r="M409" i="14"/>
  <c r="M410" i="14"/>
  <c r="M411" i="14"/>
  <c r="M412" i="14"/>
  <c r="M413" i="14"/>
  <c r="M414" i="14"/>
  <c r="M415" i="14"/>
  <c r="M416" i="14"/>
  <c r="M417" i="14"/>
  <c r="M418" i="14"/>
  <c r="M419" i="14"/>
  <c r="M420" i="14"/>
  <c r="M421" i="14"/>
  <c r="M422" i="14"/>
  <c r="M423" i="14"/>
  <c r="M427" i="14"/>
  <c r="M428" i="14"/>
  <c r="M431" i="14"/>
  <c r="M432" i="14"/>
  <c r="M433" i="14"/>
  <c r="M434" i="14"/>
  <c r="M435" i="14"/>
  <c r="M436" i="14"/>
  <c r="M437" i="14"/>
  <c r="M438" i="14"/>
  <c r="M439" i="14"/>
  <c r="M440" i="14"/>
  <c r="M441" i="14"/>
  <c r="M442" i="14"/>
  <c r="M443" i="14"/>
  <c r="M447" i="14"/>
  <c r="M448" i="14"/>
  <c r="M451" i="14"/>
  <c r="M452" i="14"/>
  <c r="M453" i="14"/>
  <c r="M456" i="14"/>
  <c r="M457" i="14"/>
  <c r="M458" i="14"/>
  <c r="M461" i="14"/>
  <c r="M462" i="14"/>
  <c r="M463" i="14"/>
  <c r="M464" i="14"/>
  <c r="M465" i="14"/>
  <c r="M466" i="14"/>
  <c r="M467" i="14"/>
  <c r="M468" i="14"/>
  <c r="M471" i="14"/>
  <c r="M472" i="14"/>
  <c r="M473" i="14"/>
  <c r="M474" i="14"/>
  <c r="M475" i="14"/>
  <c r="M477" i="14"/>
  <c r="M478" i="14"/>
  <c r="M479" i="14"/>
  <c r="M482" i="14"/>
  <c r="M483" i="14"/>
  <c r="M484" i="14"/>
  <c r="M487" i="14"/>
  <c r="M488" i="14"/>
  <c r="M489" i="14"/>
  <c r="M492" i="14"/>
  <c r="M493" i="14"/>
  <c r="M494" i="14"/>
  <c r="M497" i="14"/>
  <c r="M498" i="14"/>
  <c r="M499" i="14"/>
  <c r="M502" i="14"/>
  <c r="M503" i="14"/>
  <c r="M504" i="14"/>
  <c r="M507" i="14"/>
  <c r="M508" i="14"/>
  <c r="M509" i="14"/>
  <c r="M512" i="14"/>
  <c r="M513" i="14"/>
  <c r="M514" i="14"/>
  <c r="M517" i="14"/>
  <c r="M518" i="14"/>
  <c r="M519" i="14"/>
  <c r="M522" i="14"/>
  <c r="M523" i="14"/>
  <c r="M524" i="14"/>
  <c r="M527" i="14"/>
  <c r="M528" i="14"/>
  <c r="M529" i="14"/>
  <c r="M533" i="14"/>
  <c r="M534" i="14"/>
  <c r="M537" i="14"/>
  <c r="M538" i="14"/>
  <c r="M539" i="14"/>
  <c r="M549" i="14"/>
  <c r="M553" i="14"/>
  <c r="M554" i="14"/>
  <c r="M558" i="14"/>
  <c r="M559" i="14"/>
  <c r="M562" i="14"/>
  <c r="M563" i="14"/>
  <c r="M564" i="14"/>
  <c r="M567" i="14"/>
  <c r="M568" i="14"/>
  <c r="M569" i="14"/>
  <c r="M572" i="14"/>
  <c r="M573" i="14"/>
  <c r="M574" i="14"/>
  <c r="M576" i="14"/>
  <c r="M577" i="14"/>
  <c r="M578" i="14"/>
  <c r="M579" i="14"/>
  <c r="M582" i="14"/>
  <c r="M583" i="14"/>
  <c r="M584" i="14"/>
  <c r="M587" i="14"/>
  <c r="M588" i="14"/>
  <c r="M589" i="14"/>
  <c r="M591" i="14"/>
  <c r="M592" i="14"/>
  <c r="M593" i="14"/>
  <c r="M594" i="14"/>
  <c r="M601" i="14"/>
  <c r="M602" i="14"/>
  <c r="M603" i="14"/>
  <c r="M604" i="14"/>
  <c r="M612" i="14"/>
  <c r="M613" i="14"/>
  <c r="M614" i="14"/>
  <c r="M618" i="14"/>
  <c r="M619" i="14"/>
  <c r="M621" i="14"/>
  <c r="M622" i="14"/>
  <c r="M623" i="14"/>
  <c r="M624" i="14"/>
  <c r="R2" i="1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30" i="11"/>
  <c r="R31" i="11"/>
  <c r="R32" i="11"/>
  <c r="R33" i="11"/>
  <c r="R34" i="11"/>
  <c r="R35" i="11"/>
  <c r="R36" i="11"/>
  <c r="R37" i="11"/>
  <c r="R38" i="11"/>
  <c r="R39" i="11"/>
  <c r="R40" i="11"/>
  <c r="R41" i="11"/>
  <c r="R42" i="11"/>
  <c r="R43" i="11"/>
  <c r="R44" i="11"/>
  <c r="R45" i="11"/>
  <c r="R46" i="11"/>
  <c r="R47" i="11"/>
  <c r="R48" i="11"/>
  <c r="R49" i="11"/>
  <c r="R50" i="11"/>
  <c r="R51" i="11"/>
  <c r="R52" i="11"/>
  <c r="R53" i="11"/>
  <c r="R54" i="11"/>
  <c r="R55" i="11"/>
  <c r="R56" i="11"/>
  <c r="R57" i="11"/>
  <c r="R58" i="11"/>
  <c r="R59" i="11"/>
  <c r="R60" i="11"/>
  <c r="R61" i="11"/>
  <c r="R62" i="11"/>
  <c r="R63" i="11"/>
  <c r="R64" i="11"/>
  <c r="R65" i="11"/>
  <c r="R66" i="11"/>
  <c r="R67" i="11"/>
  <c r="R68" i="11"/>
  <c r="R69" i="11"/>
  <c r="R70" i="11"/>
  <c r="R71" i="11"/>
  <c r="R72" i="11"/>
  <c r="R73" i="11"/>
  <c r="R74" i="11"/>
  <c r="R75" i="11"/>
  <c r="R76" i="11"/>
  <c r="R77" i="11"/>
  <c r="R78" i="11"/>
  <c r="R79" i="11"/>
  <c r="R80" i="11"/>
  <c r="R81" i="11"/>
  <c r="R82" i="11"/>
  <c r="R83" i="11"/>
  <c r="R84" i="11"/>
  <c r="R85" i="11"/>
  <c r="R86" i="11"/>
  <c r="R87" i="11"/>
  <c r="R88" i="11"/>
  <c r="R89" i="11"/>
  <c r="R90" i="11"/>
  <c r="R91" i="11"/>
  <c r="R92" i="11"/>
  <c r="R93" i="11"/>
  <c r="R94" i="11"/>
  <c r="R95" i="11"/>
  <c r="R96" i="11"/>
  <c r="R97" i="11"/>
  <c r="R98" i="11"/>
  <c r="R99" i="11"/>
  <c r="R100" i="11"/>
  <c r="R101" i="11"/>
  <c r="R102" i="11"/>
  <c r="R103" i="11"/>
  <c r="R104" i="11"/>
  <c r="R105" i="11"/>
  <c r="R106" i="11"/>
  <c r="R107" i="11"/>
  <c r="R108" i="11"/>
  <c r="R109" i="11"/>
  <c r="R110" i="11"/>
  <c r="R111" i="11"/>
  <c r="R112" i="11"/>
  <c r="R113" i="11"/>
  <c r="R114" i="11"/>
  <c r="R115" i="11"/>
  <c r="R116" i="11"/>
  <c r="R117" i="11"/>
  <c r="R118" i="11"/>
  <c r="R119" i="11"/>
  <c r="R120" i="11"/>
  <c r="R121" i="11"/>
  <c r="R122" i="11"/>
  <c r="R123" i="11"/>
  <c r="R124" i="11"/>
  <c r="R125" i="11"/>
  <c r="R126" i="11"/>
  <c r="R127" i="11"/>
  <c r="R128" i="11"/>
  <c r="R129" i="11"/>
  <c r="R130" i="11"/>
  <c r="R131" i="11"/>
  <c r="R132" i="11"/>
  <c r="R133" i="11"/>
  <c r="R134" i="11"/>
  <c r="R135" i="11"/>
  <c r="R136" i="11"/>
  <c r="R137" i="11"/>
  <c r="R138" i="11"/>
  <c r="R139" i="11"/>
  <c r="R140" i="11"/>
  <c r="R141" i="11"/>
  <c r="R142" i="11"/>
  <c r="R143" i="11"/>
  <c r="R144" i="11"/>
  <c r="R145" i="11"/>
  <c r="R146" i="11"/>
  <c r="R147" i="11"/>
  <c r="R148" i="11"/>
  <c r="R149" i="11"/>
  <c r="R150" i="11"/>
  <c r="R151" i="11"/>
  <c r="R152" i="11"/>
  <c r="R153" i="11"/>
  <c r="R154" i="11"/>
  <c r="R155" i="11"/>
  <c r="R156" i="11"/>
  <c r="R157" i="11"/>
  <c r="R158" i="11"/>
  <c r="R159" i="11"/>
  <c r="R160" i="11"/>
  <c r="R161" i="11"/>
  <c r="R162" i="11"/>
  <c r="R163" i="11"/>
  <c r="R164" i="11"/>
  <c r="R165" i="11"/>
  <c r="R166" i="11"/>
  <c r="R167" i="11"/>
  <c r="R168" i="11"/>
  <c r="R169" i="11"/>
  <c r="R170" i="11"/>
  <c r="R171" i="11"/>
  <c r="R172" i="11"/>
  <c r="R173" i="11"/>
  <c r="R174" i="11"/>
  <c r="R175" i="11"/>
  <c r="R176" i="11"/>
  <c r="R177" i="11"/>
  <c r="R178" i="11"/>
  <c r="R179" i="11"/>
  <c r="R180" i="11"/>
  <c r="R181" i="11"/>
  <c r="R182" i="11"/>
  <c r="R183" i="11"/>
  <c r="R184" i="11"/>
  <c r="R185" i="11"/>
  <c r="R186" i="11"/>
  <c r="R187" i="11"/>
  <c r="R188" i="11"/>
  <c r="R189" i="11"/>
  <c r="R190" i="11"/>
  <c r="R191" i="11"/>
  <c r="R192" i="11"/>
  <c r="R193" i="11"/>
  <c r="R194" i="11"/>
  <c r="R195" i="11"/>
  <c r="R196" i="11"/>
  <c r="R197" i="11"/>
  <c r="R198" i="11"/>
  <c r="R199" i="11"/>
  <c r="R200" i="11"/>
  <c r="R201" i="11"/>
  <c r="R202" i="11"/>
  <c r="R203" i="11"/>
  <c r="R204" i="11"/>
  <c r="R205" i="11"/>
  <c r="R206" i="11"/>
  <c r="R207" i="11"/>
  <c r="R208" i="11"/>
  <c r="R209" i="11"/>
  <c r="R210" i="11"/>
  <c r="R211" i="11"/>
  <c r="R212" i="11"/>
  <c r="R213" i="11"/>
  <c r="R214" i="11"/>
  <c r="R215" i="11"/>
  <c r="R216" i="11"/>
  <c r="R217" i="11"/>
  <c r="R218" i="11"/>
  <c r="R219" i="11"/>
  <c r="R220" i="11"/>
  <c r="R221" i="11"/>
  <c r="R222" i="11"/>
  <c r="R223" i="11"/>
  <c r="R224" i="11"/>
  <c r="R225" i="11"/>
  <c r="R226" i="11"/>
  <c r="R227" i="11"/>
  <c r="R228" i="11"/>
  <c r="R229" i="11"/>
  <c r="R230" i="11"/>
  <c r="R231" i="11"/>
  <c r="R232" i="11"/>
  <c r="R233" i="11"/>
  <c r="R234" i="11"/>
  <c r="R235" i="11"/>
  <c r="R236" i="11"/>
  <c r="R237" i="11"/>
  <c r="R238" i="11"/>
  <c r="R239" i="11"/>
  <c r="R240" i="11"/>
  <c r="R241" i="11"/>
  <c r="R242" i="11"/>
  <c r="R243" i="11"/>
  <c r="R244" i="11"/>
  <c r="R245" i="11"/>
  <c r="R246" i="11"/>
  <c r="R247" i="11"/>
  <c r="R248" i="11"/>
  <c r="R249" i="11"/>
  <c r="R250" i="11"/>
  <c r="R251" i="11"/>
  <c r="R252" i="11"/>
  <c r="R253" i="11"/>
  <c r="R254" i="11"/>
  <c r="R255" i="11"/>
  <c r="R256" i="11"/>
  <c r="R257" i="11"/>
  <c r="R258" i="11"/>
  <c r="R259" i="11"/>
  <c r="R260" i="11"/>
  <c r="R261" i="11"/>
  <c r="R262" i="11"/>
  <c r="R263" i="11"/>
  <c r="R264" i="11"/>
  <c r="R265" i="11"/>
  <c r="R266" i="11"/>
  <c r="R267" i="11"/>
  <c r="R268" i="11"/>
  <c r="R269" i="11"/>
  <c r="R270" i="11"/>
  <c r="R271" i="11"/>
  <c r="R272" i="11"/>
  <c r="R273" i="11"/>
  <c r="R274" i="11"/>
  <c r="R275" i="11"/>
  <c r="R276" i="11"/>
  <c r="R277" i="11"/>
  <c r="R278" i="11"/>
  <c r="R279" i="11"/>
  <c r="R280" i="11"/>
  <c r="R281" i="11"/>
  <c r="R282" i="11"/>
  <c r="R283" i="11"/>
  <c r="R284" i="11"/>
  <c r="R285" i="11"/>
  <c r="R286" i="11"/>
  <c r="R287" i="11"/>
  <c r="R288" i="11"/>
  <c r="R289" i="11"/>
  <c r="R290" i="11"/>
  <c r="R291" i="11"/>
  <c r="R292" i="11"/>
  <c r="R293" i="11"/>
  <c r="R294" i="11"/>
  <c r="R295" i="11"/>
  <c r="R296" i="11"/>
  <c r="R297" i="11"/>
  <c r="R298" i="11"/>
  <c r="R299" i="11"/>
  <c r="R300" i="11"/>
  <c r="R301" i="11"/>
  <c r="R302" i="11"/>
  <c r="R303" i="11"/>
  <c r="R304" i="11"/>
  <c r="R305" i="11"/>
  <c r="R306" i="11"/>
  <c r="R307" i="11"/>
  <c r="R308" i="11"/>
  <c r="R309" i="11"/>
  <c r="R310" i="11"/>
  <c r="R311" i="11"/>
  <c r="R312" i="11"/>
  <c r="R313" i="11"/>
  <c r="R314" i="11"/>
  <c r="R315" i="11"/>
  <c r="R316" i="11"/>
  <c r="R317" i="11"/>
  <c r="R318" i="11"/>
  <c r="R319" i="11"/>
  <c r="R320" i="11"/>
  <c r="R321" i="11"/>
  <c r="R322" i="11"/>
  <c r="R323" i="11"/>
  <c r="R324" i="11"/>
  <c r="R325" i="11"/>
  <c r="R326" i="11"/>
  <c r="R327" i="11"/>
  <c r="R328" i="11"/>
  <c r="R329" i="11"/>
  <c r="R330" i="11"/>
  <c r="R331" i="11"/>
  <c r="R332" i="11"/>
  <c r="R333" i="11"/>
  <c r="R334" i="11"/>
  <c r="R335" i="11"/>
  <c r="R336" i="11"/>
  <c r="R337" i="11"/>
  <c r="R338" i="11"/>
  <c r="R339" i="11"/>
  <c r="R340" i="11"/>
  <c r="R341" i="11"/>
  <c r="R342" i="11"/>
  <c r="R343" i="11"/>
  <c r="R344" i="11"/>
  <c r="R345" i="11"/>
  <c r="R346" i="11"/>
  <c r="R347" i="11"/>
  <c r="R348" i="11"/>
  <c r="R349" i="11"/>
  <c r="R350" i="11"/>
  <c r="R351" i="11"/>
  <c r="R352" i="11"/>
  <c r="R353" i="11"/>
  <c r="R354" i="11"/>
  <c r="R355" i="11"/>
  <c r="R356" i="11"/>
  <c r="R357" i="11"/>
  <c r="R358" i="11"/>
  <c r="R359" i="11"/>
  <c r="R360" i="11"/>
  <c r="R361" i="11"/>
  <c r="R362" i="11"/>
  <c r="R363" i="11"/>
  <c r="R364" i="11"/>
  <c r="R365" i="11"/>
  <c r="R366" i="11"/>
  <c r="R367" i="11"/>
  <c r="R368" i="11"/>
  <c r="R369" i="11"/>
  <c r="R370" i="11"/>
  <c r="R371" i="11"/>
  <c r="R372" i="11"/>
  <c r="R373" i="11"/>
  <c r="R374" i="11"/>
  <c r="R375" i="11"/>
  <c r="R376" i="11"/>
  <c r="R377" i="11"/>
  <c r="R378" i="11"/>
  <c r="R379" i="11"/>
  <c r="R380" i="11"/>
  <c r="R381" i="11"/>
  <c r="R382" i="11"/>
  <c r="R383" i="11"/>
  <c r="R384" i="11"/>
  <c r="R385" i="11"/>
  <c r="R386" i="11"/>
  <c r="R387" i="11"/>
  <c r="R388" i="11"/>
  <c r="R389" i="11"/>
  <c r="R390" i="11"/>
  <c r="R391" i="11"/>
  <c r="R392" i="11"/>
  <c r="R393" i="11"/>
  <c r="R394" i="11"/>
  <c r="R395" i="11"/>
  <c r="R396" i="11"/>
  <c r="R397" i="11"/>
  <c r="R398" i="11"/>
  <c r="R399" i="11"/>
  <c r="R400" i="11"/>
  <c r="R401" i="11"/>
  <c r="R402" i="11"/>
  <c r="R403" i="11"/>
  <c r="R404" i="11"/>
  <c r="R405" i="11"/>
  <c r="R406" i="11"/>
  <c r="R407" i="11"/>
  <c r="R408" i="11"/>
  <c r="R409" i="11"/>
  <c r="R410" i="11"/>
  <c r="R411" i="11"/>
  <c r="R412" i="11"/>
  <c r="R413" i="11"/>
  <c r="R414" i="11"/>
  <c r="R415" i="11"/>
  <c r="R416" i="11"/>
  <c r="R417" i="11"/>
  <c r="R418" i="11"/>
  <c r="R419" i="11"/>
  <c r="R420" i="11"/>
  <c r="R421" i="11"/>
  <c r="R422" i="11"/>
  <c r="R423" i="11"/>
  <c r="R424" i="11"/>
  <c r="R425" i="11"/>
  <c r="R426" i="11"/>
  <c r="R427" i="11"/>
  <c r="R428" i="11"/>
  <c r="R429" i="11"/>
  <c r="R430" i="11"/>
  <c r="R431" i="11"/>
  <c r="R432" i="11"/>
  <c r="R433" i="11"/>
  <c r="R434" i="11"/>
  <c r="R435" i="11"/>
  <c r="R436" i="11"/>
  <c r="R437" i="11"/>
  <c r="R438" i="11"/>
  <c r="R439" i="11"/>
  <c r="R440" i="11"/>
  <c r="R441" i="11"/>
  <c r="R442" i="11"/>
  <c r="R443" i="11"/>
  <c r="R444" i="11"/>
  <c r="R445" i="11"/>
  <c r="R446" i="11"/>
  <c r="R447" i="11"/>
  <c r="R448" i="11"/>
  <c r="R449" i="11"/>
  <c r="R450" i="11"/>
  <c r="R451" i="11"/>
  <c r="R452" i="11"/>
  <c r="R453" i="11"/>
  <c r="R454" i="11"/>
  <c r="R455" i="11"/>
  <c r="R456" i="11"/>
  <c r="R457" i="11"/>
  <c r="R458" i="11"/>
  <c r="R459" i="11"/>
  <c r="R460" i="11"/>
  <c r="R461" i="11"/>
  <c r="R462" i="11"/>
  <c r="R463" i="11"/>
  <c r="R464" i="11"/>
  <c r="R465" i="11"/>
  <c r="R466" i="11"/>
  <c r="R467" i="11"/>
  <c r="R468" i="11"/>
  <c r="R469" i="11"/>
  <c r="R470" i="11"/>
  <c r="R471" i="11"/>
  <c r="R472" i="11"/>
  <c r="R473" i="11"/>
  <c r="R474" i="11"/>
  <c r="R475" i="11"/>
  <c r="R476" i="11"/>
  <c r="R477" i="11"/>
  <c r="R478" i="11"/>
  <c r="R479" i="11"/>
  <c r="R480" i="11"/>
  <c r="R481" i="11"/>
  <c r="R482" i="11"/>
  <c r="R483" i="11"/>
  <c r="R484" i="11"/>
  <c r="R485" i="11"/>
  <c r="R486" i="11"/>
  <c r="R487" i="11"/>
  <c r="R488" i="11"/>
  <c r="R489" i="11"/>
  <c r="R490" i="11"/>
  <c r="R491" i="11"/>
  <c r="R492" i="11"/>
  <c r="R493" i="11"/>
  <c r="R494" i="11"/>
  <c r="R495" i="11"/>
  <c r="R496" i="11"/>
  <c r="R497" i="11"/>
  <c r="R498" i="11"/>
  <c r="R499" i="11"/>
  <c r="R500" i="11"/>
  <c r="R501" i="11"/>
  <c r="R502" i="11"/>
  <c r="R503" i="11"/>
  <c r="R504" i="11"/>
  <c r="R505" i="11"/>
  <c r="R506" i="11"/>
  <c r="R507" i="11"/>
  <c r="R508" i="11"/>
  <c r="R509" i="11"/>
  <c r="R510" i="11"/>
  <c r="R511" i="11"/>
  <c r="R512" i="11"/>
  <c r="R513" i="11"/>
  <c r="R514" i="11"/>
  <c r="R515" i="11"/>
  <c r="R516" i="11"/>
  <c r="R517" i="11"/>
  <c r="R518" i="11"/>
  <c r="R519" i="11"/>
  <c r="R520" i="11"/>
  <c r="R521" i="11"/>
  <c r="R522" i="11"/>
  <c r="R523" i="11"/>
  <c r="R524" i="11"/>
  <c r="R525" i="11"/>
  <c r="R526" i="11"/>
  <c r="R527" i="11"/>
  <c r="R528" i="11"/>
  <c r="R529" i="11"/>
  <c r="R530" i="11"/>
  <c r="R531" i="11"/>
  <c r="R532" i="11"/>
  <c r="R533" i="11"/>
  <c r="R534" i="11"/>
  <c r="R535" i="11"/>
  <c r="R536" i="11"/>
  <c r="R537" i="11"/>
  <c r="R538" i="11"/>
  <c r="R539" i="11"/>
  <c r="R540" i="11"/>
  <c r="R541" i="11"/>
  <c r="R542" i="11"/>
  <c r="R543" i="11"/>
  <c r="R544" i="11"/>
  <c r="R545" i="11"/>
  <c r="R546" i="11"/>
  <c r="R547" i="11"/>
  <c r="R548" i="11"/>
  <c r="R549" i="11"/>
  <c r="R550" i="11"/>
  <c r="R551" i="11"/>
  <c r="R552" i="11"/>
  <c r="R553" i="11"/>
  <c r="R554" i="11"/>
  <c r="R555" i="11"/>
  <c r="R556" i="11"/>
  <c r="R557" i="11"/>
  <c r="R558" i="11"/>
  <c r="R559" i="11"/>
  <c r="R560" i="11"/>
  <c r="R561" i="11"/>
  <c r="R562" i="11"/>
  <c r="R563" i="11"/>
  <c r="R564" i="11"/>
  <c r="R565" i="11"/>
  <c r="R566" i="11"/>
  <c r="R567" i="11"/>
  <c r="R568" i="11"/>
  <c r="R569" i="11"/>
  <c r="R570" i="11"/>
  <c r="R571" i="11"/>
  <c r="R572" i="11"/>
  <c r="R573" i="11"/>
  <c r="R574" i="11"/>
  <c r="R575" i="11"/>
  <c r="R576" i="11"/>
  <c r="R577" i="11"/>
  <c r="R578" i="11"/>
  <c r="R579" i="11"/>
  <c r="R580" i="11"/>
  <c r="R581" i="11"/>
  <c r="R582" i="11"/>
  <c r="R583" i="11"/>
  <c r="R584" i="11"/>
  <c r="R585" i="11"/>
  <c r="R586" i="11"/>
  <c r="R587" i="11"/>
  <c r="R588" i="11"/>
  <c r="R589" i="11"/>
  <c r="R590" i="11"/>
  <c r="R591" i="11"/>
  <c r="R592" i="11"/>
  <c r="R593" i="11"/>
  <c r="R594" i="11"/>
  <c r="R595" i="11"/>
  <c r="R596" i="11"/>
  <c r="R597" i="11"/>
  <c r="R598" i="11"/>
  <c r="R599" i="11"/>
  <c r="R600" i="11"/>
  <c r="R601" i="11"/>
  <c r="R602" i="11"/>
  <c r="R603" i="11"/>
  <c r="R604" i="11"/>
  <c r="R605" i="11"/>
  <c r="R606" i="11"/>
  <c r="R607" i="11"/>
  <c r="R608" i="11"/>
  <c r="R609" i="11"/>
  <c r="R610" i="11"/>
  <c r="R611" i="11"/>
  <c r="R612" i="11"/>
  <c r="E520" i="15" a="1"/>
  <c r="E520" i="15" s="1"/>
  <c r="D520" i="15" a="1"/>
  <c r="D520" i="15" s="1"/>
  <c r="C520" i="15" a="1"/>
  <c r="C520" i="15" s="1"/>
  <c r="B520" i="15" a="1"/>
  <c r="B520" i="15" s="1"/>
  <c r="E519" i="15" a="1"/>
  <c r="E519" i="15" s="1"/>
  <c r="D519" i="15" a="1"/>
  <c r="D519" i="15" s="1"/>
  <c r="C519" i="15" a="1"/>
  <c r="C519" i="15" s="1"/>
  <c r="B519" i="15" a="1"/>
  <c r="B519" i="15" s="1"/>
  <c r="E518" i="15" a="1"/>
  <c r="E518" i="15" s="1"/>
  <c r="D518" i="15" a="1"/>
  <c r="D518" i="15" s="1"/>
  <c r="C518" i="15" a="1"/>
  <c r="C518" i="15" s="1"/>
  <c r="B518" i="15" a="1"/>
  <c r="B518" i="15" s="1"/>
  <c r="E517" i="15" a="1"/>
  <c r="E517" i="15" s="1"/>
  <c r="D517" i="15" a="1"/>
  <c r="D517" i="15" s="1"/>
  <c r="C517" i="15" a="1"/>
  <c r="C517" i="15" s="1"/>
  <c r="B517" i="15" a="1"/>
  <c r="B517" i="15" s="1"/>
  <c r="E516" i="15" a="1"/>
  <c r="E516" i="15" s="1"/>
  <c r="D516" i="15" a="1"/>
  <c r="D516" i="15" s="1"/>
  <c r="C516" i="15" a="1"/>
  <c r="C516" i="15" s="1"/>
  <c r="B516" i="15" a="1"/>
  <c r="B516" i="15" s="1"/>
  <c r="E515" i="15" a="1"/>
  <c r="E515" i="15" s="1"/>
  <c r="D515" i="15" a="1"/>
  <c r="D515" i="15" s="1"/>
  <c r="C515" i="15" a="1"/>
  <c r="C515" i="15" s="1"/>
  <c r="B515" i="15" a="1"/>
  <c r="B515" i="15" s="1"/>
  <c r="E514" i="15" a="1"/>
  <c r="E514" i="15" s="1"/>
  <c r="D514" i="15" a="1"/>
  <c r="D514" i="15" s="1"/>
  <c r="C514" i="15" a="1"/>
  <c r="C514" i="15" s="1"/>
  <c r="B514" i="15" a="1"/>
  <c r="B514" i="15" s="1"/>
  <c r="E513" i="15" a="1"/>
  <c r="E513" i="15" s="1"/>
  <c r="D513" i="15" a="1"/>
  <c r="D513" i="15" s="1"/>
  <c r="C513" i="15" a="1"/>
  <c r="C513" i="15" s="1"/>
  <c r="B513" i="15" a="1"/>
  <c r="B513" i="15" s="1"/>
  <c r="E512" i="15" a="1"/>
  <c r="E512" i="15" s="1"/>
  <c r="D512" i="15" a="1"/>
  <c r="D512" i="15" s="1"/>
  <c r="C512" i="15" a="1"/>
  <c r="C512" i="15" s="1"/>
  <c r="B512" i="15" a="1"/>
  <c r="B512" i="15" s="1"/>
  <c r="E511" i="15" a="1"/>
  <c r="E511" i="15" s="1"/>
  <c r="D511" i="15" a="1"/>
  <c r="D511" i="15" s="1"/>
  <c r="C511" i="15" a="1"/>
  <c r="C511" i="15" s="1"/>
  <c r="B511" i="15" a="1"/>
  <c r="B511" i="15" s="1"/>
  <c r="E510" i="15" a="1"/>
  <c r="E510" i="15" s="1"/>
  <c r="D510" i="15" a="1"/>
  <c r="D510" i="15" s="1"/>
  <c r="C510" i="15" a="1"/>
  <c r="C510" i="15" s="1"/>
  <c r="B510" i="15" a="1"/>
  <c r="B510" i="15" s="1"/>
  <c r="E509" i="15" a="1"/>
  <c r="E509" i="15" s="1"/>
  <c r="D509" i="15" a="1"/>
  <c r="D509" i="15" s="1"/>
  <c r="C509" i="15" a="1"/>
  <c r="C509" i="15" s="1"/>
  <c r="B509" i="15" a="1"/>
  <c r="B509" i="15" s="1"/>
  <c r="E508" i="15" a="1"/>
  <c r="E508" i="15" s="1"/>
  <c r="D508" i="15" a="1"/>
  <c r="D508" i="15" s="1"/>
  <c r="C508" i="15" a="1"/>
  <c r="C508" i="15" s="1"/>
  <c r="B508" i="15" a="1"/>
  <c r="B508" i="15" s="1"/>
  <c r="E507" i="15" a="1"/>
  <c r="E507" i="15" s="1"/>
  <c r="D507" i="15" a="1"/>
  <c r="D507" i="15" s="1"/>
  <c r="C507" i="15" a="1"/>
  <c r="C507" i="15" s="1"/>
  <c r="B507" i="15" a="1"/>
  <c r="B507" i="15" s="1"/>
  <c r="E506" i="15" a="1"/>
  <c r="E506" i="15" s="1"/>
  <c r="D506" i="15" a="1"/>
  <c r="D506" i="15" s="1"/>
  <c r="C506" i="15" a="1"/>
  <c r="C506" i="15" s="1"/>
  <c r="B506" i="15" a="1"/>
  <c r="B506" i="15" s="1"/>
  <c r="E505" i="15" a="1"/>
  <c r="E505" i="15" s="1"/>
  <c r="D505" i="15" a="1"/>
  <c r="D505" i="15" s="1"/>
  <c r="C505" i="15" a="1"/>
  <c r="C505" i="15" s="1"/>
  <c r="B505" i="15" a="1"/>
  <c r="B505" i="15" s="1"/>
  <c r="E504" i="15" a="1"/>
  <c r="E504" i="15" s="1"/>
  <c r="D504" i="15" a="1"/>
  <c r="D504" i="15" s="1"/>
  <c r="C504" i="15" a="1"/>
  <c r="C504" i="15" s="1"/>
  <c r="B504" i="15" a="1"/>
  <c r="B504" i="15" s="1"/>
  <c r="E503" i="15" a="1"/>
  <c r="E503" i="15" s="1"/>
  <c r="D503" i="15" a="1"/>
  <c r="D503" i="15" s="1"/>
  <c r="C503" i="15" a="1"/>
  <c r="C503" i="15" s="1"/>
  <c r="B503" i="15" a="1"/>
  <c r="B503" i="15" s="1"/>
  <c r="E502" i="15" a="1"/>
  <c r="E502" i="15" s="1"/>
  <c r="D502" i="15" a="1"/>
  <c r="D502" i="15" s="1"/>
  <c r="C502" i="15" a="1"/>
  <c r="C502" i="15" s="1"/>
  <c r="B502" i="15" a="1"/>
  <c r="B502" i="15" s="1"/>
  <c r="E501" i="15" a="1"/>
  <c r="E501" i="15" s="1"/>
  <c r="D501" i="15" a="1"/>
  <c r="D501" i="15" s="1"/>
  <c r="C501" i="15" a="1"/>
  <c r="C501" i="15" s="1"/>
  <c r="B501" i="15" a="1"/>
  <c r="B501" i="15" s="1"/>
  <c r="E500" i="15" a="1"/>
  <c r="E500" i="15" s="1"/>
  <c r="D500" i="15" a="1"/>
  <c r="D500" i="15" s="1"/>
  <c r="C500" i="15" a="1"/>
  <c r="C500" i="15" s="1"/>
  <c r="B500" i="15" a="1"/>
  <c r="B500" i="15" s="1"/>
  <c r="E499" i="15" a="1"/>
  <c r="E499" i="15" s="1"/>
  <c r="D499" i="15" a="1"/>
  <c r="D499" i="15" s="1"/>
  <c r="C499" i="15" a="1"/>
  <c r="C499" i="15" s="1"/>
  <c r="B499" i="15" a="1"/>
  <c r="B499" i="15" s="1"/>
  <c r="E498" i="15" a="1"/>
  <c r="E498" i="15" s="1"/>
  <c r="D498" i="15" a="1"/>
  <c r="D498" i="15" s="1"/>
  <c r="C498" i="15" a="1"/>
  <c r="C498" i="15" s="1"/>
  <c r="B498" i="15" a="1"/>
  <c r="B498" i="15" s="1"/>
  <c r="E497" i="15" a="1"/>
  <c r="E497" i="15" s="1"/>
  <c r="D497" i="15" a="1"/>
  <c r="D497" i="15" s="1"/>
  <c r="C497" i="15" a="1"/>
  <c r="C497" i="15" s="1"/>
  <c r="B497" i="15" a="1"/>
  <c r="B497" i="15" s="1"/>
  <c r="E496" i="15" a="1"/>
  <c r="E496" i="15" s="1"/>
  <c r="D496" i="15" a="1"/>
  <c r="D496" i="15" s="1"/>
  <c r="C496" i="15" a="1"/>
  <c r="C496" i="15" s="1"/>
  <c r="B496" i="15" a="1"/>
  <c r="B496" i="15" s="1"/>
  <c r="E495" i="15" a="1"/>
  <c r="E495" i="15" s="1"/>
  <c r="D495" i="15" a="1"/>
  <c r="D495" i="15" s="1"/>
  <c r="C495" i="15" a="1"/>
  <c r="C495" i="15" s="1"/>
  <c r="B495" i="15" a="1"/>
  <c r="B495" i="15" s="1"/>
  <c r="E494" i="15" a="1"/>
  <c r="E494" i="15" s="1"/>
  <c r="D494" i="15" a="1"/>
  <c r="D494" i="15" s="1"/>
  <c r="C494" i="15" a="1"/>
  <c r="C494" i="15" s="1"/>
  <c r="B494" i="15" a="1"/>
  <c r="B494" i="15" s="1"/>
  <c r="E493" i="15" a="1"/>
  <c r="E493" i="15" s="1"/>
  <c r="D493" i="15" a="1"/>
  <c r="D493" i="15" s="1"/>
  <c r="C493" i="15" a="1"/>
  <c r="C493" i="15" s="1"/>
  <c r="B493" i="15" a="1"/>
  <c r="B493" i="15" s="1"/>
  <c r="E492" i="15" a="1"/>
  <c r="E492" i="15" s="1"/>
  <c r="D492" i="15" a="1"/>
  <c r="D492" i="15" s="1"/>
  <c r="C492" i="15" a="1"/>
  <c r="C492" i="15" s="1"/>
  <c r="B492" i="15" a="1"/>
  <c r="B492" i="15" s="1"/>
  <c r="E491" i="15" a="1"/>
  <c r="E491" i="15" s="1"/>
  <c r="D491" i="15" a="1"/>
  <c r="D491" i="15" s="1"/>
  <c r="C491" i="15" a="1"/>
  <c r="C491" i="15" s="1"/>
  <c r="B491" i="15" a="1"/>
  <c r="B491" i="15" s="1"/>
  <c r="E490" i="15" a="1"/>
  <c r="E490" i="15" s="1"/>
  <c r="D490" i="15" a="1"/>
  <c r="D490" i="15" s="1"/>
  <c r="C490" i="15" a="1"/>
  <c r="C490" i="15" s="1"/>
  <c r="B490" i="15" a="1"/>
  <c r="B490" i="15" s="1"/>
  <c r="E489" i="15" a="1"/>
  <c r="E489" i="15" s="1"/>
  <c r="D489" i="15" a="1"/>
  <c r="D489" i="15" s="1"/>
  <c r="C489" i="15" a="1"/>
  <c r="C489" i="15" s="1"/>
  <c r="B489" i="15" a="1"/>
  <c r="B489" i="15" s="1"/>
  <c r="E488" i="15" a="1"/>
  <c r="E488" i="15" s="1"/>
  <c r="D488" i="15" a="1"/>
  <c r="D488" i="15" s="1"/>
  <c r="C488" i="15" a="1"/>
  <c r="C488" i="15" s="1"/>
  <c r="B488" i="15" a="1"/>
  <c r="B488" i="15" s="1"/>
  <c r="E487" i="15" a="1"/>
  <c r="E487" i="15" s="1"/>
  <c r="D487" i="15" a="1"/>
  <c r="D487" i="15" s="1"/>
  <c r="C487" i="15" a="1"/>
  <c r="C487" i="15" s="1"/>
  <c r="B487" i="15" a="1"/>
  <c r="B487" i="15" s="1"/>
  <c r="E486" i="15" a="1"/>
  <c r="E486" i="15" s="1"/>
  <c r="D486" i="15" a="1"/>
  <c r="D486" i="15" s="1"/>
  <c r="C486" i="15" a="1"/>
  <c r="C486" i="15" s="1"/>
  <c r="B486" i="15" a="1"/>
  <c r="B486" i="15" s="1"/>
  <c r="E485" i="15" a="1"/>
  <c r="E485" i="15" s="1"/>
  <c r="D485" i="15" a="1"/>
  <c r="D485" i="15" s="1"/>
  <c r="C485" i="15" a="1"/>
  <c r="C485" i="15" s="1"/>
  <c r="B485" i="15" a="1"/>
  <c r="B485" i="15" s="1"/>
  <c r="E484" i="15" a="1"/>
  <c r="E484" i="15" s="1"/>
  <c r="D484" i="15" a="1"/>
  <c r="D484" i="15" s="1"/>
  <c r="C484" i="15" a="1"/>
  <c r="C484" i="15" s="1"/>
  <c r="B484" i="15" a="1"/>
  <c r="B484" i="15" s="1"/>
  <c r="E483" i="15" a="1"/>
  <c r="E483" i="15" s="1"/>
  <c r="D483" i="15" a="1"/>
  <c r="D483" i="15" s="1"/>
  <c r="C483" i="15" a="1"/>
  <c r="C483" i="15" s="1"/>
  <c r="B483" i="15" a="1"/>
  <c r="B483" i="15" s="1"/>
  <c r="E482" i="15" a="1"/>
  <c r="E482" i="15" s="1"/>
  <c r="D482" i="15" a="1"/>
  <c r="D482" i="15" s="1"/>
  <c r="C482" i="15" a="1"/>
  <c r="C482" i="15" s="1"/>
  <c r="B482" i="15" a="1"/>
  <c r="B482" i="15" s="1"/>
  <c r="E481" i="15" a="1"/>
  <c r="E481" i="15" s="1"/>
  <c r="D481" i="15" a="1"/>
  <c r="D481" i="15" s="1"/>
  <c r="C481" i="15" a="1"/>
  <c r="C481" i="15" s="1"/>
  <c r="B481" i="15" a="1"/>
  <c r="B481" i="15" s="1"/>
  <c r="E480" i="15" a="1"/>
  <c r="E480" i="15" s="1"/>
  <c r="D480" i="15" a="1"/>
  <c r="D480" i="15" s="1"/>
  <c r="C480" i="15" a="1"/>
  <c r="C480" i="15" s="1"/>
  <c r="B480" i="15" a="1"/>
  <c r="B480" i="15" s="1"/>
  <c r="E479" i="15" a="1"/>
  <c r="E479" i="15" s="1"/>
  <c r="D479" i="15" a="1"/>
  <c r="D479" i="15" s="1"/>
  <c r="C479" i="15" a="1"/>
  <c r="C479" i="15" s="1"/>
  <c r="B479" i="15" a="1"/>
  <c r="B479" i="15" s="1"/>
  <c r="E478" i="15" a="1"/>
  <c r="E478" i="15" s="1"/>
  <c r="D478" i="15" a="1"/>
  <c r="D478" i="15" s="1"/>
  <c r="C478" i="15" a="1"/>
  <c r="C478" i="15" s="1"/>
  <c r="B478" i="15" a="1"/>
  <c r="B478" i="15" s="1"/>
  <c r="E477" i="15" a="1"/>
  <c r="E477" i="15" s="1"/>
  <c r="D477" i="15" a="1"/>
  <c r="D477" i="15" s="1"/>
  <c r="C477" i="15" a="1"/>
  <c r="C477" i="15" s="1"/>
  <c r="B477" i="15" a="1"/>
  <c r="B477" i="15" s="1"/>
  <c r="E476" i="15" a="1"/>
  <c r="E476" i="15" s="1"/>
  <c r="D476" i="15" a="1"/>
  <c r="D476" i="15" s="1"/>
  <c r="C476" i="15" a="1"/>
  <c r="C476" i="15" s="1"/>
  <c r="B476" i="15" a="1"/>
  <c r="B476" i="15" s="1"/>
  <c r="E475" i="15" a="1"/>
  <c r="E475" i="15" s="1"/>
  <c r="D475" i="15" a="1"/>
  <c r="D475" i="15" s="1"/>
  <c r="C475" i="15" a="1"/>
  <c r="C475" i="15" s="1"/>
  <c r="B475" i="15" a="1"/>
  <c r="B475" i="15" s="1"/>
  <c r="E474" i="15" a="1"/>
  <c r="E474" i="15" s="1"/>
  <c r="D474" i="15" a="1"/>
  <c r="D474" i="15" s="1"/>
  <c r="C474" i="15" a="1"/>
  <c r="C474" i="15" s="1"/>
  <c r="B474" i="15" a="1"/>
  <c r="B474" i="15" s="1"/>
  <c r="E473" i="15" a="1"/>
  <c r="E473" i="15" s="1"/>
  <c r="D473" i="15" a="1"/>
  <c r="D473" i="15" s="1"/>
  <c r="C473" i="15" a="1"/>
  <c r="C473" i="15" s="1"/>
  <c r="B473" i="15" a="1"/>
  <c r="B473" i="15" s="1"/>
  <c r="E472" i="15" a="1"/>
  <c r="E472" i="15" s="1"/>
  <c r="D472" i="15" a="1"/>
  <c r="D472" i="15" s="1"/>
  <c r="C472" i="15" a="1"/>
  <c r="C472" i="15" s="1"/>
  <c r="B472" i="15" a="1"/>
  <c r="B472" i="15" s="1"/>
  <c r="E471" i="15" a="1"/>
  <c r="E471" i="15" s="1"/>
  <c r="D471" i="15" a="1"/>
  <c r="D471" i="15" s="1"/>
  <c r="C471" i="15" a="1"/>
  <c r="C471" i="15" s="1"/>
  <c r="B471" i="15" a="1"/>
  <c r="B471" i="15" s="1"/>
  <c r="E470" i="15" a="1"/>
  <c r="E470" i="15" s="1"/>
  <c r="D470" i="15" a="1"/>
  <c r="D470" i="15" s="1"/>
  <c r="C470" i="15" a="1"/>
  <c r="C470" i="15" s="1"/>
  <c r="B470" i="15" a="1"/>
  <c r="B470" i="15" s="1"/>
  <c r="E469" i="15" a="1"/>
  <c r="E469" i="15" s="1"/>
  <c r="D469" i="15" a="1"/>
  <c r="D469" i="15" s="1"/>
  <c r="C469" i="15" a="1"/>
  <c r="C469" i="15" s="1"/>
  <c r="B469" i="15" a="1"/>
  <c r="B469" i="15" s="1"/>
  <c r="E468" i="15" a="1"/>
  <c r="E468" i="15" s="1"/>
  <c r="D468" i="15" a="1"/>
  <c r="D468" i="15" s="1"/>
  <c r="C468" i="15" a="1"/>
  <c r="C468" i="15" s="1"/>
  <c r="B468" i="15" a="1"/>
  <c r="B468" i="15" s="1"/>
  <c r="E467" i="15" a="1"/>
  <c r="E467" i="15" s="1"/>
  <c r="D467" i="15" a="1"/>
  <c r="D467" i="15" s="1"/>
  <c r="C467" i="15" a="1"/>
  <c r="C467" i="15" s="1"/>
  <c r="B467" i="15" a="1"/>
  <c r="B467" i="15" s="1"/>
  <c r="E466" i="15" a="1"/>
  <c r="E466" i="15" s="1"/>
  <c r="D466" i="15" a="1"/>
  <c r="D466" i="15" s="1"/>
  <c r="C466" i="15" a="1"/>
  <c r="C466" i="15" s="1"/>
  <c r="B466" i="15" a="1"/>
  <c r="B466" i="15" s="1"/>
  <c r="E465" i="15" a="1"/>
  <c r="E465" i="15" s="1"/>
  <c r="D465" i="15" a="1"/>
  <c r="D465" i="15" s="1"/>
  <c r="C465" i="15" a="1"/>
  <c r="C465" i="15" s="1"/>
  <c r="B465" i="15" a="1"/>
  <c r="B465" i="15" s="1"/>
  <c r="E464" i="15" a="1"/>
  <c r="E464" i="15" s="1"/>
  <c r="D464" i="15" a="1"/>
  <c r="D464" i="15" s="1"/>
  <c r="C464" i="15" a="1"/>
  <c r="C464" i="15" s="1"/>
  <c r="B464" i="15" a="1"/>
  <c r="B464" i="15" s="1"/>
  <c r="E463" i="15" a="1"/>
  <c r="E463" i="15" s="1"/>
  <c r="D463" i="15" a="1"/>
  <c r="D463" i="15" s="1"/>
  <c r="C463" i="15" a="1"/>
  <c r="C463" i="15" s="1"/>
  <c r="B463" i="15" a="1"/>
  <c r="B463" i="15" s="1"/>
  <c r="E462" i="15" a="1"/>
  <c r="E462" i="15" s="1"/>
  <c r="D462" i="15" a="1"/>
  <c r="D462" i="15" s="1"/>
  <c r="C462" i="15" a="1"/>
  <c r="C462" i="15" s="1"/>
  <c r="B462" i="15" a="1"/>
  <c r="B462" i="15" s="1"/>
  <c r="E461" i="15" a="1"/>
  <c r="E461" i="15" s="1"/>
  <c r="D461" i="15" a="1"/>
  <c r="D461" i="15" s="1"/>
  <c r="C461" i="15" a="1"/>
  <c r="C461" i="15" s="1"/>
  <c r="B461" i="15" a="1"/>
  <c r="B461" i="15" s="1"/>
  <c r="E460" i="15" a="1"/>
  <c r="E460" i="15" s="1"/>
  <c r="D460" i="15" a="1"/>
  <c r="D460" i="15" s="1"/>
  <c r="C460" i="15" a="1"/>
  <c r="C460" i="15" s="1"/>
  <c r="B460" i="15" a="1"/>
  <c r="B460" i="15" s="1"/>
  <c r="E459" i="15" a="1"/>
  <c r="E459" i="15" s="1"/>
  <c r="D459" i="15" a="1"/>
  <c r="D459" i="15" s="1"/>
  <c r="C459" i="15" a="1"/>
  <c r="C459" i="15" s="1"/>
  <c r="B459" i="15" a="1"/>
  <c r="B459" i="15" s="1"/>
  <c r="E458" i="15" a="1"/>
  <c r="E458" i="15" s="1"/>
  <c r="D458" i="15" a="1"/>
  <c r="D458" i="15" s="1"/>
  <c r="C458" i="15" a="1"/>
  <c r="C458" i="15" s="1"/>
  <c r="B458" i="15" a="1"/>
  <c r="B458" i="15" s="1"/>
  <c r="E457" i="15" a="1"/>
  <c r="E457" i="15" s="1"/>
  <c r="D457" i="15" a="1"/>
  <c r="D457" i="15" s="1"/>
  <c r="C457" i="15" a="1"/>
  <c r="C457" i="15" s="1"/>
  <c r="B457" i="15" a="1"/>
  <c r="B457" i="15" s="1"/>
  <c r="E456" i="15" a="1"/>
  <c r="E456" i="15" s="1"/>
  <c r="D456" i="15" a="1"/>
  <c r="D456" i="15" s="1"/>
  <c r="C456" i="15" a="1"/>
  <c r="C456" i="15" s="1"/>
  <c r="B456" i="15" a="1"/>
  <c r="B456" i="15" s="1"/>
  <c r="E455" i="15" a="1"/>
  <c r="E455" i="15" s="1"/>
  <c r="D455" i="15" a="1"/>
  <c r="D455" i="15" s="1"/>
  <c r="C455" i="15" a="1"/>
  <c r="C455" i="15" s="1"/>
  <c r="B455" i="15" a="1"/>
  <c r="B455" i="15" s="1"/>
  <c r="E454" i="15" a="1"/>
  <c r="E454" i="15" s="1"/>
  <c r="D454" i="15" a="1"/>
  <c r="D454" i="15" s="1"/>
  <c r="C454" i="15" a="1"/>
  <c r="C454" i="15" s="1"/>
  <c r="B454" i="15" a="1"/>
  <c r="B454" i="15" s="1"/>
  <c r="E453" i="15" a="1"/>
  <c r="E453" i="15" s="1"/>
  <c r="D453" i="15" a="1"/>
  <c r="D453" i="15" s="1"/>
  <c r="C453" i="15" a="1"/>
  <c r="C453" i="15" s="1"/>
  <c r="B453" i="15" a="1"/>
  <c r="B453" i="15" s="1"/>
  <c r="E452" i="15" a="1"/>
  <c r="E452" i="15" s="1"/>
  <c r="D452" i="15" a="1"/>
  <c r="D452" i="15" s="1"/>
  <c r="C452" i="15" a="1"/>
  <c r="C452" i="15" s="1"/>
  <c r="B452" i="15" a="1"/>
  <c r="B452" i="15" s="1"/>
  <c r="E451" i="15" a="1"/>
  <c r="E451" i="15" s="1"/>
  <c r="D451" i="15" a="1"/>
  <c r="D451" i="15" s="1"/>
  <c r="C451" i="15" a="1"/>
  <c r="C451" i="15" s="1"/>
  <c r="B451" i="15" a="1"/>
  <c r="B451" i="15" s="1"/>
  <c r="E450" i="15" a="1"/>
  <c r="E450" i="15" s="1"/>
  <c r="D450" i="15" a="1"/>
  <c r="D450" i="15" s="1"/>
  <c r="C450" i="15" a="1"/>
  <c r="C450" i="15" s="1"/>
  <c r="B450" i="15" a="1"/>
  <c r="B450" i="15" s="1"/>
  <c r="E449" i="15" a="1"/>
  <c r="E449" i="15" s="1"/>
  <c r="D449" i="15" a="1"/>
  <c r="D449" i="15" s="1"/>
  <c r="C449" i="15" a="1"/>
  <c r="C449" i="15" s="1"/>
  <c r="B449" i="15" a="1"/>
  <c r="B449" i="15" s="1"/>
  <c r="E448" i="15" a="1"/>
  <c r="E448" i="15" s="1"/>
  <c r="D448" i="15" a="1"/>
  <c r="D448" i="15" s="1"/>
  <c r="C448" i="15" a="1"/>
  <c r="C448" i="15" s="1"/>
  <c r="B448" i="15" a="1"/>
  <c r="B448" i="15" s="1"/>
  <c r="E447" i="15" a="1"/>
  <c r="E447" i="15" s="1"/>
  <c r="D447" i="15" a="1"/>
  <c r="D447" i="15" s="1"/>
  <c r="C447" i="15" a="1"/>
  <c r="C447" i="15" s="1"/>
  <c r="B447" i="15" a="1"/>
  <c r="B447" i="15" s="1"/>
  <c r="E446" i="15" a="1"/>
  <c r="E446" i="15" s="1"/>
  <c r="D446" i="15" a="1"/>
  <c r="D446" i="15" s="1"/>
  <c r="C446" i="15" a="1"/>
  <c r="C446" i="15" s="1"/>
  <c r="B446" i="15" a="1"/>
  <c r="B446" i="15" s="1"/>
  <c r="E445" i="15" a="1"/>
  <c r="E445" i="15" s="1"/>
  <c r="D445" i="15" a="1"/>
  <c r="D445" i="15" s="1"/>
  <c r="C445" i="15" a="1"/>
  <c r="C445" i="15" s="1"/>
  <c r="B445" i="15" a="1"/>
  <c r="B445" i="15" s="1"/>
  <c r="E444" i="15" a="1"/>
  <c r="E444" i="15" s="1"/>
  <c r="D444" i="15" a="1"/>
  <c r="D444" i="15" s="1"/>
  <c r="C444" i="15" a="1"/>
  <c r="C444" i="15" s="1"/>
  <c r="B444" i="15" a="1"/>
  <c r="B444" i="15" s="1"/>
  <c r="E443" i="15" a="1"/>
  <c r="E443" i="15" s="1"/>
  <c r="D443" i="15" a="1"/>
  <c r="D443" i="15" s="1"/>
  <c r="C443" i="15" a="1"/>
  <c r="C443" i="15" s="1"/>
  <c r="B443" i="15" a="1"/>
  <c r="B443" i="15" s="1"/>
  <c r="E442" i="15" a="1"/>
  <c r="E442" i="15" s="1"/>
  <c r="D442" i="15" a="1"/>
  <c r="D442" i="15" s="1"/>
  <c r="C442" i="15" a="1"/>
  <c r="C442" i="15" s="1"/>
  <c r="B442" i="15" a="1"/>
  <c r="B442" i="15" s="1"/>
  <c r="E441" i="15" a="1"/>
  <c r="E441" i="15" s="1"/>
  <c r="D441" i="15" a="1"/>
  <c r="D441" i="15" s="1"/>
  <c r="C441" i="15" a="1"/>
  <c r="C441" i="15" s="1"/>
  <c r="B441" i="15" a="1"/>
  <c r="B441" i="15" s="1"/>
  <c r="E440" i="15" a="1"/>
  <c r="E440" i="15" s="1"/>
  <c r="D440" i="15" a="1"/>
  <c r="D440" i="15" s="1"/>
  <c r="C440" i="15" a="1"/>
  <c r="C440" i="15" s="1"/>
  <c r="B440" i="15" a="1"/>
  <c r="B440" i="15" s="1"/>
  <c r="E439" i="15" a="1"/>
  <c r="E439" i="15" s="1"/>
  <c r="D439" i="15" a="1"/>
  <c r="D439" i="15" s="1"/>
  <c r="C439" i="15" a="1"/>
  <c r="C439" i="15" s="1"/>
  <c r="B439" i="15" a="1"/>
  <c r="B439" i="15" s="1"/>
  <c r="E438" i="15" a="1"/>
  <c r="E438" i="15" s="1"/>
  <c r="D438" i="15" a="1"/>
  <c r="D438" i="15" s="1"/>
  <c r="C438" i="15" a="1"/>
  <c r="C438" i="15" s="1"/>
  <c r="B438" i="15" a="1"/>
  <c r="B438" i="15" s="1"/>
  <c r="E437" i="15" a="1"/>
  <c r="E437" i="15" s="1"/>
  <c r="D437" i="15" a="1"/>
  <c r="D437" i="15" s="1"/>
  <c r="C437" i="15" a="1"/>
  <c r="C437" i="15" s="1"/>
  <c r="B437" i="15" a="1"/>
  <c r="B437" i="15" s="1"/>
  <c r="E436" i="15" a="1"/>
  <c r="E436" i="15" s="1"/>
  <c r="D436" i="15" a="1"/>
  <c r="D436" i="15" s="1"/>
  <c r="C436" i="15" a="1"/>
  <c r="C436" i="15" s="1"/>
  <c r="B436" i="15" a="1"/>
  <c r="B436" i="15" s="1"/>
  <c r="E435" i="15" a="1"/>
  <c r="E435" i="15" s="1"/>
  <c r="D435" i="15" a="1"/>
  <c r="D435" i="15" s="1"/>
  <c r="C435" i="15" a="1"/>
  <c r="C435" i="15" s="1"/>
  <c r="B435" i="15" a="1"/>
  <c r="B435" i="15" s="1"/>
  <c r="E434" i="15" a="1"/>
  <c r="E434" i="15" s="1"/>
  <c r="D434" i="15" a="1"/>
  <c r="D434" i="15" s="1"/>
  <c r="C434" i="15" a="1"/>
  <c r="C434" i="15" s="1"/>
  <c r="B434" i="15" a="1"/>
  <c r="B434" i="15" s="1"/>
  <c r="E433" i="15" a="1"/>
  <c r="E433" i="15" s="1"/>
  <c r="D433" i="15" a="1"/>
  <c r="D433" i="15" s="1"/>
  <c r="C433" i="15" a="1"/>
  <c r="C433" i="15" s="1"/>
  <c r="B433" i="15" a="1"/>
  <c r="B433" i="15" s="1"/>
  <c r="E432" i="15" a="1"/>
  <c r="E432" i="15" s="1"/>
  <c r="D432" i="15" a="1"/>
  <c r="D432" i="15" s="1"/>
  <c r="C432" i="15" a="1"/>
  <c r="C432" i="15" s="1"/>
  <c r="B432" i="15" a="1"/>
  <c r="B432" i="15" s="1"/>
  <c r="E431" i="15" a="1"/>
  <c r="E431" i="15" s="1"/>
  <c r="D431" i="15" a="1"/>
  <c r="D431" i="15" s="1"/>
  <c r="C431" i="15" a="1"/>
  <c r="C431" i="15" s="1"/>
  <c r="B431" i="15" a="1"/>
  <c r="B431" i="15" s="1"/>
  <c r="E430" i="15" a="1"/>
  <c r="E430" i="15" s="1"/>
  <c r="D430" i="15" a="1"/>
  <c r="D430" i="15" s="1"/>
  <c r="C430" i="15" a="1"/>
  <c r="C430" i="15" s="1"/>
  <c r="B430" i="15" a="1"/>
  <c r="B430" i="15" s="1"/>
  <c r="E429" i="15" a="1"/>
  <c r="E429" i="15" s="1"/>
  <c r="D429" i="15" a="1"/>
  <c r="D429" i="15" s="1"/>
  <c r="C429" i="15" a="1"/>
  <c r="C429" i="15" s="1"/>
  <c r="B429" i="15" a="1"/>
  <c r="B429" i="15" s="1"/>
  <c r="E428" i="15" a="1"/>
  <c r="E428" i="15" s="1"/>
  <c r="D428" i="15" a="1"/>
  <c r="D428" i="15" s="1"/>
  <c r="C428" i="15" a="1"/>
  <c r="C428" i="15" s="1"/>
  <c r="B428" i="15" a="1"/>
  <c r="B428" i="15" s="1"/>
  <c r="E427" i="15" a="1"/>
  <c r="E427" i="15" s="1"/>
  <c r="D427" i="15" a="1"/>
  <c r="D427" i="15" s="1"/>
  <c r="C427" i="15" a="1"/>
  <c r="C427" i="15" s="1"/>
  <c r="B427" i="15" a="1"/>
  <c r="B427" i="15" s="1"/>
  <c r="E426" i="15" a="1"/>
  <c r="E426" i="15" s="1"/>
  <c r="D426" i="15" a="1"/>
  <c r="D426" i="15" s="1"/>
  <c r="C426" i="15" a="1"/>
  <c r="C426" i="15" s="1"/>
  <c r="B426" i="15" a="1"/>
  <c r="B426" i="15" s="1"/>
  <c r="E425" i="15" a="1"/>
  <c r="E425" i="15" s="1"/>
  <c r="D425" i="15" a="1"/>
  <c r="D425" i="15" s="1"/>
  <c r="C425" i="15" a="1"/>
  <c r="C425" i="15" s="1"/>
  <c r="B425" i="15" a="1"/>
  <c r="B425" i="15" s="1"/>
  <c r="E424" i="15" a="1"/>
  <c r="E424" i="15" s="1"/>
  <c r="D424" i="15" a="1"/>
  <c r="D424" i="15" s="1"/>
  <c r="C424" i="15" a="1"/>
  <c r="C424" i="15" s="1"/>
  <c r="B424" i="15" a="1"/>
  <c r="B424" i="15" s="1"/>
  <c r="E423" i="15" a="1"/>
  <c r="E423" i="15" s="1"/>
  <c r="D423" i="15" a="1"/>
  <c r="D423" i="15" s="1"/>
  <c r="C423" i="15" a="1"/>
  <c r="C423" i="15" s="1"/>
  <c r="B423" i="15" a="1"/>
  <c r="B423" i="15" s="1"/>
  <c r="E422" i="15" a="1"/>
  <c r="E422" i="15" s="1"/>
  <c r="D422" i="15" a="1"/>
  <c r="D422" i="15" s="1"/>
  <c r="C422" i="15" a="1"/>
  <c r="C422" i="15" s="1"/>
  <c r="B422" i="15" a="1"/>
  <c r="B422" i="15" s="1"/>
  <c r="E421" i="15" a="1"/>
  <c r="E421" i="15" s="1"/>
  <c r="D421" i="15" a="1"/>
  <c r="D421" i="15" s="1"/>
  <c r="C421" i="15" a="1"/>
  <c r="C421" i="15" s="1"/>
  <c r="B421" i="15" a="1"/>
  <c r="B421" i="15" s="1"/>
  <c r="E420" i="15" a="1"/>
  <c r="E420" i="15" s="1"/>
  <c r="D420" i="15" a="1"/>
  <c r="D420" i="15" s="1"/>
  <c r="C420" i="15" a="1"/>
  <c r="C420" i="15" s="1"/>
  <c r="B420" i="15" a="1"/>
  <c r="B420" i="15" s="1"/>
  <c r="E419" i="15" a="1"/>
  <c r="E419" i="15" s="1"/>
  <c r="D419" i="15" a="1"/>
  <c r="D419" i="15" s="1"/>
  <c r="C419" i="15" a="1"/>
  <c r="C419" i="15" s="1"/>
  <c r="B419" i="15" a="1"/>
  <c r="B419" i="15" s="1"/>
  <c r="E418" i="15" a="1"/>
  <c r="E418" i="15" s="1"/>
  <c r="D418" i="15" a="1"/>
  <c r="D418" i="15" s="1"/>
  <c r="C418" i="15" a="1"/>
  <c r="C418" i="15" s="1"/>
  <c r="B418" i="15" a="1"/>
  <c r="B418" i="15" s="1"/>
  <c r="E417" i="15" a="1"/>
  <c r="E417" i="15" s="1"/>
  <c r="D417" i="15" a="1"/>
  <c r="D417" i="15" s="1"/>
  <c r="C417" i="15" a="1"/>
  <c r="C417" i="15" s="1"/>
  <c r="B417" i="15" a="1"/>
  <c r="B417" i="15" s="1"/>
  <c r="E416" i="15" a="1"/>
  <c r="E416" i="15" s="1"/>
  <c r="D416" i="15" a="1"/>
  <c r="D416" i="15" s="1"/>
  <c r="C416" i="15" a="1"/>
  <c r="C416" i="15" s="1"/>
  <c r="B416" i="15" a="1"/>
  <c r="B416" i="15" s="1"/>
  <c r="E415" i="15" a="1"/>
  <c r="E415" i="15" s="1"/>
  <c r="D415" i="15" a="1"/>
  <c r="D415" i="15" s="1"/>
  <c r="C415" i="15" a="1"/>
  <c r="C415" i="15" s="1"/>
  <c r="B415" i="15" a="1"/>
  <c r="B415" i="15" s="1"/>
  <c r="E414" i="15" a="1"/>
  <c r="E414" i="15" s="1"/>
  <c r="D414" i="15" a="1"/>
  <c r="D414" i="15" s="1"/>
  <c r="C414" i="15" a="1"/>
  <c r="C414" i="15" s="1"/>
  <c r="B414" i="15" a="1"/>
  <c r="B414" i="15" s="1"/>
  <c r="E413" i="15" a="1"/>
  <c r="E413" i="15" s="1"/>
  <c r="D413" i="15" a="1"/>
  <c r="D413" i="15" s="1"/>
  <c r="C413" i="15" a="1"/>
  <c r="C413" i="15" s="1"/>
  <c r="B413" i="15" a="1"/>
  <c r="B413" i="15" s="1"/>
  <c r="E412" i="15" a="1"/>
  <c r="E412" i="15" s="1"/>
  <c r="D412" i="15" a="1"/>
  <c r="D412" i="15" s="1"/>
  <c r="C412" i="15" a="1"/>
  <c r="C412" i="15" s="1"/>
  <c r="B412" i="15" a="1"/>
  <c r="B412" i="15" s="1"/>
  <c r="E411" i="15" a="1"/>
  <c r="E411" i="15" s="1"/>
  <c r="D411" i="15" a="1"/>
  <c r="D411" i="15" s="1"/>
  <c r="C411" i="15" a="1"/>
  <c r="C411" i="15" s="1"/>
  <c r="B411" i="15" a="1"/>
  <c r="B411" i="15" s="1"/>
  <c r="E410" i="15" a="1"/>
  <c r="E410" i="15" s="1"/>
  <c r="D410" i="15" a="1"/>
  <c r="D410" i="15" s="1"/>
  <c r="C410" i="15" a="1"/>
  <c r="C410" i="15" s="1"/>
  <c r="B410" i="15" a="1"/>
  <c r="B410" i="15" s="1"/>
  <c r="E409" i="15" a="1"/>
  <c r="E409" i="15" s="1"/>
  <c r="D409" i="15" a="1"/>
  <c r="D409" i="15" s="1"/>
  <c r="C409" i="15" a="1"/>
  <c r="C409" i="15" s="1"/>
  <c r="B409" i="15" a="1"/>
  <c r="B409" i="15" s="1"/>
  <c r="E408" i="15" a="1"/>
  <c r="E408" i="15" s="1"/>
  <c r="D408" i="15" a="1"/>
  <c r="D408" i="15" s="1"/>
  <c r="C408" i="15" a="1"/>
  <c r="C408" i="15" s="1"/>
  <c r="B408" i="15" a="1"/>
  <c r="B408" i="15" s="1"/>
  <c r="E407" i="15" a="1"/>
  <c r="E407" i="15" s="1"/>
  <c r="D407" i="15" a="1"/>
  <c r="D407" i="15" s="1"/>
  <c r="C407" i="15" a="1"/>
  <c r="C407" i="15" s="1"/>
  <c r="B407" i="15" a="1"/>
  <c r="B407" i="15" s="1"/>
  <c r="E406" i="15" a="1"/>
  <c r="E406" i="15" s="1"/>
  <c r="D406" i="15" a="1"/>
  <c r="D406" i="15" s="1"/>
  <c r="C406" i="15" a="1"/>
  <c r="C406" i="15" s="1"/>
  <c r="B406" i="15" a="1"/>
  <c r="B406" i="15" s="1"/>
  <c r="E405" i="15" a="1"/>
  <c r="E405" i="15" s="1"/>
  <c r="D405" i="15" a="1"/>
  <c r="D405" i="15" s="1"/>
  <c r="C405" i="15" a="1"/>
  <c r="C405" i="15" s="1"/>
  <c r="B405" i="15" a="1"/>
  <c r="B405" i="15" s="1"/>
  <c r="E404" i="15" a="1"/>
  <c r="E404" i="15" s="1"/>
  <c r="D404" i="15" a="1"/>
  <c r="D404" i="15" s="1"/>
  <c r="C404" i="15" a="1"/>
  <c r="C404" i="15" s="1"/>
  <c r="B404" i="15" a="1"/>
  <c r="B404" i="15" s="1"/>
  <c r="E403" i="15" a="1"/>
  <c r="E403" i="15" s="1"/>
  <c r="D403" i="15" a="1"/>
  <c r="D403" i="15" s="1"/>
  <c r="C403" i="15" a="1"/>
  <c r="C403" i="15" s="1"/>
  <c r="B403" i="15" a="1"/>
  <c r="B403" i="15" s="1"/>
  <c r="E402" i="15" a="1"/>
  <c r="E402" i="15" s="1"/>
  <c r="D402" i="15" a="1"/>
  <c r="D402" i="15" s="1"/>
  <c r="C402" i="15" a="1"/>
  <c r="C402" i="15" s="1"/>
  <c r="B402" i="15" a="1"/>
  <c r="B402" i="15" s="1"/>
  <c r="E401" i="15" a="1"/>
  <c r="E401" i="15" s="1"/>
  <c r="D401" i="15" a="1"/>
  <c r="D401" i="15" s="1"/>
  <c r="C401" i="15" a="1"/>
  <c r="C401" i="15" s="1"/>
  <c r="B401" i="15" a="1"/>
  <c r="B401" i="15" s="1"/>
  <c r="E400" i="15" a="1"/>
  <c r="E400" i="15" s="1"/>
  <c r="D400" i="15" a="1"/>
  <c r="D400" i="15" s="1"/>
  <c r="C400" i="15" a="1"/>
  <c r="C400" i="15" s="1"/>
  <c r="B400" i="15" a="1"/>
  <c r="B400" i="15" s="1"/>
  <c r="E399" i="15" a="1"/>
  <c r="E399" i="15" s="1"/>
  <c r="D399" i="15" a="1"/>
  <c r="D399" i="15" s="1"/>
  <c r="C399" i="15" a="1"/>
  <c r="C399" i="15" s="1"/>
  <c r="B399" i="15" a="1"/>
  <c r="B399" i="15" s="1"/>
  <c r="E398" i="15" a="1"/>
  <c r="E398" i="15" s="1"/>
  <c r="D398" i="15" a="1"/>
  <c r="D398" i="15" s="1"/>
  <c r="C398" i="15" a="1"/>
  <c r="C398" i="15" s="1"/>
  <c r="B398" i="15" a="1"/>
  <c r="B398" i="15" s="1"/>
  <c r="E397" i="15" a="1"/>
  <c r="E397" i="15" s="1"/>
  <c r="D397" i="15" a="1"/>
  <c r="D397" i="15" s="1"/>
  <c r="C397" i="15" a="1"/>
  <c r="C397" i="15" s="1"/>
  <c r="B397" i="15" a="1"/>
  <c r="B397" i="15" s="1"/>
  <c r="E396" i="15" a="1"/>
  <c r="E396" i="15" s="1"/>
  <c r="D396" i="15" a="1"/>
  <c r="D396" i="15" s="1"/>
  <c r="C396" i="15" a="1"/>
  <c r="C396" i="15" s="1"/>
  <c r="B396" i="15" a="1"/>
  <c r="B396" i="15" s="1"/>
  <c r="E395" i="15" a="1"/>
  <c r="E395" i="15" s="1"/>
  <c r="D395" i="15" a="1"/>
  <c r="D395" i="15" s="1"/>
  <c r="C395" i="15" a="1"/>
  <c r="C395" i="15" s="1"/>
  <c r="B395" i="15" a="1"/>
  <c r="B395" i="15" s="1"/>
  <c r="E394" i="15" a="1"/>
  <c r="E394" i="15" s="1"/>
  <c r="D394" i="15" a="1"/>
  <c r="D394" i="15" s="1"/>
  <c r="C394" i="15" a="1"/>
  <c r="C394" i="15" s="1"/>
  <c r="B394" i="15" a="1"/>
  <c r="B394" i="15" s="1"/>
  <c r="E393" i="15" a="1"/>
  <c r="E393" i="15" s="1"/>
  <c r="D393" i="15" a="1"/>
  <c r="D393" i="15" s="1"/>
  <c r="C393" i="15" a="1"/>
  <c r="C393" i="15" s="1"/>
  <c r="B393" i="15" a="1"/>
  <c r="B393" i="15" s="1"/>
  <c r="E392" i="15" a="1"/>
  <c r="E392" i="15" s="1"/>
  <c r="D392" i="15" a="1"/>
  <c r="D392" i="15" s="1"/>
  <c r="C392" i="15" a="1"/>
  <c r="C392" i="15" s="1"/>
  <c r="B392" i="15" a="1"/>
  <c r="B392" i="15" s="1"/>
  <c r="E391" i="15" a="1"/>
  <c r="E391" i="15" s="1"/>
  <c r="D391" i="15" a="1"/>
  <c r="D391" i="15" s="1"/>
  <c r="C391" i="15" a="1"/>
  <c r="C391" i="15" s="1"/>
  <c r="B391" i="15" a="1"/>
  <c r="B391" i="15" s="1"/>
  <c r="E390" i="15" a="1"/>
  <c r="E390" i="15" s="1"/>
  <c r="D390" i="15" a="1"/>
  <c r="D390" i="15" s="1"/>
  <c r="C390" i="15" a="1"/>
  <c r="C390" i="15" s="1"/>
  <c r="B390" i="15" a="1"/>
  <c r="B390" i="15" s="1"/>
  <c r="E389" i="15" a="1"/>
  <c r="E389" i="15" s="1"/>
  <c r="D389" i="15" a="1"/>
  <c r="D389" i="15" s="1"/>
  <c r="C389" i="15" a="1"/>
  <c r="C389" i="15" s="1"/>
  <c r="B389" i="15" a="1"/>
  <c r="B389" i="15" s="1"/>
  <c r="E388" i="15" a="1"/>
  <c r="E388" i="15" s="1"/>
  <c r="D388" i="15" a="1"/>
  <c r="D388" i="15" s="1"/>
  <c r="C388" i="15" a="1"/>
  <c r="C388" i="15" s="1"/>
  <c r="B388" i="15" a="1"/>
  <c r="B388" i="15" s="1"/>
  <c r="E387" i="15" a="1"/>
  <c r="E387" i="15" s="1"/>
  <c r="D387" i="15" a="1"/>
  <c r="D387" i="15" s="1"/>
  <c r="C387" i="15" a="1"/>
  <c r="C387" i="15" s="1"/>
  <c r="B387" i="15" a="1"/>
  <c r="B387" i="15" s="1"/>
  <c r="E386" i="15" a="1"/>
  <c r="E386" i="15" s="1"/>
  <c r="D386" i="15" a="1"/>
  <c r="D386" i="15" s="1"/>
  <c r="C386" i="15" a="1"/>
  <c r="C386" i="15" s="1"/>
  <c r="B386" i="15" a="1"/>
  <c r="B386" i="15" s="1"/>
  <c r="E385" i="15" a="1"/>
  <c r="E385" i="15" s="1"/>
  <c r="D385" i="15" a="1"/>
  <c r="D385" i="15" s="1"/>
  <c r="C385" i="15" a="1"/>
  <c r="C385" i="15" s="1"/>
  <c r="B385" i="15" a="1"/>
  <c r="B385" i="15" s="1"/>
  <c r="E384" i="15" a="1"/>
  <c r="E384" i="15" s="1"/>
  <c r="D384" i="15" a="1"/>
  <c r="D384" i="15" s="1"/>
  <c r="C384" i="15" a="1"/>
  <c r="C384" i="15" s="1"/>
  <c r="B384" i="15" a="1"/>
  <c r="B384" i="15" s="1"/>
  <c r="E383" i="15" a="1"/>
  <c r="E383" i="15" s="1"/>
  <c r="D383" i="15" a="1"/>
  <c r="D383" i="15" s="1"/>
  <c r="C383" i="15" a="1"/>
  <c r="C383" i="15" s="1"/>
  <c r="B383" i="15" a="1"/>
  <c r="B383" i="15" s="1"/>
  <c r="E382" i="15" a="1"/>
  <c r="E382" i="15" s="1"/>
  <c r="D382" i="15" a="1"/>
  <c r="D382" i="15" s="1"/>
  <c r="C382" i="15" a="1"/>
  <c r="C382" i="15" s="1"/>
  <c r="B382" i="15" a="1"/>
  <c r="B382" i="15" s="1"/>
  <c r="E381" i="15" a="1"/>
  <c r="E381" i="15" s="1"/>
  <c r="D381" i="15" a="1"/>
  <c r="D381" i="15" s="1"/>
  <c r="C381" i="15" a="1"/>
  <c r="C381" i="15" s="1"/>
  <c r="B381" i="15" a="1"/>
  <c r="B381" i="15" s="1"/>
  <c r="E380" i="15" a="1"/>
  <c r="E380" i="15" s="1"/>
  <c r="D380" i="15" a="1"/>
  <c r="D380" i="15" s="1"/>
  <c r="C380" i="15" a="1"/>
  <c r="C380" i="15" s="1"/>
  <c r="B380" i="15" a="1"/>
  <c r="B380" i="15" s="1"/>
  <c r="E379" i="15" a="1"/>
  <c r="E379" i="15" s="1"/>
  <c r="D379" i="15" a="1"/>
  <c r="D379" i="15" s="1"/>
  <c r="C379" i="15" a="1"/>
  <c r="C379" i="15" s="1"/>
  <c r="B379" i="15" a="1"/>
  <c r="B379" i="15" s="1"/>
  <c r="E378" i="15" a="1"/>
  <c r="E378" i="15" s="1"/>
  <c r="D378" i="15" a="1"/>
  <c r="D378" i="15" s="1"/>
  <c r="C378" i="15" a="1"/>
  <c r="C378" i="15" s="1"/>
  <c r="B378" i="15" a="1"/>
  <c r="B378" i="15" s="1"/>
  <c r="E377" i="15" a="1"/>
  <c r="E377" i="15" s="1"/>
  <c r="D377" i="15" a="1"/>
  <c r="D377" i="15" s="1"/>
  <c r="C377" i="15" a="1"/>
  <c r="C377" i="15" s="1"/>
  <c r="B377" i="15" a="1"/>
  <c r="B377" i="15" s="1"/>
  <c r="E376" i="15" a="1"/>
  <c r="E376" i="15" s="1"/>
  <c r="D376" i="15" a="1"/>
  <c r="D376" i="15" s="1"/>
  <c r="C376" i="15" a="1"/>
  <c r="C376" i="15" s="1"/>
  <c r="B376" i="15" a="1"/>
  <c r="B376" i="15" s="1"/>
  <c r="E375" i="15" a="1"/>
  <c r="E375" i="15" s="1"/>
  <c r="D375" i="15" a="1"/>
  <c r="D375" i="15" s="1"/>
  <c r="C375" i="15" a="1"/>
  <c r="C375" i="15" s="1"/>
  <c r="B375" i="15" a="1"/>
  <c r="B375" i="15" s="1"/>
  <c r="E374" i="15" a="1"/>
  <c r="E374" i="15" s="1"/>
  <c r="D374" i="15" a="1"/>
  <c r="D374" i="15" s="1"/>
  <c r="C374" i="15" a="1"/>
  <c r="C374" i="15" s="1"/>
  <c r="B374" i="15" a="1"/>
  <c r="B374" i="15" s="1"/>
  <c r="E373" i="15" a="1"/>
  <c r="E373" i="15" s="1"/>
  <c r="D373" i="15" a="1"/>
  <c r="D373" i="15" s="1"/>
  <c r="C373" i="15" a="1"/>
  <c r="C373" i="15" s="1"/>
  <c r="B373" i="15" a="1"/>
  <c r="B373" i="15" s="1"/>
  <c r="E372" i="15" a="1"/>
  <c r="E372" i="15" s="1"/>
  <c r="D372" i="15" a="1"/>
  <c r="D372" i="15" s="1"/>
  <c r="C372" i="15" a="1"/>
  <c r="C372" i="15" s="1"/>
  <c r="B372" i="15" a="1"/>
  <c r="B372" i="15" s="1"/>
  <c r="E371" i="15" a="1"/>
  <c r="E371" i="15" s="1"/>
  <c r="D371" i="15" a="1"/>
  <c r="D371" i="15" s="1"/>
  <c r="C371" i="15" a="1"/>
  <c r="C371" i="15" s="1"/>
  <c r="B371" i="15" a="1"/>
  <c r="B371" i="15" s="1"/>
  <c r="E370" i="15" a="1"/>
  <c r="E370" i="15" s="1"/>
  <c r="D370" i="15" a="1"/>
  <c r="D370" i="15" s="1"/>
  <c r="C370" i="15" a="1"/>
  <c r="C370" i="15" s="1"/>
  <c r="B370" i="15" a="1"/>
  <c r="B370" i="15" s="1"/>
  <c r="E369" i="15" a="1"/>
  <c r="E369" i="15" s="1"/>
  <c r="D369" i="15" a="1"/>
  <c r="D369" i="15" s="1"/>
  <c r="C369" i="15" a="1"/>
  <c r="C369" i="15" s="1"/>
  <c r="B369" i="15" a="1"/>
  <c r="B369" i="15" s="1"/>
  <c r="E368" i="15" a="1"/>
  <c r="E368" i="15" s="1"/>
  <c r="D368" i="15" a="1"/>
  <c r="D368" i="15" s="1"/>
  <c r="C368" i="15" a="1"/>
  <c r="C368" i="15" s="1"/>
  <c r="B368" i="15" a="1"/>
  <c r="B368" i="15" s="1"/>
  <c r="E367" i="15" a="1"/>
  <c r="E367" i="15" s="1"/>
  <c r="D367" i="15" a="1"/>
  <c r="D367" i="15" s="1"/>
  <c r="C367" i="15" a="1"/>
  <c r="C367" i="15" s="1"/>
  <c r="B367" i="15" a="1"/>
  <c r="B367" i="15" s="1"/>
  <c r="E366" i="15" a="1"/>
  <c r="E366" i="15" s="1"/>
  <c r="D366" i="15" a="1"/>
  <c r="D366" i="15" s="1"/>
  <c r="C366" i="15" a="1"/>
  <c r="C366" i="15" s="1"/>
  <c r="B366" i="15" a="1"/>
  <c r="B366" i="15" s="1"/>
  <c r="E365" i="15" a="1"/>
  <c r="E365" i="15" s="1"/>
  <c r="D365" i="15" a="1"/>
  <c r="D365" i="15" s="1"/>
  <c r="C365" i="15" a="1"/>
  <c r="C365" i="15" s="1"/>
  <c r="B365" i="15" a="1"/>
  <c r="B365" i="15" s="1"/>
  <c r="E364" i="15" a="1"/>
  <c r="E364" i="15" s="1"/>
  <c r="D364" i="15" a="1"/>
  <c r="D364" i="15" s="1"/>
  <c r="C364" i="15" a="1"/>
  <c r="C364" i="15" s="1"/>
  <c r="B364" i="15" a="1"/>
  <c r="B364" i="15" s="1"/>
  <c r="E363" i="15" a="1"/>
  <c r="E363" i="15" s="1"/>
  <c r="D363" i="15" a="1"/>
  <c r="D363" i="15" s="1"/>
  <c r="C363" i="15" a="1"/>
  <c r="C363" i="15" s="1"/>
  <c r="B363" i="15" a="1"/>
  <c r="B363" i="15" s="1"/>
  <c r="E362" i="15" a="1"/>
  <c r="E362" i="15" s="1"/>
  <c r="D362" i="15" a="1"/>
  <c r="D362" i="15" s="1"/>
  <c r="C362" i="15" a="1"/>
  <c r="C362" i="15" s="1"/>
  <c r="B362" i="15" a="1"/>
  <c r="B362" i="15" s="1"/>
  <c r="E361" i="15" a="1"/>
  <c r="E361" i="15" s="1"/>
  <c r="D361" i="15" a="1"/>
  <c r="D361" i="15" s="1"/>
  <c r="C361" i="15" a="1"/>
  <c r="C361" i="15" s="1"/>
  <c r="B361" i="15" a="1"/>
  <c r="B361" i="15" s="1"/>
  <c r="E360" i="15" a="1"/>
  <c r="E360" i="15" s="1"/>
  <c r="D360" i="15" a="1"/>
  <c r="D360" i="15" s="1"/>
  <c r="C360" i="15" a="1"/>
  <c r="C360" i="15" s="1"/>
  <c r="B360" i="15" a="1"/>
  <c r="B360" i="15" s="1"/>
  <c r="E359" i="15" a="1"/>
  <c r="E359" i="15" s="1"/>
  <c r="D359" i="15" a="1"/>
  <c r="D359" i="15" s="1"/>
  <c r="C359" i="15" a="1"/>
  <c r="C359" i="15" s="1"/>
  <c r="B359" i="15" a="1"/>
  <c r="B359" i="15" s="1"/>
  <c r="E358" i="15" a="1"/>
  <c r="E358" i="15" s="1"/>
  <c r="D358" i="15" a="1"/>
  <c r="D358" i="15" s="1"/>
  <c r="C358" i="15" a="1"/>
  <c r="C358" i="15" s="1"/>
  <c r="B358" i="15" a="1"/>
  <c r="B358" i="15" s="1"/>
  <c r="E357" i="15" a="1"/>
  <c r="E357" i="15" s="1"/>
  <c r="D357" i="15" a="1"/>
  <c r="D357" i="15" s="1"/>
  <c r="C357" i="15" a="1"/>
  <c r="C357" i="15" s="1"/>
  <c r="B357" i="15" a="1"/>
  <c r="B357" i="15" s="1"/>
  <c r="E356" i="15" a="1"/>
  <c r="E356" i="15" s="1"/>
  <c r="D356" i="15" a="1"/>
  <c r="D356" i="15" s="1"/>
  <c r="C356" i="15" a="1"/>
  <c r="C356" i="15" s="1"/>
  <c r="B356" i="15" a="1"/>
  <c r="B356" i="15" s="1"/>
  <c r="E355" i="15" a="1"/>
  <c r="E355" i="15" s="1"/>
  <c r="D355" i="15" a="1"/>
  <c r="D355" i="15" s="1"/>
  <c r="C355" i="15" a="1"/>
  <c r="C355" i="15" s="1"/>
  <c r="B355" i="15" a="1"/>
  <c r="B355" i="15" s="1"/>
  <c r="E354" i="15" a="1"/>
  <c r="E354" i="15" s="1"/>
  <c r="D354" i="15" a="1"/>
  <c r="D354" i="15" s="1"/>
  <c r="C354" i="15" a="1"/>
  <c r="C354" i="15" s="1"/>
  <c r="B354" i="15" a="1"/>
  <c r="B354" i="15" s="1"/>
  <c r="E353" i="15" a="1"/>
  <c r="E353" i="15" s="1"/>
  <c r="D353" i="15" a="1"/>
  <c r="D353" i="15" s="1"/>
  <c r="C353" i="15" a="1"/>
  <c r="C353" i="15" s="1"/>
  <c r="B353" i="15" a="1"/>
  <c r="B353" i="15" s="1"/>
  <c r="E352" i="15" a="1"/>
  <c r="E352" i="15" s="1"/>
  <c r="D352" i="15" a="1"/>
  <c r="D352" i="15" s="1"/>
  <c r="C352" i="15" a="1"/>
  <c r="C352" i="15" s="1"/>
  <c r="B352" i="15" a="1"/>
  <c r="B352" i="15" s="1"/>
  <c r="E351" i="15" a="1"/>
  <c r="E351" i="15" s="1"/>
  <c r="D351" i="15" a="1"/>
  <c r="D351" i="15" s="1"/>
  <c r="C351" i="15" a="1"/>
  <c r="C351" i="15" s="1"/>
  <c r="B351" i="15" a="1"/>
  <c r="B351" i="15" s="1"/>
  <c r="E350" i="15" a="1"/>
  <c r="E350" i="15" s="1"/>
  <c r="D350" i="15" a="1"/>
  <c r="D350" i="15" s="1"/>
  <c r="C350" i="15" a="1"/>
  <c r="C350" i="15" s="1"/>
  <c r="B350" i="15" a="1"/>
  <c r="B350" i="15" s="1"/>
  <c r="E349" i="15" a="1"/>
  <c r="E349" i="15" s="1"/>
  <c r="D349" i="15" a="1"/>
  <c r="D349" i="15" s="1"/>
  <c r="C349" i="15" a="1"/>
  <c r="C349" i="15" s="1"/>
  <c r="B349" i="15" a="1"/>
  <c r="B349" i="15" s="1"/>
  <c r="E348" i="15" a="1"/>
  <c r="E348" i="15" s="1"/>
  <c r="D348" i="15" a="1"/>
  <c r="D348" i="15" s="1"/>
  <c r="C348" i="15" a="1"/>
  <c r="C348" i="15" s="1"/>
  <c r="B348" i="15" a="1"/>
  <c r="B348" i="15" s="1"/>
  <c r="E347" i="15" a="1"/>
  <c r="E347" i="15" s="1"/>
  <c r="D347" i="15" a="1"/>
  <c r="D347" i="15" s="1"/>
  <c r="C347" i="15" a="1"/>
  <c r="C347" i="15" s="1"/>
  <c r="B347" i="15" a="1"/>
  <c r="B347" i="15" s="1"/>
  <c r="E346" i="15" a="1"/>
  <c r="E346" i="15" s="1"/>
  <c r="D346" i="15" a="1"/>
  <c r="D346" i="15" s="1"/>
  <c r="C346" i="15" a="1"/>
  <c r="C346" i="15" s="1"/>
  <c r="B346" i="15" a="1"/>
  <c r="B346" i="15" s="1"/>
  <c r="E345" i="15" a="1"/>
  <c r="E345" i="15" s="1"/>
  <c r="D345" i="15" a="1"/>
  <c r="D345" i="15" s="1"/>
  <c r="C345" i="15" a="1"/>
  <c r="C345" i="15" s="1"/>
  <c r="B345" i="15" a="1"/>
  <c r="B345" i="15" s="1"/>
  <c r="E344" i="15" a="1"/>
  <c r="E344" i="15" s="1"/>
  <c r="D344" i="15" a="1"/>
  <c r="D344" i="15" s="1"/>
  <c r="C344" i="15" a="1"/>
  <c r="C344" i="15" s="1"/>
  <c r="B344" i="15" a="1"/>
  <c r="B344" i="15" s="1"/>
  <c r="E343" i="15" a="1"/>
  <c r="E343" i="15" s="1"/>
  <c r="D343" i="15" a="1"/>
  <c r="D343" i="15" s="1"/>
  <c r="C343" i="15" a="1"/>
  <c r="C343" i="15" s="1"/>
  <c r="B343" i="15" a="1"/>
  <c r="B343" i="15" s="1"/>
  <c r="E342" i="15" a="1"/>
  <c r="E342" i="15" s="1"/>
  <c r="D342" i="15" a="1"/>
  <c r="D342" i="15" s="1"/>
  <c r="C342" i="15" a="1"/>
  <c r="C342" i="15" s="1"/>
  <c r="B342" i="15" a="1"/>
  <c r="B342" i="15" s="1"/>
  <c r="E341" i="15" a="1"/>
  <c r="E341" i="15" s="1"/>
  <c r="D341" i="15" a="1"/>
  <c r="D341" i="15" s="1"/>
  <c r="C341" i="15" a="1"/>
  <c r="C341" i="15" s="1"/>
  <c r="B341" i="15" a="1"/>
  <c r="B341" i="15" s="1"/>
  <c r="E340" i="15" a="1"/>
  <c r="E340" i="15" s="1"/>
  <c r="D340" i="15" a="1"/>
  <c r="D340" i="15" s="1"/>
  <c r="C340" i="15" a="1"/>
  <c r="C340" i="15" s="1"/>
  <c r="B340" i="15" a="1"/>
  <c r="B340" i="15" s="1"/>
  <c r="E339" i="15" a="1"/>
  <c r="E339" i="15" s="1"/>
  <c r="D339" i="15" a="1"/>
  <c r="D339" i="15" s="1"/>
  <c r="C339" i="15" a="1"/>
  <c r="C339" i="15" s="1"/>
  <c r="B339" i="15" a="1"/>
  <c r="B339" i="15" s="1"/>
  <c r="E338" i="15" a="1"/>
  <c r="E338" i="15" s="1"/>
  <c r="D338" i="15" a="1"/>
  <c r="D338" i="15" s="1"/>
  <c r="C338" i="15" a="1"/>
  <c r="C338" i="15" s="1"/>
  <c r="B338" i="15" a="1"/>
  <c r="B338" i="15" s="1"/>
  <c r="E337" i="15" a="1"/>
  <c r="E337" i="15" s="1"/>
  <c r="D337" i="15" a="1"/>
  <c r="D337" i="15" s="1"/>
  <c r="C337" i="15" a="1"/>
  <c r="C337" i="15" s="1"/>
  <c r="B337" i="15" a="1"/>
  <c r="B337" i="15" s="1"/>
  <c r="E336" i="15" a="1"/>
  <c r="E336" i="15" s="1"/>
  <c r="D336" i="15" a="1"/>
  <c r="D336" i="15" s="1"/>
  <c r="C336" i="15" a="1"/>
  <c r="C336" i="15" s="1"/>
  <c r="B336" i="15" a="1"/>
  <c r="B336" i="15" s="1"/>
  <c r="E335" i="15" a="1"/>
  <c r="E335" i="15" s="1"/>
  <c r="D335" i="15" a="1"/>
  <c r="D335" i="15" s="1"/>
  <c r="C335" i="15" a="1"/>
  <c r="C335" i="15" s="1"/>
  <c r="B335" i="15" a="1"/>
  <c r="B335" i="15" s="1"/>
  <c r="E334" i="15" a="1"/>
  <c r="E334" i="15" s="1"/>
  <c r="D334" i="15" a="1"/>
  <c r="D334" i="15" s="1"/>
  <c r="C334" i="15" a="1"/>
  <c r="C334" i="15" s="1"/>
  <c r="B334" i="15" a="1"/>
  <c r="B334" i="15" s="1"/>
  <c r="E333" i="15" a="1"/>
  <c r="E333" i="15" s="1"/>
  <c r="D333" i="15" a="1"/>
  <c r="D333" i="15" s="1"/>
  <c r="C333" i="15" a="1"/>
  <c r="C333" i="15" s="1"/>
  <c r="B333" i="15" a="1"/>
  <c r="B333" i="15" s="1"/>
  <c r="E332" i="15" a="1"/>
  <c r="E332" i="15" s="1"/>
  <c r="D332" i="15" a="1"/>
  <c r="D332" i="15" s="1"/>
  <c r="C332" i="15" a="1"/>
  <c r="C332" i="15" s="1"/>
  <c r="B332" i="15" a="1"/>
  <c r="B332" i="15" s="1"/>
  <c r="E331" i="15" a="1"/>
  <c r="E331" i="15" s="1"/>
  <c r="D331" i="15" a="1"/>
  <c r="D331" i="15" s="1"/>
  <c r="C331" i="15" a="1"/>
  <c r="C331" i="15" s="1"/>
  <c r="B331" i="15" a="1"/>
  <c r="B331" i="15" s="1"/>
  <c r="E330" i="15" a="1"/>
  <c r="E330" i="15" s="1"/>
  <c r="D330" i="15" a="1"/>
  <c r="D330" i="15" s="1"/>
  <c r="C330" i="15" a="1"/>
  <c r="C330" i="15" s="1"/>
  <c r="B330" i="15" a="1"/>
  <c r="B330" i="15" s="1"/>
  <c r="E329" i="15" a="1"/>
  <c r="E329" i="15" s="1"/>
  <c r="D329" i="15" a="1"/>
  <c r="D329" i="15" s="1"/>
  <c r="C329" i="15" a="1"/>
  <c r="C329" i="15" s="1"/>
  <c r="B329" i="15" a="1"/>
  <c r="B329" i="15" s="1"/>
  <c r="E328" i="15" a="1"/>
  <c r="E328" i="15" s="1"/>
  <c r="D328" i="15" a="1"/>
  <c r="D328" i="15" s="1"/>
  <c r="C328" i="15" a="1"/>
  <c r="C328" i="15" s="1"/>
  <c r="B328" i="15" a="1"/>
  <c r="B328" i="15" s="1"/>
  <c r="E327" i="15" a="1"/>
  <c r="E327" i="15" s="1"/>
  <c r="D327" i="15" a="1"/>
  <c r="D327" i="15" s="1"/>
  <c r="C327" i="15" a="1"/>
  <c r="C327" i="15" s="1"/>
  <c r="B327" i="15" a="1"/>
  <c r="B327" i="15" s="1"/>
  <c r="E326" i="15" a="1"/>
  <c r="E326" i="15" s="1"/>
  <c r="D326" i="15" a="1"/>
  <c r="D326" i="15" s="1"/>
  <c r="C326" i="15" a="1"/>
  <c r="C326" i="15" s="1"/>
  <c r="B326" i="15" a="1"/>
  <c r="B326" i="15" s="1"/>
  <c r="E325" i="15" a="1"/>
  <c r="E325" i="15" s="1"/>
  <c r="D325" i="15" a="1"/>
  <c r="D325" i="15" s="1"/>
  <c r="C325" i="15" a="1"/>
  <c r="C325" i="15" s="1"/>
  <c r="B325" i="15" a="1"/>
  <c r="B325" i="15" s="1"/>
  <c r="E324" i="15" a="1"/>
  <c r="E324" i="15" s="1"/>
  <c r="D324" i="15" a="1"/>
  <c r="D324" i="15" s="1"/>
  <c r="C324" i="15" a="1"/>
  <c r="C324" i="15" s="1"/>
  <c r="B324" i="15" a="1"/>
  <c r="B324" i="15" s="1"/>
  <c r="E323" i="15" a="1"/>
  <c r="E323" i="15" s="1"/>
  <c r="D323" i="15" a="1"/>
  <c r="D323" i="15" s="1"/>
  <c r="C323" i="15" a="1"/>
  <c r="C323" i="15" s="1"/>
  <c r="B323" i="15" a="1"/>
  <c r="B323" i="15" s="1"/>
  <c r="E322" i="15" a="1"/>
  <c r="E322" i="15" s="1"/>
  <c r="D322" i="15" a="1"/>
  <c r="D322" i="15" s="1"/>
  <c r="C322" i="15" a="1"/>
  <c r="C322" i="15" s="1"/>
  <c r="B322" i="15" a="1"/>
  <c r="B322" i="15" s="1"/>
  <c r="E321" i="15" a="1"/>
  <c r="E321" i="15" s="1"/>
  <c r="D321" i="15" a="1"/>
  <c r="D321" i="15" s="1"/>
  <c r="C321" i="15" a="1"/>
  <c r="C321" i="15" s="1"/>
  <c r="B321" i="15" a="1"/>
  <c r="B321" i="15" s="1"/>
  <c r="E320" i="15" a="1"/>
  <c r="E320" i="15" s="1"/>
  <c r="D320" i="15" a="1"/>
  <c r="D320" i="15" s="1"/>
  <c r="C320" i="15" a="1"/>
  <c r="C320" i="15" s="1"/>
  <c r="B320" i="15" a="1"/>
  <c r="B320" i="15" s="1"/>
  <c r="E319" i="15" a="1"/>
  <c r="E319" i="15" s="1"/>
  <c r="D319" i="15" a="1"/>
  <c r="D319" i="15" s="1"/>
  <c r="C319" i="15" a="1"/>
  <c r="C319" i="15" s="1"/>
  <c r="B319" i="15" a="1"/>
  <c r="B319" i="15" s="1"/>
  <c r="E318" i="15" a="1"/>
  <c r="E318" i="15" s="1"/>
  <c r="D318" i="15" a="1"/>
  <c r="D318" i="15" s="1"/>
  <c r="C318" i="15" a="1"/>
  <c r="C318" i="15" s="1"/>
  <c r="B318" i="15" a="1"/>
  <c r="B318" i="15" s="1"/>
  <c r="E317" i="15" a="1"/>
  <c r="E317" i="15" s="1"/>
  <c r="D317" i="15" a="1"/>
  <c r="D317" i="15" s="1"/>
  <c r="C317" i="15" a="1"/>
  <c r="C317" i="15" s="1"/>
  <c r="B317" i="15" a="1"/>
  <c r="B317" i="15" s="1"/>
  <c r="E316" i="15" a="1"/>
  <c r="E316" i="15" s="1"/>
  <c r="D316" i="15" a="1"/>
  <c r="D316" i="15" s="1"/>
  <c r="C316" i="15" a="1"/>
  <c r="C316" i="15" s="1"/>
  <c r="B316" i="15" a="1"/>
  <c r="B316" i="15" s="1"/>
  <c r="E315" i="15" a="1"/>
  <c r="E315" i="15" s="1"/>
  <c r="D315" i="15" a="1"/>
  <c r="D315" i="15" s="1"/>
  <c r="C315" i="15" a="1"/>
  <c r="C315" i="15" s="1"/>
  <c r="B315" i="15" a="1"/>
  <c r="B315" i="15" s="1"/>
  <c r="E314" i="15" a="1"/>
  <c r="E314" i="15" s="1"/>
  <c r="D314" i="15" a="1"/>
  <c r="D314" i="15" s="1"/>
  <c r="C314" i="15" a="1"/>
  <c r="C314" i="15" s="1"/>
  <c r="B314" i="15" a="1"/>
  <c r="B314" i="15" s="1"/>
  <c r="E313" i="15" a="1"/>
  <c r="E313" i="15" s="1"/>
  <c r="D313" i="15" a="1"/>
  <c r="D313" i="15" s="1"/>
  <c r="C313" i="15" a="1"/>
  <c r="C313" i="15" s="1"/>
  <c r="B313" i="15" a="1"/>
  <c r="B313" i="15" s="1"/>
  <c r="E312" i="15" a="1"/>
  <c r="E312" i="15" s="1"/>
  <c r="D312" i="15" a="1"/>
  <c r="D312" i="15" s="1"/>
  <c r="C312" i="15" a="1"/>
  <c r="C312" i="15" s="1"/>
  <c r="B312" i="15" a="1"/>
  <c r="B312" i="15" s="1"/>
  <c r="E311" i="15" a="1"/>
  <c r="E311" i="15" s="1"/>
  <c r="D311" i="15" a="1"/>
  <c r="D311" i="15" s="1"/>
  <c r="C311" i="15" a="1"/>
  <c r="C311" i="15" s="1"/>
  <c r="B311" i="15" a="1"/>
  <c r="B311" i="15" s="1"/>
  <c r="E310" i="15" a="1"/>
  <c r="E310" i="15" s="1"/>
  <c r="D310" i="15" a="1"/>
  <c r="D310" i="15" s="1"/>
  <c r="C310" i="15" a="1"/>
  <c r="C310" i="15" s="1"/>
  <c r="B310" i="15" a="1"/>
  <c r="B310" i="15" s="1"/>
  <c r="E309" i="15" a="1"/>
  <c r="E309" i="15" s="1"/>
  <c r="D309" i="15" a="1"/>
  <c r="D309" i="15" s="1"/>
  <c r="C309" i="15" a="1"/>
  <c r="C309" i="15" s="1"/>
  <c r="B309" i="15" a="1"/>
  <c r="B309" i="15" s="1"/>
  <c r="E308" i="15" a="1"/>
  <c r="E308" i="15" s="1"/>
  <c r="D308" i="15" a="1"/>
  <c r="D308" i="15" s="1"/>
  <c r="C308" i="15" a="1"/>
  <c r="C308" i="15" s="1"/>
  <c r="B308" i="15" a="1"/>
  <c r="B308" i="15" s="1"/>
  <c r="E307" i="15" a="1"/>
  <c r="E307" i="15" s="1"/>
  <c r="D307" i="15" a="1"/>
  <c r="D307" i="15" s="1"/>
  <c r="C307" i="15" a="1"/>
  <c r="C307" i="15" s="1"/>
  <c r="B307" i="15" a="1"/>
  <c r="B307" i="15" s="1"/>
  <c r="E306" i="15" a="1"/>
  <c r="E306" i="15" s="1"/>
  <c r="D306" i="15" a="1"/>
  <c r="D306" i="15" s="1"/>
  <c r="C306" i="15" a="1"/>
  <c r="C306" i="15" s="1"/>
  <c r="B306" i="15" a="1"/>
  <c r="B306" i="15" s="1"/>
  <c r="E305" i="15" a="1"/>
  <c r="E305" i="15" s="1"/>
  <c r="D305" i="15" a="1"/>
  <c r="D305" i="15" s="1"/>
  <c r="C305" i="15" a="1"/>
  <c r="C305" i="15" s="1"/>
  <c r="B305" i="15" a="1"/>
  <c r="B305" i="15" s="1"/>
  <c r="E304" i="15" a="1"/>
  <c r="E304" i="15" s="1"/>
  <c r="D304" i="15" a="1"/>
  <c r="D304" i="15" s="1"/>
  <c r="C304" i="15" a="1"/>
  <c r="C304" i="15" s="1"/>
  <c r="B304" i="15" a="1"/>
  <c r="B304" i="15" s="1"/>
  <c r="E303" i="15" a="1"/>
  <c r="E303" i="15" s="1"/>
  <c r="D303" i="15" a="1"/>
  <c r="D303" i="15" s="1"/>
  <c r="C303" i="15" a="1"/>
  <c r="C303" i="15" s="1"/>
  <c r="B303" i="15" a="1"/>
  <c r="B303" i="15" s="1"/>
  <c r="E302" i="15" a="1"/>
  <c r="E302" i="15" s="1"/>
  <c r="D302" i="15" a="1"/>
  <c r="D302" i="15" s="1"/>
  <c r="C302" i="15" a="1"/>
  <c r="C302" i="15" s="1"/>
  <c r="B302" i="15" a="1"/>
  <c r="B302" i="15" s="1"/>
  <c r="E301" i="15" a="1"/>
  <c r="E301" i="15" s="1"/>
  <c r="D301" i="15" a="1"/>
  <c r="D301" i="15" s="1"/>
  <c r="C301" i="15" a="1"/>
  <c r="C301" i="15" s="1"/>
  <c r="B301" i="15" a="1"/>
  <c r="B301" i="15" s="1"/>
  <c r="E300" i="15" a="1"/>
  <c r="E300" i="15" s="1"/>
  <c r="D300" i="15" a="1"/>
  <c r="D300" i="15" s="1"/>
  <c r="C300" i="15" a="1"/>
  <c r="C300" i="15" s="1"/>
  <c r="B300" i="15" a="1"/>
  <c r="B300" i="15" s="1"/>
  <c r="E299" i="15" a="1"/>
  <c r="E299" i="15" s="1"/>
  <c r="D299" i="15" a="1"/>
  <c r="D299" i="15" s="1"/>
  <c r="C299" i="15" a="1"/>
  <c r="C299" i="15" s="1"/>
  <c r="B299" i="15" a="1"/>
  <c r="B299" i="15" s="1"/>
  <c r="E298" i="15" a="1"/>
  <c r="E298" i="15" s="1"/>
  <c r="D298" i="15" a="1"/>
  <c r="D298" i="15" s="1"/>
  <c r="C298" i="15" a="1"/>
  <c r="C298" i="15" s="1"/>
  <c r="B298" i="15" a="1"/>
  <c r="B298" i="15" s="1"/>
  <c r="E297" i="15" a="1"/>
  <c r="E297" i="15" s="1"/>
  <c r="D297" i="15" a="1"/>
  <c r="D297" i="15" s="1"/>
  <c r="C297" i="15" a="1"/>
  <c r="C297" i="15" s="1"/>
  <c r="B297" i="15" a="1"/>
  <c r="B297" i="15" s="1"/>
  <c r="E296" i="15" a="1"/>
  <c r="E296" i="15" s="1"/>
  <c r="D296" i="15" a="1"/>
  <c r="D296" i="15" s="1"/>
  <c r="C296" i="15" a="1"/>
  <c r="C296" i="15" s="1"/>
  <c r="B296" i="15" a="1"/>
  <c r="B296" i="15" s="1"/>
  <c r="E295" i="15" a="1"/>
  <c r="E295" i="15" s="1"/>
  <c r="D295" i="15" a="1"/>
  <c r="D295" i="15" s="1"/>
  <c r="C295" i="15" a="1"/>
  <c r="C295" i="15" s="1"/>
  <c r="B295" i="15" a="1"/>
  <c r="B295" i="15" s="1"/>
  <c r="E294" i="15" a="1"/>
  <c r="E294" i="15" s="1"/>
  <c r="D294" i="15" a="1"/>
  <c r="D294" i="15" s="1"/>
  <c r="C294" i="15" a="1"/>
  <c r="C294" i="15" s="1"/>
  <c r="B294" i="15" a="1"/>
  <c r="B294" i="15" s="1"/>
  <c r="E293" i="15" a="1"/>
  <c r="E293" i="15" s="1"/>
  <c r="D293" i="15" a="1"/>
  <c r="D293" i="15" s="1"/>
  <c r="C293" i="15" a="1"/>
  <c r="C293" i="15" s="1"/>
  <c r="B293" i="15" a="1"/>
  <c r="B293" i="15" s="1"/>
  <c r="E292" i="15" a="1"/>
  <c r="E292" i="15" s="1"/>
  <c r="D292" i="15" a="1"/>
  <c r="D292" i="15" s="1"/>
  <c r="C292" i="15" a="1"/>
  <c r="C292" i="15" s="1"/>
  <c r="B292" i="15" a="1"/>
  <c r="B292" i="15" s="1"/>
  <c r="E291" i="15" a="1"/>
  <c r="E291" i="15" s="1"/>
  <c r="D291" i="15" a="1"/>
  <c r="D291" i="15" s="1"/>
  <c r="C291" i="15" a="1"/>
  <c r="C291" i="15" s="1"/>
  <c r="B291" i="15" a="1"/>
  <c r="B291" i="15" s="1"/>
  <c r="E290" i="15" a="1"/>
  <c r="E290" i="15" s="1"/>
  <c r="D290" i="15" a="1"/>
  <c r="D290" i="15" s="1"/>
  <c r="C290" i="15" a="1"/>
  <c r="C290" i="15" s="1"/>
  <c r="B290" i="15" a="1"/>
  <c r="B290" i="15" s="1"/>
  <c r="E289" i="15" a="1"/>
  <c r="E289" i="15" s="1"/>
  <c r="D289" i="15" a="1"/>
  <c r="D289" i="15" s="1"/>
  <c r="C289" i="15" a="1"/>
  <c r="C289" i="15" s="1"/>
  <c r="B289" i="15" a="1"/>
  <c r="B289" i="15" s="1"/>
  <c r="E288" i="15" a="1"/>
  <c r="E288" i="15" s="1"/>
  <c r="D288" i="15" a="1"/>
  <c r="D288" i="15" s="1"/>
  <c r="C288" i="15" a="1"/>
  <c r="C288" i="15" s="1"/>
  <c r="B288" i="15" a="1"/>
  <c r="B288" i="15" s="1"/>
  <c r="E287" i="15" a="1"/>
  <c r="E287" i="15" s="1"/>
  <c r="D287" i="15" a="1"/>
  <c r="D287" i="15" s="1"/>
  <c r="C287" i="15" a="1"/>
  <c r="C287" i="15" s="1"/>
  <c r="B287" i="15" a="1"/>
  <c r="B287" i="15" s="1"/>
  <c r="E286" i="15" a="1"/>
  <c r="E286" i="15" s="1"/>
  <c r="D286" i="15" a="1"/>
  <c r="D286" i="15" s="1"/>
  <c r="C286" i="15" a="1"/>
  <c r="C286" i="15" s="1"/>
  <c r="B286" i="15" a="1"/>
  <c r="B286" i="15" s="1"/>
  <c r="E285" i="15" a="1"/>
  <c r="E285" i="15" s="1"/>
  <c r="D285" i="15" a="1"/>
  <c r="D285" i="15" s="1"/>
  <c r="C285" i="15" a="1"/>
  <c r="C285" i="15" s="1"/>
  <c r="B285" i="15" a="1"/>
  <c r="B285" i="15" s="1"/>
  <c r="E284" i="15" a="1"/>
  <c r="E284" i="15" s="1"/>
  <c r="D284" i="15" a="1"/>
  <c r="D284" i="15" s="1"/>
  <c r="C284" i="15" a="1"/>
  <c r="C284" i="15" s="1"/>
  <c r="B284" i="15" a="1"/>
  <c r="B284" i="15" s="1"/>
  <c r="E283" i="15" a="1"/>
  <c r="E283" i="15" s="1"/>
  <c r="D283" i="15" a="1"/>
  <c r="D283" i="15" s="1"/>
  <c r="C283" i="15" a="1"/>
  <c r="C283" i="15" s="1"/>
  <c r="B283" i="15" a="1"/>
  <c r="B283" i="15" s="1"/>
  <c r="E282" i="15" a="1"/>
  <c r="E282" i="15" s="1"/>
  <c r="D282" i="15" a="1"/>
  <c r="D282" i="15" s="1"/>
  <c r="C282" i="15" a="1"/>
  <c r="C282" i="15" s="1"/>
  <c r="B282" i="15" a="1"/>
  <c r="B282" i="15" s="1"/>
  <c r="E281" i="15" a="1"/>
  <c r="E281" i="15" s="1"/>
  <c r="D281" i="15" a="1"/>
  <c r="D281" i="15" s="1"/>
  <c r="C281" i="15" a="1"/>
  <c r="C281" i="15" s="1"/>
  <c r="B281" i="15" a="1"/>
  <c r="B281" i="15" s="1"/>
  <c r="E280" i="15" a="1"/>
  <c r="E280" i="15" s="1"/>
  <c r="D280" i="15" a="1"/>
  <c r="D280" i="15" s="1"/>
  <c r="C280" i="15" a="1"/>
  <c r="C280" i="15" s="1"/>
  <c r="B280" i="15" a="1"/>
  <c r="B280" i="15" s="1"/>
  <c r="E279" i="15" a="1"/>
  <c r="E279" i="15" s="1"/>
  <c r="D279" i="15" a="1"/>
  <c r="D279" i="15" s="1"/>
  <c r="C279" i="15" a="1"/>
  <c r="C279" i="15" s="1"/>
  <c r="B279" i="15" a="1"/>
  <c r="B279" i="15" s="1"/>
  <c r="E278" i="15" a="1"/>
  <c r="E278" i="15" s="1"/>
  <c r="D278" i="15" a="1"/>
  <c r="D278" i="15" s="1"/>
  <c r="C278" i="15" a="1"/>
  <c r="C278" i="15" s="1"/>
  <c r="B278" i="15" a="1"/>
  <c r="B278" i="15" s="1"/>
  <c r="E277" i="15" a="1"/>
  <c r="E277" i="15" s="1"/>
  <c r="D277" i="15" a="1"/>
  <c r="D277" i="15" s="1"/>
  <c r="C277" i="15" a="1"/>
  <c r="C277" i="15" s="1"/>
  <c r="B277" i="15" a="1"/>
  <c r="B277" i="15" s="1"/>
  <c r="E276" i="15" a="1"/>
  <c r="E276" i="15" s="1"/>
  <c r="D276" i="15" a="1"/>
  <c r="D276" i="15" s="1"/>
  <c r="C276" i="15" a="1"/>
  <c r="C276" i="15" s="1"/>
  <c r="B276" i="15" a="1"/>
  <c r="B276" i="15" s="1"/>
  <c r="E275" i="15" a="1"/>
  <c r="E275" i="15" s="1"/>
  <c r="D275" i="15" a="1"/>
  <c r="D275" i="15" s="1"/>
  <c r="C275" i="15" a="1"/>
  <c r="C275" i="15" s="1"/>
  <c r="B275" i="15" a="1"/>
  <c r="B275" i="15" s="1"/>
  <c r="E274" i="15" a="1"/>
  <c r="E274" i="15" s="1"/>
  <c r="D274" i="15" a="1"/>
  <c r="D274" i="15" s="1"/>
  <c r="C274" i="15" a="1"/>
  <c r="C274" i="15" s="1"/>
  <c r="B274" i="15" a="1"/>
  <c r="B274" i="15" s="1"/>
  <c r="E273" i="15" a="1"/>
  <c r="E273" i="15" s="1"/>
  <c r="D273" i="15" a="1"/>
  <c r="D273" i="15" s="1"/>
  <c r="C273" i="15" a="1"/>
  <c r="C273" i="15" s="1"/>
  <c r="B273" i="15" a="1"/>
  <c r="B273" i="15" s="1"/>
  <c r="E272" i="15" a="1"/>
  <c r="E272" i="15" s="1"/>
  <c r="D272" i="15" a="1"/>
  <c r="D272" i="15" s="1"/>
  <c r="C272" i="15" a="1"/>
  <c r="C272" i="15" s="1"/>
  <c r="B272" i="15" a="1"/>
  <c r="B272" i="15" s="1"/>
  <c r="E271" i="15" a="1"/>
  <c r="E271" i="15" s="1"/>
  <c r="D271" i="15" a="1"/>
  <c r="D271" i="15" s="1"/>
  <c r="C271" i="15" a="1"/>
  <c r="C271" i="15" s="1"/>
  <c r="B271" i="15" a="1"/>
  <c r="B271" i="15" s="1"/>
  <c r="E270" i="15" a="1"/>
  <c r="E270" i="15" s="1"/>
  <c r="D270" i="15" a="1"/>
  <c r="D270" i="15" s="1"/>
  <c r="C270" i="15" a="1"/>
  <c r="C270" i="15" s="1"/>
  <c r="B270" i="15" a="1"/>
  <c r="B270" i="15" s="1"/>
  <c r="E269" i="15" a="1"/>
  <c r="E269" i="15" s="1"/>
  <c r="D269" i="15" a="1"/>
  <c r="D269" i="15" s="1"/>
  <c r="C269" i="15" a="1"/>
  <c r="C269" i="15" s="1"/>
  <c r="B269" i="15" a="1"/>
  <c r="B269" i="15" s="1"/>
  <c r="E268" i="15" a="1"/>
  <c r="E268" i="15" s="1"/>
  <c r="D268" i="15" a="1"/>
  <c r="D268" i="15" s="1"/>
  <c r="C268" i="15" a="1"/>
  <c r="C268" i="15" s="1"/>
  <c r="B268" i="15" a="1"/>
  <c r="B268" i="15" s="1"/>
  <c r="E267" i="15" a="1"/>
  <c r="E267" i="15" s="1"/>
  <c r="D267" i="15" a="1"/>
  <c r="D267" i="15" s="1"/>
  <c r="C267" i="15" a="1"/>
  <c r="C267" i="15" s="1"/>
  <c r="B267" i="15" a="1"/>
  <c r="B267" i="15" s="1"/>
  <c r="E266" i="15" a="1"/>
  <c r="E266" i="15" s="1"/>
  <c r="D266" i="15" a="1"/>
  <c r="D266" i="15" s="1"/>
  <c r="C266" i="15" a="1"/>
  <c r="C266" i="15" s="1"/>
  <c r="B266" i="15" a="1"/>
  <c r="B266" i="15" s="1"/>
  <c r="E265" i="15" a="1"/>
  <c r="E265" i="15" s="1"/>
  <c r="D265" i="15" a="1"/>
  <c r="D265" i="15" s="1"/>
  <c r="C265" i="15" a="1"/>
  <c r="C265" i="15" s="1"/>
  <c r="B265" i="15" a="1"/>
  <c r="B265" i="15" s="1"/>
  <c r="E264" i="15" a="1"/>
  <c r="E264" i="15" s="1"/>
  <c r="D264" i="15" a="1"/>
  <c r="D264" i="15" s="1"/>
  <c r="C264" i="15" a="1"/>
  <c r="C264" i="15" s="1"/>
  <c r="B264" i="15" a="1"/>
  <c r="B264" i="15" s="1"/>
  <c r="E263" i="15" a="1"/>
  <c r="E263" i="15" s="1"/>
  <c r="D263" i="15" a="1"/>
  <c r="D263" i="15" s="1"/>
  <c r="C263" i="15" a="1"/>
  <c r="C263" i="15" s="1"/>
  <c r="B263" i="15" a="1"/>
  <c r="B263" i="15" s="1"/>
  <c r="E262" i="15" a="1"/>
  <c r="E262" i="15" s="1"/>
  <c r="D262" i="15" a="1"/>
  <c r="D262" i="15" s="1"/>
  <c r="C262" i="15" a="1"/>
  <c r="C262" i="15" s="1"/>
  <c r="B262" i="15" a="1"/>
  <c r="B262" i="15" s="1"/>
  <c r="E261" i="15" a="1"/>
  <c r="E261" i="15" s="1"/>
  <c r="D261" i="15" a="1"/>
  <c r="D261" i="15" s="1"/>
  <c r="C261" i="15" a="1"/>
  <c r="C261" i="15" s="1"/>
  <c r="B261" i="15" a="1"/>
  <c r="B261" i="15" s="1"/>
  <c r="E260" i="15" a="1"/>
  <c r="E260" i="15" s="1"/>
  <c r="D260" i="15" a="1"/>
  <c r="D260" i="15" s="1"/>
  <c r="C260" i="15" a="1"/>
  <c r="C260" i="15" s="1"/>
  <c r="B260" i="15" a="1"/>
  <c r="B260" i="15" s="1"/>
  <c r="E259" i="15" a="1"/>
  <c r="E259" i="15" s="1"/>
  <c r="D259" i="15" a="1"/>
  <c r="D259" i="15" s="1"/>
  <c r="C259" i="15" a="1"/>
  <c r="C259" i="15" s="1"/>
  <c r="B259" i="15" a="1"/>
  <c r="B259" i="15" s="1"/>
  <c r="E258" i="15" a="1"/>
  <c r="E258" i="15" s="1"/>
  <c r="D258" i="15" a="1"/>
  <c r="D258" i="15" s="1"/>
  <c r="C258" i="15" a="1"/>
  <c r="C258" i="15" s="1"/>
  <c r="B258" i="15" a="1"/>
  <c r="B258" i="15" s="1"/>
  <c r="E257" i="15" a="1"/>
  <c r="E257" i="15" s="1"/>
  <c r="D257" i="15" a="1"/>
  <c r="D257" i="15" s="1"/>
  <c r="C257" i="15" a="1"/>
  <c r="C257" i="15" s="1"/>
  <c r="B257" i="15" a="1"/>
  <c r="B257" i="15" s="1"/>
  <c r="E256" i="15" a="1"/>
  <c r="E256" i="15" s="1"/>
  <c r="D256" i="15" a="1"/>
  <c r="D256" i="15" s="1"/>
  <c r="C256" i="15" a="1"/>
  <c r="C256" i="15" s="1"/>
  <c r="B256" i="15" a="1"/>
  <c r="B256" i="15" s="1"/>
  <c r="E255" i="15" a="1"/>
  <c r="E255" i="15" s="1"/>
  <c r="D255" i="15" a="1"/>
  <c r="D255" i="15" s="1"/>
  <c r="C255" i="15" a="1"/>
  <c r="C255" i="15" s="1"/>
  <c r="B255" i="15" a="1"/>
  <c r="B255" i="15" s="1"/>
  <c r="E254" i="15" a="1"/>
  <c r="E254" i="15" s="1"/>
  <c r="D254" i="15" a="1"/>
  <c r="D254" i="15" s="1"/>
  <c r="C254" i="15" a="1"/>
  <c r="C254" i="15" s="1"/>
  <c r="B254" i="15" a="1"/>
  <c r="B254" i="15" s="1"/>
  <c r="E253" i="15" a="1"/>
  <c r="E253" i="15" s="1"/>
  <c r="D253" i="15" a="1"/>
  <c r="D253" i="15" s="1"/>
  <c r="C253" i="15" a="1"/>
  <c r="C253" i="15" s="1"/>
  <c r="B253" i="15" a="1"/>
  <c r="B253" i="15" s="1"/>
  <c r="E252" i="15" a="1"/>
  <c r="E252" i="15" s="1"/>
  <c r="D252" i="15" a="1"/>
  <c r="D252" i="15" s="1"/>
  <c r="C252" i="15" a="1"/>
  <c r="C252" i="15" s="1"/>
  <c r="B252" i="15" a="1"/>
  <c r="B252" i="15" s="1"/>
  <c r="E251" i="15" a="1"/>
  <c r="E251" i="15" s="1"/>
  <c r="D251" i="15" a="1"/>
  <c r="D251" i="15" s="1"/>
  <c r="C251" i="15" a="1"/>
  <c r="C251" i="15" s="1"/>
  <c r="B251" i="15" a="1"/>
  <c r="B251" i="15" s="1"/>
  <c r="E250" i="15" a="1"/>
  <c r="E250" i="15" s="1"/>
  <c r="D250" i="15" a="1"/>
  <c r="D250" i="15" s="1"/>
  <c r="C250" i="15" a="1"/>
  <c r="C250" i="15" s="1"/>
  <c r="B250" i="15" a="1"/>
  <c r="B250" i="15" s="1"/>
  <c r="E249" i="15" a="1"/>
  <c r="E249" i="15" s="1"/>
  <c r="D249" i="15" a="1"/>
  <c r="D249" i="15" s="1"/>
  <c r="C249" i="15" a="1"/>
  <c r="C249" i="15" s="1"/>
  <c r="B249" i="15" a="1"/>
  <c r="B249" i="15" s="1"/>
  <c r="E248" i="15" a="1"/>
  <c r="E248" i="15" s="1"/>
  <c r="D248" i="15" a="1"/>
  <c r="D248" i="15" s="1"/>
  <c r="C248" i="15" a="1"/>
  <c r="C248" i="15" s="1"/>
  <c r="B248" i="15" a="1"/>
  <c r="B248" i="15" s="1"/>
  <c r="E247" i="15" a="1"/>
  <c r="E247" i="15" s="1"/>
  <c r="D247" i="15" a="1"/>
  <c r="D247" i="15" s="1"/>
  <c r="C247" i="15" a="1"/>
  <c r="C247" i="15" s="1"/>
  <c r="B247" i="15" a="1"/>
  <c r="B247" i="15" s="1"/>
  <c r="E246" i="15" a="1"/>
  <c r="E246" i="15" s="1"/>
  <c r="D246" i="15" a="1"/>
  <c r="D246" i="15" s="1"/>
  <c r="C246" i="15" a="1"/>
  <c r="C246" i="15" s="1"/>
  <c r="B246" i="15" a="1"/>
  <c r="B246" i="15" s="1"/>
  <c r="E245" i="15" a="1"/>
  <c r="E245" i="15" s="1"/>
  <c r="D245" i="15" a="1"/>
  <c r="D245" i="15" s="1"/>
  <c r="C245" i="15" a="1"/>
  <c r="C245" i="15" s="1"/>
  <c r="B245" i="15" a="1"/>
  <c r="B245" i="15" s="1"/>
  <c r="E244" i="15" a="1"/>
  <c r="E244" i="15" s="1"/>
  <c r="D244" i="15" a="1"/>
  <c r="D244" i="15" s="1"/>
  <c r="C244" i="15" a="1"/>
  <c r="C244" i="15" s="1"/>
  <c r="B244" i="15" a="1"/>
  <c r="B244" i="15" s="1"/>
  <c r="E243" i="15" a="1"/>
  <c r="E243" i="15" s="1"/>
  <c r="D243" i="15" a="1"/>
  <c r="D243" i="15" s="1"/>
  <c r="C243" i="15" a="1"/>
  <c r="C243" i="15" s="1"/>
  <c r="B243" i="15" a="1"/>
  <c r="B243" i="15" s="1"/>
  <c r="E242" i="15" a="1"/>
  <c r="E242" i="15" s="1"/>
  <c r="D242" i="15" a="1"/>
  <c r="D242" i="15" s="1"/>
  <c r="C242" i="15" a="1"/>
  <c r="C242" i="15" s="1"/>
  <c r="B242" i="15" a="1"/>
  <c r="B242" i="15" s="1"/>
  <c r="E241" i="15" a="1"/>
  <c r="E241" i="15" s="1"/>
  <c r="D241" i="15" a="1"/>
  <c r="D241" i="15" s="1"/>
  <c r="C241" i="15" a="1"/>
  <c r="C241" i="15" s="1"/>
  <c r="B241" i="15" a="1"/>
  <c r="B241" i="15" s="1"/>
  <c r="E240" i="15" a="1"/>
  <c r="E240" i="15" s="1"/>
  <c r="D240" i="15" a="1"/>
  <c r="D240" i="15" s="1"/>
  <c r="C240" i="15" a="1"/>
  <c r="C240" i="15" s="1"/>
  <c r="B240" i="15" a="1"/>
  <c r="B240" i="15" s="1"/>
  <c r="E239" i="15" a="1"/>
  <c r="E239" i="15" s="1"/>
  <c r="D239" i="15" a="1"/>
  <c r="D239" i="15" s="1"/>
  <c r="C239" i="15" a="1"/>
  <c r="C239" i="15" s="1"/>
  <c r="B239" i="15" a="1"/>
  <c r="B239" i="15" s="1"/>
  <c r="E238" i="15" a="1"/>
  <c r="E238" i="15" s="1"/>
  <c r="D238" i="15" a="1"/>
  <c r="D238" i="15" s="1"/>
  <c r="C238" i="15" a="1"/>
  <c r="C238" i="15" s="1"/>
  <c r="B238" i="15" a="1"/>
  <c r="B238" i="15" s="1"/>
  <c r="E237" i="15" a="1"/>
  <c r="E237" i="15" s="1"/>
  <c r="D237" i="15" a="1"/>
  <c r="D237" i="15" s="1"/>
  <c r="C237" i="15" a="1"/>
  <c r="C237" i="15" s="1"/>
  <c r="B237" i="15" a="1"/>
  <c r="B237" i="15" s="1"/>
  <c r="E236" i="15" a="1"/>
  <c r="E236" i="15" s="1"/>
  <c r="D236" i="15" a="1"/>
  <c r="D236" i="15" s="1"/>
  <c r="C236" i="15" a="1"/>
  <c r="C236" i="15" s="1"/>
  <c r="B236" i="15" a="1"/>
  <c r="B236" i="15" s="1"/>
  <c r="E235" i="15" a="1"/>
  <c r="E235" i="15" s="1"/>
  <c r="D235" i="15" a="1"/>
  <c r="D235" i="15" s="1"/>
  <c r="C235" i="15" a="1"/>
  <c r="C235" i="15" s="1"/>
  <c r="B235" i="15" a="1"/>
  <c r="B235" i="15" s="1"/>
  <c r="E234" i="15" a="1"/>
  <c r="E234" i="15" s="1"/>
  <c r="D234" i="15" a="1"/>
  <c r="D234" i="15" s="1"/>
  <c r="C234" i="15" a="1"/>
  <c r="C234" i="15" s="1"/>
  <c r="B234" i="15" a="1"/>
  <c r="B234" i="15" s="1"/>
  <c r="E233" i="15" a="1"/>
  <c r="E233" i="15" s="1"/>
  <c r="D233" i="15" a="1"/>
  <c r="D233" i="15" s="1"/>
  <c r="C233" i="15" a="1"/>
  <c r="C233" i="15" s="1"/>
  <c r="B233" i="15" a="1"/>
  <c r="B233" i="15" s="1"/>
  <c r="E232" i="15" a="1"/>
  <c r="E232" i="15" s="1"/>
  <c r="D232" i="15" a="1"/>
  <c r="D232" i="15" s="1"/>
  <c r="C232" i="15" a="1"/>
  <c r="C232" i="15" s="1"/>
  <c r="B232" i="15" a="1"/>
  <c r="B232" i="15" s="1"/>
  <c r="E231" i="15" a="1"/>
  <c r="E231" i="15" s="1"/>
  <c r="D231" i="15" a="1"/>
  <c r="D231" i="15" s="1"/>
  <c r="C231" i="15" a="1"/>
  <c r="C231" i="15" s="1"/>
  <c r="B231" i="15" a="1"/>
  <c r="B231" i="15" s="1"/>
  <c r="E230" i="15" a="1"/>
  <c r="E230" i="15" s="1"/>
  <c r="D230" i="15" a="1"/>
  <c r="D230" i="15" s="1"/>
  <c r="C230" i="15" a="1"/>
  <c r="C230" i="15" s="1"/>
  <c r="B230" i="15" a="1"/>
  <c r="B230" i="15" s="1"/>
  <c r="E229" i="15" a="1"/>
  <c r="E229" i="15" s="1"/>
  <c r="D229" i="15" a="1"/>
  <c r="D229" i="15" s="1"/>
  <c r="C229" i="15" a="1"/>
  <c r="C229" i="15" s="1"/>
  <c r="B229" i="15" a="1"/>
  <c r="B229" i="15" s="1"/>
  <c r="E228" i="15" a="1"/>
  <c r="E228" i="15" s="1"/>
  <c r="D228" i="15" a="1"/>
  <c r="D228" i="15" s="1"/>
  <c r="C228" i="15" a="1"/>
  <c r="C228" i="15" s="1"/>
  <c r="B228" i="15" a="1"/>
  <c r="B228" i="15" s="1"/>
  <c r="E227" i="15" a="1"/>
  <c r="E227" i="15" s="1"/>
  <c r="D227" i="15" a="1"/>
  <c r="D227" i="15" s="1"/>
  <c r="C227" i="15" a="1"/>
  <c r="C227" i="15" s="1"/>
  <c r="B227" i="15" a="1"/>
  <c r="B227" i="15" s="1"/>
  <c r="E226" i="15" a="1"/>
  <c r="E226" i="15" s="1"/>
  <c r="D226" i="15" a="1"/>
  <c r="D226" i="15" s="1"/>
  <c r="C226" i="15" a="1"/>
  <c r="C226" i="15" s="1"/>
  <c r="B226" i="15" a="1"/>
  <c r="B226" i="15" s="1"/>
  <c r="E225" i="15" a="1"/>
  <c r="E225" i="15" s="1"/>
  <c r="D225" i="15" a="1"/>
  <c r="D225" i="15" s="1"/>
  <c r="C225" i="15" a="1"/>
  <c r="C225" i="15" s="1"/>
  <c r="B225" i="15" a="1"/>
  <c r="B225" i="15" s="1"/>
  <c r="E224" i="15" a="1"/>
  <c r="E224" i="15" s="1"/>
  <c r="D224" i="15" a="1"/>
  <c r="D224" i="15" s="1"/>
  <c r="C224" i="15" a="1"/>
  <c r="C224" i="15" s="1"/>
  <c r="B224" i="15" a="1"/>
  <c r="B224" i="15" s="1"/>
  <c r="E223" i="15" a="1"/>
  <c r="E223" i="15" s="1"/>
  <c r="D223" i="15" a="1"/>
  <c r="D223" i="15" s="1"/>
  <c r="C223" i="15" a="1"/>
  <c r="C223" i="15" s="1"/>
  <c r="B223" i="15" a="1"/>
  <c r="B223" i="15" s="1"/>
  <c r="E222" i="15" a="1"/>
  <c r="E222" i="15" s="1"/>
  <c r="D222" i="15" a="1"/>
  <c r="D222" i="15" s="1"/>
  <c r="C222" i="15" a="1"/>
  <c r="C222" i="15" s="1"/>
  <c r="B222" i="15" a="1"/>
  <c r="B222" i="15" s="1"/>
  <c r="E221" i="15" a="1"/>
  <c r="E221" i="15" s="1"/>
  <c r="D221" i="15" a="1"/>
  <c r="D221" i="15" s="1"/>
  <c r="C221" i="15" a="1"/>
  <c r="C221" i="15" s="1"/>
  <c r="B221" i="15" a="1"/>
  <c r="B221" i="15" s="1"/>
  <c r="E220" i="15" a="1"/>
  <c r="E220" i="15" s="1"/>
  <c r="D220" i="15" a="1"/>
  <c r="D220" i="15" s="1"/>
  <c r="C220" i="15" a="1"/>
  <c r="C220" i="15" s="1"/>
  <c r="B220" i="15" a="1"/>
  <c r="B220" i="15" s="1"/>
  <c r="E219" i="15" a="1"/>
  <c r="E219" i="15" s="1"/>
  <c r="D219" i="15" a="1"/>
  <c r="D219" i="15" s="1"/>
  <c r="C219" i="15" a="1"/>
  <c r="C219" i="15" s="1"/>
  <c r="B219" i="15" a="1"/>
  <c r="B219" i="15" s="1"/>
  <c r="E218" i="15" a="1"/>
  <c r="E218" i="15" s="1"/>
  <c r="D218" i="15" a="1"/>
  <c r="D218" i="15" s="1"/>
  <c r="C218" i="15" a="1"/>
  <c r="C218" i="15" s="1"/>
  <c r="B218" i="15" a="1"/>
  <c r="B218" i="15" s="1"/>
  <c r="E217" i="15" a="1"/>
  <c r="E217" i="15" s="1"/>
  <c r="D217" i="15" a="1"/>
  <c r="D217" i="15" s="1"/>
  <c r="C217" i="15" a="1"/>
  <c r="C217" i="15" s="1"/>
  <c r="B217" i="15" a="1"/>
  <c r="B217" i="15" s="1"/>
  <c r="E216" i="15" a="1"/>
  <c r="E216" i="15" s="1"/>
  <c r="D216" i="15" a="1"/>
  <c r="D216" i="15" s="1"/>
  <c r="C216" i="15" a="1"/>
  <c r="C216" i="15" s="1"/>
  <c r="B216" i="15" a="1"/>
  <c r="B216" i="15" s="1"/>
  <c r="E215" i="15" a="1"/>
  <c r="E215" i="15" s="1"/>
  <c r="D215" i="15" a="1"/>
  <c r="D215" i="15" s="1"/>
  <c r="C215" i="15" a="1"/>
  <c r="C215" i="15" s="1"/>
  <c r="B215" i="15" a="1"/>
  <c r="B215" i="15" s="1"/>
  <c r="E214" i="15" a="1"/>
  <c r="E214" i="15" s="1"/>
  <c r="D214" i="15" a="1"/>
  <c r="D214" i="15" s="1"/>
  <c r="C214" i="15" a="1"/>
  <c r="C214" i="15" s="1"/>
  <c r="B214" i="15" a="1"/>
  <c r="B214" i="15" s="1"/>
  <c r="E213" i="15" a="1"/>
  <c r="E213" i="15" s="1"/>
  <c r="D213" i="15" a="1"/>
  <c r="D213" i="15" s="1"/>
  <c r="C213" i="15" a="1"/>
  <c r="C213" i="15" s="1"/>
  <c r="B213" i="15" a="1"/>
  <c r="B213" i="15" s="1"/>
  <c r="E212" i="15" a="1"/>
  <c r="E212" i="15" s="1"/>
  <c r="D212" i="15" a="1"/>
  <c r="D212" i="15" s="1"/>
  <c r="C212" i="15" a="1"/>
  <c r="C212" i="15" s="1"/>
  <c r="B212" i="15" a="1"/>
  <c r="B212" i="15" s="1"/>
  <c r="E211" i="15" a="1"/>
  <c r="E211" i="15" s="1"/>
  <c r="D211" i="15" a="1"/>
  <c r="D211" i="15" s="1"/>
  <c r="C211" i="15" a="1"/>
  <c r="C211" i="15" s="1"/>
  <c r="B211" i="15" a="1"/>
  <c r="B211" i="15" s="1"/>
  <c r="E210" i="15" a="1"/>
  <c r="E210" i="15" s="1"/>
  <c r="D210" i="15" a="1"/>
  <c r="D210" i="15" s="1"/>
  <c r="C210" i="15" a="1"/>
  <c r="C210" i="15" s="1"/>
  <c r="B210" i="15" a="1"/>
  <c r="B210" i="15" s="1"/>
  <c r="E209" i="15" a="1"/>
  <c r="E209" i="15" s="1"/>
  <c r="D209" i="15" a="1"/>
  <c r="D209" i="15" s="1"/>
  <c r="C209" i="15" a="1"/>
  <c r="C209" i="15" s="1"/>
  <c r="B209" i="15" a="1"/>
  <c r="B209" i="15" s="1"/>
  <c r="E208" i="15" a="1"/>
  <c r="E208" i="15" s="1"/>
  <c r="D208" i="15" a="1"/>
  <c r="D208" i="15" s="1"/>
  <c r="C208" i="15" a="1"/>
  <c r="C208" i="15" s="1"/>
  <c r="B208" i="15" a="1"/>
  <c r="B208" i="15" s="1"/>
  <c r="E207" i="15" a="1"/>
  <c r="E207" i="15" s="1"/>
  <c r="D207" i="15" a="1"/>
  <c r="D207" i="15" s="1"/>
  <c r="C207" i="15" a="1"/>
  <c r="C207" i="15" s="1"/>
  <c r="B207" i="15" a="1"/>
  <c r="B207" i="15" s="1"/>
  <c r="E206" i="15" a="1"/>
  <c r="E206" i="15" s="1"/>
  <c r="D206" i="15" a="1"/>
  <c r="D206" i="15" s="1"/>
  <c r="C206" i="15" a="1"/>
  <c r="C206" i="15" s="1"/>
  <c r="B206" i="15" a="1"/>
  <c r="B206" i="15" s="1"/>
  <c r="E205" i="15" a="1"/>
  <c r="E205" i="15" s="1"/>
  <c r="D205" i="15" a="1"/>
  <c r="D205" i="15" s="1"/>
  <c r="C205" i="15" a="1"/>
  <c r="C205" i="15" s="1"/>
  <c r="B205" i="15" a="1"/>
  <c r="B205" i="15" s="1"/>
  <c r="E204" i="15" a="1"/>
  <c r="E204" i="15" s="1"/>
  <c r="D204" i="15" a="1"/>
  <c r="D204" i="15" s="1"/>
  <c r="C204" i="15" a="1"/>
  <c r="C204" i="15" s="1"/>
  <c r="B204" i="15" a="1"/>
  <c r="B204" i="15" s="1"/>
  <c r="E203" i="15" a="1"/>
  <c r="E203" i="15" s="1"/>
  <c r="D203" i="15" a="1"/>
  <c r="D203" i="15" s="1"/>
  <c r="C203" i="15" a="1"/>
  <c r="C203" i="15" s="1"/>
  <c r="B203" i="15" a="1"/>
  <c r="B203" i="15" s="1"/>
  <c r="E202" i="15" a="1"/>
  <c r="E202" i="15" s="1"/>
  <c r="D202" i="15" a="1"/>
  <c r="D202" i="15" s="1"/>
  <c r="C202" i="15" a="1"/>
  <c r="C202" i="15" s="1"/>
  <c r="B202" i="15" a="1"/>
  <c r="B202" i="15" s="1"/>
  <c r="E201" i="15" a="1"/>
  <c r="E201" i="15" s="1"/>
  <c r="D201" i="15" a="1"/>
  <c r="D201" i="15" s="1"/>
  <c r="C201" i="15" a="1"/>
  <c r="C201" i="15" s="1"/>
  <c r="B201" i="15" a="1"/>
  <c r="B201" i="15" s="1"/>
  <c r="E200" i="15" a="1"/>
  <c r="E200" i="15" s="1"/>
  <c r="D200" i="15" a="1"/>
  <c r="D200" i="15" s="1"/>
  <c r="C200" i="15" a="1"/>
  <c r="C200" i="15" s="1"/>
  <c r="B200" i="15" a="1"/>
  <c r="B200" i="15" s="1"/>
  <c r="E199" i="15" a="1"/>
  <c r="E199" i="15" s="1"/>
  <c r="D199" i="15" a="1"/>
  <c r="D199" i="15" s="1"/>
  <c r="C199" i="15" a="1"/>
  <c r="C199" i="15" s="1"/>
  <c r="B199" i="15" a="1"/>
  <c r="B199" i="15" s="1"/>
  <c r="E198" i="15" a="1"/>
  <c r="E198" i="15" s="1"/>
  <c r="D198" i="15" a="1"/>
  <c r="D198" i="15" s="1"/>
  <c r="C198" i="15" a="1"/>
  <c r="C198" i="15" s="1"/>
  <c r="B198" i="15" a="1"/>
  <c r="B198" i="15" s="1"/>
  <c r="E197" i="15" a="1"/>
  <c r="E197" i="15" s="1"/>
  <c r="D197" i="15" a="1"/>
  <c r="D197" i="15" s="1"/>
  <c r="C197" i="15" a="1"/>
  <c r="C197" i="15" s="1"/>
  <c r="B197" i="15" a="1"/>
  <c r="B197" i="15" s="1"/>
  <c r="E196" i="15" a="1"/>
  <c r="E196" i="15" s="1"/>
  <c r="D196" i="15" a="1"/>
  <c r="D196" i="15" s="1"/>
  <c r="C196" i="15" a="1"/>
  <c r="C196" i="15" s="1"/>
  <c r="B196" i="15" a="1"/>
  <c r="B196" i="15" s="1"/>
  <c r="E195" i="15" a="1"/>
  <c r="E195" i="15" s="1"/>
  <c r="D195" i="15" a="1"/>
  <c r="D195" i="15" s="1"/>
  <c r="C195" i="15" a="1"/>
  <c r="C195" i="15" s="1"/>
  <c r="B195" i="15" a="1"/>
  <c r="B195" i="15" s="1"/>
  <c r="E194" i="15" a="1"/>
  <c r="E194" i="15" s="1"/>
  <c r="D194" i="15" a="1"/>
  <c r="D194" i="15" s="1"/>
  <c r="C194" i="15" a="1"/>
  <c r="C194" i="15" s="1"/>
  <c r="B194" i="15" a="1"/>
  <c r="B194" i="15" s="1"/>
  <c r="E193" i="15" a="1"/>
  <c r="E193" i="15" s="1"/>
  <c r="D193" i="15" a="1"/>
  <c r="D193" i="15" s="1"/>
  <c r="C193" i="15" a="1"/>
  <c r="C193" i="15" s="1"/>
  <c r="B193" i="15" a="1"/>
  <c r="B193" i="15" s="1"/>
  <c r="E192" i="15" a="1"/>
  <c r="E192" i="15" s="1"/>
  <c r="D192" i="15" a="1"/>
  <c r="D192" i="15" s="1"/>
  <c r="C192" i="15" a="1"/>
  <c r="C192" i="15" s="1"/>
  <c r="B192" i="15" a="1"/>
  <c r="B192" i="15" s="1"/>
  <c r="E191" i="15" a="1"/>
  <c r="E191" i="15" s="1"/>
  <c r="D191" i="15" a="1"/>
  <c r="D191" i="15" s="1"/>
  <c r="C191" i="15" a="1"/>
  <c r="C191" i="15" s="1"/>
  <c r="B191" i="15" a="1"/>
  <c r="B191" i="15" s="1"/>
  <c r="E190" i="15" a="1"/>
  <c r="E190" i="15" s="1"/>
  <c r="D190" i="15" a="1"/>
  <c r="D190" i="15" s="1"/>
  <c r="C190" i="15" a="1"/>
  <c r="C190" i="15" s="1"/>
  <c r="B190" i="15" a="1"/>
  <c r="B190" i="15" s="1"/>
  <c r="E189" i="15" a="1"/>
  <c r="E189" i="15" s="1"/>
  <c r="D189" i="15" a="1"/>
  <c r="D189" i="15" s="1"/>
  <c r="C189" i="15" a="1"/>
  <c r="C189" i="15" s="1"/>
  <c r="B189" i="15" a="1"/>
  <c r="B189" i="15" s="1"/>
  <c r="E188" i="15" a="1"/>
  <c r="E188" i="15" s="1"/>
  <c r="D188" i="15" a="1"/>
  <c r="D188" i="15" s="1"/>
  <c r="C188" i="15" a="1"/>
  <c r="C188" i="15" s="1"/>
  <c r="B188" i="15" a="1"/>
  <c r="B188" i="15" s="1"/>
  <c r="E187" i="15" a="1"/>
  <c r="E187" i="15" s="1"/>
  <c r="D187" i="15" a="1"/>
  <c r="D187" i="15" s="1"/>
  <c r="C187" i="15" a="1"/>
  <c r="C187" i="15" s="1"/>
  <c r="B187" i="15" a="1"/>
  <c r="B187" i="15" s="1"/>
  <c r="E186" i="15" a="1"/>
  <c r="E186" i="15" s="1"/>
  <c r="D186" i="15" a="1"/>
  <c r="D186" i="15" s="1"/>
  <c r="C186" i="15" a="1"/>
  <c r="C186" i="15" s="1"/>
  <c r="B186" i="15" a="1"/>
  <c r="B186" i="15" s="1"/>
  <c r="E185" i="15" a="1"/>
  <c r="E185" i="15" s="1"/>
  <c r="D185" i="15" a="1"/>
  <c r="D185" i="15" s="1"/>
  <c r="C185" i="15" a="1"/>
  <c r="C185" i="15" s="1"/>
  <c r="B185" i="15" a="1"/>
  <c r="B185" i="15" s="1"/>
  <c r="E184" i="15" a="1"/>
  <c r="E184" i="15" s="1"/>
  <c r="D184" i="15" a="1"/>
  <c r="D184" i="15" s="1"/>
  <c r="C184" i="15" a="1"/>
  <c r="C184" i="15" s="1"/>
  <c r="B184" i="15" a="1"/>
  <c r="B184" i="15" s="1"/>
  <c r="E183" i="15" a="1"/>
  <c r="E183" i="15" s="1"/>
  <c r="D183" i="15" a="1"/>
  <c r="D183" i="15" s="1"/>
  <c r="C183" i="15" a="1"/>
  <c r="C183" i="15" s="1"/>
  <c r="B183" i="15" a="1"/>
  <c r="B183" i="15" s="1"/>
  <c r="E182" i="15" a="1"/>
  <c r="E182" i="15" s="1"/>
  <c r="D182" i="15" a="1"/>
  <c r="D182" i="15" s="1"/>
  <c r="C182" i="15" a="1"/>
  <c r="C182" i="15" s="1"/>
  <c r="B182" i="15" a="1"/>
  <c r="B182" i="15" s="1"/>
  <c r="E181" i="15" a="1"/>
  <c r="E181" i="15" s="1"/>
  <c r="D181" i="15" a="1"/>
  <c r="D181" i="15" s="1"/>
  <c r="C181" i="15" a="1"/>
  <c r="C181" i="15" s="1"/>
  <c r="B181" i="15" a="1"/>
  <c r="B181" i="15" s="1"/>
  <c r="E180" i="15" a="1"/>
  <c r="E180" i="15" s="1"/>
  <c r="D180" i="15" a="1"/>
  <c r="D180" i="15" s="1"/>
  <c r="C180" i="15" a="1"/>
  <c r="C180" i="15" s="1"/>
  <c r="B180" i="15" a="1"/>
  <c r="B180" i="15" s="1"/>
  <c r="E179" i="15" a="1"/>
  <c r="E179" i="15" s="1"/>
  <c r="D179" i="15" a="1"/>
  <c r="D179" i="15" s="1"/>
  <c r="C179" i="15" a="1"/>
  <c r="C179" i="15" s="1"/>
  <c r="B179" i="15" a="1"/>
  <c r="B179" i="15" s="1"/>
  <c r="E178" i="15" a="1"/>
  <c r="E178" i="15" s="1"/>
  <c r="D178" i="15" a="1"/>
  <c r="D178" i="15" s="1"/>
  <c r="C178" i="15" a="1"/>
  <c r="C178" i="15" s="1"/>
  <c r="B178" i="15" a="1"/>
  <c r="B178" i="15" s="1"/>
  <c r="E177" i="15" a="1"/>
  <c r="E177" i="15" s="1"/>
  <c r="D177" i="15" a="1"/>
  <c r="D177" i="15" s="1"/>
  <c r="C177" i="15" a="1"/>
  <c r="C177" i="15" s="1"/>
  <c r="B177" i="15" a="1"/>
  <c r="B177" i="15" s="1"/>
  <c r="E176" i="15" a="1"/>
  <c r="E176" i="15" s="1"/>
  <c r="D176" i="15" a="1"/>
  <c r="D176" i="15" s="1"/>
  <c r="C176" i="15" a="1"/>
  <c r="C176" i="15" s="1"/>
  <c r="B176" i="15" a="1"/>
  <c r="B176" i="15" s="1"/>
  <c r="E175" i="15" a="1"/>
  <c r="E175" i="15" s="1"/>
  <c r="D175" i="15" a="1"/>
  <c r="D175" i="15" s="1"/>
  <c r="C175" i="15" a="1"/>
  <c r="C175" i="15" s="1"/>
  <c r="B175" i="15" a="1"/>
  <c r="B175" i="15" s="1"/>
  <c r="E174" i="15" a="1"/>
  <c r="E174" i="15" s="1"/>
  <c r="D174" i="15" a="1"/>
  <c r="D174" i="15" s="1"/>
  <c r="C174" i="15" a="1"/>
  <c r="C174" i="15" s="1"/>
  <c r="B174" i="15" a="1"/>
  <c r="B174" i="15" s="1"/>
  <c r="E173" i="15" a="1"/>
  <c r="E173" i="15" s="1"/>
  <c r="D173" i="15" a="1"/>
  <c r="D173" i="15" s="1"/>
  <c r="C173" i="15" a="1"/>
  <c r="C173" i="15" s="1"/>
  <c r="B173" i="15" a="1"/>
  <c r="B173" i="15" s="1"/>
  <c r="E172" i="15" a="1"/>
  <c r="E172" i="15" s="1"/>
  <c r="D172" i="15" a="1"/>
  <c r="D172" i="15" s="1"/>
  <c r="C172" i="15" a="1"/>
  <c r="C172" i="15" s="1"/>
  <c r="B172" i="15" a="1"/>
  <c r="B172" i="15" s="1"/>
  <c r="E171" i="15" a="1"/>
  <c r="E171" i="15" s="1"/>
  <c r="D171" i="15" a="1"/>
  <c r="D171" i="15" s="1"/>
  <c r="C171" i="15" a="1"/>
  <c r="C171" i="15" s="1"/>
  <c r="B171" i="15" a="1"/>
  <c r="B171" i="15" s="1"/>
  <c r="E170" i="15" a="1"/>
  <c r="E170" i="15" s="1"/>
  <c r="D170" i="15" a="1"/>
  <c r="D170" i="15" s="1"/>
  <c r="C170" i="15" a="1"/>
  <c r="C170" i="15" s="1"/>
  <c r="B170" i="15" a="1"/>
  <c r="B170" i="15" s="1"/>
  <c r="E169" i="15" a="1"/>
  <c r="E169" i="15" s="1"/>
  <c r="D169" i="15" a="1"/>
  <c r="D169" i="15" s="1"/>
  <c r="C169" i="15" a="1"/>
  <c r="C169" i="15" s="1"/>
  <c r="B169" i="15" a="1"/>
  <c r="B169" i="15" s="1"/>
  <c r="E168" i="15" a="1"/>
  <c r="E168" i="15" s="1"/>
  <c r="D168" i="15" a="1"/>
  <c r="D168" i="15" s="1"/>
  <c r="C168" i="15" a="1"/>
  <c r="C168" i="15" s="1"/>
  <c r="B168" i="15" a="1"/>
  <c r="B168" i="15" s="1"/>
  <c r="E167" i="15" a="1"/>
  <c r="E167" i="15" s="1"/>
  <c r="D167" i="15" a="1"/>
  <c r="D167" i="15" s="1"/>
  <c r="C167" i="15" a="1"/>
  <c r="C167" i="15" s="1"/>
  <c r="B167" i="15" a="1"/>
  <c r="B167" i="15" s="1"/>
  <c r="E166" i="15" a="1"/>
  <c r="E166" i="15" s="1"/>
  <c r="D166" i="15" a="1"/>
  <c r="D166" i="15" s="1"/>
  <c r="C166" i="15" a="1"/>
  <c r="C166" i="15" s="1"/>
  <c r="B166" i="15" a="1"/>
  <c r="B166" i="15" s="1"/>
  <c r="E165" i="15" a="1"/>
  <c r="E165" i="15" s="1"/>
  <c r="D165" i="15" a="1"/>
  <c r="D165" i="15" s="1"/>
  <c r="C165" i="15" a="1"/>
  <c r="C165" i="15" s="1"/>
  <c r="B165" i="15" a="1"/>
  <c r="B165" i="15" s="1"/>
  <c r="E164" i="15" a="1"/>
  <c r="E164" i="15" s="1"/>
  <c r="D164" i="15" a="1"/>
  <c r="D164" i="15" s="1"/>
  <c r="C164" i="15" a="1"/>
  <c r="C164" i="15" s="1"/>
  <c r="B164" i="15" a="1"/>
  <c r="B164" i="15" s="1"/>
  <c r="E163" i="15" a="1"/>
  <c r="E163" i="15" s="1"/>
  <c r="D163" i="15" a="1"/>
  <c r="D163" i="15" s="1"/>
  <c r="C163" i="15" a="1"/>
  <c r="C163" i="15" s="1"/>
  <c r="B163" i="15" a="1"/>
  <c r="B163" i="15" s="1"/>
  <c r="E162" i="15" a="1"/>
  <c r="E162" i="15" s="1"/>
  <c r="D162" i="15" a="1"/>
  <c r="D162" i="15" s="1"/>
  <c r="C162" i="15" a="1"/>
  <c r="C162" i="15" s="1"/>
  <c r="B162" i="15" a="1"/>
  <c r="B162" i="15" s="1"/>
  <c r="E161" i="15" a="1"/>
  <c r="E161" i="15" s="1"/>
  <c r="D161" i="15" a="1"/>
  <c r="D161" i="15" s="1"/>
  <c r="C161" i="15" a="1"/>
  <c r="C161" i="15" s="1"/>
  <c r="B161" i="15" a="1"/>
  <c r="B161" i="15" s="1"/>
  <c r="E160" i="15" a="1"/>
  <c r="E160" i="15" s="1"/>
  <c r="D160" i="15" a="1"/>
  <c r="D160" i="15" s="1"/>
  <c r="C160" i="15" a="1"/>
  <c r="C160" i="15" s="1"/>
  <c r="B160" i="15" a="1"/>
  <c r="B160" i="15" s="1"/>
  <c r="E159" i="15" a="1"/>
  <c r="E159" i="15" s="1"/>
  <c r="D159" i="15" a="1"/>
  <c r="D159" i="15" s="1"/>
  <c r="C159" i="15" a="1"/>
  <c r="C159" i="15" s="1"/>
  <c r="B159" i="15" a="1"/>
  <c r="B159" i="15" s="1"/>
  <c r="E158" i="15" a="1"/>
  <c r="E158" i="15" s="1"/>
  <c r="D158" i="15" a="1"/>
  <c r="D158" i="15" s="1"/>
  <c r="C158" i="15" a="1"/>
  <c r="C158" i="15" s="1"/>
  <c r="B158" i="15" a="1"/>
  <c r="B158" i="15" s="1"/>
  <c r="E157" i="15" a="1"/>
  <c r="E157" i="15" s="1"/>
  <c r="D157" i="15" a="1"/>
  <c r="D157" i="15" s="1"/>
  <c r="C157" i="15" a="1"/>
  <c r="C157" i="15" s="1"/>
  <c r="B157" i="15" a="1"/>
  <c r="B157" i="15" s="1"/>
  <c r="E156" i="15" a="1"/>
  <c r="E156" i="15" s="1"/>
  <c r="D156" i="15" a="1"/>
  <c r="D156" i="15" s="1"/>
  <c r="C156" i="15" a="1"/>
  <c r="C156" i="15" s="1"/>
  <c r="B156" i="15" a="1"/>
  <c r="B156" i="15" s="1"/>
  <c r="E155" i="15" a="1"/>
  <c r="E155" i="15" s="1"/>
  <c r="D155" i="15" a="1"/>
  <c r="D155" i="15" s="1"/>
  <c r="C155" i="15" a="1"/>
  <c r="C155" i="15" s="1"/>
  <c r="B155" i="15" a="1"/>
  <c r="B155" i="15" s="1"/>
  <c r="E154" i="15" a="1"/>
  <c r="E154" i="15" s="1"/>
  <c r="D154" i="15" a="1"/>
  <c r="D154" i="15" s="1"/>
  <c r="C154" i="15" a="1"/>
  <c r="C154" i="15" s="1"/>
  <c r="B154" i="15" a="1"/>
  <c r="B154" i="15" s="1"/>
  <c r="E153" i="15" a="1"/>
  <c r="E153" i="15" s="1"/>
  <c r="D153" i="15" a="1"/>
  <c r="D153" i="15" s="1"/>
  <c r="C153" i="15" a="1"/>
  <c r="C153" i="15" s="1"/>
  <c r="B153" i="15" a="1"/>
  <c r="B153" i="15" s="1"/>
  <c r="E152" i="15" a="1"/>
  <c r="E152" i="15" s="1"/>
  <c r="D152" i="15" a="1"/>
  <c r="D152" i="15" s="1"/>
  <c r="C152" i="15" a="1"/>
  <c r="C152" i="15" s="1"/>
  <c r="B152" i="15" a="1"/>
  <c r="B152" i="15" s="1"/>
  <c r="E151" i="15" a="1"/>
  <c r="E151" i="15" s="1"/>
  <c r="D151" i="15" a="1"/>
  <c r="D151" i="15" s="1"/>
  <c r="C151" i="15" a="1"/>
  <c r="C151" i="15" s="1"/>
  <c r="B151" i="15" a="1"/>
  <c r="B151" i="15" s="1"/>
  <c r="E150" i="15" a="1"/>
  <c r="E150" i="15" s="1"/>
  <c r="D150" i="15" a="1"/>
  <c r="D150" i="15" s="1"/>
  <c r="C150" i="15" a="1"/>
  <c r="C150" i="15" s="1"/>
  <c r="B150" i="15" a="1"/>
  <c r="B150" i="15" s="1"/>
  <c r="E149" i="15" a="1"/>
  <c r="E149" i="15" s="1"/>
  <c r="D149" i="15" a="1"/>
  <c r="D149" i="15" s="1"/>
  <c r="C149" i="15" a="1"/>
  <c r="C149" i="15" s="1"/>
  <c r="B149" i="15" a="1"/>
  <c r="B149" i="15" s="1"/>
  <c r="E148" i="15" a="1"/>
  <c r="E148" i="15" s="1"/>
  <c r="D148" i="15" a="1"/>
  <c r="D148" i="15" s="1"/>
  <c r="C148" i="15" a="1"/>
  <c r="C148" i="15" s="1"/>
  <c r="B148" i="15" a="1"/>
  <c r="B148" i="15" s="1"/>
  <c r="E147" i="15" a="1"/>
  <c r="E147" i="15" s="1"/>
  <c r="D147" i="15" a="1"/>
  <c r="D147" i="15" s="1"/>
  <c r="C147" i="15" a="1"/>
  <c r="C147" i="15" s="1"/>
  <c r="B147" i="15" a="1"/>
  <c r="B147" i="15" s="1"/>
  <c r="E146" i="15" a="1"/>
  <c r="E146" i="15" s="1"/>
  <c r="D146" i="15" a="1"/>
  <c r="D146" i="15" s="1"/>
  <c r="C146" i="15" a="1"/>
  <c r="C146" i="15" s="1"/>
  <c r="B146" i="15" a="1"/>
  <c r="B146" i="15" s="1"/>
  <c r="E145" i="15" a="1"/>
  <c r="E145" i="15" s="1"/>
  <c r="D145" i="15" a="1"/>
  <c r="D145" i="15" s="1"/>
  <c r="C145" i="15" a="1"/>
  <c r="C145" i="15" s="1"/>
  <c r="B145" i="15" a="1"/>
  <c r="B145" i="15" s="1"/>
  <c r="E144" i="15" a="1"/>
  <c r="E144" i="15" s="1"/>
  <c r="D144" i="15" a="1"/>
  <c r="D144" i="15" s="1"/>
  <c r="C144" i="15" a="1"/>
  <c r="C144" i="15" s="1"/>
  <c r="B144" i="15" a="1"/>
  <c r="B144" i="15" s="1"/>
  <c r="E143" i="15" a="1"/>
  <c r="E143" i="15" s="1"/>
  <c r="D143" i="15" a="1"/>
  <c r="D143" i="15" s="1"/>
  <c r="C143" i="15" a="1"/>
  <c r="C143" i="15" s="1"/>
  <c r="B143" i="15" a="1"/>
  <c r="B143" i="15" s="1"/>
  <c r="E142" i="15" a="1"/>
  <c r="E142" i="15" s="1"/>
  <c r="D142" i="15" a="1"/>
  <c r="D142" i="15" s="1"/>
  <c r="C142" i="15" a="1"/>
  <c r="C142" i="15" s="1"/>
  <c r="B142" i="15" a="1"/>
  <c r="B142" i="15" s="1"/>
  <c r="E141" i="15" a="1"/>
  <c r="E141" i="15" s="1"/>
  <c r="D141" i="15" a="1"/>
  <c r="D141" i="15" s="1"/>
  <c r="C141" i="15" a="1"/>
  <c r="C141" i="15" s="1"/>
  <c r="B141" i="15" a="1"/>
  <c r="B141" i="15" s="1"/>
  <c r="E140" i="15" a="1"/>
  <c r="E140" i="15" s="1"/>
  <c r="D140" i="15" a="1"/>
  <c r="D140" i="15" s="1"/>
  <c r="C140" i="15" a="1"/>
  <c r="C140" i="15" s="1"/>
  <c r="B140" i="15" a="1"/>
  <c r="B140" i="15" s="1"/>
  <c r="E139" i="15" a="1"/>
  <c r="E139" i="15" s="1"/>
  <c r="D139" i="15" a="1"/>
  <c r="D139" i="15" s="1"/>
  <c r="C139" i="15" a="1"/>
  <c r="C139" i="15" s="1"/>
  <c r="B139" i="15" a="1"/>
  <c r="B139" i="15" s="1"/>
  <c r="E138" i="15" a="1"/>
  <c r="E138" i="15" s="1"/>
  <c r="D138" i="15" a="1"/>
  <c r="D138" i="15" s="1"/>
  <c r="C138" i="15" a="1"/>
  <c r="C138" i="15" s="1"/>
  <c r="B138" i="15" a="1"/>
  <c r="B138" i="15" s="1"/>
  <c r="E137" i="15" a="1"/>
  <c r="E137" i="15" s="1"/>
  <c r="D137" i="15" a="1"/>
  <c r="D137" i="15" s="1"/>
  <c r="C137" i="15" a="1"/>
  <c r="C137" i="15" s="1"/>
  <c r="B137" i="15" a="1"/>
  <c r="B137" i="15" s="1"/>
  <c r="E136" i="15" a="1"/>
  <c r="E136" i="15" s="1"/>
  <c r="D136" i="15" a="1"/>
  <c r="D136" i="15" s="1"/>
  <c r="C136" i="15" a="1"/>
  <c r="C136" i="15" s="1"/>
  <c r="B136" i="15" a="1"/>
  <c r="B136" i="15" s="1"/>
  <c r="E135" i="15" a="1"/>
  <c r="E135" i="15" s="1"/>
  <c r="D135" i="15" a="1"/>
  <c r="D135" i="15" s="1"/>
  <c r="C135" i="15" a="1"/>
  <c r="C135" i="15" s="1"/>
  <c r="B135" i="15" a="1"/>
  <c r="B135" i="15" s="1"/>
  <c r="E134" i="15" a="1"/>
  <c r="E134" i="15" s="1"/>
  <c r="D134" i="15" a="1"/>
  <c r="D134" i="15" s="1"/>
  <c r="C134" i="15" a="1"/>
  <c r="C134" i="15" s="1"/>
  <c r="B134" i="15" a="1"/>
  <c r="B134" i="15" s="1"/>
  <c r="E133" i="15" a="1"/>
  <c r="E133" i="15" s="1"/>
  <c r="D133" i="15" a="1"/>
  <c r="D133" i="15" s="1"/>
  <c r="C133" i="15" a="1"/>
  <c r="C133" i="15" s="1"/>
  <c r="B133" i="15" a="1"/>
  <c r="B133" i="15" s="1"/>
  <c r="E132" i="15" a="1"/>
  <c r="E132" i="15" s="1"/>
  <c r="D132" i="15" a="1"/>
  <c r="D132" i="15" s="1"/>
  <c r="C132" i="15" a="1"/>
  <c r="C132" i="15" s="1"/>
  <c r="B132" i="15" a="1"/>
  <c r="B132" i="15" s="1"/>
  <c r="E131" i="15" a="1"/>
  <c r="E131" i="15" s="1"/>
  <c r="D131" i="15" a="1"/>
  <c r="D131" i="15" s="1"/>
  <c r="C131" i="15" a="1"/>
  <c r="C131" i="15" s="1"/>
  <c r="B131" i="15" a="1"/>
  <c r="B131" i="15" s="1"/>
  <c r="E130" i="15" a="1"/>
  <c r="E130" i="15" s="1"/>
  <c r="D130" i="15" a="1"/>
  <c r="D130" i="15" s="1"/>
  <c r="C130" i="15" a="1"/>
  <c r="C130" i="15" s="1"/>
  <c r="B130" i="15" a="1"/>
  <c r="B130" i="15" s="1"/>
  <c r="E129" i="15" a="1"/>
  <c r="E129" i="15" s="1"/>
  <c r="D129" i="15" a="1"/>
  <c r="D129" i="15" s="1"/>
  <c r="C129" i="15" a="1"/>
  <c r="C129" i="15" s="1"/>
  <c r="B129" i="15" a="1"/>
  <c r="B129" i="15" s="1"/>
  <c r="E128" i="15" a="1"/>
  <c r="E128" i="15" s="1"/>
  <c r="D128" i="15" a="1"/>
  <c r="D128" i="15" s="1"/>
  <c r="C128" i="15" a="1"/>
  <c r="C128" i="15" s="1"/>
  <c r="B128" i="15" a="1"/>
  <c r="B128" i="15" s="1"/>
  <c r="E127" i="15" a="1"/>
  <c r="E127" i="15" s="1"/>
  <c r="D127" i="15" a="1"/>
  <c r="D127" i="15" s="1"/>
  <c r="C127" i="15" a="1"/>
  <c r="C127" i="15" s="1"/>
  <c r="B127" i="15" a="1"/>
  <c r="B127" i="15" s="1"/>
  <c r="E126" i="15" a="1"/>
  <c r="E126" i="15" s="1"/>
  <c r="D126" i="15" a="1"/>
  <c r="D126" i="15" s="1"/>
  <c r="C126" i="15" a="1"/>
  <c r="C126" i="15" s="1"/>
  <c r="B126" i="15" a="1"/>
  <c r="B126" i="15" s="1"/>
  <c r="E125" i="15" a="1"/>
  <c r="E125" i="15" s="1"/>
  <c r="D125" i="15" a="1"/>
  <c r="D125" i="15" s="1"/>
  <c r="C125" i="15" a="1"/>
  <c r="C125" i="15" s="1"/>
  <c r="B125" i="15" a="1"/>
  <c r="B125" i="15" s="1"/>
  <c r="E124" i="15" a="1"/>
  <c r="E124" i="15" s="1"/>
  <c r="D124" i="15" a="1"/>
  <c r="D124" i="15" s="1"/>
  <c r="C124" i="15" a="1"/>
  <c r="C124" i="15" s="1"/>
  <c r="B124" i="15" a="1"/>
  <c r="B124" i="15" s="1"/>
  <c r="E123" i="15" a="1"/>
  <c r="E123" i="15" s="1"/>
  <c r="D123" i="15" a="1"/>
  <c r="D123" i="15" s="1"/>
  <c r="C123" i="15" a="1"/>
  <c r="C123" i="15" s="1"/>
  <c r="B123" i="15" a="1"/>
  <c r="B123" i="15" s="1"/>
  <c r="E122" i="15" a="1"/>
  <c r="E122" i="15" s="1"/>
  <c r="D122" i="15" a="1"/>
  <c r="D122" i="15" s="1"/>
  <c r="C122" i="15" a="1"/>
  <c r="C122" i="15" s="1"/>
  <c r="B122" i="15" a="1"/>
  <c r="B122" i="15" s="1"/>
  <c r="E121" i="15" a="1"/>
  <c r="E121" i="15" s="1"/>
  <c r="D121" i="15" a="1"/>
  <c r="D121" i="15" s="1"/>
  <c r="C121" i="15" a="1"/>
  <c r="C121" i="15" s="1"/>
  <c r="B121" i="15" a="1"/>
  <c r="B121" i="15" s="1"/>
  <c r="E120" i="15" a="1"/>
  <c r="E120" i="15" s="1"/>
  <c r="D120" i="15" a="1"/>
  <c r="D120" i="15" s="1"/>
  <c r="C120" i="15" a="1"/>
  <c r="C120" i="15" s="1"/>
  <c r="B120" i="15" a="1"/>
  <c r="B120" i="15" s="1"/>
  <c r="E119" i="15" a="1"/>
  <c r="E119" i="15" s="1"/>
  <c r="D119" i="15" a="1"/>
  <c r="D119" i="15" s="1"/>
  <c r="C119" i="15" a="1"/>
  <c r="C119" i="15" s="1"/>
  <c r="B119" i="15" a="1"/>
  <c r="B119" i="15" s="1"/>
  <c r="E118" i="15" a="1"/>
  <c r="E118" i="15" s="1"/>
  <c r="D118" i="15" a="1"/>
  <c r="D118" i="15" s="1"/>
  <c r="C118" i="15" a="1"/>
  <c r="C118" i="15" s="1"/>
  <c r="B118" i="15" a="1"/>
  <c r="B118" i="15" s="1"/>
  <c r="E117" i="15" a="1"/>
  <c r="E117" i="15" s="1"/>
  <c r="D117" i="15" a="1"/>
  <c r="D117" i="15" s="1"/>
  <c r="C117" i="15" a="1"/>
  <c r="C117" i="15" s="1"/>
  <c r="B117" i="15" a="1"/>
  <c r="B117" i="15" s="1"/>
  <c r="E116" i="15" a="1"/>
  <c r="E116" i="15" s="1"/>
  <c r="D116" i="15" a="1"/>
  <c r="D116" i="15" s="1"/>
  <c r="C116" i="15" a="1"/>
  <c r="C116" i="15" s="1"/>
  <c r="B116" i="15" a="1"/>
  <c r="B116" i="15" s="1"/>
  <c r="E115" i="15" a="1"/>
  <c r="E115" i="15" s="1"/>
  <c r="D115" i="15" a="1"/>
  <c r="D115" i="15" s="1"/>
  <c r="C115" i="15" a="1"/>
  <c r="C115" i="15" s="1"/>
  <c r="B115" i="15" a="1"/>
  <c r="B115" i="15" s="1"/>
  <c r="E114" i="15" a="1"/>
  <c r="E114" i="15" s="1"/>
  <c r="D114" i="15" a="1"/>
  <c r="D114" i="15" s="1"/>
  <c r="C114" i="15" a="1"/>
  <c r="C114" i="15" s="1"/>
  <c r="B114" i="15" a="1"/>
  <c r="B114" i="15" s="1"/>
  <c r="E113" i="15" a="1"/>
  <c r="E113" i="15" s="1"/>
  <c r="D113" i="15" a="1"/>
  <c r="D113" i="15" s="1"/>
  <c r="C113" i="15" a="1"/>
  <c r="C113" i="15" s="1"/>
  <c r="B113" i="15" a="1"/>
  <c r="B113" i="15" s="1"/>
  <c r="E112" i="15" a="1"/>
  <c r="E112" i="15" s="1"/>
  <c r="D112" i="15" a="1"/>
  <c r="D112" i="15" s="1"/>
  <c r="C112" i="15" a="1"/>
  <c r="C112" i="15" s="1"/>
  <c r="B112" i="15" a="1"/>
  <c r="B112" i="15" s="1"/>
  <c r="E111" i="15" a="1"/>
  <c r="E111" i="15" s="1"/>
  <c r="D111" i="15" a="1"/>
  <c r="D111" i="15" s="1"/>
  <c r="C111" i="15" a="1"/>
  <c r="C111" i="15" s="1"/>
  <c r="B111" i="15" a="1"/>
  <c r="B111" i="15" s="1"/>
  <c r="E110" i="15" a="1"/>
  <c r="E110" i="15" s="1"/>
  <c r="D110" i="15" a="1"/>
  <c r="D110" i="15" s="1"/>
  <c r="C110" i="15" a="1"/>
  <c r="C110" i="15" s="1"/>
  <c r="B110" i="15" a="1"/>
  <c r="B110" i="15" s="1"/>
  <c r="E109" i="15" a="1"/>
  <c r="E109" i="15" s="1"/>
  <c r="D109" i="15" a="1"/>
  <c r="D109" i="15" s="1"/>
  <c r="C109" i="15" a="1"/>
  <c r="C109" i="15" s="1"/>
  <c r="B109" i="15" a="1"/>
  <c r="B109" i="15" s="1"/>
  <c r="E108" i="15" a="1"/>
  <c r="E108" i="15" s="1"/>
  <c r="D108" i="15" a="1"/>
  <c r="D108" i="15" s="1"/>
  <c r="C108" i="15" a="1"/>
  <c r="C108" i="15" s="1"/>
  <c r="B108" i="15" a="1"/>
  <c r="B108" i="15" s="1"/>
  <c r="E107" i="15" a="1"/>
  <c r="E107" i="15" s="1"/>
  <c r="D107" i="15" a="1"/>
  <c r="D107" i="15" s="1"/>
  <c r="C107" i="15" a="1"/>
  <c r="C107" i="15" s="1"/>
  <c r="B107" i="15" a="1"/>
  <c r="B107" i="15" s="1"/>
  <c r="E106" i="15" a="1"/>
  <c r="E106" i="15" s="1"/>
  <c r="D106" i="15" a="1"/>
  <c r="D106" i="15" s="1"/>
  <c r="C106" i="15" a="1"/>
  <c r="C106" i="15" s="1"/>
  <c r="B106" i="15" a="1"/>
  <c r="B106" i="15" s="1"/>
  <c r="E105" i="15" a="1"/>
  <c r="E105" i="15" s="1"/>
  <c r="D105" i="15" a="1"/>
  <c r="D105" i="15" s="1"/>
  <c r="C105" i="15" a="1"/>
  <c r="C105" i="15" s="1"/>
  <c r="B105" i="15" a="1"/>
  <c r="B105" i="15" s="1"/>
  <c r="E104" i="15" a="1"/>
  <c r="E104" i="15" s="1"/>
  <c r="D104" i="15" a="1"/>
  <c r="D104" i="15" s="1"/>
  <c r="C104" i="15" a="1"/>
  <c r="C104" i="15" s="1"/>
  <c r="B104" i="15" a="1"/>
  <c r="B104" i="15" s="1"/>
  <c r="E103" i="15" a="1"/>
  <c r="E103" i="15" s="1"/>
  <c r="D103" i="15" a="1"/>
  <c r="D103" i="15" s="1"/>
  <c r="C103" i="15" a="1"/>
  <c r="C103" i="15" s="1"/>
  <c r="B103" i="15" a="1"/>
  <c r="B103" i="15" s="1"/>
  <c r="E102" i="15" a="1"/>
  <c r="E102" i="15" s="1"/>
  <c r="D102" i="15" a="1"/>
  <c r="D102" i="15" s="1"/>
  <c r="C102" i="15" a="1"/>
  <c r="C102" i="15" s="1"/>
  <c r="B102" i="15" a="1"/>
  <c r="B102" i="15" s="1"/>
  <c r="E101" i="15" a="1"/>
  <c r="E101" i="15" s="1"/>
  <c r="D101" i="15" a="1"/>
  <c r="D101" i="15" s="1"/>
  <c r="C101" i="15" a="1"/>
  <c r="C101" i="15" s="1"/>
  <c r="B101" i="15" a="1"/>
  <c r="B101" i="15" s="1"/>
  <c r="E100" i="15" a="1"/>
  <c r="E100" i="15" s="1"/>
  <c r="D100" i="15" a="1"/>
  <c r="D100" i="15" s="1"/>
  <c r="C100" i="15" a="1"/>
  <c r="C100" i="15" s="1"/>
  <c r="B100" i="15" a="1"/>
  <c r="B100" i="15" s="1"/>
  <c r="E99" i="15" a="1"/>
  <c r="E99" i="15" s="1"/>
  <c r="D99" i="15" a="1"/>
  <c r="D99" i="15" s="1"/>
  <c r="C99" i="15" a="1"/>
  <c r="C99" i="15" s="1"/>
  <c r="B99" i="15" a="1"/>
  <c r="B99" i="15" s="1"/>
  <c r="E98" i="15" a="1"/>
  <c r="E98" i="15" s="1"/>
  <c r="D98" i="15" a="1"/>
  <c r="D98" i="15" s="1"/>
  <c r="C98" i="15" a="1"/>
  <c r="C98" i="15" s="1"/>
  <c r="B98" i="15" a="1"/>
  <c r="B98" i="15" s="1"/>
  <c r="E97" i="15" a="1"/>
  <c r="E97" i="15" s="1"/>
  <c r="D97" i="15" a="1"/>
  <c r="D97" i="15" s="1"/>
  <c r="C97" i="15" a="1"/>
  <c r="C97" i="15" s="1"/>
  <c r="B97" i="15" a="1"/>
  <c r="B97" i="15" s="1"/>
  <c r="E96" i="15" a="1"/>
  <c r="E96" i="15" s="1"/>
  <c r="D96" i="15" a="1"/>
  <c r="D96" i="15" s="1"/>
  <c r="C96" i="15" a="1"/>
  <c r="C96" i="15" s="1"/>
  <c r="B96" i="15" a="1"/>
  <c r="B96" i="15" s="1"/>
  <c r="E95" i="15" a="1"/>
  <c r="E95" i="15" s="1"/>
  <c r="D95" i="15" a="1"/>
  <c r="D95" i="15" s="1"/>
  <c r="C95" i="15" a="1"/>
  <c r="C95" i="15" s="1"/>
  <c r="B95" i="15" a="1"/>
  <c r="B95" i="15" s="1"/>
  <c r="E94" i="15" a="1"/>
  <c r="E94" i="15" s="1"/>
  <c r="D94" i="15" a="1"/>
  <c r="D94" i="15" s="1"/>
  <c r="C94" i="15" a="1"/>
  <c r="C94" i="15" s="1"/>
  <c r="B94" i="15" a="1"/>
  <c r="B94" i="15" s="1"/>
  <c r="E93" i="15" a="1"/>
  <c r="E93" i="15" s="1"/>
  <c r="D93" i="15" a="1"/>
  <c r="D93" i="15" s="1"/>
  <c r="C93" i="15" a="1"/>
  <c r="C93" i="15" s="1"/>
  <c r="B93" i="15" a="1"/>
  <c r="B93" i="15" s="1"/>
  <c r="E92" i="15" a="1"/>
  <c r="E92" i="15" s="1"/>
  <c r="D92" i="15" a="1"/>
  <c r="D92" i="15" s="1"/>
  <c r="C92" i="15" a="1"/>
  <c r="C92" i="15" s="1"/>
  <c r="B92" i="15" a="1"/>
  <c r="B92" i="15" s="1"/>
  <c r="E91" i="15" a="1"/>
  <c r="E91" i="15" s="1"/>
  <c r="D91" i="15" a="1"/>
  <c r="D91" i="15" s="1"/>
  <c r="C91" i="15" a="1"/>
  <c r="C91" i="15" s="1"/>
  <c r="B91" i="15" a="1"/>
  <c r="B91" i="15" s="1"/>
  <c r="E90" i="15" a="1"/>
  <c r="E90" i="15" s="1"/>
  <c r="D90" i="15" a="1"/>
  <c r="D90" i="15" s="1"/>
  <c r="C90" i="15" a="1"/>
  <c r="C90" i="15" s="1"/>
  <c r="B90" i="15" a="1"/>
  <c r="B90" i="15" s="1"/>
  <c r="E89" i="15" a="1"/>
  <c r="E89" i="15" s="1"/>
  <c r="D89" i="15" a="1"/>
  <c r="D89" i="15" s="1"/>
  <c r="C89" i="15" a="1"/>
  <c r="C89" i="15" s="1"/>
  <c r="B89" i="15" a="1"/>
  <c r="B89" i="15" s="1"/>
  <c r="E88" i="15" a="1"/>
  <c r="E88" i="15" s="1"/>
  <c r="D88" i="15" a="1"/>
  <c r="D88" i="15" s="1"/>
  <c r="C88" i="15" a="1"/>
  <c r="C88" i="15" s="1"/>
  <c r="B88" i="15" a="1"/>
  <c r="B88" i="15" s="1"/>
  <c r="E87" i="15" a="1"/>
  <c r="E87" i="15" s="1"/>
  <c r="D87" i="15" a="1"/>
  <c r="D87" i="15" s="1"/>
  <c r="C87" i="15" a="1"/>
  <c r="C87" i="15" s="1"/>
  <c r="B87" i="15" a="1"/>
  <c r="B87" i="15" s="1"/>
  <c r="E86" i="15" a="1"/>
  <c r="E86" i="15" s="1"/>
  <c r="D86" i="15" a="1"/>
  <c r="D86" i="15" s="1"/>
  <c r="C86" i="15" a="1"/>
  <c r="C86" i="15" s="1"/>
  <c r="B86" i="15" a="1"/>
  <c r="B86" i="15" s="1"/>
  <c r="E85" i="15" a="1"/>
  <c r="E85" i="15" s="1"/>
  <c r="D85" i="15" a="1"/>
  <c r="D85" i="15" s="1"/>
  <c r="C85" i="15" a="1"/>
  <c r="C85" i="15" s="1"/>
  <c r="B85" i="15" a="1"/>
  <c r="B85" i="15" s="1"/>
  <c r="E84" i="15" a="1"/>
  <c r="E84" i="15" s="1"/>
  <c r="D84" i="15" a="1"/>
  <c r="D84" i="15" s="1"/>
  <c r="C84" i="15" a="1"/>
  <c r="C84" i="15" s="1"/>
  <c r="B84" i="15" a="1"/>
  <c r="B84" i="15" s="1"/>
  <c r="E83" i="15" a="1"/>
  <c r="E83" i="15" s="1"/>
  <c r="D83" i="15" a="1"/>
  <c r="D83" i="15" s="1"/>
  <c r="C83" i="15" a="1"/>
  <c r="C83" i="15" s="1"/>
  <c r="B83" i="15" a="1"/>
  <c r="B83" i="15" s="1"/>
  <c r="E82" i="15" a="1"/>
  <c r="E82" i="15" s="1"/>
  <c r="D82" i="15" a="1"/>
  <c r="D82" i="15" s="1"/>
  <c r="C82" i="15" a="1"/>
  <c r="C82" i="15" s="1"/>
  <c r="B82" i="15" a="1"/>
  <c r="B82" i="15" s="1"/>
  <c r="E81" i="15" a="1"/>
  <c r="E81" i="15" s="1"/>
  <c r="D81" i="15" a="1"/>
  <c r="D81" i="15" s="1"/>
  <c r="C81" i="15" a="1"/>
  <c r="C81" i="15" s="1"/>
  <c r="B81" i="15" a="1"/>
  <c r="B81" i="15" s="1"/>
  <c r="E80" i="15" a="1"/>
  <c r="E80" i="15" s="1"/>
  <c r="D80" i="15" a="1"/>
  <c r="D80" i="15" s="1"/>
  <c r="C80" i="15" a="1"/>
  <c r="C80" i="15" s="1"/>
  <c r="B80" i="15" a="1"/>
  <c r="B80" i="15" s="1"/>
  <c r="E79" i="15" a="1"/>
  <c r="E79" i="15" s="1"/>
  <c r="D79" i="15" a="1"/>
  <c r="D79" i="15" s="1"/>
  <c r="C79" i="15" a="1"/>
  <c r="C79" i="15" s="1"/>
  <c r="B79" i="15" a="1"/>
  <c r="B79" i="15" s="1"/>
  <c r="E78" i="15" a="1"/>
  <c r="E78" i="15" s="1"/>
  <c r="D78" i="15" a="1"/>
  <c r="D78" i="15" s="1"/>
  <c r="C78" i="15" a="1"/>
  <c r="C78" i="15" s="1"/>
  <c r="B78" i="15" a="1"/>
  <c r="B78" i="15" s="1"/>
  <c r="E77" i="15" a="1"/>
  <c r="E77" i="15" s="1"/>
  <c r="D77" i="15" a="1"/>
  <c r="D77" i="15" s="1"/>
  <c r="C77" i="15" a="1"/>
  <c r="C77" i="15" s="1"/>
  <c r="B77" i="15" a="1"/>
  <c r="B77" i="15" s="1"/>
  <c r="E76" i="15" a="1"/>
  <c r="E76" i="15" s="1"/>
  <c r="D76" i="15" a="1"/>
  <c r="D76" i="15" s="1"/>
  <c r="C76" i="15" a="1"/>
  <c r="C76" i="15" s="1"/>
  <c r="B76" i="15" a="1"/>
  <c r="B76" i="15" s="1"/>
  <c r="E75" i="15" a="1"/>
  <c r="E75" i="15" s="1"/>
  <c r="D75" i="15" a="1"/>
  <c r="D75" i="15" s="1"/>
  <c r="C75" i="15" a="1"/>
  <c r="C75" i="15" s="1"/>
  <c r="B75" i="15" a="1"/>
  <c r="B75" i="15" s="1"/>
  <c r="E74" i="15" a="1"/>
  <c r="E74" i="15" s="1"/>
  <c r="D74" i="15" a="1"/>
  <c r="D74" i="15" s="1"/>
  <c r="C74" i="15" a="1"/>
  <c r="C74" i="15" s="1"/>
  <c r="B74" i="15" a="1"/>
  <c r="B74" i="15" s="1"/>
  <c r="E73" i="15" a="1"/>
  <c r="E73" i="15" s="1"/>
  <c r="D73" i="15" a="1"/>
  <c r="D73" i="15" s="1"/>
  <c r="C73" i="15" a="1"/>
  <c r="C73" i="15" s="1"/>
  <c r="B73" i="15" a="1"/>
  <c r="B73" i="15" s="1"/>
  <c r="E72" i="15" a="1"/>
  <c r="E72" i="15" s="1"/>
  <c r="D72" i="15" a="1"/>
  <c r="D72" i="15" s="1"/>
  <c r="C72" i="15" a="1"/>
  <c r="C72" i="15" s="1"/>
  <c r="B72" i="15" a="1"/>
  <c r="B72" i="15" s="1"/>
  <c r="E71" i="15" a="1"/>
  <c r="E71" i="15" s="1"/>
  <c r="D71" i="15" a="1"/>
  <c r="D71" i="15" s="1"/>
  <c r="C71" i="15" a="1"/>
  <c r="C71" i="15" s="1"/>
  <c r="B71" i="15" a="1"/>
  <c r="B71" i="15" s="1"/>
  <c r="E70" i="15" a="1"/>
  <c r="E70" i="15" s="1"/>
  <c r="D70" i="15" a="1"/>
  <c r="D70" i="15" s="1"/>
  <c r="C70" i="15" a="1"/>
  <c r="C70" i="15" s="1"/>
  <c r="B70" i="15" a="1"/>
  <c r="B70" i="15" s="1"/>
  <c r="E69" i="15" a="1"/>
  <c r="E69" i="15" s="1"/>
  <c r="D69" i="15" a="1"/>
  <c r="D69" i="15" s="1"/>
  <c r="C69" i="15" a="1"/>
  <c r="C69" i="15" s="1"/>
  <c r="B69" i="15" a="1"/>
  <c r="B69" i="15" s="1"/>
  <c r="E68" i="15" a="1"/>
  <c r="E68" i="15" s="1"/>
  <c r="D68" i="15" a="1"/>
  <c r="D68" i="15" s="1"/>
  <c r="C68" i="15" a="1"/>
  <c r="C68" i="15" s="1"/>
  <c r="B68" i="15" a="1"/>
  <c r="B68" i="15" s="1"/>
  <c r="E67" i="15" a="1"/>
  <c r="E67" i="15" s="1"/>
  <c r="D67" i="15" a="1"/>
  <c r="D67" i="15" s="1"/>
  <c r="C67" i="15" a="1"/>
  <c r="C67" i="15" s="1"/>
  <c r="B67" i="15" a="1"/>
  <c r="B67" i="15" s="1"/>
  <c r="E66" i="15" a="1"/>
  <c r="E66" i="15" s="1"/>
  <c r="D66" i="15" a="1"/>
  <c r="D66" i="15" s="1"/>
  <c r="C66" i="15" a="1"/>
  <c r="C66" i="15" s="1"/>
  <c r="B66" i="15" a="1"/>
  <c r="B66" i="15" s="1"/>
  <c r="E65" i="15" a="1"/>
  <c r="E65" i="15" s="1"/>
  <c r="D65" i="15" a="1"/>
  <c r="D65" i="15" s="1"/>
  <c r="C65" i="15" a="1"/>
  <c r="C65" i="15" s="1"/>
  <c r="B65" i="15" a="1"/>
  <c r="B65" i="15" s="1"/>
  <c r="E64" i="15" a="1"/>
  <c r="E64" i="15" s="1"/>
  <c r="D64" i="15" a="1"/>
  <c r="D64" i="15" s="1"/>
  <c r="C64" i="15" a="1"/>
  <c r="C64" i="15" s="1"/>
  <c r="B64" i="15" a="1"/>
  <c r="B64" i="15" s="1"/>
  <c r="E63" i="15" a="1"/>
  <c r="E63" i="15" s="1"/>
  <c r="D63" i="15" a="1"/>
  <c r="D63" i="15" s="1"/>
  <c r="C63" i="15" a="1"/>
  <c r="C63" i="15" s="1"/>
  <c r="B63" i="15" a="1"/>
  <c r="B63" i="15" s="1"/>
  <c r="E62" i="15" a="1"/>
  <c r="E62" i="15" s="1"/>
  <c r="D62" i="15" a="1"/>
  <c r="D62" i="15" s="1"/>
  <c r="C62" i="15" a="1"/>
  <c r="C62" i="15" s="1"/>
  <c r="B62" i="15" a="1"/>
  <c r="B62" i="15" s="1"/>
  <c r="E61" i="15" a="1"/>
  <c r="E61" i="15" s="1"/>
  <c r="D61" i="15" a="1"/>
  <c r="D61" i="15" s="1"/>
  <c r="C61" i="15" a="1"/>
  <c r="C61" i="15" s="1"/>
  <c r="B61" i="15" a="1"/>
  <c r="B61" i="15" s="1"/>
  <c r="E60" i="15" a="1"/>
  <c r="E60" i="15" s="1"/>
  <c r="D60" i="15" a="1"/>
  <c r="D60" i="15" s="1"/>
  <c r="C60" i="15" a="1"/>
  <c r="C60" i="15" s="1"/>
  <c r="B60" i="15" a="1"/>
  <c r="B60" i="15" s="1"/>
  <c r="E59" i="15" a="1"/>
  <c r="E59" i="15" s="1"/>
  <c r="D59" i="15" a="1"/>
  <c r="D59" i="15" s="1"/>
  <c r="C59" i="15" a="1"/>
  <c r="C59" i="15" s="1"/>
  <c r="B59" i="15" a="1"/>
  <c r="B59" i="15" s="1"/>
  <c r="E58" i="15" a="1"/>
  <c r="E58" i="15" s="1"/>
  <c r="D58" i="15" a="1"/>
  <c r="D58" i="15" s="1"/>
  <c r="C58" i="15" a="1"/>
  <c r="C58" i="15" s="1"/>
  <c r="B58" i="15" a="1"/>
  <c r="B58" i="15" s="1"/>
  <c r="E57" i="15" a="1"/>
  <c r="E57" i="15" s="1"/>
  <c r="D57" i="15" a="1"/>
  <c r="D57" i="15" s="1"/>
  <c r="C57" i="15" a="1"/>
  <c r="C57" i="15" s="1"/>
  <c r="B57" i="15" a="1"/>
  <c r="B57" i="15" s="1"/>
  <c r="E56" i="15" a="1"/>
  <c r="E56" i="15" s="1"/>
  <c r="D56" i="15" a="1"/>
  <c r="D56" i="15" s="1"/>
  <c r="C56" i="15" a="1"/>
  <c r="C56" i="15" s="1"/>
  <c r="B56" i="15" a="1"/>
  <c r="B56" i="15" s="1"/>
  <c r="E55" i="15" a="1"/>
  <c r="E55" i="15" s="1"/>
  <c r="D55" i="15" a="1"/>
  <c r="D55" i="15" s="1"/>
  <c r="C55" i="15" a="1"/>
  <c r="C55" i="15" s="1"/>
  <c r="B55" i="15" a="1"/>
  <c r="B55" i="15" s="1"/>
  <c r="E54" i="15" a="1"/>
  <c r="E54" i="15" s="1"/>
  <c r="D54" i="15" a="1"/>
  <c r="D54" i="15" s="1"/>
  <c r="C54" i="15" a="1"/>
  <c r="C54" i="15" s="1"/>
  <c r="B54" i="15" a="1"/>
  <c r="B54" i="15" s="1"/>
  <c r="E53" i="15" a="1"/>
  <c r="E53" i="15" s="1"/>
  <c r="D53" i="15" a="1"/>
  <c r="D53" i="15" s="1"/>
  <c r="C53" i="15" a="1"/>
  <c r="C53" i="15" s="1"/>
  <c r="B53" i="15" a="1"/>
  <c r="B53" i="15" s="1"/>
  <c r="E52" i="15" a="1"/>
  <c r="E52" i="15" s="1"/>
  <c r="D52" i="15" a="1"/>
  <c r="D52" i="15" s="1"/>
  <c r="C52" i="15" a="1"/>
  <c r="C52" i="15" s="1"/>
  <c r="B52" i="15" a="1"/>
  <c r="B52" i="15" s="1"/>
  <c r="E51" i="15" a="1"/>
  <c r="E51" i="15" s="1"/>
  <c r="D51" i="15" a="1"/>
  <c r="D51" i="15" s="1"/>
  <c r="C51" i="15" a="1"/>
  <c r="C51" i="15" s="1"/>
  <c r="B51" i="15" a="1"/>
  <c r="B51" i="15" s="1"/>
  <c r="E50" i="15" a="1"/>
  <c r="E50" i="15" s="1"/>
  <c r="D50" i="15" a="1"/>
  <c r="D50" i="15" s="1"/>
  <c r="C50" i="15" a="1"/>
  <c r="C50" i="15" s="1"/>
  <c r="B50" i="15" a="1"/>
  <c r="B50" i="15" s="1"/>
  <c r="E49" i="15" a="1"/>
  <c r="E49" i="15" s="1"/>
  <c r="D49" i="15" a="1"/>
  <c r="D49" i="15" s="1"/>
  <c r="C49" i="15" a="1"/>
  <c r="C49" i="15" s="1"/>
  <c r="B49" i="15" a="1"/>
  <c r="B49" i="15" s="1"/>
  <c r="E48" i="15" a="1"/>
  <c r="E48" i="15" s="1"/>
  <c r="D48" i="15" a="1"/>
  <c r="D48" i="15" s="1"/>
  <c r="C48" i="15" a="1"/>
  <c r="C48" i="15" s="1"/>
  <c r="B48" i="15" a="1"/>
  <c r="B48" i="15" s="1"/>
  <c r="E47" i="15" a="1"/>
  <c r="E47" i="15" s="1"/>
  <c r="D47" i="15" a="1"/>
  <c r="D47" i="15" s="1"/>
  <c r="C47" i="15" a="1"/>
  <c r="C47" i="15" s="1"/>
  <c r="B47" i="15" a="1"/>
  <c r="B47" i="15" s="1"/>
  <c r="E46" i="15" a="1"/>
  <c r="E46" i="15" s="1"/>
  <c r="D46" i="15" a="1"/>
  <c r="D46" i="15" s="1"/>
  <c r="C46" i="15" a="1"/>
  <c r="C46" i="15" s="1"/>
  <c r="B46" i="15" a="1"/>
  <c r="B46" i="15" s="1"/>
  <c r="E45" i="15" a="1"/>
  <c r="E45" i="15" s="1"/>
  <c r="D45" i="15" a="1"/>
  <c r="D45" i="15" s="1"/>
  <c r="C45" i="15" a="1"/>
  <c r="C45" i="15" s="1"/>
  <c r="B45" i="15" a="1"/>
  <c r="B45" i="15" s="1"/>
  <c r="E44" i="15" a="1"/>
  <c r="E44" i="15" s="1"/>
  <c r="D44" i="15" a="1"/>
  <c r="D44" i="15" s="1"/>
  <c r="C44" i="15" a="1"/>
  <c r="C44" i="15" s="1"/>
  <c r="B44" i="15" a="1"/>
  <c r="B44" i="15" s="1"/>
  <c r="E43" i="15" a="1"/>
  <c r="E43" i="15" s="1"/>
  <c r="D43" i="15" a="1"/>
  <c r="D43" i="15" s="1"/>
  <c r="C43" i="15" a="1"/>
  <c r="C43" i="15" s="1"/>
  <c r="B43" i="15" a="1"/>
  <c r="B43" i="15" s="1"/>
  <c r="E42" i="15" a="1"/>
  <c r="E42" i="15" s="1"/>
  <c r="D42" i="15" a="1"/>
  <c r="D42" i="15" s="1"/>
  <c r="C42" i="15" a="1"/>
  <c r="C42" i="15" s="1"/>
  <c r="B42" i="15" a="1"/>
  <c r="B42" i="15" s="1"/>
  <c r="E41" i="15" a="1"/>
  <c r="E41" i="15" s="1"/>
  <c r="D41" i="15" a="1"/>
  <c r="D41" i="15" s="1"/>
  <c r="C41" i="15" a="1"/>
  <c r="C41" i="15" s="1"/>
  <c r="B41" i="15" a="1"/>
  <c r="B41" i="15" s="1"/>
  <c r="E40" i="15" a="1"/>
  <c r="E40" i="15" s="1"/>
  <c r="D40" i="15" a="1"/>
  <c r="D40" i="15" s="1"/>
  <c r="C40" i="15" a="1"/>
  <c r="C40" i="15" s="1"/>
  <c r="B40" i="15" a="1"/>
  <c r="B40" i="15" s="1"/>
  <c r="E39" i="15" a="1"/>
  <c r="E39" i="15" s="1"/>
  <c r="D39" i="15" a="1"/>
  <c r="D39" i="15" s="1"/>
  <c r="C39" i="15" a="1"/>
  <c r="C39" i="15" s="1"/>
  <c r="B39" i="15" a="1"/>
  <c r="B39" i="15" s="1"/>
  <c r="E38" i="15" a="1"/>
  <c r="E38" i="15" s="1"/>
  <c r="D38" i="15" a="1"/>
  <c r="D38" i="15" s="1"/>
  <c r="C38" i="15" a="1"/>
  <c r="C38" i="15" s="1"/>
  <c r="B38" i="15" a="1"/>
  <c r="B38" i="15" s="1"/>
  <c r="E37" i="15" a="1"/>
  <c r="E37" i="15" s="1"/>
  <c r="D37" i="15" a="1"/>
  <c r="D37" i="15" s="1"/>
  <c r="C37" i="15" a="1"/>
  <c r="C37" i="15" s="1"/>
  <c r="B37" i="15" a="1"/>
  <c r="B37" i="15" s="1"/>
  <c r="E36" i="15" a="1"/>
  <c r="E36" i="15" s="1"/>
  <c r="D36" i="15" a="1"/>
  <c r="D36" i="15" s="1"/>
  <c r="C36" i="15" a="1"/>
  <c r="C36" i="15" s="1"/>
  <c r="B36" i="15" a="1"/>
  <c r="B36" i="15" s="1"/>
  <c r="E35" i="15" a="1"/>
  <c r="E35" i="15" s="1"/>
  <c r="D35" i="15" a="1"/>
  <c r="D35" i="15" s="1"/>
  <c r="C35" i="15" a="1"/>
  <c r="C35" i="15" s="1"/>
  <c r="B35" i="15" a="1"/>
  <c r="B35" i="15" s="1"/>
  <c r="E34" i="15" a="1"/>
  <c r="E34" i="15" s="1"/>
  <c r="D34" i="15" a="1"/>
  <c r="D34" i="15" s="1"/>
  <c r="C34" i="15" a="1"/>
  <c r="C34" i="15" s="1"/>
  <c r="B34" i="15" a="1"/>
  <c r="B34" i="15" s="1"/>
  <c r="E33" i="15" a="1"/>
  <c r="E33" i="15" s="1"/>
  <c r="D33" i="15" a="1"/>
  <c r="D33" i="15" s="1"/>
  <c r="C33" i="15" a="1"/>
  <c r="C33" i="15" s="1"/>
  <c r="B33" i="15" a="1"/>
  <c r="B33" i="15" s="1"/>
  <c r="E32" i="15" a="1"/>
  <c r="E32" i="15" s="1"/>
  <c r="D32" i="15" a="1"/>
  <c r="D32" i="15" s="1"/>
  <c r="C32" i="15" a="1"/>
  <c r="C32" i="15" s="1"/>
  <c r="B32" i="15" a="1"/>
  <c r="B32" i="15" s="1"/>
  <c r="E31" i="15" a="1"/>
  <c r="E31" i="15" s="1"/>
  <c r="D31" i="15" a="1"/>
  <c r="D31" i="15" s="1"/>
  <c r="C31" i="15" a="1"/>
  <c r="C31" i="15" s="1"/>
  <c r="B31" i="15" a="1"/>
  <c r="B31" i="15" s="1"/>
  <c r="E30" i="15" a="1"/>
  <c r="E30" i="15" s="1"/>
  <c r="D30" i="15" a="1"/>
  <c r="D30" i="15" s="1"/>
  <c r="C30" i="15" a="1"/>
  <c r="C30" i="15" s="1"/>
  <c r="B30" i="15" a="1"/>
  <c r="B30" i="15" s="1"/>
  <c r="E29" i="15" a="1"/>
  <c r="E29" i="15" s="1"/>
  <c r="D29" i="15" a="1"/>
  <c r="D29" i="15" s="1"/>
  <c r="C29" i="15" a="1"/>
  <c r="C29" i="15" s="1"/>
  <c r="B29" i="15" a="1"/>
  <c r="B29" i="15" s="1"/>
  <c r="E28" i="15" a="1"/>
  <c r="E28" i="15" s="1"/>
  <c r="D28" i="15" a="1"/>
  <c r="D28" i="15" s="1"/>
  <c r="C28" i="15" a="1"/>
  <c r="C28" i="15" s="1"/>
  <c r="B28" i="15" a="1"/>
  <c r="B28" i="15" s="1"/>
  <c r="E27" i="15" a="1"/>
  <c r="E27" i="15" s="1"/>
  <c r="D27" i="15" a="1"/>
  <c r="D27" i="15" s="1"/>
  <c r="C27" i="15" a="1"/>
  <c r="C27" i="15" s="1"/>
  <c r="B27" i="15" a="1"/>
  <c r="B27" i="15" s="1"/>
  <c r="E26" i="15" a="1"/>
  <c r="E26" i="15" s="1"/>
  <c r="D26" i="15" a="1"/>
  <c r="D26" i="15" s="1"/>
  <c r="C26" i="15" a="1"/>
  <c r="C26" i="15" s="1"/>
  <c r="B26" i="15" a="1"/>
  <c r="B26" i="15" s="1"/>
  <c r="E25" i="15" a="1"/>
  <c r="E25" i="15" s="1"/>
  <c r="D25" i="15" a="1"/>
  <c r="D25" i="15" s="1"/>
  <c r="C25" i="15" a="1"/>
  <c r="C25" i="15" s="1"/>
  <c r="B25" i="15" a="1"/>
  <c r="B25" i="15" s="1"/>
  <c r="E24" i="15" a="1"/>
  <c r="E24" i="15" s="1"/>
  <c r="D24" i="15" a="1"/>
  <c r="D24" i="15" s="1"/>
  <c r="C24" i="15" a="1"/>
  <c r="C24" i="15" s="1"/>
  <c r="B24" i="15" a="1"/>
  <c r="B24" i="15" s="1"/>
  <c r="E23" i="15" a="1"/>
  <c r="E23" i="15" s="1"/>
  <c r="D23" i="15" a="1"/>
  <c r="D23" i="15" s="1"/>
  <c r="C23" i="15" a="1"/>
  <c r="C23" i="15" s="1"/>
  <c r="B23" i="15" a="1"/>
  <c r="B23" i="15" s="1"/>
  <c r="E22" i="15" a="1"/>
  <c r="E22" i="15" s="1"/>
  <c r="D22" i="15" a="1"/>
  <c r="D22" i="15" s="1"/>
  <c r="C22" i="15" a="1"/>
  <c r="C22" i="15" s="1"/>
  <c r="B22" i="15" a="1"/>
  <c r="B22" i="15" s="1"/>
  <c r="E21" i="15" a="1"/>
  <c r="E21" i="15" s="1"/>
  <c r="D21" i="15" a="1"/>
  <c r="D21" i="15" s="1"/>
  <c r="C21" i="15" a="1"/>
  <c r="C21" i="15" s="1"/>
  <c r="B21" i="15" a="1"/>
  <c r="B21" i="15" s="1"/>
  <c r="E20" i="15" a="1"/>
  <c r="E20" i="15" s="1"/>
  <c r="D20" i="15" a="1"/>
  <c r="D20" i="15" s="1"/>
  <c r="C20" i="15" a="1"/>
  <c r="C20" i="15" s="1"/>
  <c r="B20" i="15" a="1"/>
  <c r="B20" i="15" s="1"/>
  <c r="E19" i="15" a="1"/>
  <c r="E19" i="15" s="1"/>
  <c r="D19" i="15" a="1"/>
  <c r="D19" i="15" s="1"/>
  <c r="C19" i="15" a="1"/>
  <c r="C19" i="15" s="1"/>
  <c r="B19" i="15" a="1"/>
  <c r="B19" i="15" s="1"/>
  <c r="E18" i="15" a="1"/>
  <c r="E18" i="15" s="1"/>
  <c r="D18" i="15" a="1"/>
  <c r="D18" i="15" s="1"/>
  <c r="C18" i="15" a="1"/>
  <c r="C18" i="15" s="1"/>
  <c r="B18" i="15" a="1"/>
  <c r="B18" i="15" s="1"/>
  <c r="E17" i="15" a="1"/>
  <c r="E17" i="15" s="1"/>
  <c r="D17" i="15" a="1"/>
  <c r="D17" i="15" s="1"/>
  <c r="C17" i="15" a="1"/>
  <c r="C17" i="15" s="1"/>
  <c r="B17" i="15" a="1"/>
  <c r="B17" i="15" s="1"/>
  <c r="E16" i="15" a="1"/>
  <c r="E16" i="15" s="1"/>
  <c r="D16" i="15" a="1"/>
  <c r="D16" i="15" s="1"/>
  <c r="C16" i="15" a="1"/>
  <c r="C16" i="15" s="1"/>
  <c r="B16" i="15" a="1"/>
  <c r="B16" i="15" s="1"/>
  <c r="E15" i="15" a="1"/>
  <c r="E15" i="15" s="1"/>
  <c r="D15" i="15" a="1"/>
  <c r="D15" i="15" s="1"/>
  <c r="C15" i="15" a="1"/>
  <c r="C15" i="15" s="1"/>
  <c r="B15" i="15" a="1"/>
  <c r="B15" i="15" s="1"/>
  <c r="E14" i="15" a="1"/>
  <c r="E14" i="15" s="1"/>
  <c r="D14" i="15" a="1"/>
  <c r="D14" i="15" s="1"/>
  <c r="C14" i="15" a="1"/>
  <c r="C14" i="15" s="1"/>
  <c r="B14" i="15" a="1"/>
  <c r="B14" i="15" s="1"/>
  <c r="E13" i="15" a="1"/>
  <c r="E13" i="15" s="1"/>
  <c r="D13" i="15" a="1"/>
  <c r="D13" i="15" s="1"/>
  <c r="C13" i="15" a="1"/>
  <c r="C13" i="15" s="1"/>
  <c r="B13" i="15" a="1"/>
  <c r="B13" i="15" s="1"/>
  <c r="E12" i="15" a="1"/>
  <c r="E12" i="15" s="1"/>
  <c r="D12" i="15" a="1"/>
  <c r="D12" i="15" s="1"/>
  <c r="C12" i="15" a="1"/>
  <c r="C12" i="15" s="1"/>
  <c r="B12" i="15" a="1"/>
  <c r="B12" i="15" s="1"/>
  <c r="E11" i="15" a="1"/>
  <c r="E11" i="15" s="1"/>
  <c r="D11" i="15" a="1"/>
  <c r="D11" i="15" s="1"/>
  <c r="C11" i="15" a="1"/>
  <c r="C11" i="15" s="1"/>
  <c r="B11" i="15" a="1"/>
  <c r="B11" i="15" s="1"/>
  <c r="E10" i="15" a="1"/>
  <c r="E10" i="15" s="1"/>
  <c r="D10" i="15" a="1"/>
  <c r="D10" i="15" s="1"/>
  <c r="C10" i="15" a="1"/>
  <c r="C10" i="15" s="1"/>
  <c r="B10" i="15" a="1"/>
  <c r="B10" i="15" s="1"/>
  <c r="E9" i="15" a="1"/>
  <c r="E9" i="15" s="1"/>
  <c r="D9" i="15" a="1"/>
  <c r="D9" i="15" s="1"/>
  <c r="C9" i="15" a="1"/>
  <c r="C9" i="15" s="1"/>
  <c r="B9" i="15" a="1"/>
  <c r="B9" i="15" s="1"/>
  <c r="E8" i="15" a="1"/>
  <c r="E8" i="15" s="1"/>
  <c r="D8" i="15" a="1"/>
  <c r="D8" i="15" s="1"/>
  <c r="C8" i="15" a="1"/>
  <c r="C8" i="15" s="1"/>
  <c r="B8" i="15" a="1"/>
  <c r="B8" i="15" s="1"/>
  <c r="E7" i="15" a="1"/>
  <c r="E7" i="15" s="1"/>
  <c r="D7" i="15" a="1"/>
  <c r="D7" i="15" s="1"/>
  <c r="C7" i="15" a="1"/>
  <c r="C7" i="15" s="1"/>
  <c r="B7" i="15" a="1"/>
  <c r="B7" i="15" s="1"/>
  <c r="E6" i="15" a="1"/>
  <c r="E6" i="15" s="1"/>
  <c r="D6" i="15" a="1"/>
  <c r="D6" i="15" s="1"/>
  <c r="C6" i="15" a="1"/>
  <c r="C6" i="15" s="1"/>
  <c r="B6" i="15" a="1"/>
  <c r="B6" i="15" s="1"/>
  <c r="E5" i="15" a="1"/>
  <c r="E5" i="15" s="1"/>
  <c r="D5" i="15" a="1"/>
  <c r="D5" i="15" s="1"/>
  <c r="C5" i="15" a="1"/>
  <c r="C5" i="15" s="1"/>
  <c r="B5" i="15" a="1"/>
  <c r="B5" i="15" s="1"/>
  <c r="E4" i="15" a="1"/>
  <c r="E4" i="15" s="1"/>
  <c r="D4" i="15" a="1"/>
  <c r="D4" i="15" s="1"/>
  <c r="C4" i="15" a="1"/>
  <c r="C4" i="15" s="1"/>
  <c r="B4" i="15" a="1"/>
  <c r="B4" i="15" s="1"/>
  <c r="E3" i="15" a="1"/>
  <c r="E3" i="15" s="1"/>
  <c r="D3" i="15" a="1"/>
  <c r="D3" i="15" s="1"/>
  <c r="C3" i="15" a="1"/>
  <c r="C3" i="15" s="1"/>
  <c r="B3" i="15" a="1"/>
  <c r="B3" i="15" s="1"/>
  <c r="B2" i="15" a="1"/>
  <c r="B2" i="15" s="1"/>
  <c r="C2" i="15" a="1"/>
  <c r="C2" i="15" s="1"/>
  <c r="D2" i="15" a="1"/>
  <c r="D2" i="15" s="1"/>
  <c r="E2" i="15" a="1"/>
  <c r="E2" i="15" s="1"/>
  <c r="E11" i="13" a="1"/>
  <c r="E11" i="13" s="1"/>
  <c r="E3" i="13" a="1"/>
  <c r="E3" i="13" s="1"/>
  <c r="E4" i="13" a="1"/>
  <c r="E4" i="13" s="1"/>
  <c r="E5" i="13" a="1"/>
  <c r="E5" i="13"/>
  <c r="E6" i="13" a="1"/>
  <c r="E6" i="13"/>
  <c r="E7" i="13" a="1"/>
  <c r="E7" i="13" s="1"/>
  <c r="E8" i="13" a="1"/>
  <c r="E8" i="13"/>
  <c r="E9" i="13" a="1"/>
  <c r="E9" i="13"/>
  <c r="E10" i="13" a="1"/>
  <c r="E10" i="13"/>
  <c r="E12" i="13" a="1"/>
  <c r="E12" i="13"/>
  <c r="E13" i="13" a="1"/>
  <c r="E13" i="13"/>
  <c r="E14" i="13" a="1"/>
  <c r="E14" i="13" s="1"/>
  <c r="E15" i="13" a="1"/>
  <c r="E15" i="13" s="1"/>
  <c r="E16" i="13" a="1"/>
  <c r="E16" i="13"/>
  <c r="E17" i="13" a="1"/>
  <c r="E17" i="13"/>
  <c r="E18" i="13" a="1"/>
  <c r="E18" i="13" s="1"/>
  <c r="E19" i="13" a="1"/>
  <c r="E19" i="13"/>
  <c r="E20" i="13" a="1"/>
  <c r="E20" i="13"/>
  <c r="E21" i="13" a="1"/>
  <c r="E21" i="13"/>
  <c r="E22" i="13" a="1"/>
  <c r="E22" i="13" s="1"/>
  <c r="E23" i="13" a="1"/>
  <c r="E23" i="13"/>
  <c r="E24" i="13" a="1"/>
  <c r="E24" i="13"/>
  <c r="E25" i="13" a="1"/>
  <c r="E25" i="13" s="1"/>
  <c r="E26" i="13" a="1"/>
  <c r="E26" i="13" s="1"/>
  <c r="E27" i="13" a="1"/>
  <c r="E27" i="13"/>
  <c r="E28" i="13" a="1"/>
  <c r="E28" i="13"/>
  <c r="E29" i="13" a="1"/>
  <c r="E29" i="13" s="1"/>
  <c r="E30" i="13" a="1"/>
  <c r="E30" i="13"/>
  <c r="E31" i="13" a="1"/>
  <c r="E31" i="13"/>
  <c r="E32" i="13" a="1"/>
  <c r="E32" i="13"/>
  <c r="E33" i="13" a="1"/>
  <c r="E33" i="13" s="1"/>
  <c r="E34" i="13" a="1"/>
  <c r="E34" i="13"/>
  <c r="E35" i="13" a="1"/>
  <c r="E35" i="13"/>
  <c r="E36" i="13" a="1"/>
  <c r="E36" i="13" s="1"/>
  <c r="E37" i="13" a="1"/>
  <c r="E37" i="13" s="1"/>
  <c r="E38" i="13" a="1"/>
  <c r="E38" i="13"/>
  <c r="E39" i="13" a="1"/>
  <c r="E39" i="13"/>
  <c r="E40" i="13" a="1"/>
  <c r="E40" i="13" s="1"/>
  <c r="E41" i="13" a="1"/>
  <c r="E41" i="13"/>
  <c r="E42" i="13" a="1"/>
  <c r="E42" i="13"/>
  <c r="E43" i="13" a="1"/>
  <c r="E43" i="13"/>
  <c r="E44" i="13" a="1"/>
  <c r="E44" i="13" s="1"/>
  <c r="E45" i="13" a="1"/>
  <c r="E45" i="13"/>
  <c r="E46" i="13" a="1"/>
  <c r="E46" i="13"/>
  <c r="E47" i="13" a="1"/>
  <c r="E47" i="13" s="1"/>
  <c r="E48" i="13" a="1"/>
  <c r="E48" i="13" s="1"/>
  <c r="E49" i="13" a="1"/>
  <c r="E49" i="13" s="1"/>
  <c r="E50" i="13" a="1"/>
  <c r="E50" i="13"/>
  <c r="E51" i="13" a="1"/>
  <c r="E51" i="13" s="1"/>
  <c r="E52" i="13" a="1"/>
  <c r="E52" i="13"/>
  <c r="E53" i="13" a="1"/>
  <c r="E53" i="13"/>
  <c r="E54" i="13" a="1"/>
  <c r="E54" i="13"/>
  <c r="E55" i="13" a="1"/>
  <c r="E55" i="13" s="1"/>
  <c r="E56" i="13" a="1"/>
  <c r="E56" i="13"/>
  <c r="E57" i="13" a="1"/>
  <c r="E57" i="13"/>
  <c r="E58" i="13" a="1"/>
  <c r="E58" i="13" s="1"/>
  <c r="E59" i="13" a="1"/>
  <c r="E59" i="13" s="1"/>
  <c r="E60" i="13" a="1"/>
  <c r="E60" i="13" s="1"/>
  <c r="E61" i="13" a="1"/>
  <c r="E61" i="13"/>
  <c r="E62" i="13" a="1"/>
  <c r="E62" i="13" s="1"/>
  <c r="E63" i="13" a="1"/>
  <c r="E63" i="13"/>
  <c r="E64" i="13" a="1"/>
  <c r="E64" i="13"/>
  <c r="E65" i="13" a="1"/>
  <c r="E65" i="13"/>
  <c r="E66" i="13" a="1"/>
  <c r="E66" i="13" s="1"/>
  <c r="E67" i="13" a="1"/>
  <c r="E67" i="13"/>
  <c r="E68" i="13" a="1"/>
  <c r="E68" i="13"/>
  <c r="E69" i="13" a="1"/>
  <c r="E69" i="13" s="1"/>
  <c r="E70" i="13" a="1"/>
  <c r="E70" i="13" s="1"/>
  <c r="E71" i="13" a="1"/>
  <c r="E71" i="13" s="1"/>
  <c r="E72" i="13" a="1"/>
  <c r="E72" i="13"/>
  <c r="E73" i="13" a="1"/>
  <c r="E73" i="13" s="1"/>
  <c r="E74" i="13" a="1"/>
  <c r="E74" i="13"/>
  <c r="E75" i="13" a="1"/>
  <c r="E75" i="13"/>
  <c r="E76" i="13" a="1"/>
  <c r="E76" i="13"/>
  <c r="E77" i="13" a="1"/>
  <c r="E77" i="13" s="1"/>
  <c r="E78" i="13" a="1"/>
  <c r="E78" i="13"/>
  <c r="E79" i="13" a="1"/>
  <c r="E79" i="13"/>
  <c r="E80" i="13" a="1"/>
  <c r="E80" i="13" s="1"/>
  <c r="E81" i="13" a="1"/>
  <c r="E81" i="13" s="1"/>
  <c r="E82" i="13" a="1"/>
  <c r="E82" i="13" s="1"/>
  <c r="E83" i="13" a="1"/>
  <c r="E83" i="13"/>
  <c r="E84" i="13" a="1"/>
  <c r="E84" i="13" s="1"/>
  <c r="E85" i="13" a="1"/>
  <c r="E85" i="13"/>
  <c r="E86" i="13" a="1"/>
  <c r="E86" i="13"/>
  <c r="E87" i="13" a="1"/>
  <c r="E87" i="13"/>
  <c r="E88" i="13" a="1"/>
  <c r="E88" i="13" s="1"/>
  <c r="E89" i="13" a="1"/>
  <c r="E89" i="13"/>
  <c r="E90" i="13" a="1"/>
  <c r="E90" i="13"/>
  <c r="E91" i="13" a="1"/>
  <c r="E91" i="13" s="1"/>
  <c r="E92" i="13" a="1"/>
  <c r="E92" i="13" s="1"/>
  <c r="E93" i="13" a="1"/>
  <c r="E93" i="13" s="1"/>
  <c r="E94" i="13" a="1"/>
  <c r="E94" i="13"/>
  <c r="E95" i="13" a="1"/>
  <c r="E95" i="13" s="1"/>
  <c r="E96" i="13" a="1"/>
  <c r="E96" i="13"/>
  <c r="E97" i="13" a="1"/>
  <c r="E97" i="13"/>
  <c r="E98" i="13" a="1"/>
  <c r="E98" i="13"/>
  <c r="E99" i="13" a="1"/>
  <c r="E99" i="13" s="1"/>
  <c r="E100" i="13" a="1"/>
  <c r="E100" i="13"/>
  <c r="E101" i="13" a="1"/>
  <c r="E101" i="13"/>
  <c r="E102" i="13" a="1"/>
  <c r="E102" i="13" s="1"/>
  <c r="E103" i="13" a="1"/>
  <c r="E103" i="13" s="1"/>
  <c r="E104" i="13" a="1"/>
  <c r="E104" i="13" s="1"/>
  <c r="E105" i="13" a="1"/>
  <c r="E105" i="13"/>
  <c r="E106" i="13" a="1"/>
  <c r="E106" i="13" s="1"/>
  <c r="E107" i="13" a="1"/>
  <c r="E107" i="13"/>
  <c r="E108" i="13" a="1"/>
  <c r="E108" i="13"/>
  <c r="E109" i="13" a="1"/>
  <c r="E109" i="13"/>
  <c r="E110" i="13" a="1"/>
  <c r="E110" i="13" s="1"/>
  <c r="E111" i="13" a="1"/>
  <c r="E111" i="13"/>
  <c r="E112" i="13" a="1"/>
  <c r="E112" i="13"/>
  <c r="E113" i="13" a="1"/>
  <c r="E113" i="13" s="1"/>
  <c r="E114" i="13" a="1"/>
  <c r="E114" i="13" s="1"/>
  <c r="E115" i="13" a="1"/>
  <c r="E115" i="13" s="1"/>
  <c r="E116" i="13" a="1"/>
  <c r="E116" i="13"/>
  <c r="E117" i="13" a="1"/>
  <c r="E117" i="13" s="1"/>
  <c r="E118" i="13" a="1"/>
  <c r="E118" i="13"/>
  <c r="E119" i="13" a="1"/>
  <c r="E119" i="13"/>
  <c r="E120" i="13" a="1"/>
  <c r="E120" i="13"/>
  <c r="E121" i="13" a="1"/>
  <c r="E121" i="13" s="1"/>
  <c r="E122" i="13" a="1"/>
  <c r="E122" i="13"/>
  <c r="E123" i="13" a="1"/>
  <c r="E123" i="13"/>
  <c r="E124" i="13" a="1"/>
  <c r="E124" i="13" s="1"/>
  <c r="E125" i="13" a="1"/>
  <c r="E125" i="13" s="1"/>
  <c r="E126" i="13" a="1"/>
  <c r="E126" i="13" s="1"/>
  <c r="E127" i="13" a="1"/>
  <c r="E127" i="13"/>
  <c r="E128" i="13" a="1"/>
  <c r="E128" i="13" s="1"/>
  <c r="E129" i="13" a="1"/>
  <c r="E129" i="13"/>
  <c r="E130" i="13" a="1"/>
  <c r="E130" i="13"/>
  <c r="E131" i="13" a="1"/>
  <c r="E131" i="13"/>
  <c r="E132" i="13" a="1"/>
  <c r="E132" i="13" s="1"/>
  <c r="E133" i="13" a="1"/>
  <c r="E133" i="13"/>
  <c r="E134" i="13" a="1"/>
  <c r="E134" i="13"/>
  <c r="E135" i="13" a="1"/>
  <c r="E135" i="13" s="1"/>
  <c r="E136" i="13" a="1"/>
  <c r="E136" i="13" s="1"/>
  <c r="E137" i="13" a="1"/>
  <c r="E137" i="13" s="1"/>
  <c r="E138" i="13" a="1"/>
  <c r="E138" i="13"/>
  <c r="E139" i="13" a="1"/>
  <c r="E139" i="13" s="1"/>
  <c r="E140" i="13" a="1"/>
  <c r="E140" i="13"/>
  <c r="E141" i="13" a="1"/>
  <c r="E141" i="13"/>
  <c r="E142" i="13" a="1"/>
  <c r="E142" i="13"/>
  <c r="E143" i="13" a="1"/>
  <c r="E143" i="13" s="1"/>
  <c r="E144" i="13" a="1"/>
  <c r="E144" i="13"/>
  <c r="E145" i="13" a="1"/>
  <c r="E145" i="13"/>
  <c r="E146" i="13" a="1"/>
  <c r="E146" i="13" s="1"/>
  <c r="E147" i="13" a="1"/>
  <c r="E147" i="13" s="1"/>
  <c r="E148" i="13" a="1"/>
  <c r="E148" i="13" s="1"/>
  <c r="E149" i="13" a="1"/>
  <c r="E149" i="13"/>
  <c r="E150" i="13" a="1"/>
  <c r="E150" i="13" s="1"/>
  <c r="E151" i="13" a="1"/>
  <c r="E151" i="13"/>
  <c r="E152" i="13" a="1"/>
  <c r="E152" i="13"/>
  <c r="E153" i="13" a="1"/>
  <c r="E153" i="13"/>
  <c r="E154" i="13" a="1"/>
  <c r="E154" i="13" s="1"/>
  <c r="E155" i="13" a="1"/>
  <c r="E155" i="13"/>
  <c r="E156" i="13" a="1"/>
  <c r="E156" i="13"/>
  <c r="E157" i="13" a="1"/>
  <c r="E157" i="13" s="1"/>
  <c r="E158" i="13" a="1"/>
  <c r="E158" i="13" s="1"/>
  <c r="E159" i="13" a="1"/>
  <c r="E159" i="13" s="1"/>
  <c r="E160" i="13" a="1"/>
  <c r="E160" i="13"/>
  <c r="E161" i="13" a="1"/>
  <c r="E161" i="13" s="1"/>
  <c r="E162" i="13" a="1"/>
  <c r="E162" i="13"/>
  <c r="E163" i="13" a="1"/>
  <c r="E163" i="13"/>
  <c r="E164" i="13" a="1"/>
  <c r="E164" i="13"/>
  <c r="E165" i="13" a="1"/>
  <c r="E165" i="13" s="1"/>
  <c r="E166" i="13" a="1"/>
  <c r="E166" i="13"/>
  <c r="E167" i="13" a="1"/>
  <c r="E167" i="13"/>
  <c r="E168" i="13" a="1"/>
  <c r="E168" i="13" s="1"/>
  <c r="E169" i="13" a="1"/>
  <c r="E169" i="13" s="1"/>
  <c r="E170" i="13" a="1"/>
  <c r="E170" i="13" s="1"/>
  <c r="E171" i="13" a="1"/>
  <c r="E171" i="13"/>
  <c r="E172" i="13" a="1"/>
  <c r="E172" i="13" s="1"/>
  <c r="E173" i="13" a="1"/>
  <c r="E173" i="13"/>
  <c r="E174" i="13" a="1"/>
  <c r="E174" i="13"/>
  <c r="E175" i="13" a="1"/>
  <c r="E175" i="13"/>
  <c r="E176" i="13" a="1"/>
  <c r="E176" i="13" s="1"/>
  <c r="E177" i="13" a="1"/>
  <c r="E177" i="13"/>
  <c r="E178" i="13" a="1"/>
  <c r="E178" i="13"/>
  <c r="E179" i="13" a="1"/>
  <c r="E179" i="13" s="1"/>
  <c r="E180" i="13" a="1"/>
  <c r="E180" i="13" s="1"/>
  <c r="E181" i="13" a="1"/>
  <c r="E181" i="13" s="1"/>
  <c r="E182" i="13" a="1"/>
  <c r="E182" i="13"/>
  <c r="E183" i="13" a="1"/>
  <c r="E183" i="13" s="1"/>
  <c r="E184" i="13" a="1"/>
  <c r="E184" i="13"/>
  <c r="E185" i="13" a="1"/>
  <c r="E185" i="13"/>
  <c r="E186" i="13" a="1"/>
  <c r="E186" i="13"/>
  <c r="E187" i="13" a="1"/>
  <c r="E187" i="13" s="1"/>
  <c r="E188" i="13" a="1"/>
  <c r="E188" i="13"/>
  <c r="E189" i="13" a="1"/>
  <c r="E189" i="13"/>
  <c r="E190" i="13" a="1"/>
  <c r="E190" i="13" s="1"/>
  <c r="E191" i="13" a="1"/>
  <c r="E191" i="13" s="1"/>
  <c r="E192" i="13" a="1"/>
  <c r="E192" i="13" s="1"/>
  <c r="E193" i="13" a="1"/>
  <c r="E193" i="13"/>
  <c r="E194" i="13" a="1"/>
  <c r="E194" i="13" s="1"/>
  <c r="E195" i="13" a="1"/>
  <c r="E195" i="13"/>
  <c r="E196" i="13" a="1"/>
  <c r="E196" i="13"/>
  <c r="E197" i="13" a="1"/>
  <c r="E197" i="13"/>
  <c r="E198" i="13" a="1"/>
  <c r="E198" i="13" s="1"/>
  <c r="E199" i="13" a="1"/>
  <c r="E199" i="13"/>
  <c r="E200" i="13" a="1"/>
  <c r="E200" i="13"/>
  <c r="E201" i="13" a="1"/>
  <c r="E201" i="13" s="1"/>
  <c r="E202" i="13" a="1"/>
  <c r="E202" i="13" s="1"/>
  <c r="E203" i="13" a="1"/>
  <c r="E203" i="13" s="1"/>
  <c r="E204" i="13" a="1"/>
  <c r="E204" i="13"/>
  <c r="E205" i="13" a="1"/>
  <c r="E205" i="13" s="1"/>
  <c r="E206" i="13" a="1"/>
  <c r="E206" i="13"/>
  <c r="E207" i="13" a="1"/>
  <c r="E207" i="13"/>
  <c r="E208" i="13" a="1"/>
  <c r="E208" i="13"/>
  <c r="E209" i="13" a="1"/>
  <c r="E209" i="13" s="1"/>
  <c r="E210" i="13" a="1"/>
  <c r="E210" i="13"/>
  <c r="E211" i="13" a="1"/>
  <c r="E211" i="13"/>
  <c r="E212" i="13" a="1"/>
  <c r="E212" i="13" s="1"/>
  <c r="E213" i="13" a="1"/>
  <c r="E213" i="13" s="1"/>
  <c r="E214" i="13" a="1"/>
  <c r="E214" i="13" s="1"/>
  <c r="E215" i="13" a="1"/>
  <c r="E215" i="13"/>
  <c r="E216" i="13" a="1"/>
  <c r="E216" i="13" s="1"/>
  <c r="E217" i="13" a="1"/>
  <c r="E217" i="13"/>
  <c r="E218" i="13" a="1"/>
  <c r="E218" i="13"/>
  <c r="E219" i="13" a="1"/>
  <c r="E219" i="13"/>
  <c r="E220" i="13" a="1"/>
  <c r="E220" i="13" s="1"/>
  <c r="E221" i="13" a="1"/>
  <c r="E221" i="13"/>
  <c r="E222" i="13" a="1"/>
  <c r="E222" i="13"/>
  <c r="E223" i="13" a="1"/>
  <c r="E223" i="13" s="1"/>
  <c r="E224" i="13" a="1"/>
  <c r="E224" i="13" s="1"/>
  <c r="E225" i="13" a="1"/>
  <c r="E225" i="13" s="1"/>
  <c r="E226" i="13" a="1"/>
  <c r="E226" i="13"/>
  <c r="E227" i="13" a="1"/>
  <c r="E227" i="13" s="1"/>
  <c r="E228" i="13" a="1"/>
  <c r="E228" i="13"/>
  <c r="E229" i="13" a="1"/>
  <c r="E229" i="13"/>
  <c r="E230" i="13" a="1"/>
  <c r="E230" i="13"/>
  <c r="E231" i="13" a="1"/>
  <c r="E231" i="13" s="1"/>
  <c r="E232" i="13" a="1"/>
  <c r="E232" i="13"/>
  <c r="E233" i="13" a="1"/>
  <c r="E233" i="13"/>
  <c r="E234" i="13" a="1"/>
  <c r="E234" i="13" s="1"/>
  <c r="E235" i="13" a="1"/>
  <c r="E235" i="13" s="1"/>
  <c r="E236" i="13" a="1"/>
  <c r="E236" i="13" s="1"/>
  <c r="E237" i="13" a="1"/>
  <c r="E237" i="13"/>
  <c r="E238" i="13" a="1"/>
  <c r="E238" i="13" s="1"/>
  <c r="E239" i="13" a="1"/>
  <c r="E239" i="13"/>
  <c r="E240" i="13" a="1"/>
  <c r="E240" i="13"/>
  <c r="E241" i="13" a="1"/>
  <c r="E241" i="13"/>
  <c r="E242" i="13" a="1"/>
  <c r="E242" i="13" s="1"/>
  <c r="E243" i="13" a="1"/>
  <c r="E243" i="13"/>
  <c r="E244" i="13" a="1"/>
  <c r="E244" i="13"/>
  <c r="E245" i="13" a="1"/>
  <c r="E245" i="13" s="1"/>
  <c r="E246" i="13" a="1"/>
  <c r="E246" i="13" s="1"/>
  <c r="E247" i="13" a="1"/>
  <c r="E247" i="13" s="1"/>
  <c r="E248" i="13" a="1"/>
  <c r="E248" i="13"/>
  <c r="E249" i="13" a="1"/>
  <c r="E249" i="13" s="1"/>
  <c r="E250" i="13" a="1"/>
  <c r="E250" i="13" s="1"/>
  <c r="E251" i="13" a="1"/>
  <c r="E251" i="13"/>
  <c r="E252" i="13" a="1"/>
  <c r="E252" i="13"/>
  <c r="E253" i="13" a="1"/>
  <c r="E253" i="13" s="1"/>
  <c r="E254" i="13" a="1"/>
  <c r="E254" i="13"/>
  <c r="E255" i="13" a="1"/>
  <c r="E255" i="13"/>
  <c r="E256" i="13" a="1"/>
  <c r="E256" i="13" s="1"/>
  <c r="E257" i="13" a="1"/>
  <c r="E257" i="13" s="1"/>
  <c r="E258" i="13" a="1"/>
  <c r="E258" i="13" s="1"/>
  <c r="E259" i="13" a="1"/>
  <c r="E259" i="13"/>
  <c r="E260" i="13" a="1"/>
  <c r="E260" i="13" s="1"/>
  <c r="E261" i="13" a="1"/>
  <c r="E261" i="13" s="1"/>
  <c r="E262" i="13" a="1"/>
  <c r="E262" i="13"/>
  <c r="E263" i="13" a="1"/>
  <c r="E263" i="13"/>
  <c r="E264" i="13" a="1"/>
  <c r="E264" i="13" s="1"/>
  <c r="E265" i="13" a="1"/>
  <c r="E265" i="13"/>
  <c r="E266" i="13" a="1"/>
  <c r="E266" i="13"/>
  <c r="E267" i="13" a="1"/>
  <c r="E267" i="13" s="1"/>
  <c r="E268" i="13" a="1"/>
  <c r="E268" i="13" s="1"/>
  <c r="E269" i="13" a="1"/>
  <c r="E269" i="13" s="1"/>
  <c r="E270" i="13" a="1"/>
  <c r="E270" i="13"/>
  <c r="E271" i="13" a="1"/>
  <c r="E271" i="13" s="1"/>
  <c r="E272" i="13" a="1"/>
  <c r="E272" i="13" s="1"/>
  <c r="E273" i="13" a="1"/>
  <c r="E273" i="13"/>
  <c r="E274" i="13" a="1"/>
  <c r="E274" i="13"/>
  <c r="E275" i="13" a="1"/>
  <c r="E275" i="13" s="1"/>
  <c r="E276" i="13" a="1"/>
  <c r="E276" i="13"/>
  <c r="E277" i="13" a="1"/>
  <c r="E277" i="13"/>
  <c r="E278" i="13" a="1"/>
  <c r="E278" i="13" s="1"/>
  <c r="E279" i="13" a="1"/>
  <c r="E279" i="13" s="1"/>
  <c r="E280" i="13" a="1"/>
  <c r="E280" i="13" s="1"/>
  <c r="E281" i="13" a="1"/>
  <c r="E281" i="13"/>
  <c r="E282" i="13" a="1"/>
  <c r="E282" i="13" s="1"/>
  <c r="E283" i="13" a="1"/>
  <c r="E283" i="13" s="1"/>
  <c r="E284" i="13" a="1"/>
  <c r="E284" i="13"/>
  <c r="E285" i="13" a="1"/>
  <c r="E285" i="13"/>
  <c r="E286" i="13" a="1"/>
  <c r="E286" i="13" s="1"/>
  <c r="E287" i="13" a="1"/>
  <c r="E287" i="13"/>
  <c r="E288" i="13" a="1"/>
  <c r="E288" i="13"/>
  <c r="E289" i="13" a="1"/>
  <c r="E289" i="13" s="1"/>
  <c r="E290" i="13" a="1"/>
  <c r="E290" i="13" s="1"/>
  <c r="E291" i="13" a="1"/>
  <c r="E291" i="13" s="1"/>
  <c r="E292" i="13" a="1"/>
  <c r="E292" i="13"/>
  <c r="E293" i="13" a="1"/>
  <c r="E293" i="13" s="1"/>
  <c r="E294" i="13" a="1"/>
  <c r="E294" i="13" s="1"/>
  <c r="E295" i="13" a="1"/>
  <c r="E295" i="13"/>
  <c r="E296" i="13" a="1"/>
  <c r="E296" i="13"/>
  <c r="E297" i="13" a="1"/>
  <c r="E297" i="13" s="1"/>
  <c r="E298" i="13" a="1"/>
  <c r="E298" i="13"/>
  <c r="E299" i="13" a="1"/>
  <c r="E299" i="13"/>
  <c r="E300" i="13" a="1"/>
  <c r="E300" i="13" s="1"/>
  <c r="E301" i="13" a="1"/>
  <c r="E301" i="13" s="1"/>
  <c r="E302" i="13" a="1"/>
  <c r="E302" i="13" s="1"/>
  <c r="E303" i="13" a="1"/>
  <c r="E303" i="13"/>
  <c r="E304" i="13" a="1"/>
  <c r="E304" i="13" s="1"/>
  <c r="E305" i="13" a="1"/>
  <c r="E305" i="13" s="1"/>
  <c r="E306" i="13" a="1"/>
  <c r="E306" i="13"/>
  <c r="E307" i="13" a="1"/>
  <c r="E307" i="13"/>
  <c r="E308" i="13" a="1"/>
  <c r="E308" i="13" s="1"/>
  <c r="E309" i="13" a="1"/>
  <c r="E309" i="13"/>
  <c r="E310" i="13" a="1"/>
  <c r="E310" i="13"/>
  <c r="E311" i="13" a="1"/>
  <c r="E311" i="13" s="1"/>
  <c r="E312" i="13" a="1"/>
  <c r="E312" i="13" s="1"/>
  <c r="E313" i="13" a="1"/>
  <c r="E313" i="13" s="1"/>
  <c r="E314" i="13" a="1"/>
  <c r="E314" i="13"/>
  <c r="E315" i="13" a="1"/>
  <c r="E315" i="13" s="1"/>
  <c r="E316" i="13" a="1"/>
  <c r="E316" i="13" s="1"/>
  <c r="E317" i="13" a="1"/>
  <c r="E317" i="13"/>
  <c r="E318" i="13" a="1"/>
  <c r="E318" i="13"/>
  <c r="E319" i="13" a="1"/>
  <c r="E319" i="13" s="1"/>
  <c r="E320" i="13" a="1"/>
  <c r="E320" i="13"/>
  <c r="E321" i="13" a="1"/>
  <c r="E321" i="13"/>
  <c r="E322" i="13" a="1"/>
  <c r="E322" i="13" s="1"/>
  <c r="E323" i="13" a="1"/>
  <c r="E323" i="13" s="1"/>
  <c r="E324" i="13" a="1"/>
  <c r="E324" i="13" s="1"/>
  <c r="E325" i="13" a="1"/>
  <c r="E325" i="13"/>
  <c r="E326" i="13" a="1"/>
  <c r="E326" i="13" s="1"/>
  <c r="E327" i="13" a="1"/>
  <c r="E327" i="13" s="1"/>
  <c r="E328" i="13" a="1"/>
  <c r="E328" i="13"/>
  <c r="E329" i="13" a="1"/>
  <c r="E329" i="13"/>
  <c r="E330" i="13" a="1"/>
  <c r="E330" i="13" s="1"/>
  <c r="E331" i="13" a="1"/>
  <c r="E331" i="13"/>
  <c r="E332" i="13" a="1"/>
  <c r="E332" i="13"/>
  <c r="E333" i="13" a="1"/>
  <c r="E333" i="13" s="1"/>
  <c r="E334" i="13" a="1"/>
  <c r="E334" i="13" s="1"/>
  <c r="E335" i="13" a="1"/>
  <c r="E335" i="13" s="1"/>
  <c r="E336" i="13" a="1"/>
  <c r="E336" i="13"/>
  <c r="E337" i="13" a="1"/>
  <c r="E337" i="13" s="1"/>
  <c r="E338" i="13" a="1"/>
  <c r="E338" i="13" s="1"/>
  <c r="E339" i="13" a="1"/>
  <c r="E339" i="13"/>
  <c r="E340" i="13" a="1"/>
  <c r="E340" i="13"/>
  <c r="E341" i="13" a="1"/>
  <c r="E341" i="13" s="1"/>
  <c r="E342" i="13" a="1"/>
  <c r="E342" i="13"/>
  <c r="E343" i="13" a="1"/>
  <c r="E343" i="13"/>
  <c r="E344" i="13" a="1"/>
  <c r="E344" i="13" s="1"/>
  <c r="E345" i="13" a="1"/>
  <c r="E345" i="13" s="1"/>
  <c r="E346" i="13" a="1"/>
  <c r="E346" i="13" s="1"/>
  <c r="E347" i="13" a="1"/>
  <c r="E347" i="13"/>
  <c r="E348" i="13" a="1"/>
  <c r="E348" i="13" s="1"/>
  <c r="E349" i="13" a="1"/>
  <c r="E349" i="13" s="1"/>
  <c r="E350" i="13" a="1"/>
  <c r="E350" i="13"/>
  <c r="E351" i="13" a="1"/>
  <c r="E351" i="13"/>
  <c r="E352" i="13" a="1"/>
  <c r="E352" i="13" s="1"/>
  <c r="E353" i="13" a="1"/>
  <c r="E353" i="13"/>
  <c r="E354" i="13" a="1"/>
  <c r="E354" i="13"/>
  <c r="E355" i="13" a="1"/>
  <c r="E355" i="13" s="1"/>
  <c r="E356" i="13" a="1"/>
  <c r="E356" i="13" s="1"/>
  <c r="E357" i="13" a="1"/>
  <c r="E357" i="13" s="1"/>
  <c r="E358" i="13" a="1"/>
  <c r="E358" i="13"/>
  <c r="E359" i="13" a="1"/>
  <c r="E359" i="13" s="1"/>
  <c r="E360" i="13" a="1"/>
  <c r="E360" i="13" s="1"/>
  <c r="E361" i="13" a="1"/>
  <c r="E361" i="13"/>
  <c r="E362" i="13" a="1"/>
  <c r="E362" i="13"/>
  <c r="E363" i="13" a="1"/>
  <c r="E363" i="13" s="1"/>
  <c r="E364" i="13" a="1"/>
  <c r="E364" i="13"/>
  <c r="E365" i="13" a="1"/>
  <c r="E365" i="13"/>
  <c r="E366" i="13" a="1"/>
  <c r="E366" i="13" s="1"/>
  <c r="E367" i="13" a="1"/>
  <c r="E367" i="13" s="1"/>
  <c r="E368" i="13" a="1"/>
  <c r="E368" i="13" s="1"/>
  <c r="E369" i="13" a="1"/>
  <c r="E369" i="13"/>
  <c r="E370" i="13" a="1"/>
  <c r="E370" i="13" s="1"/>
  <c r="E371" i="13" a="1"/>
  <c r="E371" i="13" s="1"/>
  <c r="E372" i="13" a="1"/>
  <c r="E372" i="13"/>
  <c r="E373" i="13" a="1"/>
  <c r="E373" i="13"/>
  <c r="E374" i="13" a="1"/>
  <c r="E374" i="13" s="1"/>
  <c r="E375" i="13" a="1"/>
  <c r="E375" i="13"/>
  <c r="E376" i="13" a="1"/>
  <c r="E376" i="13"/>
  <c r="E377" i="13" a="1"/>
  <c r="E377" i="13" s="1"/>
  <c r="E378" i="13" a="1"/>
  <c r="E378" i="13" s="1"/>
  <c r="E379" i="13" a="1"/>
  <c r="E379" i="13" s="1"/>
  <c r="E380" i="13" a="1"/>
  <c r="E380" i="13"/>
  <c r="E381" i="13" a="1"/>
  <c r="E381" i="13" s="1"/>
  <c r="E382" i="13" a="1"/>
  <c r="E382" i="13" s="1"/>
  <c r="E383" i="13" a="1"/>
  <c r="E383" i="13"/>
  <c r="E384" i="13" a="1"/>
  <c r="E384" i="13"/>
  <c r="E385" i="13" a="1"/>
  <c r="E385" i="13" s="1"/>
  <c r="E386" i="13" a="1"/>
  <c r="E386" i="13"/>
  <c r="E387" i="13" a="1"/>
  <c r="E387" i="13"/>
  <c r="E388" i="13" a="1"/>
  <c r="E388" i="13" s="1"/>
  <c r="E389" i="13" a="1"/>
  <c r="E389" i="13" s="1"/>
  <c r="E390" i="13" a="1"/>
  <c r="E390" i="13" s="1"/>
  <c r="E391" i="13" a="1"/>
  <c r="E391" i="13"/>
  <c r="E392" i="13" a="1"/>
  <c r="E392" i="13" s="1"/>
  <c r="E393" i="13" a="1"/>
  <c r="E393" i="13" s="1"/>
  <c r="E394" i="13" a="1"/>
  <c r="E394" i="13"/>
  <c r="E395" i="13" a="1"/>
  <c r="E395" i="13"/>
  <c r="E396" i="13" a="1"/>
  <c r="E396" i="13" s="1"/>
  <c r="E397" i="13" a="1"/>
  <c r="E397" i="13"/>
  <c r="E398" i="13" a="1"/>
  <c r="E398" i="13"/>
  <c r="E399" i="13" a="1"/>
  <c r="E399" i="13" s="1"/>
  <c r="E400" i="13" a="1"/>
  <c r="E400" i="13" s="1"/>
  <c r="E401" i="13" a="1"/>
  <c r="E401" i="13" s="1"/>
  <c r="E402" i="13" a="1"/>
  <c r="E402" i="13"/>
  <c r="E403" i="13" a="1"/>
  <c r="E403" i="13" s="1"/>
  <c r="E404" i="13" a="1"/>
  <c r="E404" i="13" s="1"/>
  <c r="E405" i="13" a="1"/>
  <c r="E405" i="13"/>
  <c r="E406" i="13" a="1"/>
  <c r="E406" i="13"/>
  <c r="E407" i="13" a="1"/>
  <c r="E407" i="13" s="1"/>
  <c r="E408" i="13" a="1"/>
  <c r="E408" i="13"/>
  <c r="E409" i="13" a="1"/>
  <c r="E409" i="13"/>
  <c r="E410" i="13" a="1"/>
  <c r="E410" i="13" s="1"/>
  <c r="E411" i="13" a="1"/>
  <c r="E411" i="13" s="1"/>
  <c r="E412" i="13" a="1"/>
  <c r="E412" i="13" s="1"/>
  <c r="E413" i="13" a="1"/>
  <c r="E413" i="13"/>
  <c r="E414" i="13" a="1"/>
  <c r="E414" i="13" s="1"/>
  <c r="E415" i="13" a="1"/>
  <c r="E415" i="13" s="1"/>
  <c r="E416" i="13" a="1"/>
  <c r="E416" i="13"/>
  <c r="E417" i="13" a="1"/>
  <c r="E417" i="13"/>
  <c r="E418" i="13" a="1"/>
  <c r="E418" i="13" s="1"/>
  <c r="E419" i="13" a="1"/>
  <c r="E419" i="13"/>
  <c r="E420" i="13" a="1"/>
  <c r="E420" i="13"/>
  <c r="E421" i="13" a="1"/>
  <c r="E421" i="13" s="1"/>
  <c r="E422" i="13" a="1"/>
  <c r="E422" i="13" s="1"/>
  <c r="E423" i="13" a="1"/>
  <c r="E423" i="13" s="1"/>
  <c r="E424" i="13" a="1"/>
  <c r="E424" i="13"/>
  <c r="E425" i="13" a="1"/>
  <c r="E425" i="13" s="1"/>
  <c r="E426" i="13" a="1"/>
  <c r="E426" i="13" s="1"/>
  <c r="E427" i="13" a="1"/>
  <c r="E427" i="13"/>
  <c r="E428" i="13" a="1"/>
  <c r="E428" i="13"/>
  <c r="E429" i="13" a="1"/>
  <c r="E429" i="13" s="1"/>
  <c r="E430" i="13" a="1"/>
  <c r="E430" i="13"/>
  <c r="E431" i="13" a="1"/>
  <c r="E431" i="13"/>
  <c r="E432" i="13" a="1"/>
  <c r="E432" i="13" s="1"/>
  <c r="E433" i="13" a="1"/>
  <c r="E433" i="13" s="1"/>
  <c r="E434" i="13" a="1"/>
  <c r="E434" i="13" s="1"/>
  <c r="E435" i="13" a="1"/>
  <c r="E435" i="13"/>
  <c r="E436" i="13" a="1"/>
  <c r="E436" i="13" s="1"/>
  <c r="E437" i="13" a="1"/>
  <c r="E437" i="13" s="1"/>
  <c r="E438" i="13" a="1"/>
  <c r="E438" i="13"/>
  <c r="E439" i="13" a="1"/>
  <c r="E439" i="13"/>
  <c r="E440" i="13" a="1"/>
  <c r="E440" i="13" s="1"/>
  <c r="E441" i="13" a="1"/>
  <c r="E441" i="13"/>
  <c r="E442" i="13" a="1"/>
  <c r="E442" i="13"/>
  <c r="E443" i="13" a="1"/>
  <c r="E443" i="13" s="1"/>
  <c r="E444" i="13" a="1"/>
  <c r="E444" i="13" s="1"/>
  <c r="E445" i="13" a="1"/>
  <c r="E445" i="13" s="1"/>
  <c r="E446" i="13" a="1"/>
  <c r="E446" i="13"/>
  <c r="E447" i="13" a="1"/>
  <c r="E447" i="13" s="1"/>
  <c r="E448" i="13" a="1"/>
  <c r="E448" i="13" s="1"/>
  <c r="E449" i="13" a="1"/>
  <c r="E449" i="13"/>
  <c r="E450" i="13" a="1"/>
  <c r="E450" i="13"/>
  <c r="E451" i="13" a="1"/>
  <c r="E451" i="13" s="1"/>
  <c r="E452" i="13" a="1"/>
  <c r="E452" i="13"/>
  <c r="E453" i="13" a="1"/>
  <c r="E453" i="13"/>
  <c r="E454" i="13" a="1"/>
  <c r="E454" i="13" s="1"/>
  <c r="E455" i="13" a="1"/>
  <c r="E455" i="13" s="1"/>
  <c r="E456" i="13" a="1"/>
  <c r="E456" i="13" s="1"/>
  <c r="E457" i="13" a="1"/>
  <c r="E457" i="13"/>
  <c r="E458" i="13" a="1"/>
  <c r="E458" i="13" s="1"/>
  <c r="E459" i="13" a="1"/>
  <c r="E459" i="13" s="1"/>
  <c r="E460" i="13" a="1"/>
  <c r="E460" i="13"/>
  <c r="E461" i="13" a="1"/>
  <c r="E461" i="13"/>
  <c r="E462" i="13" a="1"/>
  <c r="E462" i="13" s="1"/>
  <c r="E463" i="13" a="1"/>
  <c r="E463" i="13"/>
  <c r="E464" i="13" a="1"/>
  <c r="E464" i="13"/>
  <c r="E465" i="13" a="1"/>
  <c r="E465" i="13" s="1"/>
  <c r="E466" i="13" a="1"/>
  <c r="E466" i="13" s="1"/>
  <c r="E467" i="13" a="1"/>
  <c r="E467" i="13" s="1"/>
  <c r="E468" i="13" a="1"/>
  <c r="E468" i="13"/>
  <c r="E469" i="13" a="1"/>
  <c r="E469" i="13" s="1"/>
  <c r="E470" i="13" a="1"/>
  <c r="E470" i="13" s="1"/>
  <c r="E471" i="13" a="1"/>
  <c r="E471" i="13"/>
  <c r="E472" i="13" a="1"/>
  <c r="E472" i="13"/>
  <c r="E473" i="13" a="1"/>
  <c r="E473" i="13" s="1"/>
  <c r="E474" i="13" a="1"/>
  <c r="E474" i="13"/>
  <c r="E475" i="13" a="1"/>
  <c r="E475" i="13"/>
  <c r="E476" i="13" a="1"/>
  <c r="E476" i="13" s="1"/>
  <c r="E477" i="13" a="1"/>
  <c r="E477" i="13" s="1"/>
  <c r="E478" i="13" a="1"/>
  <c r="E478" i="13" s="1"/>
  <c r="E479" i="13" a="1"/>
  <c r="E479" i="13"/>
  <c r="E480" i="13" a="1"/>
  <c r="E480" i="13" s="1"/>
  <c r="E481" i="13" a="1"/>
  <c r="E481" i="13" s="1"/>
  <c r="E482" i="13" a="1"/>
  <c r="E482" i="13"/>
  <c r="E483" i="13" a="1"/>
  <c r="E483" i="13"/>
  <c r="E484" i="13" a="1"/>
  <c r="E484" i="13" s="1"/>
  <c r="E485" i="13" a="1"/>
  <c r="E485" i="13"/>
  <c r="E486" i="13" a="1"/>
  <c r="E486" i="13"/>
  <c r="E487" i="13" a="1"/>
  <c r="E487" i="13" s="1"/>
  <c r="E488" i="13" a="1"/>
  <c r="E488" i="13" s="1"/>
  <c r="E489" i="13" a="1"/>
  <c r="E489" i="13" s="1"/>
  <c r="E490" i="13" a="1"/>
  <c r="E490" i="13"/>
  <c r="E491" i="13" a="1"/>
  <c r="E491" i="13" s="1"/>
  <c r="E492" i="13" a="1"/>
  <c r="E492" i="13" s="1"/>
  <c r="E493" i="13" a="1"/>
  <c r="E493" i="13"/>
  <c r="E494" i="13" a="1"/>
  <c r="E494" i="13"/>
  <c r="E495" i="13" a="1"/>
  <c r="E495" i="13" s="1"/>
  <c r="E496" i="13" a="1"/>
  <c r="E496" i="13"/>
  <c r="E497" i="13" a="1"/>
  <c r="E497" i="13"/>
  <c r="E498" i="13" a="1"/>
  <c r="E498" i="13" s="1"/>
  <c r="E499" i="13" a="1"/>
  <c r="E499" i="13" s="1"/>
  <c r="E500" i="13" a="1"/>
  <c r="E500" i="13" s="1"/>
  <c r="E501" i="13" a="1"/>
  <c r="E501" i="13"/>
  <c r="E502" i="13" a="1"/>
  <c r="E502" i="13" s="1"/>
  <c r="E503" i="13" a="1"/>
  <c r="E503" i="13" s="1"/>
  <c r="E504" i="13" a="1"/>
  <c r="E504" i="13"/>
  <c r="E505" i="13" a="1"/>
  <c r="E505" i="13"/>
  <c r="E506" i="13" a="1"/>
  <c r="E506" i="13" s="1"/>
  <c r="E507" i="13" a="1"/>
  <c r="E507" i="13"/>
  <c r="E508" i="13" a="1"/>
  <c r="E508" i="13"/>
  <c r="E509" i="13" a="1"/>
  <c r="E509" i="13" s="1"/>
  <c r="E510" i="13" a="1"/>
  <c r="E510" i="13" s="1"/>
  <c r="E511" i="13" a="1"/>
  <c r="E511" i="13" s="1"/>
  <c r="E512" i="13" a="1"/>
  <c r="E512" i="13"/>
  <c r="E513" i="13" a="1"/>
  <c r="E513" i="13" s="1"/>
  <c r="E514" i="13" a="1"/>
  <c r="E514" i="13" s="1"/>
  <c r="E515" i="13" a="1"/>
  <c r="E515" i="13"/>
  <c r="E516" i="13" a="1"/>
  <c r="E516" i="13"/>
  <c r="E517" i="13" a="1"/>
  <c r="E517" i="13" s="1"/>
  <c r="E518" i="13" a="1"/>
  <c r="E518" i="13"/>
  <c r="E519" i="13" a="1"/>
  <c r="E519" i="13" s="1"/>
  <c r="E520" i="13" a="1"/>
  <c r="E520" i="13" s="1"/>
  <c r="E2" i="13" a="1"/>
  <c r="E2" i="13" s="1"/>
  <c r="D3" i="13" a="1"/>
  <c r="D3" i="13" s="1"/>
  <c r="D4" i="13" a="1"/>
  <c r="D4" i="13" s="1"/>
  <c r="D5" i="13" a="1"/>
  <c r="D5" i="13" s="1"/>
  <c r="D6" i="13" a="1"/>
  <c r="D6" i="13"/>
  <c r="D7" i="13" a="1"/>
  <c r="D7" i="13"/>
  <c r="D8" i="13" a="1"/>
  <c r="D8" i="13"/>
  <c r="D9" i="13" a="1"/>
  <c r="D9" i="13"/>
  <c r="D10" i="13" a="1"/>
  <c r="D10" i="13"/>
  <c r="D11" i="13" a="1"/>
  <c r="D11" i="13"/>
  <c r="D12" i="13" a="1"/>
  <c r="D12" i="13"/>
  <c r="D13" i="13" a="1"/>
  <c r="D13" i="13"/>
  <c r="D14" i="13" a="1"/>
  <c r="D14" i="13" s="1"/>
  <c r="D15" i="13" a="1"/>
  <c r="D15" i="13" s="1"/>
  <c r="D16" i="13" a="1"/>
  <c r="D16" i="13" s="1"/>
  <c r="D17" i="13" a="1"/>
  <c r="D17" i="13"/>
  <c r="D18" i="13" a="1"/>
  <c r="D18" i="13"/>
  <c r="D19" i="13" a="1"/>
  <c r="D19" i="13"/>
  <c r="D20" i="13" a="1"/>
  <c r="D20" i="13"/>
  <c r="D21" i="13" a="1"/>
  <c r="D21" i="13"/>
  <c r="D22" i="13" a="1"/>
  <c r="D22" i="13"/>
  <c r="D23" i="13" a="1"/>
  <c r="D23" i="13"/>
  <c r="D24" i="13" a="1"/>
  <c r="D24" i="13"/>
  <c r="D25" i="13" a="1"/>
  <c r="D25" i="13" s="1"/>
  <c r="D26" i="13" a="1"/>
  <c r="D26" i="13" s="1"/>
  <c r="D27" i="13" a="1"/>
  <c r="D27" i="13" s="1"/>
  <c r="D28" i="13" a="1"/>
  <c r="D28" i="13"/>
  <c r="D29" i="13" a="1"/>
  <c r="D29" i="13"/>
  <c r="D30" i="13" a="1"/>
  <c r="D30" i="13"/>
  <c r="D31" i="13" a="1"/>
  <c r="D31" i="13"/>
  <c r="D32" i="13" a="1"/>
  <c r="D32" i="13"/>
  <c r="D33" i="13" a="1"/>
  <c r="D33" i="13"/>
  <c r="D34" i="13" a="1"/>
  <c r="D34" i="13"/>
  <c r="D35" i="13" a="1"/>
  <c r="D35" i="13"/>
  <c r="D36" i="13" a="1"/>
  <c r="D36" i="13" s="1"/>
  <c r="D37" i="13" a="1"/>
  <c r="D37" i="13" s="1"/>
  <c r="D38" i="13" a="1"/>
  <c r="D38" i="13" s="1"/>
  <c r="D39" i="13" a="1"/>
  <c r="D39" i="13"/>
  <c r="D40" i="13" a="1"/>
  <c r="D40" i="13"/>
  <c r="D41" i="13" a="1"/>
  <c r="D41" i="13"/>
  <c r="D42" i="13" a="1"/>
  <c r="D42" i="13"/>
  <c r="D43" i="13" a="1"/>
  <c r="D43" i="13"/>
  <c r="D44" i="13" a="1"/>
  <c r="D44" i="13"/>
  <c r="D45" i="13" a="1"/>
  <c r="D45" i="13"/>
  <c r="D46" i="13" a="1"/>
  <c r="D46" i="13"/>
  <c r="D47" i="13" a="1"/>
  <c r="D47" i="13" s="1"/>
  <c r="D48" i="13" a="1"/>
  <c r="D48" i="13" s="1"/>
  <c r="D49" i="13" a="1"/>
  <c r="D49" i="13" s="1"/>
  <c r="D50" i="13" a="1"/>
  <c r="D50" i="13"/>
  <c r="D51" i="13" a="1"/>
  <c r="D51" i="13"/>
  <c r="D52" i="13" a="1"/>
  <c r="D52" i="13"/>
  <c r="D53" i="13" a="1"/>
  <c r="D53" i="13"/>
  <c r="D54" i="13" a="1"/>
  <c r="D54" i="13"/>
  <c r="D55" i="13" a="1"/>
  <c r="D55" i="13"/>
  <c r="D56" i="13" a="1"/>
  <c r="D56" i="13"/>
  <c r="D57" i="13" a="1"/>
  <c r="D57" i="13"/>
  <c r="D58" i="13" a="1"/>
  <c r="D58" i="13" s="1"/>
  <c r="D59" i="13" a="1"/>
  <c r="D59" i="13" s="1"/>
  <c r="D60" i="13" a="1"/>
  <c r="D60" i="13" s="1"/>
  <c r="D61" i="13" a="1"/>
  <c r="D61" i="13"/>
  <c r="D62" i="13" a="1"/>
  <c r="D62" i="13"/>
  <c r="D63" i="13" a="1"/>
  <c r="D63" i="13"/>
  <c r="D64" i="13" a="1"/>
  <c r="D64" i="13"/>
  <c r="D65" i="13" a="1"/>
  <c r="D65" i="13"/>
  <c r="D66" i="13" a="1"/>
  <c r="D66" i="13"/>
  <c r="D67" i="13" a="1"/>
  <c r="D67" i="13"/>
  <c r="D68" i="13" a="1"/>
  <c r="D68" i="13"/>
  <c r="D69" i="13" a="1"/>
  <c r="D69" i="13" s="1"/>
  <c r="D70" i="13" a="1"/>
  <c r="D70" i="13" s="1"/>
  <c r="D71" i="13" a="1"/>
  <c r="D71" i="13" s="1"/>
  <c r="D72" i="13" a="1"/>
  <c r="D72" i="13"/>
  <c r="D73" i="13" a="1"/>
  <c r="D73" i="13"/>
  <c r="D74" i="13" a="1"/>
  <c r="D74" i="13"/>
  <c r="D75" i="13" a="1"/>
  <c r="D75" i="13"/>
  <c r="D76" i="13" a="1"/>
  <c r="D76" i="13"/>
  <c r="D77" i="13" a="1"/>
  <c r="D77" i="13"/>
  <c r="D78" i="13" a="1"/>
  <c r="D78" i="13"/>
  <c r="D79" i="13" a="1"/>
  <c r="D79" i="13"/>
  <c r="D80" i="13" a="1"/>
  <c r="D80" i="13" s="1"/>
  <c r="D81" i="13" a="1"/>
  <c r="D81" i="13" s="1"/>
  <c r="D82" i="13" a="1"/>
  <c r="D82" i="13" s="1"/>
  <c r="D83" i="13" a="1"/>
  <c r="D83" i="13"/>
  <c r="D84" i="13" a="1"/>
  <c r="D84" i="13"/>
  <c r="D85" i="13" a="1"/>
  <c r="D85" i="13"/>
  <c r="D86" i="13" a="1"/>
  <c r="D86" i="13"/>
  <c r="D87" i="13" a="1"/>
  <c r="D87" i="13"/>
  <c r="D88" i="13" a="1"/>
  <c r="D88" i="13"/>
  <c r="D89" i="13" a="1"/>
  <c r="D89" i="13"/>
  <c r="D90" i="13" a="1"/>
  <c r="D90" i="13"/>
  <c r="D91" i="13" a="1"/>
  <c r="D91" i="13" s="1"/>
  <c r="D92" i="13" a="1"/>
  <c r="D92" i="13" s="1"/>
  <c r="D93" i="13" a="1"/>
  <c r="D93" i="13" s="1"/>
  <c r="D94" i="13" a="1"/>
  <c r="D94" i="13"/>
  <c r="D95" i="13" a="1"/>
  <c r="D95" i="13"/>
  <c r="D96" i="13" a="1"/>
  <c r="D96" i="13"/>
  <c r="D97" i="13" a="1"/>
  <c r="D97" i="13"/>
  <c r="D98" i="13" a="1"/>
  <c r="D98" i="13"/>
  <c r="D99" i="13" a="1"/>
  <c r="D99" i="13"/>
  <c r="D100" i="13" a="1"/>
  <c r="D100" i="13"/>
  <c r="D101" i="13" a="1"/>
  <c r="D101" i="13"/>
  <c r="D102" i="13" a="1"/>
  <c r="D102" i="13" s="1"/>
  <c r="D103" i="13" a="1"/>
  <c r="D103" i="13" s="1"/>
  <c r="D104" i="13" a="1"/>
  <c r="D104" i="13" s="1"/>
  <c r="D105" i="13" a="1"/>
  <c r="D105" i="13"/>
  <c r="D106" i="13" a="1"/>
  <c r="D106" i="13"/>
  <c r="D107" i="13" a="1"/>
  <c r="D107" i="13"/>
  <c r="D108" i="13" a="1"/>
  <c r="D108" i="13"/>
  <c r="D109" i="13" a="1"/>
  <c r="D109" i="13"/>
  <c r="D110" i="13" a="1"/>
  <c r="D110" i="13"/>
  <c r="D111" i="13" a="1"/>
  <c r="D111" i="13"/>
  <c r="D112" i="13" a="1"/>
  <c r="D112" i="13"/>
  <c r="D113" i="13" a="1"/>
  <c r="D113" i="13" s="1"/>
  <c r="D114" i="13" a="1"/>
  <c r="D114" i="13" s="1"/>
  <c r="D115" i="13" a="1"/>
  <c r="D115" i="13" s="1"/>
  <c r="D116" i="13" a="1"/>
  <c r="D116" i="13"/>
  <c r="D117" i="13" a="1"/>
  <c r="D117" i="13"/>
  <c r="D118" i="13" a="1"/>
  <c r="D118" i="13"/>
  <c r="D119" i="13" a="1"/>
  <c r="D119" i="13"/>
  <c r="D120" i="13" a="1"/>
  <c r="D120" i="13"/>
  <c r="D121" i="13" a="1"/>
  <c r="D121" i="13"/>
  <c r="D122" i="13" a="1"/>
  <c r="D122" i="13"/>
  <c r="D123" i="13" a="1"/>
  <c r="D123" i="13"/>
  <c r="D124" i="13" a="1"/>
  <c r="D124" i="13" s="1"/>
  <c r="D125" i="13" a="1"/>
  <c r="D125" i="13" s="1"/>
  <c r="D126" i="13" a="1"/>
  <c r="D126" i="13" s="1"/>
  <c r="D127" i="13" a="1"/>
  <c r="D127" i="13"/>
  <c r="D128" i="13" a="1"/>
  <c r="D128" i="13"/>
  <c r="D129" i="13" a="1"/>
  <c r="D129" i="13"/>
  <c r="D130" i="13" a="1"/>
  <c r="D130" i="13"/>
  <c r="D131" i="13" a="1"/>
  <c r="D131" i="13"/>
  <c r="D132" i="13" a="1"/>
  <c r="D132" i="13"/>
  <c r="D133" i="13" a="1"/>
  <c r="D133" i="13"/>
  <c r="D134" i="13" a="1"/>
  <c r="D134" i="13"/>
  <c r="D135" i="13" a="1"/>
  <c r="D135" i="13" s="1"/>
  <c r="D136" i="13" a="1"/>
  <c r="D136" i="13" s="1"/>
  <c r="D137" i="13" a="1"/>
  <c r="D137" i="13" s="1"/>
  <c r="D138" i="13" a="1"/>
  <c r="D138" i="13"/>
  <c r="D139" i="13" a="1"/>
  <c r="D139" i="13"/>
  <c r="D140" i="13" a="1"/>
  <c r="D140" i="13"/>
  <c r="D141" i="13" a="1"/>
  <c r="D141" i="13"/>
  <c r="D142" i="13" a="1"/>
  <c r="D142" i="13"/>
  <c r="D143" i="13" a="1"/>
  <c r="D143" i="13"/>
  <c r="D144" i="13" a="1"/>
  <c r="D144" i="13"/>
  <c r="D145" i="13" a="1"/>
  <c r="D145" i="13"/>
  <c r="D146" i="13" a="1"/>
  <c r="D146" i="13" s="1"/>
  <c r="D147" i="13" a="1"/>
  <c r="D147" i="13" s="1"/>
  <c r="D148" i="13" a="1"/>
  <c r="D148" i="13" s="1"/>
  <c r="D149" i="13" a="1"/>
  <c r="D149" i="13"/>
  <c r="D150" i="13" a="1"/>
  <c r="D150" i="13"/>
  <c r="D151" i="13" a="1"/>
  <c r="D151" i="13"/>
  <c r="D152" i="13" a="1"/>
  <c r="D152" i="13"/>
  <c r="D153" i="13" a="1"/>
  <c r="D153" i="13"/>
  <c r="D154" i="13" a="1"/>
  <c r="D154" i="13"/>
  <c r="D155" i="13" a="1"/>
  <c r="D155" i="13"/>
  <c r="D156" i="13" a="1"/>
  <c r="D156" i="13"/>
  <c r="D157" i="13" a="1"/>
  <c r="D157" i="13" s="1"/>
  <c r="D158" i="13" a="1"/>
  <c r="D158" i="13" s="1"/>
  <c r="D159" i="13" a="1"/>
  <c r="D159" i="13" s="1"/>
  <c r="D160" i="13" a="1"/>
  <c r="D160" i="13"/>
  <c r="D161" i="13" a="1"/>
  <c r="D161" i="13"/>
  <c r="D162" i="13" a="1"/>
  <c r="D162" i="13"/>
  <c r="D163" i="13" a="1"/>
  <c r="D163" i="13"/>
  <c r="D164" i="13" a="1"/>
  <c r="D164" i="13"/>
  <c r="D165" i="13" a="1"/>
  <c r="D165" i="13"/>
  <c r="D166" i="13" a="1"/>
  <c r="D166" i="13"/>
  <c r="D167" i="13" a="1"/>
  <c r="D167" i="13"/>
  <c r="D168" i="13" a="1"/>
  <c r="D168" i="13" s="1"/>
  <c r="D169" i="13" a="1"/>
  <c r="D169" i="13" s="1"/>
  <c r="D170" i="13" a="1"/>
  <c r="D170" i="13" s="1"/>
  <c r="D171" i="13" a="1"/>
  <c r="D171" i="13"/>
  <c r="D172" i="13" a="1"/>
  <c r="D172" i="13"/>
  <c r="D173" i="13" a="1"/>
  <c r="D173" i="13"/>
  <c r="D174" i="13" a="1"/>
  <c r="D174" i="13"/>
  <c r="D175" i="13" a="1"/>
  <c r="D175" i="13"/>
  <c r="D176" i="13" a="1"/>
  <c r="D176" i="13"/>
  <c r="D177" i="13" a="1"/>
  <c r="D177" i="13"/>
  <c r="D178" i="13" a="1"/>
  <c r="D178" i="13"/>
  <c r="D179" i="13" a="1"/>
  <c r="D179" i="13" s="1"/>
  <c r="D180" i="13" a="1"/>
  <c r="D180" i="13" s="1"/>
  <c r="D181" i="13" a="1"/>
  <c r="D181" i="13" s="1"/>
  <c r="D182" i="13" a="1"/>
  <c r="D182" i="13"/>
  <c r="D183" i="13" a="1"/>
  <c r="D183" i="13"/>
  <c r="D184" i="13" a="1"/>
  <c r="D184" i="13"/>
  <c r="D185" i="13" a="1"/>
  <c r="D185" i="13"/>
  <c r="D186" i="13" a="1"/>
  <c r="D186" i="13"/>
  <c r="D187" i="13" a="1"/>
  <c r="D187" i="13"/>
  <c r="D188" i="13" a="1"/>
  <c r="D188" i="13"/>
  <c r="D189" i="13" a="1"/>
  <c r="D189" i="13"/>
  <c r="D190" i="13" a="1"/>
  <c r="D190" i="13" s="1"/>
  <c r="D191" i="13" a="1"/>
  <c r="D191" i="13" s="1"/>
  <c r="D192" i="13" a="1"/>
  <c r="D192" i="13" s="1"/>
  <c r="D193" i="13" a="1"/>
  <c r="D193" i="13"/>
  <c r="D194" i="13" a="1"/>
  <c r="D194" i="13"/>
  <c r="D195" i="13" a="1"/>
  <c r="D195" i="13"/>
  <c r="D196" i="13" a="1"/>
  <c r="D196" i="13"/>
  <c r="D197" i="13" a="1"/>
  <c r="D197" i="13"/>
  <c r="D198" i="13" a="1"/>
  <c r="D198" i="13"/>
  <c r="D199" i="13" a="1"/>
  <c r="D199" i="13"/>
  <c r="D200" i="13" a="1"/>
  <c r="D200" i="13"/>
  <c r="D201" i="13" a="1"/>
  <c r="D201" i="13" s="1"/>
  <c r="D202" i="13" a="1"/>
  <c r="D202" i="13" s="1"/>
  <c r="D203" i="13" a="1"/>
  <c r="D203" i="13" s="1"/>
  <c r="D204" i="13" a="1"/>
  <c r="D204" i="13"/>
  <c r="D205" i="13" a="1"/>
  <c r="D205" i="13"/>
  <c r="D206" i="13" a="1"/>
  <c r="D206" i="13"/>
  <c r="D207" i="13" a="1"/>
  <c r="D207" i="13"/>
  <c r="D208" i="13" a="1"/>
  <c r="D208" i="13"/>
  <c r="D209" i="13" a="1"/>
  <c r="D209" i="13"/>
  <c r="D210" i="13" a="1"/>
  <c r="D210" i="13"/>
  <c r="D211" i="13" a="1"/>
  <c r="D211" i="13"/>
  <c r="D212" i="13" a="1"/>
  <c r="D212" i="13" s="1"/>
  <c r="D213" i="13" a="1"/>
  <c r="D213" i="13" s="1"/>
  <c r="D214" i="13" a="1"/>
  <c r="D214" i="13" s="1"/>
  <c r="D215" i="13" a="1"/>
  <c r="D215" i="13"/>
  <c r="D216" i="13" a="1"/>
  <c r="D216" i="13"/>
  <c r="D217" i="13" a="1"/>
  <c r="D217" i="13"/>
  <c r="D218" i="13" a="1"/>
  <c r="D218" i="13"/>
  <c r="D219" i="13" a="1"/>
  <c r="D219" i="13"/>
  <c r="D220" i="13" a="1"/>
  <c r="D220" i="13"/>
  <c r="D221" i="13" a="1"/>
  <c r="D221" i="13"/>
  <c r="D222" i="13" a="1"/>
  <c r="D222" i="13"/>
  <c r="D223" i="13" a="1"/>
  <c r="D223" i="13" s="1"/>
  <c r="D224" i="13" a="1"/>
  <c r="D224" i="13" s="1"/>
  <c r="D225" i="13" a="1"/>
  <c r="D225" i="13" s="1"/>
  <c r="D226" i="13" a="1"/>
  <c r="D226" i="13"/>
  <c r="D227" i="13" a="1"/>
  <c r="D227" i="13"/>
  <c r="D228" i="13" a="1"/>
  <c r="D228" i="13"/>
  <c r="D229" i="13" a="1"/>
  <c r="D229" i="13"/>
  <c r="D230" i="13" a="1"/>
  <c r="D230" i="13"/>
  <c r="D231" i="13" a="1"/>
  <c r="D231" i="13"/>
  <c r="D232" i="13" a="1"/>
  <c r="D232" i="13"/>
  <c r="D233" i="13" a="1"/>
  <c r="D233" i="13"/>
  <c r="D234" i="13" a="1"/>
  <c r="D234" i="13" s="1"/>
  <c r="D235" i="13" a="1"/>
  <c r="D235" i="13" s="1"/>
  <c r="D236" i="13" a="1"/>
  <c r="D236" i="13" s="1"/>
  <c r="D237" i="13" a="1"/>
  <c r="D237" i="13"/>
  <c r="D238" i="13" a="1"/>
  <c r="D238" i="13"/>
  <c r="D239" i="13" a="1"/>
  <c r="D239" i="13"/>
  <c r="D240" i="13" a="1"/>
  <c r="D240" i="13"/>
  <c r="D241" i="13" a="1"/>
  <c r="D241" i="13"/>
  <c r="D242" i="13" a="1"/>
  <c r="D242" i="13"/>
  <c r="D243" i="13" a="1"/>
  <c r="D243" i="13"/>
  <c r="D244" i="13" a="1"/>
  <c r="D244" i="13"/>
  <c r="D245" i="13" a="1"/>
  <c r="D245" i="13" s="1"/>
  <c r="D246" i="13" a="1"/>
  <c r="D246" i="13" s="1"/>
  <c r="D247" i="13" a="1"/>
  <c r="D247" i="13" s="1"/>
  <c r="D248" i="13" a="1"/>
  <c r="D248" i="13"/>
  <c r="D249" i="13" a="1"/>
  <c r="D249" i="13"/>
  <c r="D250" i="13" a="1"/>
  <c r="D250" i="13"/>
  <c r="D251" i="13" a="1"/>
  <c r="D251" i="13"/>
  <c r="D252" i="13" a="1"/>
  <c r="D252" i="13"/>
  <c r="D253" i="13" a="1"/>
  <c r="D253" i="13"/>
  <c r="D254" i="13" a="1"/>
  <c r="D254" i="13"/>
  <c r="D255" i="13" a="1"/>
  <c r="D255" i="13"/>
  <c r="D256" i="13" a="1"/>
  <c r="D256" i="13" s="1"/>
  <c r="D257" i="13" a="1"/>
  <c r="D257" i="13" s="1"/>
  <c r="D258" i="13" a="1"/>
  <c r="D258" i="13" s="1"/>
  <c r="D259" i="13" a="1"/>
  <c r="D259" i="13"/>
  <c r="D260" i="13" a="1"/>
  <c r="D260" i="13"/>
  <c r="D261" i="13" a="1"/>
  <c r="D261" i="13"/>
  <c r="D262" i="13" a="1"/>
  <c r="D262" i="13"/>
  <c r="D263" i="13" a="1"/>
  <c r="D263" i="13"/>
  <c r="D264" i="13" a="1"/>
  <c r="D264" i="13"/>
  <c r="D265" i="13" a="1"/>
  <c r="D265" i="13"/>
  <c r="D266" i="13" a="1"/>
  <c r="D266" i="13"/>
  <c r="D267" i="13" a="1"/>
  <c r="D267" i="13" s="1"/>
  <c r="D268" i="13" a="1"/>
  <c r="D268" i="13" s="1"/>
  <c r="D269" i="13" a="1"/>
  <c r="D269" i="13" s="1"/>
  <c r="D270" i="13" a="1"/>
  <c r="D270" i="13"/>
  <c r="D271" i="13" a="1"/>
  <c r="D271" i="13"/>
  <c r="D272" i="13" a="1"/>
  <c r="D272" i="13" s="1"/>
  <c r="D273" i="13" a="1"/>
  <c r="D273" i="13"/>
  <c r="D274" i="13" a="1"/>
  <c r="D274" i="13"/>
  <c r="D275" i="13" a="1"/>
  <c r="D275" i="13"/>
  <c r="D276" i="13" a="1"/>
  <c r="D276" i="13"/>
  <c r="D277" i="13" a="1"/>
  <c r="D277" i="13"/>
  <c r="D278" i="13" a="1"/>
  <c r="D278" i="13" s="1"/>
  <c r="D279" i="13" a="1"/>
  <c r="D279" i="13" s="1"/>
  <c r="D280" i="13" a="1"/>
  <c r="D280" i="13" s="1"/>
  <c r="D281" i="13" a="1"/>
  <c r="D281" i="13"/>
  <c r="D282" i="13" a="1"/>
  <c r="D282" i="13"/>
  <c r="D283" i="13" a="1"/>
  <c r="D283" i="13"/>
  <c r="D284" i="13" a="1"/>
  <c r="D284" i="13"/>
  <c r="D285" i="13" a="1"/>
  <c r="D285" i="13"/>
  <c r="D286" i="13" a="1"/>
  <c r="D286" i="13"/>
  <c r="D287" i="13" a="1"/>
  <c r="D287" i="13"/>
  <c r="D288" i="13" a="1"/>
  <c r="D288" i="13"/>
  <c r="D289" i="13" a="1"/>
  <c r="D289" i="13" s="1"/>
  <c r="D290" i="13" a="1"/>
  <c r="D290" i="13" s="1"/>
  <c r="D291" i="13" a="1"/>
  <c r="D291" i="13" s="1"/>
  <c r="D292" i="13" a="1"/>
  <c r="D292" i="13"/>
  <c r="D293" i="13" a="1"/>
  <c r="D293" i="13"/>
  <c r="D294" i="13" a="1"/>
  <c r="D294" i="13"/>
  <c r="D295" i="13" a="1"/>
  <c r="D295" i="13"/>
  <c r="D296" i="13" a="1"/>
  <c r="D296" i="13"/>
  <c r="D297" i="13" a="1"/>
  <c r="D297" i="13"/>
  <c r="D298" i="13" a="1"/>
  <c r="D298" i="13"/>
  <c r="D299" i="13" a="1"/>
  <c r="D299" i="13"/>
  <c r="D300" i="13" a="1"/>
  <c r="D300" i="13" s="1"/>
  <c r="D301" i="13" a="1"/>
  <c r="D301" i="13" s="1"/>
  <c r="D302" i="13" a="1"/>
  <c r="D302" i="13" s="1"/>
  <c r="D303" i="13" a="1"/>
  <c r="D303" i="13"/>
  <c r="D304" i="13" a="1"/>
  <c r="D304" i="13"/>
  <c r="D305" i="13" a="1"/>
  <c r="D305" i="13"/>
  <c r="D306" i="13" a="1"/>
  <c r="D306" i="13"/>
  <c r="D307" i="13" a="1"/>
  <c r="D307" i="13"/>
  <c r="D308" i="13" a="1"/>
  <c r="D308" i="13"/>
  <c r="D309" i="13" a="1"/>
  <c r="D309" i="13"/>
  <c r="D310" i="13" a="1"/>
  <c r="D310" i="13"/>
  <c r="D311" i="13" a="1"/>
  <c r="D311" i="13" s="1"/>
  <c r="D312" i="13" a="1"/>
  <c r="D312" i="13" s="1"/>
  <c r="D313" i="13" a="1"/>
  <c r="D313" i="13" s="1"/>
  <c r="D314" i="13" a="1"/>
  <c r="D314" i="13"/>
  <c r="D315" i="13" a="1"/>
  <c r="D315" i="13"/>
  <c r="D316" i="13" a="1"/>
  <c r="D316" i="13"/>
  <c r="D317" i="13" a="1"/>
  <c r="D317" i="13"/>
  <c r="D318" i="13" a="1"/>
  <c r="D318" i="13"/>
  <c r="D319" i="13" a="1"/>
  <c r="D319" i="13"/>
  <c r="D320" i="13" a="1"/>
  <c r="D320" i="13"/>
  <c r="D321" i="13" a="1"/>
  <c r="D321" i="13"/>
  <c r="D322" i="13" a="1"/>
  <c r="D322" i="13" s="1"/>
  <c r="D323" i="13" a="1"/>
  <c r="D323" i="13" s="1"/>
  <c r="D324" i="13" a="1"/>
  <c r="D324" i="13" s="1"/>
  <c r="D325" i="13" a="1"/>
  <c r="D325" i="13"/>
  <c r="D326" i="13" a="1"/>
  <c r="D326" i="13"/>
  <c r="D327" i="13" a="1"/>
  <c r="D327" i="13"/>
  <c r="D328" i="13" a="1"/>
  <c r="D328" i="13"/>
  <c r="D329" i="13" a="1"/>
  <c r="D329" i="13"/>
  <c r="D330" i="13" a="1"/>
  <c r="D330" i="13"/>
  <c r="D331" i="13" a="1"/>
  <c r="D331" i="13"/>
  <c r="D332" i="13" a="1"/>
  <c r="D332" i="13"/>
  <c r="D333" i="13" a="1"/>
  <c r="D333" i="13" s="1"/>
  <c r="D334" i="13" a="1"/>
  <c r="D334" i="13" s="1"/>
  <c r="D335" i="13" a="1"/>
  <c r="D335" i="13" s="1"/>
  <c r="D336" i="13" a="1"/>
  <c r="D336" i="13"/>
  <c r="D337" i="13" a="1"/>
  <c r="D337" i="13"/>
  <c r="D338" i="13" a="1"/>
  <c r="D338" i="13"/>
  <c r="D339" i="13" a="1"/>
  <c r="D339" i="13"/>
  <c r="D340" i="13" a="1"/>
  <c r="D340" i="13"/>
  <c r="D341" i="13" a="1"/>
  <c r="D341" i="13"/>
  <c r="D342" i="13" a="1"/>
  <c r="D342" i="13"/>
  <c r="D343" i="13" a="1"/>
  <c r="D343" i="13"/>
  <c r="D344" i="13" a="1"/>
  <c r="D344" i="13" s="1"/>
  <c r="D345" i="13" a="1"/>
  <c r="D345" i="13" s="1"/>
  <c r="D346" i="13" a="1"/>
  <c r="D346" i="13" s="1"/>
  <c r="D347" i="13" a="1"/>
  <c r="D347" i="13"/>
  <c r="D348" i="13" a="1"/>
  <c r="D348" i="13"/>
  <c r="D349" i="13" a="1"/>
  <c r="D349" i="13"/>
  <c r="D350" i="13" a="1"/>
  <c r="D350" i="13"/>
  <c r="D351" i="13" a="1"/>
  <c r="D351" i="13"/>
  <c r="D352" i="13" a="1"/>
  <c r="D352" i="13"/>
  <c r="D353" i="13" a="1"/>
  <c r="D353" i="13"/>
  <c r="D354" i="13" a="1"/>
  <c r="D354" i="13"/>
  <c r="D355" i="13" a="1"/>
  <c r="D355" i="13" s="1"/>
  <c r="D356" i="13" a="1"/>
  <c r="D356" i="13" s="1"/>
  <c r="D357" i="13" a="1"/>
  <c r="D357" i="13" s="1"/>
  <c r="D358" i="13" a="1"/>
  <c r="D358" i="13"/>
  <c r="D359" i="13" a="1"/>
  <c r="D359" i="13"/>
  <c r="D360" i="13" a="1"/>
  <c r="D360" i="13"/>
  <c r="D361" i="13" a="1"/>
  <c r="D361" i="13"/>
  <c r="D362" i="13" a="1"/>
  <c r="D362" i="13"/>
  <c r="D363" i="13" a="1"/>
  <c r="D363" i="13"/>
  <c r="D364" i="13" a="1"/>
  <c r="D364" i="13"/>
  <c r="D365" i="13" a="1"/>
  <c r="D365" i="13"/>
  <c r="D366" i="13" a="1"/>
  <c r="D366" i="13" s="1"/>
  <c r="D367" i="13" a="1"/>
  <c r="D367" i="13" s="1"/>
  <c r="D368" i="13" a="1"/>
  <c r="D368" i="13" s="1"/>
  <c r="D369" i="13" a="1"/>
  <c r="D369" i="13"/>
  <c r="D370" i="13" a="1"/>
  <c r="D370" i="13"/>
  <c r="D371" i="13" a="1"/>
  <c r="D371" i="13"/>
  <c r="D372" i="13" a="1"/>
  <c r="D372" i="13"/>
  <c r="D373" i="13" a="1"/>
  <c r="D373" i="13"/>
  <c r="D374" i="13" a="1"/>
  <c r="D374" i="13"/>
  <c r="D375" i="13" a="1"/>
  <c r="D375" i="13"/>
  <c r="D376" i="13" a="1"/>
  <c r="D376" i="13"/>
  <c r="D377" i="13" a="1"/>
  <c r="D377" i="13" s="1"/>
  <c r="D378" i="13" a="1"/>
  <c r="D378" i="13" s="1"/>
  <c r="D379" i="13" a="1"/>
  <c r="D379" i="13" s="1"/>
  <c r="D380" i="13" a="1"/>
  <c r="D380" i="13"/>
  <c r="D381" i="13" a="1"/>
  <c r="D381" i="13"/>
  <c r="D382" i="13" a="1"/>
  <c r="D382" i="13"/>
  <c r="D383" i="13" a="1"/>
  <c r="D383" i="13"/>
  <c r="D384" i="13" a="1"/>
  <c r="D384" i="13"/>
  <c r="D385" i="13" a="1"/>
  <c r="D385" i="13"/>
  <c r="D386" i="13" a="1"/>
  <c r="D386" i="13"/>
  <c r="D387" i="13" a="1"/>
  <c r="D387" i="13"/>
  <c r="D388" i="13" a="1"/>
  <c r="D388" i="13" s="1"/>
  <c r="D389" i="13" a="1"/>
  <c r="D389" i="13" s="1"/>
  <c r="D390" i="13" a="1"/>
  <c r="D390" i="13" s="1"/>
  <c r="D391" i="13" a="1"/>
  <c r="D391" i="13"/>
  <c r="D392" i="13" a="1"/>
  <c r="D392" i="13"/>
  <c r="D393" i="13" a="1"/>
  <c r="D393" i="13"/>
  <c r="D394" i="13" a="1"/>
  <c r="D394" i="13"/>
  <c r="D395" i="13" a="1"/>
  <c r="D395" i="13"/>
  <c r="D396" i="13" a="1"/>
  <c r="D396" i="13"/>
  <c r="D397" i="13" a="1"/>
  <c r="D397" i="13"/>
  <c r="D398" i="13" a="1"/>
  <c r="D398" i="13"/>
  <c r="D399" i="13" a="1"/>
  <c r="D399" i="13" s="1"/>
  <c r="D400" i="13" a="1"/>
  <c r="D400" i="13" s="1"/>
  <c r="D401" i="13" a="1"/>
  <c r="D401" i="13" s="1"/>
  <c r="D402" i="13" a="1"/>
  <c r="D402" i="13"/>
  <c r="D403" i="13" a="1"/>
  <c r="D403" i="13"/>
  <c r="D404" i="13" a="1"/>
  <c r="D404" i="13"/>
  <c r="D405" i="13" a="1"/>
  <c r="D405" i="13"/>
  <c r="D406" i="13" a="1"/>
  <c r="D406" i="13"/>
  <c r="D407" i="13" a="1"/>
  <c r="D407" i="13"/>
  <c r="D408" i="13" a="1"/>
  <c r="D408" i="13"/>
  <c r="D409" i="13" a="1"/>
  <c r="D409" i="13"/>
  <c r="D410" i="13" a="1"/>
  <c r="D410" i="13" s="1"/>
  <c r="D411" i="13" a="1"/>
  <c r="D411" i="13" s="1"/>
  <c r="D412" i="13" a="1"/>
  <c r="D412" i="13" s="1"/>
  <c r="D413" i="13" a="1"/>
  <c r="D413" i="13"/>
  <c r="D414" i="13" a="1"/>
  <c r="D414" i="13"/>
  <c r="D415" i="13" a="1"/>
  <c r="D415" i="13"/>
  <c r="D416" i="13" a="1"/>
  <c r="D416" i="13"/>
  <c r="D417" i="13" a="1"/>
  <c r="D417" i="13"/>
  <c r="D418" i="13" a="1"/>
  <c r="D418" i="13"/>
  <c r="D419" i="13" a="1"/>
  <c r="D419" i="13"/>
  <c r="D420" i="13" a="1"/>
  <c r="D420" i="13"/>
  <c r="D421" i="13" a="1"/>
  <c r="D421" i="13" s="1"/>
  <c r="D422" i="13" a="1"/>
  <c r="D422" i="13" s="1"/>
  <c r="D423" i="13" a="1"/>
  <c r="D423" i="13" s="1"/>
  <c r="D424" i="13" a="1"/>
  <c r="D424" i="13"/>
  <c r="D425" i="13" a="1"/>
  <c r="D425" i="13"/>
  <c r="D426" i="13" a="1"/>
  <c r="D426" i="13"/>
  <c r="D427" i="13" a="1"/>
  <c r="D427" i="13"/>
  <c r="D428" i="13" a="1"/>
  <c r="D428" i="13"/>
  <c r="D429" i="13" a="1"/>
  <c r="D429" i="13"/>
  <c r="D430" i="13" a="1"/>
  <c r="D430" i="13"/>
  <c r="D431" i="13" a="1"/>
  <c r="D431" i="13"/>
  <c r="D432" i="13" a="1"/>
  <c r="D432" i="13" s="1"/>
  <c r="D433" i="13" a="1"/>
  <c r="D433" i="13" s="1"/>
  <c r="D434" i="13" a="1"/>
  <c r="D434" i="13" s="1"/>
  <c r="D435" i="13" a="1"/>
  <c r="D435" i="13"/>
  <c r="D436" i="13" a="1"/>
  <c r="D436" i="13"/>
  <c r="D437" i="13" a="1"/>
  <c r="D437" i="13"/>
  <c r="D438" i="13" a="1"/>
  <c r="D438" i="13"/>
  <c r="D439" i="13" a="1"/>
  <c r="D439" i="13"/>
  <c r="D440" i="13" a="1"/>
  <c r="D440" i="13"/>
  <c r="D441" i="13" a="1"/>
  <c r="D441" i="13"/>
  <c r="D442" i="13" a="1"/>
  <c r="D442" i="13"/>
  <c r="D443" i="13" a="1"/>
  <c r="D443" i="13" s="1"/>
  <c r="D444" i="13" a="1"/>
  <c r="D444" i="13" s="1"/>
  <c r="D445" i="13" a="1"/>
  <c r="D445" i="13" s="1"/>
  <c r="D446" i="13" a="1"/>
  <c r="D446" i="13"/>
  <c r="D447" i="13" a="1"/>
  <c r="D447" i="13"/>
  <c r="D448" i="13" a="1"/>
  <c r="D448" i="13"/>
  <c r="D449" i="13" a="1"/>
  <c r="D449" i="13"/>
  <c r="D450" i="13" a="1"/>
  <c r="D450" i="13"/>
  <c r="D451" i="13" a="1"/>
  <c r="D451" i="13"/>
  <c r="D452" i="13" a="1"/>
  <c r="D452" i="13"/>
  <c r="D453" i="13" a="1"/>
  <c r="D453" i="13"/>
  <c r="D454" i="13" a="1"/>
  <c r="D454" i="13" s="1"/>
  <c r="D455" i="13" a="1"/>
  <c r="D455" i="13" s="1"/>
  <c r="D456" i="13" a="1"/>
  <c r="D456" i="13" s="1"/>
  <c r="D457" i="13" a="1"/>
  <c r="D457" i="13"/>
  <c r="D458" i="13" a="1"/>
  <c r="D458" i="13"/>
  <c r="D459" i="13" a="1"/>
  <c r="D459" i="13"/>
  <c r="D460" i="13" a="1"/>
  <c r="D460" i="13"/>
  <c r="D461" i="13" a="1"/>
  <c r="D461" i="13"/>
  <c r="D462" i="13" a="1"/>
  <c r="D462" i="13"/>
  <c r="D463" i="13" a="1"/>
  <c r="D463" i="13"/>
  <c r="D464" i="13" a="1"/>
  <c r="D464" i="13"/>
  <c r="D465" i="13" a="1"/>
  <c r="D465" i="13" s="1"/>
  <c r="D466" i="13" a="1"/>
  <c r="D466" i="13" s="1"/>
  <c r="D467" i="13" a="1"/>
  <c r="D467" i="13" s="1"/>
  <c r="D468" i="13" a="1"/>
  <c r="D468" i="13"/>
  <c r="D469" i="13" a="1"/>
  <c r="D469" i="13"/>
  <c r="D470" i="13" a="1"/>
  <c r="D470" i="13"/>
  <c r="D471" i="13" a="1"/>
  <c r="D471" i="13"/>
  <c r="D472" i="13" a="1"/>
  <c r="D472" i="13"/>
  <c r="D473" i="13" a="1"/>
  <c r="D473" i="13" s="1"/>
  <c r="D474" i="13" a="1"/>
  <c r="D474" i="13"/>
  <c r="D475" i="13" a="1"/>
  <c r="D475" i="13"/>
  <c r="D476" i="13" a="1"/>
  <c r="D476" i="13" s="1"/>
  <c r="D477" i="13" a="1"/>
  <c r="D477" i="13" s="1"/>
  <c r="D478" i="13" a="1"/>
  <c r="D478" i="13" s="1"/>
  <c r="D479" i="13" a="1"/>
  <c r="D479" i="13"/>
  <c r="D480" i="13" a="1"/>
  <c r="D480" i="13"/>
  <c r="D481" i="13" a="1"/>
  <c r="D481" i="13"/>
  <c r="D482" i="13" a="1"/>
  <c r="D482" i="13"/>
  <c r="D483" i="13" a="1"/>
  <c r="D483" i="13"/>
  <c r="D484" i="13" a="1"/>
  <c r="D484" i="13"/>
  <c r="D485" i="13" a="1"/>
  <c r="D485" i="13" s="1"/>
  <c r="D486" i="13" a="1"/>
  <c r="D486" i="13"/>
  <c r="D487" i="13" a="1"/>
  <c r="D487" i="13" s="1"/>
  <c r="D488" i="13" a="1"/>
  <c r="D488" i="13" s="1"/>
  <c r="D489" i="13" a="1"/>
  <c r="D489" i="13" s="1"/>
  <c r="D490" i="13" a="1"/>
  <c r="D490" i="13"/>
  <c r="D491" i="13" a="1"/>
  <c r="D491" i="13" s="1"/>
  <c r="D492" i="13" a="1"/>
  <c r="D492" i="13"/>
  <c r="D493" i="13" a="1"/>
  <c r="D493" i="13" s="1"/>
  <c r="D494" i="13" a="1"/>
  <c r="D494" i="13"/>
  <c r="D495" i="13" a="1"/>
  <c r="D495" i="13"/>
  <c r="D496" i="13" a="1"/>
  <c r="D496" i="13"/>
  <c r="D497" i="13" a="1"/>
  <c r="D497" i="13"/>
  <c r="D498" i="13" a="1"/>
  <c r="D498" i="13" s="1"/>
  <c r="D499" i="13" a="1"/>
  <c r="D499" i="13" s="1"/>
  <c r="D500" i="13" a="1"/>
  <c r="D500" i="13" s="1"/>
  <c r="D501" i="13" a="1"/>
  <c r="D501" i="13"/>
  <c r="D502" i="13" a="1"/>
  <c r="D502" i="13"/>
  <c r="D503" i="13" a="1"/>
  <c r="D503" i="13"/>
  <c r="D504" i="13" a="1"/>
  <c r="D504" i="13"/>
  <c r="D505" i="13" a="1"/>
  <c r="D505" i="13" s="1"/>
  <c r="D506" i="13" a="1"/>
  <c r="D506" i="13" s="1"/>
  <c r="D507" i="13" a="1"/>
  <c r="D507" i="13" s="1"/>
  <c r="D508" i="13" a="1"/>
  <c r="D508" i="13" s="1"/>
  <c r="D509" i="13" a="1"/>
  <c r="D509" i="13" s="1"/>
  <c r="D510" i="13" a="1"/>
  <c r="D510" i="13" s="1"/>
  <c r="D511" i="13" a="1"/>
  <c r="D511" i="13" s="1"/>
  <c r="D512" i="13" a="1"/>
  <c r="D512" i="13"/>
  <c r="D513" i="13" a="1"/>
  <c r="D513" i="13"/>
  <c r="D514" i="13" a="1"/>
  <c r="D514" i="13"/>
  <c r="D515" i="13" a="1"/>
  <c r="D515" i="13"/>
  <c r="D516" i="13" a="1"/>
  <c r="D516" i="13"/>
  <c r="D517" i="13" a="1"/>
  <c r="D517" i="13" s="1"/>
  <c r="D518" i="13" a="1"/>
  <c r="D518" i="13"/>
  <c r="D519" i="13" a="1"/>
  <c r="D519" i="13"/>
  <c r="D520" i="13" a="1"/>
  <c r="D520" i="13" s="1"/>
  <c r="D2" i="13" a="1"/>
  <c r="D2" i="13" s="1"/>
  <c r="B3" i="13" a="1"/>
  <c r="B3" i="13" s="1"/>
  <c r="C3" i="13" a="1"/>
  <c r="C3" i="13" s="1"/>
  <c r="B4" i="13" a="1"/>
  <c r="B4" i="13" s="1"/>
  <c r="C4" i="13" a="1"/>
  <c r="C4" i="13"/>
  <c r="B5" i="13" a="1"/>
  <c r="B5" i="13" s="1"/>
  <c r="C5" i="13" a="1"/>
  <c r="C5" i="13" s="1"/>
  <c r="B6" i="13" a="1"/>
  <c r="B6" i="13" s="1"/>
  <c r="C6" i="13" a="1"/>
  <c r="C6" i="13" s="1"/>
  <c r="B7" i="13" a="1"/>
  <c r="B7" i="13"/>
  <c r="C7" i="13" a="1"/>
  <c r="C7" i="13"/>
  <c r="B8" i="13" a="1"/>
  <c r="B8" i="13"/>
  <c r="C8" i="13" a="1"/>
  <c r="C8" i="13"/>
  <c r="B9" i="13" a="1"/>
  <c r="B9" i="13" s="1"/>
  <c r="C9" i="13" a="1"/>
  <c r="C9" i="13" s="1"/>
  <c r="B10" i="13" a="1"/>
  <c r="B10" i="13"/>
  <c r="C10" i="13" a="1"/>
  <c r="C10" i="13"/>
  <c r="B11" i="13" a="1"/>
  <c r="B11" i="13" s="1"/>
  <c r="C11" i="13" a="1"/>
  <c r="C11" i="13" s="1"/>
  <c r="B12" i="13" a="1"/>
  <c r="B12" i="13" s="1"/>
  <c r="C12" i="13" a="1"/>
  <c r="C12" i="13" s="1"/>
  <c r="B13" i="13" a="1"/>
  <c r="B13" i="13"/>
  <c r="C13" i="13" a="1"/>
  <c r="C13" i="13"/>
  <c r="B14" i="13" a="1"/>
  <c r="B14" i="13"/>
  <c r="C14" i="13" a="1"/>
  <c r="C14" i="13" s="1"/>
  <c r="B15" i="13" a="1"/>
  <c r="B15" i="13" s="1"/>
  <c r="C15" i="13" a="1"/>
  <c r="C15" i="13" s="1"/>
  <c r="B16" i="13" a="1"/>
  <c r="B16" i="13"/>
  <c r="C16" i="13" a="1"/>
  <c r="C16" i="13"/>
  <c r="B17" i="13" a="1"/>
  <c r="B17" i="13" s="1"/>
  <c r="C17" i="13" a="1"/>
  <c r="C17" i="13" s="1"/>
  <c r="B18" i="13" a="1"/>
  <c r="B18" i="13" s="1"/>
  <c r="C18" i="13" a="1"/>
  <c r="C18" i="13" s="1"/>
  <c r="B19" i="13" a="1"/>
  <c r="B19" i="13"/>
  <c r="C19" i="13" a="1"/>
  <c r="C19" i="13"/>
  <c r="B20" i="13" a="1"/>
  <c r="B20" i="13" s="1"/>
  <c r="C20" i="13" a="1"/>
  <c r="C20" i="13" s="1"/>
  <c r="B21" i="13" a="1"/>
  <c r="B21" i="13"/>
  <c r="C21" i="13" a="1"/>
  <c r="C21" i="13" s="1"/>
  <c r="B22" i="13" a="1"/>
  <c r="B22" i="13"/>
  <c r="C22" i="13" a="1"/>
  <c r="C22" i="13"/>
  <c r="B23" i="13" a="1"/>
  <c r="B23" i="13" s="1"/>
  <c r="C23" i="13" a="1"/>
  <c r="C23" i="13" s="1"/>
  <c r="B24" i="13" a="1"/>
  <c r="B24" i="13" s="1"/>
  <c r="C24" i="13" a="1"/>
  <c r="C24" i="13" s="1"/>
  <c r="B25" i="13" a="1"/>
  <c r="B25" i="13"/>
  <c r="C25" i="13" a="1"/>
  <c r="C25" i="13" s="1"/>
  <c r="B26" i="13" a="1"/>
  <c r="B26" i="13" s="1"/>
  <c r="C26" i="13" a="1"/>
  <c r="C26" i="13"/>
  <c r="B27" i="13" a="1"/>
  <c r="B27" i="13"/>
  <c r="C27" i="13" a="1"/>
  <c r="C27" i="13" s="1"/>
  <c r="B28" i="13" a="1"/>
  <c r="B28" i="13"/>
  <c r="C28" i="13" a="1"/>
  <c r="C28" i="13"/>
  <c r="B29" i="13" a="1"/>
  <c r="B29" i="13" s="1"/>
  <c r="C29" i="13" a="1"/>
  <c r="C29" i="13" s="1"/>
  <c r="B30" i="13" a="1"/>
  <c r="B30" i="13" s="1"/>
  <c r="C30" i="13" a="1"/>
  <c r="C30" i="13" s="1"/>
  <c r="B31" i="13" a="1"/>
  <c r="B31" i="13" s="1"/>
  <c r="C31" i="13" a="1"/>
  <c r="C31" i="13" s="1"/>
  <c r="B32" i="13" a="1"/>
  <c r="B32" i="13"/>
  <c r="C32" i="13" a="1"/>
  <c r="C32" i="13"/>
  <c r="B33" i="13" a="1"/>
  <c r="B33" i="13"/>
  <c r="C33" i="13" a="1"/>
  <c r="C33" i="13" s="1"/>
  <c r="B34" i="13" a="1"/>
  <c r="B34" i="13"/>
  <c r="C34" i="13" a="1"/>
  <c r="C34" i="13"/>
  <c r="B35" i="13" a="1"/>
  <c r="B35" i="13" s="1"/>
  <c r="C35" i="13" a="1"/>
  <c r="C35" i="13" s="1"/>
  <c r="B36" i="13" a="1"/>
  <c r="B36" i="13" s="1"/>
  <c r="C36" i="13" a="1"/>
  <c r="C36" i="13" s="1"/>
  <c r="B37" i="13" a="1"/>
  <c r="B37" i="13" s="1"/>
  <c r="C37" i="13" a="1"/>
  <c r="C37" i="13"/>
  <c r="B38" i="13" a="1"/>
  <c r="B38" i="13"/>
  <c r="C38" i="13" a="1"/>
  <c r="C38" i="13" s="1"/>
  <c r="B39" i="13" a="1"/>
  <c r="B39" i="13"/>
  <c r="C39" i="13" a="1"/>
  <c r="C39" i="13" s="1"/>
  <c r="B40" i="13" a="1"/>
  <c r="B40" i="13"/>
  <c r="C40" i="13" a="1"/>
  <c r="C40" i="13"/>
  <c r="B41" i="13" a="1"/>
  <c r="B41" i="13" s="1"/>
  <c r="C41" i="13" a="1"/>
  <c r="C41" i="13" s="1"/>
  <c r="B42" i="13" a="1"/>
  <c r="B42" i="13" s="1"/>
  <c r="C42" i="13" a="1"/>
  <c r="C42" i="13" s="1"/>
  <c r="B43" i="13" a="1"/>
  <c r="B43" i="13" s="1"/>
  <c r="C43" i="13" a="1"/>
  <c r="C43" i="13"/>
  <c r="B44" i="13" a="1"/>
  <c r="B44" i="13"/>
  <c r="C44" i="13" a="1"/>
  <c r="C44" i="13" s="1"/>
  <c r="B45" i="13" a="1"/>
  <c r="B45" i="13"/>
  <c r="C45" i="13" a="1"/>
  <c r="C45" i="13" s="1"/>
  <c r="B46" i="13" a="1"/>
  <c r="B46" i="13"/>
  <c r="C46" i="13" a="1"/>
  <c r="C46" i="13"/>
  <c r="B47" i="13" a="1"/>
  <c r="B47" i="13" s="1"/>
  <c r="C47" i="13" a="1"/>
  <c r="C47" i="13" s="1"/>
  <c r="B48" i="13" a="1"/>
  <c r="B48" i="13" s="1"/>
  <c r="C48" i="13" a="1"/>
  <c r="C48" i="13" s="1"/>
  <c r="B49" i="13" a="1"/>
  <c r="B49" i="13" s="1"/>
  <c r="C49" i="13" a="1"/>
  <c r="C49" i="13"/>
  <c r="B50" i="13" a="1"/>
  <c r="B50" i="13"/>
  <c r="C50" i="13" a="1"/>
  <c r="C50" i="13" s="1"/>
  <c r="B51" i="13" a="1"/>
  <c r="B51" i="13"/>
  <c r="C51" i="13" a="1"/>
  <c r="C51" i="13" s="1"/>
  <c r="B52" i="13" a="1"/>
  <c r="B52" i="13"/>
  <c r="C52" i="13" a="1"/>
  <c r="C52" i="13"/>
  <c r="B53" i="13" a="1"/>
  <c r="B53" i="13" s="1"/>
  <c r="C53" i="13" a="1"/>
  <c r="C53" i="13" s="1"/>
  <c r="B54" i="13" a="1"/>
  <c r="B54" i="13" s="1"/>
  <c r="C54" i="13" a="1"/>
  <c r="C54" i="13" s="1"/>
  <c r="B55" i="13" a="1"/>
  <c r="B55" i="13" s="1"/>
  <c r="C55" i="13" a="1"/>
  <c r="C55" i="13"/>
  <c r="B56" i="13" a="1"/>
  <c r="B56" i="13"/>
  <c r="C56" i="13" a="1"/>
  <c r="C56" i="13" s="1"/>
  <c r="B57" i="13" a="1"/>
  <c r="B57" i="13"/>
  <c r="C57" i="13" a="1"/>
  <c r="C57" i="13" s="1"/>
  <c r="B58" i="13" a="1"/>
  <c r="B58" i="13"/>
  <c r="C58" i="13" a="1"/>
  <c r="C58" i="13" s="1"/>
  <c r="B59" i="13" a="1"/>
  <c r="B59" i="13" s="1"/>
  <c r="C59" i="13" a="1"/>
  <c r="C59" i="13" s="1"/>
  <c r="B60" i="13" a="1"/>
  <c r="B60" i="13" s="1"/>
  <c r="C60" i="13" a="1"/>
  <c r="C60" i="13" s="1"/>
  <c r="B61" i="13" a="1"/>
  <c r="B61" i="13" s="1"/>
  <c r="C61" i="13" a="1"/>
  <c r="C61" i="13"/>
  <c r="B62" i="13" a="1"/>
  <c r="B62" i="13"/>
  <c r="C62" i="13" a="1"/>
  <c r="C62" i="13" s="1"/>
  <c r="B63" i="13" a="1"/>
  <c r="B63" i="13"/>
  <c r="C63" i="13" a="1"/>
  <c r="C63" i="13" s="1"/>
  <c r="B64" i="13" a="1"/>
  <c r="B64" i="13" s="1"/>
  <c r="C64" i="13" a="1"/>
  <c r="C64" i="13" s="1"/>
  <c r="B65" i="13" a="1"/>
  <c r="B65" i="13"/>
  <c r="C65" i="13" a="1"/>
  <c r="C65" i="13" s="1"/>
  <c r="B66" i="13" a="1"/>
  <c r="B66" i="13" s="1"/>
  <c r="C66" i="13" a="1"/>
  <c r="C66" i="13" s="1"/>
  <c r="B67" i="13" a="1"/>
  <c r="B67" i="13" s="1"/>
  <c r="C67" i="13" a="1"/>
  <c r="C67" i="13"/>
  <c r="B68" i="13" a="1"/>
  <c r="B68" i="13"/>
  <c r="C68" i="13" a="1"/>
  <c r="C68" i="13" s="1"/>
  <c r="B69" i="13" a="1"/>
  <c r="B69" i="13"/>
  <c r="C69" i="13" a="1"/>
  <c r="C69" i="13" s="1"/>
  <c r="B70" i="13" a="1"/>
  <c r="B70" i="13" s="1"/>
  <c r="C70" i="13" a="1"/>
  <c r="C70" i="13"/>
  <c r="B71" i="13" a="1"/>
  <c r="B71" i="13"/>
  <c r="C71" i="13" a="1"/>
  <c r="C71" i="13" s="1"/>
  <c r="B72" i="13" a="1"/>
  <c r="B72" i="13" s="1"/>
  <c r="C72" i="13" a="1"/>
  <c r="C72" i="13" s="1"/>
  <c r="B73" i="13" a="1"/>
  <c r="B73" i="13" s="1"/>
  <c r="C73" i="13" a="1"/>
  <c r="C73" i="13"/>
  <c r="B74" i="13" a="1"/>
  <c r="B74" i="13"/>
  <c r="C74" i="13" a="1"/>
  <c r="C74" i="13" s="1"/>
  <c r="B75" i="13" a="1"/>
  <c r="B75" i="13" s="1"/>
  <c r="C75" i="13" a="1"/>
  <c r="C75" i="13" s="1"/>
  <c r="B76" i="13" a="1"/>
  <c r="B76" i="13" s="1"/>
  <c r="C76" i="13" a="1"/>
  <c r="C76" i="13"/>
  <c r="B77" i="13" a="1"/>
  <c r="B77" i="13"/>
  <c r="C77" i="13" a="1"/>
  <c r="C77" i="13" s="1"/>
  <c r="B78" i="13" a="1"/>
  <c r="B78" i="13" s="1"/>
  <c r="C78" i="13" a="1"/>
  <c r="C78" i="13" s="1"/>
  <c r="B79" i="13" a="1"/>
  <c r="B79" i="13" s="1"/>
  <c r="C79" i="13" a="1"/>
  <c r="C79" i="13"/>
  <c r="B80" i="13" a="1"/>
  <c r="B80" i="13"/>
  <c r="C80" i="13" a="1"/>
  <c r="C80" i="13" s="1"/>
  <c r="B81" i="13" a="1"/>
  <c r="B81" i="13" s="1"/>
  <c r="C81" i="13" a="1"/>
  <c r="C81" i="13"/>
  <c r="B82" i="13" a="1"/>
  <c r="B82" i="13" s="1"/>
  <c r="C82" i="13" a="1"/>
  <c r="C82" i="13"/>
  <c r="B83" i="13" a="1"/>
  <c r="B83" i="13"/>
  <c r="C83" i="13" a="1"/>
  <c r="C83" i="13" s="1"/>
  <c r="B84" i="13" a="1"/>
  <c r="B84" i="13" s="1"/>
  <c r="C84" i="13" a="1"/>
  <c r="C84" i="13" s="1"/>
  <c r="B85" i="13" a="1"/>
  <c r="B85" i="13" s="1"/>
  <c r="C85" i="13" a="1"/>
  <c r="C85" i="13"/>
  <c r="B86" i="13" a="1"/>
  <c r="B86" i="13" s="1"/>
  <c r="C86" i="13" a="1"/>
  <c r="C86" i="13" s="1"/>
  <c r="B87" i="13" a="1"/>
  <c r="B87" i="13" s="1"/>
  <c r="C87" i="13" a="1"/>
  <c r="C87" i="13"/>
  <c r="B88" i="13" a="1"/>
  <c r="B88" i="13" s="1"/>
  <c r="C88" i="13" a="1"/>
  <c r="C88" i="13"/>
  <c r="B89" i="13" a="1"/>
  <c r="B89" i="13"/>
  <c r="C89" i="13" a="1"/>
  <c r="C89" i="13" s="1"/>
  <c r="B90" i="13" a="1"/>
  <c r="B90" i="13" s="1"/>
  <c r="C90" i="13" a="1"/>
  <c r="C90" i="13" s="1"/>
  <c r="B91" i="13" a="1"/>
  <c r="B91" i="13" s="1"/>
  <c r="C91" i="13" a="1"/>
  <c r="C91" i="13" s="1"/>
  <c r="B92" i="13" a="1"/>
  <c r="B92" i="13" s="1"/>
  <c r="C92" i="13" a="1"/>
  <c r="C92" i="13"/>
  <c r="B93" i="13" a="1"/>
  <c r="B93" i="13" s="1"/>
  <c r="C93" i="13" a="1"/>
  <c r="C93" i="13"/>
  <c r="B94" i="13" a="1"/>
  <c r="B94" i="13" s="1"/>
  <c r="C94" i="13" a="1"/>
  <c r="C94" i="13"/>
  <c r="B95" i="13" a="1"/>
  <c r="B95" i="13"/>
  <c r="C95" i="13" a="1"/>
  <c r="C95" i="13" s="1"/>
  <c r="B96" i="13" a="1"/>
  <c r="B96" i="13" s="1"/>
  <c r="C96" i="13" a="1"/>
  <c r="C96" i="13" s="1"/>
  <c r="B97" i="13" a="1"/>
  <c r="B97" i="13" s="1"/>
  <c r="C97" i="13" a="1"/>
  <c r="C97" i="13" s="1"/>
  <c r="B98" i="13" a="1"/>
  <c r="B98" i="13"/>
  <c r="C98" i="13" a="1"/>
  <c r="C98" i="13"/>
  <c r="B99" i="13" a="1"/>
  <c r="B99" i="13" s="1"/>
  <c r="C99" i="13" a="1"/>
  <c r="C99" i="13"/>
  <c r="B100" i="13" a="1"/>
  <c r="B100" i="13" s="1"/>
  <c r="C100" i="13" a="1"/>
  <c r="C100" i="13"/>
  <c r="B101" i="13" a="1"/>
  <c r="B101" i="13"/>
  <c r="C101" i="13" a="1"/>
  <c r="C101" i="13" s="1"/>
  <c r="B102" i="13" a="1"/>
  <c r="B102" i="13" s="1"/>
  <c r="C102" i="13" a="1"/>
  <c r="C102" i="13" s="1"/>
  <c r="B103" i="13" a="1"/>
  <c r="B103" i="13" s="1"/>
  <c r="C103" i="13" a="1"/>
  <c r="C103" i="13" s="1"/>
  <c r="B104" i="13" a="1"/>
  <c r="B104" i="13"/>
  <c r="C104" i="13" a="1"/>
  <c r="C104" i="13"/>
  <c r="B105" i="13" a="1"/>
  <c r="B105" i="13" s="1"/>
  <c r="C105" i="13" a="1"/>
  <c r="C105" i="13" s="1"/>
  <c r="B106" i="13" a="1"/>
  <c r="B106" i="13" s="1"/>
  <c r="C106" i="13" a="1"/>
  <c r="C106" i="13"/>
  <c r="B107" i="13" a="1"/>
  <c r="B107" i="13"/>
  <c r="C107" i="13" a="1"/>
  <c r="C107" i="13" s="1"/>
  <c r="B108" i="13" a="1"/>
  <c r="B108" i="13" s="1"/>
  <c r="C108" i="13" a="1"/>
  <c r="C108" i="13" s="1"/>
  <c r="B109" i="13" a="1"/>
  <c r="B109" i="13" s="1"/>
  <c r="C109" i="13" a="1"/>
  <c r="C109" i="13" s="1"/>
  <c r="B110" i="13" a="1"/>
  <c r="B110" i="13"/>
  <c r="C110" i="13" a="1"/>
  <c r="C110" i="13"/>
  <c r="B111" i="13" a="1"/>
  <c r="B111" i="13" s="1"/>
  <c r="C111" i="13" a="1"/>
  <c r="C111" i="13" s="1"/>
  <c r="B112" i="13" a="1"/>
  <c r="B112" i="13" s="1"/>
  <c r="C112" i="13" a="1"/>
  <c r="C112" i="13"/>
  <c r="B113" i="13" a="1"/>
  <c r="B113" i="13"/>
  <c r="C113" i="13" a="1"/>
  <c r="C113" i="13" s="1"/>
  <c r="B114" i="13" a="1"/>
  <c r="B114" i="13" s="1"/>
  <c r="C114" i="13" a="1"/>
  <c r="C114" i="13" s="1"/>
  <c r="B115" i="13" a="1"/>
  <c r="B115" i="13" s="1"/>
  <c r="C115" i="13" a="1"/>
  <c r="C115" i="13" s="1"/>
  <c r="B116" i="13" a="1"/>
  <c r="B116" i="13"/>
  <c r="C116" i="13" a="1"/>
  <c r="C116" i="13"/>
  <c r="B117" i="13" a="1"/>
  <c r="B117" i="13" s="1"/>
  <c r="C117" i="13" a="1"/>
  <c r="C117" i="13" s="1"/>
  <c r="B118" i="13" a="1"/>
  <c r="B118" i="13" s="1"/>
  <c r="C118" i="13" a="1"/>
  <c r="C118" i="13"/>
  <c r="B119" i="13" a="1"/>
  <c r="B119" i="13" s="1"/>
  <c r="C119" i="13" a="1"/>
  <c r="C119" i="13" s="1"/>
  <c r="B120" i="13" a="1"/>
  <c r="B120" i="13" s="1"/>
  <c r="C120" i="13" a="1"/>
  <c r="C120" i="13" s="1"/>
  <c r="B121" i="13" a="1"/>
  <c r="B121" i="13" s="1"/>
  <c r="C121" i="13" a="1"/>
  <c r="C121" i="13" s="1"/>
  <c r="B122" i="13" a="1"/>
  <c r="B122" i="13"/>
  <c r="C122" i="13" a="1"/>
  <c r="C122" i="13"/>
  <c r="B123" i="13" a="1"/>
  <c r="B123" i="13" s="1"/>
  <c r="C123" i="13" a="1"/>
  <c r="C123" i="13" s="1"/>
  <c r="B124" i="13" a="1"/>
  <c r="B124" i="13" s="1"/>
  <c r="C124" i="13" a="1"/>
  <c r="C124" i="13" s="1"/>
  <c r="B125" i="13" a="1"/>
  <c r="B125" i="13" s="1"/>
  <c r="C125" i="13" a="1"/>
  <c r="C125" i="13"/>
  <c r="B126" i="13" a="1"/>
  <c r="B126" i="13" s="1"/>
  <c r="C126" i="13" a="1"/>
  <c r="C126" i="13" s="1"/>
  <c r="B127" i="13" a="1"/>
  <c r="B127" i="13" s="1"/>
  <c r="C127" i="13" a="1"/>
  <c r="C127" i="13" s="1"/>
  <c r="B128" i="13" a="1"/>
  <c r="B128" i="13"/>
  <c r="C128" i="13" a="1"/>
  <c r="C128" i="13"/>
  <c r="B129" i="13" a="1"/>
  <c r="B129" i="13" s="1"/>
  <c r="C129" i="13" a="1"/>
  <c r="C129" i="13" s="1"/>
  <c r="B130" i="13" a="1"/>
  <c r="B130" i="13" s="1"/>
  <c r="C130" i="13" a="1"/>
  <c r="C130" i="13" s="1"/>
  <c r="B131" i="13" a="1"/>
  <c r="B131" i="13"/>
  <c r="C131" i="13" a="1"/>
  <c r="C131" i="13"/>
  <c r="B132" i="13" a="1"/>
  <c r="B132" i="13" s="1"/>
  <c r="C132" i="13" a="1"/>
  <c r="C132" i="13" s="1"/>
  <c r="B133" i="13" a="1"/>
  <c r="B133" i="13" s="1"/>
  <c r="C133" i="13" a="1"/>
  <c r="C133" i="13" s="1"/>
  <c r="B134" i="13" a="1"/>
  <c r="B134" i="13"/>
  <c r="C134" i="13" a="1"/>
  <c r="C134" i="13"/>
  <c r="B135" i="13" a="1"/>
  <c r="B135" i="13" s="1"/>
  <c r="C135" i="13" a="1"/>
  <c r="C135" i="13" s="1"/>
  <c r="B136" i="13" a="1"/>
  <c r="B136" i="13" s="1"/>
  <c r="C136" i="13" a="1"/>
  <c r="C136" i="13" s="1"/>
  <c r="B137" i="13" a="1"/>
  <c r="B137" i="13"/>
  <c r="C137" i="13" a="1"/>
  <c r="C137" i="13"/>
  <c r="B138" i="13" a="1"/>
  <c r="B138" i="13" s="1"/>
  <c r="C138" i="13" a="1"/>
  <c r="C138" i="13" s="1"/>
  <c r="B139" i="13" a="1"/>
  <c r="B139" i="13" s="1"/>
  <c r="C139" i="13" a="1"/>
  <c r="C139" i="13" s="1"/>
  <c r="B140" i="13" a="1"/>
  <c r="B140" i="13"/>
  <c r="C140" i="13" a="1"/>
  <c r="C140" i="13"/>
  <c r="B141" i="13" a="1"/>
  <c r="B141" i="13" s="1"/>
  <c r="C141" i="13" a="1"/>
  <c r="C141" i="13" s="1"/>
  <c r="B142" i="13" a="1"/>
  <c r="B142" i="13" s="1"/>
  <c r="C142" i="13" a="1"/>
  <c r="C142" i="13" s="1"/>
  <c r="B143" i="13" a="1"/>
  <c r="B143" i="13"/>
  <c r="C143" i="13" a="1"/>
  <c r="C143" i="13"/>
  <c r="B144" i="13" a="1"/>
  <c r="B144" i="13" s="1"/>
  <c r="C144" i="13" a="1"/>
  <c r="C144" i="13" s="1"/>
  <c r="B145" i="13" a="1"/>
  <c r="B145" i="13" s="1"/>
  <c r="C145" i="13" a="1"/>
  <c r="C145" i="13" s="1"/>
  <c r="B146" i="13" a="1"/>
  <c r="B146" i="13"/>
  <c r="C146" i="13" a="1"/>
  <c r="C146" i="13" s="1"/>
  <c r="B147" i="13" a="1"/>
  <c r="B147" i="13" s="1"/>
  <c r="C147" i="13" a="1"/>
  <c r="C147" i="13" s="1"/>
  <c r="B148" i="13" a="1"/>
  <c r="B148" i="13" s="1"/>
  <c r="C148" i="13" a="1"/>
  <c r="C148" i="13" s="1"/>
  <c r="B149" i="13" a="1"/>
  <c r="B149" i="13"/>
  <c r="C149" i="13" a="1"/>
  <c r="C149" i="13"/>
  <c r="B150" i="13" a="1"/>
  <c r="B150" i="13" s="1"/>
  <c r="C150" i="13" a="1"/>
  <c r="C150" i="13" s="1"/>
  <c r="B151" i="13" a="1"/>
  <c r="B151" i="13" s="1"/>
  <c r="C151" i="13" a="1"/>
  <c r="C151" i="13" s="1"/>
  <c r="B152" i="13" a="1"/>
  <c r="B152" i="13" s="1"/>
  <c r="C152" i="13" a="1"/>
  <c r="C152" i="13" s="1"/>
  <c r="B153" i="13" a="1"/>
  <c r="B153" i="13"/>
  <c r="C153" i="13" a="1"/>
  <c r="C153" i="13" s="1"/>
  <c r="B154" i="13" a="1"/>
  <c r="B154" i="13" s="1"/>
  <c r="C154" i="13" a="1"/>
  <c r="C154" i="13" s="1"/>
  <c r="B155" i="13" a="1"/>
  <c r="B155" i="13"/>
  <c r="C155" i="13" a="1"/>
  <c r="C155" i="13"/>
  <c r="B156" i="13" a="1"/>
  <c r="B156" i="13" s="1"/>
  <c r="C156" i="13" a="1"/>
  <c r="C156" i="13" s="1"/>
  <c r="B157" i="13" a="1"/>
  <c r="B157" i="13" s="1"/>
  <c r="C157" i="13" a="1"/>
  <c r="C157" i="13" s="1"/>
  <c r="B158" i="13" a="1"/>
  <c r="B158" i="13" s="1"/>
  <c r="C158" i="13" a="1"/>
  <c r="C158" i="13"/>
  <c r="B159" i="13" a="1"/>
  <c r="B159" i="13"/>
  <c r="C159" i="13" a="1"/>
  <c r="C159" i="13" s="1"/>
  <c r="B160" i="13" a="1"/>
  <c r="B160" i="13" s="1"/>
  <c r="C160" i="13" a="1"/>
  <c r="C160" i="13" s="1"/>
  <c r="B161" i="13" a="1"/>
  <c r="B161" i="13"/>
  <c r="C161" i="13" a="1"/>
  <c r="C161" i="13"/>
  <c r="B162" i="13" a="1"/>
  <c r="B162" i="13" s="1"/>
  <c r="C162" i="13" a="1"/>
  <c r="C162" i="13" s="1"/>
  <c r="B163" i="13" a="1"/>
  <c r="B163" i="13" s="1"/>
  <c r="C163" i="13" a="1"/>
  <c r="C163" i="13" s="1"/>
  <c r="B164" i="13" a="1"/>
  <c r="B164" i="13" s="1"/>
  <c r="C164" i="13" a="1"/>
  <c r="C164" i="13"/>
  <c r="B165" i="13" a="1"/>
  <c r="B165" i="13"/>
  <c r="C165" i="13" a="1"/>
  <c r="C165" i="13" s="1"/>
  <c r="B166" i="13" a="1"/>
  <c r="B166" i="13" s="1"/>
  <c r="C166" i="13" a="1"/>
  <c r="C166" i="13" s="1"/>
  <c r="B167" i="13" a="1"/>
  <c r="B167" i="13"/>
  <c r="C167" i="13" a="1"/>
  <c r="C167" i="13"/>
  <c r="B168" i="13" a="1"/>
  <c r="B168" i="13" s="1"/>
  <c r="C168" i="13" a="1"/>
  <c r="C168" i="13" s="1"/>
  <c r="B169" i="13" a="1"/>
  <c r="B169" i="13" s="1"/>
  <c r="C169" i="13" a="1"/>
  <c r="C169" i="13" s="1"/>
  <c r="B170" i="13" a="1"/>
  <c r="B170" i="13" s="1"/>
  <c r="C170" i="13" a="1"/>
  <c r="C170" i="13"/>
  <c r="B171" i="13" a="1"/>
  <c r="B171" i="13"/>
  <c r="C171" i="13" a="1"/>
  <c r="C171" i="13" s="1"/>
  <c r="B172" i="13" a="1"/>
  <c r="B172" i="13" s="1"/>
  <c r="C172" i="13" a="1"/>
  <c r="C172" i="13" s="1"/>
  <c r="B173" i="13" a="1"/>
  <c r="B173" i="13"/>
  <c r="C173" i="13" a="1"/>
  <c r="C173" i="13"/>
  <c r="B174" i="13" a="1"/>
  <c r="B174" i="13" s="1"/>
  <c r="C174" i="13" a="1"/>
  <c r="C174" i="13" s="1"/>
  <c r="B175" i="13" a="1"/>
  <c r="B175" i="13" s="1"/>
  <c r="C175" i="13" a="1"/>
  <c r="C175" i="13" s="1"/>
  <c r="B176" i="13" a="1"/>
  <c r="B176" i="13" s="1"/>
  <c r="C176" i="13" a="1"/>
  <c r="C176" i="13"/>
  <c r="B177" i="13" a="1"/>
  <c r="B177" i="13"/>
  <c r="C177" i="13" a="1"/>
  <c r="C177" i="13" s="1"/>
  <c r="B178" i="13" a="1"/>
  <c r="B178" i="13" s="1"/>
  <c r="C178" i="13" a="1"/>
  <c r="C178" i="13" s="1"/>
  <c r="B179" i="13" a="1"/>
  <c r="B179" i="13"/>
  <c r="C179" i="13" a="1"/>
  <c r="C179" i="13" s="1"/>
  <c r="B180" i="13" a="1"/>
  <c r="B180" i="13" s="1"/>
  <c r="C180" i="13" a="1"/>
  <c r="C180" i="13" s="1"/>
  <c r="B181" i="13" a="1"/>
  <c r="B181" i="13" s="1"/>
  <c r="C181" i="13" a="1"/>
  <c r="C181" i="13" s="1"/>
  <c r="B182" i="13" a="1"/>
  <c r="B182" i="13" s="1"/>
  <c r="C182" i="13" a="1"/>
  <c r="C182" i="13"/>
  <c r="B183" i="13" a="1"/>
  <c r="B183" i="13"/>
  <c r="C183" i="13" a="1"/>
  <c r="C183" i="13" s="1"/>
  <c r="B184" i="13" a="1"/>
  <c r="B184" i="13" s="1"/>
  <c r="C184" i="13" a="1"/>
  <c r="C184" i="13" s="1"/>
  <c r="B185" i="13" a="1"/>
  <c r="B185" i="13" s="1"/>
  <c r="C185" i="13" a="1"/>
  <c r="C185" i="13" s="1"/>
  <c r="B186" i="13" a="1"/>
  <c r="B186" i="13"/>
  <c r="C186" i="13" a="1"/>
  <c r="C186" i="13" s="1"/>
  <c r="B187" i="13" a="1"/>
  <c r="B187" i="13" s="1"/>
  <c r="C187" i="13" a="1"/>
  <c r="C187" i="13" s="1"/>
  <c r="B188" i="13" a="1"/>
  <c r="B188" i="13" s="1"/>
  <c r="C188" i="13" a="1"/>
  <c r="C188" i="13"/>
  <c r="B189" i="13" a="1"/>
  <c r="B189" i="13"/>
  <c r="C189" i="13" a="1"/>
  <c r="C189" i="13" s="1"/>
  <c r="B190" i="13" a="1"/>
  <c r="B190" i="13" s="1"/>
  <c r="C190" i="13" a="1"/>
  <c r="C190" i="13" s="1"/>
  <c r="B191" i="13" a="1"/>
  <c r="B191" i="13" s="1"/>
  <c r="C191" i="13" a="1"/>
  <c r="C191" i="13"/>
  <c r="B192" i="13" a="1"/>
  <c r="B192" i="13"/>
  <c r="C192" i="13" a="1"/>
  <c r="C192" i="13" s="1"/>
  <c r="B193" i="13" a="1"/>
  <c r="B193" i="13" s="1"/>
  <c r="C193" i="13" a="1"/>
  <c r="C193" i="13" s="1"/>
  <c r="B194" i="13" a="1"/>
  <c r="B194" i="13" s="1"/>
  <c r="C194" i="13" a="1"/>
  <c r="C194" i="13"/>
  <c r="B195" i="13" a="1"/>
  <c r="B195" i="13"/>
  <c r="C195" i="13" a="1"/>
  <c r="C195" i="13" s="1"/>
  <c r="B196" i="13" a="1"/>
  <c r="B196" i="13" s="1"/>
  <c r="C196" i="13" a="1"/>
  <c r="C196" i="13" s="1"/>
  <c r="B197" i="13" a="1"/>
  <c r="B197" i="13" s="1"/>
  <c r="C197" i="13" a="1"/>
  <c r="C197" i="13"/>
  <c r="B198" i="13" a="1"/>
  <c r="B198" i="13"/>
  <c r="C198" i="13" a="1"/>
  <c r="C198" i="13" s="1"/>
  <c r="B199" i="13" a="1"/>
  <c r="B199" i="13" s="1"/>
  <c r="C199" i="13" a="1"/>
  <c r="C199" i="13" s="1"/>
  <c r="B200" i="13" a="1"/>
  <c r="B200" i="13" s="1"/>
  <c r="C200" i="13" a="1"/>
  <c r="C200" i="13"/>
  <c r="B201" i="13" a="1"/>
  <c r="B201" i="13"/>
  <c r="C201" i="13" a="1"/>
  <c r="C201" i="13" s="1"/>
  <c r="B202" i="13" a="1"/>
  <c r="B202" i="13" s="1"/>
  <c r="C202" i="13" a="1"/>
  <c r="C202" i="13" s="1"/>
  <c r="B203" i="13" a="1"/>
  <c r="B203" i="13" s="1"/>
  <c r="C203" i="13" a="1"/>
  <c r="C203" i="13"/>
  <c r="B204" i="13" a="1"/>
  <c r="B204" i="13"/>
  <c r="C204" i="13" a="1"/>
  <c r="C204" i="13" s="1"/>
  <c r="B205" i="13" a="1"/>
  <c r="B205" i="13" s="1"/>
  <c r="C205" i="13" a="1"/>
  <c r="C205" i="13" s="1"/>
  <c r="B206" i="13" a="1"/>
  <c r="B206" i="13" s="1"/>
  <c r="C206" i="13" a="1"/>
  <c r="C206" i="13"/>
  <c r="B207" i="13" a="1"/>
  <c r="B207" i="13" s="1"/>
  <c r="C207" i="13" a="1"/>
  <c r="C207" i="13" s="1"/>
  <c r="B208" i="13" a="1"/>
  <c r="B208" i="13" s="1"/>
  <c r="C208" i="13" a="1"/>
  <c r="C208" i="13" s="1"/>
  <c r="B209" i="13" a="1"/>
  <c r="B209" i="13" s="1"/>
  <c r="C209" i="13" a="1"/>
  <c r="C209" i="13"/>
  <c r="B210" i="13" a="1"/>
  <c r="B210" i="13"/>
  <c r="C210" i="13" a="1"/>
  <c r="C210" i="13" s="1"/>
  <c r="B211" i="13" a="1"/>
  <c r="B211" i="13" s="1"/>
  <c r="C211" i="13" a="1"/>
  <c r="C211" i="13" s="1"/>
  <c r="B212" i="13" a="1"/>
  <c r="B212" i="13" s="1"/>
  <c r="C212" i="13" a="1"/>
  <c r="C212" i="13" s="1"/>
  <c r="B213" i="13" a="1"/>
  <c r="B213" i="13" s="1"/>
  <c r="C213" i="13" a="1"/>
  <c r="C213" i="13"/>
  <c r="B214" i="13" a="1"/>
  <c r="B214" i="13" s="1"/>
  <c r="C214" i="13" a="1"/>
  <c r="C214" i="13" s="1"/>
  <c r="B215" i="13" a="1"/>
  <c r="B215" i="13" s="1"/>
  <c r="C215" i="13" a="1"/>
  <c r="C215" i="13"/>
  <c r="B216" i="13" a="1"/>
  <c r="B216" i="13"/>
  <c r="C216" i="13" a="1"/>
  <c r="C216" i="13" s="1"/>
  <c r="B217" i="13" a="1"/>
  <c r="B217" i="13" s="1"/>
  <c r="C217" i="13" a="1"/>
  <c r="C217" i="13" s="1"/>
  <c r="B218" i="13" a="1"/>
  <c r="B218" i="13" s="1"/>
  <c r="C218" i="13" a="1"/>
  <c r="C218" i="13" s="1"/>
  <c r="B219" i="13" a="1"/>
  <c r="B219" i="13"/>
  <c r="C219" i="13" a="1"/>
  <c r="C219" i="13"/>
  <c r="B220" i="13" a="1"/>
  <c r="B220" i="13" s="1"/>
  <c r="C220" i="13" a="1"/>
  <c r="C220" i="13" s="1"/>
  <c r="B221" i="13" a="1"/>
  <c r="B221" i="13" s="1"/>
  <c r="C221" i="13" a="1"/>
  <c r="C221" i="13"/>
  <c r="B222" i="13" a="1"/>
  <c r="B222" i="13"/>
  <c r="C222" i="13" a="1"/>
  <c r="C222" i="13" s="1"/>
  <c r="B223" i="13" a="1"/>
  <c r="B223" i="13" s="1"/>
  <c r="C223" i="13" a="1"/>
  <c r="C223" i="13" s="1"/>
  <c r="B224" i="13" a="1"/>
  <c r="B224" i="13" s="1"/>
  <c r="C224" i="13" a="1"/>
  <c r="C224" i="13" s="1"/>
  <c r="B225" i="13" a="1"/>
  <c r="B225" i="13"/>
  <c r="C225" i="13" a="1"/>
  <c r="C225" i="13"/>
  <c r="B226" i="13" a="1"/>
  <c r="B226" i="13" s="1"/>
  <c r="C226" i="13" a="1"/>
  <c r="C226" i="13" s="1"/>
  <c r="B227" i="13" a="1"/>
  <c r="B227" i="13" s="1"/>
  <c r="C227" i="13" a="1"/>
  <c r="C227" i="13"/>
  <c r="B228" i="13" a="1"/>
  <c r="B228" i="13"/>
  <c r="C228" i="13" a="1"/>
  <c r="C228" i="13" s="1"/>
  <c r="B229" i="13" a="1"/>
  <c r="B229" i="13" s="1"/>
  <c r="C229" i="13" a="1"/>
  <c r="C229" i="13" s="1"/>
  <c r="B230" i="13" a="1"/>
  <c r="B230" i="13" s="1"/>
  <c r="C230" i="13" a="1"/>
  <c r="C230" i="13" s="1"/>
  <c r="B231" i="13" a="1"/>
  <c r="B231" i="13"/>
  <c r="C231" i="13" a="1"/>
  <c r="C231" i="13"/>
  <c r="B232" i="13" a="1"/>
  <c r="B232" i="13" s="1"/>
  <c r="C232" i="13" a="1"/>
  <c r="C232" i="13" s="1"/>
  <c r="B233" i="13" a="1"/>
  <c r="B233" i="13" s="1"/>
  <c r="C233" i="13" a="1"/>
  <c r="C233" i="13"/>
  <c r="B234" i="13" a="1"/>
  <c r="B234" i="13"/>
  <c r="C234" i="13" a="1"/>
  <c r="C234" i="13" s="1"/>
  <c r="B235" i="13" a="1"/>
  <c r="B235" i="13" s="1"/>
  <c r="C235" i="13" a="1"/>
  <c r="C235" i="13" s="1"/>
  <c r="B236" i="13" a="1"/>
  <c r="B236" i="13" s="1"/>
  <c r="C236" i="13" a="1"/>
  <c r="C236" i="13" s="1"/>
  <c r="B237" i="13" a="1"/>
  <c r="B237" i="13"/>
  <c r="C237" i="13" a="1"/>
  <c r="C237" i="13"/>
  <c r="B238" i="13" a="1"/>
  <c r="B238" i="13" s="1"/>
  <c r="C238" i="13" a="1"/>
  <c r="C238" i="13" s="1"/>
  <c r="B239" i="13" a="1"/>
  <c r="B239" i="13" s="1"/>
  <c r="C239" i="13" a="1"/>
  <c r="C239" i="13"/>
  <c r="B240" i="13" a="1"/>
  <c r="B240" i="13" s="1"/>
  <c r="C240" i="13" a="1"/>
  <c r="C240" i="13" s="1"/>
  <c r="B241" i="13" a="1"/>
  <c r="B241" i="13" s="1"/>
  <c r="C241" i="13" a="1"/>
  <c r="C241" i="13" s="1"/>
  <c r="B242" i="13" a="1"/>
  <c r="B242" i="13" s="1"/>
  <c r="C242" i="13" a="1"/>
  <c r="C242" i="13" s="1"/>
  <c r="B243" i="13" a="1"/>
  <c r="B243" i="13"/>
  <c r="C243" i="13" a="1"/>
  <c r="C243" i="13"/>
  <c r="B244" i="13" a="1"/>
  <c r="B244" i="13" s="1"/>
  <c r="C244" i="13" a="1"/>
  <c r="C244" i="13" s="1"/>
  <c r="B245" i="13" a="1"/>
  <c r="B245" i="13" s="1"/>
  <c r="C245" i="13" a="1"/>
  <c r="C245" i="13" s="1"/>
  <c r="B246" i="13" a="1"/>
  <c r="B246" i="13" s="1"/>
  <c r="C246" i="13" a="1"/>
  <c r="C246" i="13"/>
  <c r="B247" i="13" a="1"/>
  <c r="B247" i="13" s="1"/>
  <c r="C247" i="13" a="1"/>
  <c r="C247" i="13" s="1"/>
  <c r="B248" i="13" a="1"/>
  <c r="B248" i="13" s="1"/>
  <c r="C248" i="13" a="1"/>
  <c r="C248" i="13" s="1"/>
  <c r="B249" i="13" a="1"/>
  <c r="B249" i="13"/>
  <c r="C249" i="13" a="1"/>
  <c r="C249" i="13"/>
  <c r="B250" i="13" a="1"/>
  <c r="B250" i="13" s="1"/>
  <c r="C250" i="13" a="1"/>
  <c r="C250" i="13" s="1"/>
  <c r="B251" i="13" a="1"/>
  <c r="B251" i="13" s="1"/>
  <c r="C251" i="13" a="1"/>
  <c r="C251" i="13" s="1"/>
  <c r="B252" i="13" a="1"/>
  <c r="B252" i="13"/>
  <c r="C252" i="13" a="1"/>
  <c r="C252" i="13"/>
  <c r="B253" i="13" a="1"/>
  <c r="B253" i="13" s="1"/>
  <c r="C253" i="13" a="1"/>
  <c r="C253" i="13" s="1"/>
  <c r="B254" i="13" a="1"/>
  <c r="B254" i="13" s="1"/>
  <c r="C254" i="13" a="1"/>
  <c r="C254" i="13" s="1"/>
  <c r="B255" i="13" a="1"/>
  <c r="B255" i="13"/>
  <c r="C255" i="13" a="1"/>
  <c r="C255" i="13"/>
  <c r="B256" i="13" a="1"/>
  <c r="B256" i="13" s="1"/>
  <c r="C256" i="13" a="1"/>
  <c r="C256" i="13" s="1"/>
  <c r="B257" i="13" a="1"/>
  <c r="B257" i="13" s="1"/>
  <c r="C257" i="13" a="1"/>
  <c r="C257" i="13" s="1"/>
  <c r="B258" i="13" a="1"/>
  <c r="B258" i="13"/>
  <c r="C258" i="13" a="1"/>
  <c r="C258" i="13"/>
  <c r="B259" i="13" a="1"/>
  <c r="B259" i="13" s="1"/>
  <c r="C259" i="13" a="1"/>
  <c r="C259" i="13" s="1"/>
  <c r="B260" i="13" a="1"/>
  <c r="B260" i="13" s="1"/>
  <c r="C260" i="13" a="1"/>
  <c r="C260" i="13" s="1"/>
  <c r="B261" i="13" a="1"/>
  <c r="B261" i="13"/>
  <c r="C261" i="13" a="1"/>
  <c r="C261" i="13"/>
  <c r="B262" i="13" a="1"/>
  <c r="B262" i="13" s="1"/>
  <c r="C262" i="13" a="1"/>
  <c r="C262" i="13" s="1"/>
  <c r="B263" i="13" a="1"/>
  <c r="B263" i="13" s="1"/>
  <c r="C263" i="13" a="1"/>
  <c r="C263" i="13" s="1"/>
  <c r="B264" i="13" a="1"/>
  <c r="B264" i="13"/>
  <c r="C264" i="13" a="1"/>
  <c r="C264" i="13"/>
  <c r="B265" i="13" a="1"/>
  <c r="B265" i="13" s="1"/>
  <c r="C265" i="13" a="1"/>
  <c r="C265" i="13" s="1"/>
  <c r="B266" i="13" a="1"/>
  <c r="B266" i="13" s="1"/>
  <c r="C266" i="13" a="1"/>
  <c r="C266" i="13" s="1"/>
  <c r="B267" i="13" a="1"/>
  <c r="B267" i="13"/>
  <c r="C267" i="13" a="1"/>
  <c r="C267" i="13" s="1"/>
  <c r="B268" i="13" a="1"/>
  <c r="B268" i="13" s="1"/>
  <c r="C268" i="13" a="1"/>
  <c r="C268" i="13" s="1"/>
  <c r="B269" i="13" a="1"/>
  <c r="B269" i="13" s="1"/>
  <c r="C269" i="13" a="1"/>
  <c r="C269" i="13" s="1"/>
  <c r="B270" i="13" a="1"/>
  <c r="B270" i="13"/>
  <c r="C270" i="13" a="1"/>
  <c r="C270" i="13"/>
  <c r="B271" i="13" a="1"/>
  <c r="B271" i="13" s="1"/>
  <c r="C271" i="13" a="1"/>
  <c r="C271" i="13" s="1"/>
  <c r="B272" i="13" a="1"/>
  <c r="B272" i="13" s="1"/>
  <c r="C272" i="13" a="1"/>
  <c r="C272" i="13" s="1"/>
  <c r="B273" i="13" a="1"/>
  <c r="B273" i="13" s="1"/>
  <c r="C273" i="13" a="1"/>
  <c r="C273" i="13" s="1"/>
  <c r="B274" i="13" a="1"/>
  <c r="B274" i="13"/>
  <c r="C274" i="13" a="1"/>
  <c r="C274" i="13" s="1"/>
  <c r="B275" i="13" a="1"/>
  <c r="B275" i="13" s="1"/>
  <c r="C275" i="13" a="1"/>
  <c r="C275" i="13" s="1"/>
  <c r="B276" i="13" a="1"/>
  <c r="B276" i="13"/>
  <c r="C276" i="13" a="1"/>
  <c r="C276" i="13"/>
  <c r="B277" i="13" a="1"/>
  <c r="B277" i="13" s="1"/>
  <c r="C277" i="13" a="1"/>
  <c r="C277" i="13" s="1"/>
  <c r="B278" i="13" a="1"/>
  <c r="B278" i="13" s="1"/>
  <c r="C278" i="13" a="1"/>
  <c r="C278" i="13" s="1"/>
  <c r="B279" i="13" a="1"/>
  <c r="B279" i="13" s="1"/>
  <c r="C279" i="13" a="1"/>
  <c r="C279" i="13"/>
  <c r="B280" i="13" a="1"/>
  <c r="B280" i="13"/>
  <c r="C280" i="13" a="1"/>
  <c r="C280" i="13" s="1"/>
  <c r="B281" i="13" a="1"/>
  <c r="B281" i="13" s="1"/>
  <c r="C281" i="13" a="1"/>
  <c r="C281" i="13" s="1"/>
  <c r="B282" i="13" a="1"/>
  <c r="B282" i="13"/>
  <c r="C282" i="13" a="1"/>
  <c r="C282" i="13"/>
  <c r="B283" i="13" a="1"/>
  <c r="B283" i="13" s="1"/>
  <c r="C283" i="13" a="1"/>
  <c r="C283" i="13" s="1"/>
  <c r="B284" i="13" a="1"/>
  <c r="B284" i="13" s="1"/>
  <c r="C284" i="13" a="1"/>
  <c r="C284" i="13" s="1"/>
  <c r="B285" i="13" a="1"/>
  <c r="B285" i="13" s="1"/>
  <c r="C285" i="13" a="1"/>
  <c r="C285" i="13"/>
  <c r="B286" i="13" a="1"/>
  <c r="B286" i="13"/>
  <c r="C286" i="13" a="1"/>
  <c r="C286" i="13" s="1"/>
  <c r="B287" i="13" a="1"/>
  <c r="B287" i="13" s="1"/>
  <c r="C287" i="13" a="1"/>
  <c r="C287" i="13" s="1"/>
  <c r="B288" i="13" a="1"/>
  <c r="B288" i="13"/>
  <c r="C288" i="13" a="1"/>
  <c r="C288" i="13"/>
  <c r="B289" i="13" a="1"/>
  <c r="B289" i="13" s="1"/>
  <c r="C289" i="13" a="1"/>
  <c r="C289" i="13" s="1"/>
  <c r="B290" i="13" a="1"/>
  <c r="B290" i="13" s="1"/>
  <c r="C290" i="13" a="1"/>
  <c r="C290" i="13" s="1"/>
  <c r="B291" i="13" a="1"/>
  <c r="B291" i="13" s="1"/>
  <c r="C291" i="13" a="1"/>
  <c r="C291" i="13"/>
  <c r="B292" i="13" a="1"/>
  <c r="B292" i="13"/>
  <c r="C292" i="13" a="1"/>
  <c r="C292" i="13" s="1"/>
  <c r="B293" i="13" a="1"/>
  <c r="B293" i="13" s="1"/>
  <c r="C293" i="13" a="1"/>
  <c r="C293" i="13" s="1"/>
  <c r="B294" i="13" a="1"/>
  <c r="B294" i="13"/>
  <c r="C294" i="13" a="1"/>
  <c r="C294" i="13"/>
  <c r="B295" i="13" a="1"/>
  <c r="B295" i="13" s="1"/>
  <c r="C295" i="13" a="1"/>
  <c r="C295" i="13" s="1"/>
  <c r="B296" i="13" a="1"/>
  <c r="B296" i="13" s="1"/>
  <c r="C296" i="13" a="1"/>
  <c r="C296" i="13" s="1"/>
  <c r="B297" i="13" a="1"/>
  <c r="B297" i="13" s="1"/>
  <c r="C297" i="13" a="1"/>
  <c r="C297" i="13"/>
  <c r="B298" i="13" a="1"/>
  <c r="B298" i="13"/>
  <c r="C298" i="13" a="1"/>
  <c r="C298" i="13" s="1"/>
  <c r="B299" i="13" a="1"/>
  <c r="B299" i="13" s="1"/>
  <c r="C299" i="13" a="1"/>
  <c r="C299" i="13" s="1"/>
  <c r="B300" i="13" a="1"/>
  <c r="B300" i="13"/>
  <c r="C300" i="13" a="1"/>
  <c r="C300" i="13" s="1"/>
  <c r="B301" i="13" a="1"/>
  <c r="B301" i="13" s="1"/>
  <c r="C301" i="13" a="1"/>
  <c r="C301" i="13" s="1"/>
  <c r="B302" i="13" a="1"/>
  <c r="B302" i="13" s="1"/>
  <c r="C302" i="13" a="1"/>
  <c r="C302" i="13" s="1"/>
  <c r="B303" i="13" a="1"/>
  <c r="B303" i="13" s="1"/>
  <c r="C303" i="13" a="1"/>
  <c r="C303" i="13"/>
  <c r="B304" i="13" a="1"/>
  <c r="B304" i="13"/>
  <c r="C304" i="13" a="1"/>
  <c r="C304" i="13" s="1"/>
  <c r="B305" i="13" a="1"/>
  <c r="B305" i="13" s="1"/>
  <c r="C305" i="13" a="1"/>
  <c r="C305" i="13" s="1"/>
  <c r="B306" i="13" a="1"/>
  <c r="B306" i="13" s="1"/>
  <c r="C306" i="13" a="1"/>
  <c r="C306" i="13" s="1"/>
  <c r="B307" i="13" a="1"/>
  <c r="B307" i="13"/>
  <c r="C307" i="13" a="1"/>
  <c r="C307" i="13" s="1"/>
  <c r="B308" i="13" a="1"/>
  <c r="B308" i="13" s="1"/>
  <c r="C308" i="13" a="1"/>
  <c r="C308" i="13" s="1"/>
  <c r="B309" i="13" a="1"/>
  <c r="B309" i="13" s="1"/>
  <c r="C309" i="13" a="1"/>
  <c r="C309" i="13"/>
  <c r="B310" i="13" a="1"/>
  <c r="B310" i="13"/>
  <c r="C310" i="13" a="1"/>
  <c r="C310" i="13" s="1"/>
  <c r="B311" i="13" a="1"/>
  <c r="B311" i="13" s="1"/>
  <c r="C311" i="13" a="1"/>
  <c r="C311" i="13" s="1"/>
  <c r="B312" i="13" a="1"/>
  <c r="B312" i="13" s="1"/>
  <c r="C312" i="13" a="1"/>
  <c r="C312" i="13"/>
  <c r="B313" i="13" a="1"/>
  <c r="B313" i="13"/>
  <c r="C313" i="13" a="1"/>
  <c r="C313" i="13" s="1"/>
  <c r="B314" i="13" a="1"/>
  <c r="B314" i="13" s="1"/>
  <c r="C314" i="13" a="1"/>
  <c r="C314" i="13" s="1"/>
  <c r="B315" i="13" a="1"/>
  <c r="B315" i="13" s="1"/>
  <c r="C315" i="13" a="1"/>
  <c r="C315" i="13"/>
  <c r="B316" i="13" a="1"/>
  <c r="B316" i="13"/>
  <c r="C316" i="13" a="1"/>
  <c r="C316" i="13" s="1"/>
  <c r="B317" i="13" a="1"/>
  <c r="B317" i="13" s="1"/>
  <c r="C317" i="13" a="1"/>
  <c r="C317" i="13" s="1"/>
  <c r="B318" i="13" a="1"/>
  <c r="B318" i="13" s="1"/>
  <c r="C318" i="13" a="1"/>
  <c r="C318" i="13"/>
  <c r="B319" i="13" a="1"/>
  <c r="B319" i="13"/>
  <c r="C319" i="13" a="1"/>
  <c r="C319" i="13" s="1"/>
  <c r="B320" i="13" a="1"/>
  <c r="B320" i="13" s="1"/>
  <c r="C320" i="13" a="1"/>
  <c r="C320" i="13" s="1"/>
  <c r="B321" i="13" a="1"/>
  <c r="B321" i="13" s="1"/>
  <c r="C321" i="13" a="1"/>
  <c r="C321" i="13"/>
  <c r="B322" i="13" a="1"/>
  <c r="B322" i="13"/>
  <c r="C322" i="13" a="1"/>
  <c r="C322" i="13" s="1"/>
  <c r="B323" i="13" a="1"/>
  <c r="B323" i="13" s="1"/>
  <c r="C323" i="13" a="1"/>
  <c r="C323" i="13" s="1"/>
  <c r="B324" i="13" a="1"/>
  <c r="B324" i="13" s="1"/>
  <c r="C324" i="13" a="1"/>
  <c r="C324" i="13"/>
  <c r="B325" i="13" a="1"/>
  <c r="B325" i="13"/>
  <c r="C325" i="13" a="1"/>
  <c r="C325" i="13" s="1"/>
  <c r="B326" i="13" a="1"/>
  <c r="B326" i="13" s="1"/>
  <c r="C326" i="13" a="1"/>
  <c r="C326" i="13" s="1"/>
  <c r="B327" i="13" a="1"/>
  <c r="B327" i="13" s="1"/>
  <c r="C327" i="13" a="1"/>
  <c r="C327" i="13"/>
  <c r="B328" i="13" a="1"/>
  <c r="B328" i="13" s="1"/>
  <c r="C328" i="13" a="1"/>
  <c r="C328" i="13" s="1"/>
  <c r="B329" i="13" a="1"/>
  <c r="B329" i="13" s="1"/>
  <c r="C329" i="13" a="1"/>
  <c r="C329" i="13" s="1"/>
  <c r="B330" i="13" a="1"/>
  <c r="B330" i="13" s="1"/>
  <c r="C330" i="13" a="1"/>
  <c r="C330" i="13"/>
  <c r="B331" i="13" a="1"/>
  <c r="B331" i="13"/>
  <c r="C331" i="13" a="1"/>
  <c r="C331" i="13" s="1"/>
  <c r="B332" i="13" a="1"/>
  <c r="B332" i="13" s="1"/>
  <c r="C332" i="13" a="1"/>
  <c r="C332" i="13" s="1"/>
  <c r="B333" i="13" a="1"/>
  <c r="B333" i="13" s="1"/>
  <c r="C333" i="13" a="1"/>
  <c r="C333" i="13" s="1"/>
  <c r="B334" i="13" a="1"/>
  <c r="B334" i="13" s="1"/>
  <c r="C334" i="13" a="1"/>
  <c r="C334" i="13"/>
  <c r="B335" i="13" a="1"/>
  <c r="B335" i="13" s="1"/>
  <c r="C335" i="13" a="1"/>
  <c r="C335" i="13" s="1"/>
  <c r="B336" i="13" a="1"/>
  <c r="B336" i="13" s="1"/>
  <c r="C336" i="13" a="1"/>
  <c r="C336" i="13"/>
  <c r="B337" i="13" a="1"/>
  <c r="B337" i="13"/>
  <c r="C337" i="13" a="1"/>
  <c r="C337" i="13" s="1"/>
  <c r="B338" i="13" a="1"/>
  <c r="B338" i="13" s="1"/>
  <c r="C338" i="13" a="1"/>
  <c r="C338" i="13" s="1"/>
  <c r="B339" i="13" a="1"/>
  <c r="B339" i="13" s="1"/>
  <c r="C339" i="13" a="1"/>
  <c r="C339" i="13" s="1"/>
  <c r="B340" i="13" a="1"/>
  <c r="B340" i="13"/>
  <c r="C340" i="13" a="1"/>
  <c r="C340" i="13"/>
  <c r="B341" i="13" a="1"/>
  <c r="B341" i="13" s="1"/>
  <c r="C341" i="13" a="1"/>
  <c r="C341" i="13" s="1"/>
  <c r="B342" i="13" a="1"/>
  <c r="B342" i="13" s="1"/>
  <c r="C342" i="13" a="1"/>
  <c r="C342" i="13"/>
  <c r="B343" i="13" a="1"/>
  <c r="B343" i="13"/>
  <c r="C343" i="13" a="1"/>
  <c r="C343" i="13" s="1"/>
  <c r="B344" i="13" a="1"/>
  <c r="B344" i="13" s="1"/>
  <c r="C344" i="13" a="1"/>
  <c r="C344" i="13" s="1"/>
  <c r="B345" i="13" a="1"/>
  <c r="B345" i="13" s="1"/>
  <c r="C345" i="13" a="1"/>
  <c r="C345" i="13" s="1"/>
  <c r="B346" i="13" a="1"/>
  <c r="B346" i="13"/>
  <c r="C346" i="13" a="1"/>
  <c r="C346" i="13"/>
  <c r="B347" i="13" a="1"/>
  <c r="B347" i="13" s="1"/>
  <c r="C347" i="13" a="1"/>
  <c r="C347" i="13" s="1"/>
  <c r="B348" i="13" a="1"/>
  <c r="B348" i="13" s="1"/>
  <c r="C348" i="13" a="1"/>
  <c r="C348" i="13"/>
  <c r="B349" i="13" a="1"/>
  <c r="B349" i="13"/>
  <c r="C349" i="13" a="1"/>
  <c r="C349" i="13" s="1"/>
  <c r="B350" i="13" a="1"/>
  <c r="B350" i="13" s="1"/>
  <c r="C350" i="13" a="1"/>
  <c r="C350" i="13" s="1"/>
  <c r="B351" i="13" a="1"/>
  <c r="B351" i="13" s="1"/>
  <c r="C351" i="13" a="1"/>
  <c r="C351" i="13" s="1"/>
  <c r="B352" i="13" a="1"/>
  <c r="B352" i="13"/>
  <c r="C352" i="13" a="1"/>
  <c r="C352" i="13"/>
  <c r="B353" i="13" a="1"/>
  <c r="B353" i="13" s="1"/>
  <c r="C353" i="13" a="1"/>
  <c r="C353" i="13" s="1"/>
  <c r="B354" i="13" a="1"/>
  <c r="B354" i="13" s="1"/>
  <c r="C354" i="13" a="1"/>
  <c r="C354" i="13"/>
  <c r="B355" i="13" a="1"/>
  <c r="B355" i="13"/>
  <c r="C355" i="13" a="1"/>
  <c r="C355" i="13" s="1"/>
  <c r="B356" i="13" a="1"/>
  <c r="B356" i="13" s="1"/>
  <c r="C356" i="13" a="1"/>
  <c r="C356" i="13" s="1"/>
  <c r="B357" i="13" a="1"/>
  <c r="B357" i="13" s="1"/>
  <c r="C357" i="13" a="1"/>
  <c r="C357" i="13" s="1"/>
  <c r="B358" i="13" a="1"/>
  <c r="B358" i="13"/>
  <c r="C358" i="13" a="1"/>
  <c r="C358" i="13"/>
  <c r="B359" i="13" a="1"/>
  <c r="B359" i="13" s="1"/>
  <c r="C359" i="13" a="1"/>
  <c r="C359" i="13" s="1"/>
  <c r="B360" i="13" a="1"/>
  <c r="B360" i="13" s="1"/>
  <c r="C360" i="13" a="1"/>
  <c r="C360" i="13"/>
  <c r="B361" i="13" a="1"/>
  <c r="B361" i="13" s="1"/>
  <c r="C361" i="13" a="1"/>
  <c r="C361" i="13" s="1"/>
  <c r="B362" i="13" a="1"/>
  <c r="B362" i="13" s="1"/>
  <c r="C362" i="13" a="1"/>
  <c r="C362" i="13" s="1"/>
  <c r="B363" i="13" a="1"/>
  <c r="B363" i="13" s="1"/>
  <c r="C363" i="13" a="1"/>
  <c r="C363" i="13" s="1"/>
  <c r="B364" i="13" a="1"/>
  <c r="B364" i="13"/>
  <c r="C364" i="13" a="1"/>
  <c r="C364" i="13"/>
  <c r="B365" i="13" a="1"/>
  <c r="B365" i="13" s="1"/>
  <c r="C365" i="13" a="1"/>
  <c r="C365" i="13" s="1"/>
  <c r="B366" i="13" a="1"/>
  <c r="B366" i="13" s="1"/>
  <c r="C366" i="13" a="1"/>
  <c r="C366" i="13" s="1"/>
  <c r="B367" i="13" a="1"/>
  <c r="B367" i="13" s="1"/>
  <c r="C367" i="13" a="1"/>
  <c r="C367" i="13"/>
  <c r="B368" i="13" a="1"/>
  <c r="B368" i="13" s="1"/>
  <c r="C368" i="13" a="1"/>
  <c r="C368" i="13" s="1"/>
  <c r="B369" i="13" a="1"/>
  <c r="B369" i="13" s="1"/>
  <c r="C369" i="13" a="1"/>
  <c r="C369" i="13" s="1"/>
  <c r="B370" i="13" a="1"/>
  <c r="B370" i="13"/>
  <c r="C370" i="13" a="1"/>
  <c r="C370" i="13"/>
  <c r="B371" i="13" a="1"/>
  <c r="B371" i="13" s="1"/>
  <c r="C371" i="13" a="1"/>
  <c r="C371" i="13" s="1"/>
  <c r="B372" i="13" a="1"/>
  <c r="B372" i="13" s="1"/>
  <c r="C372" i="13" a="1"/>
  <c r="C372" i="13" s="1"/>
  <c r="B373" i="13" a="1"/>
  <c r="B373" i="13"/>
  <c r="C373" i="13" a="1"/>
  <c r="C373" i="13"/>
  <c r="B374" i="13" a="1"/>
  <c r="B374" i="13" s="1"/>
  <c r="C374" i="13" a="1"/>
  <c r="C374" i="13" s="1"/>
  <c r="B375" i="13" a="1"/>
  <c r="B375" i="13" s="1"/>
  <c r="C375" i="13" a="1"/>
  <c r="C375" i="13" s="1"/>
  <c r="B376" i="13" a="1"/>
  <c r="B376" i="13"/>
  <c r="C376" i="13" a="1"/>
  <c r="C376" i="13"/>
  <c r="B377" i="13" a="1"/>
  <c r="B377" i="13" s="1"/>
  <c r="C377" i="13" a="1"/>
  <c r="C377" i="13" s="1"/>
  <c r="B378" i="13" a="1"/>
  <c r="B378" i="13" s="1"/>
  <c r="C378" i="13" a="1"/>
  <c r="C378" i="13" s="1"/>
  <c r="B379" i="13" a="1"/>
  <c r="B379" i="13"/>
  <c r="C379" i="13" a="1"/>
  <c r="C379" i="13"/>
  <c r="B380" i="13" a="1"/>
  <c r="B380" i="13" s="1"/>
  <c r="C380" i="13" a="1"/>
  <c r="C380" i="13" s="1"/>
  <c r="B381" i="13" a="1"/>
  <c r="B381" i="13" s="1"/>
  <c r="C381" i="13" a="1"/>
  <c r="C381" i="13" s="1"/>
  <c r="B382" i="13" a="1"/>
  <c r="B382" i="13"/>
  <c r="C382" i="13" a="1"/>
  <c r="C382" i="13"/>
  <c r="B383" i="13" a="1"/>
  <c r="B383" i="13" s="1"/>
  <c r="C383" i="13" a="1"/>
  <c r="C383" i="13" s="1"/>
  <c r="B384" i="13" a="1"/>
  <c r="B384" i="13" s="1"/>
  <c r="C384" i="13" a="1"/>
  <c r="C384" i="13" s="1"/>
  <c r="B385" i="13" a="1"/>
  <c r="B385" i="13"/>
  <c r="C385" i="13" a="1"/>
  <c r="C385" i="13"/>
  <c r="B386" i="13" a="1"/>
  <c r="B386" i="13" s="1"/>
  <c r="C386" i="13" a="1"/>
  <c r="C386" i="13" s="1"/>
  <c r="B387" i="13" a="1"/>
  <c r="B387" i="13" s="1"/>
  <c r="C387" i="13" a="1"/>
  <c r="C387" i="13" s="1"/>
  <c r="B388" i="13" a="1"/>
  <c r="B388" i="13"/>
  <c r="C388" i="13" a="1"/>
  <c r="C388" i="13" s="1"/>
  <c r="B389" i="13" a="1"/>
  <c r="B389" i="13" s="1"/>
  <c r="C389" i="13" a="1"/>
  <c r="C389" i="13" s="1"/>
  <c r="B390" i="13" a="1"/>
  <c r="B390" i="13" s="1"/>
  <c r="C390" i="13" a="1"/>
  <c r="C390" i="13" s="1"/>
  <c r="B391" i="13" a="1"/>
  <c r="B391" i="13"/>
  <c r="C391" i="13" a="1"/>
  <c r="C391" i="13"/>
  <c r="B392" i="13" a="1"/>
  <c r="B392" i="13" s="1"/>
  <c r="C392" i="13" a="1"/>
  <c r="C392" i="13" s="1"/>
  <c r="B393" i="13" a="1"/>
  <c r="B393" i="13" s="1"/>
  <c r="C393" i="13" a="1"/>
  <c r="C393" i="13" s="1"/>
  <c r="B394" i="13" a="1"/>
  <c r="B394" i="13" s="1"/>
  <c r="C394" i="13" a="1"/>
  <c r="C394" i="13" s="1"/>
  <c r="B395" i="13" a="1"/>
  <c r="B395" i="13"/>
  <c r="C395" i="13" a="1"/>
  <c r="C395" i="13" s="1"/>
  <c r="B396" i="13" a="1"/>
  <c r="B396" i="13" s="1"/>
  <c r="C396" i="13" a="1"/>
  <c r="C396" i="13" s="1"/>
  <c r="B397" i="13" a="1"/>
  <c r="B397" i="13"/>
  <c r="C397" i="13" a="1"/>
  <c r="C397" i="13"/>
  <c r="B398" i="13" a="1"/>
  <c r="B398" i="13" s="1"/>
  <c r="C398" i="13" a="1"/>
  <c r="C398" i="13" s="1"/>
  <c r="B399" i="13" a="1"/>
  <c r="B399" i="13" s="1"/>
  <c r="C399" i="13" a="1"/>
  <c r="C399" i="13" s="1"/>
  <c r="B400" i="13" a="1"/>
  <c r="B400" i="13" s="1"/>
  <c r="C400" i="13" a="1"/>
  <c r="C400" i="13"/>
  <c r="B401" i="13" a="1"/>
  <c r="B401" i="13"/>
  <c r="C401" i="13" a="1"/>
  <c r="C401" i="13" s="1"/>
  <c r="B402" i="13" a="1"/>
  <c r="B402" i="13" s="1"/>
  <c r="C402" i="13" a="1"/>
  <c r="C402" i="13" s="1"/>
  <c r="B403" i="13" a="1"/>
  <c r="B403" i="13"/>
  <c r="C403" i="13" a="1"/>
  <c r="C403" i="13"/>
  <c r="B404" i="13" a="1"/>
  <c r="B404" i="13" s="1"/>
  <c r="C404" i="13" a="1"/>
  <c r="C404" i="13" s="1"/>
  <c r="B405" i="13" a="1"/>
  <c r="B405" i="13" s="1"/>
  <c r="C405" i="13" a="1"/>
  <c r="C405" i="13" s="1"/>
  <c r="B406" i="13" a="1"/>
  <c r="B406" i="13" s="1"/>
  <c r="C406" i="13" a="1"/>
  <c r="C406" i="13"/>
  <c r="B407" i="13" a="1"/>
  <c r="B407" i="13"/>
  <c r="C407" i="13" a="1"/>
  <c r="C407" i="13" s="1"/>
  <c r="B408" i="13" a="1"/>
  <c r="B408" i="13" s="1"/>
  <c r="C408" i="13" a="1"/>
  <c r="C408" i="13" s="1"/>
  <c r="B409" i="13" a="1"/>
  <c r="B409" i="13"/>
  <c r="C409" i="13" a="1"/>
  <c r="C409" i="13"/>
  <c r="B410" i="13" a="1"/>
  <c r="B410" i="13" s="1"/>
  <c r="C410" i="13" a="1"/>
  <c r="C410" i="13" s="1"/>
  <c r="B411" i="13" a="1"/>
  <c r="B411" i="13" s="1"/>
  <c r="C411" i="13" a="1"/>
  <c r="C411" i="13" s="1"/>
  <c r="B412" i="13" a="1"/>
  <c r="B412" i="13" s="1"/>
  <c r="C412" i="13" a="1"/>
  <c r="C412" i="13"/>
  <c r="B413" i="13" a="1"/>
  <c r="B413" i="13"/>
  <c r="C413" i="13" a="1"/>
  <c r="C413" i="13" s="1"/>
  <c r="B414" i="13" a="1"/>
  <c r="B414" i="13" s="1"/>
  <c r="C414" i="13" a="1"/>
  <c r="C414" i="13" s="1"/>
  <c r="B415" i="13" a="1"/>
  <c r="B415" i="13"/>
  <c r="C415" i="13" a="1"/>
  <c r="C415" i="13"/>
  <c r="B416" i="13" a="1"/>
  <c r="B416" i="13" s="1"/>
  <c r="C416" i="13" a="1"/>
  <c r="C416" i="13" s="1"/>
  <c r="B417" i="13" a="1"/>
  <c r="B417" i="13" s="1"/>
  <c r="C417" i="13" a="1"/>
  <c r="C417" i="13" s="1"/>
  <c r="B418" i="13" a="1"/>
  <c r="B418" i="13" s="1"/>
  <c r="C418" i="13" a="1"/>
  <c r="C418" i="13"/>
  <c r="B419" i="13" a="1"/>
  <c r="B419" i="13"/>
  <c r="C419" i="13" a="1"/>
  <c r="C419" i="13" s="1"/>
  <c r="B420" i="13" a="1"/>
  <c r="B420" i="13" s="1"/>
  <c r="C420" i="13" a="1"/>
  <c r="C420" i="13" s="1"/>
  <c r="B421" i="13" a="1"/>
  <c r="B421" i="13"/>
  <c r="C421" i="13" a="1"/>
  <c r="C421" i="13" s="1"/>
  <c r="B422" i="13" a="1"/>
  <c r="B422" i="13" s="1"/>
  <c r="C422" i="13" a="1"/>
  <c r="C422" i="13" s="1"/>
  <c r="B423" i="13" a="1"/>
  <c r="B423" i="13" s="1"/>
  <c r="C423" i="13" a="1"/>
  <c r="C423" i="13" s="1"/>
  <c r="B424" i="13" a="1"/>
  <c r="B424" i="13" s="1"/>
  <c r="C424" i="13" a="1"/>
  <c r="C424" i="13"/>
  <c r="B425" i="13" a="1"/>
  <c r="B425" i="13"/>
  <c r="C425" i="13" a="1"/>
  <c r="C425" i="13" s="1"/>
  <c r="B426" i="13" a="1"/>
  <c r="B426" i="13" s="1"/>
  <c r="C426" i="13" a="1"/>
  <c r="C426" i="13" s="1"/>
  <c r="B427" i="13" a="1"/>
  <c r="B427" i="13" s="1"/>
  <c r="C427" i="13" a="1"/>
  <c r="C427" i="13" s="1"/>
  <c r="B428" i="13" a="1"/>
  <c r="B428" i="13"/>
  <c r="C428" i="13" a="1"/>
  <c r="C428" i="13" s="1"/>
  <c r="B429" i="13" a="1"/>
  <c r="B429" i="13" s="1"/>
  <c r="C429" i="13" a="1"/>
  <c r="C429" i="13" s="1"/>
  <c r="B430" i="13" a="1"/>
  <c r="B430" i="13" s="1"/>
  <c r="C430" i="13" a="1"/>
  <c r="C430" i="13"/>
  <c r="B431" i="13" a="1"/>
  <c r="B431" i="13"/>
  <c r="C431" i="13" a="1"/>
  <c r="C431" i="13" s="1"/>
  <c r="B432" i="13" a="1"/>
  <c r="B432" i="13" s="1"/>
  <c r="C432" i="13" a="1"/>
  <c r="C432" i="13" s="1"/>
  <c r="B433" i="13" a="1"/>
  <c r="B433" i="13" s="1"/>
  <c r="C433" i="13" a="1"/>
  <c r="C433" i="13"/>
  <c r="B434" i="13" a="1"/>
  <c r="B434" i="13"/>
  <c r="C434" i="13" a="1"/>
  <c r="C434" i="13" s="1"/>
  <c r="B435" i="13" a="1"/>
  <c r="B435" i="13" s="1"/>
  <c r="C435" i="13" a="1"/>
  <c r="C435" i="13" s="1"/>
  <c r="B436" i="13" a="1"/>
  <c r="B436" i="13" s="1"/>
  <c r="C436" i="13" a="1"/>
  <c r="C436" i="13"/>
  <c r="B437" i="13" a="1"/>
  <c r="B437" i="13"/>
  <c r="C437" i="13" a="1"/>
  <c r="C437" i="13" s="1"/>
  <c r="B438" i="13" a="1"/>
  <c r="B438" i="13" s="1"/>
  <c r="C438" i="13" a="1"/>
  <c r="C438" i="13" s="1"/>
  <c r="B439" i="13" a="1"/>
  <c r="B439" i="13" s="1"/>
  <c r="C439" i="13" a="1"/>
  <c r="C439" i="13"/>
  <c r="B440" i="13" a="1"/>
  <c r="B440" i="13"/>
  <c r="C440" i="13" a="1"/>
  <c r="C440" i="13" s="1"/>
  <c r="B441" i="13" a="1"/>
  <c r="B441" i="13" s="1"/>
  <c r="C441" i="13" a="1"/>
  <c r="C441" i="13" s="1"/>
  <c r="B442" i="13" a="1"/>
  <c r="B442" i="13" s="1"/>
  <c r="C442" i="13" a="1"/>
  <c r="C442" i="13"/>
  <c r="B443" i="13" a="1"/>
  <c r="B443" i="13"/>
  <c r="C443" i="13" a="1"/>
  <c r="C443" i="13" s="1"/>
  <c r="B444" i="13" a="1"/>
  <c r="B444" i="13" s="1"/>
  <c r="C444" i="13" a="1"/>
  <c r="C444" i="13" s="1"/>
  <c r="B445" i="13" a="1"/>
  <c r="B445" i="13" s="1"/>
  <c r="C445" i="13" a="1"/>
  <c r="C445" i="13"/>
  <c r="B446" i="13" a="1"/>
  <c r="B446" i="13"/>
  <c r="C446" i="13" a="1"/>
  <c r="C446" i="13" s="1"/>
  <c r="B447" i="13" a="1"/>
  <c r="B447" i="13" s="1"/>
  <c r="C447" i="13" a="1"/>
  <c r="C447" i="13" s="1"/>
  <c r="B448" i="13" a="1"/>
  <c r="B448" i="13" s="1"/>
  <c r="C448" i="13" a="1"/>
  <c r="C448" i="13"/>
  <c r="B449" i="13" a="1"/>
  <c r="B449" i="13" s="1"/>
  <c r="C449" i="13" a="1"/>
  <c r="C449" i="13" s="1"/>
  <c r="B450" i="13" a="1"/>
  <c r="B450" i="13" s="1"/>
  <c r="C450" i="13" a="1"/>
  <c r="C450" i="13" s="1"/>
  <c r="B451" i="13" a="1"/>
  <c r="B451" i="13" s="1"/>
  <c r="C451" i="13" a="1"/>
  <c r="C451" i="13"/>
  <c r="B452" i="13" a="1"/>
  <c r="B452" i="13"/>
  <c r="C452" i="13" a="1"/>
  <c r="C452" i="13" s="1"/>
  <c r="B453" i="13" a="1"/>
  <c r="B453" i="13" s="1"/>
  <c r="C453" i="13" a="1"/>
  <c r="C453" i="13" s="1"/>
  <c r="B454" i="13" a="1"/>
  <c r="B454" i="13" s="1"/>
  <c r="C454" i="13" a="1"/>
  <c r="C454" i="13" s="1"/>
  <c r="B455" i="13" a="1"/>
  <c r="B455" i="13" s="1"/>
  <c r="C455" i="13" a="1"/>
  <c r="C455" i="13"/>
  <c r="B456" i="13" a="1"/>
  <c r="B456" i="13" s="1"/>
  <c r="C456" i="13" a="1"/>
  <c r="C456" i="13" s="1"/>
  <c r="B457" i="13" a="1"/>
  <c r="B457" i="13" s="1"/>
  <c r="C457" i="13" a="1"/>
  <c r="C457" i="13"/>
  <c r="B458" i="13" a="1"/>
  <c r="B458" i="13"/>
  <c r="C458" i="13" a="1"/>
  <c r="C458" i="13" s="1"/>
  <c r="B459" i="13" a="1"/>
  <c r="B459" i="13" s="1"/>
  <c r="C459" i="13" a="1"/>
  <c r="C459" i="13" s="1"/>
  <c r="B460" i="13" a="1"/>
  <c r="B460" i="13" s="1"/>
  <c r="C460" i="13" a="1"/>
  <c r="C460" i="13" s="1"/>
  <c r="B461" i="13" a="1"/>
  <c r="B461" i="13"/>
  <c r="C461" i="13" a="1"/>
  <c r="C461" i="13"/>
  <c r="B462" i="13" a="1"/>
  <c r="B462" i="13" s="1"/>
  <c r="C462" i="13" a="1"/>
  <c r="C462" i="13" s="1"/>
  <c r="B463" i="13" a="1"/>
  <c r="B463" i="13" s="1"/>
  <c r="C463" i="13" a="1"/>
  <c r="C463" i="13"/>
  <c r="B464" i="13" a="1"/>
  <c r="B464" i="13"/>
  <c r="C464" i="13" a="1"/>
  <c r="C464" i="13" s="1"/>
  <c r="B465" i="13" a="1"/>
  <c r="B465" i="13" s="1"/>
  <c r="C465" i="13" a="1"/>
  <c r="C465" i="13" s="1"/>
  <c r="B466" i="13" a="1"/>
  <c r="B466" i="13"/>
  <c r="C466" i="13" a="1"/>
  <c r="C466" i="13"/>
  <c r="B467" i="13" a="1"/>
  <c r="B467" i="13"/>
  <c r="C467" i="13" a="1"/>
  <c r="C467" i="13"/>
  <c r="B468" i="13" a="1"/>
  <c r="B468" i="13"/>
  <c r="C468" i="13" a="1"/>
  <c r="C468" i="13"/>
  <c r="B469" i="13" a="1"/>
  <c r="B469" i="13"/>
  <c r="C469" i="13" a="1"/>
  <c r="C469" i="13" s="1"/>
  <c r="B470" i="13" a="1"/>
  <c r="B470" i="13"/>
  <c r="C470" i="13" a="1"/>
  <c r="C470" i="13"/>
  <c r="B471" i="13" a="1"/>
  <c r="B471" i="13"/>
  <c r="C471" i="13" a="1"/>
  <c r="C471" i="13"/>
  <c r="B472" i="13" a="1"/>
  <c r="B472" i="13"/>
  <c r="C472" i="13" a="1"/>
  <c r="C472" i="13"/>
  <c r="B473" i="13" a="1"/>
  <c r="B473" i="13"/>
  <c r="C473" i="13" a="1"/>
  <c r="C473" i="13"/>
  <c r="B474" i="13" a="1"/>
  <c r="B474" i="13"/>
  <c r="C474" i="13" a="1"/>
  <c r="C474" i="13"/>
  <c r="B475" i="13" a="1"/>
  <c r="B475" i="13" s="1"/>
  <c r="C475" i="13" a="1"/>
  <c r="C475" i="13"/>
  <c r="B476" i="13" a="1"/>
  <c r="B476" i="13"/>
  <c r="C476" i="13" a="1"/>
  <c r="C476" i="13"/>
  <c r="B477" i="13" a="1"/>
  <c r="B477" i="13"/>
  <c r="C477" i="13" a="1"/>
  <c r="C477" i="13"/>
  <c r="B478" i="13" a="1"/>
  <c r="B478" i="13"/>
  <c r="C478" i="13" a="1"/>
  <c r="C478" i="13"/>
  <c r="B479" i="13" a="1"/>
  <c r="B479" i="13"/>
  <c r="C479" i="13" a="1"/>
  <c r="C479" i="13"/>
  <c r="B480" i="13" a="1"/>
  <c r="B480" i="13"/>
  <c r="C480" i="13" a="1"/>
  <c r="C480" i="13" s="1"/>
  <c r="B481" i="13" a="1"/>
  <c r="B481" i="13"/>
  <c r="C481" i="13" a="1"/>
  <c r="C481" i="13"/>
  <c r="B482" i="13" a="1"/>
  <c r="B482" i="13"/>
  <c r="C482" i="13" a="1"/>
  <c r="C482" i="13"/>
  <c r="B483" i="13" a="1"/>
  <c r="B483" i="13"/>
  <c r="C483" i="13" a="1"/>
  <c r="C483" i="13"/>
  <c r="B484" i="13" a="1"/>
  <c r="B484" i="13"/>
  <c r="C484" i="13" a="1"/>
  <c r="C484" i="13"/>
  <c r="B485" i="13" a="1"/>
  <c r="B485" i="13"/>
  <c r="C485" i="13" a="1"/>
  <c r="C485" i="13"/>
  <c r="B486" i="13" a="1"/>
  <c r="B486" i="13" s="1"/>
  <c r="C486" i="13" a="1"/>
  <c r="C486" i="13"/>
  <c r="B487" i="13" a="1"/>
  <c r="B487" i="13"/>
  <c r="C487" i="13" a="1"/>
  <c r="C487" i="13"/>
  <c r="B488" i="13" a="1"/>
  <c r="B488" i="13"/>
  <c r="C488" i="13" a="1"/>
  <c r="C488" i="13"/>
  <c r="B489" i="13" a="1"/>
  <c r="B489" i="13"/>
  <c r="C489" i="13" a="1"/>
  <c r="C489" i="13"/>
  <c r="B490" i="13" a="1"/>
  <c r="B490" i="13"/>
  <c r="C490" i="13" a="1"/>
  <c r="C490" i="13"/>
  <c r="B491" i="13" a="1"/>
  <c r="B491" i="13"/>
  <c r="C491" i="13" a="1"/>
  <c r="C491" i="13" s="1"/>
  <c r="B492" i="13" a="1"/>
  <c r="B492" i="13"/>
  <c r="C492" i="13" a="1"/>
  <c r="C492" i="13"/>
  <c r="B493" i="13" a="1"/>
  <c r="B493" i="13"/>
  <c r="C493" i="13" a="1"/>
  <c r="C493" i="13"/>
  <c r="B494" i="13" a="1"/>
  <c r="B494" i="13"/>
  <c r="C494" i="13" a="1"/>
  <c r="C494" i="13"/>
  <c r="B495" i="13" a="1"/>
  <c r="B495" i="13"/>
  <c r="C495" i="13" a="1"/>
  <c r="C495" i="13"/>
  <c r="B496" i="13" a="1"/>
  <c r="B496" i="13"/>
  <c r="C496" i="13" a="1"/>
  <c r="C496" i="13"/>
  <c r="B497" i="13" a="1"/>
  <c r="B497" i="13" s="1"/>
  <c r="C497" i="13" a="1"/>
  <c r="C497" i="13"/>
  <c r="B498" i="13" a="1"/>
  <c r="B498" i="13"/>
  <c r="C498" i="13" a="1"/>
  <c r="C498" i="13"/>
  <c r="B499" i="13" a="1"/>
  <c r="B499" i="13"/>
  <c r="C499" i="13" a="1"/>
  <c r="C499" i="13"/>
  <c r="B500" i="13" a="1"/>
  <c r="B500" i="13"/>
  <c r="C500" i="13" a="1"/>
  <c r="C500" i="13"/>
  <c r="B501" i="13" a="1"/>
  <c r="B501" i="13"/>
  <c r="C501" i="13" a="1"/>
  <c r="C501" i="13"/>
  <c r="B502" i="13" a="1"/>
  <c r="B502" i="13"/>
  <c r="C502" i="13" a="1"/>
  <c r="C502" i="13" s="1"/>
  <c r="B503" i="13" a="1"/>
  <c r="B503" i="13"/>
  <c r="C503" i="13" a="1"/>
  <c r="C503" i="13"/>
  <c r="B504" i="13" a="1"/>
  <c r="B504" i="13"/>
  <c r="C504" i="13" a="1"/>
  <c r="C504" i="13"/>
  <c r="B505" i="13" a="1"/>
  <c r="B505" i="13"/>
  <c r="C505" i="13" a="1"/>
  <c r="C505" i="13"/>
  <c r="B506" i="13" a="1"/>
  <c r="B506" i="13"/>
  <c r="C506" i="13" a="1"/>
  <c r="C506" i="13"/>
  <c r="B507" i="13" a="1"/>
  <c r="B507" i="13"/>
  <c r="C507" i="13" a="1"/>
  <c r="C507" i="13"/>
  <c r="B508" i="13" a="1"/>
  <c r="B508" i="13" s="1"/>
  <c r="C508" i="13" a="1"/>
  <c r="C508" i="13"/>
  <c r="B509" i="13" a="1"/>
  <c r="B509" i="13"/>
  <c r="C509" i="13" a="1"/>
  <c r="C509" i="13"/>
  <c r="B510" i="13" a="1"/>
  <c r="B510" i="13"/>
  <c r="C510" i="13" a="1"/>
  <c r="C510" i="13"/>
  <c r="B511" i="13" a="1"/>
  <c r="B511" i="13"/>
  <c r="C511" i="13" a="1"/>
  <c r="C511" i="13"/>
  <c r="B512" i="13" a="1"/>
  <c r="B512" i="13"/>
  <c r="C512" i="13" a="1"/>
  <c r="C512" i="13"/>
  <c r="B513" i="13" a="1"/>
  <c r="B513" i="13"/>
  <c r="C513" i="13" a="1"/>
  <c r="C513" i="13" s="1"/>
  <c r="B514" i="13" a="1"/>
  <c r="B514" i="13"/>
  <c r="C514" i="13" a="1"/>
  <c r="C514" i="13"/>
  <c r="B515" i="13" a="1"/>
  <c r="B515" i="13"/>
  <c r="C515" i="13" a="1"/>
  <c r="C515" i="13"/>
  <c r="B516" i="13" a="1"/>
  <c r="B516" i="13"/>
  <c r="C516" i="13" a="1"/>
  <c r="C516" i="13"/>
  <c r="B517" i="13" a="1"/>
  <c r="B517" i="13"/>
  <c r="C517" i="13" a="1"/>
  <c r="C517" i="13"/>
  <c r="B518" i="13" a="1"/>
  <c r="B518" i="13"/>
  <c r="C518" i="13" a="1"/>
  <c r="C518" i="13"/>
  <c r="B519" i="13" a="1"/>
  <c r="B519" i="13" s="1"/>
  <c r="C519" i="13" a="1"/>
  <c r="C519" i="13"/>
  <c r="B520" i="13" a="1"/>
  <c r="B520" i="13"/>
  <c r="C520" i="13" a="1"/>
  <c r="C520" i="13"/>
  <c r="C2" i="13" a="1"/>
  <c r="C2" i="13" s="1"/>
  <c r="B2" i="13" a="1"/>
  <c r="B2" i="13" s="1"/>
  <c r="E520" i="6" a="1"/>
  <c r="E520" i="6" s="1"/>
  <c r="D520" i="6" a="1"/>
  <c r="D520" i="6" s="1"/>
  <c r="C520" i="6" a="1"/>
  <c r="C520" i="6" s="1"/>
  <c r="B520" i="6" a="1"/>
  <c r="B520" i="6" s="1"/>
  <c r="E519" i="6" a="1"/>
  <c r="E519" i="6" s="1"/>
  <c r="D519" i="6" a="1"/>
  <c r="D519" i="6" s="1"/>
  <c r="C519" i="6" a="1"/>
  <c r="C519" i="6" s="1"/>
  <c r="B519" i="6" a="1"/>
  <c r="B519" i="6" s="1"/>
  <c r="E518" i="6" a="1"/>
  <c r="E518" i="6" s="1"/>
  <c r="D518" i="6" a="1"/>
  <c r="D518" i="6" s="1"/>
  <c r="C518" i="6" a="1"/>
  <c r="C518" i="6" s="1"/>
  <c r="B518" i="6" a="1"/>
  <c r="B518" i="6" s="1"/>
  <c r="E517" i="6" a="1"/>
  <c r="E517" i="6" s="1"/>
  <c r="D517" i="6" a="1"/>
  <c r="D517" i="6" s="1"/>
  <c r="C517" i="6" a="1"/>
  <c r="C517" i="6" s="1"/>
  <c r="B517" i="6" a="1"/>
  <c r="B517" i="6" s="1"/>
  <c r="E516" i="6" a="1"/>
  <c r="E516" i="6" s="1"/>
  <c r="D516" i="6" a="1"/>
  <c r="D516" i="6" s="1"/>
  <c r="C516" i="6" a="1"/>
  <c r="C516" i="6" s="1"/>
  <c r="B516" i="6" a="1"/>
  <c r="B516" i="6" s="1"/>
  <c r="E515" i="6" a="1"/>
  <c r="E515" i="6" s="1"/>
  <c r="D515" i="6" a="1"/>
  <c r="D515" i="6" s="1"/>
  <c r="C515" i="6" a="1"/>
  <c r="C515" i="6" s="1"/>
  <c r="B515" i="6" a="1"/>
  <c r="B515" i="6" s="1"/>
  <c r="E514" i="6" a="1"/>
  <c r="E514" i="6" s="1"/>
  <c r="D514" i="6" a="1"/>
  <c r="D514" i="6" s="1"/>
  <c r="C514" i="6" a="1"/>
  <c r="C514" i="6" s="1"/>
  <c r="B514" i="6" a="1"/>
  <c r="B514" i="6" s="1"/>
  <c r="E513" i="6" a="1"/>
  <c r="E513" i="6" s="1"/>
  <c r="D513" i="6" a="1"/>
  <c r="D513" i="6" s="1"/>
  <c r="C513" i="6" a="1"/>
  <c r="C513" i="6" s="1"/>
  <c r="B513" i="6" a="1"/>
  <c r="B513" i="6" s="1"/>
  <c r="E512" i="6" a="1"/>
  <c r="E512" i="6" s="1"/>
  <c r="D512" i="6" a="1"/>
  <c r="D512" i="6" s="1"/>
  <c r="C512" i="6" a="1"/>
  <c r="C512" i="6" s="1"/>
  <c r="B512" i="6" a="1"/>
  <c r="B512" i="6" s="1"/>
  <c r="E511" i="6" a="1"/>
  <c r="E511" i="6" s="1"/>
  <c r="D511" i="6" a="1"/>
  <c r="D511" i="6" s="1"/>
  <c r="C511" i="6" a="1"/>
  <c r="C511" i="6" s="1"/>
  <c r="B511" i="6" a="1"/>
  <c r="B511" i="6" s="1"/>
  <c r="E510" i="6" a="1"/>
  <c r="E510" i="6" s="1"/>
  <c r="D510" i="6" a="1"/>
  <c r="D510" i="6" s="1"/>
  <c r="C510" i="6" a="1"/>
  <c r="C510" i="6" s="1"/>
  <c r="B510" i="6" a="1"/>
  <c r="B510" i="6" s="1"/>
  <c r="E509" i="6" a="1"/>
  <c r="E509" i="6" s="1"/>
  <c r="D509" i="6" a="1"/>
  <c r="D509" i="6" s="1"/>
  <c r="C509" i="6" a="1"/>
  <c r="C509" i="6" s="1"/>
  <c r="B509" i="6" a="1"/>
  <c r="B509" i="6" s="1"/>
  <c r="E508" i="6" a="1"/>
  <c r="E508" i="6" s="1"/>
  <c r="D508" i="6" a="1"/>
  <c r="D508" i="6" s="1"/>
  <c r="C508" i="6" a="1"/>
  <c r="C508" i="6" s="1"/>
  <c r="B508" i="6" a="1"/>
  <c r="B508" i="6" s="1"/>
  <c r="E507" i="6" a="1"/>
  <c r="E507" i="6" s="1"/>
  <c r="D507" i="6" a="1"/>
  <c r="D507" i="6" s="1"/>
  <c r="C507" i="6" a="1"/>
  <c r="C507" i="6" s="1"/>
  <c r="B507" i="6" a="1"/>
  <c r="B507" i="6" s="1"/>
  <c r="E506" i="6" a="1"/>
  <c r="E506" i="6" s="1"/>
  <c r="D506" i="6" a="1"/>
  <c r="D506" i="6" s="1"/>
  <c r="C506" i="6" a="1"/>
  <c r="C506" i="6" s="1"/>
  <c r="B506" i="6" a="1"/>
  <c r="B506" i="6" s="1"/>
  <c r="E505" i="6" a="1"/>
  <c r="E505" i="6" s="1"/>
  <c r="D505" i="6" a="1"/>
  <c r="D505" i="6" s="1"/>
  <c r="C505" i="6" a="1"/>
  <c r="C505" i="6" s="1"/>
  <c r="B505" i="6" a="1"/>
  <c r="B505" i="6" s="1"/>
  <c r="E504" i="6" a="1"/>
  <c r="E504" i="6" s="1"/>
  <c r="D504" i="6" a="1"/>
  <c r="D504" i="6" s="1"/>
  <c r="C504" i="6" a="1"/>
  <c r="C504" i="6" s="1"/>
  <c r="B504" i="6" a="1"/>
  <c r="B504" i="6" s="1"/>
  <c r="E503" i="6" a="1"/>
  <c r="E503" i="6" s="1"/>
  <c r="D503" i="6" a="1"/>
  <c r="D503" i="6" s="1"/>
  <c r="C503" i="6" a="1"/>
  <c r="C503" i="6" s="1"/>
  <c r="B503" i="6" a="1"/>
  <c r="B503" i="6" s="1"/>
  <c r="E502" i="6" a="1"/>
  <c r="E502" i="6" s="1"/>
  <c r="D502" i="6" a="1"/>
  <c r="D502" i="6" s="1"/>
  <c r="C502" i="6" a="1"/>
  <c r="C502" i="6" s="1"/>
  <c r="B502" i="6" a="1"/>
  <c r="B502" i="6" s="1"/>
  <c r="E501" i="6" a="1"/>
  <c r="E501" i="6" s="1"/>
  <c r="D501" i="6" a="1"/>
  <c r="D501" i="6" s="1"/>
  <c r="C501" i="6" a="1"/>
  <c r="C501" i="6" s="1"/>
  <c r="B501" i="6" a="1"/>
  <c r="B501" i="6" s="1"/>
  <c r="E500" i="6" a="1"/>
  <c r="E500" i="6" s="1"/>
  <c r="D500" i="6" a="1"/>
  <c r="D500" i="6" s="1"/>
  <c r="C500" i="6" a="1"/>
  <c r="C500" i="6" s="1"/>
  <c r="B500" i="6" a="1"/>
  <c r="B500" i="6" s="1"/>
  <c r="E499" i="6" a="1"/>
  <c r="E499" i="6" s="1"/>
  <c r="D499" i="6" a="1"/>
  <c r="D499" i="6" s="1"/>
  <c r="C499" i="6" a="1"/>
  <c r="C499" i="6" s="1"/>
  <c r="B499" i="6" a="1"/>
  <c r="B499" i="6" s="1"/>
  <c r="E498" i="6" a="1"/>
  <c r="E498" i="6" s="1"/>
  <c r="D498" i="6" a="1"/>
  <c r="D498" i="6" s="1"/>
  <c r="C498" i="6" a="1"/>
  <c r="C498" i="6" s="1"/>
  <c r="B498" i="6" a="1"/>
  <c r="B498" i="6" s="1"/>
  <c r="E497" i="6" a="1"/>
  <c r="E497" i="6" s="1"/>
  <c r="D497" i="6" a="1"/>
  <c r="D497" i="6" s="1"/>
  <c r="C497" i="6" a="1"/>
  <c r="C497" i="6" s="1"/>
  <c r="B497" i="6" a="1"/>
  <c r="B497" i="6" s="1"/>
  <c r="E496" i="6" a="1"/>
  <c r="E496" i="6" s="1"/>
  <c r="D496" i="6" a="1"/>
  <c r="D496" i="6" s="1"/>
  <c r="C496" i="6" a="1"/>
  <c r="C496" i="6" s="1"/>
  <c r="B496" i="6" a="1"/>
  <c r="B496" i="6" s="1"/>
  <c r="E495" i="6" a="1"/>
  <c r="E495" i="6" s="1"/>
  <c r="D495" i="6" a="1"/>
  <c r="D495" i="6" s="1"/>
  <c r="C495" i="6" a="1"/>
  <c r="C495" i="6" s="1"/>
  <c r="B495" i="6" a="1"/>
  <c r="B495" i="6" s="1"/>
  <c r="E494" i="6" a="1"/>
  <c r="E494" i="6" s="1"/>
  <c r="D494" i="6" a="1"/>
  <c r="D494" i="6" s="1"/>
  <c r="C494" i="6" a="1"/>
  <c r="C494" i="6" s="1"/>
  <c r="B494" i="6" a="1"/>
  <c r="B494" i="6" s="1"/>
  <c r="E493" i="6" a="1"/>
  <c r="E493" i="6" s="1"/>
  <c r="D493" i="6" a="1"/>
  <c r="D493" i="6" s="1"/>
  <c r="C493" i="6" a="1"/>
  <c r="C493" i="6" s="1"/>
  <c r="B493" i="6" a="1"/>
  <c r="B493" i="6" s="1"/>
  <c r="E492" i="6" a="1"/>
  <c r="E492" i="6" s="1"/>
  <c r="D492" i="6" a="1"/>
  <c r="D492" i="6" s="1"/>
  <c r="C492" i="6" a="1"/>
  <c r="C492" i="6" s="1"/>
  <c r="B492" i="6" a="1"/>
  <c r="B492" i="6" s="1"/>
  <c r="E491" i="6" a="1"/>
  <c r="E491" i="6" s="1"/>
  <c r="D491" i="6" a="1"/>
  <c r="D491" i="6" s="1"/>
  <c r="C491" i="6" a="1"/>
  <c r="C491" i="6" s="1"/>
  <c r="B491" i="6" a="1"/>
  <c r="B491" i="6" s="1"/>
  <c r="E490" i="6" a="1"/>
  <c r="E490" i="6" s="1"/>
  <c r="D490" i="6" a="1"/>
  <c r="D490" i="6" s="1"/>
  <c r="C490" i="6" a="1"/>
  <c r="C490" i="6" s="1"/>
  <c r="B490" i="6" a="1"/>
  <c r="B490" i="6" s="1"/>
  <c r="E489" i="6" a="1"/>
  <c r="E489" i="6" s="1"/>
  <c r="D489" i="6" a="1"/>
  <c r="D489" i="6" s="1"/>
  <c r="C489" i="6" a="1"/>
  <c r="C489" i="6" s="1"/>
  <c r="B489" i="6" a="1"/>
  <c r="B489" i="6" s="1"/>
  <c r="E488" i="6" a="1"/>
  <c r="E488" i="6" s="1"/>
  <c r="D488" i="6" a="1"/>
  <c r="D488" i="6" s="1"/>
  <c r="C488" i="6" a="1"/>
  <c r="C488" i="6" s="1"/>
  <c r="B488" i="6" a="1"/>
  <c r="B488" i="6" s="1"/>
  <c r="E487" i="6" a="1"/>
  <c r="E487" i="6" s="1"/>
  <c r="D487" i="6" a="1"/>
  <c r="D487" i="6" s="1"/>
  <c r="C487" i="6" a="1"/>
  <c r="C487" i="6" s="1"/>
  <c r="B487" i="6" a="1"/>
  <c r="B487" i="6" s="1"/>
  <c r="E486" i="6" a="1"/>
  <c r="E486" i="6" s="1"/>
  <c r="D486" i="6" a="1"/>
  <c r="D486" i="6" s="1"/>
  <c r="C486" i="6" a="1"/>
  <c r="C486" i="6" s="1"/>
  <c r="B486" i="6" a="1"/>
  <c r="B486" i="6" s="1"/>
  <c r="E485" i="6" a="1"/>
  <c r="E485" i="6" s="1"/>
  <c r="D485" i="6" a="1"/>
  <c r="D485" i="6" s="1"/>
  <c r="C485" i="6" a="1"/>
  <c r="C485" i="6" s="1"/>
  <c r="B485" i="6" a="1"/>
  <c r="B485" i="6" s="1"/>
  <c r="E484" i="6" a="1"/>
  <c r="E484" i="6" s="1"/>
  <c r="D484" i="6" a="1"/>
  <c r="D484" i="6" s="1"/>
  <c r="C484" i="6" a="1"/>
  <c r="C484" i="6" s="1"/>
  <c r="B484" i="6" a="1"/>
  <c r="B484" i="6" s="1"/>
  <c r="E483" i="6" a="1"/>
  <c r="E483" i="6" s="1"/>
  <c r="D483" i="6" a="1"/>
  <c r="D483" i="6" s="1"/>
  <c r="C483" i="6" a="1"/>
  <c r="C483" i="6" s="1"/>
  <c r="B483" i="6" a="1"/>
  <c r="B483" i="6" s="1"/>
  <c r="E482" i="6" a="1"/>
  <c r="E482" i="6" s="1"/>
  <c r="D482" i="6" a="1"/>
  <c r="D482" i="6" s="1"/>
  <c r="C482" i="6" a="1"/>
  <c r="C482" i="6" s="1"/>
  <c r="B482" i="6" a="1"/>
  <c r="B482" i="6" s="1"/>
  <c r="E481" i="6" a="1"/>
  <c r="E481" i="6" s="1"/>
  <c r="D481" i="6" a="1"/>
  <c r="D481" i="6" s="1"/>
  <c r="C481" i="6" a="1"/>
  <c r="C481" i="6" s="1"/>
  <c r="B481" i="6" a="1"/>
  <c r="B481" i="6" s="1"/>
  <c r="E480" i="6" a="1"/>
  <c r="E480" i="6" s="1"/>
  <c r="D480" i="6" a="1"/>
  <c r="D480" i="6" s="1"/>
  <c r="C480" i="6" a="1"/>
  <c r="C480" i="6" s="1"/>
  <c r="B480" i="6" a="1"/>
  <c r="B480" i="6" s="1"/>
  <c r="E479" i="6" a="1"/>
  <c r="E479" i="6" s="1"/>
  <c r="D479" i="6" a="1"/>
  <c r="D479" i="6" s="1"/>
  <c r="C479" i="6" a="1"/>
  <c r="C479" i="6" s="1"/>
  <c r="B479" i="6" a="1"/>
  <c r="B479" i="6" s="1"/>
  <c r="E478" i="6" a="1"/>
  <c r="E478" i="6" s="1"/>
  <c r="D478" i="6" a="1"/>
  <c r="D478" i="6" s="1"/>
  <c r="C478" i="6" a="1"/>
  <c r="C478" i="6" s="1"/>
  <c r="B478" i="6" a="1"/>
  <c r="B478" i="6" s="1"/>
  <c r="E477" i="6" a="1"/>
  <c r="E477" i="6" s="1"/>
  <c r="D477" i="6" a="1"/>
  <c r="D477" i="6" s="1"/>
  <c r="C477" i="6" a="1"/>
  <c r="C477" i="6" s="1"/>
  <c r="B477" i="6" a="1"/>
  <c r="B477" i="6" s="1"/>
  <c r="E476" i="6" a="1"/>
  <c r="E476" i="6" s="1"/>
  <c r="D476" i="6" a="1"/>
  <c r="D476" i="6" s="1"/>
  <c r="C476" i="6" a="1"/>
  <c r="C476" i="6" s="1"/>
  <c r="B476" i="6" a="1"/>
  <c r="B476" i="6" s="1"/>
  <c r="E475" i="6" a="1"/>
  <c r="E475" i="6" s="1"/>
  <c r="D475" i="6" a="1"/>
  <c r="D475" i="6" s="1"/>
  <c r="C475" i="6" a="1"/>
  <c r="C475" i="6" s="1"/>
  <c r="B475" i="6" a="1"/>
  <c r="B475" i="6" s="1"/>
  <c r="E474" i="6" a="1"/>
  <c r="E474" i="6" s="1"/>
  <c r="D474" i="6" a="1"/>
  <c r="D474" i="6" s="1"/>
  <c r="C474" i="6" a="1"/>
  <c r="C474" i="6" s="1"/>
  <c r="B474" i="6" a="1"/>
  <c r="B474" i="6" s="1"/>
  <c r="E473" i="6" a="1"/>
  <c r="E473" i="6" s="1"/>
  <c r="D473" i="6" a="1"/>
  <c r="D473" i="6" s="1"/>
  <c r="C473" i="6" a="1"/>
  <c r="C473" i="6" s="1"/>
  <c r="B473" i="6" a="1"/>
  <c r="B473" i="6" s="1"/>
  <c r="E472" i="6" a="1"/>
  <c r="E472" i="6" s="1"/>
  <c r="D472" i="6" a="1"/>
  <c r="D472" i="6" s="1"/>
  <c r="C472" i="6" a="1"/>
  <c r="C472" i="6" s="1"/>
  <c r="B472" i="6" a="1"/>
  <c r="B472" i="6" s="1"/>
  <c r="E471" i="6" a="1"/>
  <c r="E471" i="6" s="1"/>
  <c r="D471" i="6" a="1"/>
  <c r="D471" i="6" s="1"/>
  <c r="C471" i="6" a="1"/>
  <c r="C471" i="6" s="1"/>
  <c r="B471" i="6" a="1"/>
  <c r="B471" i="6" s="1"/>
  <c r="E470" i="6" a="1"/>
  <c r="E470" i="6" s="1"/>
  <c r="D470" i="6" a="1"/>
  <c r="D470" i="6" s="1"/>
  <c r="C470" i="6" a="1"/>
  <c r="C470" i="6" s="1"/>
  <c r="B470" i="6" a="1"/>
  <c r="B470" i="6" s="1"/>
  <c r="E469" i="6" a="1"/>
  <c r="E469" i="6" s="1"/>
  <c r="D469" i="6" a="1"/>
  <c r="D469" i="6" s="1"/>
  <c r="C469" i="6" a="1"/>
  <c r="C469" i="6" s="1"/>
  <c r="B469" i="6" a="1"/>
  <c r="B469" i="6" s="1"/>
  <c r="E468" i="6" a="1"/>
  <c r="E468" i="6" s="1"/>
  <c r="D468" i="6" a="1"/>
  <c r="D468" i="6" s="1"/>
  <c r="C468" i="6" a="1"/>
  <c r="C468" i="6" s="1"/>
  <c r="B468" i="6" a="1"/>
  <c r="B468" i="6" s="1"/>
  <c r="E467" i="6" a="1"/>
  <c r="E467" i="6" s="1"/>
  <c r="D467" i="6" a="1"/>
  <c r="D467" i="6" s="1"/>
  <c r="C467" i="6" a="1"/>
  <c r="C467" i="6" s="1"/>
  <c r="B467" i="6" a="1"/>
  <c r="B467" i="6" s="1"/>
  <c r="E466" i="6" a="1"/>
  <c r="E466" i="6" s="1"/>
  <c r="D466" i="6" a="1"/>
  <c r="D466" i="6" s="1"/>
  <c r="C466" i="6" a="1"/>
  <c r="C466" i="6" s="1"/>
  <c r="B466" i="6" a="1"/>
  <c r="B466" i="6" s="1"/>
  <c r="E465" i="6" a="1"/>
  <c r="E465" i="6" s="1"/>
  <c r="D465" i="6" a="1"/>
  <c r="D465" i="6" s="1"/>
  <c r="C465" i="6" a="1"/>
  <c r="C465" i="6" s="1"/>
  <c r="B465" i="6" a="1"/>
  <c r="B465" i="6" s="1"/>
  <c r="E464" i="6" a="1"/>
  <c r="E464" i="6" s="1"/>
  <c r="D464" i="6" a="1"/>
  <c r="D464" i="6" s="1"/>
  <c r="C464" i="6" a="1"/>
  <c r="C464" i="6" s="1"/>
  <c r="B464" i="6" a="1"/>
  <c r="B464" i="6" s="1"/>
  <c r="E463" i="6" a="1"/>
  <c r="E463" i="6" s="1"/>
  <c r="D463" i="6" a="1"/>
  <c r="D463" i="6" s="1"/>
  <c r="C463" i="6" a="1"/>
  <c r="C463" i="6" s="1"/>
  <c r="B463" i="6" a="1"/>
  <c r="B463" i="6" s="1"/>
  <c r="E462" i="6" a="1"/>
  <c r="E462" i="6" s="1"/>
  <c r="D462" i="6" a="1"/>
  <c r="D462" i="6" s="1"/>
  <c r="C462" i="6" a="1"/>
  <c r="C462" i="6" s="1"/>
  <c r="B462" i="6" a="1"/>
  <c r="B462" i="6" s="1"/>
  <c r="E461" i="6" a="1"/>
  <c r="E461" i="6" s="1"/>
  <c r="D461" i="6" a="1"/>
  <c r="D461" i="6" s="1"/>
  <c r="C461" i="6" a="1"/>
  <c r="C461" i="6" s="1"/>
  <c r="B461" i="6" a="1"/>
  <c r="B461" i="6" s="1"/>
  <c r="E460" i="6" a="1"/>
  <c r="E460" i="6" s="1"/>
  <c r="D460" i="6" a="1"/>
  <c r="D460" i="6" s="1"/>
  <c r="C460" i="6" a="1"/>
  <c r="C460" i="6" s="1"/>
  <c r="B460" i="6" a="1"/>
  <c r="B460" i="6" s="1"/>
  <c r="E459" i="6" a="1"/>
  <c r="E459" i="6" s="1"/>
  <c r="D459" i="6" a="1"/>
  <c r="D459" i="6" s="1"/>
  <c r="C459" i="6" a="1"/>
  <c r="C459" i="6" s="1"/>
  <c r="B459" i="6" a="1"/>
  <c r="B459" i="6" s="1"/>
  <c r="E458" i="6" a="1"/>
  <c r="E458" i="6" s="1"/>
  <c r="D458" i="6" a="1"/>
  <c r="D458" i="6" s="1"/>
  <c r="C458" i="6" a="1"/>
  <c r="C458" i="6" s="1"/>
  <c r="B458" i="6" a="1"/>
  <c r="B458" i="6" s="1"/>
  <c r="E457" i="6" a="1"/>
  <c r="E457" i="6" s="1"/>
  <c r="D457" i="6" a="1"/>
  <c r="D457" i="6" s="1"/>
  <c r="C457" i="6" a="1"/>
  <c r="C457" i="6" s="1"/>
  <c r="B457" i="6" a="1"/>
  <c r="B457" i="6" s="1"/>
  <c r="E456" i="6" a="1"/>
  <c r="E456" i="6" s="1"/>
  <c r="D456" i="6" a="1"/>
  <c r="D456" i="6" s="1"/>
  <c r="C456" i="6" a="1"/>
  <c r="C456" i="6" s="1"/>
  <c r="B456" i="6" a="1"/>
  <c r="B456" i="6" s="1"/>
  <c r="E455" i="6" a="1"/>
  <c r="E455" i="6" s="1"/>
  <c r="D455" i="6" a="1"/>
  <c r="D455" i="6" s="1"/>
  <c r="C455" i="6" a="1"/>
  <c r="C455" i="6" s="1"/>
  <c r="B455" i="6" a="1"/>
  <c r="B455" i="6" s="1"/>
  <c r="E454" i="6" a="1"/>
  <c r="E454" i="6" s="1"/>
  <c r="D454" i="6" a="1"/>
  <c r="D454" i="6" s="1"/>
  <c r="C454" i="6" a="1"/>
  <c r="C454" i="6" s="1"/>
  <c r="B454" i="6" a="1"/>
  <c r="B454" i="6" s="1"/>
  <c r="E453" i="6" a="1"/>
  <c r="E453" i="6" s="1"/>
  <c r="D453" i="6" a="1"/>
  <c r="D453" i="6" s="1"/>
  <c r="C453" i="6" a="1"/>
  <c r="C453" i="6" s="1"/>
  <c r="B453" i="6" a="1"/>
  <c r="B453" i="6" s="1"/>
  <c r="E452" i="6" a="1"/>
  <c r="E452" i="6" s="1"/>
  <c r="D452" i="6" a="1"/>
  <c r="D452" i="6" s="1"/>
  <c r="C452" i="6" a="1"/>
  <c r="C452" i="6" s="1"/>
  <c r="B452" i="6" a="1"/>
  <c r="B452" i="6" s="1"/>
  <c r="E451" i="6" a="1"/>
  <c r="E451" i="6" s="1"/>
  <c r="D451" i="6" a="1"/>
  <c r="D451" i="6" s="1"/>
  <c r="C451" i="6" a="1"/>
  <c r="C451" i="6" s="1"/>
  <c r="B451" i="6" a="1"/>
  <c r="B451" i="6" s="1"/>
  <c r="E450" i="6" a="1"/>
  <c r="E450" i="6" s="1"/>
  <c r="D450" i="6" a="1"/>
  <c r="D450" i="6" s="1"/>
  <c r="C450" i="6" a="1"/>
  <c r="C450" i="6" s="1"/>
  <c r="B450" i="6" a="1"/>
  <c r="B450" i="6" s="1"/>
  <c r="E449" i="6" a="1"/>
  <c r="E449" i="6" s="1"/>
  <c r="D449" i="6" a="1"/>
  <c r="D449" i="6" s="1"/>
  <c r="C449" i="6" a="1"/>
  <c r="C449" i="6" s="1"/>
  <c r="B449" i="6" a="1"/>
  <c r="B449" i="6" s="1"/>
  <c r="E448" i="6" a="1"/>
  <c r="E448" i="6" s="1"/>
  <c r="D448" i="6" a="1"/>
  <c r="D448" i="6" s="1"/>
  <c r="C448" i="6" a="1"/>
  <c r="C448" i="6" s="1"/>
  <c r="B448" i="6" a="1"/>
  <c r="B448" i="6" s="1"/>
  <c r="E447" i="6" a="1"/>
  <c r="E447" i="6" s="1"/>
  <c r="D447" i="6" a="1"/>
  <c r="D447" i="6" s="1"/>
  <c r="C447" i="6" a="1"/>
  <c r="C447" i="6" s="1"/>
  <c r="B447" i="6" a="1"/>
  <c r="B447" i="6" s="1"/>
  <c r="E446" i="6" a="1"/>
  <c r="E446" i="6" s="1"/>
  <c r="D446" i="6" a="1"/>
  <c r="D446" i="6" s="1"/>
  <c r="C446" i="6" a="1"/>
  <c r="C446" i="6" s="1"/>
  <c r="B446" i="6" a="1"/>
  <c r="B446" i="6" s="1"/>
  <c r="E445" i="6" a="1"/>
  <c r="E445" i="6" s="1"/>
  <c r="D445" i="6" a="1"/>
  <c r="D445" i="6" s="1"/>
  <c r="C445" i="6" a="1"/>
  <c r="C445" i="6" s="1"/>
  <c r="B445" i="6" a="1"/>
  <c r="B445" i="6" s="1"/>
  <c r="E444" i="6" a="1"/>
  <c r="E444" i="6" s="1"/>
  <c r="D444" i="6" a="1"/>
  <c r="D444" i="6" s="1"/>
  <c r="C444" i="6" a="1"/>
  <c r="C444" i="6" s="1"/>
  <c r="B444" i="6" a="1"/>
  <c r="B444" i="6" s="1"/>
  <c r="E443" i="6" a="1"/>
  <c r="E443" i="6" s="1"/>
  <c r="D443" i="6" a="1"/>
  <c r="D443" i="6" s="1"/>
  <c r="C443" i="6" a="1"/>
  <c r="C443" i="6" s="1"/>
  <c r="B443" i="6" a="1"/>
  <c r="B443" i="6" s="1"/>
  <c r="E442" i="6" a="1"/>
  <c r="E442" i="6" s="1"/>
  <c r="D442" i="6" a="1"/>
  <c r="D442" i="6" s="1"/>
  <c r="C442" i="6" a="1"/>
  <c r="C442" i="6" s="1"/>
  <c r="B442" i="6" a="1"/>
  <c r="B442" i="6" s="1"/>
  <c r="E441" i="6" a="1"/>
  <c r="E441" i="6" s="1"/>
  <c r="D441" i="6" a="1"/>
  <c r="D441" i="6" s="1"/>
  <c r="C441" i="6" a="1"/>
  <c r="C441" i="6" s="1"/>
  <c r="B441" i="6" a="1"/>
  <c r="B441" i="6" s="1"/>
  <c r="E440" i="6" a="1"/>
  <c r="E440" i="6" s="1"/>
  <c r="D440" i="6" a="1"/>
  <c r="D440" i="6" s="1"/>
  <c r="C440" i="6" a="1"/>
  <c r="C440" i="6" s="1"/>
  <c r="B440" i="6" a="1"/>
  <c r="B440" i="6" s="1"/>
  <c r="E439" i="6" a="1"/>
  <c r="E439" i="6" s="1"/>
  <c r="D439" i="6" a="1"/>
  <c r="D439" i="6" s="1"/>
  <c r="C439" i="6" a="1"/>
  <c r="C439" i="6" s="1"/>
  <c r="B439" i="6" a="1"/>
  <c r="B439" i="6" s="1"/>
  <c r="E438" i="6" a="1"/>
  <c r="E438" i="6" s="1"/>
  <c r="D438" i="6" a="1"/>
  <c r="D438" i="6" s="1"/>
  <c r="C438" i="6" a="1"/>
  <c r="C438" i="6" s="1"/>
  <c r="B438" i="6" a="1"/>
  <c r="B438" i="6" s="1"/>
  <c r="E437" i="6" a="1"/>
  <c r="E437" i="6" s="1"/>
  <c r="D437" i="6" a="1"/>
  <c r="D437" i="6" s="1"/>
  <c r="C437" i="6" a="1"/>
  <c r="C437" i="6" s="1"/>
  <c r="B437" i="6" a="1"/>
  <c r="B437" i="6" s="1"/>
  <c r="E436" i="6" a="1"/>
  <c r="E436" i="6" s="1"/>
  <c r="D436" i="6" a="1"/>
  <c r="D436" i="6" s="1"/>
  <c r="C436" i="6" a="1"/>
  <c r="C436" i="6" s="1"/>
  <c r="B436" i="6" a="1"/>
  <c r="B436" i="6" s="1"/>
  <c r="E435" i="6" a="1"/>
  <c r="E435" i="6" s="1"/>
  <c r="D435" i="6" a="1"/>
  <c r="D435" i="6" s="1"/>
  <c r="C435" i="6" a="1"/>
  <c r="C435" i="6" s="1"/>
  <c r="B435" i="6" a="1"/>
  <c r="B435" i="6" s="1"/>
  <c r="E434" i="6" a="1"/>
  <c r="E434" i="6" s="1"/>
  <c r="D434" i="6" a="1"/>
  <c r="D434" i="6" s="1"/>
  <c r="C434" i="6" a="1"/>
  <c r="C434" i="6" s="1"/>
  <c r="B434" i="6" a="1"/>
  <c r="B434" i="6" s="1"/>
  <c r="E433" i="6" a="1"/>
  <c r="E433" i="6" s="1"/>
  <c r="D433" i="6" a="1"/>
  <c r="D433" i="6" s="1"/>
  <c r="C433" i="6" a="1"/>
  <c r="C433" i="6" s="1"/>
  <c r="B433" i="6" a="1"/>
  <c r="B433" i="6" s="1"/>
  <c r="E432" i="6" a="1"/>
  <c r="E432" i="6" s="1"/>
  <c r="D432" i="6" a="1"/>
  <c r="D432" i="6" s="1"/>
  <c r="C432" i="6" a="1"/>
  <c r="C432" i="6" s="1"/>
  <c r="B432" i="6" a="1"/>
  <c r="B432" i="6" s="1"/>
  <c r="E431" i="6" a="1"/>
  <c r="E431" i="6" s="1"/>
  <c r="D431" i="6" a="1"/>
  <c r="D431" i="6" s="1"/>
  <c r="C431" i="6" a="1"/>
  <c r="C431" i="6" s="1"/>
  <c r="B431" i="6" a="1"/>
  <c r="B431" i="6" s="1"/>
  <c r="E430" i="6" a="1"/>
  <c r="E430" i="6" s="1"/>
  <c r="D430" i="6" a="1"/>
  <c r="D430" i="6" s="1"/>
  <c r="C430" i="6" a="1"/>
  <c r="C430" i="6" s="1"/>
  <c r="B430" i="6" a="1"/>
  <c r="B430" i="6" s="1"/>
  <c r="E429" i="6" a="1"/>
  <c r="E429" i="6" s="1"/>
  <c r="D429" i="6" a="1"/>
  <c r="D429" i="6" s="1"/>
  <c r="C429" i="6" a="1"/>
  <c r="C429" i="6" s="1"/>
  <c r="B429" i="6" a="1"/>
  <c r="B429" i="6" s="1"/>
  <c r="E428" i="6" a="1"/>
  <c r="E428" i="6" s="1"/>
  <c r="D428" i="6" a="1"/>
  <c r="D428" i="6" s="1"/>
  <c r="C428" i="6" a="1"/>
  <c r="C428" i="6" s="1"/>
  <c r="B428" i="6" a="1"/>
  <c r="B428" i="6" s="1"/>
  <c r="E427" i="6" a="1"/>
  <c r="E427" i="6" s="1"/>
  <c r="D427" i="6" a="1"/>
  <c r="D427" i="6" s="1"/>
  <c r="C427" i="6" a="1"/>
  <c r="C427" i="6" s="1"/>
  <c r="B427" i="6" a="1"/>
  <c r="B427" i="6" s="1"/>
  <c r="E426" i="6" a="1"/>
  <c r="E426" i="6" s="1"/>
  <c r="D426" i="6" a="1"/>
  <c r="D426" i="6" s="1"/>
  <c r="C426" i="6" a="1"/>
  <c r="C426" i="6" s="1"/>
  <c r="B426" i="6" a="1"/>
  <c r="B426" i="6" s="1"/>
  <c r="E425" i="6" a="1"/>
  <c r="E425" i="6" s="1"/>
  <c r="D425" i="6" a="1"/>
  <c r="D425" i="6" s="1"/>
  <c r="C425" i="6" a="1"/>
  <c r="C425" i="6" s="1"/>
  <c r="B425" i="6" a="1"/>
  <c r="B425" i="6" s="1"/>
  <c r="E424" i="6" a="1"/>
  <c r="E424" i="6" s="1"/>
  <c r="D424" i="6" a="1"/>
  <c r="D424" i="6" s="1"/>
  <c r="C424" i="6" a="1"/>
  <c r="C424" i="6" s="1"/>
  <c r="B424" i="6" a="1"/>
  <c r="B424" i="6" s="1"/>
  <c r="E423" i="6" a="1"/>
  <c r="E423" i="6" s="1"/>
  <c r="D423" i="6" a="1"/>
  <c r="D423" i="6" s="1"/>
  <c r="C423" i="6" a="1"/>
  <c r="C423" i="6" s="1"/>
  <c r="B423" i="6" a="1"/>
  <c r="B423" i="6" s="1"/>
  <c r="E422" i="6" a="1"/>
  <c r="E422" i="6" s="1"/>
  <c r="D422" i="6" a="1"/>
  <c r="D422" i="6" s="1"/>
  <c r="C422" i="6" a="1"/>
  <c r="C422" i="6" s="1"/>
  <c r="B422" i="6" a="1"/>
  <c r="B422" i="6" s="1"/>
  <c r="E421" i="6" a="1"/>
  <c r="E421" i="6" s="1"/>
  <c r="D421" i="6" a="1"/>
  <c r="D421" i="6" s="1"/>
  <c r="C421" i="6" a="1"/>
  <c r="C421" i="6" s="1"/>
  <c r="B421" i="6" a="1"/>
  <c r="B421" i="6" s="1"/>
  <c r="E420" i="6" a="1"/>
  <c r="E420" i="6" s="1"/>
  <c r="D420" i="6" a="1"/>
  <c r="D420" i="6" s="1"/>
  <c r="C420" i="6" a="1"/>
  <c r="C420" i="6" s="1"/>
  <c r="B420" i="6" a="1"/>
  <c r="B420" i="6" s="1"/>
  <c r="E419" i="6" a="1"/>
  <c r="E419" i="6" s="1"/>
  <c r="D419" i="6" a="1"/>
  <c r="D419" i="6" s="1"/>
  <c r="C419" i="6" a="1"/>
  <c r="C419" i="6" s="1"/>
  <c r="B419" i="6" a="1"/>
  <c r="B419" i="6" s="1"/>
  <c r="E418" i="6" a="1"/>
  <c r="E418" i="6" s="1"/>
  <c r="D418" i="6" a="1"/>
  <c r="D418" i="6" s="1"/>
  <c r="C418" i="6" a="1"/>
  <c r="C418" i="6" s="1"/>
  <c r="B418" i="6" a="1"/>
  <c r="B418" i="6" s="1"/>
  <c r="E417" i="6" a="1"/>
  <c r="E417" i="6" s="1"/>
  <c r="D417" i="6" a="1"/>
  <c r="D417" i="6" s="1"/>
  <c r="C417" i="6" a="1"/>
  <c r="C417" i="6" s="1"/>
  <c r="B417" i="6" a="1"/>
  <c r="B417" i="6" s="1"/>
  <c r="E416" i="6" a="1"/>
  <c r="E416" i="6" s="1"/>
  <c r="D416" i="6" a="1"/>
  <c r="D416" i="6" s="1"/>
  <c r="C416" i="6" a="1"/>
  <c r="C416" i="6" s="1"/>
  <c r="B416" i="6" a="1"/>
  <c r="B416" i="6" s="1"/>
  <c r="E415" i="6" a="1"/>
  <c r="E415" i="6" s="1"/>
  <c r="D415" i="6" a="1"/>
  <c r="D415" i="6" s="1"/>
  <c r="C415" i="6" a="1"/>
  <c r="C415" i="6" s="1"/>
  <c r="B415" i="6" a="1"/>
  <c r="B415" i="6" s="1"/>
  <c r="E414" i="6" a="1"/>
  <c r="E414" i="6" s="1"/>
  <c r="D414" i="6" a="1"/>
  <c r="D414" i="6" s="1"/>
  <c r="C414" i="6" a="1"/>
  <c r="C414" i="6" s="1"/>
  <c r="B414" i="6" a="1"/>
  <c r="B414" i="6" s="1"/>
  <c r="E413" i="6" a="1"/>
  <c r="E413" i="6" s="1"/>
  <c r="D413" i="6" a="1"/>
  <c r="D413" i="6" s="1"/>
  <c r="C413" i="6" a="1"/>
  <c r="C413" i="6" s="1"/>
  <c r="B413" i="6" a="1"/>
  <c r="B413" i="6" s="1"/>
  <c r="E412" i="6" a="1"/>
  <c r="E412" i="6" s="1"/>
  <c r="D412" i="6" a="1"/>
  <c r="D412" i="6" s="1"/>
  <c r="C412" i="6" a="1"/>
  <c r="C412" i="6" s="1"/>
  <c r="B412" i="6" a="1"/>
  <c r="B412" i="6" s="1"/>
  <c r="E411" i="6" a="1"/>
  <c r="E411" i="6" s="1"/>
  <c r="D411" i="6" a="1"/>
  <c r="D411" i="6" s="1"/>
  <c r="C411" i="6" a="1"/>
  <c r="C411" i="6" s="1"/>
  <c r="B411" i="6" a="1"/>
  <c r="B411" i="6" s="1"/>
  <c r="E410" i="6" a="1"/>
  <c r="E410" i="6" s="1"/>
  <c r="D410" i="6" a="1"/>
  <c r="D410" i="6" s="1"/>
  <c r="C410" i="6" a="1"/>
  <c r="C410" i="6" s="1"/>
  <c r="B410" i="6" a="1"/>
  <c r="B410" i="6" s="1"/>
  <c r="E409" i="6" a="1"/>
  <c r="E409" i="6" s="1"/>
  <c r="D409" i="6" a="1"/>
  <c r="D409" i="6" s="1"/>
  <c r="C409" i="6" a="1"/>
  <c r="C409" i="6" s="1"/>
  <c r="B409" i="6" a="1"/>
  <c r="B409" i="6" s="1"/>
  <c r="E408" i="6" a="1"/>
  <c r="E408" i="6" s="1"/>
  <c r="D408" i="6" a="1"/>
  <c r="D408" i="6" s="1"/>
  <c r="C408" i="6" a="1"/>
  <c r="C408" i="6" s="1"/>
  <c r="B408" i="6" a="1"/>
  <c r="B408" i="6" s="1"/>
  <c r="E407" i="6" a="1"/>
  <c r="E407" i="6" s="1"/>
  <c r="D407" i="6" a="1"/>
  <c r="D407" i="6" s="1"/>
  <c r="C407" i="6" a="1"/>
  <c r="C407" i="6" s="1"/>
  <c r="B407" i="6" a="1"/>
  <c r="B407" i="6" s="1"/>
  <c r="E406" i="6" a="1"/>
  <c r="E406" i="6" s="1"/>
  <c r="D406" i="6" a="1"/>
  <c r="D406" i="6" s="1"/>
  <c r="C406" i="6" a="1"/>
  <c r="C406" i="6" s="1"/>
  <c r="B406" i="6" a="1"/>
  <c r="B406" i="6" s="1"/>
  <c r="E405" i="6" a="1"/>
  <c r="E405" i="6" s="1"/>
  <c r="D405" i="6" a="1"/>
  <c r="D405" i="6" s="1"/>
  <c r="C405" i="6" a="1"/>
  <c r="C405" i="6" s="1"/>
  <c r="B405" i="6" a="1"/>
  <c r="B405" i="6" s="1"/>
  <c r="E404" i="6" a="1"/>
  <c r="E404" i="6" s="1"/>
  <c r="D404" i="6" a="1"/>
  <c r="D404" i="6" s="1"/>
  <c r="C404" i="6" a="1"/>
  <c r="C404" i="6" s="1"/>
  <c r="B404" i="6" a="1"/>
  <c r="B404" i="6" s="1"/>
  <c r="E403" i="6" a="1"/>
  <c r="E403" i="6" s="1"/>
  <c r="D403" i="6" a="1"/>
  <c r="D403" i="6" s="1"/>
  <c r="C403" i="6" a="1"/>
  <c r="C403" i="6" s="1"/>
  <c r="B403" i="6" a="1"/>
  <c r="B403" i="6" s="1"/>
  <c r="E402" i="6" a="1"/>
  <c r="E402" i="6" s="1"/>
  <c r="D402" i="6" a="1"/>
  <c r="D402" i="6" s="1"/>
  <c r="C402" i="6" a="1"/>
  <c r="C402" i="6" s="1"/>
  <c r="B402" i="6" a="1"/>
  <c r="B402" i="6" s="1"/>
  <c r="E401" i="6" a="1"/>
  <c r="E401" i="6" s="1"/>
  <c r="D401" i="6" a="1"/>
  <c r="D401" i="6" s="1"/>
  <c r="C401" i="6" a="1"/>
  <c r="C401" i="6" s="1"/>
  <c r="B401" i="6" a="1"/>
  <c r="B401" i="6" s="1"/>
  <c r="E400" i="6" a="1"/>
  <c r="E400" i="6" s="1"/>
  <c r="D400" i="6" a="1"/>
  <c r="D400" i="6" s="1"/>
  <c r="C400" i="6" a="1"/>
  <c r="C400" i="6" s="1"/>
  <c r="B400" i="6" a="1"/>
  <c r="B400" i="6" s="1"/>
  <c r="E399" i="6" a="1"/>
  <c r="E399" i="6" s="1"/>
  <c r="D399" i="6" a="1"/>
  <c r="D399" i="6" s="1"/>
  <c r="C399" i="6" a="1"/>
  <c r="C399" i="6" s="1"/>
  <c r="B399" i="6" a="1"/>
  <c r="B399" i="6" s="1"/>
  <c r="E398" i="6" a="1"/>
  <c r="E398" i="6" s="1"/>
  <c r="D398" i="6" a="1"/>
  <c r="D398" i="6" s="1"/>
  <c r="C398" i="6" a="1"/>
  <c r="C398" i="6" s="1"/>
  <c r="B398" i="6" a="1"/>
  <c r="B398" i="6" s="1"/>
  <c r="E397" i="6" a="1"/>
  <c r="E397" i="6" s="1"/>
  <c r="D397" i="6" a="1"/>
  <c r="D397" i="6" s="1"/>
  <c r="C397" i="6" a="1"/>
  <c r="C397" i="6" s="1"/>
  <c r="B397" i="6" a="1"/>
  <c r="B397" i="6" s="1"/>
  <c r="E396" i="6" a="1"/>
  <c r="E396" i="6" s="1"/>
  <c r="D396" i="6" a="1"/>
  <c r="D396" i="6" s="1"/>
  <c r="C396" i="6" a="1"/>
  <c r="C396" i="6" s="1"/>
  <c r="B396" i="6" a="1"/>
  <c r="B396" i="6" s="1"/>
  <c r="E395" i="6" a="1"/>
  <c r="E395" i="6" s="1"/>
  <c r="D395" i="6" a="1"/>
  <c r="D395" i="6" s="1"/>
  <c r="C395" i="6" a="1"/>
  <c r="C395" i="6" s="1"/>
  <c r="B395" i="6" a="1"/>
  <c r="B395" i="6" s="1"/>
  <c r="E394" i="6" a="1"/>
  <c r="E394" i="6" s="1"/>
  <c r="D394" i="6" a="1"/>
  <c r="D394" i="6" s="1"/>
  <c r="C394" i="6" a="1"/>
  <c r="C394" i="6" s="1"/>
  <c r="B394" i="6" a="1"/>
  <c r="B394" i="6" s="1"/>
  <c r="E393" i="6" a="1"/>
  <c r="E393" i="6" s="1"/>
  <c r="D393" i="6" a="1"/>
  <c r="D393" i="6" s="1"/>
  <c r="C393" i="6" a="1"/>
  <c r="C393" i="6" s="1"/>
  <c r="B393" i="6" a="1"/>
  <c r="B393" i="6" s="1"/>
  <c r="E392" i="6" a="1"/>
  <c r="E392" i="6" s="1"/>
  <c r="D392" i="6" a="1"/>
  <c r="D392" i="6" s="1"/>
  <c r="C392" i="6" a="1"/>
  <c r="C392" i="6" s="1"/>
  <c r="B392" i="6" a="1"/>
  <c r="B392" i="6" s="1"/>
  <c r="E391" i="6" a="1"/>
  <c r="E391" i="6" s="1"/>
  <c r="D391" i="6" a="1"/>
  <c r="D391" i="6" s="1"/>
  <c r="C391" i="6" a="1"/>
  <c r="C391" i="6" s="1"/>
  <c r="B391" i="6" a="1"/>
  <c r="B391" i="6" s="1"/>
  <c r="E390" i="6" a="1"/>
  <c r="E390" i="6" s="1"/>
  <c r="D390" i="6" a="1"/>
  <c r="D390" i="6" s="1"/>
  <c r="C390" i="6" a="1"/>
  <c r="C390" i="6" s="1"/>
  <c r="B390" i="6" a="1"/>
  <c r="B390" i="6" s="1"/>
  <c r="E389" i="6" a="1"/>
  <c r="E389" i="6" s="1"/>
  <c r="D389" i="6" a="1"/>
  <c r="D389" i="6" s="1"/>
  <c r="C389" i="6" a="1"/>
  <c r="C389" i="6" s="1"/>
  <c r="B389" i="6" a="1"/>
  <c r="B389" i="6" s="1"/>
  <c r="E388" i="6" a="1"/>
  <c r="E388" i="6" s="1"/>
  <c r="D388" i="6" a="1"/>
  <c r="D388" i="6" s="1"/>
  <c r="C388" i="6" a="1"/>
  <c r="C388" i="6" s="1"/>
  <c r="B388" i="6" a="1"/>
  <c r="B388" i="6" s="1"/>
  <c r="E387" i="6" a="1"/>
  <c r="E387" i="6" s="1"/>
  <c r="D387" i="6" a="1"/>
  <c r="D387" i="6" s="1"/>
  <c r="C387" i="6" a="1"/>
  <c r="C387" i="6" s="1"/>
  <c r="B387" i="6" a="1"/>
  <c r="B387" i="6" s="1"/>
  <c r="E386" i="6" a="1"/>
  <c r="E386" i="6" s="1"/>
  <c r="D386" i="6" a="1"/>
  <c r="D386" i="6" s="1"/>
  <c r="C386" i="6" a="1"/>
  <c r="C386" i="6" s="1"/>
  <c r="B386" i="6" a="1"/>
  <c r="B386" i="6" s="1"/>
  <c r="E385" i="6" a="1"/>
  <c r="E385" i="6" s="1"/>
  <c r="D385" i="6" a="1"/>
  <c r="D385" i="6" s="1"/>
  <c r="C385" i="6" a="1"/>
  <c r="C385" i="6" s="1"/>
  <c r="B385" i="6" a="1"/>
  <c r="B385" i="6" s="1"/>
  <c r="E384" i="6" a="1"/>
  <c r="E384" i="6" s="1"/>
  <c r="D384" i="6" a="1"/>
  <c r="D384" i="6" s="1"/>
  <c r="C384" i="6" a="1"/>
  <c r="C384" i="6" s="1"/>
  <c r="B384" i="6" a="1"/>
  <c r="B384" i="6" s="1"/>
  <c r="E383" i="6" a="1"/>
  <c r="E383" i="6" s="1"/>
  <c r="D383" i="6" a="1"/>
  <c r="D383" i="6" s="1"/>
  <c r="C383" i="6" a="1"/>
  <c r="C383" i="6" s="1"/>
  <c r="B383" i="6" a="1"/>
  <c r="B383" i="6" s="1"/>
  <c r="E382" i="6" a="1"/>
  <c r="E382" i="6" s="1"/>
  <c r="D382" i="6" a="1"/>
  <c r="D382" i="6" s="1"/>
  <c r="C382" i="6" a="1"/>
  <c r="C382" i="6" s="1"/>
  <c r="B382" i="6" a="1"/>
  <c r="B382" i="6" s="1"/>
  <c r="E381" i="6" a="1"/>
  <c r="E381" i="6" s="1"/>
  <c r="D381" i="6" a="1"/>
  <c r="D381" i="6" s="1"/>
  <c r="C381" i="6" a="1"/>
  <c r="C381" i="6" s="1"/>
  <c r="B381" i="6" a="1"/>
  <c r="B381" i="6" s="1"/>
  <c r="E380" i="6" a="1"/>
  <c r="E380" i="6" s="1"/>
  <c r="D380" i="6" a="1"/>
  <c r="D380" i="6" s="1"/>
  <c r="C380" i="6" a="1"/>
  <c r="C380" i="6" s="1"/>
  <c r="B380" i="6" a="1"/>
  <c r="B380" i="6" s="1"/>
  <c r="E379" i="6" a="1"/>
  <c r="E379" i="6" s="1"/>
  <c r="D379" i="6" a="1"/>
  <c r="D379" i="6" s="1"/>
  <c r="C379" i="6" a="1"/>
  <c r="C379" i="6" s="1"/>
  <c r="B379" i="6" a="1"/>
  <c r="B379" i="6" s="1"/>
  <c r="E378" i="6" a="1"/>
  <c r="E378" i="6" s="1"/>
  <c r="D378" i="6" a="1"/>
  <c r="D378" i="6" s="1"/>
  <c r="C378" i="6" a="1"/>
  <c r="C378" i="6" s="1"/>
  <c r="B378" i="6" a="1"/>
  <c r="B378" i="6" s="1"/>
  <c r="E377" i="6" a="1"/>
  <c r="E377" i="6" s="1"/>
  <c r="D377" i="6" a="1"/>
  <c r="D377" i="6" s="1"/>
  <c r="C377" i="6" a="1"/>
  <c r="C377" i="6" s="1"/>
  <c r="B377" i="6" a="1"/>
  <c r="B377" i="6" s="1"/>
  <c r="E376" i="6" a="1"/>
  <c r="E376" i="6" s="1"/>
  <c r="D376" i="6" a="1"/>
  <c r="D376" i="6" s="1"/>
  <c r="C376" i="6" a="1"/>
  <c r="C376" i="6" s="1"/>
  <c r="B376" i="6" a="1"/>
  <c r="B376" i="6" s="1"/>
  <c r="E375" i="6" a="1"/>
  <c r="E375" i="6" s="1"/>
  <c r="D375" i="6" a="1"/>
  <c r="D375" i="6" s="1"/>
  <c r="C375" i="6" a="1"/>
  <c r="C375" i="6" s="1"/>
  <c r="B375" i="6" a="1"/>
  <c r="B375" i="6" s="1"/>
  <c r="E374" i="6" a="1"/>
  <c r="E374" i="6" s="1"/>
  <c r="D374" i="6" a="1"/>
  <c r="D374" i="6" s="1"/>
  <c r="C374" i="6" a="1"/>
  <c r="C374" i="6" s="1"/>
  <c r="B374" i="6" a="1"/>
  <c r="B374" i="6" s="1"/>
  <c r="E373" i="6" a="1"/>
  <c r="E373" i="6" s="1"/>
  <c r="D373" i="6" a="1"/>
  <c r="D373" i="6" s="1"/>
  <c r="C373" i="6" a="1"/>
  <c r="C373" i="6" s="1"/>
  <c r="B373" i="6" a="1"/>
  <c r="B373" i="6" s="1"/>
  <c r="E372" i="6" a="1"/>
  <c r="E372" i="6" s="1"/>
  <c r="D372" i="6" a="1"/>
  <c r="D372" i="6" s="1"/>
  <c r="C372" i="6" a="1"/>
  <c r="C372" i="6" s="1"/>
  <c r="B372" i="6" a="1"/>
  <c r="B372" i="6" s="1"/>
  <c r="E371" i="6" a="1"/>
  <c r="E371" i="6" s="1"/>
  <c r="D371" i="6" a="1"/>
  <c r="D371" i="6" s="1"/>
  <c r="C371" i="6" a="1"/>
  <c r="C371" i="6" s="1"/>
  <c r="B371" i="6" a="1"/>
  <c r="B371" i="6" s="1"/>
  <c r="E370" i="6" a="1"/>
  <c r="E370" i="6" s="1"/>
  <c r="D370" i="6" a="1"/>
  <c r="D370" i="6" s="1"/>
  <c r="C370" i="6" a="1"/>
  <c r="C370" i="6" s="1"/>
  <c r="B370" i="6" a="1"/>
  <c r="B370" i="6" s="1"/>
  <c r="E369" i="6" a="1"/>
  <c r="E369" i="6" s="1"/>
  <c r="D369" i="6" a="1"/>
  <c r="D369" i="6" s="1"/>
  <c r="C369" i="6" a="1"/>
  <c r="C369" i="6" s="1"/>
  <c r="B369" i="6" a="1"/>
  <c r="B369" i="6" s="1"/>
  <c r="E368" i="6" a="1"/>
  <c r="E368" i="6" s="1"/>
  <c r="D368" i="6" a="1"/>
  <c r="D368" i="6" s="1"/>
  <c r="C368" i="6" a="1"/>
  <c r="C368" i="6" s="1"/>
  <c r="B368" i="6" a="1"/>
  <c r="B368" i="6" s="1"/>
  <c r="E367" i="6" a="1"/>
  <c r="E367" i="6" s="1"/>
  <c r="D367" i="6" a="1"/>
  <c r="D367" i="6" s="1"/>
  <c r="C367" i="6" a="1"/>
  <c r="C367" i="6" s="1"/>
  <c r="B367" i="6" a="1"/>
  <c r="B367" i="6" s="1"/>
  <c r="E366" i="6" a="1"/>
  <c r="E366" i="6" s="1"/>
  <c r="D366" i="6" a="1"/>
  <c r="D366" i="6" s="1"/>
  <c r="C366" i="6" a="1"/>
  <c r="C366" i="6" s="1"/>
  <c r="B366" i="6" a="1"/>
  <c r="B366" i="6" s="1"/>
  <c r="E365" i="6" a="1"/>
  <c r="E365" i="6" s="1"/>
  <c r="D365" i="6" a="1"/>
  <c r="D365" i="6" s="1"/>
  <c r="C365" i="6" a="1"/>
  <c r="C365" i="6" s="1"/>
  <c r="B365" i="6" a="1"/>
  <c r="B365" i="6" s="1"/>
  <c r="E364" i="6" a="1"/>
  <c r="E364" i="6" s="1"/>
  <c r="D364" i="6" a="1"/>
  <c r="D364" i="6" s="1"/>
  <c r="C364" i="6" a="1"/>
  <c r="C364" i="6" s="1"/>
  <c r="B364" i="6" a="1"/>
  <c r="B364" i="6" s="1"/>
  <c r="E363" i="6" a="1"/>
  <c r="E363" i="6" s="1"/>
  <c r="D363" i="6" a="1"/>
  <c r="D363" i="6" s="1"/>
  <c r="C363" i="6" a="1"/>
  <c r="C363" i="6" s="1"/>
  <c r="B363" i="6" a="1"/>
  <c r="B363" i="6" s="1"/>
  <c r="E362" i="6" a="1"/>
  <c r="E362" i="6" s="1"/>
  <c r="D362" i="6" a="1"/>
  <c r="D362" i="6" s="1"/>
  <c r="C362" i="6" a="1"/>
  <c r="C362" i="6" s="1"/>
  <c r="B362" i="6" a="1"/>
  <c r="B362" i="6" s="1"/>
  <c r="E361" i="6" a="1"/>
  <c r="E361" i="6" s="1"/>
  <c r="D361" i="6" a="1"/>
  <c r="D361" i="6" s="1"/>
  <c r="C361" i="6" a="1"/>
  <c r="C361" i="6" s="1"/>
  <c r="B361" i="6" a="1"/>
  <c r="B361" i="6" s="1"/>
  <c r="E360" i="6" a="1"/>
  <c r="E360" i="6" s="1"/>
  <c r="D360" i="6" a="1"/>
  <c r="D360" i="6" s="1"/>
  <c r="C360" i="6" a="1"/>
  <c r="C360" i="6" s="1"/>
  <c r="B360" i="6" a="1"/>
  <c r="B360" i="6" s="1"/>
  <c r="E359" i="6" a="1"/>
  <c r="E359" i="6" s="1"/>
  <c r="D359" i="6" a="1"/>
  <c r="D359" i="6" s="1"/>
  <c r="C359" i="6" a="1"/>
  <c r="C359" i="6" s="1"/>
  <c r="B359" i="6" a="1"/>
  <c r="B359" i="6" s="1"/>
  <c r="E358" i="6" a="1"/>
  <c r="E358" i="6" s="1"/>
  <c r="D358" i="6" a="1"/>
  <c r="D358" i="6" s="1"/>
  <c r="C358" i="6" a="1"/>
  <c r="C358" i="6" s="1"/>
  <c r="B358" i="6" a="1"/>
  <c r="B358" i="6" s="1"/>
  <c r="E357" i="6" a="1"/>
  <c r="E357" i="6" s="1"/>
  <c r="D357" i="6" a="1"/>
  <c r="D357" i="6" s="1"/>
  <c r="C357" i="6" a="1"/>
  <c r="C357" i="6" s="1"/>
  <c r="B357" i="6" a="1"/>
  <c r="B357" i="6" s="1"/>
  <c r="E356" i="6" a="1"/>
  <c r="E356" i="6" s="1"/>
  <c r="D356" i="6" a="1"/>
  <c r="D356" i="6" s="1"/>
  <c r="C356" i="6" a="1"/>
  <c r="C356" i="6" s="1"/>
  <c r="B356" i="6" a="1"/>
  <c r="B356" i="6" s="1"/>
  <c r="E355" i="6" a="1"/>
  <c r="E355" i="6" s="1"/>
  <c r="D355" i="6" a="1"/>
  <c r="D355" i="6" s="1"/>
  <c r="C355" i="6" a="1"/>
  <c r="C355" i="6" s="1"/>
  <c r="B355" i="6" a="1"/>
  <c r="B355" i="6" s="1"/>
  <c r="E354" i="6" a="1"/>
  <c r="E354" i="6" s="1"/>
  <c r="D354" i="6" a="1"/>
  <c r="D354" i="6" s="1"/>
  <c r="C354" i="6" a="1"/>
  <c r="C354" i="6" s="1"/>
  <c r="B354" i="6" a="1"/>
  <c r="B354" i="6" s="1"/>
  <c r="E353" i="6" a="1"/>
  <c r="E353" i="6" s="1"/>
  <c r="D353" i="6" a="1"/>
  <c r="D353" i="6" s="1"/>
  <c r="C353" i="6" a="1"/>
  <c r="C353" i="6" s="1"/>
  <c r="B353" i="6" a="1"/>
  <c r="B353" i="6" s="1"/>
  <c r="E352" i="6" a="1"/>
  <c r="E352" i="6" s="1"/>
  <c r="D352" i="6" a="1"/>
  <c r="D352" i="6" s="1"/>
  <c r="C352" i="6" a="1"/>
  <c r="C352" i="6" s="1"/>
  <c r="B352" i="6" a="1"/>
  <c r="B352" i="6" s="1"/>
  <c r="E351" i="6" a="1"/>
  <c r="E351" i="6" s="1"/>
  <c r="D351" i="6" a="1"/>
  <c r="D351" i="6" s="1"/>
  <c r="C351" i="6" a="1"/>
  <c r="C351" i="6" s="1"/>
  <c r="B351" i="6" a="1"/>
  <c r="B351" i="6" s="1"/>
  <c r="E350" i="6" a="1"/>
  <c r="E350" i="6" s="1"/>
  <c r="D350" i="6" a="1"/>
  <c r="D350" i="6" s="1"/>
  <c r="C350" i="6" a="1"/>
  <c r="C350" i="6" s="1"/>
  <c r="B350" i="6" a="1"/>
  <c r="B350" i="6" s="1"/>
  <c r="E349" i="6" a="1"/>
  <c r="E349" i="6" s="1"/>
  <c r="D349" i="6" a="1"/>
  <c r="D349" i="6" s="1"/>
  <c r="C349" i="6" a="1"/>
  <c r="C349" i="6" s="1"/>
  <c r="B349" i="6" a="1"/>
  <c r="B349" i="6" s="1"/>
  <c r="E348" i="6" a="1"/>
  <c r="E348" i="6" s="1"/>
  <c r="D348" i="6" a="1"/>
  <c r="D348" i="6" s="1"/>
  <c r="C348" i="6" a="1"/>
  <c r="C348" i="6" s="1"/>
  <c r="B348" i="6" a="1"/>
  <c r="B348" i="6" s="1"/>
  <c r="E347" i="6" a="1"/>
  <c r="E347" i="6" s="1"/>
  <c r="D347" i="6" a="1"/>
  <c r="D347" i="6" s="1"/>
  <c r="C347" i="6" a="1"/>
  <c r="C347" i="6" s="1"/>
  <c r="B347" i="6" a="1"/>
  <c r="B347" i="6" s="1"/>
  <c r="E346" i="6" a="1"/>
  <c r="E346" i="6" s="1"/>
  <c r="D346" i="6" a="1"/>
  <c r="D346" i="6" s="1"/>
  <c r="C346" i="6" a="1"/>
  <c r="C346" i="6" s="1"/>
  <c r="B346" i="6" a="1"/>
  <c r="B346" i="6" s="1"/>
  <c r="E345" i="6" a="1"/>
  <c r="E345" i="6" s="1"/>
  <c r="D345" i="6" a="1"/>
  <c r="D345" i="6" s="1"/>
  <c r="C345" i="6" a="1"/>
  <c r="C345" i="6" s="1"/>
  <c r="B345" i="6" a="1"/>
  <c r="B345" i="6" s="1"/>
  <c r="E344" i="6" a="1"/>
  <c r="E344" i="6" s="1"/>
  <c r="D344" i="6" a="1"/>
  <c r="D344" i="6" s="1"/>
  <c r="C344" i="6" a="1"/>
  <c r="C344" i="6" s="1"/>
  <c r="B344" i="6" a="1"/>
  <c r="B344" i="6" s="1"/>
  <c r="E343" i="6" a="1"/>
  <c r="E343" i="6" s="1"/>
  <c r="D343" i="6" a="1"/>
  <c r="D343" i="6" s="1"/>
  <c r="C343" i="6" a="1"/>
  <c r="C343" i="6" s="1"/>
  <c r="B343" i="6" a="1"/>
  <c r="B343" i="6" s="1"/>
  <c r="E342" i="6" a="1"/>
  <c r="E342" i="6" s="1"/>
  <c r="D342" i="6" a="1"/>
  <c r="D342" i="6" s="1"/>
  <c r="C342" i="6" a="1"/>
  <c r="C342" i="6" s="1"/>
  <c r="B342" i="6" a="1"/>
  <c r="B342" i="6" s="1"/>
  <c r="E341" i="6" a="1"/>
  <c r="E341" i="6" s="1"/>
  <c r="D341" i="6" a="1"/>
  <c r="D341" i="6" s="1"/>
  <c r="C341" i="6" a="1"/>
  <c r="C341" i="6" s="1"/>
  <c r="B341" i="6" a="1"/>
  <c r="B341" i="6" s="1"/>
  <c r="E340" i="6" a="1"/>
  <c r="E340" i="6" s="1"/>
  <c r="D340" i="6" a="1"/>
  <c r="D340" i="6" s="1"/>
  <c r="C340" i="6" a="1"/>
  <c r="C340" i="6" s="1"/>
  <c r="B340" i="6" a="1"/>
  <c r="B340" i="6" s="1"/>
  <c r="E339" i="6" a="1"/>
  <c r="E339" i="6" s="1"/>
  <c r="D339" i="6" a="1"/>
  <c r="D339" i="6" s="1"/>
  <c r="C339" i="6" a="1"/>
  <c r="C339" i="6" s="1"/>
  <c r="B339" i="6" a="1"/>
  <c r="B339" i="6" s="1"/>
  <c r="E338" i="6" a="1"/>
  <c r="E338" i="6" s="1"/>
  <c r="D338" i="6" a="1"/>
  <c r="D338" i="6" s="1"/>
  <c r="C338" i="6" a="1"/>
  <c r="C338" i="6" s="1"/>
  <c r="B338" i="6" a="1"/>
  <c r="B338" i="6" s="1"/>
  <c r="E337" i="6" a="1"/>
  <c r="E337" i="6" s="1"/>
  <c r="D337" i="6" a="1"/>
  <c r="D337" i="6" s="1"/>
  <c r="C337" i="6" a="1"/>
  <c r="C337" i="6" s="1"/>
  <c r="B337" i="6" a="1"/>
  <c r="B337" i="6" s="1"/>
  <c r="E336" i="6" a="1"/>
  <c r="E336" i="6" s="1"/>
  <c r="D336" i="6" a="1"/>
  <c r="D336" i="6" s="1"/>
  <c r="C336" i="6" a="1"/>
  <c r="C336" i="6" s="1"/>
  <c r="B336" i="6" a="1"/>
  <c r="B336" i="6" s="1"/>
  <c r="E335" i="6" a="1"/>
  <c r="E335" i="6" s="1"/>
  <c r="D335" i="6" a="1"/>
  <c r="D335" i="6" s="1"/>
  <c r="C335" i="6" a="1"/>
  <c r="C335" i="6" s="1"/>
  <c r="B335" i="6" a="1"/>
  <c r="B335" i="6" s="1"/>
  <c r="E334" i="6" a="1"/>
  <c r="E334" i="6" s="1"/>
  <c r="D334" i="6" a="1"/>
  <c r="D334" i="6" s="1"/>
  <c r="C334" i="6" a="1"/>
  <c r="C334" i="6" s="1"/>
  <c r="B334" i="6" a="1"/>
  <c r="B334" i="6" s="1"/>
  <c r="E333" i="6" a="1"/>
  <c r="E333" i="6" s="1"/>
  <c r="D333" i="6" a="1"/>
  <c r="D333" i="6" s="1"/>
  <c r="C333" i="6" a="1"/>
  <c r="C333" i="6" s="1"/>
  <c r="B333" i="6" a="1"/>
  <c r="B333" i="6" s="1"/>
  <c r="E332" i="6" a="1"/>
  <c r="E332" i="6" s="1"/>
  <c r="D332" i="6" a="1"/>
  <c r="D332" i="6" s="1"/>
  <c r="C332" i="6" a="1"/>
  <c r="C332" i="6" s="1"/>
  <c r="B332" i="6" a="1"/>
  <c r="B332" i="6" s="1"/>
  <c r="E331" i="6" a="1"/>
  <c r="E331" i="6" s="1"/>
  <c r="D331" i="6" a="1"/>
  <c r="D331" i="6" s="1"/>
  <c r="C331" i="6" a="1"/>
  <c r="C331" i="6" s="1"/>
  <c r="B331" i="6" a="1"/>
  <c r="B331" i="6" s="1"/>
  <c r="E330" i="6" a="1"/>
  <c r="E330" i="6" s="1"/>
  <c r="D330" i="6" a="1"/>
  <c r="D330" i="6" s="1"/>
  <c r="C330" i="6" a="1"/>
  <c r="C330" i="6" s="1"/>
  <c r="B330" i="6" a="1"/>
  <c r="B330" i="6" s="1"/>
  <c r="E329" i="6" a="1"/>
  <c r="E329" i="6" s="1"/>
  <c r="D329" i="6" a="1"/>
  <c r="D329" i="6" s="1"/>
  <c r="C329" i="6" a="1"/>
  <c r="C329" i="6" s="1"/>
  <c r="B329" i="6" a="1"/>
  <c r="B329" i="6" s="1"/>
  <c r="E328" i="6" a="1"/>
  <c r="E328" i="6" s="1"/>
  <c r="D328" i="6" a="1"/>
  <c r="D328" i="6" s="1"/>
  <c r="C328" i="6" a="1"/>
  <c r="C328" i="6" s="1"/>
  <c r="B328" i="6" a="1"/>
  <c r="B328" i="6" s="1"/>
  <c r="E327" i="6" a="1"/>
  <c r="E327" i="6" s="1"/>
  <c r="D327" i="6" a="1"/>
  <c r="D327" i="6" s="1"/>
  <c r="C327" i="6" a="1"/>
  <c r="C327" i="6" s="1"/>
  <c r="B327" i="6" a="1"/>
  <c r="B327" i="6" s="1"/>
  <c r="E326" i="6" a="1"/>
  <c r="E326" i="6" s="1"/>
  <c r="D326" i="6" a="1"/>
  <c r="D326" i="6" s="1"/>
  <c r="C326" i="6" a="1"/>
  <c r="C326" i="6" s="1"/>
  <c r="B326" i="6" a="1"/>
  <c r="B326" i="6" s="1"/>
  <c r="E325" i="6" a="1"/>
  <c r="E325" i="6" s="1"/>
  <c r="D325" i="6" a="1"/>
  <c r="D325" i="6" s="1"/>
  <c r="C325" i="6" a="1"/>
  <c r="C325" i="6" s="1"/>
  <c r="B325" i="6" a="1"/>
  <c r="B325" i="6" s="1"/>
  <c r="E324" i="6" a="1"/>
  <c r="E324" i="6" s="1"/>
  <c r="D324" i="6" a="1"/>
  <c r="D324" i="6" s="1"/>
  <c r="C324" i="6" a="1"/>
  <c r="C324" i="6" s="1"/>
  <c r="B324" i="6" a="1"/>
  <c r="B324" i="6" s="1"/>
  <c r="E323" i="6" a="1"/>
  <c r="E323" i="6" s="1"/>
  <c r="D323" i="6" a="1"/>
  <c r="D323" i="6" s="1"/>
  <c r="C323" i="6" a="1"/>
  <c r="C323" i="6" s="1"/>
  <c r="B323" i="6" a="1"/>
  <c r="B323" i="6" s="1"/>
  <c r="E322" i="6" a="1"/>
  <c r="E322" i="6" s="1"/>
  <c r="D322" i="6" a="1"/>
  <c r="D322" i="6" s="1"/>
  <c r="C322" i="6" a="1"/>
  <c r="C322" i="6" s="1"/>
  <c r="B322" i="6" a="1"/>
  <c r="B322" i="6" s="1"/>
  <c r="E321" i="6" a="1"/>
  <c r="E321" i="6" s="1"/>
  <c r="D321" i="6" a="1"/>
  <c r="D321" i="6" s="1"/>
  <c r="C321" i="6" a="1"/>
  <c r="C321" i="6" s="1"/>
  <c r="B321" i="6" a="1"/>
  <c r="B321" i="6" s="1"/>
  <c r="E320" i="6" a="1"/>
  <c r="E320" i="6" s="1"/>
  <c r="D320" i="6" a="1"/>
  <c r="D320" i="6" s="1"/>
  <c r="C320" i="6" a="1"/>
  <c r="C320" i="6" s="1"/>
  <c r="B320" i="6" a="1"/>
  <c r="B320" i="6" s="1"/>
  <c r="E319" i="6" a="1"/>
  <c r="E319" i="6" s="1"/>
  <c r="D319" i="6" a="1"/>
  <c r="D319" i="6" s="1"/>
  <c r="C319" i="6" a="1"/>
  <c r="C319" i="6" s="1"/>
  <c r="B319" i="6" a="1"/>
  <c r="B319" i="6" s="1"/>
  <c r="E318" i="6" a="1"/>
  <c r="E318" i="6" s="1"/>
  <c r="D318" i="6" a="1"/>
  <c r="D318" i="6" s="1"/>
  <c r="C318" i="6" a="1"/>
  <c r="C318" i="6" s="1"/>
  <c r="B318" i="6" a="1"/>
  <c r="B318" i="6" s="1"/>
  <c r="E317" i="6" a="1"/>
  <c r="E317" i="6" s="1"/>
  <c r="D317" i="6" a="1"/>
  <c r="D317" i="6" s="1"/>
  <c r="C317" i="6" a="1"/>
  <c r="C317" i="6" s="1"/>
  <c r="B317" i="6" a="1"/>
  <c r="B317" i="6" s="1"/>
  <c r="E316" i="6" a="1"/>
  <c r="E316" i="6" s="1"/>
  <c r="D316" i="6" a="1"/>
  <c r="D316" i="6" s="1"/>
  <c r="C316" i="6" a="1"/>
  <c r="C316" i="6" s="1"/>
  <c r="B316" i="6" a="1"/>
  <c r="B316" i="6" s="1"/>
  <c r="E315" i="6" a="1"/>
  <c r="E315" i="6" s="1"/>
  <c r="D315" i="6" a="1"/>
  <c r="D315" i="6" s="1"/>
  <c r="C315" i="6" a="1"/>
  <c r="C315" i="6" s="1"/>
  <c r="B315" i="6" a="1"/>
  <c r="B315" i="6" s="1"/>
  <c r="E314" i="6" a="1"/>
  <c r="E314" i="6" s="1"/>
  <c r="D314" i="6" a="1"/>
  <c r="D314" i="6" s="1"/>
  <c r="C314" i="6" a="1"/>
  <c r="C314" i="6" s="1"/>
  <c r="B314" i="6" a="1"/>
  <c r="B314" i="6" s="1"/>
  <c r="E313" i="6" a="1"/>
  <c r="E313" i="6" s="1"/>
  <c r="D313" i="6" a="1"/>
  <c r="D313" i="6" s="1"/>
  <c r="C313" i="6" a="1"/>
  <c r="C313" i="6" s="1"/>
  <c r="B313" i="6" a="1"/>
  <c r="B313" i="6" s="1"/>
  <c r="E312" i="6" a="1"/>
  <c r="E312" i="6" s="1"/>
  <c r="D312" i="6" a="1"/>
  <c r="D312" i="6" s="1"/>
  <c r="C312" i="6" a="1"/>
  <c r="C312" i="6" s="1"/>
  <c r="B312" i="6" a="1"/>
  <c r="B312" i="6" s="1"/>
  <c r="E311" i="6" a="1"/>
  <c r="E311" i="6" s="1"/>
  <c r="D311" i="6" a="1"/>
  <c r="D311" i="6" s="1"/>
  <c r="C311" i="6" a="1"/>
  <c r="C311" i="6" s="1"/>
  <c r="B311" i="6" a="1"/>
  <c r="B311" i="6" s="1"/>
  <c r="E310" i="6" a="1"/>
  <c r="E310" i="6" s="1"/>
  <c r="D310" i="6" a="1"/>
  <c r="D310" i="6" s="1"/>
  <c r="C310" i="6" a="1"/>
  <c r="C310" i="6" s="1"/>
  <c r="B310" i="6" a="1"/>
  <c r="B310" i="6" s="1"/>
  <c r="E309" i="6" a="1"/>
  <c r="E309" i="6" s="1"/>
  <c r="D309" i="6" a="1"/>
  <c r="D309" i="6" s="1"/>
  <c r="C309" i="6" a="1"/>
  <c r="C309" i="6" s="1"/>
  <c r="B309" i="6" a="1"/>
  <c r="B309" i="6" s="1"/>
  <c r="E308" i="6" a="1"/>
  <c r="E308" i="6" s="1"/>
  <c r="D308" i="6" a="1"/>
  <c r="D308" i="6" s="1"/>
  <c r="C308" i="6" a="1"/>
  <c r="C308" i="6" s="1"/>
  <c r="B308" i="6" a="1"/>
  <c r="B308" i="6" s="1"/>
  <c r="E307" i="6" a="1"/>
  <c r="E307" i="6" s="1"/>
  <c r="D307" i="6" a="1"/>
  <c r="D307" i="6" s="1"/>
  <c r="C307" i="6" a="1"/>
  <c r="C307" i="6" s="1"/>
  <c r="B307" i="6" a="1"/>
  <c r="B307" i="6" s="1"/>
  <c r="E306" i="6" a="1"/>
  <c r="E306" i="6" s="1"/>
  <c r="D306" i="6" a="1"/>
  <c r="D306" i="6" s="1"/>
  <c r="C306" i="6" a="1"/>
  <c r="C306" i="6" s="1"/>
  <c r="B306" i="6" a="1"/>
  <c r="B306" i="6" s="1"/>
  <c r="E305" i="6" a="1"/>
  <c r="E305" i="6" s="1"/>
  <c r="D305" i="6" a="1"/>
  <c r="D305" i="6" s="1"/>
  <c r="C305" i="6" a="1"/>
  <c r="C305" i="6" s="1"/>
  <c r="B305" i="6" a="1"/>
  <c r="B305" i="6" s="1"/>
  <c r="E304" i="6" a="1"/>
  <c r="E304" i="6" s="1"/>
  <c r="D304" i="6" a="1"/>
  <c r="D304" i="6" s="1"/>
  <c r="C304" i="6" a="1"/>
  <c r="C304" i="6" s="1"/>
  <c r="B304" i="6" a="1"/>
  <c r="B304" i="6" s="1"/>
  <c r="E303" i="6" a="1"/>
  <c r="E303" i="6" s="1"/>
  <c r="D303" i="6" a="1"/>
  <c r="D303" i="6" s="1"/>
  <c r="C303" i="6" a="1"/>
  <c r="C303" i="6" s="1"/>
  <c r="B303" i="6" a="1"/>
  <c r="B303" i="6" s="1"/>
  <c r="E302" i="6" a="1"/>
  <c r="E302" i="6" s="1"/>
  <c r="D302" i="6" a="1"/>
  <c r="D302" i="6" s="1"/>
  <c r="C302" i="6" a="1"/>
  <c r="C302" i="6" s="1"/>
  <c r="B302" i="6" a="1"/>
  <c r="B302" i="6" s="1"/>
  <c r="E301" i="6" a="1"/>
  <c r="E301" i="6" s="1"/>
  <c r="D301" i="6" a="1"/>
  <c r="D301" i="6" s="1"/>
  <c r="C301" i="6" a="1"/>
  <c r="C301" i="6" s="1"/>
  <c r="B301" i="6" a="1"/>
  <c r="B301" i="6" s="1"/>
  <c r="E300" i="6" a="1"/>
  <c r="E300" i="6" s="1"/>
  <c r="D300" i="6" a="1"/>
  <c r="D300" i="6" s="1"/>
  <c r="C300" i="6" a="1"/>
  <c r="C300" i="6" s="1"/>
  <c r="B300" i="6" a="1"/>
  <c r="B300" i="6" s="1"/>
  <c r="E299" i="6" a="1"/>
  <c r="E299" i="6" s="1"/>
  <c r="D299" i="6" a="1"/>
  <c r="D299" i="6" s="1"/>
  <c r="C299" i="6" a="1"/>
  <c r="C299" i="6" s="1"/>
  <c r="B299" i="6" a="1"/>
  <c r="B299" i="6" s="1"/>
  <c r="E298" i="6" a="1"/>
  <c r="E298" i="6" s="1"/>
  <c r="D298" i="6" a="1"/>
  <c r="D298" i="6" s="1"/>
  <c r="C298" i="6" a="1"/>
  <c r="C298" i="6" s="1"/>
  <c r="B298" i="6" a="1"/>
  <c r="B298" i="6" s="1"/>
  <c r="E297" i="6" a="1"/>
  <c r="E297" i="6" s="1"/>
  <c r="D297" i="6" a="1"/>
  <c r="D297" i="6" s="1"/>
  <c r="C297" i="6" a="1"/>
  <c r="C297" i="6" s="1"/>
  <c r="B297" i="6" a="1"/>
  <c r="B297" i="6" s="1"/>
  <c r="E296" i="6" a="1"/>
  <c r="E296" i="6" s="1"/>
  <c r="D296" i="6" a="1"/>
  <c r="D296" i="6" s="1"/>
  <c r="C296" i="6" a="1"/>
  <c r="C296" i="6" s="1"/>
  <c r="B296" i="6" a="1"/>
  <c r="B296" i="6" s="1"/>
  <c r="E295" i="6" a="1"/>
  <c r="E295" i="6" s="1"/>
  <c r="D295" i="6" a="1"/>
  <c r="D295" i="6" s="1"/>
  <c r="C295" i="6" a="1"/>
  <c r="C295" i="6" s="1"/>
  <c r="B295" i="6" a="1"/>
  <c r="B295" i="6" s="1"/>
  <c r="E294" i="6" a="1"/>
  <c r="E294" i="6" s="1"/>
  <c r="D294" i="6" a="1"/>
  <c r="D294" i="6" s="1"/>
  <c r="C294" i="6" a="1"/>
  <c r="C294" i="6" s="1"/>
  <c r="B294" i="6" a="1"/>
  <c r="B294" i="6" s="1"/>
  <c r="E293" i="6" a="1"/>
  <c r="E293" i="6" s="1"/>
  <c r="D293" i="6" a="1"/>
  <c r="D293" i="6" s="1"/>
  <c r="C293" i="6" a="1"/>
  <c r="C293" i="6" s="1"/>
  <c r="B293" i="6" a="1"/>
  <c r="B293" i="6" s="1"/>
  <c r="E292" i="6" a="1"/>
  <c r="E292" i="6" s="1"/>
  <c r="D292" i="6" a="1"/>
  <c r="D292" i="6" s="1"/>
  <c r="C292" i="6" a="1"/>
  <c r="C292" i="6" s="1"/>
  <c r="B292" i="6" a="1"/>
  <c r="B292" i="6" s="1"/>
  <c r="E291" i="6" a="1"/>
  <c r="E291" i="6" s="1"/>
  <c r="D291" i="6" a="1"/>
  <c r="D291" i="6" s="1"/>
  <c r="C291" i="6" a="1"/>
  <c r="C291" i="6" s="1"/>
  <c r="B291" i="6" a="1"/>
  <c r="B291" i="6" s="1"/>
  <c r="E290" i="6" a="1"/>
  <c r="E290" i="6" s="1"/>
  <c r="D290" i="6" a="1"/>
  <c r="D290" i="6" s="1"/>
  <c r="C290" i="6" a="1"/>
  <c r="C290" i="6" s="1"/>
  <c r="B290" i="6" a="1"/>
  <c r="B290" i="6" s="1"/>
  <c r="E289" i="6" a="1"/>
  <c r="E289" i="6" s="1"/>
  <c r="D289" i="6" a="1"/>
  <c r="D289" i="6" s="1"/>
  <c r="C289" i="6" a="1"/>
  <c r="C289" i="6" s="1"/>
  <c r="B289" i="6" a="1"/>
  <c r="B289" i="6" s="1"/>
  <c r="E288" i="6" a="1"/>
  <c r="E288" i="6" s="1"/>
  <c r="D288" i="6" a="1"/>
  <c r="D288" i="6" s="1"/>
  <c r="C288" i="6" a="1"/>
  <c r="C288" i="6" s="1"/>
  <c r="B288" i="6" a="1"/>
  <c r="B288" i="6" s="1"/>
  <c r="E287" i="6" a="1"/>
  <c r="E287" i="6" s="1"/>
  <c r="D287" i="6" a="1"/>
  <c r="D287" i="6" s="1"/>
  <c r="C287" i="6" a="1"/>
  <c r="C287" i="6" s="1"/>
  <c r="B287" i="6" a="1"/>
  <c r="B287" i="6" s="1"/>
  <c r="E286" i="6" a="1"/>
  <c r="E286" i="6" s="1"/>
  <c r="D286" i="6" a="1"/>
  <c r="D286" i="6" s="1"/>
  <c r="C286" i="6" a="1"/>
  <c r="C286" i="6" s="1"/>
  <c r="B286" i="6" a="1"/>
  <c r="B286" i="6" s="1"/>
  <c r="E285" i="6" a="1"/>
  <c r="E285" i="6" s="1"/>
  <c r="D285" i="6" a="1"/>
  <c r="D285" i="6" s="1"/>
  <c r="C285" i="6" a="1"/>
  <c r="C285" i="6" s="1"/>
  <c r="B285" i="6" a="1"/>
  <c r="B285" i="6" s="1"/>
  <c r="E284" i="6" a="1"/>
  <c r="E284" i="6" s="1"/>
  <c r="D284" i="6" a="1"/>
  <c r="D284" i="6" s="1"/>
  <c r="C284" i="6" a="1"/>
  <c r="C284" i="6" s="1"/>
  <c r="B284" i="6" a="1"/>
  <c r="B284" i="6" s="1"/>
  <c r="E283" i="6" a="1"/>
  <c r="E283" i="6" s="1"/>
  <c r="D283" i="6" a="1"/>
  <c r="D283" i="6" s="1"/>
  <c r="C283" i="6" a="1"/>
  <c r="C283" i="6" s="1"/>
  <c r="B283" i="6" a="1"/>
  <c r="B283" i="6" s="1"/>
  <c r="E282" i="6" a="1"/>
  <c r="E282" i="6" s="1"/>
  <c r="D282" i="6" a="1"/>
  <c r="D282" i="6" s="1"/>
  <c r="C282" i="6" a="1"/>
  <c r="C282" i="6" s="1"/>
  <c r="B282" i="6" a="1"/>
  <c r="B282" i="6" s="1"/>
  <c r="E281" i="6" a="1"/>
  <c r="E281" i="6" s="1"/>
  <c r="D281" i="6" a="1"/>
  <c r="D281" i="6" s="1"/>
  <c r="C281" i="6" a="1"/>
  <c r="C281" i="6" s="1"/>
  <c r="B281" i="6" a="1"/>
  <c r="B281" i="6" s="1"/>
  <c r="E280" i="6" a="1"/>
  <c r="E280" i="6" s="1"/>
  <c r="D280" i="6" a="1"/>
  <c r="D280" i="6" s="1"/>
  <c r="C280" i="6" a="1"/>
  <c r="C280" i="6" s="1"/>
  <c r="B280" i="6" a="1"/>
  <c r="B280" i="6" s="1"/>
  <c r="E279" i="6" a="1"/>
  <c r="E279" i="6" s="1"/>
  <c r="D279" i="6" a="1"/>
  <c r="D279" i="6" s="1"/>
  <c r="C279" i="6" a="1"/>
  <c r="C279" i="6" s="1"/>
  <c r="B279" i="6" a="1"/>
  <c r="B279" i="6" s="1"/>
  <c r="E278" i="6" a="1"/>
  <c r="E278" i="6" s="1"/>
  <c r="D278" i="6" a="1"/>
  <c r="D278" i="6" s="1"/>
  <c r="C278" i="6" a="1"/>
  <c r="C278" i="6" s="1"/>
  <c r="B278" i="6" a="1"/>
  <c r="B278" i="6" s="1"/>
  <c r="E277" i="6" a="1"/>
  <c r="E277" i="6" s="1"/>
  <c r="D277" i="6" a="1"/>
  <c r="D277" i="6" s="1"/>
  <c r="C277" i="6" a="1"/>
  <c r="C277" i="6" s="1"/>
  <c r="B277" i="6" a="1"/>
  <c r="B277" i="6" s="1"/>
  <c r="E276" i="6" a="1"/>
  <c r="E276" i="6" s="1"/>
  <c r="D276" i="6" a="1"/>
  <c r="D276" i="6" s="1"/>
  <c r="C276" i="6" a="1"/>
  <c r="C276" i="6" s="1"/>
  <c r="B276" i="6" a="1"/>
  <c r="B276" i="6" s="1"/>
  <c r="E275" i="6" a="1"/>
  <c r="E275" i="6" s="1"/>
  <c r="D275" i="6" a="1"/>
  <c r="D275" i="6" s="1"/>
  <c r="C275" i="6" a="1"/>
  <c r="C275" i="6" s="1"/>
  <c r="B275" i="6" a="1"/>
  <c r="B275" i="6" s="1"/>
  <c r="E274" i="6" a="1"/>
  <c r="E274" i="6" s="1"/>
  <c r="D274" i="6" a="1"/>
  <c r="D274" i="6" s="1"/>
  <c r="C274" i="6" a="1"/>
  <c r="C274" i="6" s="1"/>
  <c r="B274" i="6" a="1"/>
  <c r="B274" i="6" s="1"/>
  <c r="E273" i="6" a="1"/>
  <c r="E273" i="6" s="1"/>
  <c r="D273" i="6" a="1"/>
  <c r="D273" i="6" s="1"/>
  <c r="C273" i="6" a="1"/>
  <c r="C273" i="6" s="1"/>
  <c r="B273" i="6" a="1"/>
  <c r="B273" i="6" s="1"/>
  <c r="E272" i="6" a="1"/>
  <c r="E272" i="6" s="1"/>
  <c r="D272" i="6" a="1"/>
  <c r="D272" i="6" s="1"/>
  <c r="C272" i="6" a="1"/>
  <c r="C272" i="6" s="1"/>
  <c r="B272" i="6" a="1"/>
  <c r="B272" i="6" s="1"/>
  <c r="E271" i="6" a="1"/>
  <c r="E271" i="6" s="1"/>
  <c r="D271" i="6" a="1"/>
  <c r="D271" i="6" s="1"/>
  <c r="C271" i="6" a="1"/>
  <c r="C271" i="6" s="1"/>
  <c r="B271" i="6" a="1"/>
  <c r="B271" i="6" s="1"/>
  <c r="E270" i="6" a="1"/>
  <c r="E270" i="6" s="1"/>
  <c r="D270" i="6" a="1"/>
  <c r="D270" i="6" s="1"/>
  <c r="C270" i="6" a="1"/>
  <c r="C270" i="6" s="1"/>
  <c r="B270" i="6" a="1"/>
  <c r="B270" i="6" s="1"/>
  <c r="E269" i="6" a="1"/>
  <c r="E269" i="6" s="1"/>
  <c r="D269" i="6" a="1"/>
  <c r="D269" i="6" s="1"/>
  <c r="C269" i="6" a="1"/>
  <c r="C269" i="6" s="1"/>
  <c r="B269" i="6" a="1"/>
  <c r="B269" i="6" s="1"/>
  <c r="E268" i="6" a="1"/>
  <c r="E268" i="6" s="1"/>
  <c r="D268" i="6" a="1"/>
  <c r="D268" i="6" s="1"/>
  <c r="C268" i="6" a="1"/>
  <c r="C268" i="6" s="1"/>
  <c r="B268" i="6" a="1"/>
  <c r="B268" i="6" s="1"/>
  <c r="E267" i="6" a="1"/>
  <c r="E267" i="6" s="1"/>
  <c r="D267" i="6" a="1"/>
  <c r="D267" i="6" s="1"/>
  <c r="C267" i="6" a="1"/>
  <c r="C267" i="6" s="1"/>
  <c r="B267" i="6" a="1"/>
  <c r="B267" i="6" s="1"/>
  <c r="E266" i="6" a="1"/>
  <c r="E266" i="6" s="1"/>
  <c r="D266" i="6" a="1"/>
  <c r="D266" i="6" s="1"/>
  <c r="C266" i="6" a="1"/>
  <c r="C266" i="6" s="1"/>
  <c r="B266" i="6" a="1"/>
  <c r="B266" i="6" s="1"/>
  <c r="E265" i="6" a="1"/>
  <c r="E265" i="6" s="1"/>
  <c r="D265" i="6" a="1"/>
  <c r="D265" i="6" s="1"/>
  <c r="C265" i="6" a="1"/>
  <c r="C265" i="6" s="1"/>
  <c r="B265" i="6" a="1"/>
  <c r="B265" i="6" s="1"/>
  <c r="E264" i="6" a="1"/>
  <c r="E264" i="6" s="1"/>
  <c r="D264" i="6" a="1"/>
  <c r="D264" i="6" s="1"/>
  <c r="C264" i="6" a="1"/>
  <c r="C264" i="6" s="1"/>
  <c r="B264" i="6" a="1"/>
  <c r="B264" i="6" s="1"/>
  <c r="E263" i="6" a="1"/>
  <c r="E263" i="6" s="1"/>
  <c r="D263" i="6" a="1"/>
  <c r="D263" i="6" s="1"/>
  <c r="C263" i="6" a="1"/>
  <c r="C263" i="6" s="1"/>
  <c r="B263" i="6" a="1"/>
  <c r="B263" i="6" s="1"/>
  <c r="E262" i="6" a="1"/>
  <c r="E262" i="6" s="1"/>
  <c r="D262" i="6" a="1"/>
  <c r="D262" i="6" s="1"/>
  <c r="C262" i="6" a="1"/>
  <c r="C262" i="6" s="1"/>
  <c r="B262" i="6" a="1"/>
  <c r="B262" i="6" s="1"/>
  <c r="E261" i="6" a="1"/>
  <c r="E261" i="6" s="1"/>
  <c r="D261" i="6" a="1"/>
  <c r="D261" i="6" s="1"/>
  <c r="C261" i="6" a="1"/>
  <c r="C261" i="6" s="1"/>
  <c r="B261" i="6" a="1"/>
  <c r="B261" i="6" s="1"/>
  <c r="E260" i="6" a="1"/>
  <c r="E260" i="6" s="1"/>
  <c r="D260" i="6" a="1"/>
  <c r="D260" i="6" s="1"/>
  <c r="C260" i="6" a="1"/>
  <c r="C260" i="6" s="1"/>
  <c r="B260" i="6" a="1"/>
  <c r="B260" i="6" s="1"/>
  <c r="E259" i="6" a="1"/>
  <c r="E259" i="6" s="1"/>
  <c r="D259" i="6" a="1"/>
  <c r="D259" i="6" s="1"/>
  <c r="C259" i="6" a="1"/>
  <c r="C259" i="6" s="1"/>
  <c r="B259" i="6" a="1"/>
  <c r="B259" i="6" s="1"/>
  <c r="E258" i="6" a="1"/>
  <c r="E258" i="6" s="1"/>
  <c r="D258" i="6" a="1"/>
  <c r="D258" i="6" s="1"/>
  <c r="C258" i="6" a="1"/>
  <c r="C258" i="6" s="1"/>
  <c r="B258" i="6" a="1"/>
  <c r="B258" i="6" s="1"/>
  <c r="E257" i="6" a="1"/>
  <c r="E257" i="6" s="1"/>
  <c r="D257" i="6" a="1"/>
  <c r="D257" i="6" s="1"/>
  <c r="C257" i="6" a="1"/>
  <c r="C257" i="6" s="1"/>
  <c r="B257" i="6" a="1"/>
  <c r="B257" i="6" s="1"/>
  <c r="E256" i="6" a="1"/>
  <c r="E256" i="6" s="1"/>
  <c r="D256" i="6" a="1"/>
  <c r="D256" i="6" s="1"/>
  <c r="C256" i="6" a="1"/>
  <c r="C256" i="6" s="1"/>
  <c r="B256" i="6" a="1"/>
  <c r="B256" i="6" s="1"/>
  <c r="E255" i="6" a="1"/>
  <c r="E255" i="6" s="1"/>
  <c r="D255" i="6" a="1"/>
  <c r="D255" i="6" s="1"/>
  <c r="C255" i="6" a="1"/>
  <c r="C255" i="6" s="1"/>
  <c r="B255" i="6" a="1"/>
  <c r="B255" i="6" s="1"/>
  <c r="E254" i="6" a="1"/>
  <c r="E254" i="6" s="1"/>
  <c r="D254" i="6" a="1"/>
  <c r="D254" i="6" s="1"/>
  <c r="C254" i="6" a="1"/>
  <c r="C254" i="6" s="1"/>
  <c r="B254" i="6" a="1"/>
  <c r="B254" i="6" s="1"/>
  <c r="E253" i="6" a="1"/>
  <c r="E253" i="6" s="1"/>
  <c r="D253" i="6" a="1"/>
  <c r="D253" i="6" s="1"/>
  <c r="C253" i="6" a="1"/>
  <c r="C253" i="6" s="1"/>
  <c r="B253" i="6" a="1"/>
  <c r="B253" i="6" s="1"/>
  <c r="E252" i="6" a="1"/>
  <c r="E252" i="6" s="1"/>
  <c r="D252" i="6" a="1"/>
  <c r="D252" i="6" s="1"/>
  <c r="C252" i="6" a="1"/>
  <c r="C252" i="6" s="1"/>
  <c r="B252" i="6" a="1"/>
  <c r="B252" i="6" s="1"/>
  <c r="E251" i="6" a="1"/>
  <c r="E251" i="6" s="1"/>
  <c r="D251" i="6" a="1"/>
  <c r="D251" i="6" s="1"/>
  <c r="C251" i="6" a="1"/>
  <c r="C251" i="6" s="1"/>
  <c r="B251" i="6" a="1"/>
  <c r="B251" i="6" s="1"/>
  <c r="E250" i="6" a="1"/>
  <c r="E250" i="6" s="1"/>
  <c r="D250" i="6" a="1"/>
  <c r="D250" i="6" s="1"/>
  <c r="C250" i="6" a="1"/>
  <c r="C250" i="6" s="1"/>
  <c r="B250" i="6" a="1"/>
  <c r="B250" i="6" s="1"/>
  <c r="E249" i="6" a="1"/>
  <c r="E249" i="6" s="1"/>
  <c r="D249" i="6" a="1"/>
  <c r="D249" i="6" s="1"/>
  <c r="C249" i="6" a="1"/>
  <c r="C249" i="6" s="1"/>
  <c r="B249" i="6" a="1"/>
  <c r="B249" i="6" s="1"/>
  <c r="E248" i="6" a="1"/>
  <c r="E248" i="6" s="1"/>
  <c r="D248" i="6" a="1"/>
  <c r="D248" i="6" s="1"/>
  <c r="C248" i="6" a="1"/>
  <c r="C248" i="6" s="1"/>
  <c r="B248" i="6" a="1"/>
  <c r="B248" i="6" s="1"/>
  <c r="E247" i="6" a="1"/>
  <c r="E247" i="6" s="1"/>
  <c r="D247" i="6" a="1"/>
  <c r="D247" i="6" s="1"/>
  <c r="C247" i="6" a="1"/>
  <c r="C247" i="6" s="1"/>
  <c r="B247" i="6" a="1"/>
  <c r="B247" i="6" s="1"/>
  <c r="E246" i="6" a="1"/>
  <c r="E246" i="6" s="1"/>
  <c r="D246" i="6" a="1"/>
  <c r="D246" i="6" s="1"/>
  <c r="C246" i="6" a="1"/>
  <c r="C246" i="6" s="1"/>
  <c r="B246" i="6" a="1"/>
  <c r="B246" i="6" s="1"/>
  <c r="E245" i="6" a="1"/>
  <c r="E245" i="6" s="1"/>
  <c r="D245" i="6" a="1"/>
  <c r="D245" i="6" s="1"/>
  <c r="C245" i="6" a="1"/>
  <c r="C245" i="6" s="1"/>
  <c r="B245" i="6" a="1"/>
  <c r="B245" i="6" s="1"/>
  <c r="E244" i="6" a="1"/>
  <c r="E244" i="6" s="1"/>
  <c r="D244" i="6" a="1"/>
  <c r="D244" i="6" s="1"/>
  <c r="C244" i="6" a="1"/>
  <c r="C244" i="6" s="1"/>
  <c r="B244" i="6" a="1"/>
  <c r="B244" i="6" s="1"/>
  <c r="E243" i="6" a="1"/>
  <c r="E243" i="6" s="1"/>
  <c r="D243" i="6" a="1"/>
  <c r="D243" i="6" s="1"/>
  <c r="C243" i="6" a="1"/>
  <c r="C243" i="6" s="1"/>
  <c r="B243" i="6" a="1"/>
  <c r="B243" i="6" s="1"/>
  <c r="E242" i="6" a="1"/>
  <c r="E242" i="6" s="1"/>
  <c r="D242" i="6" a="1"/>
  <c r="D242" i="6" s="1"/>
  <c r="C242" i="6" a="1"/>
  <c r="C242" i="6" s="1"/>
  <c r="B242" i="6" a="1"/>
  <c r="B242" i="6" s="1"/>
  <c r="E241" i="6" a="1"/>
  <c r="E241" i="6" s="1"/>
  <c r="D241" i="6" a="1"/>
  <c r="D241" i="6" s="1"/>
  <c r="C241" i="6" a="1"/>
  <c r="C241" i="6" s="1"/>
  <c r="B241" i="6" a="1"/>
  <c r="B241" i="6" s="1"/>
  <c r="E240" i="6" a="1"/>
  <c r="E240" i="6" s="1"/>
  <c r="D240" i="6" a="1"/>
  <c r="D240" i="6" s="1"/>
  <c r="C240" i="6" a="1"/>
  <c r="C240" i="6" s="1"/>
  <c r="B240" i="6" a="1"/>
  <c r="B240" i="6" s="1"/>
  <c r="E239" i="6" a="1"/>
  <c r="E239" i="6" s="1"/>
  <c r="D239" i="6" a="1"/>
  <c r="D239" i="6" s="1"/>
  <c r="C239" i="6" a="1"/>
  <c r="C239" i="6" s="1"/>
  <c r="B239" i="6" a="1"/>
  <c r="B239" i="6" s="1"/>
  <c r="E238" i="6" a="1"/>
  <c r="E238" i="6" s="1"/>
  <c r="D238" i="6" a="1"/>
  <c r="D238" i="6" s="1"/>
  <c r="C238" i="6" a="1"/>
  <c r="C238" i="6" s="1"/>
  <c r="B238" i="6" a="1"/>
  <c r="B238" i="6" s="1"/>
  <c r="E237" i="6" a="1"/>
  <c r="E237" i="6" s="1"/>
  <c r="D237" i="6" a="1"/>
  <c r="D237" i="6" s="1"/>
  <c r="C237" i="6" a="1"/>
  <c r="C237" i="6" s="1"/>
  <c r="B237" i="6" a="1"/>
  <c r="B237" i="6" s="1"/>
  <c r="E236" i="6" a="1"/>
  <c r="E236" i="6" s="1"/>
  <c r="D236" i="6" a="1"/>
  <c r="D236" i="6" s="1"/>
  <c r="C236" i="6" a="1"/>
  <c r="C236" i="6" s="1"/>
  <c r="B236" i="6" a="1"/>
  <c r="B236" i="6" s="1"/>
  <c r="E235" i="6" a="1"/>
  <c r="E235" i="6" s="1"/>
  <c r="D235" i="6" a="1"/>
  <c r="D235" i="6" s="1"/>
  <c r="C235" i="6" a="1"/>
  <c r="C235" i="6" s="1"/>
  <c r="B235" i="6" a="1"/>
  <c r="B235" i="6" s="1"/>
  <c r="E234" i="6" a="1"/>
  <c r="E234" i="6" s="1"/>
  <c r="D234" i="6" a="1"/>
  <c r="D234" i="6" s="1"/>
  <c r="C234" i="6" a="1"/>
  <c r="C234" i="6" s="1"/>
  <c r="B234" i="6" a="1"/>
  <c r="B234" i="6" s="1"/>
  <c r="E233" i="6" a="1"/>
  <c r="E233" i="6" s="1"/>
  <c r="D233" i="6" a="1"/>
  <c r="D233" i="6" s="1"/>
  <c r="C233" i="6" a="1"/>
  <c r="C233" i="6" s="1"/>
  <c r="B233" i="6" a="1"/>
  <c r="B233" i="6" s="1"/>
  <c r="E232" i="6" a="1"/>
  <c r="E232" i="6" s="1"/>
  <c r="D232" i="6" a="1"/>
  <c r="D232" i="6" s="1"/>
  <c r="C232" i="6" a="1"/>
  <c r="C232" i="6" s="1"/>
  <c r="B232" i="6" a="1"/>
  <c r="B232" i="6" s="1"/>
  <c r="E231" i="6" a="1"/>
  <c r="E231" i="6" s="1"/>
  <c r="D231" i="6" a="1"/>
  <c r="D231" i="6" s="1"/>
  <c r="C231" i="6" a="1"/>
  <c r="C231" i="6" s="1"/>
  <c r="B231" i="6" a="1"/>
  <c r="B231" i="6" s="1"/>
  <c r="E230" i="6" a="1"/>
  <c r="E230" i="6" s="1"/>
  <c r="D230" i="6" a="1"/>
  <c r="D230" i="6" s="1"/>
  <c r="C230" i="6" a="1"/>
  <c r="C230" i="6" s="1"/>
  <c r="B230" i="6" a="1"/>
  <c r="B230" i="6" s="1"/>
  <c r="E229" i="6" a="1"/>
  <c r="E229" i="6" s="1"/>
  <c r="D229" i="6" a="1"/>
  <c r="D229" i="6" s="1"/>
  <c r="C229" i="6" a="1"/>
  <c r="C229" i="6" s="1"/>
  <c r="B229" i="6" a="1"/>
  <c r="B229" i="6" s="1"/>
  <c r="E228" i="6" a="1"/>
  <c r="E228" i="6" s="1"/>
  <c r="D228" i="6" a="1"/>
  <c r="D228" i="6" s="1"/>
  <c r="C228" i="6" a="1"/>
  <c r="C228" i="6" s="1"/>
  <c r="B228" i="6" a="1"/>
  <c r="B228" i="6" s="1"/>
  <c r="E227" i="6" a="1"/>
  <c r="E227" i="6" s="1"/>
  <c r="D227" i="6" a="1"/>
  <c r="D227" i="6" s="1"/>
  <c r="C227" i="6" a="1"/>
  <c r="C227" i="6" s="1"/>
  <c r="B227" i="6" a="1"/>
  <c r="B227" i="6" s="1"/>
  <c r="E226" i="6" a="1"/>
  <c r="E226" i="6" s="1"/>
  <c r="D226" i="6" a="1"/>
  <c r="D226" i="6" s="1"/>
  <c r="C226" i="6" a="1"/>
  <c r="C226" i="6" s="1"/>
  <c r="B226" i="6" a="1"/>
  <c r="B226" i="6" s="1"/>
  <c r="E225" i="6" a="1"/>
  <c r="E225" i="6" s="1"/>
  <c r="D225" i="6" a="1"/>
  <c r="D225" i="6" s="1"/>
  <c r="C225" i="6" a="1"/>
  <c r="C225" i="6" s="1"/>
  <c r="B225" i="6" a="1"/>
  <c r="B225" i="6" s="1"/>
  <c r="E224" i="6" a="1"/>
  <c r="E224" i="6" s="1"/>
  <c r="D224" i="6" a="1"/>
  <c r="D224" i="6" s="1"/>
  <c r="C224" i="6" a="1"/>
  <c r="C224" i="6" s="1"/>
  <c r="B224" i="6" a="1"/>
  <c r="B224" i="6" s="1"/>
  <c r="E223" i="6" a="1"/>
  <c r="E223" i="6" s="1"/>
  <c r="D223" i="6" a="1"/>
  <c r="D223" i="6" s="1"/>
  <c r="C223" i="6" a="1"/>
  <c r="C223" i="6" s="1"/>
  <c r="B223" i="6" a="1"/>
  <c r="B223" i="6" s="1"/>
  <c r="E222" i="6" a="1"/>
  <c r="E222" i="6" s="1"/>
  <c r="D222" i="6" a="1"/>
  <c r="D222" i="6" s="1"/>
  <c r="C222" i="6" a="1"/>
  <c r="C222" i="6" s="1"/>
  <c r="B222" i="6" a="1"/>
  <c r="B222" i="6" s="1"/>
  <c r="E221" i="6" a="1"/>
  <c r="E221" i="6" s="1"/>
  <c r="D221" i="6" a="1"/>
  <c r="D221" i="6" s="1"/>
  <c r="C221" i="6" a="1"/>
  <c r="C221" i="6" s="1"/>
  <c r="B221" i="6" a="1"/>
  <c r="B221" i="6" s="1"/>
  <c r="E220" i="6" a="1"/>
  <c r="E220" i="6" s="1"/>
  <c r="D220" i="6" a="1"/>
  <c r="D220" i="6" s="1"/>
  <c r="C220" i="6" a="1"/>
  <c r="C220" i="6" s="1"/>
  <c r="B220" i="6" a="1"/>
  <c r="B220" i="6" s="1"/>
  <c r="E219" i="6" a="1"/>
  <c r="E219" i="6" s="1"/>
  <c r="D219" i="6" a="1"/>
  <c r="D219" i="6" s="1"/>
  <c r="C219" i="6" a="1"/>
  <c r="C219" i="6" s="1"/>
  <c r="B219" i="6" a="1"/>
  <c r="B219" i="6" s="1"/>
  <c r="E218" i="6" a="1"/>
  <c r="E218" i="6" s="1"/>
  <c r="D218" i="6" a="1"/>
  <c r="D218" i="6" s="1"/>
  <c r="C218" i="6" a="1"/>
  <c r="C218" i="6" s="1"/>
  <c r="B218" i="6" a="1"/>
  <c r="B218" i="6" s="1"/>
  <c r="E217" i="6" a="1"/>
  <c r="E217" i="6" s="1"/>
  <c r="D217" i="6" a="1"/>
  <c r="D217" i="6" s="1"/>
  <c r="C217" i="6" a="1"/>
  <c r="C217" i="6" s="1"/>
  <c r="B217" i="6" a="1"/>
  <c r="B217" i="6" s="1"/>
  <c r="E216" i="6" a="1"/>
  <c r="E216" i="6" s="1"/>
  <c r="D216" i="6" a="1"/>
  <c r="D216" i="6" s="1"/>
  <c r="C216" i="6" a="1"/>
  <c r="C216" i="6" s="1"/>
  <c r="B216" i="6" a="1"/>
  <c r="B216" i="6" s="1"/>
  <c r="E215" i="6" a="1"/>
  <c r="E215" i="6" s="1"/>
  <c r="D215" i="6" a="1"/>
  <c r="D215" i="6" s="1"/>
  <c r="C215" i="6" a="1"/>
  <c r="C215" i="6" s="1"/>
  <c r="B215" i="6" a="1"/>
  <c r="B215" i="6" s="1"/>
  <c r="E214" i="6" a="1"/>
  <c r="E214" i="6" s="1"/>
  <c r="D214" i="6" a="1"/>
  <c r="D214" i="6" s="1"/>
  <c r="C214" i="6" a="1"/>
  <c r="C214" i="6" s="1"/>
  <c r="B214" i="6" a="1"/>
  <c r="B214" i="6" s="1"/>
  <c r="E213" i="6" a="1"/>
  <c r="E213" i="6" s="1"/>
  <c r="D213" i="6" a="1"/>
  <c r="D213" i="6" s="1"/>
  <c r="C213" i="6" a="1"/>
  <c r="C213" i="6" s="1"/>
  <c r="B213" i="6" a="1"/>
  <c r="B213" i="6" s="1"/>
  <c r="E212" i="6" a="1"/>
  <c r="E212" i="6" s="1"/>
  <c r="D212" i="6" a="1"/>
  <c r="D212" i="6" s="1"/>
  <c r="C212" i="6" a="1"/>
  <c r="C212" i="6" s="1"/>
  <c r="B212" i="6" a="1"/>
  <c r="B212" i="6" s="1"/>
  <c r="E211" i="6" a="1"/>
  <c r="E211" i="6" s="1"/>
  <c r="D211" i="6" a="1"/>
  <c r="D211" i="6" s="1"/>
  <c r="C211" i="6" a="1"/>
  <c r="C211" i="6" s="1"/>
  <c r="B211" i="6" a="1"/>
  <c r="B211" i="6" s="1"/>
  <c r="E210" i="6" a="1"/>
  <c r="E210" i="6" s="1"/>
  <c r="D210" i="6" a="1"/>
  <c r="D210" i="6" s="1"/>
  <c r="C210" i="6" a="1"/>
  <c r="C210" i="6" s="1"/>
  <c r="B210" i="6" a="1"/>
  <c r="B210" i="6" s="1"/>
  <c r="E209" i="6" a="1"/>
  <c r="E209" i="6" s="1"/>
  <c r="D209" i="6" a="1"/>
  <c r="D209" i="6" s="1"/>
  <c r="C209" i="6" a="1"/>
  <c r="C209" i="6" s="1"/>
  <c r="B209" i="6" a="1"/>
  <c r="B209" i="6" s="1"/>
  <c r="E208" i="6" a="1"/>
  <c r="E208" i="6" s="1"/>
  <c r="D208" i="6" a="1"/>
  <c r="D208" i="6" s="1"/>
  <c r="C208" i="6" a="1"/>
  <c r="C208" i="6" s="1"/>
  <c r="B208" i="6" a="1"/>
  <c r="B208" i="6" s="1"/>
  <c r="E207" i="6" a="1"/>
  <c r="E207" i="6" s="1"/>
  <c r="D207" i="6" a="1"/>
  <c r="D207" i="6" s="1"/>
  <c r="C207" i="6" a="1"/>
  <c r="C207" i="6" s="1"/>
  <c r="B207" i="6" a="1"/>
  <c r="B207" i="6" s="1"/>
  <c r="E206" i="6" a="1"/>
  <c r="E206" i="6" s="1"/>
  <c r="D206" i="6" a="1"/>
  <c r="D206" i="6" s="1"/>
  <c r="C206" i="6" a="1"/>
  <c r="C206" i="6" s="1"/>
  <c r="B206" i="6" a="1"/>
  <c r="B206" i="6" s="1"/>
  <c r="E205" i="6" a="1"/>
  <c r="E205" i="6" s="1"/>
  <c r="D205" i="6" a="1"/>
  <c r="D205" i="6" s="1"/>
  <c r="C205" i="6" a="1"/>
  <c r="C205" i="6" s="1"/>
  <c r="B205" i="6" a="1"/>
  <c r="B205" i="6" s="1"/>
  <c r="E204" i="6" a="1"/>
  <c r="E204" i="6" s="1"/>
  <c r="D204" i="6" a="1"/>
  <c r="D204" i="6" s="1"/>
  <c r="C204" i="6" a="1"/>
  <c r="C204" i="6" s="1"/>
  <c r="B204" i="6" a="1"/>
  <c r="B204" i="6" s="1"/>
  <c r="E203" i="6" a="1"/>
  <c r="E203" i="6" s="1"/>
  <c r="D203" i="6" a="1"/>
  <c r="D203" i="6" s="1"/>
  <c r="C203" i="6" a="1"/>
  <c r="C203" i="6" s="1"/>
  <c r="B203" i="6" a="1"/>
  <c r="B203" i="6" s="1"/>
  <c r="E202" i="6" a="1"/>
  <c r="E202" i="6" s="1"/>
  <c r="D202" i="6" a="1"/>
  <c r="D202" i="6" s="1"/>
  <c r="C202" i="6" a="1"/>
  <c r="C202" i="6" s="1"/>
  <c r="B202" i="6" a="1"/>
  <c r="B202" i="6" s="1"/>
  <c r="E201" i="6" a="1"/>
  <c r="E201" i="6" s="1"/>
  <c r="D201" i="6" a="1"/>
  <c r="D201" i="6" s="1"/>
  <c r="C201" i="6" a="1"/>
  <c r="C201" i="6" s="1"/>
  <c r="B201" i="6" a="1"/>
  <c r="B201" i="6" s="1"/>
  <c r="E200" i="6" a="1"/>
  <c r="E200" i="6" s="1"/>
  <c r="D200" i="6" a="1"/>
  <c r="D200" i="6" s="1"/>
  <c r="C200" i="6" a="1"/>
  <c r="C200" i="6" s="1"/>
  <c r="B200" i="6" a="1"/>
  <c r="B200" i="6" s="1"/>
  <c r="E199" i="6" a="1"/>
  <c r="E199" i="6" s="1"/>
  <c r="D199" i="6" a="1"/>
  <c r="D199" i="6" s="1"/>
  <c r="C199" i="6" a="1"/>
  <c r="C199" i="6" s="1"/>
  <c r="B199" i="6" a="1"/>
  <c r="B199" i="6" s="1"/>
  <c r="E198" i="6" a="1"/>
  <c r="E198" i="6" s="1"/>
  <c r="D198" i="6" a="1"/>
  <c r="D198" i="6" s="1"/>
  <c r="C198" i="6" a="1"/>
  <c r="C198" i="6" s="1"/>
  <c r="B198" i="6" a="1"/>
  <c r="B198" i="6" s="1"/>
  <c r="E197" i="6" a="1"/>
  <c r="E197" i="6" s="1"/>
  <c r="D197" i="6" a="1"/>
  <c r="D197" i="6" s="1"/>
  <c r="C197" i="6" a="1"/>
  <c r="C197" i="6" s="1"/>
  <c r="B197" i="6" a="1"/>
  <c r="B197" i="6" s="1"/>
  <c r="E196" i="6" a="1"/>
  <c r="E196" i="6" s="1"/>
  <c r="D196" i="6" a="1"/>
  <c r="D196" i="6" s="1"/>
  <c r="C196" i="6" a="1"/>
  <c r="C196" i="6" s="1"/>
  <c r="B196" i="6" a="1"/>
  <c r="B196" i="6" s="1"/>
  <c r="E195" i="6" a="1"/>
  <c r="E195" i="6" s="1"/>
  <c r="D195" i="6" a="1"/>
  <c r="D195" i="6" s="1"/>
  <c r="C195" i="6" a="1"/>
  <c r="C195" i="6" s="1"/>
  <c r="B195" i="6" a="1"/>
  <c r="B195" i="6" s="1"/>
  <c r="E194" i="6" a="1"/>
  <c r="E194" i="6" s="1"/>
  <c r="D194" i="6" a="1"/>
  <c r="D194" i="6" s="1"/>
  <c r="C194" i="6" a="1"/>
  <c r="C194" i="6" s="1"/>
  <c r="B194" i="6" a="1"/>
  <c r="B194" i="6" s="1"/>
  <c r="E193" i="6" a="1"/>
  <c r="E193" i="6" s="1"/>
  <c r="D193" i="6" a="1"/>
  <c r="D193" i="6" s="1"/>
  <c r="C193" i="6" a="1"/>
  <c r="C193" i="6" s="1"/>
  <c r="B193" i="6" a="1"/>
  <c r="B193" i="6" s="1"/>
  <c r="E192" i="6" a="1"/>
  <c r="E192" i="6" s="1"/>
  <c r="D192" i="6" a="1"/>
  <c r="D192" i="6" s="1"/>
  <c r="C192" i="6" a="1"/>
  <c r="C192" i="6" s="1"/>
  <c r="B192" i="6" a="1"/>
  <c r="B192" i="6" s="1"/>
  <c r="E191" i="6" a="1"/>
  <c r="E191" i="6" s="1"/>
  <c r="D191" i="6" a="1"/>
  <c r="D191" i="6" s="1"/>
  <c r="C191" i="6" a="1"/>
  <c r="C191" i="6" s="1"/>
  <c r="B191" i="6" a="1"/>
  <c r="B191" i="6" s="1"/>
  <c r="E190" i="6" a="1"/>
  <c r="E190" i="6" s="1"/>
  <c r="D190" i="6" a="1"/>
  <c r="D190" i="6" s="1"/>
  <c r="C190" i="6" a="1"/>
  <c r="C190" i="6" s="1"/>
  <c r="B190" i="6" a="1"/>
  <c r="B190" i="6" s="1"/>
  <c r="E189" i="6" a="1"/>
  <c r="E189" i="6" s="1"/>
  <c r="D189" i="6" a="1"/>
  <c r="D189" i="6" s="1"/>
  <c r="C189" i="6" a="1"/>
  <c r="C189" i="6" s="1"/>
  <c r="B189" i="6" a="1"/>
  <c r="B189" i="6" s="1"/>
  <c r="E188" i="6" a="1"/>
  <c r="E188" i="6" s="1"/>
  <c r="D188" i="6" a="1"/>
  <c r="D188" i="6" s="1"/>
  <c r="C188" i="6" a="1"/>
  <c r="C188" i="6" s="1"/>
  <c r="B188" i="6" a="1"/>
  <c r="B188" i="6" s="1"/>
  <c r="E187" i="6" a="1"/>
  <c r="E187" i="6" s="1"/>
  <c r="D187" i="6" a="1"/>
  <c r="D187" i="6" s="1"/>
  <c r="C187" i="6" a="1"/>
  <c r="C187" i="6" s="1"/>
  <c r="B187" i="6" a="1"/>
  <c r="B187" i="6" s="1"/>
  <c r="E186" i="6" a="1"/>
  <c r="E186" i="6" s="1"/>
  <c r="D186" i="6" a="1"/>
  <c r="D186" i="6" s="1"/>
  <c r="C186" i="6" a="1"/>
  <c r="C186" i="6" s="1"/>
  <c r="B186" i="6" a="1"/>
  <c r="B186" i="6" s="1"/>
  <c r="E185" i="6" a="1"/>
  <c r="E185" i="6" s="1"/>
  <c r="D185" i="6" a="1"/>
  <c r="D185" i="6" s="1"/>
  <c r="C185" i="6" a="1"/>
  <c r="C185" i="6" s="1"/>
  <c r="B185" i="6" a="1"/>
  <c r="B185" i="6" s="1"/>
  <c r="E184" i="6" a="1"/>
  <c r="E184" i="6" s="1"/>
  <c r="D184" i="6" a="1"/>
  <c r="D184" i="6" s="1"/>
  <c r="C184" i="6" a="1"/>
  <c r="C184" i="6" s="1"/>
  <c r="B184" i="6" a="1"/>
  <c r="B184" i="6" s="1"/>
  <c r="E183" i="6" a="1"/>
  <c r="E183" i="6" s="1"/>
  <c r="D183" i="6" a="1"/>
  <c r="D183" i="6" s="1"/>
  <c r="C183" i="6" a="1"/>
  <c r="C183" i="6" s="1"/>
  <c r="B183" i="6" a="1"/>
  <c r="B183" i="6" s="1"/>
  <c r="E182" i="6" a="1"/>
  <c r="E182" i="6" s="1"/>
  <c r="D182" i="6" a="1"/>
  <c r="D182" i="6" s="1"/>
  <c r="C182" i="6" a="1"/>
  <c r="C182" i="6" s="1"/>
  <c r="B182" i="6" a="1"/>
  <c r="B182" i="6" s="1"/>
  <c r="E181" i="6" a="1"/>
  <c r="E181" i="6" s="1"/>
  <c r="D181" i="6" a="1"/>
  <c r="D181" i="6" s="1"/>
  <c r="C181" i="6" a="1"/>
  <c r="C181" i="6" s="1"/>
  <c r="B181" i="6" a="1"/>
  <c r="B181" i="6" s="1"/>
  <c r="E180" i="6" a="1"/>
  <c r="E180" i="6" s="1"/>
  <c r="D180" i="6" a="1"/>
  <c r="D180" i="6" s="1"/>
  <c r="C180" i="6" a="1"/>
  <c r="C180" i="6" s="1"/>
  <c r="B180" i="6" a="1"/>
  <c r="B180" i="6" s="1"/>
  <c r="E179" i="6" a="1"/>
  <c r="E179" i="6" s="1"/>
  <c r="D179" i="6" a="1"/>
  <c r="D179" i="6" s="1"/>
  <c r="C179" i="6" a="1"/>
  <c r="C179" i="6" s="1"/>
  <c r="B179" i="6" a="1"/>
  <c r="B179" i="6" s="1"/>
  <c r="E178" i="6" a="1"/>
  <c r="E178" i="6" s="1"/>
  <c r="D178" i="6" a="1"/>
  <c r="D178" i="6" s="1"/>
  <c r="C178" i="6" a="1"/>
  <c r="C178" i="6" s="1"/>
  <c r="B178" i="6" a="1"/>
  <c r="B178" i="6" s="1"/>
  <c r="E177" i="6" a="1"/>
  <c r="E177" i="6" s="1"/>
  <c r="D177" i="6" a="1"/>
  <c r="D177" i="6" s="1"/>
  <c r="C177" i="6" a="1"/>
  <c r="C177" i="6" s="1"/>
  <c r="B177" i="6" a="1"/>
  <c r="B177" i="6" s="1"/>
  <c r="E176" i="6" a="1"/>
  <c r="E176" i="6" s="1"/>
  <c r="D176" i="6" a="1"/>
  <c r="D176" i="6" s="1"/>
  <c r="C176" i="6" a="1"/>
  <c r="C176" i="6" s="1"/>
  <c r="B176" i="6" a="1"/>
  <c r="B176" i="6" s="1"/>
  <c r="E175" i="6" a="1"/>
  <c r="E175" i="6" s="1"/>
  <c r="D175" i="6" a="1"/>
  <c r="D175" i="6" s="1"/>
  <c r="C175" i="6" a="1"/>
  <c r="C175" i="6" s="1"/>
  <c r="B175" i="6" a="1"/>
  <c r="B175" i="6" s="1"/>
  <c r="E174" i="6" a="1"/>
  <c r="E174" i="6" s="1"/>
  <c r="D174" i="6" a="1"/>
  <c r="D174" i="6" s="1"/>
  <c r="C174" i="6" a="1"/>
  <c r="C174" i="6" s="1"/>
  <c r="B174" i="6" a="1"/>
  <c r="B174" i="6" s="1"/>
  <c r="E173" i="6" a="1"/>
  <c r="E173" i="6" s="1"/>
  <c r="D173" i="6" a="1"/>
  <c r="D173" i="6" s="1"/>
  <c r="C173" i="6" a="1"/>
  <c r="C173" i="6" s="1"/>
  <c r="B173" i="6" a="1"/>
  <c r="B173" i="6" s="1"/>
  <c r="E172" i="6" a="1"/>
  <c r="E172" i="6" s="1"/>
  <c r="D172" i="6" a="1"/>
  <c r="D172" i="6" s="1"/>
  <c r="C172" i="6" a="1"/>
  <c r="C172" i="6" s="1"/>
  <c r="B172" i="6" a="1"/>
  <c r="B172" i="6" s="1"/>
  <c r="E171" i="6" a="1"/>
  <c r="E171" i="6" s="1"/>
  <c r="D171" i="6" a="1"/>
  <c r="D171" i="6" s="1"/>
  <c r="C171" i="6" a="1"/>
  <c r="C171" i="6" s="1"/>
  <c r="B171" i="6" a="1"/>
  <c r="B171" i="6" s="1"/>
  <c r="E170" i="6" a="1"/>
  <c r="E170" i="6" s="1"/>
  <c r="D170" i="6" a="1"/>
  <c r="D170" i="6" s="1"/>
  <c r="C170" i="6" a="1"/>
  <c r="C170" i="6" s="1"/>
  <c r="B170" i="6" a="1"/>
  <c r="B170" i="6" s="1"/>
  <c r="E169" i="6" a="1"/>
  <c r="E169" i="6" s="1"/>
  <c r="D169" i="6" a="1"/>
  <c r="D169" i="6" s="1"/>
  <c r="C169" i="6" a="1"/>
  <c r="C169" i="6" s="1"/>
  <c r="B169" i="6" a="1"/>
  <c r="B169" i="6" s="1"/>
  <c r="E168" i="6" a="1"/>
  <c r="E168" i="6" s="1"/>
  <c r="D168" i="6" a="1"/>
  <c r="D168" i="6" s="1"/>
  <c r="C168" i="6" a="1"/>
  <c r="C168" i="6" s="1"/>
  <c r="B168" i="6" a="1"/>
  <c r="B168" i="6" s="1"/>
  <c r="E167" i="6" a="1"/>
  <c r="E167" i="6" s="1"/>
  <c r="D167" i="6" a="1"/>
  <c r="D167" i="6" s="1"/>
  <c r="C167" i="6" a="1"/>
  <c r="C167" i="6" s="1"/>
  <c r="B167" i="6" a="1"/>
  <c r="B167" i="6" s="1"/>
  <c r="E166" i="6" a="1"/>
  <c r="E166" i="6" s="1"/>
  <c r="D166" i="6" a="1"/>
  <c r="D166" i="6" s="1"/>
  <c r="C166" i="6" a="1"/>
  <c r="C166" i="6" s="1"/>
  <c r="B166" i="6" a="1"/>
  <c r="B166" i="6" s="1"/>
  <c r="E165" i="6" a="1"/>
  <c r="E165" i="6" s="1"/>
  <c r="D165" i="6" a="1"/>
  <c r="D165" i="6" s="1"/>
  <c r="C165" i="6" a="1"/>
  <c r="C165" i="6" s="1"/>
  <c r="B165" i="6" a="1"/>
  <c r="B165" i="6" s="1"/>
  <c r="E164" i="6" a="1"/>
  <c r="E164" i="6" s="1"/>
  <c r="D164" i="6" a="1"/>
  <c r="D164" i="6" s="1"/>
  <c r="C164" i="6" a="1"/>
  <c r="C164" i="6" s="1"/>
  <c r="B164" i="6" a="1"/>
  <c r="B164" i="6" s="1"/>
  <c r="E163" i="6" a="1"/>
  <c r="E163" i="6" s="1"/>
  <c r="D163" i="6" a="1"/>
  <c r="D163" i="6" s="1"/>
  <c r="C163" i="6" a="1"/>
  <c r="C163" i="6" s="1"/>
  <c r="B163" i="6" a="1"/>
  <c r="B163" i="6" s="1"/>
  <c r="E162" i="6" a="1"/>
  <c r="E162" i="6" s="1"/>
  <c r="D162" i="6" a="1"/>
  <c r="D162" i="6" s="1"/>
  <c r="C162" i="6" a="1"/>
  <c r="C162" i="6" s="1"/>
  <c r="B162" i="6" a="1"/>
  <c r="B162" i="6" s="1"/>
  <c r="E161" i="6" a="1"/>
  <c r="E161" i="6" s="1"/>
  <c r="D161" i="6" a="1"/>
  <c r="D161" i="6" s="1"/>
  <c r="C161" i="6" a="1"/>
  <c r="C161" i="6" s="1"/>
  <c r="B161" i="6" a="1"/>
  <c r="B161" i="6" s="1"/>
  <c r="E160" i="6" a="1"/>
  <c r="E160" i="6" s="1"/>
  <c r="D160" i="6" a="1"/>
  <c r="D160" i="6" s="1"/>
  <c r="C160" i="6" a="1"/>
  <c r="C160" i="6" s="1"/>
  <c r="B160" i="6" a="1"/>
  <c r="B160" i="6" s="1"/>
  <c r="E159" i="6" a="1"/>
  <c r="E159" i="6" s="1"/>
  <c r="D159" i="6" a="1"/>
  <c r="D159" i="6" s="1"/>
  <c r="C159" i="6" a="1"/>
  <c r="C159" i="6" s="1"/>
  <c r="B159" i="6" a="1"/>
  <c r="B159" i="6" s="1"/>
  <c r="E158" i="6" a="1"/>
  <c r="E158" i="6" s="1"/>
  <c r="D158" i="6" a="1"/>
  <c r="D158" i="6" s="1"/>
  <c r="C158" i="6" a="1"/>
  <c r="C158" i="6" s="1"/>
  <c r="B158" i="6" a="1"/>
  <c r="B158" i="6" s="1"/>
  <c r="E157" i="6" a="1"/>
  <c r="E157" i="6" s="1"/>
  <c r="D157" i="6" a="1"/>
  <c r="D157" i="6" s="1"/>
  <c r="C157" i="6" a="1"/>
  <c r="C157" i="6" s="1"/>
  <c r="B157" i="6" a="1"/>
  <c r="B157" i="6" s="1"/>
  <c r="E156" i="6" a="1"/>
  <c r="E156" i="6" s="1"/>
  <c r="D156" i="6" a="1"/>
  <c r="D156" i="6" s="1"/>
  <c r="C156" i="6" a="1"/>
  <c r="C156" i="6" s="1"/>
  <c r="B156" i="6" a="1"/>
  <c r="B156" i="6" s="1"/>
  <c r="E155" i="6" a="1"/>
  <c r="E155" i="6" s="1"/>
  <c r="D155" i="6" a="1"/>
  <c r="D155" i="6" s="1"/>
  <c r="C155" i="6" a="1"/>
  <c r="C155" i="6" s="1"/>
  <c r="B155" i="6" a="1"/>
  <c r="B155" i="6" s="1"/>
  <c r="E154" i="6" a="1"/>
  <c r="E154" i="6" s="1"/>
  <c r="D154" i="6" a="1"/>
  <c r="D154" i="6" s="1"/>
  <c r="C154" i="6" a="1"/>
  <c r="C154" i="6" s="1"/>
  <c r="B154" i="6" a="1"/>
  <c r="B154" i="6" s="1"/>
  <c r="E153" i="6" a="1"/>
  <c r="E153" i="6" s="1"/>
  <c r="D153" i="6" a="1"/>
  <c r="D153" i="6" s="1"/>
  <c r="C153" i="6" a="1"/>
  <c r="C153" i="6" s="1"/>
  <c r="B153" i="6" a="1"/>
  <c r="B153" i="6" s="1"/>
  <c r="E152" i="6" a="1"/>
  <c r="E152" i="6" s="1"/>
  <c r="D152" i="6" a="1"/>
  <c r="D152" i="6" s="1"/>
  <c r="C152" i="6" a="1"/>
  <c r="C152" i="6" s="1"/>
  <c r="B152" i="6" a="1"/>
  <c r="B152" i="6" s="1"/>
  <c r="E151" i="6" a="1"/>
  <c r="E151" i="6" s="1"/>
  <c r="D151" i="6" a="1"/>
  <c r="D151" i="6" s="1"/>
  <c r="C151" i="6" a="1"/>
  <c r="C151" i="6" s="1"/>
  <c r="B151" i="6" a="1"/>
  <c r="B151" i="6" s="1"/>
  <c r="E150" i="6" a="1"/>
  <c r="E150" i="6" s="1"/>
  <c r="D150" i="6" a="1"/>
  <c r="D150" i="6" s="1"/>
  <c r="C150" i="6" a="1"/>
  <c r="C150" i="6" s="1"/>
  <c r="B150" i="6" a="1"/>
  <c r="B150" i="6" s="1"/>
  <c r="E149" i="6" a="1"/>
  <c r="E149" i="6" s="1"/>
  <c r="D149" i="6" a="1"/>
  <c r="D149" i="6" s="1"/>
  <c r="C149" i="6" a="1"/>
  <c r="C149" i="6" s="1"/>
  <c r="B149" i="6" a="1"/>
  <c r="B149" i="6" s="1"/>
  <c r="E148" i="6" a="1"/>
  <c r="E148" i="6" s="1"/>
  <c r="D148" i="6" a="1"/>
  <c r="D148" i="6" s="1"/>
  <c r="C148" i="6" a="1"/>
  <c r="C148" i="6" s="1"/>
  <c r="B148" i="6" a="1"/>
  <c r="B148" i="6" s="1"/>
  <c r="E147" i="6" a="1"/>
  <c r="E147" i="6" s="1"/>
  <c r="D147" i="6" a="1"/>
  <c r="D147" i="6" s="1"/>
  <c r="C147" i="6" a="1"/>
  <c r="C147" i="6" s="1"/>
  <c r="B147" i="6" a="1"/>
  <c r="B147" i="6" s="1"/>
  <c r="E146" i="6" a="1"/>
  <c r="E146" i="6" s="1"/>
  <c r="D146" i="6" a="1"/>
  <c r="D146" i="6" s="1"/>
  <c r="C146" i="6" a="1"/>
  <c r="C146" i="6" s="1"/>
  <c r="B146" i="6" a="1"/>
  <c r="B146" i="6" s="1"/>
  <c r="E145" i="6" a="1"/>
  <c r="E145" i="6" s="1"/>
  <c r="D145" i="6" a="1"/>
  <c r="D145" i="6" s="1"/>
  <c r="C145" i="6" a="1"/>
  <c r="C145" i="6" s="1"/>
  <c r="B145" i="6" a="1"/>
  <c r="B145" i="6" s="1"/>
  <c r="E144" i="6" a="1"/>
  <c r="E144" i="6" s="1"/>
  <c r="D144" i="6" a="1"/>
  <c r="D144" i="6" s="1"/>
  <c r="C144" i="6" a="1"/>
  <c r="C144" i="6" s="1"/>
  <c r="B144" i="6" a="1"/>
  <c r="B144" i="6" s="1"/>
  <c r="E143" i="6" a="1"/>
  <c r="E143" i="6" s="1"/>
  <c r="D143" i="6" a="1"/>
  <c r="D143" i="6" s="1"/>
  <c r="C143" i="6" a="1"/>
  <c r="C143" i="6" s="1"/>
  <c r="B143" i="6" a="1"/>
  <c r="B143" i="6" s="1"/>
  <c r="E142" i="6" a="1"/>
  <c r="E142" i="6" s="1"/>
  <c r="D142" i="6" a="1"/>
  <c r="D142" i="6" s="1"/>
  <c r="C142" i="6" a="1"/>
  <c r="C142" i="6" s="1"/>
  <c r="B142" i="6" a="1"/>
  <c r="B142" i="6" s="1"/>
  <c r="E141" i="6" a="1"/>
  <c r="E141" i="6" s="1"/>
  <c r="D141" i="6" a="1"/>
  <c r="D141" i="6" s="1"/>
  <c r="C141" i="6" a="1"/>
  <c r="C141" i="6" s="1"/>
  <c r="B141" i="6" a="1"/>
  <c r="B141" i="6" s="1"/>
  <c r="E140" i="6" a="1"/>
  <c r="E140" i="6" s="1"/>
  <c r="D140" i="6" a="1"/>
  <c r="D140" i="6" s="1"/>
  <c r="C140" i="6" a="1"/>
  <c r="C140" i="6" s="1"/>
  <c r="B140" i="6" a="1"/>
  <c r="B140" i="6" s="1"/>
  <c r="E139" i="6" a="1"/>
  <c r="E139" i="6" s="1"/>
  <c r="D139" i="6" a="1"/>
  <c r="D139" i="6" s="1"/>
  <c r="C139" i="6" a="1"/>
  <c r="C139" i="6" s="1"/>
  <c r="B139" i="6" a="1"/>
  <c r="B139" i="6" s="1"/>
  <c r="E138" i="6" a="1"/>
  <c r="E138" i="6" s="1"/>
  <c r="D138" i="6" a="1"/>
  <c r="D138" i="6" s="1"/>
  <c r="C138" i="6" a="1"/>
  <c r="C138" i="6" s="1"/>
  <c r="B138" i="6" a="1"/>
  <c r="B138" i="6" s="1"/>
  <c r="E137" i="6" a="1"/>
  <c r="E137" i="6" s="1"/>
  <c r="D137" i="6" a="1"/>
  <c r="D137" i="6" s="1"/>
  <c r="C137" i="6" a="1"/>
  <c r="C137" i="6" s="1"/>
  <c r="B137" i="6" a="1"/>
  <c r="B137" i="6" s="1"/>
  <c r="E136" i="6" a="1"/>
  <c r="E136" i="6" s="1"/>
  <c r="D136" i="6" a="1"/>
  <c r="D136" i="6" s="1"/>
  <c r="C136" i="6" a="1"/>
  <c r="C136" i="6" s="1"/>
  <c r="B136" i="6" a="1"/>
  <c r="B136" i="6" s="1"/>
  <c r="E135" i="6" a="1"/>
  <c r="E135" i="6" s="1"/>
  <c r="D135" i="6" a="1"/>
  <c r="D135" i="6" s="1"/>
  <c r="C135" i="6" a="1"/>
  <c r="C135" i="6" s="1"/>
  <c r="B135" i="6" a="1"/>
  <c r="B135" i="6" s="1"/>
  <c r="E134" i="6" a="1"/>
  <c r="E134" i="6" s="1"/>
  <c r="D134" i="6" a="1"/>
  <c r="D134" i="6" s="1"/>
  <c r="C134" i="6" a="1"/>
  <c r="C134" i="6" s="1"/>
  <c r="B134" i="6" a="1"/>
  <c r="B134" i="6" s="1"/>
  <c r="E133" i="6" a="1"/>
  <c r="E133" i="6" s="1"/>
  <c r="D133" i="6" a="1"/>
  <c r="D133" i="6" s="1"/>
  <c r="C133" i="6" a="1"/>
  <c r="C133" i="6" s="1"/>
  <c r="B133" i="6" a="1"/>
  <c r="B133" i="6" s="1"/>
  <c r="E132" i="6" a="1"/>
  <c r="E132" i="6" s="1"/>
  <c r="D132" i="6" a="1"/>
  <c r="D132" i="6" s="1"/>
  <c r="C132" i="6" a="1"/>
  <c r="C132" i="6" s="1"/>
  <c r="B132" i="6" a="1"/>
  <c r="B132" i="6" s="1"/>
  <c r="E131" i="6" a="1"/>
  <c r="E131" i="6" s="1"/>
  <c r="D131" i="6" a="1"/>
  <c r="D131" i="6" s="1"/>
  <c r="C131" i="6" a="1"/>
  <c r="C131" i="6" s="1"/>
  <c r="B131" i="6" a="1"/>
  <c r="B131" i="6" s="1"/>
  <c r="E130" i="6" a="1"/>
  <c r="E130" i="6" s="1"/>
  <c r="D130" i="6" a="1"/>
  <c r="D130" i="6" s="1"/>
  <c r="C130" i="6" a="1"/>
  <c r="C130" i="6" s="1"/>
  <c r="B130" i="6" a="1"/>
  <c r="B130" i="6" s="1"/>
  <c r="E129" i="6" a="1"/>
  <c r="E129" i="6" s="1"/>
  <c r="D129" i="6" a="1"/>
  <c r="D129" i="6" s="1"/>
  <c r="C129" i="6" a="1"/>
  <c r="C129" i="6" s="1"/>
  <c r="B129" i="6" a="1"/>
  <c r="B129" i="6" s="1"/>
  <c r="E128" i="6" a="1"/>
  <c r="E128" i="6" s="1"/>
  <c r="D128" i="6" a="1"/>
  <c r="D128" i="6" s="1"/>
  <c r="C128" i="6" a="1"/>
  <c r="C128" i="6" s="1"/>
  <c r="B128" i="6" a="1"/>
  <c r="B128" i="6" s="1"/>
  <c r="E127" i="6" a="1"/>
  <c r="E127" i="6" s="1"/>
  <c r="D127" i="6" a="1"/>
  <c r="D127" i="6" s="1"/>
  <c r="C127" i="6" a="1"/>
  <c r="C127" i="6" s="1"/>
  <c r="B127" i="6" a="1"/>
  <c r="B127" i="6" s="1"/>
  <c r="E126" i="6" a="1"/>
  <c r="E126" i="6" s="1"/>
  <c r="D126" i="6" a="1"/>
  <c r="D126" i="6" s="1"/>
  <c r="C126" i="6" a="1"/>
  <c r="C126" i="6" s="1"/>
  <c r="B126" i="6" a="1"/>
  <c r="B126" i="6" s="1"/>
  <c r="E125" i="6" a="1"/>
  <c r="E125" i="6" s="1"/>
  <c r="D125" i="6" a="1"/>
  <c r="D125" i="6" s="1"/>
  <c r="C125" i="6" a="1"/>
  <c r="C125" i="6" s="1"/>
  <c r="B125" i="6" a="1"/>
  <c r="B125" i="6" s="1"/>
  <c r="E124" i="6" a="1"/>
  <c r="E124" i="6" s="1"/>
  <c r="D124" i="6" a="1"/>
  <c r="D124" i="6" s="1"/>
  <c r="C124" i="6" a="1"/>
  <c r="C124" i="6" s="1"/>
  <c r="B124" i="6" a="1"/>
  <c r="B124" i="6" s="1"/>
  <c r="E123" i="6" a="1"/>
  <c r="E123" i="6" s="1"/>
  <c r="D123" i="6" a="1"/>
  <c r="D123" i="6" s="1"/>
  <c r="C123" i="6" a="1"/>
  <c r="C123" i="6" s="1"/>
  <c r="B123" i="6" a="1"/>
  <c r="B123" i="6" s="1"/>
  <c r="E122" i="6" a="1"/>
  <c r="E122" i="6" s="1"/>
  <c r="D122" i="6" a="1"/>
  <c r="D122" i="6" s="1"/>
  <c r="C122" i="6" a="1"/>
  <c r="C122" i="6" s="1"/>
  <c r="B122" i="6" a="1"/>
  <c r="B122" i="6" s="1"/>
  <c r="E121" i="6" a="1"/>
  <c r="E121" i="6" s="1"/>
  <c r="D121" i="6" a="1"/>
  <c r="D121" i="6" s="1"/>
  <c r="C121" i="6" a="1"/>
  <c r="C121" i="6" s="1"/>
  <c r="B121" i="6" a="1"/>
  <c r="B121" i="6" s="1"/>
  <c r="E120" i="6" a="1"/>
  <c r="E120" i="6" s="1"/>
  <c r="D120" i="6" a="1"/>
  <c r="D120" i="6" s="1"/>
  <c r="C120" i="6" a="1"/>
  <c r="C120" i="6" s="1"/>
  <c r="B120" i="6" a="1"/>
  <c r="B120" i="6" s="1"/>
  <c r="E119" i="6" a="1"/>
  <c r="E119" i="6" s="1"/>
  <c r="D119" i="6" a="1"/>
  <c r="D119" i="6" s="1"/>
  <c r="C119" i="6" a="1"/>
  <c r="C119" i="6" s="1"/>
  <c r="B119" i="6" a="1"/>
  <c r="B119" i="6" s="1"/>
  <c r="E118" i="6" a="1"/>
  <c r="E118" i="6" s="1"/>
  <c r="D118" i="6" a="1"/>
  <c r="D118" i="6" s="1"/>
  <c r="C118" i="6" a="1"/>
  <c r="C118" i="6" s="1"/>
  <c r="B118" i="6" a="1"/>
  <c r="B118" i="6" s="1"/>
  <c r="E117" i="6" a="1"/>
  <c r="E117" i="6" s="1"/>
  <c r="D117" i="6" a="1"/>
  <c r="D117" i="6" s="1"/>
  <c r="C117" i="6" a="1"/>
  <c r="C117" i="6" s="1"/>
  <c r="B117" i="6" a="1"/>
  <c r="B117" i="6" s="1"/>
  <c r="E116" i="6" a="1"/>
  <c r="E116" i="6" s="1"/>
  <c r="D116" i="6" a="1"/>
  <c r="D116" i="6" s="1"/>
  <c r="C116" i="6" a="1"/>
  <c r="C116" i="6" s="1"/>
  <c r="B116" i="6" a="1"/>
  <c r="B116" i="6" s="1"/>
  <c r="E115" i="6" a="1"/>
  <c r="E115" i="6" s="1"/>
  <c r="D115" i="6" a="1"/>
  <c r="D115" i="6" s="1"/>
  <c r="C115" i="6" a="1"/>
  <c r="C115" i="6" s="1"/>
  <c r="B115" i="6" a="1"/>
  <c r="B115" i="6" s="1"/>
  <c r="E114" i="6" a="1"/>
  <c r="E114" i="6" s="1"/>
  <c r="D114" i="6" a="1"/>
  <c r="D114" i="6" s="1"/>
  <c r="C114" i="6" a="1"/>
  <c r="C114" i="6" s="1"/>
  <c r="B114" i="6" a="1"/>
  <c r="B114" i="6" s="1"/>
  <c r="E113" i="6" a="1"/>
  <c r="E113" i="6" s="1"/>
  <c r="D113" i="6" a="1"/>
  <c r="D113" i="6" s="1"/>
  <c r="C113" i="6" a="1"/>
  <c r="C113" i="6" s="1"/>
  <c r="B113" i="6" a="1"/>
  <c r="B113" i="6" s="1"/>
  <c r="E112" i="6" a="1"/>
  <c r="E112" i="6" s="1"/>
  <c r="D112" i="6" a="1"/>
  <c r="D112" i="6" s="1"/>
  <c r="C112" i="6" a="1"/>
  <c r="C112" i="6" s="1"/>
  <c r="B112" i="6" a="1"/>
  <c r="B112" i="6" s="1"/>
  <c r="E111" i="6" a="1"/>
  <c r="E111" i="6" s="1"/>
  <c r="D111" i="6" a="1"/>
  <c r="D111" i="6" s="1"/>
  <c r="C111" i="6" a="1"/>
  <c r="C111" i="6" s="1"/>
  <c r="B111" i="6" a="1"/>
  <c r="B111" i="6" s="1"/>
  <c r="E110" i="6" a="1"/>
  <c r="E110" i="6" s="1"/>
  <c r="D110" i="6" a="1"/>
  <c r="D110" i="6" s="1"/>
  <c r="C110" i="6" a="1"/>
  <c r="C110" i="6" s="1"/>
  <c r="B110" i="6" a="1"/>
  <c r="B110" i="6" s="1"/>
  <c r="E109" i="6" a="1"/>
  <c r="E109" i="6" s="1"/>
  <c r="D109" i="6" a="1"/>
  <c r="D109" i="6" s="1"/>
  <c r="C109" i="6" a="1"/>
  <c r="C109" i="6" s="1"/>
  <c r="B109" i="6" a="1"/>
  <c r="B109" i="6" s="1"/>
  <c r="E108" i="6" a="1"/>
  <c r="E108" i="6" s="1"/>
  <c r="D108" i="6" a="1"/>
  <c r="D108" i="6" s="1"/>
  <c r="C108" i="6" a="1"/>
  <c r="C108" i="6" s="1"/>
  <c r="B108" i="6" a="1"/>
  <c r="B108" i="6" s="1"/>
  <c r="E107" i="6" a="1"/>
  <c r="E107" i="6" s="1"/>
  <c r="D107" i="6" a="1"/>
  <c r="D107" i="6" s="1"/>
  <c r="C107" i="6" a="1"/>
  <c r="C107" i="6" s="1"/>
  <c r="B107" i="6" a="1"/>
  <c r="B107" i="6" s="1"/>
  <c r="E106" i="6" a="1"/>
  <c r="E106" i="6" s="1"/>
  <c r="D106" i="6" a="1"/>
  <c r="D106" i="6" s="1"/>
  <c r="C106" i="6" a="1"/>
  <c r="C106" i="6" s="1"/>
  <c r="B106" i="6" a="1"/>
  <c r="B106" i="6" s="1"/>
  <c r="E105" i="6" a="1"/>
  <c r="E105" i="6" s="1"/>
  <c r="D105" i="6" a="1"/>
  <c r="D105" i="6" s="1"/>
  <c r="C105" i="6" a="1"/>
  <c r="C105" i="6" s="1"/>
  <c r="B105" i="6" a="1"/>
  <c r="B105" i="6" s="1"/>
  <c r="E104" i="6" a="1"/>
  <c r="E104" i="6" s="1"/>
  <c r="D104" i="6" a="1"/>
  <c r="D104" i="6" s="1"/>
  <c r="C104" i="6" a="1"/>
  <c r="C104" i="6" s="1"/>
  <c r="B104" i="6" a="1"/>
  <c r="B104" i="6" s="1"/>
  <c r="E103" i="6" a="1"/>
  <c r="E103" i="6" s="1"/>
  <c r="D103" i="6" a="1"/>
  <c r="D103" i="6" s="1"/>
  <c r="C103" i="6" a="1"/>
  <c r="C103" i="6" s="1"/>
  <c r="B103" i="6" a="1"/>
  <c r="B103" i="6" s="1"/>
  <c r="E102" i="6" a="1"/>
  <c r="E102" i="6" s="1"/>
  <c r="D102" i="6" a="1"/>
  <c r="D102" i="6" s="1"/>
  <c r="C102" i="6" a="1"/>
  <c r="C102" i="6" s="1"/>
  <c r="B102" i="6" a="1"/>
  <c r="B102" i="6" s="1"/>
  <c r="E101" i="6" a="1"/>
  <c r="E101" i="6" s="1"/>
  <c r="D101" i="6" a="1"/>
  <c r="D101" i="6" s="1"/>
  <c r="C101" i="6" a="1"/>
  <c r="C101" i="6" s="1"/>
  <c r="B101" i="6" a="1"/>
  <c r="B101" i="6" s="1"/>
  <c r="E100" i="6" a="1"/>
  <c r="E100" i="6" s="1"/>
  <c r="D100" i="6" a="1"/>
  <c r="D100" i="6" s="1"/>
  <c r="C100" i="6" a="1"/>
  <c r="C100" i="6" s="1"/>
  <c r="B100" i="6" a="1"/>
  <c r="B100" i="6" s="1"/>
  <c r="E99" i="6" a="1"/>
  <c r="E99" i="6" s="1"/>
  <c r="D99" i="6" a="1"/>
  <c r="D99" i="6" s="1"/>
  <c r="C99" i="6" a="1"/>
  <c r="C99" i="6" s="1"/>
  <c r="B99" i="6" a="1"/>
  <c r="B99" i="6" s="1"/>
  <c r="E98" i="6" a="1"/>
  <c r="E98" i="6" s="1"/>
  <c r="D98" i="6" a="1"/>
  <c r="D98" i="6" s="1"/>
  <c r="C98" i="6" a="1"/>
  <c r="C98" i="6" s="1"/>
  <c r="B98" i="6" a="1"/>
  <c r="B98" i="6" s="1"/>
  <c r="E97" i="6" a="1"/>
  <c r="E97" i="6" s="1"/>
  <c r="D97" i="6" a="1"/>
  <c r="D97" i="6" s="1"/>
  <c r="C97" i="6" a="1"/>
  <c r="C97" i="6" s="1"/>
  <c r="B97" i="6" a="1"/>
  <c r="B97" i="6" s="1"/>
  <c r="E96" i="6" a="1"/>
  <c r="E96" i="6" s="1"/>
  <c r="D96" i="6" a="1"/>
  <c r="D96" i="6" s="1"/>
  <c r="C96" i="6" a="1"/>
  <c r="C96" i="6" s="1"/>
  <c r="B96" i="6" a="1"/>
  <c r="B96" i="6" s="1"/>
  <c r="E95" i="6" a="1"/>
  <c r="E95" i="6" s="1"/>
  <c r="D95" i="6" a="1"/>
  <c r="D95" i="6" s="1"/>
  <c r="C95" i="6" a="1"/>
  <c r="C95" i="6" s="1"/>
  <c r="B95" i="6" a="1"/>
  <c r="B95" i="6" s="1"/>
  <c r="E94" i="6" a="1"/>
  <c r="E94" i="6" s="1"/>
  <c r="D94" i="6" a="1"/>
  <c r="D94" i="6" s="1"/>
  <c r="C94" i="6" a="1"/>
  <c r="C94" i="6" s="1"/>
  <c r="B94" i="6" a="1"/>
  <c r="B94" i="6" s="1"/>
  <c r="E93" i="6" a="1"/>
  <c r="E93" i="6" s="1"/>
  <c r="D93" i="6" a="1"/>
  <c r="D93" i="6" s="1"/>
  <c r="C93" i="6" a="1"/>
  <c r="C93" i="6" s="1"/>
  <c r="B93" i="6" a="1"/>
  <c r="B93" i="6" s="1"/>
  <c r="E92" i="6" a="1"/>
  <c r="E92" i="6" s="1"/>
  <c r="D92" i="6" a="1"/>
  <c r="D92" i="6" s="1"/>
  <c r="C92" i="6" a="1"/>
  <c r="C92" i="6" s="1"/>
  <c r="B92" i="6" a="1"/>
  <c r="B92" i="6" s="1"/>
  <c r="E91" i="6" a="1"/>
  <c r="E91" i="6" s="1"/>
  <c r="D91" i="6" a="1"/>
  <c r="D91" i="6" s="1"/>
  <c r="C91" i="6" a="1"/>
  <c r="C91" i="6" s="1"/>
  <c r="B91" i="6" a="1"/>
  <c r="B91" i="6" s="1"/>
  <c r="E90" i="6" a="1"/>
  <c r="E90" i="6" s="1"/>
  <c r="D90" i="6" a="1"/>
  <c r="D90" i="6" s="1"/>
  <c r="C90" i="6" a="1"/>
  <c r="C90" i="6" s="1"/>
  <c r="B90" i="6" a="1"/>
  <c r="B90" i="6" s="1"/>
  <c r="E89" i="6" a="1"/>
  <c r="E89" i="6" s="1"/>
  <c r="D89" i="6" a="1"/>
  <c r="D89" i="6" s="1"/>
  <c r="C89" i="6" a="1"/>
  <c r="C89" i="6" s="1"/>
  <c r="B89" i="6" a="1"/>
  <c r="B89" i="6" s="1"/>
  <c r="E88" i="6" a="1"/>
  <c r="E88" i="6" s="1"/>
  <c r="D88" i="6" a="1"/>
  <c r="D88" i="6" s="1"/>
  <c r="C88" i="6" a="1"/>
  <c r="C88" i="6" s="1"/>
  <c r="B88" i="6" a="1"/>
  <c r="B88" i="6" s="1"/>
  <c r="E87" i="6" a="1"/>
  <c r="E87" i="6" s="1"/>
  <c r="D87" i="6" a="1"/>
  <c r="D87" i="6" s="1"/>
  <c r="C87" i="6" a="1"/>
  <c r="C87" i="6" s="1"/>
  <c r="B87" i="6" a="1"/>
  <c r="B87" i="6" s="1"/>
  <c r="E86" i="6" a="1"/>
  <c r="E86" i="6" s="1"/>
  <c r="D86" i="6" a="1"/>
  <c r="D86" i="6" s="1"/>
  <c r="C86" i="6" a="1"/>
  <c r="C86" i="6" s="1"/>
  <c r="B86" i="6" a="1"/>
  <c r="B86" i="6" s="1"/>
  <c r="E85" i="6" a="1"/>
  <c r="E85" i="6" s="1"/>
  <c r="D85" i="6" a="1"/>
  <c r="D85" i="6" s="1"/>
  <c r="C85" i="6" a="1"/>
  <c r="C85" i="6" s="1"/>
  <c r="B85" i="6" a="1"/>
  <c r="B85" i="6" s="1"/>
  <c r="E84" i="6" a="1"/>
  <c r="E84" i="6" s="1"/>
  <c r="D84" i="6" a="1"/>
  <c r="D84" i="6" s="1"/>
  <c r="C84" i="6" a="1"/>
  <c r="C84" i="6" s="1"/>
  <c r="B84" i="6" a="1"/>
  <c r="B84" i="6" s="1"/>
  <c r="E83" i="6" a="1"/>
  <c r="E83" i="6" s="1"/>
  <c r="D83" i="6" a="1"/>
  <c r="D83" i="6" s="1"/>
  <c r="C83" i="6" a="1"/>
  <c r="C83" i="6" s="1"/>
  <c r="B83" i="6" a="1"/>
  <c r="B83" i="6" s="1"/>
  <c r="E82" i="6" a="1"/>
  <c r="E82" i="6" s="1"/>
  <c r="D82" i="6" a="1"/>
  <c r="D82" i="6" s="1"/>
  <c r="C82" i="6" a="1"/>
  <c r="C82" i="6" s="1"/>
  <c r="B82" i="6" a="1"/>
  <c r="B82" i="6" s="1"/>
  <c r="E81" i="6" a="1"/>
  <c r="E81" i="6" s="1"/>
  <c r="D81" i="6" a="1"/>
  <c r="D81" i="6" s="1"/>
  <c r="C81" i="6" a="1"/>
  <c r="C81" i="6" s="1"/>
  <c r="B81" i="6" a="1"/>
  <c r="B81" i="6" s="1"/>
  <c r="E80" i="6" a="1"/>
  <c r="E80" i="6" s="1"/>
  <c r="D80" i="6" a="1"/>
  <c r="D80" i="6" s="1"/>
  <c r="C80" i="6" a="1"/>
  <c r="C80" i="6" s="1"/>
  <c r="B80" i="6" a="1"/>
  <c r="B80" i="6" s="1"/>
  <c r="E79" i="6" a="1"/>
  <c r="E79" i="6" s="1"/>
  <c r="D79" i="6" a="1"/>
  <c r="D79" i="6" s="1"/>
  <c r="C79" i="6" a="1"/>
  <c r="C79" i="6" s="1"/>
  <c r="B79" i="6" a="1"/>
  <c r="B79" i="6" s="1"/>
  <c r="E78" i="6" a="1"/>
  <c r="E78" i="6" s="1"/>
  <c r="D78" i="6" a="1"/>
  <c r="D78" i="6" s="1"/>
  <c r="C78" i="6" a="1"/>
  <c r="C78" i="6" s="1"/>
  <c r="B78" i="6" a="1"/>
  <c r="B78" i="6" s="1"/>
  <c r="E77" i="6" a="1"/>
  <c r="E77" i="6" s="1"/>
  <c r="D77" i="6" a="1"/>
  <c r="D77" i="6" s="1"/>
  <c r="C77" i="6" a="1"/>
  <c r="C77" i="6" s="1"/>
  <c r="B77" i="6" a="1"/>
  <c r="B77" i="6" s="1"/>
  <c r="E76" i="6" a="1"/>
  <c r="E76" i="6" s="1"/>
  <c r="D76" i="6" a="1"/>
  <c r="D76" i="6" s="1"/>
  <c r="C76" i="6" a="1"/>
  <c r="C76" i="6" s="1"/>
  <c r="B76" i="6" a="1"/>
  <c r="B76" i="6" s="1"/>
  <c r="E75" i="6" a="1"/>
  <c r="E75" i="6" s="1"/>
  <c r="D75" i="6" a="1"/>
  <c r="D75" i="6" s="1"/>
  <c r="C75" i="6" a="1"/>
  <c r="C75" i="6" s="1"/>
  <c r="B75" i="6" a="1"/>
  <c r="B75" i="6" s="1"/>
  <c r="E74" i="6" a="1"/>
  <c r="E74" i="6" s="1"/>
  <c r="D74" i="6" a="1"/>
  <c r="D74" i="6" s="1"/>
  <c r="C74" i="6" a="1"/>
  <c r="C74" i="6" s="1"/>
  <c r="B74" i="6" a="1"/>
  <c r="B74" i="6" s="1"/>
  <c r="E73" i="6" a="1"/>
  <c r="E73" i="6" s="1"/>
  <c r="D73" i="6" a="1"/>
  <c r="D73" i="6" s="1"/>
  <c r="C73" i="6" a="1"/>
  <c r="C73" i="6" s="1"/>
  <c r="B73" i="6" a="1"/>
  <c r="B73" i="6" s="1"/>
  <c r="E72" i="6" a="1"/>
  <c r="E72" i="6" s="1"/>
  <c r="D72" i="6" a="1"/>
  <c r="D72" i="6" s="1"/>
  <c r="C72" i="6" a="1"/>
  <c r="C72" i="6" s="1"/>
  <c r="B72" i="6" a="1"/>
  <c r="B72" i="6" s="1"/>
  <c r="E71" i="6" a="1"/>
  <c r="E71" i="6" s="1"/>
  <c r="D71" i="6" a="1"/>
  <c r="D71" i="6" s="1"/>
  <c r="C71" i="6" a="1"/>
  <c r="C71" i="6" s="1"/>
  <c r="B71" i="6" a="1"/>
  <c r="B71" i="6" s="1"/>
  <c r="E70" i="6" a="1"/>
  <c r="E70" i="6" s="1"/>
  <c r="D70" i="6" a="1"/>
  <c r="D70" i="6" s="1"/>
  <c r="C70" i="6" a="1"/>
  <c r="C70" i="6" s="1"/>
  <c r="B70" i="6" a="1"/>
  <c r="B70" i="6" s="1"/>
  <c r="E69" i="6" a="1"/>
  <c r="E69" i="6" s="1"/>
  <c r="D69" i="6" a="1"/>
  <c r="D69" i="6" s="1"/>
  <c r="C69" i="6" a="1"/>
  <c r="C69" i="6" s="1"/>
  <c r="B69" i="6" a="1"/>
  <c r="B69" i="6" s="1"/>
  <c r="E68" i="6" a="1"/>
  <c r="E68" i="6" s="1"/>
  <c r="D68" i="6" a="1"/>
  <c r="D68" i="6" s="1"/>
  <c r="C68" i="6" a="1"/>
  <c r="C68" i="6" s="1"/>
  <c r="B68" i="6" a="1"/>
  <c r="B68" i="6" s="1"/>
  <c r="E67" i="6" a="1"/>
  <c r="E67" i="6" s="1"/>
  <c r="D67" i="6" a="1"/>
  <c r="D67" i="6" s="1"/>
  <c r="C67" i="6" a="1"/>
  <c r="C67" i="6" s="1"/>
  <c r="B67" i="6" a="1"/>
  <c r="B67" i="6" s="1"/>
  <c r="E66" i="6" a="1"/>
  <c r="E66" i="6" s="1"/>
  <c r="D66" i="6" a="1"/>
  <c r="D66" i="6" s="1"/>
  <c r="C66" i="6" a="1"/>
  <c r="C66" i="6" s="1"/>
  <c r="B66" i="6" a="1"/>
  <c r="B66" i="6" s="1"/>
  <c r="E65" i="6" a="1"/>
  <c r="E65" i="6" s="1"/>
  <c r="D65" i="6" a="1"/>
  <c r="D65" i="6" s="1"/>
  <c r="C65" i="6" a="1"/>
  <c r="C65" i="6" s="1"/>
  <c r="B65" i="6" a="1"/>
  <c r="B65" i="6" s="1"/>
  <c r="E64" i="6" a="1"/>
  <c r="E64" i="6" s="1"/>
  <c r="D64" i="6" a="1"/>
  <c r="D64" i="6" s="1"/>
  <c r="C64" i="6" a="1"/>
  <c r="C64" i="6" s="1"/>
  <c r="B64" i="6" a="1"/>
  <c r="B64" i="6" s="1"/>
  <c r="E63" i="6" a="1"/>
  <c r="E63" i="6" s="1"/>
  <c r="D63" i="6" a="1"/>
  <c r="D63" i="6" s="1"/>
  <c r="C63" i="6" a="1"/>
  <c r="C63" i="6" s="1"/>
  <c r="B63" i="6" a="1"/>
  <c r="B63" i="6" s="1"/>
  <c r="E62" i="6" a="1"/>
  <c r="E62" i="6" s="1"/>
  <c r="D62" i="6" a="1"/>
  <c r="D62" i="6" s="1"/>
  <c r="C62" i="6" a="1"/>
  <c r="C62" i="6" s="1"/>
  <c r="B62" i="6" a="1"/>
  <c r="B62" i="6" s="1"/>
  <c r="E61" i="6" a="1"/>
  <c r="E61" i="6" s="1"/>
  <c r="D61" i="6" a="1"/>
  <c r="D61" i="6" s="1"/>
  <c r="C61" i="6" a="1"/>
  <c r="C61" i="6" s="1"/>
  <c r="B61" i="6" a="1"/>
  <c r="B61" i="6" s="1"/>
  <c r="E60" i="6" a="1"/>
  <c r="E60" i="6" s="1"/>
  <c r="D60" i="6" a="1"/>
  <c r="D60" i="6" s="1"/>
  <c r="C60" i="6" a="1"/>
  <c r="C60" i="6" s="1"/>
  <c r="B60" i="6" a="1"/>
  <c r="B60" i="6" s="1"/>
  <c r="E59" i="6" a="1"/>
  <c r="E59" i="6" s="1"/>
  <c r="D59" i="6" a="1"/>
  <c r="D59" i="6" s="1"/>
  <c r="C59" i="6" a="1"/>
  <c r="C59" i="6" s="1"/>
  <c r="B59" i="6" a="1"/>
  <c r="B59" i="6" s="1"/>
  <c r="E58" i="6" a="1"/>
  <c r="E58" i="6" s="1"/>
  <c r="D58" i="6" a="1"/>
  <c r="D58" i="6" s="1"/>
  <c r="C58" i="6" a="1"/>
  <c r="C58" i="6" s="1"/>
  <c r="B58" i="6" a="1"/>
  <c r="B58" i="6" s="1"/>
  <c r="E57" i="6" a="1"/>
  <c r="E57" i="6" s="1"/>
  <c r="D57" i="6" a="1"/>
  <c r="D57" i="6" s="1"/>
  <c r="C57" i="6" a="1"/>
  <c r="C57" i="6" s="1"/>
  <c r="B57" i="6" a="1"/>
  <c r="B57" i="6" s="1"/>
  <c r="E56" i="6" a="1"/>
  <c r="E56" i="6" s="1"/>
  <c r="D56" i="6" a="1"/>
  <c r="D56" i="6" s="1"/>
  <c r="C56" i="6" a="1"/>
  <c r="C56" i="6" s="1"/>
  <c r="B56" i="6" a="1"/>
  <c r="B56" i="6" s="1"/>
  <c r="E55" i="6" a="1"/>
  <c r="E55" i="6" s="1"/>
  <c r="D55" i="6" a="1"/>
  <c r="D55" i="6" s="1"/>
  <c r="C55" i="6" a="1"/>
  <c r="C55" i="6" s="1"/>
  <c r="B55" i="6" a="1"/>
  <c r="B55" i="6" s="1"/>
  <c r="E54" i="6" a="1"/>
  <c r="E54" i="6" s="1"/>
  <c r="D54" i="6" a="1"/>
  <c r="D54" i="6" s="1"/>
  <c r="C54" i="6" a="1"/>
  <c r="C54" i="6" s="1"/>
  <c r="B54" i="6" a="1"/>
  <c r="B54" i="6" s="1"/>
  <c r="E53" i="6" a="1"/>
  <c r="E53" i="6" s="1"/>
  <c r="D53" i="6" a="1"/>
  <c r="D53" i="6" s="1"/>
  <c r="C53" i="6" a="1"/>
  <c r="C53" i="6" s="1"/>
  <c r="B53" i="6" a="1"/>
  <c r="B53" i="6" s="1"/>
  <c r="E52" i="6" a="1"/>
  <c r="E52" i="6" s="1"/>
  <c r="D52" i="6" a="1"/>
  <c r="D52" i="6" s="1"/>
  <c r="C52" i="6" a="1"/>
  <c r="C52" i="6" s="1"/>
  <c r="B52" i="6" a="1"/>
  <c r="B52" i="6" s="1"/>
  <c r="E51" i="6" a="1"/>
  <c r="E51" i="6" s="1"/>
  <c r="D51" i="6" a="1"/>
  <c r="D51" i="6" s="1"/>
  <c r="C51" i="6" a="1"/>
  <c r="C51" i="6" s="1"/>
  <c r="B51" i="6" a="1"/>
  <c r="B51" i="6" s="1"/>
  <c r="E50" i="6" a="1"/>
  <c r="E50" i="6" s="1"/>
  <c r="D50" i="6" a="1"/>
  <c r="D50" i="6" s="1"/>
  <c r="C50" i="6" a="1"/>
  <c r="C50" i="6" s="1"/>
  <c r="B50" i="6" a="1"/>
  <c r="B50" i="6" s="1"/>
  <c r="E49" i="6" a="1"/>
  <c r="E49" i="6" s="1"/>
  <c r="D49" i="6" a="1"/>
  <c r="D49" i="6" s="1"/>
  <c r="C49" i="6" a="1"/>
  <c r="C49" i="6" s="1"/>
  <c r="B49" i="6" a="1"/>
  <c r="B49" i="6" s="1"/>
  <c r="E48" i="6" a="1"/>
  <c r="E48" i="6" s="1"/>
  <c r="D48" i="6" a="1"/>
  <c r="D48" i="6" s="1"/>
  <c r="C48" i="6" a="1"/>
  <c r="C48" i="6" s="1"/>
  <c r="B48" i="6" a="1"/>
  <c r="B48" i="6" s="1"/>
  <c r="E47" i="6" a="1"/>
  <c r="E47" i="6" s="1"/>
  <c r="D47" i="6" a="1"/>
  <c r="D47" i="6" s="1"/>
  <c r="C47" i="6" a="1"/>
  <c r="C47" i="6" s="1"/>
  <c r="B47" i="6" a="1"/>
  <c r="B47" i="6" s="1"/>
  <c r="E46" i="6" a="1"/>
  <c r="E46" i="6" s="1"/>
  <c r="D46" i="6" a="1"/>
  <c r="D46" i="6" s="1"/>
  <c r="C46" i="6" a="1"/>
  <c r="C46" i="6" s="1"/>
  <c r="B46" i="6" a="1"/>
  <c r="B46" i="6" s="1"/>
  <c r="E45" i="6" a="1"/>
  <c r="E45" i="6" s="1"/>
  <c r="D45" i="6" a="1"/>
  <c r="D45" i="6" s="1"/>
  <c r="C45" i="6" a="1"/>
  <c r="C45" i="6" s="1"/>
  <c r="B45" i="6" a="1"/>
  <c r="B45" i="6" s="1"/>
  <c r="E44" i="6" a="1"/>
  <c r="E44" i="6" s="1"/>
  <c r="D44" i="6" a="1"/>
  <c r="D44" i="6" s="1"/>
  <c r="C44" i="6" a="1"/>
  <c r="C44" i="6" s="1"/>
  <c r="B44" i="6" a="1"/>
  <c r="B44" i="6" s="1"/>
  <c r="E43" i="6" a="1"/>
  <c r="E43" i="6" s="1"/>
  <c r="D43" i="6" a="1"/>
  <c r="D43" i="6" s="1"/>
  <c r="C43" i="6" a="1"/>
  <c r="C43" i="6" s="1"/>
  <c r="B43" i="6" a="1"/>
  <c r="B43" i="6" s="1"/>
  <c r="E42" i="6" a="1"/>
  <c r="E42" i="6" s="1"/>
  <c r="D42" i="6" a="1"/>
  <c r="D42" i="6" s="1"/>
  <c r="C42" i="6" a="1"/>
  <c r="C42" i="6" s="1"/>
  <c r="B42" i="6" a="1"/>
  <c r="B42" i="6" s="1"/>
  <c r="E41" i="6" a="1"/>
  <c r="E41" i="6" s="1"/>
  <c r="D41" i="6" a="1"/>
  <c r="D41" i="6" s="1"/>
  <c r="C41" i="6" a="1"/>
  <c r="C41" i="6" s="1"/>
  <c r="B41" i="6" a="1"/>
  <c r="B41" i="6" s="1"/>
  <c r="E40" i="6" a="1"/>
  <c r="E40" i="6" s="1"/>
  <c r="D40" i="6" a="1"/>
  <c r="D40" i="6" s="1"/>
  <c r="C40" i="6" a="1"/>
  <c r="C40" i="6" s="1"/>
  <c r="B40" i="6" a="1"/>
  <c r="B40" i="6" s="1"/>
  <c r="E39" i="6" a="1"/>
  <c r="E39" i="6" s="1"/>
  <c r="D39" i="6" a="1"/>
  <c r="D39" i="6" s="1"/>
  <c r="C39" i="6" a="1"/>
  <c r="C39" i="6" s="1"/>
  <c r="B39" i="6" a="1"/>
  <c r="B39" i="6" s="1"/>
  <c r="E38" i="6" a="1"/>
  <c r="E38" i="6" s="1"/>
  <c r="D38" i="6" a="1"/>
  <c r="D38" i="6" s="1"/>
  <c r="C38" i="6" a="1"/>
  <c r="C38" i="6" s="1"/>
  <c r="B38" i="6" a="1"/>
  <c r="B38" i="6" s="1"/>
  <c r="E37" i="6" a="1"/>
  <c r="E37" i="6" s="1"/>
  <c r="D37" i="6" a="1"/>
  <c r="D37" i="6" s="1"/>
  <c r="C37" i="6" a="1"/>
  <c r="C37" i="6" s="1"/>
  <c r="B37" i="6" a="1"/>
  <c r="B37" i="6" s="1"/>
  <c r="E36" i="6" a="1"/>
  <c r="E36" i="6" s="1"/>
  <c r="D36" i="6" a="1"/>
  <c r="D36" i="6" s="1"/>
  <c r="C36" i="6" a="1"/>
  <c r="C36" i="6" s="1"/>
  <c r="B36" i="6" a="1"/>
  <c r="B36" i="6" s="1"/>
  <c r="E35" i="6" a="1"/>
  <c r="E35" i="6" s="1"/>
  <c r="D35" i="6" a="1"/>
  <c r="D35" i="6" s="1"/>
  <c r="C35" i="6" a="1"/>
  <c r="C35" i="6" s="1"/>
  <c r="B35" i="6" a="1"/>
  <c r="B35" i="6" s="1"/>
  <c r="E34" i="6" a="1"/>
  <c r="E34" i="6" s="1"/>
  <c r="D34" i="6" a="1"/>
  <c r="D34" i="6" s="1"/>
  <c r="C34" i="6" a="1"/>
  <c r="C34" i="6" s="1"/>
  <c r="B34" i="6" a="1"/>
  <c r="B34" i="6" s="1"/>
  <c r="E33" i="6" a="1"/>
  <c r="E33" i="6" s="1"/>
  <c r="D33" i="6" a="1"/>
  <c r="D33" i="6" s="1"/>
  <c r="C33" i="6" a="1"/>
  <c r="C33" i="6" s="1"/>
  <c r="B33" i="6" a="1"/>
  <c r="B33" i="6" s="1"/>
  <c r="E32" i="6" a="1"/>
  <c r="E32" i="6" s="1"/>
  <c r="D32" i="6" a="1"/>
  <c r="D32" i="6" s="1"/>
  <c r="C32" i="6" a="1"/>
  <c r="C32" i="6" s="1"/>
  <c r="B32" i="6" a="1"/>
  <c r="B32" i="6" s="1"/>
  <c r="E31" i="6" a="1"/>
  <c r="E31" i="6" s="1"/>
  <c r="D31" i="6" a="1"/>
  <c r="D31" i="6" s="1"/>
  <c r="C31" i="6" a="1"/>
  <c r="C31" i="6" s="1"/>
  <c r="B31" i="6" a="1"/>
  <c r="B31" i="6" s="1"/>
  <c r="E30" i="6" a="1"/>
  <c r="E30" i="6" s="1"/>
  <c r="D30" i="6" a="1"/>
  <c r="D30" i="6" s="1"/>
  <c r="C30" i="6" a="1"/>
  <c r="C30" i="6" s="1"/>
  <c r="B30" i="6" a="1"/>
  <c r="B30" i="6" s="1"/>
  <c r="E29" i="6" a="1"/>
  <c r="E29" i="6" s="1"/>
  <c r="D29" i="6" a="1"/>
  <c r="D29" i="6" s="1"/>
  <c r="C29" i="6" a="1"/>
  <c r="C29" i="6" s="1"/>
  <c r="B29" i="6" a="1"/>
  <c r="B29" i="6" s="1"/>
  <c r="E28" i="6" a="1"/>
  <c r="E28" i="6" s="1"/>
  <c r="D28" i="6" a="1"/>
  <c r="D28" i="6" s="1"/>
  <c r="C28" i="6" a="1"/>
  <c r="C28" i="6" s="1"/>
  <c r="B28" i="6" a="1"/>
  <c r="B28" i="6" s="1"/>
  <c r="E27" i="6" a="1"/>
  <c r="E27" i="6" s="1"/>
  <c r="D27" i="6" a="1"/>
  <c r="D27" i="6" s="1"/>
  <c r="C27" i="6" a="1"/>
  <c r="C27" i="6" s="1"/>
  <c r="B27" i="6" a="1"/>
  <c r="B27" i="6" s="1"/>
  <c r="E26" i="6" a="1"/>
  <c r="E26" i="6" s="1"/>
  <c r="D26" i="6" a="1"/>
  <c r="D26" i="6" s="1"/>
  <c r="C26" i="6" a="1"/>
  <c r="C26" i="6" s="1"/>
  <c r="B26" i="6" a="1"/>
  <c r="B26" i="6" s="1"/>
  <c r="E25" i="6" a="1"/>
  <c r="E25" i="6" s="1"/>
  <c r="D25" i="6" a="1"/>
  <c r="D25" i="6" s="1"/>
  <c r="C25" i="6" a="1"/>
  <c r="C25" i="6" s="1"/>
  <c r="B25" i="6" a="1"/>
  <c r="B25" i="6" s="1"/>
  <c r="E24" i="6" a="1"/>
  <c r="E24" i="6" s="1"/>
  <c r="D24" i="6" a="1"/>
  <c r="D24" i="6" s="1"/>
  <c r="C24" i="6" a="1"/>
  <c r="C24" i="6" s="1"/>
  <c r="B24" i="6" a="1"/>
  <c r="B24" i="6" s="1"/>
  <c r="E23" i="6" a="1"/>
  <c r="E23" i="6" s="1"/>
  <c r="D23" i="6" a="1"/>
  <c r="D23" i="6" s="1"/>
  <c r="C23" i="6" a="1"/>
  <c r="C23" i="6" s="1"/>
  <c r="B23" i="6" a="1"/>
  <c r="B23" i="6" s="1"/>
  <c r="E22" i="6" a="1"/>
  <c r="E22" i="6" s="1"/>
  <c r="D22" i="6" a="1"/>
  <c r="D22" i="6" s="1"/>
  <c r="C22" i="6" a="1"/>
  <c r="C22" i="6" s="1"/>
  <c r="B22" i="6" a="1"/>
  <c r="B22" i="6" s="1"/>
  <c r="E21" i="6" a="1"/>
  <c r="E21" i="6" s="1"/>
  <c r="D21" i="6" a="1"/>
  <c r="D21" i="6" s="1"/>
  <c r="C21" i="6" a="1"/>
  <c r="C21" i="6" s="1"/>
  <c r="B21" i="6" a="1"/>
  <c r="B21" i="6" s="1"/>
  <c r="E20" i="6" a="1"/>
  <c r="E20" i="6" s="1"/>
  <c r="D20" i="6" a="1"/>
  <c r="D20" i="6" s="1"/>
  <c r="C20" i="6" a="1"/>
  <c r="C20" i="6" s="1"/>
  <c r="B20" i="6" a="1"/>
  <c r="B20" i="6" s="1"/>
  <c r="E19" i="6" a="1"/>
  <c r="E19" i="6" s="1"/>
  <c r="D19" i="6" a="1"/>
  <c r="D19" i="6" s="1"/>
  <c r="C19" i="6" a="1"/>
  <c r="C19" i="6" s="1"/>
  <c r="B19" i="6" a="1"/>
  <c r="B19" i="6" s="1"/>
  <c r="E18" i="6" a="1"/>
  <c r="E18" i="6" s="1"/>
  <c r="D18" i="6" a="1"/>
  <c r="D18" i="6" s="1"/>
  <c r="C18" i="6" a="1"/>
  <c r="C18" i="6" s="1"/>
  <c r="B18" i="6" a="1"/>
  <c r="B18" i="6" s="1"/>
  <c r="E17" i="6" a="1"/>
  <c r="E17" i="6" s="1"/>
  <c r="D17" i="6" a="1"/>
  <c r="D17" i="6" s="1"/>
  <c r="C17" i="6" a="1"/>
  <c r="C17" i="6" s="1"/>
  <c r="B17" i="6" a="1"/>
  <c r="B17" i="6" s="1"/>
  <c r="E16" i="6" a="1"/>
  <c r="E16" i="6" s="1"/>
  <c r="D16" i="6" a="1"/>
  <c r="D16" i="6" s="1"/>
  <c r="C16" i="6" a="1"/>
  <c r="C16" i="6" s="1"/>
  <c r="B16" i="6" a="1"/>
  <c r="B16" i="6" s="1"/>
  <c r="E15" i="6" a="1"/>
  <c r="E15" i="6" s="1"/>
  <c r="D15" i="6" a="1"/>
  <c r="D15" i="6" s="1"/>
  <c r="C15" i="6" a="1"/>
  <c r="C15" i="6" s="1"/>
  <c r="B15" i="6" a="1"/>
  <c r="B15" i="6" s="1"/>
  <c r="E14" i="6" a="1"/>
  <c r="E14" i="6" s="1"/>
  <c r="D14" i="6" a="1"/>
  <c r="D14" i="6" s="1"/>
  <c r="C14" i="6" a="1"/>
  <c r="C14" i="6" s="1"/>
  <c r="B14" i="6" a="1"/>
  <c r="B14" i="6" s="1"/>
  <c r="E13" i="6" a="1"/>
  <c r="E13" i="6" s="1"/>
  <c r="D13" i="6" a="1"/>
  <c r="D13" i="6" s="1"/>
  <c r="C13" i="6" a="1"/>
  <c r="C13" i="6" s="1"/>
  <c r="B13" i="6" a="1"/>
  <c r="B13" i="6" s="1"/>
  <c r="E12" i="6" a="1"/>
  <c r="E12" i="6" s="1"/>
  <c r="D12" i="6" a="1"/>
  <c r="D12" i="6" s="1"/>
  <c r="C12" i="6" a="1"/>
  <c r="C12" i="6" s="1"/>
  <c r="B12" i="6" a="1"/>
  <c r="B12" i="6" s="1"/>
  <c r="E11" i="6" a="1"/>
  <c r="E11" i="6" s="1"/>
  <c r="D11" i="6" a="1"/>
  <c r="D11" i="6" s="1"/>
  <c r="C11" i="6" a="1"/>
  <c r="C11" i="6" s="1"/>
  <c r="B11" i="6" a="1"/>
  <c r="B11" i="6" s="1"/>
  <c r="E10" i="6" a="1"/>
  <c r="E10" i="6" s="1"/>
  <c r="D10" i="6" a="1"/>
  <c r="D10" i="6" s="1"/>
  <c r="C10" i="6" a="1"/>
  <c r="C10" i="6" s="1"/>
  <c r="B10" i="6" a="1"/>
  <c r="B10" i="6" s="1"/>
  <c r="E9" i="6" a="1"/>
  <c r="E9" i="6" s="1"/>
  <c r="D9" i="6" a="1"/>
  <c r="D9" i="6" s="1"/>
  <c r="C9" i="6" a="1"/>
  <c r="C9" i="6" s="1"/>
  <c r="B9" i="6" a="1"/>
  <c r="B9" i="6" s="1"/>
  <c r="E8" i="6" a="1"/>
  <c r="E8" i="6" s="1"/>
  <c r="D8" i="6" a="1"/>
  <c r="D8" i="6" s="1"/>
  <c r="C8" i="6" a="1"/>
  <c r="C8" i="6" s="1"/>
  <c r="B8" i="6" a="1"/>
  <c r="B8" i="6" s="1"/>
  <c r="E7" i="6" a="1"/>
  <c r="E7" i="6" s="1"/>
  <c r="D7" i="6" a="1"/>
  <c r="D7" i="6" s="1"/>
  <c r="C7" i="6" a="1"/>
  <c r="C7" i="6" s="1"/>
  <c r="B7" i="6" a="1"/>
  <c r="B7" i="6" s="1"/>
  <c r="E6" i="6" a="1"/>
  <c r="E6" i="6" s="1"/>
  <c r="D6" i="6" a="1"/>
  <c r="D6" i="6" s="1"/>
  <c r="C6" i="6" a="1"/>
  <c r="C6" i="6" s="1"/>
  <c r="B6" i="6" a="1"/>
  <c r="B6" i="6" s="1"/>
  <c r="E5" i="6" a="1"/>
  <c r="E5" i="6" s="1"/>
  <c r="D5" i="6" a="1"/>
  <c r="D5" i="6" s="1"/>
  <c r="C5" i="6" a="1"/>
  <c r="C5" i="6" s="1"/>
  <c r="B5" i="6" a="1"/>
  <c r="B5" i="6" s="1"/>
  <c r="E4" i="6" a="1"/>
  <c r="E4" i="6" s="1"/>
  <c r="D4" i="6" a="1"/>
  <c r="D4" i="6" s="1"/>
  <c r="C4" i="6" a="1"/>
  <c r="C4" i="6" s="1"/>
  <c r="B4" i="6" a="1"/>
  <c r="B4" i="6" s="1"/>
  <c r="E3" i="6" a="1"/>
  <c r="E3" i="6" s="1"/>
  <c r="D3" i="6" a="1"/>
  <c r="D3" i="6" s="1"/>
  <c r="C3" i="6" a="1"/>
  <c r="C3" i="6" s="1"/>
  <c r="B3" i="6" a="1"/>
  <c r="B3" i="6" s="1"/>
  <c r="E2" i="6" a="1"/>
  <c r="E2" i="6" s="1"/>
  <c r="D2" i="6" a="1"/>
  <c r="D2" i="6" s="1"/>
  <c r="C2" i="6" a="1"/>
  <c r="C2" i="6" s="1"/>
  <c r="B2" i="6" a="1"/>
  <c r="B2" i="6" s="1"/>
  <c r="B3" i="10" a="1"/>
  <c r="B3" i="10" s="1"/>
  <c r="C3" i="10" a="1"/>
  <c r="C3" i="10" s="1"/>
  <c r="D3" i="10" a="1"/>
  <c r="D3" i="10" s="1"/>
  <c r="E3" i="10" a="1"/>
  <c r="E3" i="10" s="1"/>
  <c r="B4" i="10" a="1"/>
  <c r="B4" i="10" s="1"/>
  <c r="C4" i="10" a="1"/>
  <c r="C4" i="10" s="1"/>
  <c r="D4" i="10" a="1"/>
  <c r="D4" i="10" s="1"/>
  <c r="E4" i="10" a="1"/>
  <c r="E4" i="10" s="1"/>
  <c r="B5" i="10" a="1"/>
  <c r="B5" i="10" s="1"/>
  <c r="C5" i="10" a="1"/>
  <c r="C5" i="10" s="1"/>
  <c r="D5" i="10" a="1"/>
  <c r="D5" i="10" s="1"/>
  <c r="E5" i="10" a="1"/>
  <c r="E5" i="10" s="1"/>
  <c r="B6" i="10" a="1"/>
  <c r="B6" i="10" s="1"/>
  <c r="C6" i="10" a="1"/>
  <c r="C6" i="10" s="1"/>
  <c r="D6" i="10" a="1"/>
  <c r="D6" i="10" s="1"/>
  <c r="E6" i="10" a="1"/>
  <c r="E6" i="10" s="1"/>
  <c r="B7" i="10" a="1"/>
  <c r="B7" i="10" s="1"/>
  <c r="C7" i="10" a="1"/>
  <c r="C7" i="10" s="1"/>
  <c r="D7" i="10" a="1"/>
  <c r="D7" i="10" s="1"/>
  <c r="E7" i="10" a="1"/>
  <c r="E7" i="10" s="1"/>
  <c r="B8" i="10" a="1"/>
  <c r="B8" i="10" s="1"/>
  <c r="C8" i="10" a="1"/>
  <c r="C8" i="10" s="1"/>
  <c r="D8" i="10" a="1"/>
  <c r="D8" i="10" s="1"/>
  <c r="E8" i="10" a="1"/>
  <c r="E8" i="10" s="1"/>
  <c r="B9" i="10" a="1"/>
  <c r="B9" i="10" s="1"/>
  <c r="C9" i="10" a="1"/>
  <c r="C9" i="10" s="1"/>
  <c r="D9" i="10" a="1"/>
  <c r="D9" i="10" s="1"/>
  <c r="E9" i="10" a="1"/>
  <c r="E9" i="10" s="1"/>
  <c r="B10" i="10" a="1"/>
  <c r="B10" i="10" s="1"/>
  <c r="C10" i="10" a="1"/>
  <c r="C10" i="10" s="1"/>
  <c r="D10" i="10" a="1"/>
  <c r="D10" i="10" s="1"/>
  <c r="E10" i="10" a="1"/>
  <c r="E10" i="10" s="1"/>
  <c r="B11" i="10" a="1"/>
  <c r="B11" i="10" s="1"/>
  <c r="C11" i="10" a="1"/>
  <c r="C11" i="10" s="1"/>
  <c r="D11" i="10" a="1"/>
  <c r="D11" i="10" s="1"/>
  <c r="E11" i="10" a="1"/>
  <c r="E11" i="10" s="1"/>
  <c r="B12" i="10" a="1"/>
  <c r="B12" i="10" s="1"/>
  <c r="C12" i="10" a="1"/>
  <c r="C12" i="10" s="1"/>
  <c r="D12" i="10" a="1"/>
  <c r="D12" i="10" s="1"/>
  <c r="E12" i="10" a="1"/>
  <c r="E12" i="10" s="1"/>
  <c r="B13" i="10" a="1"/>
  <c r="B13" i="10" s="1"/>
  <c r="C13" i="10" a="1"/>
  <c r="C13" i="10" s="1"/>
  <c r="D13" i="10" a="1"/>
  <c r="D13" i="10" s="1"/>
  <c r="E13" i="10" a="1"/>
  <c r="E13" i="10" s="1"/>
  <c r="B14" i="10" a="1"/>
  <c r="B14" i="10" s="1"/>
  <c r="C14" i="10" a="1"/>
  <c r="C14" i="10" s="1"/>
  <c r="D14" i="10" a="1"/>
  <c r="D14" i="10" s="1"/>
  <c r="E14" i="10" a="1"/>
  <c r="E14" i="10" s="1"/>
  <c r="B15" i="10" a="1"/>
  <c r="B15" i="10" s="1"/>
  <c r="C15" i="10" a="1"/>
  <c r="C15" i="10" s="1"/>
  <c r="D15" i="10" a="1"/>
  <c r="D15" i="10" s="1"/>
  <c r="E15" i="10" a="1"/>
  <c r="E15" i="10" s="1"/>
  <c r="B16" i="10" a="1"/>
  <c r="B16" i="10" s="1"/>
  <c r="C16" i="10" a="1"/>
  <c r="C16" i="10" s="1"/>
  <c r="D16" i="10" a="1"/>
  <c r="D16" i="10" s="1"/>
  <c r="E16" i="10" a="1"/>
  <c r="E16" i="10" s="1"/>
  <c r="B17" i="10" a="1"/>
  <c r="B17" i="10" s="1"/>
  <c r="C17" i="10" a="1"/>
  <c r="C17" i="10" s="1"/>
  <c r="D17" i="10" a="1"/>
  <c r="D17" i="10" s="1"/>
  <c r="E17" i="10" a="1"/>
  <c r="E17" i="10" s="1"/>
  <c r="B18" i="10" a="1"/>
  <c r="B18" i="10" s="1"/>
  <c r="C18" i="10" a="1"/>
  <c r="C18" i="10" s="1"/>
  <c r="D18" i="10" a="1"/>
  <c r="D18" i="10" s="1"/>
  <c r="E18" i="10" a="1"/>
  <c r="E18" i="10" s="1"/>
  <c r="B19" i="10" a="1"/>
  <c r="B19" i="10" s="1"/>
  <c r="C19" i="10" a="1"/>
  <c r="C19" i="10" s="1"/>
  <c r="D19" i="10" a="1"/>
  <c r="D19" i="10" s="1"/>
  <c r="E19" i="10" a="1"/>
  <c r="E19" i="10" s="1"/>
  <c r="B20" i="10" a="1"/>
  <c r="B20" i="10" s="1"/>
  <c r="C20" i="10" a="1"/>
  <c r="C20" i="10" s="1"/>
  <c r="D20" i="10" a="1"/>
  <c r="D20" i="10" s="1"/>
  <c r="E20" i="10" a="1"/>
  <c r="E20" i="10" s="1"/>
  <c r="B21" i="10" a="1"/>
  <c r="B21" i="10" s="1"/>
  <c r="C21" i="10" a="1"/>
  <c r="C21" i="10" s="1"/>
  <c r="D21" i="10" a="1"/>
  <c r="D21" i="10" s="1"/>
  <c r="E21" i="10" a="1"/>
  <c r="E21" i="10" s="1"/>
  <c r="B22" i="10" a="1"/>
  <c r="B22" i="10" s="1"/>
  <c r="C22" i="10" a="1"/>
  <c r="C22" i="10" s="1"/>
  <c r="D22" i="10" a="1"/>
  <c r="D22" i="10" s="1"/>
  <c r="E22" i="10" a="1"/>
  <c r="E22" i="10" s="1"/>
  <c r="B23" i="10" a="1"/>
  <c r="B23" i="10" s="1"/>
  <c r="C23" i="10" a="1"/>
  <c r="C23" i="10" s="1"/>
  <c r="D23" i="10" a="1"/>
  <c r="D23" i="10" s="1"/>
  <c r="E23" i="10" a="1"/>
  <c r="E23" i="10" s="1"/>
  <c r="B24" i="10" a="1"/>
  <c r="B24" i="10" s="1"/>
  <c r="C24" i="10" a="1"/>
  <c r="C24" i="10" s="1"/>
  <c r="D24" i="10" a="1"/>
  <c r="D24" i="10" s="1"/>
  <c r="E24" i="10" a="1"/>
  <c r="E24" i="10" s="1"/>
  <c r="B25" i="10" a="1"/>
  <c r="B25" i="10" s="1"/>
  <c r="C25" i="10" a="1"/>
  <c r="C25" i="10" s="1"/>
  <c r="D25" i="10" a="1"/>
  <c r="D25" i="10" s="1"/>
  <c r="E25" i="10" a="1"/>
  <c r="E25" i="10" s="1"/>
  <c r="B26" i="10" a="1"/>
  <c r="B26" i="10" s="1"/>
  <c r="C26" i="10" a="1"/>
  <c r="C26" i="10" s="1"/>
  <c r="D26" i="10" a="1"/>
  <c r="D26" i="10" s="1"/>
  <c r="E26" i="10" a="1"/>
  <c r="E26" i="10" s="1"/>
  <c r="B27" i="10" a="1"/>
  <c r="B27" i="10" s="1"/>
  <c r="C27" i="10" a="1"/>
  <c r="C27" i="10" s="1"/>
  <c r="D27" i="10" a="1"/>
  <c r="D27" i="10" s="1"/>
  <c r="E27" i="10" a="1"/>
  <c r="E27" i="10" s="1"/>
  <c r="B28" i="10" a="1"/>
  <c r="B28" i="10" s="1"/>
  <c r="C28" i="10" a="1"/>
  <c r="C28" i="10" s="1"/>
  <c r="D28" i="10" a="1"/>
  <c r="D28" i="10" s="1"/>
  <c r="E28" i="10" a="1"/>
  <c r="E28" i="10" s="1"/>
  <c r="B29" i="10" a="1"/>
  <c r="B29" i="10" s="1"/>
  <c r="C29" i="10" a="1"/>
  <c r="C29" i="10" s="1"/>
  <c r="D29" i="10" a="1"/>
  <c r="D29" i="10" s="1"/>
  <c r="E29" i="10" a="1"/>
  <c r="E29" i="10" s="1"/>
  <c r="B30" i="10" a="1"/>
  <c r="B30" i="10" s="1"/>
  <c r="C30" i="10" a="1"/>
  <c r="C30" i="10" s="1"/>
  <c r="D30" i="10" a="1"/>
  <c r="D30" i="10" s="1"/>
  <c r="E30" i="10" a="1"/>
  <c r="E30" i="10" s="1"/>
  <c r="B31" i="10" a="1"/>
  <c r="B31" i="10" s="1"/>
  <c r="C31" i="10" a="1"/>
  <c r="C31" i="10" s="1"/>
  <c r="D31" i="10" a="1"/>
  <c r="D31" i="10" s="1"/>
  <c r="E31" i="10" a="1"/>
  <c r="E31" i="10" s="1"/>
  <c r="B32" i="10" a="1"/>
  <c r="B32" i="10" s="1"/>
  <c r="C32" i="10" a="1"/>
  <c r="C32" i="10" s="1"/>
  <c r="D32" i="10" a="1"/>
  <c r="D32" i="10" s="1"/>
  <c r="E32" i="10" a="1"/>
  <c r="E32" i="10" s="1"/>
  <c r="B33" i="10" a="1"/>
  <c r="B33" i="10" s="1"/>
  <c r="C33" i="10" a="1"/>
  <c r="C33" i="10" s="1"/>
  <c r="D33" i="10" a="1"/>
  <c r="D33" i="10" s="1"/>
  <c r="E33" i="10" a="1"/>
  <c r="E33" i="10" s="1"/>
  <c r="B34" i="10" a="1"/>
  <c r="B34" i="10" s="1"/>
  <c r="C34" i="10" a="1"/>
  <c r="C34" i="10" s="1"/>
  <c r="D34" i="10" a="1"/>
  <c r="D34" i="10" s="1"/>
  <c r="E34" i="10" a="1"/>
  <c r="E34" i="10" s="1"/>
  <c r="B35" i="10" a="1"/>
  <c r="B35" i="10" s="1"/>
  <c r="C35" i="10" a="1"/>
  <c r="C35" i="10" s="1"/>
  <c r="D35" i="10" a="1"/>
  <c r="D35" i="10" s="1"/>
  <c r="E35" i="10" a="1"/>
  <c r="E35" i="10" s="1"/>
  <c r="B36" i="10" a="1"/>
  <c r="B36" i="10" s="1"/>
  <c r="C36" i="10" a="1"/>
  <c r="C36" i="10" s="1"/>
  <c r="D36" i="10" a="1"/>
  <c r="D36" i="10" s="1"/>
  <c r="E36" i="10" a="1"/>
  <c r="E36" i="10" s="1"/>
  <c r="B37" i="10" a="1"/>
  <c r="B37" i="10" s="1"/>
  <c r="C37" i="10" a="1"/>
  <c r="C37" i="10" s="1"/>
  <c r="D37" i="10" a="1"/>
  <c r="D37" i="10" s="1"/>
  <c r="E37" i="10" a="1"/>
  <c r="E37" i="10" s="1"/>
  <c r="B38" i="10" a="1"/>
  <c r="B38" i="10" s="1"/>
  <c r="C38" i="10" a="1"/>
  <c r="C38" i="10" s="1"/>
  <c r="D38" i="10" a="1"/>
  <c r="D38" i="10" s="1"/>
  <c r="E38" i="10" a="1"/>
  <c r="E38" i="10" s="1"/>
  <c r="B39" i="10" a="1"/>
  <c r="B39" i="10" s="1"/>
  <c r="C39" i="10" a="1"/>
  <c r="C39" i="10" s="1"/>
  <c r="D39" i="10" a="1"/>
  <c r="D39" i="10" s="1"/>
  <c r="E39" i="10" a="1"/>
  <c r="E39" i="10" s="1"/>
  <c r="B40" i="10" a="1"/>
  <c r="B40" i="10" s="1"/>
  <c r="C40" i="10" a="1"/>
  <c r="C40" i="10" s="1"/>
  <c r="D40" i="10" a="1"/>
  <c r="D40" i="10" s="1"/>
  <c r="E40" i="10" a="1"/>
  <c r="E40" i="10" s="1"/>
  <c r="B41" i="10" a="1"/>
  <c r="B41" i="10" s="1"/>
  <c r="C41" i="10" a="1"/>
  <c r="C41" i="10" s="1"/>
  <c r="D41" i="10" a="1"/>
  <c r="D41" i="10" s="1"/>
  <c r="E41" i="10" a="1"/>
  <c r="E41" i="10" s="1"/>
  <c r="B42" i="10" a="1"/>
  <c r="B42" i="10" s="1"/>
  <c r="C42" i="10" a="1"/>
  <c r="C42" i="10" s="1"/>
  <c r="D42" i="10" a="1"/>
  <c r="D42" i="10" s="1"/>
  <c r="E42" i="10" a="1"/>
  <c r="E42" i="10" s="1"/>
  <c r="B43" i="10" a="1"/>
  <c r="B43" i="10" s="1"/>
  <c r="C43" i="10" a="1"/>
  <c r="C43" i="10" s="1"/>
  <c r="D43" i="10" a="1"/>
  <c r="D43" i="10" s="1"/>
  <c r="E43" i="10" a="1"/>
  <c r="E43" i="10" s="1"/>
  <c r="B44" i="10" a="1"/>
  <c r="B44" i="10" s="1"/>
  <c r="C44" i="10" a="1"/>
  <c r="C44" i="10" s="1"/>
  <c r="D44" i="10" a="1"/>
  <c r="D44" i="10" s="1"/>
  <c r="E44" i="10" a="1"/>
  <c r="E44" i="10" s="1"/>
  <c r="B45" i="10" a="1"/>
  <c r="B45" i="10" s="1"/>
  <c r="C45" i="10" a="1"/>
  <c r="C45" i="10" s="1"/>
  <c r="D45" i="10" a="1"/>
  <c r="D45" i="10" s="1"/>
  <c r="E45" i="10" a="1"/>
  <c r="E45" i="10" s="1"/>
  <c r="B46" i="10" a="1"/>
  <c r="B46" i="10" s="1"/>
  <c r="C46" i="10" a="1"/>
  <c r="C46" i="10" s="1"/>
  <c r="D46" i="10" a="1"/>
  <c r="D46" i="10" s="1"/>
  <c r="E46" i="10" a="1"/>
  <c r="E46" i="10" s="1"/>
  <c r="B47" i="10" a="1"/>
  <c r="B47" i="10" s="1"/>
  <c r="C47" i="10" a="1"/>
  <c r="C47" i="10" s="1"/>
  <c r="D47" i="10" a="1"/>
  <c r="D47" i="10" s="1"/>
  <c r="E47" i="10" a="1"/>
  <c r="E47" i="10" s="1"/>
  <c r="B48" i="10" a="1"/>
  <c r="B48" i="10" s="1"/>
  <c r="C48" i="10" a="1"/>
  <c r="C48" i="10" s="1"/>
  <c r="D48" i="10" a="1"/>
  <c r="D48" i="10" s="1"/>
  <c r="E48" i="10" a="1"/>
  <c r="E48" i="10" s="1"/>
  <c r="B49" i="10" a="1"/>
  <c r="B49" i="10" s="1"/>
  <c r="C49" i="10" a="1"/>
  <c r="C49" i="10" s="1"/>
  <c r="D49" i="10" a="1"/>
  <c r="D49" i="10" s="1"/>
  <c r="E49" i="10" a="1"/>
  <c r="E49" i="10" s="1"/>
  <c r="B50" i="10" a="1"/>
  <c r="B50" i="10" s="1"/>
  <c r="C50" i="10" a="1"/>
  <c r="C50" i="10" s="1"/>
  <c r="D50" i="10" a="1"/>
  <c r="D50" i="10" s="1"/>
  <c r="E50" i="10" a="1"/>
  <c r="E50" i="10" s="1"/>
  <c r="B51" i="10" a="1"/>
  <c r="B51" i="10" s="1"/>
  <c r="C51" i="10" a="1"/>
  <c r="C51" i="10" s="1"/>
  <c r="D51" i="10" a="1"/>
  <c r="D51" i="10" s="1"/>
  <c r="E51" i="10" a="1"/>
  <c r="E51" i="10" s="1"/>
  <c r="B52" i="10" a="1"/>
  <c r="B52" i="10" s="1"/>
  <c r="C52" i="10" a="1"/>
  <c r="C52" i="10" s="1"/>
  <c r="D52" i="10" a="1"/>
  <c r="D52" i="10" s="1"/>
  <c r="E52" i="10" a="1"/>
  <c r="E52" i="10" s="1"/>
  <c r="B53" i="10" a="1"/>
  <c r="B53" i="10" s="1"/>
  <c r="C53" i="10" a="1"/>
  <c r="C53" i="10" s="1"/>
  <c r="D53" i="10" a="1"/>
  <c r="D53" i="10" s="1"/>
  <c r="E53" i="10" a="1"/>
  <c r="E53" i="10" s="1"/>
  <c r="B54" i="10" a="1"/>
  <c r="B54" i="10" s="1"/>
  <c r="C54" i="10" a="1"/>
  <c r="C54" i="10" s="1"/>
  <c r="D54" i="10" a="1"/>
  <c r="D54" i="10" s="1"/>
  <c r="E54" i="10" a="1"/>
  <c r="E54" i="10" s="1"/>
  <c r="B55" i="10" a="1"/>
  <c r="B55" i="10" s="1"/>
  <c r="C55" i="10" a="1"/>
  <c r="C55" i="10" s="1"/>
  <c r="D55" i="10" a="1"/>
  <c r="D55" i="10" s="1"/>
  <c r="E55" i="10" a="1"/>
  <c r="E55" i="10" s="1"/>
  <c r="B56" i="10" a="1"/>
  <c r="B56" i="10" s="1"/>
  <c r="C56" i="10" a="1"/>
  <c r="C56" i="10" s="1"/>
  <c r="D56" i="10" a="1"/>
  <c r="D56" i="10" s="1"/>
  <c r="E56" i="10" a="1"/>
  <c r="E56" i="10" s="1"/>
  <c r="B57" i="10" a="1"/>
  <c r="B57" i="10" s="1"/>
  <c r="C57" i="10" a="1"/>
  <c r="C57" i="10" s="1"/>
  <c r="D57" i="10" a="1"/>
  <c r="D57" i="10" s="1"/>
  <c r="E57" i="10" a="1"/>
  <c r="E57" i="10" s="1"/>
  <c r="B58" i="10" a="1"/>
  <c r="B58" i="10" s="1"/>
  <c r="C58" i="10" a="1"/>
  <c r="C58" i="10" s="1"/>
  <c r="D58" i="10" a="1"/>
  <c r="D58" i="10" s="1"/>
  <c r="E58" i="10" a="1"/>
  <c r="E58" i="10" s="1"/>
  <c r="B59" i="10" a="1"/>
  <c r="B59" i="10" s="1"/>
  <c r="C59" i="10" a="1"/>
  <c r="C59" i="10" s="1"/>
  <c r="D59" i="10" a="1"/>
  <c r="D59" i="10" s="1"/>
  <c r="E59" i="10" a="1"/>
  <c r="E59" i="10" s="1"/>
  <c r="B60" i="10" a="1"/>
  <c r="B60" i="10" s="1"/>
  <c r="C60" i="10" a="1"/>
  <c r="C60" i="10" s="1"/>
  <c r="D60" i="10" a="1"/>
  <c r="D60" i="10" s="1"/>
  <c r="E60" i="10" a="1"/>
  <c r="E60" i="10" s="1"/>
  <c r="B61" i="10" a="1"/>
  <c r="B61" i="10" s="1"/>
  <c r="C61" i="10" a="1"/>
  <c r="C61" i="10" s="1"/>
  <c r="D61" i="10" a="1"/>
  <c r="D61" i="10" s="1"/>
  <c r="E61" i="10" a="1"/>
  <c r="E61" i="10" s="1"/>
  <c r="B62" i="10" a="1"/>
  <c r="B62" i="10" s="1"/>
  <c r="C62" i="10" a="1"/>
  <c r="C62" i="10" s="1"/>
  <c r="D62" i="10" a="1"/>
  <c r="D62" i="10" s="1"/>
  <c r="E62" i="10" a="1"/>
  <c r="E62" i="10" s="1"/>
  <c r="B63" i="10" a="1"/>
  <c r="B63" i="10" s="1"/>
  <c r="C63" i="10" a="1"/>
  <c r="C63" i="10" s="1"/>
  <c r="D63" i="10" a="1"/>
  <c r="D63" i="10" s="1"/>
  <c r="E63" i="10" a="1"/>
  <c r="E63" i="10" s="1"/>
  <c r="B64" i="10" a="1"/>
  <c r="B64" i="10" s="1"/>
  <c r="C64" i="10" a="1"/>
  <c r="C64" i="10" s="1"/>
  <c r="D64" i="10" a="1"/>
  <c r="D64" i="10" s="1"/>
  <c r="E64" i="10" a="1"/>
  <c r="E64" i="10" s="1"/>
  <c r="B65" i="10" a="1"/>
  <c r="B65" i="10" s="1"/>
  <c r="C65" i="10" a="1"/>
  <c r="C65" i="10" s="1"/>
  <c r="D65" i="10" a="1"/>
  <c r="D65" i="10" s="1"/>
  <c r="E65" i="10" a="1"/>
  <c r="E65" i="10" s="1"/>
  <c r="B66" i="10" a="1"/>
  <c r="B66" i="10" s="1"/>
  <c r="C66" i="10" a="1"/>
  <c r="C66" i="10" s="1"/>
  <c r="D66" i="10" a="1"/>
  <c r="D66" i="10" s="1"/>
  <c r="E66" i="10" a="1"/>
  <c r="E66" i="10" s="1"/>
  <c r="B67" i="10" a="1"/>
  <c r="B67" i="10" s="1"/>
  <c r="C67" i="10" a="1"/>
  <c r="C67" i="10" s="1"/>
  <c r="D67" i="10" a="1"/>
  <c r="D67" i="10" s="1"/>
  <c r="E67" i="10" a="1"/>
  <c r="E67" i="10" s="1"/>
  <c r="B68" i="10" a="1"/>
  <c r="B68" i="10" s="1"/>
  <c r="C68" i="10" a="1"/>
  <c r="C68" i="10" s="1"/>
  <c r="D68" i="10" a="1"/>
  <c r="D68" i="10" s="1"/>
  <c r="E68" i="10" a="1"/>
  <c r="E68" i="10" s="1"/>
  <c r="B69" i="10" a="1"/>
  <c r="B69" i="10" s="1"/>
  <c r="C69" i="10" a="1"/>
  <c r="C69" i="10" s="1"/>
  <c r="D69" i="10" a="1"/>
  <c r="D69" i="10" s="1"/>
  <c r="E69" i="10" a="1"/>
  <c r="E69" i="10" s="1"/>
  <c r="B70" i="10" a="1"/>
  <c r="B70" i="10" s="1"/>
  <c r="C70" i="10" a="1"/>
  <c r="C70" i="10" s="1"/>
  <c r="D70" i="10" a="1"/>
  <c r="D70" i="10" s="1"/>
  <c r="E70" i="10" a="1"/>
  <c r="E70" i="10" s="1"/>
  <c r="B71" i="10" a="1"/>
  <c r="B71" i="10" s="1"/>
  <c r="C71" i="10" a="1"/>
  <c r="C71" i="10" s="1"/>
  <c r="D71" i="10" a="1"/>
  <c r="D71" i="10" s="1"/>
  <c r="E71" i="10" a="1"/>
  <c r="E71" i="10" s="1"/>
  <c r="B72" i="10" a="1"/>
  <c r="B72" i="10" s="1"/>
  <c r="C72" i="10" a="1"/>
  <c r="C72" i="10" s="1"/>
  <c r="D72" i="10" a="1"/>
  <c r="D72" i="10" s="1"/>
  <c r="E72" i="10" a="1"/>
  <c r="E72" i="10" s="1"/>
  <c r="B73" i="10" a="1"/>
  <c r="B73" i="10" s="1"/>
  <c r="C73" i="10" a="1"/>
  <c r="C73" i="10" s="1"/>
  <c r="D73" i="10" a="1"/>
  <c r="D73" i="10" s="1"/>
  <c r="E73" i="10" a="1"/>
  <c r="E73" i="10" s="1"/>
  <c r="B74" i="10" a="1"/>
  <c r="B74" i="10" s="1"/>
  <c r="C74" i="10" a="1"/>
  <c r="C74" i="10" s="1"/>
  <c r="D74" i="10" a="1"/>
  <c r="D74" i="10" s="1"/>
  <c r="E74" i="10" a="1"/>
  <c r="E74" i="10" s="1"/>
  <c r="B75" i="10" a="1"/>
  <c r="B75" i="10" s="1"/>
  <c r="C75" i="10" a="1"/>
  <c r="C75" i="10" s="1"/>
  <c r="D75" i="10" a="1"/>
  <c r="D75" i="10" s="1"/>
  <c r="E75" i="10" a="1"/>
  <c r="E75" i="10" s="1"/>
  <c r="B76" i="10" a="1"/>
  <c r="B76" i="10" s="1"/>
  <c r="C76" i="10" a="1"/>
  <c r="C76" i="10" s="1"/>
  <c r="D76" i="10" a="1"/>
  <c r="D76" i="10" s="1"/>
  <c r="E76" i="10" a="1"/>
  <c r="E76" i="10" s="1"/>
  <c r="B77" i="10" a="1"/>
  <c r="B77" i="10" s="1"/>
  <c r="C77" i="10" a="1"/>
  <c r="C77" i="10" s="1"/>
  <c r="D77" i="10" a="1"/>
  <c r="D77" i="10" s="1"/>
  <c r="E77" i="10" a="1"/>
  <c r="E77" i="10" s="1"/>
  <c r="B78" i="10" a="1"/>
  <c r="B78" i="10" s="1"/>
  <c r="C78" i="10" a="1"/>
  <c r="C78" i="10" s="1"/>
  <c r="D78" i="10" a="1"/>
  <c r="D78" i="10" s="1"/>
  <c r="E78" i="10" a="1"/>
  <c r="E78" i="10" s="1"/>
  <c r="B79" i="10" a="1"/>
  <c r="B79" i="10" s="1"/>
  <c r="C79" i="10" a="1"/>
  <c r="C79" i="10" s="1"/>
  <c r="D79" i="10" a="1"/>
  <c r="D79" i="10" s="1"/>
  <c r="E79" i="10" a="1"/>
  <c r="E79" i="10" s="1"/>
  <c r="B80" i="10" a="1"/>
  <c r="B80" i="10" s="1"/>
  <c r="C80" i="10" a="1"/>
  <c r="C80" i="10" s="1"/>
  <c r="D80" i="10" a="1"/>
  <c r="D80" i="10" s="1"/>
  <c r="E80" i="10" a="1"/>
  <c r="E80" i="10" s="1"/>
  <c r="B81" i="10" a="1"/>
  <c r="B81" i="10" s="1"/>
  <c r="C81" i="10" a="1"/>
  <c r="C81" i="10" s="1"/>
  <c r="D81" i="10" a="1"/>
  <c r="D81" i="10" s="1"/>
  <c r="E81" i="10" a="1"/>
  <c r="E81" i="10" s="1"/>
  <c r="B82" i="10" a="1"/>
  <c r="B82" i="10" s="1"/>
  <c r="C82" i="10" a="1"/>
  <c r="C82" i="10" s="1"/>
  <c r="D82" i="10" a="1"/>
  <c r="D82" i="10" s="1"/>
  <c r="E82" i="10" a="1"/>
  <c r="E82" i="10" s="1"/>
  <c r="B83" i="10" a="1"/>
  <c r="B83" i="10" s="1"/>
  <c r="C83" i="10" a="1"/>
  <c r="C83" i="10" s="1"/>
  <c r="D83" i="10" a="1"/>
  <c r="D83" i="10" s="1"/>
  <c r="E83" i="10" a="1"/>
  <c r="E83" i="10" s="1"/>
  <c r="B84" i="10" a="1"/>
  <c r="B84" i="10" s="1"/>
  <c r="C84" i="10" a="1"/>
  <c r="C84" i="10" s="1"/>
  <c r="D84" i="10" a="1"/>
  <c r="D84" i="10" s="1"/>
  <c r="E84" i="10" a="1"/>
  <c r="E84" i="10" s="1"/>
  <c r="B85" i="10" a="1"/>
  <c r="B85" i="10" s="1"/>
  <c r="C85" i="10" a="1"/>
  <c r="C85" i="10" s="1"/>
  <c r="D85" i="10" a="1"/>
  <c r="D85" i="10" s="1"/>
  <c r="E85" i="10" a="1"/>
  <c r="E85" i="10" s="1"/>
  <c r="B86" i="10" a="1"/>
  <c r="B86" i="10" s="1"/>
  <c r="C86" i="10" a="1"/>
  <c r="C86" i="10" s="1"/>
  <c r="D86" i="10" a="1"/>
  <c r="D86" i="10" s="1"/>
  <c r="E86" i="10" a="1"/>
  <c r="E86" i="10" s="1"/>
  <c r="B87" i="10" a="1"/>
  <c r="B87" i="10" s="1"/>
  <c r="C87" i="10" a="1"/>
  <c r="C87" i="10" s="1"/>
  <c r="D87" i="10" a="1"/>
  <c r="D87" i="10" s="1"/>
  <c r="E87" i="10" a="1"/>
  <c r="E87" i="10" s="1"/>
  <c r="B88" i="10" a="1"/>
  <c r="B88" i="10" s="1"/>
  <c r="C88" i="10" a="1"/>
  <c r="C88" i="10" s="1"/>
  <c r="D88" i="10" a="1"/>
  <c r="D88" i="10" s="1"/>
  <c r="E88" i="10" a="1"/>
  <c r="E88" i="10" s="1"/>
  <c r="B89" i="10" a="1"/>
  <c r="B89" i="10" s="1"/>
  <c r="C89" i="10" a="1"/>
  <c r="C89" i="10" s="1"/>
  <c r="D89" i="10" a="1"/>
  <c r="D89" i="10" s="1"/>
  <c r="E89" i="10" a="1"/>
  <c r="E89" i="10" s="1"/>
  <c r="B90" i="10" a="1"/>
  <c r="B90" i="10" s="1"/>
  <c r="C90" i="10" a="1"/>
  <c r="C90" i="10" s="1"/>
  <c r="D90" i="10" a="1"/>
  <c r="D90" i="10" s="1"/>
  <c r="E90" i="10" a="1"/>
  <c r="E90" i="10" s="1"/>
  <c r="B91" i="10" a="1"/>
  <c r="B91" i="10" s="1"/>
  <c r="C91" i="10" a="1"/>
  <c r="C91" i="10" s="1"/>
  <c r="D91" i="10" a="1"/>
  <c r="D91" i="10" s="1"/>
  <c r="E91" i="10" a="1"/>
  <c r="E91" i="10" s="1"/>
  <c r="B92" i="10" a="1"/>
  <c r="B92" i="10" s="1"/>
  <c r="C92" i="10" a="1"/>
  <c r="C92" i="10" s="1"/>
  <c r="D92" i="10" a="1"/>
  <c r="D92" i="10" s="1"/>
  <c r="E92" i="10" a="1"/>
  <c r="E92" i="10" s="1"/>
  <c r="B93" i="10" a="1"/>
  <c r="B93" i="10" s="1"/>
  <c r="C93" i="10" a="1"/>
  <c r="C93" i="10" s="1"/>
  <c r="D93" i="10" a="1"/>
  <c r="D93" i="10" s="1"/>
  <c r="E93" i="10" a="1"/>
  <c r="E93" i="10" s="1"/>
  <c r="B94" i="10" a="1"/>
  <c r="B94" i="10" s="1"/>
  <c r="C94" i="10" a="1"/>
  <c r="C94" i="10" s="1"/>
  <c r="D94" i="10" a="1"/>
  <c r="D94" i="10" s="1"/>
  <c r="E94" i="10" a="1"/>
  <c r="E94" i="10" s="1"/>
  <c r="B95" i="10" a="1"/>
  <c r="B95" i="10" s="1"/>
  <c r="C95" i="10" a="1"/>
  <c r="C95" i="10" s="1"/>
  <c r="D95" i="10" a="1"/>
  <c r="D95" i="10" s="1"/>
  <c r="E95" i="10" a="1"/>
  <c r="E95" i="10" s="1"/>
  <c r="B96" i="10" a="1"/>
  <c r="B96" i="10" s="1"/>
  <c r="C96" i="10" a="1"/>
  <c r="C96" i="10" s="1"/>
  <c r="D96" i="10" a="1"/>
  <c r="D96" i="10" s="1"/>
  <c r="E96" i="10" a="1"/>
  <c r="E96" i="10" s="1"/>
  <c r="B97" i="10" a="1"/>
  <c r="B97" i="10" s="1"/>
  <c r="C97" i="10" a="1"/>
  <c r="C97" i="10" s="1"/>
  <c r="D97" i="10" a="1"/>
  <c r="D97" i="10" s="1"/>
  <c r="E97" i="10" a="1"/>
  <c r="E97" i="10" s="1"/>
  <c r="B98" i="10" a="1"/>
  <c r="B98" i="10" s="1"/>
  <c r="C98" i="10" a="1"/>
  <c r="C98" i="10" s="1"/>
  <c r="D98" i="10" a="1"/>
  <c r="D98" i="10" s="1"/>
  <c r="E98" i="10" a="1"/>
  <c r="E98" i="10" s="1"/>
  <c r="B99" i="10" a="1"/>
  <c r="B99" i="10" s="1"/>
  <c r="C99" i="10" a="1"/>
  <c r="C99" i="10" s="1"/>
  <c r="D99" i="10" a="1"/>
  <c r="D99" i="10" s="1"/>
  <c r="E99" i="10" a="1"/>
  <c r="E99" i="10" s="1"/>
  <c r="B100" i="10" a="1"/>
  <c r="B100" i="10" s="1"/>
  <c r="C100" i="10" a="1"/>
  <c r="C100" i="10" s="1"/>
  <c r="D100" i="10" a="1"/>
  <c r="D100" i="10" s="1"/>
  <c r="E100" i="10" a="1"/>
  <c r="E100" i="10" s="1"/>
  <c r="B101" i="10" a="1"/>
  <c r="B101" i="10" s="1"/>
  <c r="C101" i="10" a="1"/>
  <c r="C101" i="10" s="1"/>
  <c r="D101" i="10" a="1"/>
  <c r="D101" i="10" s="1"/>
  <c r="E101" i="10" a="1"/>
  <c r="E101" i="10" s="1"/>
  <c r="B102" i="10" a="1"/>
  <c r="B102" i="10" s="1"/>
  <c r="C102" i="10" a="1"/>
  <c r="C102" i="10" s="1"/>
  <c r="D102" i="10" a="1"/>
  <c r="D102" i="10" s="1"/>
  <c r="E102" i="10" a="1"/>
  <c r="E102" i="10" s="1"/>
  <c r="B103" i="10" a="1"/>
  <c r="B103" i="10" s="1"/>
  <c r="C103" i="10" a="1"/>
  <c r="C103" i="10" s="1"/>
  <c r="D103" i="10" a="1"/>
  <c r="D103" i="10" s="1"/>
  <c r="E103" i="10" a="1"/>
  <c r="E103" i="10" s="1"/>
  <c r="B104" i="10" a="1"/>
  <c r="B104" i="10" s="1"/>
  <c r="C104" i="10" a="1"/>
  <c r="C104" i="10" s="1"/>
  <c r="D104" i="10" a="1"/>
  <c r="D104" i="10" s="1"/>
  <c r="E104" i="10" a="1"/>
  <c r="E104" i="10" s="1"/>
  <c r="B105" i="10" a="1"/>
  <c r="B105" i="10" s="1"/>
  <c r="C105" i="10" a="1"/>
  <c r="C105" i="10" s="1"/>
  <c r="D105" i="10" a="1"/>
  <c r="D105" i="10" s="1"/>
  <c r="E105" i="10" a="1"/>
  <c r="E105" i="10" s="1"/>
  <c r="B106" i="10" a="1"/>
  <c r="B106" i="10" s="1"/>
  <c r="C106" i="10" a="1"/>
  <c r="C106" i="10" s="1"/>
  <c r="D106" i="10" a="1"/>
  <c r="D106" i="10" s="1"/>
  <c r="E106" i="10" a="1"/>
  <c r="E106" i="10" s="1"/>
  <c r="B107" i="10" a="1"/>
  <c r="B107" i="10" s="1"/>
  <c r="C107" i="10" a="1"/>
  <c r="C107" i="10" s="1"/>
  <c r="D107" i="10" a="1"/>
  <c r="D107" i="10" s="1"/>
  <c r="E107" i="10" a="1"/>
  <c r="E107" i="10" s="1"/>
  <c r="B108" i="10" a="1"/>
  <c r="B108" i="10" s="1"/>
  <c r="C108" i="10" a="1"/>
  <c r="C108" i="10" s="1"/>
  <c r="D108" i="10" a="1"/>
  <c r="D108" i="10" s="1"/>
  <c r="E108" i="10" a="1"/>
  <c r="E108" i="10" s="1"/>
  <c r="B109" i="10" a="1"/>
  <c r="B109" i="10" s="1"/>
  <c r="C109" i="10" a="1"/>
  <c r="C109" i="10" s="1"/>
  <c r="D109" i="10" a="1"/>
  <c r="D109" i="10" s="1"/>
  <c r="E109" i="10" a="1"/>
  <c r="E109" i="10" s="1"/>
  <c r="B110" i="10" a="1"/>
  <c r="B110" i="10" s="1"/>
  <c r="C110" i="10" a="1"/>
  <c r="C110" i="10" s="1"/>
  <c r="D110" i="10" a="1"/>
  <c r="D110" i="10" s="1"/>
  <c r="E110" i="10" a="1"/>
  <c r="E110" i="10" s="1"/>
  <c r="B111" i="10" a="1"/>
  <c r="B111" i="10" s="1"/>
  <c r="C111" i="10" a="1"/>
  <c r="C111" i="10" s="1"/>
  <c r="D111" i="10" a="1"/>
  <c r="D111" i="10" s="1"/>
  <c r="E111" i="10" a="1"/>
  <c r="E111" i="10" s="1"/>
  <c r="B112" i="10" a="1"/>
  <c r="B112" i="10" s="1"/>
  <c r="C112" i="10" a="1"/>
  <c r="C112" i="10" s="1"/>
  <c r="D112" i="10" a="1"/>
  <c r="D112" i="10" s="1"/>
  <c r="E112" i="10" a="1"/>
  <c r="E112" i="10" s="1"/>
  <c r="B113" i="10" a="1"/>
  <c r="B113" i="10" s="1"/>
  <c r="C113" i="10" a="1"/>
  <c r="C113" i="10" s="1"/>
  <c r="D113" i="10" a="1"/>
  <c r="D113" i="10" s="1"/>
  <c r="E113" i="10" a="1"/>
  <c r="E113" i="10" s="1"/>
  <c r="B114" i="10" a="1"/>
  <c r="B114" i="10" s="1"/>
  <c r="C114" i="10" a="1"/>
  <c r="C114" i="10" s="1"/>
  <c r="D114" i="10" a="1"/>
  <c r="D114" i="10" s="1"/>
  <c r="E114" i="10" a="1"/>
  <c r="E114" i="10" s="1"/>
  <c r="B115" i="10" a="1"/>
  <c r="B115" i="10" s="1"/>
  <c r="C115" i="10" a="1"/>
  <c r="C115" i="10" s="1"/>
  <c r="D115" i="10" a="1"/>
  <c r="D115" i="10" s="1"/>
  <c r="E115" i="10" a="1"/>
  <c r="E115" i="10" s="1"/>
  <c r="B116" i="10" a="1"/>
  <c r="B116" i="10" s="1"/>
  <c r="C116" i="10" a="1"/>
  <c r="C116" i="10" s="1"/>
  <c r="D116" i="10" a="1"/>
  <c r="D116" i="10" s="1"/>
  <c r="E116" i="10" a="1"/>
  <c r="E116" i="10" s="1"/>
  <c r="B117" i="10" a="1"/>
  <c r="B117" i="10" s="1"/>
  <c r="C117" i="10" a="1"/>
  <c r="C117" i="10" s="1"/>
  <c r="D117" i="10" a="1"/>
  <c r="D117" i="10" s="1"/>
  <c r="E117" i="10" a="1"/>
  <c r="E117" i="10" s="1"/>
  <c r="B118" i="10" a="1"/>
  <c r="B118" i="10" s="1"/>
  <c r="C118" i="10" a="1"/>
  <c r="C118" i="10" s="1"/>
  <c r="D118" i="10" a="1"/>
  <c r="D118" i="10" s="1"/>
  <c r="E118" i="10" a="1"/>
  <c r="E118" i="10" s="1"/>
  <c r="B119" i="10" a="1"/>
  <c r="B119" i="10" s="1"/>
  <c r="C119" i="10" a="1"/>
  <c r="C119" i="10" s="1"/>
  <c r="D119" i="10" a="1"/>
  <c r="D119" i="10" s="1"/>
  <c r="E119" i="10" a="1"/>
  <c r="E119" i="10" s="1"/>
  <c r="B120" i="10" a="1"/>
  <c r="B120" i="10" s="1"/>
  <c r="C120" i="10" a="1"/>
  <c r="C120" i="10" s="1"/>
  <c r="D120" i="10" a="1"/>
  <c r="D120" i="10" s="1"/>
  <c r="E120" i="10" a="1"/>
  <c r="E120" i="10" s="1"/>
  <c r="B121" i="10" a="1"/>
  <c r="B121" i="10" s="1"/>
  <c r="C121" i="10" a="1"/>
  <c r="C121" i="10" s="1"/>
  <c r="D121" i="10" a="1"/>
  <c r="D121" i="10" s="1"/>
  <c r="E121" i="10" a="1"/>
  <c r="E121" i="10" s="1"/>
  <c r="B122" i="10" a="1"/>
  <c r="B122" i="10" s="1"/>
  <c r="C122" i="10" a="1"/>
  <c r="C122" i="10" s="1"/>
  <c r="D122" i="10" a="1"/>
  <c r="D122" i="10" s="1"/>
  <c r="E122" i="10" a="1"/>
  <c r="E122" i="10" s="1"/>
  <c r="B123" i="10" a="1"/>
  <c r="B123" i="10" s="1"/>
  <c r="C123" i="10" a="1"/>
  <c r="C123" i="10" s="1"/>
  <c r="D123" i="10" a="1"/>
  <c r="D123" i="10" s="1"/>
  <c r="E123" i="10" a="1"/>
  <c r="E123" i="10" s="1"/>
  <c r="B124" i="10" a="1"/>
  <c r="B124" i="10" s="1"/>
  <c r="C124" i="10" a="1"/>
  <c r="C124" i="10" s="1"/>
  <c r="D124" i="10" a="1"/>
  <c r="D124" i="10" s="1"/>
  <c r="E124" i="10" a="1"/>
  <c r="E124" i="10" s="1"/>
  <c r="B125" i="10" a="1"/>
  <c r="B125" i="10" s="1"/>
  <c r="C125" i="10" a="1"/>
  <c r="C125" i="10" s="1"/>
  <c r="D125" i="10" a="1"/>
  <c r="D125" i="10" s="1"/>
  <c r="E125" i="10" a="1"/>
  <c r="E125" i="10" s="1"/>
  <c r="B126" i="10" a="1"/>
  <c r="B126" i="10" s="1"/>
  <c r="C126" i="10" a="1"/>
  <c r="C126" i="10" s="1"/>
  <c r="D126" i="10" a="1"/>
  <c r="D126" i="10" s="1"/>
  <c r="E126" i="10" a="1"/>
  <c r="E126" i="10" s="1"/>
  <c r="B127" i="10" a="1"/>
  <c r="B127" i="10" s="1"/>
  <c r="C127" i="10" a="1"/>
  <c r="C127" i="10" s="1"/>
  <c r="D127" i="10" a="1"/>
  <c r="D127" i="10" s="1"/>
  <c r="E127" i="10" a="1"/>
  <c r="E127" i="10" s="1"/>
  <c r="B128" i="10" a="1"/>
  <c r="B128" i="10" s="1"/>
  <c r="C128" i="10" a="1"/>
  <c r="C128" i="10" s="1"/>
  <c r="D128" i="10" a="1"/>
  <c r="D128" i="10" s="1"/>
  <c r="E128" i="10" a="1"/>
  <c r="E128" i="10" s="1"/>
  <c r="B129" i="10" a="1"/>
  <c r="B129" i="10" s="1"/>
  <c r="C129" i="10" a="1"/>
  <c r="C129" i="10" s="1"/>
  <c r="D129" i="10" a="1"/>
  <c r="D129" i="10" s="1"/>
  <c r="E129" i="10" a="1"/>
  <c r="E129" i="10" s="1"/>
  <c r="B130" i="10" a="1"/>
  <c r="B130" i="10" s="1"/>
  <c r="C130" i="10" a="1"/>
  <c r="C130" i="10" s="1"/>
  <c r="D130" i="10" a="1"/>
  <c r="D130" i="10" s="1"/>
  <c r="E130" i="10" a="1"/>
  <c r="E130" i="10" s="1"/>
  <c r="B131" i="10" a="1"/>
  <c r="B131" i="10" s="1"/>
  <c r="C131" i="10" a="1"/>
  <c r="C131" i="10" s="1"/>
  <c r="D131" i="10" a="1"/>
  <c r="D131" i="10" s="1"/>
  <c r="E131" i="10" a="1"/>
  <c r="E131" i="10" s="1"/>
  <c r="B132" i="10" a="1"/>
  <c r="B132" i="10" s="1"/>
  <c r="C132" i="10" a="1"/>
  <c r="C132" i="10" s="1"/>
  <c r="D132" i="10" a="1"/>
  <c r="D132" i="10" s="1"/>
  <c r="E132" i="10" a="1"/>
  <c r="E132" i="10" s="1"/>
  <c r="B133" i="10" a="1"/>
  <c r="B133" i="10" s="1"/>
  <c r="C133" i="10" a="1"/>
  <c r="C133" i="10" s="1"/>
  <c r="D133" i="10" a="1"/>
  <c r="D133" i="10" s="1"/>
  <c r="E133" i="10" a="1"/>
  <c r="E133" i="10" s="1"/>
  <c r="B134" i="10" a="1"/>
  <c r="B134" i="10" s="1"/>
  <c r="C134" i="10" a="1"/>
  <c r="C134" i="10" s="1"/>
  <c r="D134" i="10" a="1"/>
  <c r="D134" i="10" s="1"/>
  <c r="E134" i="10" a="1"/>
  <c r="E134" i="10" s="1"/>
  <c r="B135" i="10" a="1"/>
  <c r="B135" i="10" s="1"/>
  <c r="C135" i="10" a="1"/>
  <c r="C135" i="10" s="1"/>
  <c r="D135" i="10" a="1"/>
  <c r="D135" i="10" s="1"/>
  <c r="E135" i="10" a="1"/>
  <c r="E135" i="10" s="1"/>
  <c r="B136" i="10" a="1"/>
  <c r="B136" i="10" s="1"/>
  <c r="C136" i="10" a="1"/>
  <c r="C136" i="10" s="1"/>
  <c r="D136" i="10" a="1"/>
  <c r="D136" i="10" s="1"/>
  <c r="E136" i="10" a="1"/>
  <c r="E136" i="10" s="1"/>
  <c r="B137" i="10" a="1"/>
  <c r="B137" i="10" s="1"/>
  <c r="C137" i="10" a="1"/>
  <c r="C137" i="10" s="1"/>
  <c r="D137" i="10" a="1"/>
  <c r="D137" i="10" s="1"/>
  <c r="E137" i="10" a="1"/>
  <c r="E137" i="10" s="1"/>
  <c r="B138" i="10" a="1"/>
  <c r="B138" i="10" s="1"/>
  <c r="C138" i="10" a="1"/>
  <c r="C138" i="10" s="1"/>
  <c r="D138" i="10" a="1"/>
  <c r="D138" i="10" s="1"/>
  <c r="E138" i="10" a="1"/>
  <c r="E138" i="10" s="1"/>
  <c r="B139" i="10" a="1"/>
  <c r="B139" i="10" s="1"/>
  <c r="C139" i="10" a="1"/>
  <c r="C139" i="10" s="1"/>
  <c r="D139" i="10" a="1"/>
  <c r="D139" i="10" s="1"/>
  <c r="E139" i="10" a="1"/>
  <c r="E139" i="10" s="1"/>
  <c r="B140" i="10" a="1"/>
  <c r="B140" i="10" s="1"/>
  <c r="C140" i="10" a="1"/>
  <c r="C140" i="10" s="1"/>
  <c r="D140" i="10" a="1"/>
  <c r="D140" i="10" s="1"/>
  <c r="E140" i="10" a="1"/>
  <c r="E140" i="10" s="1"/>
  <c r="B141" i="10" a="1"/>
  <c r="B141" i="10" s="1"/>
  <c r="C141" i="10" a="1"/>
  <c r="C141" i="10" s="1"/>
  <c r="D141" i="10" a="1"/>
  <c r="D141" i="10" s="1"/>
  <c r="E141" i="10" a="1"/>
  <c r="E141" i="10" s="1"/>
  <c r="B142" i="10" a="1"/>
  <c r="B142" i="10" s="1"/>
  <c r="C142" i="10" a="1"/>
  <c r="C142" i="10" s="1"/>
  <c r="D142" i="10" a="1"/>
  <c r="D142" i="10" s="1"/>
  <c r="E142" i="10" a="1"/>
  <c r="E142" i="10" s="1"/>
  <c r="B143" i="10" a="1"/>
  <c r="B143" i="10" s="1"/>
  <c r="C143" i="10" a="1"/>
  <c r="C143" i="10" s="1"/>
  <c r="D143" i="10" a="1"/>
  <c r="D143" i="10" s="1"/>
  <c r="E143" i="10" a="1"/>
  <c r="E143" i="10" s="1"/>
  <c r="B144" i="10" a="1"/>
  <c r="B144" i="10" s="1"/>
  <c r="C144" i="10" a="1"/>
  <c r="C144" i="10" s="1"/>
  <c r="D144" i="10" a="1"/>
  <c r="D144" i="10" s="1"/>
  <c r="E144" i="10" a="1"/>
  <c r="E144" i="10" s="1"/>
  <c r="B145" i="10" a="1"/>
  <c r="B145" i="10" s="1"/>
  <c r="C145" i="10" a="1"/>
  <c r="C145" i="10" s="1"/>
  <c r="D145" i="10" a="1"/>
  <c r="D145" i="10" s="1"/>
  <c r="E145" i="10" a="1"/>
  <c r="E145" i="10" s="1"/>
  <c r="B146" i="10" a="1"/>
  <c r="B146" i="10" s="1"/>
  <c r="C146" i="10" a="1"/>
  <c r="C146" i="10" s="1"/>
  <c r="D146" i="10" a="1"/>
  <c r="D146" i="10" s="1"/>
  <c r="E146" i="10" a="1"/>
  <c r="E146" i="10" s="1"/>
  <c r="B147" i="10" a="1"/>
  <c r="B147" i="10" s="1"/>
  <c r="C147" i="10" a="1"/>
  <c r="C147" i="10" s="1"/>
  <c r="D147" i="10" a="1"/>
  <c r="D147" i="10" s="1"/>
  <c r="E147" i="10" a="1"/>
  <c r="E147" i="10" s="1"/>
  <c r="B148" i="10" a="1"/>
  <c r="B148" i="10" s="1"/>
  <c r="C148" i="10" a="1"/>
  <c r="C148" i="10" s="1"/>
  <c r="D148" i="10" a="1"/>
  <c r="D148" i="10" s="1"/>
  <c r="E148" i="10" a="1"/>
  <c r="E148" i="10" s="1"/>
  <c r="B149" i="10" a="1"/>
  <c r="B149" i="10" s="1"/>
  <c r="C149" i="10" a="1"/>
  <c r="C149" i="10" s="1"/>
  <c r="D149" i="10" a="1"/>
  <c r="D149" i="10" s="1"/>
  <c r="E149" i="10" a="1"/>
  <c r="E149" i="10" s="1"/>
  <c r="B150" i="10" a="1"/>
  <c r="B150" i="10" s="1"/>
  <c r="C150" i="10" a="1"/>
  <c r="C150" i="10" s="1"/>
  <c r="D150" i="10" a="1"/>
  <c r="D150" i="10" s="1"/>
  <c r="E150" i="10" a="1"/>
  <c r="E150" i="10" s="1"/>
  <c r="B151" i="10" a="1"/>
  <c r="B151" i="10" s="1"/>
  <c r="C151" i="10" a="1"/>
  <c r="C151" i="10" s="1"/>
  <c r="D151" i="10" a="1"/>
  <c r="D151" i="10" s="1"/>
  <c r="E151" i="10" a="1"/>
  <c r="E151" i="10" s="1"/>
  <c r="B152" i="10" a="1"/>
  <c r="B152" i="10" s="1"/>
  <c r="C152" i="10" a="1"/>
  <c r="C152" i="10" s="1"/>
  <c r="D152" i="10" a="1"/>
  <c r="D152" i="10" s="1"/>
  <c r="E152" i="10" a="1"/>
  <c r="E152" i="10" s="1"/>
  <c r="B153" i="10" a="1"/>
  <c r="B153" i="10" s="1"/>
  <c r="C153" i="10" a="1"/>
  <c r="C153" i="10" s="1"/>
  <c r="D153" i="10" a="1"/>
  <c r="D153" i="10" s="1"/>
  <c r="E153" i="10" a="1"/>
  <c r="E153" i="10" s="1"/>
  <c r="B154" i="10" a="1"/>
  <c r="B154" i="10" s="1"/>
  <c r="C154" i="10" a="1"/>
  <c r="C154" i="10" s="1"/>
  <c r="D154" i="10" a="1"/>
  <c r="D154" i="10" s="1"/>
  <c r="E154" i="10" a="1"/>
  <c r="E154" i="10" s="1"/>
  <c r="B155" i="10" a="1"/>
  <c r="B155" i="10" s="1"/>
  <c r="C155" i="10" a="1"/>
  <c r="C155" i="10" s="1"/>
  <c r="D155" i="10" a="1"/>
  <c r="D155" i="10" s="1"/>
  <c r="E155" i="10" a="1"/>
  <c r="E155" i="10" s="1"/>
  <c r="B156" i="10" a="1"/>
  <c r="B156" i="10" s="1"/>
  <c r="C156" i="10" a="1"/>
  <c r="C156" i="10" s="1"/>
  <c r="D156" i="10" a="1"/>
  <c r="D156" i="10" s="1"/>
  <c r="E156" i="10" a="1"/>
  <c r="E156" i="10" s="1"/>
  <c r="B157" i="10" a="1"/>
  <c r="B157" i="10" s="1"/>
  <c r="C157" i="10" a="1"/>
  <c r="C157" i="10" s="1"/>
  <c r="D157" i="10" a="1"/>
  <c r="D157" i="10" s="1"/>
  <c r="E157" i="10" a="1"/>
  <c r="E157" i="10" s="1"/>
  <c r="B158" i="10" a="1"/>
  <c r="B158" i="10" s="1"/>
  <c r="C158" i="10" a="1"/>
  <c r="C158" i="10" s="1"/>
  <c r="D158" i="10" a="1"/>
  <c r="D158" i="10" s="1"/>
  <c r="E158" i="10" a="1"/>
  <c r="E158" i="10" s="1"/>
  <c r="B159" i="10" a="1"/>
  <c r="B159" i="10" s="1"/>
  <c r="C159" i="10" a="1"/>
  <c r="C159" i="10" s="1"/>
  <c r="D159" i="10" a="1"/>
  <c r="D159" i="10" s="1"/>
  <c r="E159" i="10" a="1"/>
  <c r="E159" i="10" s="1"/>
  <c r="B160" i="10" a="1"/>
  <c r="B160" i="10" s="1"/>
  <c r="C160" i="10" a="1"/>
  <c r="C160" i="10" s="1"/>
  <c r="D160" i="10" a="1"/>
  <c r="D160" i="10" s="1"/>
  <c r="E160" i="10" a="1"/>
  <c r="E160" i="10" s="1"/>
  <c r="B161" i="10" a="1"/>
  <c r="B161" i="10" s="1"/>
  <c r="C161" i="10" a="1"/>
  <c r="C161" i="10" s="1"/>
  <c r="D161" i="10" a="1"/>
  <c r="D161" i="10" s="1"/>
  <c r="E161" i="10" a="1"/>
  <c r="E161" i="10" s="1"/>
  <c r="B162" i="10" a="1"/>
  <c r="B162" i="10" s="1"/>
  <c r="C162" i="10" a="1"/>
  <c r="C162" i="10" s="1"/>
  <c r="D162" i="10" a="1"/>
  <c r="D162" i="10" s="1"/>
  <c r="E162" i="10" a="1"/>
  <c r="E162" i="10" s="1"/>
  <c r="B163" i="10" a="1"/>
  <c r="B163" i="10" s="1"/>
  <c r="C163" i="10" a="1"/>
  <c r="C163" i="10" s="1"/>
  <c r="D163" i="10" a="1"/>
  <c r="D163" i="10" s="1"/>
  <c r="E163" i="10" a="1"/>
  <c r="E163" i="10" s="1"/>
  <c r="B164" i="10" a="1"/>
  <c r="B164" i="10" s="1"/>
  <c r="C164" i="10" a="1"/>
  <c r="C164" i="10" s="1"/>
  <c r="D164" i="10" a="1"/>
  <c r="D164" i="10" s="1"/>
  <c r="E164" i="10" a="1"/>
  <c r="E164" i="10" s="1"/>
  <c r="B165" i="10" a="1"/>
  <c r="B165" i="10" s="1"/>
  <c r="C165" i="10" a="1"/>
  <c r="C165" i="10" s="1"/>
  <c r="D165" i="10" a="1"/>
  <c r="D165" i="10" s="1"/>
  <c r="E165" i="10" a="1"/>
  <c r="E165" i="10" s="1"/>
  <c r="B166" i="10" a="1"/>
  <c r="B166" i="10" s="1"/>
  <c r="C166" i="10" a="1"/>
  <c r="C166" i="10" s="1"/>
  <c r="D166" i="10" a="1"/>
  <c r="D166" i="10" s="1"/>
  <c r="E166" i="10" a="1"/>
  <c r="E166" i="10" s="1"/>
  <c r="B167" i="10" a="1"/>
  <c r="B167" i="10" s="1"/>
  <c r="C167" i="10" a="1"/>
  <c r="C167" i="10" s="1"/>
  <c r="D167" i="10" a="1"/>
  <c r="D167" i="10" s="1"/>
  <c r="E167" i="10" a="1"/>
  <c r="E167" i="10" s="1"/>
  <c r="B168" i="10" a="1"/>
  <c r="B168" i="10"/>
  <c r="C168" i="10" a="1"/>
  <c r="C168" i="10" s="1"/>
  <c r="D168" i="10" a="1"/>
  <c r="D168" i="10" s="1"/>
  <c r="E168" i="10" a="1"/>
  <c r="E168" i="10" s="1"/>
  <c r="B169" i="10" a="1"/>
  <c r="B169" i="10" s="1"/>
  <c r="C169" i="10" a="1"/>
  <c r="C169" i="10" s="1"/>
  <c r="D169" i="10" a="1"/>
  <c r="D169" i="10" s="1"/>
  <c r="E169" i="10" a="1"/>
  <c r="E169" i="10" s="1"/>
  <c r="B170" i="10" a="1"/>
  <c r="B170" i="10" s="1"/>
  <c r="C170" i="10" a="1"/>
  <c r="C170" i="10" s="1"/>
  <c r="D170" i="10" a="1"/>
  <c r="D170" i="10" s="1"/>
  <c r="E170" i="10" a="1"/>
  <c r="E170" i="10" s="1"/>
  <c r="B171" i="10" a="1"/>
  <c r="B171" i="10" s="1"/>
  <c r="C171" i="10" a="1"/>
  <c r="C171" i="10" s="1"/>
  <c r="D171" i="10" a="1"/>
  <c r="D171" i="10" s="1"/>
  <c r="E171" i="10" a="1"/>
  <c r="E171" i="10" s="1"/>
  <c r="B172" i="10" a="1"/>
  <c r="B172" i="10" s="1"/>
  <c r="C172" i="10" a="1"/>
  <c r="C172" i="10" s="1"/>
  <c r="D172" i="10" a="1"/>
  <c r="D172" i="10" s="1"/>
  <c r="E172" i="10" a="1"/>
  <c r="E172" i="10" s="1"/>
  <c r="B173" i="10" a="1"/>
  <c r="B173" i="10" s="1"/>
  <c r="C173" i="10" a="1"/>
  <c r="C173" i="10" s="1"/>
  <c r="D173" i="10" a="1"/>
  <c r="D173" i="10" s="1"/>
  <c r="E173" i="10" a="1"/>
  <c r="E173" i="10" s="1"/>
  <c r="B174" i="10" a="1"/>
  <c r="B174" i="10" s="1"/>
  <c r="C174" i="10" a="1"/>
  <c r="C174" i="10" s="1"/>
  <c r="D174" i="10" a="1"/>
  <c r="D174" i="10" s="1"/>
  <c r="E174" i="10" a="1"/>
  <c r="E174" i="10" s="1"/>
  <c r="B175" i="10" a="1"/>
  <c r="B175" i="10" s="1"/>
  <c r="C175" i="10" a="1"/>
  <c r="C175" i="10" s="1"/>
  <c r="D175" i="10" a="1"/>
  <c r="D175" i="10" s="1"/>
  <c r="E175" i="10" a="1"/>
  <c r="E175" i="10" s="1"/>
  <c r="B176" i="10" a="1"/>
  <c r="B176" i="10" s="1"/>
  <c r="C176" i="10" a="1"/>
  <c r="C176" i="10" s="1"/>
  <c r="D176" i="10" a="1"/>
  <c r="D176" i="10" s="1"/>
  <c r="E176" i="10" a="1"/>
  <c r="E176" i="10" s="1"/>
  <c r="B177" i="10" a="1"/>
  <c r="B177" i="10" s="1"/>
  <c r="C177" i="10" a="1"/>
  <c r="C177" i="10" s="1"/>
  <c r="D177" i="10" a="1"/>
  <c r="D177" i="10" s="1"/>
  <c r="E177" i="10" a="1"/>
  <c r="E177" i="10" s="1"/>
  <c r="B178" i="10" a="1"/>
  <c r="B178" i="10" s="1"/>
  <c r="C178" i="10" a="1"/>
  <c r="C178" i="10" s="1"/>
  <c r="D178" i="10" a="1"/>
  <c r="D178" i="10" s="1"/>
  <c r="E178" i="10" a="1"/>
  <c r="E178" i="10" s="1"/>
  <c r="B179" i="10" a="1"/>
  <c r="B179" i="10" s="1"/>
  <c r="C179" i="10" a="1"/>
  <c r="C179" i="10" s="1"/>
  <c r="D179" i="10" a="1"/>
  <c r="D179" i="10" s="1"/>
  <c r="E179" i="10" a="1"/>
  <c r="E179" i="10" s="1"/>
  <c r="B180" i="10" a="1"/>
  <c r="B180" i="10" s="1"/>
  <c r="C180" i="10" a="1"/>
  <c r="C180" i="10" s="1"/>
  <c r="D180" i="10" a="1"/>
  <c r="D180" i="10" s="1"/>
  <c r="E180" i="10" a="1"/>
  <c r="E180" i="10" s="1"/>
  <c r="B181" i="10" a="1"/>
  <c r="B181" i="10" s="1"/>
  <c r="C181" i="10" a="1"/>
  <c r="C181" i="10" s="1"/>
  <c r="D181" i="10" a="1"/>
  <c r="D181" i="10" s="1"/>
  <c r="E181" i="10" a="1"/>
  <c r="E181" i="10" s="1"/>
  <c r="B182" i="10" a="1"/>
  <c r="B182" i="10" s="1"/>
  <c r="C182" i="10" a="1"/>
  <c r="C182" i="10" s="1"/>
  <c r="D182" i="10" a="1"/>
  <c r="D182" i="10" s="1"/>
  <c r="E182" i="10" a="1"/>
  <c r="E182" i="10" s="1"/>
  <c r="B183" i="10" a="1"/>
  <c r="B183" i="10" s="1"/>
  <c r="C183" i="10" a="1"/>
  <c r="C183" i="10" s="1"/>
  <c r="D183" i="10" a="1"/>
  <c r="D183" i="10" s="1"/>
  <c r="E183" i="10" a="1"/>
  <c r="E183" i="10" s="1"/>
  <c r="B184" i="10" a="1"/>
  <c r="B184" i="10" s="1"/>
  <c r="C184" i="10" a="1"/>
  <c r="C184" i="10" s="1"/>
  <c r="D184" i="10" a="1"/>
  <c r="D184" i="10" s="1"/>
  <c r="E184" i="10" a="1"/>
  <c r="E184" i="10" s="1"/>
  <c r="B185" i="10" a="1"/>
  <c r="B185" i="10" s="1"/>
  <c r="C185" i="10" a="1"/>
  <c r="C185" i="10" s="1"/>
  <c r="D185" i="10" a="1"/>
  <c r="D185" i="10" s="1"/>
  <c r="E185" i="10" a="1"/>
  <c r="E185" i="10" s="1"/>
  <c r="B186" i="10" a="1"/>
  <c r="B186" i="10" s="1"/>
  <c r="C186" i="10" a="1"/>
  <c r="C186" i="10" s="1"/>
  <c r="D186" i="10" a="1"/>
  <c r="D186" i="10" s="1"/>
  <c r="E186" i="10" a="1"/>
  <c r="E186" i="10" s="1"/>
  <c r="B187" i="10" a="1"/>
  <c r="B187" i="10" s="1"/>
  <c r="C187" i="10" a="1"/>
  <c r="C187" i="10" s="1"/>
  <c r="D187" i="10" a="1"/>
  <c r="D187" i="10" s="1"/>
  <c r="E187" i="10" a="1"/>
  <c r="E187" i="10" s="1"/>
  <c r="B188" i="10" a="1"/>
  <c r="B188" i="10" s="1"/>
  <c r="C188" i="10" a="1"/>
  <c r="C188" i="10" s="1"/>
  <c r="D188" i="10" a="1"/>
  <c r="D188" i="10" s="1"/>
  <c r="E188" i="10" a="1"/>
  <c r="E188" i="10" s="1"/>
  <c r="B189" i="10" a="1"/>
  <c r="B189" i="10" s="1"/>
  <c r="C189" i="10" a="1"/>
  <c r="C189" i="10" s="1"/>
  <c r="D189" i="10" a="1"/>
  <c r="D189" i="10" s="1"/>
  <c r="E189" i="10" a="1"/>
  <c r="E189" i="10" s="1"/>
  <c r="B190" i="10" a="1"/>
  <c r="B190" i="10" s="1"/>
  <c r="C190" i="10" a="1"/>
  <c r="C190" i="10" s="1"/>
  <c r="D190" i="10" a="1"/>
  <c r="D190" i="10" s="1"/>
  <c r="E190" i="10" a="1"/>
  <c r="E190" i="10" s="1"/>
  <c r="B191" i="10" a="1"/>
  <c r="B191" i="10" s="1"/>
  <c r="C191" i="10" a="1"/>
  <c r="C191" i="10" s="1"/>
  <c r="D191" i="10" a="1"/>
  <c r="D191" i="10" s="1"/>
  <c r="E191" i="10" a="1"/>
  <c r="E191" i="10" s="1"/>
  <c r="B192" i="10" a="1"/>
  <c r="B192" i="10" s="1"/>
  <c r="C192" i="10" a="1"/>
  <c r="C192" i="10" s="1"/>
  <c r="D192" i="10" a="1"/>
  <c r="D192" i="10" s="1"/>
  <c r="E192" i="10" a="1"/>
  <c r="E192" i="10" s="1"/>
  <c r="B193" i="10" a="1"/>
  <c r="B193" i="10" s="1"/>
  <c r="C193" i="10" a="1"/>
  <c r="C193" i="10" s="1"/>
  <c r="D193" i="10" a="1"/>
  <c r="D193" i="10" s="1"/>
  <c r="E193" i="10" a="1"/>
  <c r="E193" i="10" s="1"/>
  <c r="B194" i="10" a="1"/>
  <c r="B194" i="10" s="1"/>
  <c r="C194" i="10" a="1"/>
  <c r="C194" i="10" s="1"/>
  <c r="D194" i="10" a="1"/>
  <c r="D194" i="10" s="1"/>
  <c r="E194" i="10" a="1"/>
  <c r="E194" i="10" s="1"/>
  <c r="B195" i="10" a="1"/>
  <c r="B195" i="10" s="1"/>
  <c r="C195" i="10" a="1"/>
  <c r="C195" i="10" s="1"/>
  <c r="D195" i="10" a="1"/>
  <c r="D195" i="10" s="1"/>
  <c r="E195" i="10" a="1"/>
  <c r="E195" i="10" s="1"/>
  <c r="B196" i="10" a="1"/>
  <c r="B196" i="10" s="1"/>
  <c r="C196" i="10" a="1"/>
  <c r="C196" i="10" s="1"/>
  <c r="D196" i="10" a="1"/>
  <c r="D196" i="10" s="1"/>
  <c r="E196" i="10" a="1"/>
  <c r="E196" i="10" s="1"/>
  <c r="B197" i="10" a="1"/>
  <c r="B197" i="10" s="1"/>
  <c r="C197" i="10" a="1"/>
  <c r="C197" i="10" s="1"/>
  <c r="D197" i="10" a="1"/>
  <c r="D197" i="10" s="1"/>
  <c r="E197" i="10" a="1"/>
  <c r="E197" i="10" s="1"/>
  <c r="B198" i="10" a="1"/>
  <c r="B198" i="10" s="1"/>
  <c r="C198" i="10" a="1"/>
  <c r="C198" i="10" s="1"/>
  <c r="D198" i="10" a="1"/>
  <c r="D198" i="10" s="1"/>
  <c r="E198" i="10" a="1"/>
  <c r="E198" i="10" s="1"/>
  <c r="B199" i="10" a="1"/>
  <c r="B199" i="10" s="1"/>
  <c r="C199" i="10" a="1"/>
  <c r="C199" i="10" s="1"/>
  <c r="D199" i="10" a="1"/>
  <c r="D199" i="10" s="1"/>
  <c r="E199" i="10" a="1"/>
  <c r="E199" i="10" s="1"/>
  <c r="B200" i="10" a="1"/>
  <c r="B200" i="10" s="1"/>
  <c r="C200" i="10" a="1"/>
  <c r="C200" i="10" s="1"/>
  <c r="D200" i="10" a="1"/>
  <c r="D200" i="10" s="1"/>
  <c r="E200" i="10" a="1"/>
  <c r="E200" i="10" s="1"/>
  <c r="B201" i="10" a="1"/>
  <c r="B201" i="10" s="1"/>
  <c r="C201" i="10" a="1"/>
  <c r="C201" i="10" s="1"/>
  <c r="D201" i="10" a="1"/>
  <c r="D201" i="10" s="1"/>
  <c r="E201" i="10" a="1"/>
  <c r="E201" i="10" s="1"/>
  <c r="B202" i="10" a="1"/>
  <c r="B202" i="10" s="1"/>
  <c r="C202" i="10" a="1"/>
  <c r="C202" i="10" s="1"/>
  <c r="D202" i="10" a="1"/>
  <c r="D202" i="10" s="1"/>
  <c r="E202" i="10" a="1"/>
  <c r="E202" i="10" s="1"/>
  <c r="B203" i="10" a="1"/>
  <c r="B203" i="10" s="1"/>
  <c r="C203" i="10" a="1"/>
  <c r="C203" i="10" s="1"/>
  <c r="D203" i="10" a="1"/>
  <c r="D203" i="10" s="1"/>
  <c r="E203" i="10" a="1"/>
  <c r="E203" i="10" s="1"/>
  <c r="B204" i="10" a="1"/>
  <c r="B204" i="10" s="1"/>
  <c r="C204" i="10" a="1"/>
  <c r="C204" i="10" s="1"/>
  <c r="D204" i="10" a="1"/>
  <c r="D204" i="10" s="1"/>
  <c r="E204" i="10" a="1"/>
  <c r="E204" i="10" s="1"/>
  <c r="B205" i="10" a="1"/>
  <c r="B205" i="10" s="1"/>
  <c r="C205" i="10" a="1"/>
  <c r="C205" i="10" s="1"/>
  <c r="D205" i="10" a="1"/>
  <c r="D205" i="10" s="1"/>
  <c r="E205" i="10" a="1"/>
  <c r="E205" i="10" s="1"/>
  <c r="B206" i="10" a="1"/>
  <c r="B206" i="10" s="1"/>
  <c r="C206" i="10" a="1"/>
  <c r="C206" i="10" s="1"/>
  <c r="D206" i="10" a="1"/>
  <c r="D206" i="10" s="1"/>
  <c r="E206" i="10" a="1"/>
  <c r="E206" i="10" s="1"/>
  <c r="B207" i="10" a="1"/>
  <c r="B207" i="10" s="1"/>
  <c r="C207" i="10" a="1"/>
  <c r="C207" i="10" s="1"/>
  <c r="D207" i="10" a="1"/>
  <c r="D207" i="10" s="1"/>
  <c r="E207" i="10" a="1"/>
  <c r="E207" i="10" s="1"/>
  <c r="B208" i="10" a="1"/>
  <c r="B208" i="10" s="1"/>
  <c r="C208" i="10" a="1"/>
  <c r="C208" i="10" s="1"/>
  <c r="D208" i="10" a="1"/>
  <c r="D208" i="10" s="1"/>
  <c r="E208" i="10" a="1"/>
  <c r="E208" i="10" s="1"/>
  <c r="B209" i="10" a="1"/>
  <c r="B209" i="10" s="1"/>
  <c r="C209" i="10" a="1"/>
  <c r="C209" i="10" s="1"/>
  <c r="D209" i="10" a="1"/>
  <c r="D209" i="10" s="1"/>
  <c r="E209" i="10" a="1"/>
  <c r="E209" i="10" s="1"/>
  <c r="B210" i="10" a="1"/>
  <c r="B210" i="10" s="1"/>
  <c r="C210" i="10" a="1"/>
  <c r="C210" i="10" s="1"/>
  <c r="D210" i="10" a="1"/>
  <c r="D210" i="10" s="1"/>
  <c r="E210" i="10" a="1"/>
  <c r="E210" i="10" s="1"/>
  <c r="B211" i="10" a="1"/>
  <c r="B211" i="10" s="1"/>
  <c r="C211" i="10" a="1"/>
  <c r="C211" i="10" s="1"/>
  <c r="D211" i="10" a="1"/>
  <c r="D211" i="10" s="1"/>
  <c r="E211" i="10" a="1"/>
  <c r="E211" i="10" s="1"/>
  <c r="B212" i="10" a="1"/>
  <c r="B212" i="10" s="1"/>
  <c r="C212" i="10" a="1"/>
  <c r="C212" i="10" s="1"/>
  <c r="D212" i="10" a="1"/>
  <c r="D212" i="10" s="1"/>
  <c r="E212" i="10" a="1"/>
  <c r="E212" i="10" s="1"/>
  <c r="B213" i="10" a="1"/>
  <c r="B213" i="10" s="1"/>
  <c r="C213" i="10" a="1"/>
  <c r="C213" i="10" s="1"/>
  <c r="D213" i="10" a="1"/>
  <c r="D213" i="10" s="1"/>
  <c r="E213" i="10" a="1"/>
  <c r="E213" i="10" s="1"/>
  <c r="B214" i="10" a="1"/>
  <c r="B214" i="10" s="1"/>
  <c r="C214" i="10" a="1"/>
  <c r="C214" i="10" s="1"/>
  <c r="D214" i="10" a="1"/>
  <c r="D214" i="10" s="1"/>
  <c r="E214" i="10" a="1"/>
  <c r="E214" i="10" s="1"/>
  <c r="B215" i="10" a="1"/>
  <c r="B215" i="10" s="1"/>
  <c r="C215" i="10" a="1"/>
  <c r="C215" i="10" s="1"/>
  <c r="D215" i="10" a="1"/>
  <c r="D215" i="10" s="1"/>
  <c r="E215" i="10" a="1"/>
  <c r="E215" i="10" s="1"/>
  <c r="B216" i="10" a="1"/>
  <c r="B216" i="10" s="1"/>
  <c r="C216" i="10" a="1"/>
  <c r="C216" i="10" s="1"/>
  <c r="D216" i="10" a="1"/>
  <c r="D216" i="10" s="1"/>
  <c r="E216" i="10" a="1"/>
  <c r="E216" i="10" s="1"/>
  <c r="B217" i="10" a="1"/>
  <c r="B217" i="10" s="1"/>
  <c r="C217" i="10" a="1"/>
  <c r="C217" i="10" s="1"/>
  <c r="D217" i="10" a="1"/>
  <c r="D217" i="10" s="1"/>
  <c r="E217" i="10" a="1"/>
  <c r="E217" i="10" s="1"/>
  <c r="B218" i="10" a="1"/>
  <c r="B218" i="10" s="1"/>
  <c r="C218" i="10" a="1"/>
  <c r="C218" i="10" s="1"/>
  <c r="D218" i="10" a="1"/>
  <c r="D218" i="10" s="1"/>
  <c r="E218" i="10" a="1"/>
  <c r="E218" i="10" s="1"/>
  <c r="B219" i="10" a="1"/>
  <c r="B219" i="10" s="1"/>
  <c r="C219" i="10" a="1"/>
  <c r="C219" i="10" s="1"/>
  <c r="D219" i="10" a="1"/>
  <c r="D219" i="10" s="1"/>
  <c r="E219" i="10" a="1"/>
  <c r="E219" i="10" s="1"/>
  <c r="B220" i="10" a="1"/>
  <c r="B220" i="10" s="1"/>
  <c r="C220" i="10" a="1"/>
  <c r="C220" i="10" s="1"/>
  <c r="D220" i="10" a="1"/>
  <c r="D220" i="10" s="1"/>
  <c r="E220" i="10" a="1"/>
  <c r="E220" i="10" s="1"/>
  <c r="B221" i="10" a="1"/>
  <c r="B221" i="10" s="1"/>
  <c r="C221" i="10" a="1"/>
  <c r="C221" i="10" s="1"/>
  <c r="D221" i="10" a="1"/>
  <c r="D221" i="10" s="1"/>
  <c r="E221" i="10" a="1"/>
  <c r="E221" i="10" s="1"/>
  <c r="B222" i="10" a="1"/>
  <c r="B222" i="10" s="1"/>
  <c r="C222" i="10" a="1"/>
  <c r="C222" i="10" s="1"/>
  <c r="D222" i="10" a="1"/>
  <c r="D222" i="10" s="1"/>
  <c r="E222" i="10" a="1"/>
  <c r="E222" i="10" s="1"/>
  <c r="B223" i="10" a="1"/>
  <c r="B223" i="10" s="1"/>
  <c r="C223" i="10" a="1"/>
  <c r="C223" i="10" s="1"/>
  <c r="D223" i="10" a="1"/>
  <c r="D223" i="10" s="1"/>
  <c r="E223" i="10" a="1"/>
  <c r="E223" i="10" s="1"/>
  <c r="B224" i="10" a="1"/>
  <c r="B224" i="10" s="1"/>
  <c r="C224" i="10" a="1"/>
  <c r="C224" i="10" s="1"/>
  <c r="D224" i="10" a="1"/>
  <c r="D224" i="10" s="1"/>
  <c r="E224" i="10" a="1"/>
  <c r="E224" i="10" s="1"/>
  <c r="B225" i="10" a="1"/>
  <c r="B225" i="10" s="1"/>
  <c r="C225" i="10" a="1"/>
  <c r="C225" i="10" s="1"/>
  <c r="D225" i="10" a="1"/>
  <c r="D225" i="10" s="1"/>
  <c r="E225" i="10" a="1"/>
  <c r="E225" i="10" s="1"/>
  <c r="B226" i="10" a="1"/>
  <c r="B226" i="10" s="1"/>
  <c r="C226" i="10" a="1"/>
  <c r="C226" i="10" s="1"/>
  <c r="D226" i="10" a="1"/>
  <c r="D226" i="10" s="1"/>
  <c r="E226" i="10" a="1"/>
  <c r="E226" i="10" s="1"/>
  <c r="B227" i="10" a="1"/>
  <c r="B227" i="10" s="1"/>
  <c r="C227" i="10" a="1"/>
  <c r="C227" i="10" s="1"/>
  <c r="D227" i="10" a="1"/>
  <c r="D227" i="10" s="1"/>
  <c r="E227" i="10" a="1"/>
  <c r="E227" i="10" s="1"/>
  <c r="B228" i="10" a="1"/>
  <c r="B228" i="10" s="1"/>
  <c r="C228" i="10" a="1"/>
  <c r="C228" i="10" s="1"/>
  <c r="D228" i="10" a="1"/>
  <c r="D228" i="10" s="1"/>
  <c r="E228" i="10" a="1"/>
  <c r="E228" i="10" s="1"/>
  <c r="B229" i="10" a="1"/>
  <c r="B229" i="10" s="1"/>
  <c r="C229" i="10" a="1"/>
  <c r="C229" i="10" s="1"/>
  <c r="D229" i="10" a="1"/>
  <c r="D229" i="10" s="1"/>
  <c r="E229" i="10" a="1"/>
  <c r="E229" i="10" s="1"/>
  <c r="B230" i="10" a="1"/>
  <c r="B230" i="10" s="1"/>
  <c r="C230" i="10" a="1"/>
  <c r="C230" i="10" s="1"/>
  <c r="D230" i="10" a="1"/>
  <c r="D230" i="10" s="1"/>
  <c r="E230" i="10" a="1"/>
  <c r="E230" i="10" s="1"/>
  <c r="B231" i="10" a="1"/>
  <c r="B231" i="10" s="1"/>
  <c r="C231" i="10" a="1"/>
  <c r="C231" i="10" s="1"/>
  <c r="D231" i="10" a="1"/>
  <c r="D231" i="10" s="1"/>
  <c r="E231" i="10" a="1"/>
  <c r="E231" i="10" s="1"/>
  <c r="B232" i="10" a="1"/>
  <c r="B232" i="10" s="1"/>
  <c r="C232" i="10" a="1"/>
  <c r="C232" i="10" s="1"/>
  <c r="D232" i="10" a="1"/>
  <c r="D232" i="10" s="1"/>
  <c r="E232" i="10" a="1"/>
  <c r="E232" i="10" s="1"/>
  <c r="B233" i="10" a="1"/>
  <c r="B233" i="10" s="1"/>
  <c r="C233" i="10" a="1"/>
  <c r="C233" i="10" s="1"/>
  <c r="D233" i="10" a="1"/>
  <c r="D233" i="10" s="1"/>
  <c r="E233" i="10" a="1"/>
  <c r="E233" i="10" s="1"/>
  <c r="B234" i="10" a="1"/>
  <c r="B234" i="10" s="1"/>
  <c r="C234" i="10" a="1"/>
  <c r="C234" i="10" s="1"/>
  <c r="D234" i="10" a="1"/>
  <c r="D234" i="10" s="1"/>
  <c r="E234" i="10" a="1"/>
  <c r="E234" i="10" s="1"/>
  <c r="B235" i="10" a="1"/>
  <c r="B235" i="10" s="1"/>
  <c r="C235" i="10" a="1"/>
  <c r="C235" i="10" s="1"/>
  <c r="D235" i="10" a="1"/>
  <c r="D235" i="10" s="1"/>
  <c r="E235" i="10" a="1"/>
  <c r="E235" i="10" s="1"/>
  <c r="B236" i="10" a="1"/>
  <c r="B236" i="10" s="1"/>
  <c r="C236" i="10" a="1"/>
  <c r="C236" i="10" s="1"/>
  <c r="D236" i="10" a="1"/>
  <c r="D236" i="10" s="1"/>
  <c r="E236" i="10" a="1"/>
  <c r="E236" i="10" s="1"/>
  <c r="B237" i="10" a="1"/>
  <c r="B237" i="10" s="1"/>
  <c r="C237" i="10" a="1"/>
  <c r="C237" i="10" s="1"/>
  <c r="D237" i="10" a="1"/>
  <c r="D237" i="10" s="1"/>
  <c r="E237" i="10" a="1"/>
  <c r="E237" i="10" s="1"/>
  <c r="B238" i="10" a="1"/>
  <c r="B238" i="10" s="1"/>
  <c r="C238" i="10" a="1"/>
  <c r="C238" i="10" s="1"/>
  <c r="D238" i="10" a="1"/>
  <c r="D238" i="10" s="1"/>
  <c r="E238" i="10" a="1"/>
  <c r="E238" i="10" s="1"/>
  <c r="B239" i="10" a="1"/>
  <c r="B239" i="10" s="1"/>
  <c r="C239" i="10" a="1"/>
  <c r="C239" i="10" s="1"/>
  <c r="D239" i="10" a="1"/>
  <c r="D239" i="10" s="1"/>
  <c r="E239" i="10" a="1"/>
  <c r="E239" i="10" s="1"/>
  <c r="B240" i="10" a="1"/>
  <c r="B240" i="10" s="1"/>
  <c r="C240" i="10" a="1"/>
  <c r="C240" i="10" s="1"/>
  <c r="D240" i="10" a="1"/>
  <c r="D240" i="10" s="1"/>
  <c r="E240" i="10" a="1"/>
  <c r="E240" i="10" s="1"/>
  <c r="B241" i="10" a="1"/>
  <c r="B241" i="10" s="1"/>
  <c r="C241" i="10" a="1"/>
  <c r="C241" i="10" s="1"/>
  <c r="D241" i="10" a="1"/>
  <c r="D241" i="10" s="1"/>
  <c r="E241" i="10" a="1"/>
  <c r="E241" i="10" s="1"/>
  <c r="B242" i="10" a="1"/>
  <c r="B242" i="10" s="1"/>
  <c r="C242" i="10" a="1"/>
  <c r="C242" i="10" s="1"/>
  <c r="D242" i="10" a="1"/>
  <c r="D242" i="10" s="1"/>
  <c r="E242" i="10" a="1"/>
  <c r="E242" i="10" s="1"/>
  <c r="B243" i="10" a="1"/>
  <c r="B243" i="10" s="1"/>
  <c r="C243" i="10" a="1"/>
  <c r="C243" i="10" s="1"/>
  <c r="D243" i="10" a="1"/>
  <c r="D243" i="10" s="1"/>
  <c r="E243" i="10" a="1"/>
  <c r="E243" i="10" s="1"/>
  <c r="B244" i="10" a="1"/>
  <c r="B244" i="10" s="1"/>
  <c r="C244" i="10" a="1"/>
  <c r="C244" i="10" s="1"/>
  <c r="D244" i="10" a="1"/>
  <c r="D244" i="10" s="1"/>
  <c r="E244" i="10" a="1"/>
  <c r="E244" i="10" s="1"/>
  <c r="B245" i="10" a="1"/>
  <c r="B245" i="10" s="1"/>
  <c r="C245" i="10" a="1"/>
  <c r="C245" i="10" s="1"/>
  <c r="D245" i="10" a="1"/>
  <c r="D245" i="10" s="1"/>
  <c r="E245" i="10" a="1"/>
  <c r="E245" i="10" s="1"/>
  <c r="B246" i="10" a="1"/>
  <c r="B246" i="10" s="1"/>
  <c r="C246" i="10" a="1"/>
  <c r="C246" i="10" s="1"/>
  <c r="D246" i="10" a="1"/>
  <c r="D246" i="10" s="1"/>
  <c r="E246" i="10" a="1"/>
  <c r="E246" i="10" s="1"/>
  <c r="B247" i="10" a="1"/>
  <c r="B247" i="10" s="1"/>
  <c r="C247" i="10" a="1"/>
  <c r="C247" i="10" s="1"/>
  <c r="D247" i="10" a="1"/>
  <c r="D247" i="10" s="1"/>
  <c r="E247" i="10" a="1"/>
  <c r="E247" i="10" s="1"/>
  <c r="B248" i="10" a="1"/>
  <c r="B248" i="10" s="1"/>
  <c r="C248" i="10" a="1"/>
  <c r="C248" i="10" s="1"/>
  <c r="D248" i="10" a="1"/>
  <c r="D248" i="10" s="1"/>
  <c r="E248" i="10" a="1"/>
  <c r="E248" i="10" s="1"/>
  <c r="B249" i="10" a="1"/>
  <c r="B249" i="10" s="1"/>
  <c r="C249" i="10" a="1"/>
  <c r="C249" i="10" s="1"/>
  <c r="D249" i="10" a="1"/>
  <c r="D249" i="10" s="1"/>
  <c r="E249" i="10" a="1"/>
  <c r="E249" i="10" s="1"/>
  <c r="B250" i="10" a="1"/>
  <c r="B250" i="10" s="1"/>
  <c r="C250" i="10" a="1"/>
  <c r="C250" i="10" s="1"/>
  <c r="D250" i="10" a="1"/>
  <c r="D250" i="10" s="1"/>
  <c r="E250" i="10" a="1"/>
  <c r="E250" i="10" s="1"/>
  <c r="B251" i="10" a="1"/>
  <c r="B251" i="10" s="1"/>
  <c r="C251" i="10" a="1"/>
  <c r="C251" i="10" s="1"/>
  <c r="D251" i="10" a="1"/>
  <c r="D251" i="10" s="1"/>
  <c r="E251" i="10" a="1"/>
  <c r="E251" i="10" s="1"/>
  <c r="B252" i="10" a="1"/>
  <c r="B252" i="10" s="1"/>
  <c r="C252" i="10" a="1"/>
  <c r="C252" i="10" s="1"/>
  <c r="D252" i="10" a="1"/>
  <c r="D252" i="10" s="1"/>
  <c r="E252" i="10" a="1"/>
  <c r="E252" i="10" s="1"/>
  <c r="B253" i="10" a="1"/>
  <c r="B253" i="10" s="1"/>
  <c r="C253" i="10" a="1"/>
  <c r="C253" i="10" s="1"/>
  <c r="D253" i="10" a="1"/>
  <c r="D253" i="10" s="1"/>
  <c r="E253" i="10" a="1"/>
  <c r="E253" i="10" s="1"/>
  <c r="B254" i="10" a="1"/>
  <c r="B254" i="10" s="1"/>
  <c r="C254" i="10" a="1"/>
  <c r="C254" i="10" s="1"/>
  <c r="D254" i="10" a="1"/>
  <c r="D254" i="10" s="1"/>
  <c r="E254" i="10" a="1"/>
  <c r="E254" i="10" s="1"/>
  <c r="B255" i="10" a="1"/>
  <c r="B255" i="10" s="1"/>
  <c r="C255" i="10" a="1"/>
  <c r="C255" i="10" s="1"/>
  <c r="D255" i="10" a="1"/>
  <c r="D255" i="10" s="1"/>
  <c r="E255" i="10" a="1"/>
  <c r="E255" i="10" s="1"/>
  <c r="B256" i="10" a="1"/>
  <c r="B256" i="10" s="1"/>
  <c r="C256" i="10" a="1"/>
  <c r="C256" i="10" s="1"/>
  <c r="D256" i="10" a="1"/>
  <c r="D256" i="10" s="1"/>
  <c r="E256" i="10" a="1"/>
  <c r="E256" i="10" s="1"/>
  <c r="B257" i="10" a="1"/>
  <c r="B257" i="10" s="1"/>
  <c r="C257" i="10" a="1"/>
  <c r="C257" i="10" s="1"/>
  <c r="D257" i="10" a="1"/>
  <c r="D257" i="10" s="1"/>
  <c r="E257" i="10" a="1"/>
  <c r="E257" i="10" s="1"/>
  <c r="B258" i="10" a="1"/>
  <c r="B258" i="10" s="1"/>
  <c r="C258" i="10" a="1"/>
  <c r="C258" i="10" s="1"/>
  <c r="D258" i="10" a="1"/>
  <c r="D258" i="10" s="1"/>
  <c r="E258" i="10" a="1"/>
  <c r="E258" i="10" s="1"/>
  <c r="B259" i="10" a="1"/>
  <c r="B259" i="10" s="1"/>
  <c r="C259" i="10" a="1"/>
  <c r="C259" i="10" s="1"/>
  <c r="D259" i="10" a="1"/>
  <c r="D259" i="10" s="1"/>
  <c r="E259" i="10" a="1"/>
  <c r="E259" i="10" s="1"/>
  <c r="B260" i="10" a="1"/>
  <c r="B260" i="10" s="1"/>
  <c r="C260" i="10" a="1"/>
  <c r="C260" i="10" s="1"/>
  <c r="D260" i="10" a="1"/>
  <c r="D260" i="10" s="1"/>
  <c r="E260" i="10" a="1"/>
  <c r="E260" i="10" s="1"/>
  <c r="B261" i="10" a="1"/>
  <c r="B261" i="10" s="1"/>
  <c r="C261" i="10" a="1"/>
  <c r="C261" i="10" s="1"/>
  <c r="D261" i="10" a="1"/>
  <c r="D261" i="10" s="1"/>
  <c r="E261" i="10" a="1"/>
  <c r="E261" i="10" s="1"/>
  <c r="B262" i="10" a="1"/>
  <c r="B262" i="10" s="1"/>
  <c r="C262" i="10" a="1"/>
  <c r="C262" i="10" s="1"/>
  <c r="D262" i="10" a="1"/>
  <c r="D262" i="10" s="1"/>
  <c r="E262" i="10" a="1"/>
  <c r="E262" i="10" s="1"/>
  <c r="B263" i="10" a="1"/>
  <c r="B263" i="10" s="1"/>
  <c r="C263" i="10" a="1"/>
  <c r="C263" i="10" s="1"/>
  <c r="D263" i="10" a="1"/>
  <c r="D263" i="10" s="1"/>
  <c r="E263" i="10" a="1"/>
  <c r="E263" i="10" s="1"/>
  <c r="B264" i="10" a="1"/>
  <c r="B264" i="10" s="1"/>
  <c r="C264" i="10" a="1"/>
  <c r="C264" i="10" s="1"/>
  <c r="D264" i="10" a="1"/>
  <c r="D264" i="10" s="1"/>
  <c r="E264" i="10" a="1"/>
  <c r="E264" i="10" s="1"/>
  <c r="B265" i="10" a="1"/>
  <c r="B265" i="10" s="1"/>
  <c r="C265" i="10" a="1"/>
  <c r="C265" i="10" s="1"/>
  <c r="D265" i="10" a="1"/>
  <c r="D265" i="10" s="1"/>
  <c r="E265" i="10" a="1"/>
  <c r="E265" i="10" s="1"/>
  <c r="B266" i="10" a="1"/>
  <c r="B266" i="10" s="1"/>
  <c r="C266" i="10" a="1"/>
  <c r="C266" i="10" s="1"/>
  <c r="D266" i="10" a="1"/>
  <c r="D266" i="10" s="1"/>
  <c r="E266" i="10" a="1"/>
  <c r="E266" i="10" s="1"/>
  <c r="B267" i="10" a="1"/>
  <c r="B267" i="10" s="1"/>
  <c r="C267" i="10" a="1"/>
  <c r="C267" i="10" s="1"/>
  <c r="D267" i="10" a="1"/>
  <c r="D267" i="10" s="1"/>
  <c r="E267" i="10" a="1"/>
  <c r="E267" i="10" s="1"/>
  <c r="B268" i="10" a="1"/>
  <c r="B268" i="10" s="1"/>
  <c r="C268" i="10" a="1"/>
  <c r="C268" i="10" s="1"/>
  <c r="D268" i="10" a="1"/>
  <c r="D268" i="10" s="1"/>
  <c r="E268" i="10" a="1"/>
  <c r="E268" i="10" s="1"/>
  <c r="B269" i="10" a="1"/>
  <c r="B269" i="10" s="1"/>
  <c r="C269" i="10" a="1"/>
  <c r="C269" i="10" s="1"/>
  <c r="D269" i="10" a="1"/>
  <c r="D269" i="10" s="1"/>
  <c r="E269" i="10" a="1"/>
  <c r="E269" i="10" s="1"/>
  <c r="B270" i="10" a="1"/>
  <c r="B270" i="10" s="1"/>
  <c r="C270" i="10" a="1"/>
  <c r="C270" i="10" s="1"/>
  <c r="D270" i="10" a="1"/>
  <c r="D270" i="10" s="1"/>
  <c r="E270" i="10" a="1"/>
  <c r="E270" i="10" s="1"/>
  <c r="B271" i="10" a="1"/>
  <c r="B271" i="10" s="1"/>
  <c r="C271" i="10" a="1"/>
  <c r="C271" i="10" s="1"/>
  <c r="D271" i="10" a="1"/>
  <c r="D271" i="10" s="1"/>
  <c r="E271" i="10" a="1"/>
  <c r="E271" i="10" s="1"/>
  <c r="B272" i="10" a="1"/>
  <c r="B272" i="10" s="1"/>
  <c r="C272" i="10" a="1"/>
  <c r="C272" i="10" s="1"/>
  <c r="D272" i="10" a="1"/>
  <c r="D272" i="10" s="1"/>
  <c r="E272" i="10" a="1"/>
  <c r="E272" i="10" s="1"/>
  <c r="B273" i="10" a="1"/>
  <c r="B273" i="10" s="1"/>
  <c r="C273" i="10" a="1"/>
  <c r="C273" i="10" s="1"/>
  <c r="D273" i="10" a="1"/>
  <c r="D273" i="10" s="1"/>
  <c r="E273" i="10" a="1"/>
  <c r="E273" i="10" s="1"/>
  <c r="B274" i="10" a="1"/>
  <c r="B274" i="10" s="1"/>
  <c r="C274" i="10" a="1"/>
  <c r="C274" i="10" s="1"/>
  <c r="D274" i="10" a="1"/>
  <c r="D274" i="10" s="1"/>
  <c r="E274" i="10" a="1"/>
  <c r="E274" i="10" s="1"/>
  <c r="B275" i="10" a="1"/>
  <c r="B275" i="10" s="1"/>
  <c r="C275" i="10" a="1"/>
  <c r="C275" i="10" s="1"/>
  <c r="D275" i="10" a="1"/>
  <c r="D275" i="10" s="1"/>
  <c r="E275" i="10" a="1"/>
  <c r="E275" i="10" s="1"/>
  <c r="B276" i="10" a="1"/>
  <c r="B276" i="10" s="1"/>
  <c r="C276" i="10" a="1"/>
  <c r="C276" i="10" s="1"/>
  <c r="D276" i="10" a="1"/>
  <c r="D276" i="10" s="1"/>
  <c r="E276" i="10" a="1"/>
  <c r="E276" i="10" s="1"/>
  <c r="B277" i="10" a="1"/>
  <c r="B277" i="10" s="1"/>
  <c r="C277" i="10" a="1"/>
  <c r="C277" i="10" s="1"/>
  <c r="D277" i="10" a="1"/>
  <c r="D277" i="10" s="1"/>
  <c r="E277" i="10" a="1"/>
  <c r="E277" i="10" s="1"/>
  <c r="B278" i="10" a="1"/>
  <c r="B278" i="10" s="1"/>
  <c r="C278" i="10" a="1"/>
  <c r="C278" i="10" s="1"/>
  <c r="D278" i="10" a="1"/>
  <c r="D278" i="10" s="1"/>
  <c r="E278" i="10" a="1"/>
  <c r="E278" i="10" s="1"/>
  <c r="B279" i="10" a="1"/>
  <c r="B279" i="10" s="1"/>
  <c r="C279" i="10" a="1"/>
  <c r="C279" i="10" s="1"/>
  <c r="D279" i="10" a="1"/>
  <c r="D279" i="10" s="1"/>
  <c r="E279" i="10" a="1"/>
  <c r="E279" i="10" s="1"/>
  <c r="B280" i="10" a="1"/>
  <c r="B280" i="10" s="1"/>
  <c r="C280" i="10" a="1"/>
  <c r="C280" i="10" s="1"/>
  <c r="D280" i="10" a="1"/>
  <c r="D280" i="10" s="1"/>
  <c r="E280" i="10" a="1"/>
  <c r="E280" i="10" s="1"/>
  <c r="B281" i="10" a="1"/>
  <c r="B281" i="10" s="1"/>
  <c r="C281" i="10" a="1"/>
  <c r="C281" i="10" s="1"/>
  <c r="D281" i="10" a="1"/>
  <c r="D281" i="10" s="1"/>
  <c r="E281" i="10" a="1"/>
  <c r="E281" i="10" s="1"/>
  <c r="B282" i="10" a="1"/>
  <c r="B282" i="10" s="1"/>
  <c r="C282" i="10" a="1"/>
  <c r="C282" i="10" s="1"/>
  <c r="D282" i="10" a="1"/>
  <c r="D282" i="10" s="1"/>
  <c r="E282" i="10" a="1"/>
  <c r="E282" i="10" s="1"/>
  <c r="B283" i="10" a="1"/>
  <c r="B283" i="10" s="1"/>
  <c r="C283" i="10" a="1"/>
  <c r="C283" i="10" s="1"/>
  <c r="D283" i="10" a="1"/>
  <c r="D283" i="10" s="1"/>
  <c r="E283" i="10" a="1"/>
  <c r="E283" i="10" s="1"/>
  <c r="B284" i="10" a="1"/>
  <c r="B284" i="10" s="1"/>
  <c r="C284" i="10" a="1"/>
  <c r="C284" i="10" s="1"/>
  <c r="D284" i="10" a="1"/>
  <c r="D284" i="10" s="1"/>
  <c r="E284" i="10" a="1"/>
  <c r="E284" i="10" s="1"/>
  <c r="B285" i="10" a="1"/>
  <c r="B285" i="10" s="1"/>
  <c r="C285" i="10" a="1"/>
  <c r="C285" i="10" s="1"/>
  <c r="D285" i="10" a="1"/>
  <c r="D285" i="10" s="1"/>
  <c r="E285" i="10" a="1"/>
  <c r="E285" i="10" s="1"/>
  <c r="B286" i="10" a="1"/>
  <c r="B286" i="10" s="1"/>
  <c r="C286" i="10" a="1"/>
  <c r="C286" i="10" s="1"/>
  <c r="D286" i="10" a="1"/>
  <c r="D286" i="10" s="1"/>
  <c r="E286" i="10" a="1"/>
  <c r="E286" i="10" s="1"/>
  <c r="B287" i="10" a="1"/>
  <c r="B287" i="10" s="1"/>
  <c r="C287" i="10" a="1"/>
  <c r="C287" i="10" s="1"/>
  <c r="D287" i="10" a="1"/>
  <c r="D287" i="10" s="1"/>
  <c r="E287" i="10" a="1"/>
  <c r="E287" i="10" s="1"/>
  <c r="B288" i="10" a="1"/>
  <c r="B288" i="10" s="1"/>
  <c r="C288" i="10" a="1"/>
  <c r="C288" i="10" s="1"/>
  <c r="D288" i="10" a="1"/>
  <c r="D288" i="10" s="1"/>
  <c r="E288" i="10" a="1"/>
  <c r="E288" i="10" s="1"/>
  <c r="B289" i="10" a="1"/>
  <c r="B289" i="10" s="1"/>
  <c r="C289" i="10" a="1"/>
  <c r="C289" i="10" s="1"/>
  <c r="D289" i="10" a="1"/>
  <c r="D289" i="10" s="1"/>
  <c r="E289" i="10" a="1"/>
  <c r="E289" i="10" s="1"/>
  <c r="B290" i="10" a="1"/>
  <c r="B290" i="10" s="1"/>
  <c r="C290" i="10" a="1"/>
  <c r="C290" i="10" s="1"/>
  <c r="D290" i="10" a="1"/>
  <c r="D290" i="10" s="1"/>
  <c r="E290" i="10" a="1"/>
  <c r="E290" i="10" s="1"/>
  <c r="B291" i="10" a="1"/>
  <c r="B291" i="10" s="1"/>
  <c r="C291" i="10" a="1"/>
  <c r="C291" i="10" s="1"/>
  <c r="D291" i="10" a="1"/>
  <c r="D291" i="10" s="1"/>
  <c r="E291" i="10" a="1"/>
  <c r="E291" i="10" s="1"/>
  <c r="B292" i="10" a="1"/>
  <c r="B292" i="10" s="1"/>
  <c r="C292" i="10" a="1"/>
  <c r="C292" i="10" s="1"/>
  <c r="D292" i="10" a="1"/>
  <c r="D292" i="10" s="1"/>
  <c r="E292" i="10" a="1"/>
  <c r="E292" i="10" s="1"/>
  <c r="B293" i="10" a="1"/>
  <c r="B293" i="10" s="1"/>
  <c r="C293" i="10" a="1"/>
  <c r="C293" i="10" s="1"/>
  <c r="D293" i="10" a="1"/>
  <c r="D293" i="10" s="1"/>
  <c r="E293" i="10" a="1"/>
  <c r="E293" i="10" s="1"/>
  <c r="B294" i="10" a="1"/>
  <c r="B294" i="10" s="1"/>
  <c r="C294" i="10" a="1"/>
  <c r="C294" i="10" s="1"/>
  <c r="D294" i="10" a="1"/>
  <c r="D294" i="10" s="1"/>
  <c r="E294" i="10" a="1"/>
  <c r="E294" i="10" s="1"/>
  <c r="B295" i="10" a="1"/>
  <c r="B295" i="10" s="1"/>
  <c r="C295" i="10" a="1"/>
  <c r="C295" i="10" s="1"/>
  <c r="D295" i="10" a="1"/>
  <c r="D295" i="10" s="1"/>
  <c r="E295" i="10" a="1"/>
  <c r="E295" i="10" s="1"/>
  <c r="B296" i="10" a="1"/>
  <c r="B296" i="10" s="1"/>
  <c r="C296" i="10" a="1"/>
  <c r="C296" i="10" s="1"/>
  <c r="D296" i="10" a="1"/>
  <c r="D296" i="10" s="1"/>
  <c r="E296" i="10" a="1"/>
  <c r="E296" i="10" s="1"/>
  <c r="B297" i="10" a="1"/>
  <c r="B297" i="10" s="1"/>
  <c r="C297" i="10" a="1"/>
  <c r="C297" i="10" s="1"/>
  <c r="D297" i="10" a="1"/>
  <c r="D297" i="10" s="1"/>
  <c r="E297" i="10" a="1"/>
  <c r="E297" i="10" s="1"/>
  <c r="B298" i="10" a="1"/>
  <c r="B298" i="10" s="1"/>
  <c r="C298" i="10" a="1"/>
  <c r="C298" i="10" s="1"/>
  <c r="D298" i="10" a="1"/>
  <c r="D298" i="10" s="1"/>
  <c r="E298" i="10" a="1"/>
  <c r="E298" i="10" s="1"/>
  <c r="B299" i="10" a="1"/>
  <c r="B299" i="10" s="1"/>
  <c r="C299" i="10" a="1"/>
  <c r="C299" i="10" s="1"/>
  <c r="D299" i="10" a="1"/>
  <c r="D299" i="10" s="1"/>
  <c r="E299" i="10" a="1"/>
  <c r="E299" i="10" s="1"/>
  <c r="B300" i="10" a="1"/>
  <c r="B300" i="10" s="1"/>
  <c r="C300" i="10" a="1"/>
  <c r="C300" i="10" s="1"/>
  <c r="D300" i="10" a="1"/>
  <c r="D300" i="10" s="1"/>
  <c r="E300" i="10" a="1"/>
  <c r="E300" i="10" s="1"/>
  <c r="B301" i="10" a="1"/>
  <c r="B301" i="10" s="1"/>
  <c r="C301" i="10" a="1"/>
  <c r="C301" i="10" s="1"/>
  <c r="D301" i="10" a="1"/>
  <c r="D301" i="10" s="1"/>
  <c r="E301" i="10" a="1"/>
  <c r="E301" i="10" s="1"/>
  <c r="B302" i="10" a="1"/>
  <c r="B302" i="10" s="1"/>
  <c r="C302" i="10" a="1"/>
  <c r="C302" i="10" s="1"/>
  <c r="D302" i="10" a="1"/>
  <c r="D302" i="10" s="1"/>
  <c r="E302" i="10" a="1"/>
  <c r="E302" i="10" s="1"/>
  <c r="B303" i="10" a="1"/>
  <c r="B303" i="10" s="1"/>
  <c r="C303" i="10" a="1"/>
  <c r="C303" i="10" s="1"/>
  <c r="D303" i="10" a="1"/>
  <c r="D303" i="10" s="1"/>
  <c r="E303" i="10" a="1"/>
  <c r="E303" i="10" s="1"/>
  <c r="B304" i="10" a="1"/>
  <c r="B304" i="10" s="1"/>
  <c r="C304" i="10" a="1"/>
  <c r="C304" i="10" s="1"/>
  <c r="D304" i="10" a="1"/>
  <c r="D304" i="10" s="1"/>
  <c r="E304" i="10" a="1"/>
  <c r="E304" i="10" s="1"/>
  <c r="B305" i="10" a="1"/>
  <c r="B305" i="10" s="1"/>
  <c r="C305" i="10" a="1"/>
  <c r="C305" i="10" s="1"/>
  <c r="D305" i="10" a="1"/>
  <c r="D305" i="10" s="1"/>
  <c r="E305" i="10" a="1"/>
  <c r="E305" i="10" s="1"/>
  <c r="B306" i="10" a="1"/>
  <c r="B306" i="10" s="1"/>
  <c r="C306" i="10" a="1"/>
  <c r="C306" i="10" s="1"/>
  <c r="D306" i="10" a="1"/>
  <c r="D306" i="10" s="1"/>
  <c r="E306" i="10" a="1"/>
  <c r="E306" i="10" s="1"/>
  <c r="B307" i="10" a="1"/>
  <c r="B307" i="10" s="1"/>
  <c r="C307" i="10" a="1"/>
  <c r="C307" i="10" s="1"/>
  <c r="D307" i="10" a="1"/>
  <c r="D307" i="10" s="1"/>
  <c r="E307" i="10" a="1"/>
  <c r="E307" i="10" s="1"/>
  <c r="B308" i="10" a="1"/>
  <c r="B308" i="10" s="1"/>
  <c r="C308" i="10" a="1"/>
  <c r="C308" i="10" s="1"/>
  <c r="D308" i="10" a="1"/>
  <c r="D308" i="10" s="1"/>
  <c r="E308" i="10" a="1"/>
  <c r="E308" i="10" s="1"/>
  <c r="B309" i="10" a="1"/>
  <c r="B309" i="10" s="1"/>
  <c r="C309" i="10" a="1"/>
  <c r="C309" i="10" s="1"/>
  <c r="D309" i="10" a="1"/>
  <c r="D309" i="10" s="1"/>
  <c r="E309" i="10" a="1"/>
  <c r="E309" i="10" s="1"/>
  <c r="B310" i="10" a="1"/>
  <c r="B310" i="10" s="1"/>
  <c r="C310" i="10" a="1"/>
  <c r="C310" i="10" s="1"/>
  <c r="D310" i="10" a="1"/>
  <c r="D310" i="10" s="1"/>
  <c r="E310" i="10" a="1"/>
  <c r="E310" i="10" s="1"/>
  <c r="B311" i="10" a="1"/>
  <c r="B311" i="10" s="1"/>
  <c r="C311" i="10" a="1"/>
  <c r="C311" i="10" s="1"/>
  <c r="D311" i="10" a="1"/>
  <c r="D311" i="10" s="1"/>
  <c r="E311" i="10" a="1"/>
  <c r="E311" i="10" s="1"/>
  <c r="B312" i="10" a="1"/>
  <c r="B312" i="10" s="1"/>
  <c r="C312" i="10" a="1"/>
  <c r="C312" i="10" s="1"/>
  <c r="D312" i="10" a="1"/>
  <c r="D312" i="10" s="1"/>
  <c r="E312" i="10" a="1"/>
  <c r="E312" i="10" s="1"/>
  <c r="B313" i="10" a="1"/>
  <c r="B313" i="10" s="1"/>
  <c r="C313" i="10" a="1"/>
  <c r="C313" i="10" s="1"/>
  <c r="D313" i="10" a="1"/>
  <c r="D313" i="10" s="1"/>
  <c r="E313" i="10" a="1"/>
  <c r="E313" i="10" s="1"/>
  <c r="B314" i="10" a="1"/>
  <c r="B314" i="10" s="1"/>
  <c r="C314" i="10" a="1"/>
  <c r="C314" i="10" s="1"/>
  <c r="D314" i="10" a="1"/>
  <c r="D314" i="10" s="1"/>
  <c r="E314" i="10" a="1"/>
  <c r="E314" i="10" s="1"/>
  <c r="B315" i="10" a="1"/>
  <c r="B315" i="10" s="1"/>
  <c r="C315" i="10" a="1"/>
  <c r="C315" i="10" s="1"/>
  <c r="D315" i="10" a="1"/>
  <c r="D315" i="10" s="1"/>
  <c r="E315" i="10" a="1"/>
  <c r="E315" i="10" s="1"/>
  <c r="B316" i="10" a="1"/>
  <c r="B316" i="10" s="1"/>
  <c r="C316" i="10" a="1"/>
  <c r="C316" i="10" s="1"/>
  <c r="D316" i="10" a="1"/>
  <c r="D316" i="10" s="1"/>
  <c r="E316" i="10" a="1"/>
  <c r="E316" i="10" s="1"/>
  <c r="B317" i="10" a="1"/>
  <c r="B317" i="10" s="1"/>
  <c r="C317" i="10" a="1"/>
  <c r="C317" i="10" s="1"/>
  <c r="D317" i="10" a="1"/>
  <c r="D317" i="10" s="1"/>
  <c r="E317" i="10" a="1"/>
  <c r="E317" i="10" s="1"/>
  <c r="B318" i="10" a="1"/>
  <c r="B318" i="10" s="1"/>
  <c r="C318" i="10" a="1"/>
  <c r="C318" i="10" s="1"/>
  <c r="D318" i="10" a="1"/>
  <c r="D318" i="10" s="1"/>
  <c r="E318" i="10" a="1"/>
  <c r="E318" i="10" s="1"/>
  <c r="B319" i="10" a="1"/>
  <c r="B319" i="10" s="1"/>
  <c r="C319" i="10" a="1"/>
  <c r="C319" i="10" s="1"/>
  <c r="D319" i="10" a="1"/>
  <c r="D319" i="10" s="1"/>
  <c r="E319" i="10" a="1"/>
  <c r="E319" i="10" s="1"/>
  <c r="B320" i="10" a="1"/>
  <c r="B320" i="10" s="1"/>
  <c r="C320" i="10" a="1"/>
  <c r="C320" i="10" s="1"/>
  <c r="D320" i="10" a="1"/>
  <c r="D320" i="10" s="1"/>
  <c r="E320" i="10" a="1"/>
  <c r="E320" i="10" s="1"/>
  <c r="B321" i="10" a="1"/>
  <c r="B321" i="10" s="1"/>
  <c r="C321" i="10" a="1"/>
  <c r="C321" i="10" s="1"/>
  <c r="D321" i="10" a="1"/>
  <c r="D321" i="10" s="1"/>
  <c r="E321" i="10" a="1"/>
  <c r="E321" i="10" s="1"/>
  <c r="B322" i="10" a="1"/>
  <c r="B322" i="10" s="1"/>
  <c r="C322" i="10" a="1"/>
  <c r="C322" i="10" s="1"/>
  <c r="D322" i="10" a="1"/>
  <c r="D322" i="10" s="1"/>
  <c r="E322" i="10" a="1"/>
  <c r="E322" i="10" s="1"/>
  <c r="B323" i="10" a="1"/>
  <c r="B323" i="10" s="1"/>
  <c r="C323" i="10" a="1"/>
  <c r="C323" i="10" s="1"/>
  <c r="D323" i="10" a="1"/>
  <c r="D323" i="10" s="1"/>
  <c r="E323" i="10" a="1"/>
  <c r="E323" i="10" s="1"/>
  <c r="B324" i="10" a="1"/>
  <c r="B324" i="10" s="1"/>
  <c r="C324" i="10" a="1"/>
  <c r="C324" i="10" s="1"/>
  <c r="D324" i="10" a="1"/>
  <c r="D324" i="10" s="1"/>
  <c r="E324" i="10" a="1"/>
  <c r="E324" i="10" s="1"/>
  <c r="B325" i="10" a="1"/>
  <c r="B325" i="10" s="1"/>
  <c r="C325" i="10" a="1"/>
  <c r="C325" i="10"/>
  <c r="D325" i="10" a="1"/>
  <c r="D325" i="10" s="1"/>
  <c r="E325" i="10" a="1"/>
  <c r="E325" i="10" s="1"/>
  <c r="B326" i="10" a="1"/>
  <c r="B326" i="10" s="1"/>
  <c r="C326" i="10" a="1"/>
  <c r="C326" i="10" s="1"/>
  <c r="D326" i="10" a="1"/>
  <c r="D326" i="10" s="1"/>
  <c r="E326" i="10" a="1"/>
  <c r="E326" i="10" s="1"/>
  <c r="B327" i="10" a="1"/>
  <c r="B327" i="10" s="1"/>
  <c r="C327" i="10" a="1"/>
  <c r="C327" i="10" s="1"/>
  <c r="D327" i="10" a="1"/>
  <c r="D327" i="10" s="1"/>
  <c r="E327" i="10" a="1"/>
  <c r="E327" i="10" s="1"/>
  <c r="B328" i="10" a="1"/>
  <c r="B328" i="10" s="1"/>
  <c r="C328" i="10" a="1"/>
  <c r="C328" i="10" s="1"/>
  <c r="D328" i="10" a="1"/>
  <c r="D328" i="10" s="1"/>
  <c r="E328" i="10" a="1"/>
  <c r="E328" i="10" s="1"/>
  <c r="B329" i="10" a="1"/>
  <c r="B329" i="10" s="1"/>
  <c r="C329" i="10" a="1"/>
  <c r="C329" i="10" s="1"/>
  <c r="D329" i="10" a="1"/>
  <c r="D329" i="10"/>
  <c r="E329" i="10" a="1"/>
  <c r="E329" i="10" s="1"/>
  <c r="B330" i="10" a="1"/>
  <c r="B330" i="10" s="1"/>
  <c r="C330" i="10" a="1"/>
  <c r="C330" i="10" s="1"/>
  <c r="D330" i="10" a="1"/>
  <c r="D330" i="10" s="1"/>
  <c r="E330" i="10" a="1"/>
  <c r="E330" i="10" s="1"/>
  <c r="B331" i="10" a="1"/>
  <c r="B331" i="10" s="1"/>
  <c r="C331" i="10" a="1"/>
  <c r="C331" i="10" s="1"/>
  <c r="D331" i="10" a="1"/>
  <c r="D331" i="10" s="1"/>
  <c r="E331" i="10" a="1"/>
  <c r="E331" i="10" s="1"/>
  <c r="B332" i="10" a="1"/>
  <c r="B332" i="10" s="1"/>
  <c r="C332" i="10" a="1"/>
  <c r="C332" i="10" s="1"/>
  <c r="D332" i="10" a="1"/>
  <c r="D332" i="10" s="1"/>
  <c r="E332" i="10" a="1"/>
  <c r="E332" i="10" s="1"/>
  <c r="B333" i="10" a="1"/>
  <c r="B333" i="10" s="1"/>
  <c r="C333" i="10" a="1"/>
  <c r="C333" i="10" s="1"/>
  <c r="D333" i="10" a="1"/>
  <c r="D333" i="10" s="1"/>
  <c r="E333" i="10" a="1"/>
  <c r="E333" i="10" s="1"/>
  <c r="B334" i="10" a="1"/>
  <c r="B334" i="10" s="1"/>
  <c r="C334" i="10" a="1"/>
  <c r="C334" i="10" s="1"/>
  <c r="D334" i="10" a="1"/>
  <c r="D334" i="10" s="1"/>
  <c r="E334" i="10" a="1"/>
  <c r="E334" i="10" s="1"/>
  <c r="B335" i="10" a="1"/>
  <c r="B335" i="10" s="1"/>
  <c r="C335" i="10" a="1"/>
  <c r="C335" i="10" s="1"/>
  <c r="D335" i="10" a="1"/>
  <c r="D335" i="10" s="1"/>
  <c r="E335" i="10" a="1"/>
  <c r="E335" i="10" s="1"/>
  <c r="B336" i="10" a="1"/>
  <c r="B336" i="10" s="1"/>
  <c r="C336" i="10" a="1"/>
  <c r="C336" i="10" s="1"/>
  <c r="D336" i="10" a="1"/>
  <c r="D336" i="10" s="1"/>
  <c r="E336" i="10" a="1"/>
  <c r="E336" i="10" s="1"/>
  <c r="B337" i="10" a="1"/>
  <c r="B337" i="10" s="1"/>
  <c r="C337" i="10" a="1"/>
  <c r="C337" i="10" s="1"/>
  <c r="D337" i="10" a="1"/>
  <c r="D337" i="10" s="1"/>
  <c r="E337" i="10" a="1"/>
  <c r="E337" i="10" s="1"/>
  <c r="B338" i="10" a="1"/>
  <c r="B338" i="10" s="1"/>
  <c r="C338" i="10" a="1"/>
  <c r="C338" i="10" s="1"/>
  <c r="D338" i="10" a="1"/>
  <c r="D338" i="10" s="1"/>
  <c r="E338" i="10" a="1"/>
  <c r="E338" i="10" s="1"/>
  <c r="B339" i="10" a="1"/>
  <c r="B339" i="10" s="1"/>
  <c r="C339" i="10" a="1"/>
  <c r="C339" i="10" s="1"/>
  <c r="D339" i="10" a="1"/>
  <c r="D339" i="10" s="1"/>
  <c r="E339" i="10" a="1"/>
  <c r="E339" i="10" s="1"/>
  <c r="B340" i="10" a="1"/>
  <c r="B340" i="10" s="1"/>
  <c r="C340" i="10" a="1"/>
  <c r="C340" i="10" s="1"/>
  <c r="D340" i="10" a="1"/>
  <c r="D340" i="10" s="1"/>
  <c r="E340" i="10" a="1"/>
  <c r="E340" i="10" s="1"/>
  <c r="B341" i="10" a="1"/>
  <c r="B341" i="10" s="1"/>
  <c r="C341" i="10" a="1"/>
  <c r="C341" i="10" s="1"/>
  <c r="D341" i="10" a="1"/>
  <c r="D341" i="10" s="1"/>
  <c r="E341" i="10" a="1"/>
  <c r="E341" i="10" s="1"/>
  <c r="B342" i="10" a="1"/>
  <c r="B342" i="10" s="1"/>
  <c r="C342" i="10" a="1"/>
  <c r="C342" i="10" s="1"/>
  <c r="D342" i="10" a="1"/>
  <c r="D342" i="10" s="1"/>
  <c r="E342" i="10" a="1"/>
  <c r="E342" i="10" s="1"/>
  <c r="B343" i="10" a="1"/>
  <c r="B343" i="10" s="1"/>
  <c r="C343" i="10" a="1"/>
  <c r="C343" i="10" s="1"/>
  <c r="D343" i="10" a="1"/>
  <c r="D343" i="10" s="1"/>
  <c r="E343" i="10" a="1"/>
  <c r="E343" i="10" s="1"/>
  <c r="B344" i="10" a="1"/>
  <c r="B344" i="10" s="1"/>
  <c r="C344" i="10" a="1"/>
  <c r="C344" i="10" s="1"/>
  <c r="D344" i="10" a="1"/>
  <c r="D344" i="10" s="1"/>
  <c r="E344" i="10" a="1"/>
  <c r="E344" i="10" s="1"/>
  <c r="B345" i="10" a="1"/>
  <c r="B345" i="10" s="1"/>
  <c r="C345" i="10" a="1"/>
  <c r="C345" i="10" s="1"/>
  <c r="D345" i="10" a="1"/>
  <c r="D345" i="10" s="1"/>
  <c r="E345" i="10" a="1"/>
  <c r="E345" i="10" s="1"/>
  <c r="B346" i="10" a="1"/>
  <c r="B346" i="10" s="1"/>
  <c r="C346" i="10" a="1"/>
  <c r="C346" i="10" s="1"/>
  <c r="D346" i="10" a="1"/>
  <c r="D346" i="10" s="1"/>
  <c r="E346" i="10" a="1"/>
  <c r="E346" i="10" s="1"/>
  <c r="B347" i="10" a="1"/>
  <c r="B347" i="10" s="1"/>
  <c r="C347" i="10" a="1"/>
  <c r="C347" i="10" s="1"/>
  <c r="D347" i="10" a="1"/>
  <c r="D347" i="10" s="1"/>
  <c r="E347" i="10" a="1"/>
  <c r="E347" i="10" s="1"/>
  <c r="B348" i="10" a="1"/>
  <c r="B348" i="10" s="1"/>
  <c r="C348" i="10" a="1"/>
  <c r="C348" i="10" s="1"/>
  <c r="D348" i="10" a="1"/>
  <c r="D348" i="10" s="1"/>
  <c r="E348" i="10" a="1"/>
  <c r="E348" i="10" s="1"/>
  <c r="B349" i="10" a="1"/>
  <c r="B349" i="10" s="1"/>
  <c r="C349" i="10" a="1"/>
  <c r="C349" i="10" s="1"/>
  <c r="D349" i="10" a="1"/>
  <c r="D349" i="10" s="1"/>
  <c r="E349" i="10" a="1"/>
  <c r="E349" i="10" s="1"/>
  <c r="B350" i="10" a="1"/>
  <c r="B350" i="10" s="1"/>
  <c r="C350" i="10" a="1"/>
  <c r="C350" i="10" s="1"/>
  <c r="D350" i="10" a="1"/>
  <c r="D350" i="10" s="1"/>
  <c r="E350" i="10" a="1"/>
  <c r="E350" i="10" s="1"/>
  <c r="B351" i="10" a="1"/>
  <c r="B351" i="10" s="1"/>
  <c r="C351" i="10" a="1"/>
  <c r="C351" i="10" s="1"/>
  <c r="D351" i="10" a="1"/>
  <c r="D351" i="10" s="1"/>
  <c r="E351" i="10" a="1"/>
  <c r="E351" i="10" s="1"/>
  <c r="B352" i="10" a="1"/>
  <c r="B352" i="10" s="1"/>
  <c r="C352" i="10" a="1"/>
  <c r="C352" i="10" s="1"/>
  <c r="D352" i="10" a="1"/>
  <c r="D352" i="10" s="1"/>
  <c r="E352" i="10" a="1"/>
  <c r="E352" i="10" s="1"/>
  <c r="B353" i="10" a="1"/>
  <c r="B353" i="10" s="1"/>
  <c r="C353" i="10" a="1"/>
  <c r="C353" i="10" s="1"/>
  <c r="D353" i="10" a="1"/>
  <c r="D353" i="10" s="1"/>
  <c r="E353" i="10" a="1"/>
  <c r="E353" i="10" s="1"/>
  <c r="B354" i="10" a="1"/>
  <c r="B354" i="10" s="1"/>
  <c r="C354" i="10" a="1"/>
  <c r="C354" i="10" s="1"/>
  <c r="D354" i="10" a="1"/>
  <c r="D354" i="10" s="1"/>
  <c r="E354" i="10" a="1"/>
  <c r="E354" i="10" s="1"/>
  <c r="B355" i="10" a="1"/>
  <c r="B355" i="10" s="1"/>
  <c r="C355" i="10" a="1"/>
  <c r="C355" i="10" s="1"/>
  <c r="D355" i="10" a="1"/>
  <c r="D355" i="10" s="1"/>
  <c r="E355" i="10" a="1"/>
  <c r="E355" i="10" s="1"/>
  <c r="B356" i="10" a="1"/>
  <c r="B356" i="10" s="1"/>
  <c r="C356" i="10" a="1"/>
  <c r="C356" i="10" s="1"/>
  <c r="D356" i="10" a="1"/>
  <c r="D356" i="10" s="1"/>
  <c r="E356" i="10" a="1"/>
  <c r="E356" i="10" s="1"/>
  <c r="B357" i="10" a="1"/>
  <c r="B357" i="10" s="1"/>
  <c r="C357" i="10" a="1"/>
  <c r="C357" i="10" s="1"/>
  <c r="D357" i="10" a="1"/>
  <c r="D357" i="10" s="1"/>
  <c r="E357" i="10" a="1"/>
  <c r="E357" i="10" s="1"/>
  <c r="B358" i="10" a="1"/>
  <c r="B358" i="10" s="1"/>
  <c r="C358" i="10" a="1"/>
  <c r="C358" i="10" s="1"/>
  <c r="D358" i="10" a="1"/>
  <c r="D358" i="10" s="1"/>
  <c r="E358" i="10" a="1"/>
  <c r="E358" i="10" s="1"/>
  <c r="B359" i="10" a="1"/>
  <c r="B359" i="10" s="1"/>
  <c r="C359" i="10" a="1"/>
  <c r="C359" i="10" s="1"/>
  <c r="D359" i="10" a="1"/>
  <c r="D359" i="10" s="1"/>
  <c r="E359" i="10" a="1"/>
  <c r="E359" i="10" s="1"/>
  <c r="B360" i="10" a="1"/>
  <c r="B360" i="10" s="1"/>
  <c r="C360" i="10" a="1"/>
  <c r="C360" i="10" s="1"/>
  <c r="D360" i="10" a="1"/>
  <c r="D360" i="10" s="1"/>
  <c r="E360" i="10" a="1"/>
  <c r="E360" i="10" s="1"/>
  <c r="B361" i="10" a="1"/>
  <c r="B361" i="10" s="1"/>
  <c r="C361" i="10" a="1"/>
  <c r="C361" i="10" s="1"/>
  <c r="D361" i="10" a="1"/>
  <c r="D361" i="10" s="1"/>
  <c r="E361" i="10" a="1"/>
  <c r="E361" i="10" s="1"/>
  <c r="B362" i="10" a="1"/>
  <c r="B362" i="10" s="1"/>
  <c r="C362" i="10" a="1"/>
  <c r="C362" i="10" s="1"/>
  <c r="D362" i="10" a="1"/>
  <c r="D362" i="10" s="1"/>
  <c r="E362" i="10" a="1"/>
  <c r="E362" i="10" s="1"/>
  <c r="B363" i="10" a="1"/>
  <c r="B363" i="10" s="1"/>
  <c r="C363" i="10" a="1"/>
  <c r="C363" i="10" s="1"/>
  <c r="D363" i="10" a="1"/>
  <c r="D363" i="10" s="1"/>
  <c r="E363" i="10" a="1"/>
  <c r="E363" i="10" s="1"/>
  <c r="B364" i="10" a="1"/>
  <c r="B364" i="10" s="1"/>
  <c r="C364" i="10" a="1"/>
  <c r="C364" i="10" s="1"/>
  <c r="D364" i="10" a="1"/>
  <c r="D364" i="10" s="1"/>
  <c r="E364" i="10" a="1"/>
  <c r="E364" i="10" s="1"/>
  <c r="B365" i="10" a="1"/>
  <c r="B365" i="10" s="1"/>
  <c r="C365" i="10" a="1"/>
  <c r="C365" i="10" s="1"/>
  <c r="D365" i="10" a="1"/>
  <c r="D365" i="10" s="1"/>
  <c r="E365" i="10" a="1"/>
  <c r="E365" i="10" s="1"/>
  <c r="B366" i="10" a="1"/>
  <c r="B366" i="10" s="1"/>
  <c r="C366" i="10" a="1"/>
  <c r="C366" i="10" s="1"/>
  <c r="D366" i="10" a="1"/>
  <c r="D366" i="10" s="1"/>
  <c r="E366" i="10" a="1"/>
  <c r="E366" i="10" s="1"/>
  <c r="B367" i="10" a="1"/>
  <c r="B367" i="10" s="1"/>
  <c r="C367" i="10" a="1"/>
  <c r="C367" i="10" s="1"/>
  <c r="D367" i="10" a="1"/>
  <c r="D367" i="10" s="1"/>
  <c r="E367" i="10" a="1"/>
  <c r="E367" i="10" s="1"/>
  <c r="B368" i="10" a="1"/>
  <c r="B368" i="10" s="1"/>
  <c r="C368" i="10" a="1"/>
  <c r="C368" i="10" s="1"/>
  <c r="D368" i="10" a="1"/>
  <c r="D368" i="10" s="1"/>
  <c r="E368" i="10" a="1"/>
  <c r="E368" i="10" s="1"/>
  <c r="B369" i="10" a="1"/>
  <c r="B369" i="10" s="1"/>
  <c r="C369" i="10" a="1"/>
  <c r="C369" i="10" s="1"/>
  <c r="D369" i="10" a="1"/>
  <c r="D369" i="10" s="1"/>
  <c r="E369" i="10" a="1"/>
  <c r="E369" i="10" s="1"/>
  <c r="B370" i="10" a="1"/>
  <c r="B370" i="10" s="1"/>
  <c r="C370" i="10" a="1"/>
  <c r="C370" i="10" s="1"/>
  <c r="D370" i="10" a="1"/>
  <c r="D370" i="10" s="1"/>
  <c r="E370" i="10" a="1"/>
  <c r="E370" i="10" s="1"/>
  <c r="B371" i="10" a="1"/>
  <c r="B371" i="10" s="1"/>
  <c r="C371" i="10" a="1"/>
  <c r="C371" i="10" s="1"/>
  <c r="D371" i="10" a="1"/>
  <c r="D371" i="10" s="1"/>
  <c r="E371" i="10" a="1"/>
  <c r="E371" i="10" s="1"/>
  <c r="B372" i="10" a="1"/>
  <c r="B372" i="10" s="1"/>
  <c r="C372" i="10" a="1"/>
  <c r="C372" i="10" s="1"/>
  <c r="D372" i="10" a="1"/>
  <c r="D372" i="10" s="1"/>
  <c r="E372" i="10" a="1"/>
  <c r="E372" i="10" s="1"/>
  <c r="B373" i="10" a="1"/>
  <c r="B373" i="10" s="1"/>
  <c r="C373" i="10" a="1"/>
  <c r="C373" i="10" s="1"/>
  <c r="D373" i="10" a="1"/>
  <c r="D373" i="10" s="1"/>
  <c r="E373" i="10" a="1"/>
  <c r="E373" i="10" s="1"/>
  <c r="B374" i="10" a="1"/>
  <c r="B374" i="10" s="1"/>
  <c r="C374" i="10" a="1"/>
  <c r="C374" i="10" s="1"/>
  <c r="D374" i="10" a="1"/>
  <c r="D374" i="10" s="1"/>
  <c r="E374" i="10" a="1"/>
  <c r="E374" i="10" s="1"/>
  <c r="B375" i="10" a="1"/>
  <c r="B375" i="10" s="1"/>
  <c r="C375" i="10" a="1"/>
  <c r="C375" i="10" s="1"/>
  <c r="D375" i="10" a="1"/>
  <c r="D375" i="10" s="1"/>
  <c r="E375" i="10" a="1"/>
  <c r="E375" i="10" s="1"/>
  <c r="B376" i="10" a="1"/>
  <c r="B376" i="10" s="1"/>
  <c r="C376" i="10" a="1"/>
  <c r="C376" i="10" s="1"/>
  <c r="D376" i="10" a="1"/>
  <c r="D376" i="10" s="1"/>
  <c r="E376" i="10" a="1"/>
  <c r="E376" i="10" s="1"/>
  <c r="B377" i="10" a="1"/>
  <c r="B377" i="10" s="1"/>
  <c r="C377" i="10" a="1"/>
  <c r="C377" i="10" s="1"/>
  <c r="D377" i="10" a="1"/>
  <c r="D377" i="10" s="1"/>
  <c r="E377" i="10" a="1"/>
  <c r="E377" i="10" s="1"/>
  <c r="B378" i="10" a="1"/>
  <c r="B378" i="10" s="1"/>
  <c r="C378" i="10" a="1"/>
  <c r="C378" i="10" s="1"/>
  <c r="D378" i="10" a="1"/>
  <c r="D378" i="10" s="1"/>
  <c r="E378" i="10" a="1"/>
  <c r="E378" i="10" s="1"/>
  <c r="B379" i="10" a="1"/>
  <c r="B379" i="10" s="1"/>
  <c r="C379" i="10" a="1"/>
  <c r="C379" i="10" s="1"/>
  <c r="D379" i="10" a="1"/>
  <c r="D379" i="10" s="1"/>
  <c r="E379" i="10" a="1"/>
  <c r="E379" i="10" s="1"/>
  <c r="B380" i="10" a="1"/>
  <c r="B380" i="10" s="1"/>
  <c r="C380" i="10" a="1"/>
  <c r="C380" i="10" s="1"/>
  <c r="D380" i="10" a="1"/>
  <c r="D380" i="10" s="1"/>
  <c r="E380" i="10" a="1"/>
  <c r="E380" i="10" s="1"/>
  <c r="B381" i="10" a="1"/>
  <c r="B381" i="10" s="1"/>
  <c r="C381" i="10" a="1"/>
  <c r="C381" i="10" s="1"/>
  <c r="D381" i="10" a="1"/>
  <c r="D381" i="10" s="1"/>
  <c r="E381" i="10" a="1"/>
  <c r="E381" i="10" s="1"/>
  <c r="B382" i="10" a="1"/>
  <c r="B382" i="10" s="1"/>
  <c r="C382" i="10" a="1"/>
  <c r="C382" i="10" s="1"/>
  <c r="D382" i="10" a="1"/>
  <c r="D382" i="10" s="1"/>
  <c r="E382" i="10" a="1"/>
  <c r="E382" i="10" s="1"/>
  <c r="B383" i="10" a="1"/>
  <c r="B383" i="10" s="1"/>
  <c r="C383" i="10" a="1"/>
  <c r="C383" i="10" s="1"/>
  <c r="D383" i="10" a="1"/>
  <c r="D383" i="10" s="1"/>
  <c r="E383" i="10" a="1"/>
  <c r="E383" i="10" s="1"/>
  <c r="B384" i="10" a="1"/>
  <c r="B384" i="10" s="1"/>
  <c r="C384" i="10" a="1"/>
  <c r="C384" i="10" s="1"/>
  <c r="D384" i="10" a="1"/>
  <c r="D384" i="10" s="1"/>
  <c r="E384" i="10" a="1"/>
  <c r="E384" i="10" s="1"/>
  <c r="B385" i="10" a="1"/>
  <c r="B385" i="10" s="1"/>
  <c r="C385" i="10" a="1"/>
  <c r="C385" i="10" s="1"/>
  <c r="D385" i="10" a="1"/>
  <c r="D385" i="10" s="1"/>
  <c r="E385" i="10" a="1"/>
  <c r="E385" i="10" s="1"/>
  <c r="B386" i="10" a="1"/>
  <c r="B386" i="10" s="1"/>
  <c r="C386" i="10" a="1"/>
  <c r="C386" i="10" s="1"/>
  <c r="D386" i="10" a="1"/>
  <c r="D386" i="10" s="1"/>
  <c r="E386" i="10" a="1"/>
  <c r="E386" i="10" s="1"/>
  <c r="B387" i="10" a="1"/>
  <c r="B387" i="10" s="1"/>
  <c r="C387" i="10" a="1"/>
  <c r="C387" i="10" s="1"/>
  <c r="D387" i="10" a="1"/>
  <c r="D387" i="10" s="1"/>
  <c r="E387" i="10" a="1"/>
  <c r="E387" i="10" s="1"/>
  <c r="B388" i="10" a="1"/>
  <c r="B388" i="10" s="1"/>
  <c r="C388" i="10" a="1"/>
  <c r="C388" i="10" s="1"/>
  <c r="D388" i="10" a="1"/>
  <c r="D388" i="10" s="1"/>
  <c r="E388" i="10" a="1"/>
  <c r="E388" i="10" s="1"/>
  <c r="B389" i="10" a="1"/>
  <c r="B389" i="10" s="1"/>
  <c r="C389" i="10" a="1"/>
  <c r="C389" i="10" s="1"/>
  <c r="D389" i="10" a="1"/>
  <c r="D389" i="10" s="1"/>
  <c r="E389" i="10" a="1"/>
  <c r="E389" i="10" s="1"/>
  <c r="B390" i="10" a="1"/>
  <c r="B390" i="10" s="1"/>
  <c r="C390" i="10" a="1"/>
  <c r="C390" i="10" s="1"/>
  <c r="D390" i="10" a="1"/>
  <c r="D390" i="10" s="1"/>
  <c r="E390" i="10" a="1"/>
  <c r="E390" i="10" s="1"/>
  <c r="B391" i="10" a="1"/>
  <c r="B391" i="10" s="1"/>
  <c r="C391" i="10" a="1"/>
  <c r="C391" i="10" s="1"/>
  <c r="D391" i="10" a="1"/>
  <c r="D391" i="10" s="1"/>
  <c r="E391" i="10" a="1"/>
  <c r="E391" i="10" s="1"/>
  <c r="B392" i="10" a="1"/>
  <c r="B392" i="10" s="1"/>
  <c r="C392" i="10" a="1"/>
  <c r="C392" i="10" s="1"/>
  <c r="D392" i="10" a="1"/>
  <c r="D392" i="10" s="1"/>
  <c r="E392" i="10" a="1"/>
  <c r="E392" i="10" s="1"/>
  <c r="B393" i="10" a="1"/>
  <c r="B393" i="10" s="1"/>
  <c r="C393" i="10" a="1"/>
  <c r="C393" i="10" s="1"/>
  <c r="D393" i="10" a="1"/>
  <c r="D393" i="10" s="1"/>
  <c r="E393" i="10" a="1"/>
  <c r="E393" i="10" s="1"/>
  <c r="B394" i="10" a="1"/>
  <c r="B394" i="10" s="1"/>
  <c r="C394" i="10" a="1"/>
  <c r="C394" i="10" s="1"/>
  <c r="D394" i="10" a="1"/>
  <c r="D394" i="10" s="1"/>
  <c r="E394" i="10" a="1"/>
  <c r="E394" i="10" s="1"/>
  <c r="B395" i="10" a="1"/>
  <c r="B395" i="10" s="1"/>
  <c r="C395" i="10" a="1"/>
  <c r="C395" i="10" s="1"/>
  <c r="D395" i="10" a="1"/>
  <c r="D395" i="10" s="1"/>
  <c r="E395" i="10" a="1"/>
  <c r="E395" i="10" s="1"/>
  <c r="B396" i="10" a="1"/>
  <c r="B396" i="10" s="1"/>
  <c r="C396" i="10" a="1"/>
  <c r="C396" i="10" s="1"/>
  <c r="D396" i="10" a="1"/>
  <c r="D396" i="10" s="1"/>
  <c r="E396" i="10" a="1"/>
  <c r="E396" i="10" s="1"/>
  <c r="B397" i="10" a="1"/>
  <c r="B397" i="10" s="1"/>
  <c r="C397" i="10" a="1"/>
  <c r="C397" i="10" s="1"/>
  <c r="D397" i="10" a="1"/>
  <c r="D397" i="10" s="1"/>
  <c r="E397" i="10" a="1"/>
  <c r="E397" i="10" s="1"/>
  <c r="B398" i="10" a="1"/>
  <c r="B398" i="10" s="1"/>
  <c r="C398" i="10" a="1"/>
  <c r="C398" i="10" s="1"/>
  <c r="D398" i="10" a="1"/>
  <c r="D398" i="10" s="1"/>
  <c r="E398" i="10" a="1"/>
  <c r="E398" i="10" s="1"/>
  <c r="B399" i="10" a="1"/>
  <c r="B399" i="10" s="1"/>
  <c r="C399" i="10" a="1"/>
  <c r="C399" i="10" s="1"/>
  <c r="D399" i="10" a="1"/>
  <c r="D399" i="10" s="1"/>
  <c r="E399" i="10" a="1"/>
  <c r="E399" i="10" s="1"/>
  <c r="B400" i="10" a="1"/>
  <c r="B400" i="10" s="1"/>
  <c r="C400" i="10" a="1"/>
  <c r="C400" i="10" s="1"/>
  <c r="D400" i="10" a="1"/>
  <c r="D400" i="10" s="1"/>
  <c r="E400" i="10" a="1"/>
  <c r="E400" i="10" s="1"/>
  <c r="B401" i="10" a="1"/>
  <c r="B401" i="10" s="1"/>
  <c r="C401" i="10" a="1"/>
  <c r="C401" i="10" s="1"/>
  <c r="D401" i="10" a="1"/>
  <c r="D401" i="10" s="1"/>
  <c r="E401" i="10" a="1"/>
  <c r="E401" i="10" s="1"/>
  <c r="B402" i="10" a="1"/>
  <c r="B402" i="10" s="1"/>
  <c r="C402" i="10" a="1"/>
  <c r="C402" i="10" s="1"/>
  <c r="D402" i="10" a="1"/>
  <c r="D402" i="10" s="1"/>
  <c r="E402" i="10" a="1"/>
  <c r="E402" i="10" s="1"/>
  <c r="B403" i="10" a="1"/>
  <c r="B403" i="10" s="1"/>
  <c r="C403" i="10" a="1"/>
  <c r="C403" i="10" s="1"/>
  <c r="D403" i="10" a="1"/>
  <c r="D403" i="10" s="1"/>
  <c r="E403" i="10" a="1"/>
  <c r="E403" i="10" s="1"/>
  <c r="B404" i="10" a="1"/>
  <c r="B404" i="10" s="1"/>
  <c r="C404" i="10" a="1"/>
  <c r="C404" i="10" s="1"/>
  <c r="D404" i="10" a="1"/>
  <c r="D404" i="10" s="1"/>
  <c r="E404" i="10" a="1"/>
  <c r="E404" i="10" s="1"/>
  <c r="B405" i="10" a="1"/>
  <c r="B405" i="10" s="1"/>
  <c r="C405" i="10" a="1"/>
  <c r="C405" i="10" s="1"/>
  <c r="D405" i="10" a="1"/>
  <c r="D405" i="10" s="1"/>
  <c r="E405" i="10" a="1"/>
  <c r="E405" i="10" s="1"/>
  <c r="B406" i="10" a="1"/>
  <c r="B406" i="10" s="1"/>
  <c r="C406" i="10" a="1"/>
  <c r="C406" i="10" s="1"/>
  <c r="D406" i="10" a="1"/>
  <c r="D406" i="10" s="1"/>
  <c r="E406" i="10" a="1"/>
  <c r="E406" i="10" s="1"/>
  <c r="B407" i="10" a="1"/>
  <c r="B407" i="10" s="1"/>
  <c r="C407" i="10" a="1"/>
  <c r="C407" i="10" s="1"/>
  <c r="D407" i="10" a="1"/>
  <c r="D407" i="10" s="1"/>
  <c r="E407" i="10" a="1"/>
  <c r="E407" i="10" s="1"/>
  <c r="B408" i="10" a="1"/>
  <c r="B408" i="10" s="1"/>
  <c r="C408" i="10" a="1"/>
  <c r="C408" i="10" s="1"/>
  <c r="D408" i="10" a="1"/>
  <c r="D408" i="10" s="1"/>
  <c r="E408" i="10" a="1"/>
  <c r="E408" i="10" s="1"/>
  <c r="B409" i="10" a="1"/>
  <c r="B409" i="10" s="1"/>
  <c r="C409" i="10" a="1"/>
  <c r="C409" i="10" s="1"/>
  <c r="D409" i="10" a="1"/>
  <c r="D409" i="10" s="1"/>
  <c r="E409" i="10" a="1"/>
  <c r="E409" i="10" s="1"/>
  <c r="B410" i="10" a="1"/>
  <c r="B410" i="10" s="1"/>
  <c r="C410" i="10" a="1"/>
  <c r="C410" i="10" s="1"/>
  <c r="D410" i="10" a="1"/>
  <c r="D410" i="10" s="1"/>
  <c r="E410" i="10" a="1"/>
  <c r="E410" i="10" s="1"/>
  <c r="B411" i="10" a="1"/>
  <c r="B411" i="10" s="1"/>
  <c r="C411" i="10" a="1"/>
  <c r="C411" i="10" s="1"/>
  <c r="D411" i="10" a="1"/>
  <c r="D411" i="10" s="1"/>
  <c r="E411" i="10" a="1"/>
  <c r="E411" i="10" s="1"/>
  <c r="B412" i="10" a="1"/>
  <c r="B412" i="10" s="1"/>
  <c r="C412" i="10" a="1"/>
  <c r="C412" i="10" s="1"/>
  <c r="D412" i="10" a="1"/>
  <c r="D412" i="10" s="1"/>
  <c r="E412" i="10" a="1"/>
  <c r="E412" i="10" s="1"/>
  <c r="B413" i="10" a="1"/>
  <c r="B413" i="10" s="1"/>
  <c r="C413" i="10" a="1"/>
  <c r="C413" i="10" s="1"/>
  <c r="D413" i="10" a="1"/>
  <c r="D413" i="10" s="1"/>
  <c r="E413" i="10" a="1"/>
  <c r="E413" i="10" s="1"/>
  <c r="B414" i="10" a="1"/>
  <c r="B414" i="10" s="1"/>
  <c r="C414" i="10" a="1"/>
  <c r="C414" i="10" s="1"/>
  <c r="D414" i="10" a="1"/>
  <c r="D414" i="10" s="1"/>
  <c r="E414" i="10" a="1"/>
  <c r="E414" i="10" s="1"/>
  <c r="B415" i="10" a="1"/>
  <c r="B415" i="10" s="1"/>
  <c r="C415" i="10" a="1"/>
  <c r="C415" i="10" s="1"/>
  <c r="D415" i="10" a="1"/>
  <c r="D415" i="10" s="1"/>
  <c r="E415" i="10" a="1"/>
  <c r="E415" i="10" s="1"/>
  <c r="B416" i="10" a="1"/>
  <c r="B416" i="10" s="1"/>
  <c r="C416" i="10" a="1"/>
  <c r="C416" i="10" s="1"/>
  <c r="D416" i="10" a="1"/>
  <c r="D416" i="10" s="1"/>
  <c r="E416" i="10" a="1"/>
  <c r="E416" i="10" s="1"/>
  <c r="B417" i="10" a="1"/>
  <c r="B417" i="10" s="1"/>
  <c r="C417" i="10" a="1"/>
  <c r="C417" i="10" s="1"/>
  <c r="D417" i="10" a="1"/>
  <c r="D417" i="10" s="1"/>
  <c r="E417" i="10" a="1"/>
  <c r="E417" i="10" s="1"/>
  <c r="B418" i="10" a="1"/>
  <c r="B418" i="10" s="1"/>
  <c r="C418" i="10" a="1"/>
  <c r="C418" i="10" s="1"/>
  <c r="D418" i="10" a="1"/>
  <c r="D418" i="10" s="1"/>
  <c r="E418" i="10" a="1"/>
  <c r="E418" i="10" s="1"/>
  <c r="B419" i="10" a="1"/>
  <c r="B419" i="10" s="1"/>
  <c r="C419" i="10" a="1"/>
  <c r="C419" i="10" s="1"/>
  <c r="D419" i="10" a="1"/>
  <c r="D419" i="10" s="1"/>
  <c r="E419" i="10" a="1"/>
  <c r="E419" i="10" s="1"/>
  <c r="B420" i="10" a="1"/>
  <c r="B420" i="10" s="1"/>
  <c r="C420" i="10" a="1"/>
  <c r="C420" i="10" s="1"/>
  <c r="D420" i="10" a="1"/>
  <c r="D420" i="10" s="1"/>
  <c r="E420" i="10" a="1"/>
  <c r="E420" i="10" s="1"/>
  <c r="B421" i="10" a="1"/>
  <c r="B421" i="10" s="1"/>
  <c r="C421" i="10" a="1"/>
  <c r="C421" i="10" s="1"/>
  <c r="D421" i="10" a="1"/>
  <c r="D421" i="10" s="1"/>
  <c r="E421" i="10" a="1"/>
  <c r="E421" i="10" s="1"/>
  <c r="B422" i="10" a="1"/>
  <c r="B422" i="10" s="1"/>
  <c r="C422" i="10" a="1"/>
  <c r="C422" i="10" s="1"/>
  <c r="D422" i="10" a="1"/>
  <c r="D422" i="10" s="1"/>
  <c r="E422" i="10" a="1"/>
  <c r="E422" i="10" s="1"/>
  <c r="B423" i="10" a="1"/>
  <c r="B423" i="10" s="1"/>
  <c r="C423" i="10" a="1"/>
  <c r="C423" i="10" s="1"/>
  <c r="D423" i="10" a="1"/>
  <c r="D423" i="10" s="1"/>
  <c r="E423" i="10" a="1"/>
  <c r="E423" i="10" s="1"/>
  <c r="B424" i="10" a="1"/>
  <c r="B424" i="10" s="1"/>
  <c r="C424" i="10" a="1"/>
  <c r="C424" i="10" s="1"/>
  <c r="D424" i="10" a="1"/>
  <c r="D424" i="10" s="1"/>
  <c r="E424" i="10" a="1"/>
  <c r="E424" i="10" s="1"/>
  <c r="B425" i="10" a="1"/>
  <c r="B425" i="10" s="1"/>
  <c r="C425" i="10" a="1"/>
  <c r="C425" i="10" s="1"/>
  <c r="D425" i="10" a="1"/>
  <c r="D425" i="10" s="1"/>
  <c r="E425" i="10" a="1"/>
  <c r="E425" i="10" s="1"/>
  <c r="B426" i="10" a="1"/>
  <c r="B426" i="10" s="1"/>
  <c r="C426" i="10" a="1"/>
  <c r="C426" i="10" s="1"/>
  <c r="D426" i="10" a="1"/>
  <c r="D426" i="10" s="1"/>
  <c r="E426" i="10" a="1"/>
  <c r="E426" i="10" s="1"/>
  <c r="B427" i="10" a="1"/>
  <c r="B427" i="10" s="1"/>
  <c r="C427" i="10" a="1"/>
  <c r="C427" i="10" s="1"/>
  <c r="D427" i="10" a="1"/>
  <c r="D427" i="10" s="1"/>
  <c r="E427" i="10" a="1"/>
  <c r="E427" i="10" s="1"/>
  <c r="B428" i="10" a="1"/>
  <c r="B428" i="10" s="1"/>
  <c r="C428" i="10" a="1"/>
  <c r="C428" i="10" s="1"/>
  <c r="D428" i="10" a="1"/>
  <c r="D428" i="10" s="1"/>
  <c r="E428" i="10" a="1"/>
  <c r="E428" i="10" s="1"/>
  <c r="B429" i="10" a="1"/>
  <c r="B429" i="10" s="1"/>
  <c r="C429" i="10" a="1"/>
  <c r="C429" i="10" s="1"/>
  <c r="D429" i="10" a="1"/>
  <c r="D429" i="10" s="1"/>
  <c r="E429" i="10" a="1"/>
  <c r="E429" i="10" s="1"/>
  <c r="B430" i="10" a="1"/>
  <c r="B430" i="10" s="1"/>
  <c r="C430" i="10" a="1"/>
  <c r="C430" i="10" s="1"/>
  <c r="D430" i="10" a="1"/>
  <c r="D430" i="10" s="1"/>
  <c r="E430" i="10" a="1"/>
  <c r="E430" i="10" s="1"/>
  <c r="B431" i="10" a="1"/>
  <c r="B431" i="10" s="1"/>
  <c r="C431" i="10" a="1"/>
  <c r="C431" i="10" s="1"/>
  <c r="D431" i="10" a="1"/>
  <c r="D431" i="10" s="1"/>
  <c r="E431" i="10" a="1"/>
  <c r="E431" i="10" s="1"/>
  <c r="B432" i="10" a="1"/>
  <c r="B432" i="10" s="1"/>
  <c r="C432" i="10" a="1"/>
  <c r="C432" i="10" s="1"/>
  <c r="D432" i="10" a="1"/>
  <c r="D432" i="10" s="1"/>
  <c r="E432" i="10" a="1"/>
  <c r="E432" i="10" s="1"/>
  <c r="B433" i="10" a="1"/>
  <c r="B433" i="10" s="1"/>
  <c r="C433" i="10" a="1"/>
  <c r="C433" i="10" s="1"/>
  <c r="D433" i="10" a="1"/>
  <c r="D433" i="10" s="1"/>
  <c r="E433" i="10" a="1"/>
  <c r="E433" i="10" s="1"/>
  <c r="B434" i="10" a="1"/>
  <c r="B434" i="10" s="1"/>
  <c r="C434" i="10" a="1"/>
  <c r="C434" i="10" s="1"/>
  <c r="D434" i="10" a="1"/>
  <c r="D434" i="10" s="1"/>
  <c r="E434" i="10" a="1"/>
  <c r="E434" i="10" s="1"/>
  <c r="B435" i="10" a="1"/>
  <c r="B435" i="10" s="1"/>
  <c r="C435" i="10" a="1"/>
  <c r="C435" i="10" s="1"/>
  <c r="D435" i="10" a="1"/>
  <c r="D435" i="10" s="1"/>
  <c r="E435" i="10" a="1"/>
  <c r="E435" i="10" s="1"/>
  <c r="B436" i="10" a="1"/>
  <c r="B436" i="10" s="1"/>
  <c r="C436" i="10" a="1"/>
  <c r="C436" i="10" s="1"/>
  <c r="D436" i="10" a="1"/>
  <c r="D436" i="10" s="1"/>
  <c r="E436" i="10" a="1"/>
  <c r="E436" i="10" s="1"/>
  <c r="B437" i="10" a="1"/>
  <c r="B437" i="10" s="1"/>
  <c r="C437" i="10" a="1"/>
  <c r="C437" i="10" s="1"/>
  <c r="D437" i="10" a="1"/>
  <c r="D437" i="10" s="1"/>
  <c r="E437" i="10" a="1"/>
  <c r="E437" i="10" s="1"/>
  <c r="B438" i="10" a="1"/>
  <c r="B438" i="10" s="1"/>
  <c r="C438" i="10" a="1"/>
  <c r="C438" i="10" s="1"/>
  <c r="D438" i="10" a="1"/>
  <c r="D438" i="10" s="1"/>
  <c r="E438" i="10" a="1"/>
  <c r="E438" i="10" s="1"/>
  <c r="B439" i="10" a="1"/>
  <c r="B439" i="10" s="1"/>
  <c r="C439" i="10" a="1"/>
  <c r="C439" i="10" s="1"/>
  <c r="D439" i="10" a="1"/>
  <c r="D439" i="10" s="1"/>
  <c r="E439" i="10" a="1"/>
  <c r="E439" i="10" s="1"/>
  <c r="B440" i="10" a="1"/>
  <c r="B440" i="10" s="1"/>
  <c r="C440" i="10" a="1"/>
  <c r="C440" i="10" s="1"/>
  <c r="D440" i="10" a="1"/>
  <c r="D440" i="10" s="1"/>
  <c r="E440" i="10" a="1"/>
  <c r="E440" i="10" s="1"/>
  <c r="B441" i="10" a="1"/>
  <c r="B441" i="10" s="1"/>
  <c r="C441" i="10" a="1"/>
  <c r="C441" i="10" s="1"/>
  <c r="D441" i="10" a="1"/>
  <c r="D441" i="10" s="1"/>
  <c r="E441" i="10" a="1"/>
  <c r="E441" i="10" s="1"/>
  <c r="B442" i="10" a="1"/>
  <c r="B442" i="10" s="1"/>
  <c r="C442" i="10" a="1"/>
  <c r="C442" i="10" s="1"/>
  <c r="D442" i="10" a="1"/>
  <c r="D442" i="10" s="1"/>
  <c r="E442" i="10" a="1"/>
  <c r="E442" i="10" s="1"/>
  <c r="B443" i="10" a="1"/>
  <c r="B443" i="10" s="1"/>
  <c r="C443" i="10" a="1"/>
  <c r="C443" i="10" s="1"/>
  <c r="D443" i="10" a="1"/>
  <c r="D443" i="10" s="1"/>
  <c r="E443" i="10" a="1"/>
  <c r="E443" i="10" s="1"/>
  <c r="B444" i="10" a="1"/>
  <c r="B444" i="10" s="1"/>
  <c r="C444" i="10" a="1"/>
  <c r="C444" i="10" s="1"/>
  <c r="D444" i="10" a="1"/>
  <c r="D444" i="10" s="1"/>
  <c r="E444" i="10" a="1"/>
  <c r="E444" i="10" s="1"/>
  <c r="B445" i="10" a="1"/>
  <c r="B445" i="10" s="1"/>
  <c r="C445" i="10" a="1"/>
  <c r="C445" i="10" s="1"/>
  <c r="D445" i="10" a="1"/>
  <c r="D445" i="10" s="1"/>
  <c r="E445" i="10" a="1"/>
  <c r="E445" i="10" s="1"/>
  <c r="B446" i="10" a="1"/>
  <c r="B446" i="10" s="1"/>
  <c r="C446" i="10" a="1"/>
  <c r="C446" i="10" s="1"/>
  <c r="D446" i="10" a="1"/>
  <c r="D446" i="10" s="1"/>
  <c r="E446" i="10" a="1"/>
  <c r="E446" i="10" s="1"/>
  <c r="B447" i="10" a="1"/>
  <c r="B447" i="10" s="1"/>
  <c r="C447" i="10" a="1"/>
  <c r="C447" i="10" s="1"/>
  <c r="D447" i="10" a="1"/>
  <c r="D447" i="10" s="1"/>
  <c r="E447" i="10" a="1"/>
  <c r="E447" i="10" s="1"/>
  <c r="B448" i="10" a="1"/>
  <c r="B448" i="10" s="1"/>
  <c r="C448" i="10" a="1"/>
  <c r="C448" i="10" s="1"/>
  <c r="D448" i="10" a="1"/>
  <c r="D448" i="10" s="1"/>
  <c r="E448" i="10" a="1"/>
  <c r="E448" i="10" s="1"/>
  <c r="B449" i="10" a="1"/>
  <c r="B449" i="10" s="1"/>
  <c r="C449" i="10" a="1"/>
  <c r="C449" i="10" s="1"/>
  <c r="D449" i="10" a="1"/>
  <c r="D449" i="10" s="1"/>
  <c r="E449" i="10" a="1"/>
  <c r="E449" i="10" s="1"/>
  <c r="B450" i="10" a="1"/>
  <c r="B450" i="10" s="1"/>
  <c r="C450" i="10" a="1"/>
  <c r="C450" i="10" s="1"/>
  <c r="D450" i="10" a="1"/>
  <c r="D450" i="10" s="1"/>
  <c r="E450" i="10" a="1"/>
  <c r="E450" i="10" s="1"/>
  <c r="B451" i="10" a="1"/>
  <c r="B451" i="10" s="1"/>
  <c r="C451" i="10" a="1"/>
  <c r="C451" i="10" s="1"/>
  <c r="D451" i="10" a="1"/>
  <c r="D451" i="10" s="1"/>
  <c r="E451" i="10" a="1"/>
  <c r="E451" i="10" s="1"/>
  <c r="B452" i="10" a="1"/>
  <c r="B452" i="10" s="1"/>
  <c r="C452" i="10" a="1"/>
  <c r="C452" i="10" s="1"/>
  <c r="D452" i="10" a="1"/>
  <c r="D452" i="10" s="1"/>
  <c r="E452" i="10" a="1"/>
  <c r="E452" i="10" s="1"/>
  <c r="B453" i="10" a="1"/>
  <c r="B453" i="10" s="1"/>
  <c r="C453" i="10" a="1"/>
  <c r="C453" i="10" s="1"/>
  <c r="D453" i="10" a="1"/>
  <c r="D453" i="10" s="1"/>
  <c r="E453" i="10" a="1"/>
  <c r="E453" i="10" s="1"/>
  <c r="B454" i="10" a="1"/>
  <c r="B454" i="10" s="1"/>
  <c r="C454" i="10" a="1"/>
  <c r="C454" i="10" s="1"/>
  <c r="D454" i="10" a="1"/>
  <c r="D454" i="10" s="1"/>
  <c r="E454" i="10" a="1"/>
  <c r="E454" i="10" s="1"/>
  <c r="B455" i="10" a="1"/>
  <c r="B455" i="10" s="1"/>
  <c r="C455" i="10" a="1"/>
  <c r="C455" i="10" s="1"/>
  <c r="D455" i="10" a="1"/>
  <c r="D455" i="10" s="1"/>
  <c r="E455" i="10" a="1"/>
  <c r="E455" i="10" s="1"/>
  <c r="B456" i="10" a="1"/>
  <c r="B456" i="10" s="1"/>
  <c r="C456" i="10" a="1"/>
  <c r="C456" i="10" s="1"/>
  <c r="D456" i="10" a="1"/>
  <c r="D456" i="10" s="1"/>
  <c r="E456" i="10" a="1"/>
  <c r="E456" i="10" s="1"/>
  <c r="B457" i="10" a="1"/>
  <c r="B457" i="10" s="1"/>
  <c r="C457" i="10" a="1"/>
  <c r="C457" i="10" s="1"/>
  <c r="D457" i="10" a="1"/>
  <c r="D457" i="10" s="1"/>
  <c r="E457" i="10" a="1"/>
  <c r="E457" i="10" s="1"/>
  <c r="B458" i="10" a="1"/>
  <c r="B458" i="10" s="1"/>
  <c r="C458" i="10" a="1"/>
  <c r="C458" i="10" s="1"/>
  <c r="D458" i="10" a="1"/>
  <c r="D458" i="10" s="1"/>
  <c r="E458" i="10" a="1"/>
  <c r="E458" i="10" s="1"/>
  <c r="B459" i="10" a="1"/>
  <c r="B459" i="10" s="1"/>
  <c r="C459" i="10" a="1"/>
  <c r="C459" i="10" s="1"/>
  <c r="D459" i="10" a="1"/>
  <c r="D459" i="10" s="1"/>
  <c r="E459" i="10" a="1"/>
  <c r="E459" i="10" s="1"/>
  <c r="B460" i="10" a="1"/>
  <c r="B460" i="10" s="1"/>
  <c r="C460" i="10" a="1"/>
  <c r="C460" i="10" s="1"/>
  <c r="D460" i="10" a="1"/>
  <c r="D460" i="10" s="1"/>
  <c r="E460" i="10" a="1"/>
  <c r="E460" i="10" s="1"/>
  <c r="B461" i="10" a="1"/>
  <c r="B461" i="10" s="1"/>
  <c r="C461" i="10" a="1"/>
  <c r="C461" i="10" s="1"/>
  <c r="D461" i="10" a="1"/>
  <c r="D461" i="10" s="1"/>
  <c r="E461" i="10" a="1"/>
  <c r="E461" i="10" s="1"/>
  <c r="B462" i="10" a="1"/>
  <c r="B462" i="10" s="1"/>
  <c r="C462" i="10" a="1"/>
  <c r="C462" i="10" s="1"/>
  <c r="D462" i="10" a="1"/>
  <c r="D462" i="10" s="1"/>
  <c r="E462" i="10" a="1"/>
  <c r="E462" i="10" s="1"/>
  <c r="B463" i="10" a="1"/>
  <c r="B463" i="10" s="1"/>
  <c r="C463" i="10" a="1"/>
  <c r="C463" i="10" s="1"/>
  <c r="D463" i="10" a="1"/>
  <c r="D463" i="10" s="1"/>
  <c r="E463" i="10" a="1"/>
  <c r="E463" i="10" s="1"/>
  <c r="B464" i="10" a="1"/>
  <c r="B464" i="10" s="1"/>
  <c r="C464" i="10" a="1"/>
  <c r="C464" i="10" s="1"/>
  <c r="D464" i="10" a="1"/>
  <c r="D464" i="10" s="1"/>
  <c r="E464" i="10" a="1"/>
  <c r="E464" i="10" s="1"/>
  <c r="B465" i="10" a="1"/>
  <c r="B465" i="10" s="1"/>
  <c r="C465" i="10" a="1"/>
  <c r="C465" i="10" s="1"/>
  <c r="D465" i="10" a="1"/>
  <c r="D465" i="10" s="1"/>
  <c r="E465" i="10" a="1"/>
  <c r="E465" i="10" s="1"/>
  <c r="B466" i="10" a="1"/>
  <c r="B466" i="10" s="1"/>
  <c r="C466" i="10" a="1"/>
  <c r="C466" i="10" s="1"/>
  <c r="D466" i="10" a="1"/>
  <c r="D466" i="10" s="1"/>
  <c r="E466" i="10" a="1"/>
  <c r="E466" i="10" s="1"/>
  <c r="B467" i="10" a="1"/>
  <c r="B467" i="10" s="1"/>
  <c r="C467" i="10" a="1"/>
  <c r="C467" i="10" s="1"/>
  <c r="D467" i="10" a="1"/>
  <c r="D467" i="10" s="1"/>
  <c r="E467" i="10" a="1"/>
  <c r="E467" i="10" s="1"/>
  <c r="B468" i="10" a="1"/>
  <c r="B468" i="10" s="1"/>
  <c r="C468" i="10" a="1"/>
  <c r="C468" i="10" s="1"/>
  <c r="D468" i="10" a="1"/>
  <c r="D468" i="10" s="1"/>
  <c r="E468" i="10" a="1"/>
  <c r="E468" i="10" s="1"/>
  <c r="B469" i="10" a="1"/>
  <c r="B469" i="10" s="1"/>
  <c r="C469" i="10" a="1"/>
  <c r="C469" i="10" s="1"/>
  <c r="D469" i="10" a="1"/>
  <c r="D469" i="10" s="1"/>
  <c r="E469" i="10" a="1"/>
  <c r="E469" i="10" s="1"/>
  <c r="B470" i="10" a="1"/>
  <c r="B470" i="10" s="1"/>
  <c r="C470" i="10" a="1"/>
  <c r="C470" i="10" s="1"/>
  <c r="D470" i="10" a="1"/>
  <c r="D470" i="10" s="1"/>
  <c r="E470" i="10" a="1"/>
  <c r="E470" i="10" s="1"/>
  <c r="B471" i="10" a="1"/>
  <c r="B471" i="10" s="1"/>
  <c r="C471" i="10" a="1"/>
  <c r="C471" i="10" s="1"/>
  <c r="D471" i="10" a="1"/>
  <c r="D471" i="10" s="1"/>
  <c r="E471" i="10" a="1"/>
  <c r="E471" i="10" s="1"/>
  <c r="B472" i="10" a="1"/>
  <c r="B472" i="10" s="1"/>
  <c r="C472" i="10" a="1"/>
  <c r="C472" i="10" s="1"/>
  <c r="D472" i="10" a="1"/>
  <c r="D472" i="10" s="1"/>
  <c r="E472" i="10" a="1"/>
  <c r="E472" i="10" s="1"/>
  <c r="B473" i="10" a="1"/>
  <c r="B473" i="10" s="1"/>
  <c r="C473" i="10" a="1"/>
  <c r="C473" i="10" s="1"/>
  <c r="D473" i="10" a="1"/>
  <c r="D473" i="10" s="1"/>
  <c r="E473" i="10" a="1"/>
  <c r="E473" i="10" s="1"/>
  <c r="B474" i="10" a="1"/>
  <c r="B474" i="10" s="1"/>
  <c r="C474" i="10" a="1"/>
  <c r="C474" i="10" s="1"/>
  <c r="D474" i="10" a="1"/>
  <c r="D474" i="10" s="1"/>
  <c r="E474" i="10" a="1"/>
  <c r="E474" i="10" s="1"/>
  <c r="B475" i="10" a="1"/>
  <c r="B475" i="10" s="1"/>
  <c r="C475" i="10" a="1"/>
  <c r="C475" i="10" s="1"/>
  <c r="D475" i="10" a="1"/>
  <c r="D475" i="10" s="1"/>
  <c r="E475" i="10" a="1"/>
  <c r="E475" i="10" s="1"/>
  <c r="B476" i="10" a="1"/>
  <c r="B476" i="10" s="1"/>
  <c r="C476" i="10" a="1"/>
  <c r="C476" i="10" s="1"/>
  <c r="D476" i="10" a="1"/>
  <c r="D476" i="10" s="1"/>
  <c r="E476" i="10" a="1"/>
  <c r="E476" i="10" s="1"/>
  <c r="B477" i="10" a="1"/>
  <c r="B477" i="10" s="1"/>
  <c r="C477" i="10" a="1"/>
  <c r="C477" i="10" s="1"/>
  <c r="D477" i="10" a="1"/>
  <c r="D477" i="10" s="1"/>
  <c r="E477" i="10" a="1"/>
  <c r="E477" i="10" s="1"/>
  <c r="B478" i="10" a="1"/>
  <c r="B478" i="10" s="1"/>
  <c r="C478" i="10" a="1"/>
  <c r="C478" i="10" s="1"/>
  <c r="D478" i="10" a="1"/>
  <c r="D478" i="10" s="1"/>
  <c r="E478" i="10" a="1"/>
  <c r="E478" i="10" s="1"/>
  <c r="B479" i="10" a="1"/>
  <c r="B479" i="10" s="1"/>
  <c r="C479" i="10" a="1"/>
  <c r="C479" i="10" s="1"/>
  <c r="D479" i="10" a="1"/>
  <c r="D479" i="10" s="1"/>
  <c r="E479" i="10" a="1"/>
  <c r="E479" i="10" s="1"/>
  <c r="B480" i="10" a="1"/>
  <c r="B480" i="10" s="1"/>
  <c r="C480" i="10" a="1"/>
  <c r="C480" i="10" s="1"/>
  <c r="D480" i="10" a="1"/>
  <c r="D480" i="10" s="1"/>
  <c r="E480" i="10" a="1"/>
  <c r="E480" i="10" s="1"/>
  <c r="B481" i="10" a="1"/>
  <c r="B481" i="10" s="1"/>
  <c r="C481" i="10" a="1"/>
  <c r="C481" i="10" s="1"/>
  <c r="D481" i="10" a="1"/>
  <c r="D481" i="10" s="1"/>
  <c r="E481" i="10" a="1"/>
  <c r="E481" i="10" s="1"/>
  <c r="B482" i="10" a="1"/>
  <c r="B482" i="10" s="1"/>
  <c r="C482" i="10" a="1"/>
  <c r="C482" i="10" s="1"/>
  <c r="D482" i="10" a="1"/>
  <c r="D482" i="10" s="1"/>
  <c r="E482" i="10" a="1"/>
  <c r="E482" i="10" s="1"/>
  <c r="B483" i="10" a="1"/>
  <c r="B483" i="10" s="1"/>
  <c r="C483" i="10" a="1"/>
  <c r="C483" i="10" s="1"/>
  <c r="D483" i="10" a="1"/>
  <c r="D483" i="10"/>
  <c r="E483" i="10" a="1"/>
  <c r="E483" i="10" s="1"/>
  <c r="B484" i="10" a="1"/>
  <c r="B484" i="10"/>
  <c r="C484" i="10" a="1"/>
  <c r="C484" i="10" s="1"/>
  <c r="D484" i="10" a="1"/>
  <c r="D484" i="10" s="1"/>
  <c r="E484" i="10" a="1"/>
  <c r="E484" i="10" s="1"/>
  <c r="B485" i="10" a="1"/>
  <c r="B485" i="10" s="1"/>
  <c r="C485" i="10" a="1"/>
  <c r="C485" i="10" s="1"/>
  <c r="D485" i="10" a="1"/>
  <c r="D485" i="10" s="1"/>
  <c r="E485" i="10" a="1"/>
  <c r="E485" i="10" s="1"/>
  <c r="B486" i="10" a="1"/>
  <c r="B486" i="10" s="1"/>
  <c r="C486" i="10" a="1"/>
  <c r="C486" i="10" s="1"/>
  <c r="D486" i="10" a="1"/>
  <c r="D486" i="10" s="1"/>
  <c r="E486" i="10" a="1"/>
  <c r="E486" i="10" s="1"/>
  <c r="B487" i="10" a="1"/>
  <c r="B487" i="10" s="1"/>
  <c r="C487" i="10" a="1"/>
  <c r="C487" i="10" s="1"/>
  <c r="D487" i="10" a="1"/>
  <c r="D487" i="10" s="1"/>
  <c r="E487" i="10" a="1"/>
  <c r="E487" i="10" s="1"/>
  <c r="B488" i="10" a="1"/>
  <c r="B488" i="10" s="1"/>
  <c r="C488" i="10" a="1"/>
  <c r="C488" i="10" s="1"/>
  <c r="D488" i="10" a="1"/>
  <c r="D488" i="10" s="1"/>
  <c r="E488" i="10" a="1"/>
  <c r="E488" i="10" s="1"/>
  <c r="B489" i="10" a="1"/>
  <c r="B489" i="10" s="1"/>
  <c r="C489" i="10" a="1"/>
  <c r="C489" i="10" s="1"/>
  <c r="D489" i="10" a="1"/>
  <c r="D489" i="10" s="1"/>
  <c r="E489" i="10" a="1"/>
  <c r="E489" i="10" s="1"/>
  <c r="B490" i="10" a="1"/>
  <c r="B490" i="10" s="1"/>
  <c r="C490" i="10" a="1"/>
  <c r="C490" i="10" s="1"/>
  <c r="D490" i="10" a="1"/>
  <c r="D490" i="10" s="1"/>
  <c r="E490" i="10" a="1"/>
  <c r="E490" i="10" s="1"/>
  <c r="B491" i="10" a="1"/>
  <c r="B491" i="10" s="1"/>
  <c r="C491" i="10" a="1"/>
  <c r="C491" i="10" s="1"/>
  <c r="D491" i="10" a="1"/>
  <c r="D491" i="10" s="1"/>
  <c r="E491" i="10" a="1"/>
  <c r="E491" i="10" s="1"/>
  <c r="B492" i="10" a="1"/>
  <c r="B492" i="10" s="1"/>
  <c r="C492" i="10" a="1"/>
  <c r="C492" i="10" s="1"/>
  <c r="D492" i="10" a="1"/>
  <c r="D492" i="10" s="1"/>
  <c r="E492" i="10" a="1"/>
  <c r="E492" i="10" s="1"/>
  <c r="B493" i="10" a="1"/>
  <c r="B493" i="10" s="1"/>
  <c r="C493" i="10" a="1"/>
  <c r="C493" i="10" s="1"/>
  <c r="D493" i="10" a="1"/>
  <c r="D493" i="10" s="1"/>
  <c r="E493" i="10" a="1"/>
  <c r="E493" i="10" s="1"/>
  <c r="B494" i="10" a="1"/>
  <c r="B494" i="10" s="1"/>
  <c r="C494" i="10" a="1"/>
  <c r="C494" i="10" s="1"/>
  <c r="D494" i="10" a="1"/>
  <c r="D494" i="10" s="1"/>
  <c r="E494" i="10" a="1"/>
  <c r="E494" i="10"/>
  <c r="B495" i="10" a="1"/>
  <c r="B495" i="10" s="1"/>
  <c r="C495" i="10" a="1"/>
  <c r="C495" i="10"/>
  <c r="D495" i="10" a="1"/>
  <c r="D495" i="10" s="1"/>
  <c r="E495" i="10" a="1"/>
  <c r="E495" i="10" s="1"/>
  <c r="B496" i="10" a="1"/>
  <c r="B496" i="10" s="1"/>
  <c r="C496" i="10" a="1"/>
  <c r="C496" i="10" s="1"/>
  <c r="D496" i="10" a="1"/>
  <c r="D496" i="10" s="1"/>
  <c r="E496" i="10" a="1"/>
  <c r="E496" i="10" s="1"/>
  <c r="B497" i="10" a="1"/>
  <c r="B497" i="10" s="1"/>
  <c r="C497" i="10" a="1"/>
  <c r="C497" i="10" s="1"/>
  <c r="D497" i="10" a="1"/>
  <c r="D497" i="10" s="1"/>
  <c r="E497" i="10" a="1"/>
  <c r="E497" i="10" s="1"/>
  <c r="B498" i="10" a="1"/>
  <c r="B498" i="10" s="1"/>
  <c r="C498" i="10" a="1"/>
  <c r="C498" i="10" s="1"/>
  <c r="D498" i="10" a="1"/>
  <c r="D498" i="10" s="1"/>
  <c r="E498" i="10" a="1"/>
  <c r="E498" i="10" s="1"/>
  <c r="B499" i="10" a="1"/>
  <c r="B499" i="10" s="1"/>
  <c r="C499" i="10" a="1"/>
  <c r="C499" i="10" s="1"/>
  <c r="D499" i="10" a="1"/>
  <c r="D499" i="10" s="1"/>
  <c r="E499" i="10" a="1"/>
  <c r="E499" i="10" s="1"/>
  <c r="B500" i="10" a="1"/>
  <c r="B500" i="10" s="1"/>
  <c r="C500" i="10" a="1"/>
  <c r="C500" i="10" s="1"/>
  <c r="D500" i="10" a="1"/>
  <c r="D500" i="10" s="1"/>
  <c r="E500" i="10" a="1"/>
  <c r="E500" i="10" s="1"/>
  <c r="B501" i="10" a="1"/>
  <c r="B501" i="10" s="1"/>
  <c r="C501" i="10" a="1"/>
  <c r="C501" i="10" s="1"/>
  <c r="D501" i="10" a="1"/>
  <c r="D501" i="10" s="1"/>
  <c r="E501" i="10" a="1"/>
  <c r="E501" i="10" s="1"/>
  <c r="B502" i="10" a="1"/>
  <c r="B502" i="10" s="1"/>
  <c r="C502" i="10" a="1"/>
  <c r="C502" i="10" s="1"/>
  <c r="D502" i="10" a="1"/>
  <c r="D502" i="10" s="1"/>
  <c r="E502" i="10" a="1"/>
  <c r="E502" i="10" s="1"/>
  <c r="B503" i="10" a="1"/>
  <c r="B503" i="10" s="1"/>
  <c r="C503" i="10" a="1"/>
  <c r="C503" i="10" s="1"/>
  <c r="D503" i="10" a="1"/>
  <c r="D503" i="10" s="1"/>
  <c r="E503" i="10" a="1"/>
  <c r="E503" i="10"/>
  <c r="B504" i="10" a="1"/>
  <c r="B504" i="10" s="1"/>
  <c r="C504" i="10" a="1"/>
  <c r="C504" i="10"/>
  <c r="D504" i="10" a="1"/>
  <c r="D504" i="10" s="1"/>
  <c r="E504" i="10" a="1"/>
  <c r="E504" i="10" s="1"/>
  <c r="B505" i="10" a="1"/>
  <c r="B505" i="10" s="1"/>
  <c r="C505" i="10" a="1"/>
  <c r="C505" i="10" s="1"/>
  <c r="D505" i="10" a="1"/>
  <c r="D505" i="10" s="1"/>
  <c r="E505" i="10" a="1"/>
  <c r="E505" i="10" s="1"/>
  <c r="B506" i="10" a="1"/>
  <c r="B506" i="10" s="1"/>
  <c r="C506" i="10" a="1"/>
  <c r="C506" i="10" s="1"/>
  <c r="D506" i="10" a="1"/>
  <c r="D506" i="10" s="1"/>
  <c r="E506" i="10" a="1"/>
  <c r="E506" i="10" s="1"/>
  <c r="B507" i="10" a="1"/>
  <c r="B507" i="10" s="1"/>
  <c r="C507" i="10" a="1"/>
  <c r="C507" i="10" s="1"/>
  <c r="D507" i="10" a="1"/>
  <c r="D507" i="10" s="1"/>
  <c r="E507" i="10" a="1"/>
  <c r="E507" i="10" s="1"/>
  <c r="B508" i="10" a="1"/>
  <c r="B508" i="10" s="1"/>
  <c r="C508" i="10" a="1"/>
  <c r="C508" i="10" s="1"/>
  <c r="D508" i="10" a="1"/>
  <c r="D508" i="10" s="1"/>
  <c r="E508" i="10" a="1"/>
  <c r="E508" i="10" s="1"/>
  <c r="B509" i="10" a="1"/>
  <c r="B509" i="10" s="1"/>
  <c r="C509" i="10" a="1"/>
  <c r="C509" i="10" s="1"/>
  <c r="D509" i="10" a="1"/>
  <c r="D509" i="10" s="1"/>
  <c r="E509" i="10" a="1"/>
  <c r="E509" i="10" s="1"/>
  <c r="B510" i="10" a="1"/>
  <c r="B510" i="10" s="1"/>
  <c r="C510" i="10" a="1"/>
  <c r="C510" i="10" s="1"/>
  <c r="D510" i="10" a="1"/>
  <c r="D510" i="10" s="1"/>
  <c r="E510" i="10" a="1"/>
  <c r="E510" i="10" s="1"/>
  <c r="B511" i="10" a="1"/>
  <c r="B511" i="10" s="1"/>
  <c r="C511" i="10" a="1"/>
  <c r="C511" i="10" s="1"/>
  <c r="D511" i="10" a="1"/>
  <c r="D511" i="10" s="1"/>
  <c r="E511" i="10" a="1"/>
  <c r="E511" i="10" s="1"/>
  <c r="B512" i="10" a="1"/>
  <c r="B512" i="10" s="1"/>
  <c r="C512" i="10" a="1"/>
  <c r="C512" i="10" s="1"/>
  <c r="D512" i="10" a="1"/>
  <c r="D512" i="10" s="1"/>
  <c r="E512" i="10" a="1"/>
  <c r="E512" i="10" s="1"/>
  <c r="B513" i="10" a="1"/>
  <c r="B513" i="10" s="1"/>
  <c r="C513" i="10" a="1"/>
  <c r="C513" i="10" s="1"/>
  <c r="D513" i="10" a="1"/>
  <c r="D513" i="10" s="1"/>
  <c r="E513" i="10" a="1"/>
  <c r="E513" i="10" s="1"/>
  <c r="B514" i="10" a="1"/>
  <c r="B514" i="10" s="1"/>
  <c r="C514" i="10" a="1"/>
  <c r="C514" i="10" s="1"/>
  <c r="D514" i="10" a="1"/>
  <c r="D514" i="10" s="1"/>
  <c r="E514" i="10" a="1"/>
  <c r="E514" i="10" s="1"/>
  <c r="B515" i="10" a="1"/>
  <c r="B515" i="10"/>
  <c r="C515" i="10" a="1"/>
  <c r="C515" i="10" s="1"/>
  <c r="D515" i="10" a="1"/>
  <c r="D515" i="10"/>
  <c r="E515" i="10" a="1"/>
  <c r="E515" i="10" s="1"/>
  <c r="B516" i="10" a="1"/>
  <c r="B516" i="10" s="1"/>
  <c r="C516" i="10" a="1"/>
  <c r="C516" i="10" s="1"/>
  <c r="D516" i="10" a="1"/>
  <c r="D516" i="10" s="1"/>
  <c r="E516" i="10" a="1"/>
  <c r="E516" i="10" s="1"/>
  <c r="B517" i="10" a="1"/>
  <c r="B517" i="10" s="1"/>
  <c r="C517" i="10" a="1"/>
  <c r="C517" i="10" s="1"/>
  <c r="D517" i="10" a="1"/>
  <c r="D517" i="10" s="1"/>
  <c r="E517" i="10" a="1"/>
  <c r="E517" i="10" s="1"/>
  <c r="B518" i="10" a="1"/>
  <c r="B518" i="10" s="1"/>
  <c r="C518" i="10" a="1"/>
  <c r="C518" i="10" s="1"/>
  <c r="D518" i="10" a="1"/>
  <c r="D518" i="10" s="1"/>
  <c r="E518" i="10" a="1"/>
  <c r="E518" i="10" s="1"/>
  <c r="B519" i="10" a="1"/>
  <c r="B519" i="10" s="1"/>
  <c r="C519" i="10" a="1"/>
  <c r="C519" i="10" s="1"/>
  <c r="D519" i="10" a="1"/>
  <c r="D519" i="10" s="1"/>
  <c r="E519" i="10" a="1"/>
  <c r="E519" i="10" s="1"/>
  <c r="B520" i="10" a="1"/>
  <c r="B520" i="10" s="1"/>
  <c r="C520" i="10" a="1"/>
  <c r="C520" i="10" s="1"/>
  <c r="D520" i="10" a="1"/>
  <c r="D520" i="10" s="1"/>
  <c r="E520" i="10" a="1"/>
  <c r="E520" i="10" s="1"/>
  <c r="E2" i="10" a="1"/>
  <c r="E2" i="10" s="1"/>
  <c r="D2" i="10" a="1"/>
  <c r="D2" i="10" s="1"/>
  <c r="C2" i="10" a="1"/>
  <c r="C2" i="10" s="1"/>
  <c r="B2" i="10" a="1"/>
  <c r="B2" i="10" s="1"/>
  <c r="D16" i="4" a="1"/>
  <c r="D16" i="4"/>
  <c r="C11" i="4" a="1"/>
  <c r="C11" i="4"/>
  <c r="B2" i="4" a="1"/>
  <c r="B2" i="4"/>
  <c r="L2" i="3"/>
  <c r="E3" i="4" a="1"/>
  <c r="E3" i="4" s="1"/>
  <c r="E4" i="4" a="1"/>
  <c r="E4" i="4" s="1"/>
  <c r="E5" i="4" a="1"/>
  <c r="E5" i="4" s="1"/>
  <c r="E6" i="4" a="1"/>
  <c r="E6" i="4" s="1"/>
  <c r="E7" i="4" a="1"/>
  <c r="E7" i="4" s="1"/>
  <c r="E8" i="4" a="1"/>
  <c r="E8" i="4" s="1"/>
  <c r="E9" i="4" a="1"/>
  <c r="E9" i="4" s="1"/>
  <c r="E10" i="4" a="1"/>
  <c r="E10" i="4" s="1"/>
  <c r="E11" i="4" a="1"/>
  <c r="E11" i="4" s="1"/>
  <c r="E12" i="4" a="1"/>
  <c r="E12" i="4" s="1"/>
  <c r="E13" i="4" a="1"/>
  <c r="E13" i="4" s="1"/>
  <c r="E14" i="4" a="1"/>
  <c r="E14" i="4" s="1"/>
  <c r="E15" i="4" a="1"/>
  <c r="E15" i="4" s="1"/>
  <c r="E16" i="4" a="1"/>
  <c r="E16" i="4" s="1"/>
  <c r="E17" i="4" a="1"/>
  <c r="E17" i="4" s="1"/>
  <c r="E18" i="4" a="1"/>
  <c r="E18" i="4" s="1"/>
  <c r="E19" i="4" a="1"/>
  <c r="E19" i="4" s="1"/>
  <c r="E20" i="4" a="1"/>
  <c r="E20" i="4" s="1"/>
  <c r="E21" i="4" a="1"/>
  <c r="E21" i="4" s="1"/>
  <c r="E22" i="4" a="1"/>
  <c r="E22" i="4" s="1"/>
  <c r="E23" i="4" a="1"/>
  <c r="E23" i="4" s="1"/>
  <c r="E24" i="4" a="1"/>
  <c r="E24" i="4" s="1"/>
  <c r="E25" i="4" a="1"/>
  <c r="E25" i="4" s="1"/>
  <c r="E26" i="4" a="1"/>
  <c r="E26" i="4" s="1"/>
  <c r="E27" i="4" a="1"/>
  <c r="E27" i="4" s="1"/>
  <c r="E28" i="4" a="1"/>
  <c r="E28" i="4" s="1"/>
  <c r="E29" i="4" a="1"/>
  <c r="E29" i="4" s="1"/>
  <c r="E30" i="4" a="1"/>
  <c r="E30" i="4" s="1"/>
  <c r="E31" i="4" a="1"/>
  <c r="E31" i="4" s="1"/>
  <c r="E32" i="4" a="1"/>
  <c r="E32" i="4" s="1"/>
  <c r="E33" i="4" a="1"/>
  <c r="E33" i="4" s="1"/>
  <c r="E34" i="4" a="1"/>
  <c r="E34" i="4" s="1"/>
  <c r="E35" i="4" a="1"/>
  <c r="E35" i="4" s="1"/>
  <c r="E36" i="4" a="1"/>
  <c r="E36" i="4" s="1"/>
  <c r="E37" i="4" a="1"/>
  <c r="E37" i="4" s="1"/>
  <c r="E38" i="4" a="1"/>
  <c r="E38" i="4" s="1"/>
  <c r="E39" i="4" a="1"/>
  <c r="E39" i="4" s="1"/>
  <c r="E40" i="4" a="1"/>
  <c r="E40" i="4" s="1"/>
  <c r="E41" i="4" a="1"/>
  <c r="E41" i="4" s="1"/>
  <c r="E42" i="4" a="1"/>
  <c r="E42" i="4" s="1"/>
  <c r="E43" i="4" a="1"/>
  <c r="E43" i="4" s="1"/>
  <c r="E44" i="4" a="1"/>
  <c r="E44" i="4" s="1"/>
  <c r="E45" i="4" a="1"/>
  <c r="E45" i="4" s="1"/>
  <c r="E46" i="4" a="1"/>
  <c r="E46" i="4" s="1"/>
  <c r="E47" i="4" a="1"/>
  <c r="E47" i="4" s="1"/>
  <c r="E48" i="4" a="1"/>
  <c r="E48" i="4" s="1"/>
  <c r="E49" i="4" a="1"/>
  <c r="E49" i="4" s="1"/>
  <c r="E50" i="4" a="1"/>
  <c r="E50" i="4" s="1"/>
  <c r="E51" i="4" a="1"/>
  <c r="E51" i="4" s="1"/>
  <c r="E52" i="4" a="1"/>
  <c r="E52" i="4" s="1"/>
  <c r="E53" i="4" a="1"/>
  <c r="E53" i="4" s="1"/>
  <c r="E54" i="4" a="1"/>
  <c r="E54" i="4" s="1"/>
  <c r="E55" i="4" a="1"/>
  <c r="E55" i="4" s="1"/>
  <c r="E56" i="4" a="1"/>
  <c r="E56" i="4" s="1"/>
  <c r="E57" i="4" a="1"/>
  <c r="E57" i="4" s="1"/>
  <c r="E58" i="4" a="1"/>
  <c r="E58" i="4" s="1"/>
  <c r="E59" i="4" a="1"/>
  <c r="E59" i="4" s="1"/>
  <c r="E60" i="4" a="1"/>
  <c r="E60" i="4" s="1"/>
  <c r="E61" i="4" a="1"/>
  <c r="E61" i="4" s="1"/>
  <c r="E62" i="4" a="1"/>
  <c r="E62" i="4" s="1"/>
  <c r="E63" i="4" a="1"/>
  <c r="E63" i="4" s="1"/>
  <c r="E64" i="4" a="1"/>
  <c r="E64" i="4" s="1"/>
  <c r="E65" i="4" a="1"/>
  <c r="E65" i="4" s="1"/>
  <c r="E66" i="4" a="1"/>
  <c r="E66" i="4" s="1"/>
  <c r="E67" i="4" a="1"/>
  <c r="E67" i="4" s="1"/>
  <c r="E68" i="4" a="1"/>
  <c r="E68" i="4" s="1"/>
  <c r="E69" i="4" a="1"/>
  <c r="E69" i="4" s="1"/>
  <c r="E70" i="4" a="1"/>
  <c r="E70" i="4" s="1"/>
  <c r="E71" i="4" a="1"/>
  <c r="E71" i="4" s="1"/>
  <c r="E72" i="4" a="1"/>
  <c r="E72" i="4" s="1"/>
  <c r="E73" i="4" a="1"/>
  <c r="E73" i="4" s="1"/>
  <c r="E74" i="4" a="1"/>
  <c r="E74" i="4" s="1"/>
  <c r="E75" i="4" a="1"/>
  <c r="E75" i="4" s="1"/>
  <c r="E76" i="4" a="1"/>
  <c r="E76" i="4" s="1"/>
  <c r="E77" i="4" a="1"/>
  <c r="E77" i="4" s="1"/>
  <c r="E78" i="4" a="1"/>
  <c r="E78" i="4" s="1"/>
  <c r="E79" i="4" a="1"/>
  <c r="E79" i="4" s="1"/>
  <c r="E80" i="4" a="1"/>
  <c r="E80" i="4" s="1"/>
  <c r="E81" i="4" a="1"/>
  <c r="E81" i="4" s="1"/>
  <c r="E82" i="4" a="1"/>
  <c r="E82" i="4" s="1"/>
  <c r="E83" i="4" a="1"/>
  <c r="E83" i="4" s="1"/>
  <c r="E84" i="4" a="1"/>
  <c r="E84" i="4" s="1"/>
  <c r="E85" i="4" a="1"/>
  <c r="E85" i="4" s="1"/>
  <c r="E86" i="4" a="1"/>
  <c r="E86" i="4" s="1"/>
  <c r="E87" i="4" a="1"/>
  <c r="E87" i="4" s="1"/>
  <c r="E88" i="4" a="1"/>
  <c r="E88" i="4" s="1"/>
  <c r="E89" i="4" a="1"/>
  <c r="E89" i="4" s="1"/>
  <c r="E90" i="4" a="1"/>
  <c r="E90" i="4" s="1"/>
  <c r="E91" i="4" a="1"/>
  <c r="E91" i="4" s="1"/>
  <c r="E92" i="4" a="1"/>
  <c r="E92" i="4" s="1"/>
  <c r="E93" i="4" a="1"/>
  <c r="E93" i="4" s="1"/>
  <c r="E94" i="4" a="1"/>
  <c r="E94" i="4" s="1"/>
  <c r="E95" i="4" a="1"/>
  <c r="E95" i="4" s="1"/>
  <c r="E96" i="4" a="1"/>
  <c r="E96" i="4" s="1"/>
  <c r="E97" i="4" a="1"/>
  <c r="E97" i="4" s="1"/>
  <c r="E98" i="4" a="1"/>
  <c r="E98" i="4" s="1"/>
  <c r="E99" i="4" a="1"/>
  <c r="E99" i="4" s="1"/>
  <c r="E100" i="4" a="1"/>
  <c r="E100" i="4" s="1"/>
  <c r="E101" i="4" a="1"/>
  <c r="E101" i="4" s="1"/>
  <c r="E102" i="4" a="1"/>
  <c r="E102" i="4" s="1"/>
  <c r="E103" i="4" a="1"/>
  <c r="E103" i="4" s="1"/>
  <c r="E104" i="4" a="1"/>
  <c r="E104" i="4" s="1"/>
  <c r="E105" i="4" a="1"/>
  <c r="E105" i="4" s="1"/>
  <c r="E106" i="4" a="1"/>
  <c r="E106" i="4" s="1"/>
  <c r="E107" i="4" a="1"/>
  <c r="E107" i="4" s="1"/>
  <c r="E108" i="4" a="1"/>
  <c r="E108" i="4" s="1"/>
  <c r="E109" i="4" a="1"/>
  <c r="E109" i="4" s="1"/>
  <c r="E110" i="4" a="1"/>
  <c r="E110" i="4" s="1"/>
  <c r="E111" i="4" a="1"/>
  <c r="E111" i="4" s="1"/>
  <c r="E112" i="4" a="1"/>
  <c r="E112" i="4" s="1"/>
  <c r="E113" i="4" a="1"/>
  <c r="E113" i="4" s="1"/>
  <c r="E114" i="4" a="1"/>
  <c r="E114" i="4" s="1"/>
  <c r="E115" i="4" a="1"/>
  <c r="E115" i="4" s="1"/>
  <c r="E116" i="4" a="1"/>
  <c r="E116" i="4" s="1"/>
  <c r="E117" i="4" a="1"/>
  <c r="E117" i="4" s="1"/>
  <c r="E118" i="4" a="1"/>
  <c r="E118" i="4" s="1"/>
  <c r="E119" i="4" a="1"/>
  <c r="E119" i="4" s="1"/>
  <c r="E120" i="4" a="1"/>
  <c r="E120" i="4" s="1"/>
  <c r="E121" i="4" a="1"/>
  <c r="E121" i="4" s="1"/>
  <c r="E122" i="4" a="1"/>
  <c r="E122" i="4" s="1"/>
  <c r="E123" i="4" a="1"/>
  <c r="E123" i="4" s="1"/>
  <c r="E124" i="4" a="1"/>
  <c r="E124" i="4" s="1"/>
  <c r="E125" i="4" a="1"/>
  <c r="E125" i="4" s="1"/>
  <c r="E126" i="4" a="1"/>
  <c r="E126" i="4" s="1"/>
  <c r="E127" i="4" a="1"/>
  <c r="E127" i="4" s="1"/>
  <c r="E128" i="4" a="1"/>
  <c r="E128" i="4" s="1"/>
  <c r="E129" i="4" a="1"/>
  <c r="E129" i="4" s="1"/>
  <c r="E130" i="4" a="1"/>
  <c r="E130" i="4" s="1"/>
  <c r="E131" i="4" a="1"/>
  <c r="E131" i="4" s="1"/>
  <c r="E132" i="4" a="1"/>
  <c r="E132" i="4" s="1"/>
  <c r="E133" i="4" a="1"/>
  <c r="E133" i="4" s="1"/>
  <c r="E134" i="4" a="1"/>
  <c r="E134" i="4" s="1"/>
  <c r="E135" i="4" a="1"/>
  <c r="E135" i="4" s="1"/>
  <c r="E136" i="4" a="1"/>
  <c r="E136" i="4" s="1"/>
  <c r="E137" i="4" a="1"/>
  <c r="E137" i="4" s="1"/>
  <c r="E138" i="4" a="1"/>
  <c r="E138" i="4" s="1"/>
  <c r="E139" i="4" a="1"/>
  <c r="E139" i="4" s="1"/>
  <c r="E140" i="4" a="1"/>
  <c r="E140" i="4" s="1"/>
  <c r="E141" i="4" a="1"/>
  <c r="E141" i="4" s="1"/>
  <c r="E142" i="4" a="1"/>
  <c r="E142" i="4" s="1"/>
  <c r="E143" i="4" a="1"/>
  <c r="E143" i="4" s="1"/>
  <c r="E144" i="4" a="1"/>
  <c r="E144" i="4" s="1"/>
  <c r="E145" i="4" a="1"/>
  <c r="E145" i="4" s="1"/>
  <c r="E146" i="4" a="1"/>
  <c r="E146" i="4" s="1"/>
  <c r="E147" i="4" a="1"/>
  <c r="E147" i="4" s="1"/>
  <c r="E148" i="4" a="1"/>
  <c r="E148" i="4" s="1"/>
  <c r="E149" i="4" a="1"/>
  <c r="E149" i="4" s="1"/>
  <c r="E150" i="4" a="1"/>
  <c r="E150" i="4" s="1"/>
  <c r="E151" i="4" a="1"/>
  <c r="E151" i="4" s="1"/>
  <c r="E152" i="4" a="1"/>
  <c r="E152" i="4" s="1"/>
  <c r="E153" i="4" a="1"/>
  <c r="E153" i="4" s="1"/>
  <c r="E154" i="4" a="1"/>
  <c r="E154" i="4" s="1"/>
  <c r="E155" i="4" a="1"/>
  <c r="E155" i="4" s="1"/>
  <c r="E156" i="4" a="1"/>
  <c r="E156" i="4" s="1"/>
  <c r="E157" i="4" a="1"/>
  <c r="E157" i="4" s="1"/>
  <c r="E158" i="4" a="1"/>
  <c r="E158" i="4" s="1"/>
  <c r="E159" i="4" a="1"/>
  <c r="E159" i="4" s="1"/>
  <c r="E160" i="4" a="1"/>
  <c r="E160" i="4" s="1"/>
  <c r="E161" i="4" a="1"/>
  <c r="E161" i="4" s="1"/>
  <c r="E162" i="4" a="1"/>
  <c r="E162" i="4" s="1"/>
  <c r="E163" i="4" a="1"/>
  <c r="E163" i="4" s="1"/>
  <c r="E164" i="4" a="1"/>
  <c r="E164" i="4" s="1"/>
  <c r="E165" i="4" a="1"/>
  <c r="E165" i="4" s="1"/>
  <c r="E166" i="4" a="1"/>
  <c r="E166" i="4" s="1"/>
  <c r="E167" i="4" a="1"/>
  <c r="E167" i="4" s="1"/>
  <c r="E168" i="4" a="1"/>
  <c r="E168" i="4" s="1"/>
  <c r="E169" i="4" a="1"/>
  <c r="E169" i="4" s="1"/>
  <c r="E170" i="4" a="1"/>
  <c r="E170" i="4" s="1"/>
  <c r="E171" i="4" a="1"/>
  <c r="E171" i="4" s="1"/>
  <c r="E172" i="4" a="1"/>
  <c r="E172" i="4" s="1"/>
  <c r="E173" i="4" a="1"/>
  <c r="E173" i="4" s="1"/>
  <c r="E174" i="4" a="1"/>
  <c r="E174" i="4" s="1"/>
  <c r="E175" i="4" a="1"/>
  <c r="E175" i="4" s="1"/>
  <c r="E176" i="4" a="1"/>
  <c r="E176" i="4" s="1"/>
  <c r="E177" i="4" a="1"/>
  <c r="E177" i="4" s="1"/>
  <c r="E178" i="4" a="1"/>
  <c r="E178" i="4" s="1"/>
  <c r="E179" i="4" a="1"/>
  <c r="E179" i="4" s="1"/>
  <c r="E180" i="4" a="1"/>
  <c r="E180" i="4" s="1"/>
  <c r="E181" i="4" a="1"/>
  <c r="E181" i="4" s="1"/>
  <c r="E182" i="4" a="1"/>
  <c r="E182" i="4" s="1"/>
  <c r="E183" i="4" a="1"/>
  <c r="E183" i="4" s="1"/>
  <c r="E184" i="4" a="1"/>
  <c r="E184" i="4" s="1"/>
  <c r="E185" i="4" a="1"/>
  <c r="E185" i="4" s="1"/>
  <c r="E186" i="4" a="1"/>
  <c r="E186" i="4" s="1"/>
  <c r="E187" i="4" a="1"/>
  <c r="E187" i="4" s="1"/>
  <c r="E188" i="4" a="1"/>
  <c r="E188" i="4" s="1"/>
  <c r="E189" i="4" a="1"/>
  <c r="E189" i="4" s="1"/>
  <c r="E190" i="4" a="1"/>
  <c r="E190" i="4" s="1"/>
  <c r="E191" i="4" a="1"/>
  <c r="E191" i="4" s="1"/>
  <c r="E192" i="4" a="1"/>
  <c r="E192" i="4" s="1"/>
  <c r="E193" i="4" a="1"/>
  <c r="E193" i="4" s="1"/>
  <c r="E194" i="4" a="1"/>
  <c r="E194" i="4" s="1"/>
  <c r="E195" i="4" a="1"/>
  <c r="E195" i="4" s="1"/>
  <c r="E196" i="4" a="1"/>
  <c r="E196" i="4" s="1"/>
  <c r="E197" i="4" a="1"/>
  <c r="E197" i="4" s="1"/>
  <c r="E198" i="4" a="1"/>
  <c r="E198" i="4" s="1"/>
  <c r="E199" i="4" a="1"/>
  <c r="E199" i="4" s="1"/>
  <c r="E200" i="4" a="1"/>
  <c r="E200" i="4" s="1"/>
  <c r="E201" i="4" a="1"/>
  <c r="E201" i="4" s="1"/>
  <c r="E202" i="4" a="1"/>
  <c r="E202" i="4" s="1"/>
  <c r="E203" i="4" a="1"/>
  <c r="E203" i="4" s="1"/>
  <c r="E204" i="4" a="1"/>
  <c r="E204" i="4" s="1"/>
  <c r="E205" i="4" a="1"/>
  <c r="E205" i="4" s="1"/>
  <c r="E206" i="4" a="1"/>
  <c r="E206" i="4" s="1"/>
  <c r="E207" i="4" a="1"/>
  <c r="E207" i="4" s="1"/>
  <c r="E208" i="4" a="1"/>
  <c r="E208" i="4" s="1"/>
  <c r="E209" i="4" a="1"/>
  <c r="E209" i="4" s="1"/>
  <c r="E210" i="4" a="1"/>
  <c r="E210" i="4" s="1"/>
  <c r="E211" i="4" a="1"/>
  <c r="E211" i="4" s="1"/>
  <c r="E212" i="4" a="1"/>
  <c r="E212" i="4" s="1"/>
  <c r="E213" i="4" a="1"/>
  <c r="E213" i="4" s="1"/>
  <c r="E214" i="4" a="1"/>
  <c r="E214" i="4" s="1"/>
  <c r="E215" i="4" a="1"/>
  <c r="E215" i="4" s="1"/>
  <c r="E216" i="4" a="1"/>
  <c r="E216" i="4" s="1"/>
  <c r="E217" i="4" a="1"/>
  <c r="E217" i="4" s="1"/>
  <c r="E218" i="4" a="1"/>
  <c r="E218" i="4" s="1"/>
  <c r="E219" i="4" a="1"/>
  <c r="E219" i="4" s="1"/>
  <c r="E220" i="4" a="1"/>
  <c r="E220" i="4" s="1"/>
  <c r="E221" i="4" a="1"/>
  <c r="E221" i="4" s="1"/>
  <c r="E222" i="4" a="1"/>
  <c r="E222" i="4" s="1"/>
  <c r="E223" i="4" a="1"/>
  <c r="E223" i="4" s="1"/>
  <c r="E224" i="4" a="1"/>
  <c r="E224" i="4" s="1"/>
  <c r="E225" i="4" a="1"/>
  <c r="E225" i="4" s="1"/>
  <c r="E226" i="4" a="1"/>
  <c r="E226" i="4" s="1"/>
  <c r="E227" i="4" a="1"/>
  <c r="E227" i="4" s="1"/>
  <c r="E228" i="4" a="1"/>
  <c r="E228" i="4" s="1"/>
  <c r="E229" i="4" a="1"/>
  <c r="E229" i="4" s="1"/>
  <c r="E230" i="4" a="1"/>
  <c r="E230" i="4" s="1"/>
  <c r="E231" i="4" a="1"/>
  <c r="E231" i="4" s="1"/>
  <c r="E232" i="4" a="1"/>
  <c r="E232" i="4" s="1"/>
  <c r="E233" i="4" a="1"/>
  <c r="E233" i="4" s="1"/>
  <c r="E234" i="4" a="1"/>
  <c r="E234" i="4" s="1"/>
  <c r="E235" i="4" a="1"/>
  <c r="E235" i="4" s="1"/>
  <c r="E236" i="4" a="1"/>
  <c r="E236" i="4" s="1"/>
  <c r="E237" i="4" a="1"/>
  <c r="E237" i="4" s="1"/>
  <c r="E238" i="4" a="1"/>
  <c r="E238" i="4" s="1"/>
  <c r="E239" i="4" a="1"/>
  <c r="E239" i="4" s="1"/>
  <c r="E240" i="4" a="1"/>
  <c r="E240" i="4" s="1"/>
  <c r="E241" i="4" a="1"/>
  <c r="E241" i="4" s="1"/>
  <c r="E242" i="4" a="1"/>
  <c r="E242" i="4" s="1"/>
  <c r="E243" i="4" a="1"/>
  <c r="E243" i="4" s="1"/>
  <c r="E244" i="4" a="1"/>
  <c r="E244" i="4" s="1"/>
  <c r="E245" i="4" a="1"/>
  <c r="E245" i="4" s="1"/>
  <c r="E246" i="4" a="1"/>
  <c r="E246" i="4" s="1"/>
  <c r="E247" i="4" a="1"/>
  <c r="E247" i="4" s="1"/>
  <c r="E248" i="4" a="1"/>
  <c r="E248" i="4" s="1"/>
  <c r="E249" i="4" a="1"/>
  <c r="E249" i="4" s="1"/>
  <c r="E250" i="4" a="1"/>
  <c r="E250" i="4" s="1"/>
  <c r="E251" i="4" a="1"/>
  <c r="E251" i="4" s="1"/>
  <c r="E252" i="4" a="1"/>
  <c r="E252" i="4" s="1"/>
  <c r="E253" i="4" a="1"/>
  <c r="E253" i="4" s="1"/>
  <c r="E254" i="4" a="1"/>
  <c r="E254" i="4" s="1"/>
  <c r="E255" i="4" a="1"/>
  <c r="E255" i="4" s="1"/>
  <c r="E256" i="4" a="1"/>
  <c r="E256" i="4" s="1"/>
  <c r="E257" i="4" a="1"/>
  <c r="E257" i="4" s="1"/>
  <c r="E258" i="4" a="1"/>
  <c r="E258" i="4" s="1"/>
  <c r="E259" i="4" a="1"/>
  <c r="E259" i="4" s="1"/>
  <c r="E260" i="4" a="1"/>
  <c r="E260" i="4" s="1"/>
  <c r="E261" i="4" a="1"/>
  <c r="E261" i="4" s="1"/>
  <c r="E262" i="4" a="1"/>
  <c r="E262" i="4" s="1"/>
  <c r="E263" i="4" a="1"/>
  <c r="E263" i="4" s="1"/>
  <c r="E264" i="4" a="1"/>
  <c r="E264" i="4" s="1"/>
  <c r="E265" i="4" a="1"/>
  <c r="E265" i="4" s="1"/>
  <c r="E266" i="4" a="1"/>
  <c r="E266" i="4" s="1"/>
  <c r="E267" i="4" a="1"/>
  <c r="E267" i="4" s="1"/>
  <c r="E268" i="4" a="1"/>
  <c r="E268" i="4" s="1"/>
  <c r="E269" i="4" a="1"/>
  <c r="E269" i="4" s="1"/>
  <c r="E270" i="4" a="1"/>
  <c r="E270" i="4" s="1"/>
  <c r="E271" i="4" a="1"/>
  <c r="E271" i="4" s="1"/>
  <c r="E272" i="4" a="1"/>
  <c r="E272" i="4" s="1"/>
  <c r="E273" i="4" a="1"/>
  <c r="E273" i="4" s="1"/>
  <c r="E274" i="4" a="1"/>
  <c r="E274" i="4" s="1"/>
  <c r="E275" i="4" a="1"/>
  <c r="E275" i="4" s="1"/>
  <c r="E276" i="4" a="1"/>
  <c r="E276" i="4" s="1"/>
  <c r="E277" i="4" a="1"/>
  <c r="E277" i="4" s="1"/>
  <c r="E278" i="4" a="1"/>
  <c r="E278" i="4" s="1"/>
  <c r="E279" i="4" a="1"/>
  <c r="E279" i="4" s="1"/>
  <c r="E280" i="4" a="1"/>
  <c r="E280" i="4" s="1"/>
  <c r="E281" i="4" a="1"/>
  <c r="E281" i="4" s="1"/>
  <c r="E282" i="4" a="1"/>
  <c r="E282" i="4" s="1"/>
  <c r="E283" i="4" a="1"/>
  <c r="E283" i="4" s="1"/>
  <c r="E284" i="4" a="1"/>
  <c r="E284" i="4" s="1"/>
  <c r="E285" i="4" a="1"/>
  <c r="E285" i="4" s="1"/>
  <c r="E286" i="4" a="1"/>
  <c r="E286" i="4" s="1"/>
  <c r="E287" i="4" a="1"/>
  <c r="E287" i="4" s="1"/>
  <c r="E288" i="4" a="1"/>
  <c r="E288" i="4" s="1"/>
  <c r="E289" i="4" a="1"/>
  <c r="E289" i="4" s="1"/>
  <c r="E290" i="4" a="1"/>
  <c r="E290" i="4" s="1"/>
  <c r="E291" i="4" a="1"/>
  <c r="E291" i="4" s="1"/>
  <c r="E292" i="4" a="1"/>
  <c r="E292" i="4" s="1"/>
  <c r="E293" i="4" a="1"/>
  <c r="E293" i="4" s="1"/>
  <c r="E294" i="4" a="1"/>
  <c r="E294" i="4" s="1"/>
  <c r="E295" i="4" a="1"/>
  <c r="E295" i="4" s="1"/>
  <c r="E296" i="4" a="1"/>
  <c r="E296" i="4" s="1"/>
  <c r="E297" i="4" a="1"/>
  <c r="E297" i="4" s="1"/>
  <c r="E298" i="4" a="1"/>
  <c r="E298" i="4" s="1"/>
  <c r="E299" i="4" a="1"/>
  <c r="E299" i="4" s="1"/>
  <c r="E300" i="4" a="1"/>
  <c r="E300" i="4" s="1"/>
  <c r="E301" i="4" a="1"/>
  <c r="E301" i="4" s="1"/>
  <c r="E302" i="4" a="1"/>
  <c r="E302" i="4" s="1"/>
  <c r="E303" i="4" a="1"/>
  <c r="E303" i="4" s="1"/>
  <c r="E304" i="4" a="1"/>
  <c r="E304" i="4" s="1"/>
  <c r="E305" i="4" a="1"/>
  <c r="E305" i="4" s="1"/>
  <c r="E306" i="4" a="1"/>
  <c r="E306" i="4" s="1"/>
  <c r="E307" i="4" a="1"/>
  <c r="E307" i="4" s="1"/>
  <c r="E308" i="4" a="1"/>
  <c r="E308" i="4" s="1"/>
  <c r="E309" i="4" a="1"/>
  <c r="E309" i="4" s="1"/>
  <c r="E310" i="4" a="1"/>
  <c r="E310" i="4" s="1"/>
  <c r="E311" i="4" a="1"/>
  <c r="E311" i="4" s="1"/>
  <c r="E312" i="4" a="1"/>
  <c r="E312" i="4" s="1"/>
  <c r="E313" i="4" a="1"/>
  <c r="E313" i="4" s="1"/>
  <c r="E314" i="4" a="1"/>
  <c r="E314" i="4" s="1"/>
  <c r="E315" i="4" a="1"/>
  <c r="E315" i="4" s="1"/>
  <c r="E316" i="4" a="1"/>
  <c r="E316" i="4" s="1"/>
  <c r="E317" i="4" a="1"/>
  <c r="E317" i="4" s="1"/>
  <c r="E318" i="4" a="1"/>
  <c r="E318" i="4" s="1"/>
  <c r="E319" i="4" a="1"/>
  <c r="E319" i="4" s="1"/>
  <c r="E320" i="4" a="1"/>
  <c r="E320" i="4" s="1"/>
  <c r="E321" i="4" a="1"/>
  <c r="E321" i="4" s="1"/>
  <c r="E322" i="4" a="1"/>
  <c r="E322" i="4" s="1"/>
  <c r="E323" i="4" a="1"/>
  <c r="E323" i="4" s="1"/>
  <c r="E324" i="4" a="1"/>
  <c r="E324" i="4" s="1"/>
  <c r="E325" i="4" a="1"/>
  <c r="E325" i="4" s="1"/>
  <c r="E326" i="4" a="1"/>
  <c r="E326" i="4" s="1"/>
  <c r="E327" i="4" a="1"/>
  <c r="E327" i="4" s="1"/>
  <c r="E328" i="4" a="1"/>
  <c r="E328" i="4" s="1"/>
  <c r="E329" i="4" a="1"/>
  <c r="E329" i="4" s="1"/>
  <c r="E330" i="4" a="1"/>
  <c r="E330" i="4" s="1"/>
  <c r="E331" i="4" a="1"/>
  <c r="E331" i="4" s="1"/>
  <c r="E332" i="4" a="1"/>
  <c r="E332" i="4" s="1"/>
  <c r="E333" i="4" a="1"/>
  <c r="E333" i="4" s="1"/>
  <c r="E334" i="4" a="1"/>
  <c r="E334" i="4" s="1"/>
  <c r="E335" i="4" a="1"/>
  <c r="E335" i="4" s="1"/>
  <c r="E336" i="4" a="1"/>
  <c r="E336" i="4" s="1"/>
  <c r="E337" i="4" a="1"/>
  <c r="E337" i="4" s="1"/>
  <c r="E338" i="4" a="1"/>
  <c r="E338" i="4" s="1"/>
  <c r="E339" i="4" a="1"/>
  <c r="E339" i="4" s="1"/>
  <c r="E340" i="4" a="1"/>
  <c r="E340" i="4" s="1"/>
  <c r="E341" i="4" a="1"/>
  <c r="E341" i="4" s="1"/>
  <c r="E342" i="4" a="1"/>
  <c r="E342" i="4" s="1"/>
  <c r="E343" i="4" a="1"/>
  <c r="E343" i="4" s="1"/>
  <c r="E344" i="4" a="1"/>
  <c r="E344" i="4" s="1"/>
  <c r="E345" i="4" a="1"/>
  <c r="E345" i="4" s="1"/>
  <c r="E346" i="4" a="1"/>
  <c r="E346" i="4" s="1"/>
  <c r="E347" i="4" a="1"/>
  <c r="E347" i="4" s="1"/>
  <c r="E348" i="4" a="1"/>
  <c r="E348" i="4" s="1"/>
  <c r="E349" i="4" a="1"/>
  <c r="E349" i="4" s="1"/>
  <c r="E350" i="4" a="1"/>
  <c r="E350" i="4" s="1"/>
  <c r="E351" i="4" a="1"/>
  <c r="E351" i="4" s="1"/>
  <c r="E352" i="4" a="1"/>
  <c r="E352" i="4" s="1"/>
  <c r="E353" i="4" a="1"/>
  <c r="E353" i="4" s="1"/>
  <c r="E354" i="4" a="1"/>
  <c r="E354" i="4" s="1"/>
  <c r="E355" i="4" a="1"/>
  <c r="E355" i="4" s="1"/>
  <c r="E356" i="4" a="1"/>
  <c r="E356" i="4" s="1"/>
  <c r="E357" i="4" a="1"/>
  <c r="E357" i="4" s="1"/>
  <c r="E358" i="4" a="1"/>
  <c r="E358" i="4" s="1"/>
  <c r="E359" i="4" a="1"/>
  <c r="E359" i="4" s="1"/>
  <c r="E360" i="4" a="1"/>
  <c r="E360" i="4" s="1"/>
  <c r="E361" i="4" a="1"/>
  <c r="E361" i="4" s="1"/>
  <c r="E362" i="4" a="1"/>
  <c r="E362" i="4" s="1"/>
  <c r="E363" i="4" a="1"/>
  <c r="E363" i="4" s="1"/>
  <c r="E364" i="4" a="1"/>
  <c r="E364" i="4" s="1"/>
  <c r="E365" i="4" a="1"/>
  <c r="E365" i="4" s="1"/>
  <c r="E366" i="4" a="1"/>
  <c r="E366" i="4" s="1"/>
  <c r="E367" i="4" a="1"/>
  <c r="E367" i="4" s="1"/>
  <c r="E368" i="4" a="1"/>
  <c r="E368" i="4" s="1"/>
  <c r="E369" i="4" a="1"/>
  <c r="E369" i="4" s="1"/>
  <c r="E370" i="4" a="1"/>
  <c r="E370" i="4" s="1"/>
  <c r="E371" i="4" a="1"/>
  <c r="E371" i="4" s="1"/>
  <c r="E372" i="4" a="1"/>
  <c r="E372" i="4" s="1"/>
  <c r="E373" i="4" a="1"/>
  <c r="E373" i="4" s="1"/>
  <c r="E374" i="4" a="1"/>
  <c r="E374" i="4" s="1"/>
  <c r="E375" i="4" a="1"/>
  <c r="E375" i="4" s="1"/>
  <c r="E376" i="4" a="1"/>
  <c r="E376" i="4" s="1"/>
  <c r="E377" i="4" a="1"/>
  <c r="E377" i="4" s="1"/>
  <c r="E378" i="4" a="1"/>
  <c r="E378" i="4" s="1"/>
  <c r="E379" i="4" a="1"/>
  <c r="E379" i="4" s="1"/>
  <c r="E380" i="4" a="1"/>
  <c r="E380" i="4" s="1"/>
  <c r="E381" i="4" a="1"/>
  <c r="E381" i="4" s="1"/>
  <c r="E382" i="4" a="1"/>
  <c r="E382" i="4" s="1"/>
  <c r="E383" i="4" a="1"/>
  <c r="E383" i="4" s="1"/>
  <c r="E384" i="4" a="1"/>
  <c r="E384" i="4" s="1"/>
  <c r="E385" i="4" a="1"/>
  <c r="E385" i="4" s="1"/>
  <c r="E386" i="4" a="1"/>
  <c r="E386" i="4" s="1"/>
  <c r="E387" i="4" a="1"/>
  <c r="E387" i="4" s="1"/>
  <c r="E388" i="4" a="1"/>
  <c r="E388" i="4" s="1"/>
  <c r="E389" i="4" a="1"/>
  <c r="E389" i="4" s="1"/>
  <c r="E390" i="4" a="1"/>
  <c r="E390" i="4" s="1"/>
  <c r="E391" i="4" a="1"/>
  <c r="E391" i="4" s="1"/>
  <c r="E392" i="4" a="1"/>
  <c r="E392" i="4" s="1"/>
  <c r="E393" i="4" a="1"/>
  <c r="E393" i="4" s="1"/>
  <c r="E394" i="4" a="1"/>
  <c r="E394" i="4" s="1"/>
  <c r="E395" i="4" a="1"/>
  <c r="E395" i="4" s="1"/>
  <c r="E396" i="4" a="1"/>
  <c r="E396" i="4" s="1"/>
  <c r="E397" i="4" a="1"/>
  <c r="E397" i="4" s="1"/>
  <c r="E398" i="4" a="1"/>
  <c r="E398" i="4" s="1"/>
  <c r="E399" i="4" a="1"/>
  <c r="E399" i="4" s="1"/>
  <c r="E400" i="4" a="1"/>
  <c r="E400" i="4" s="1"/>
  <c r="E401" i="4" a="1"/>
  <c r="E401" i="4" s="1"/>
  <c r="E402" i="4" a="1"/>
  <c r="E402" i="4" s="1"/>
  <c r="E403" i="4" a="1"/>
  <c r="E403" i="4" s="1"/>
  <c r="E404" i="4" a="1"/>
  <c r="E404" i="4" s="1"/>
  <c r="E405" i="4" a="1"/>
  <c r="E405" i="4" s="1"/>
  <c r="E406" i="4" a="1"/>
  <c r="E406" i="4" s="1"/>
  <c r="E407" i="4" a="1"/>
  <c r="E407" i="4" s="1"/>
  <c r="E408" i="4" a="1"/>
  <c r="E408" i="4" s="1"/>
  <c r="E409" i="4" a="1"/>
  <c r="E409" i="4" s="1"/>
  <c r="E410" i="4" a="1"/>
  <c r="E410" i="4" s="1"/>
  <c r="E411" i="4" a="1"/>
  <c r="E411" i="4" s="1"/>
  <c r="E412" i="4" a="1"/>
  <c r="E412" i="4" s="1"/>
  <c r="E413" i="4" a="1"/>
  <c r="E413" i="4" s="1"/>
  <c r="E414" i="4" a="1"/>
  <c r="E414" i="4" s="1"/>
  <c r="E415" i="4" a="1"/>
  <c r="E415" i="4" s="1"/>
  <c r="E416" i="4" a="1"/>
  <c r="E416" i="4" s="1"/>
  <c r="E417" i="4" a="1"/>
  <c r="E417" i="4" s="1"/>
  <c r="E418" i="4" a="1"/>
  <c r="E418" i="4" s="1"/>
  <c r="E419" i="4" a="1"/>
  <c r="E419" i="4" s="1"/>
  <c r="E420" i="4" a="1"/>
  <c r="E420" i="4" s="1"/>
  <c r="E421" i="4" a="1"/>
  <c r="E421" i="4" s="1"/>
  <c r="E422" i="4" a="1"/>
  <c r="E422" i="4" s="1"/>
  <c r="E423" i="4" a="1"/>
  <c r="E423" i="4" s="1"/>
  <c r="E424" i="4" a="1"/>
  <c r="E424" i="4" s="1"/>
  <c r="E425" i="4" a="1"/>
  <c r="E425" i="4" s="1"/>
  <c r="E426" i="4" a="1"/>
  <c r="E426" i="4" s="1"/>
  <c r="E427" i="4" a="1"/>
  <c r="E427" i="4" s="1"/>
  <c r="E428" i="4" a="1"/>
  <c r="E428" i="4" s="1"/>
  <c r="E429" i="4" a="1"/>
  <c r="E429" i="4" s="1"/>
  <c r="E430" i="4" a="1"/>
  <c r="E430" i="4" s="1"/>
  <c r="E431" i="4" a="1"/>
  <c r="E431" i="4" s="1"/>
  <c r="E432" i="4" a="1"/>
  <c r="E432" i="4" s="1"/>
  <c r="E433" i="4" a="1"/>
  <c r="E433" i="4" s="1"/>
  <c r="E434" i="4" a="1"/>
  <c r="E434" i="4" s="1"/>
  <c r="E435" i="4" a="1"/>
  <c r="E435" i="4" s="1"/>
  <c r="E436" i="4" a="1"/>
  <c r="E436" i="4" s="1"/>
  <c r="E437" i="4" a="1"/>
  <c r="E437" i="4" s="1"/>
  <c r="E438" i="4" a="1"/>
  <c r="E438" i="4" s="1"/>
  <c r="E439" i="4" a="1"/>
  <c r="E439" i="4" s="1"/>
  <c r="E440" i="4" a="1"/>
  <c r="E440" i="4" s="1"/>
  <c r="E441" i="4" a="1"/>
  <c r="E441" i="4" s="1"/>
  <c r="E442" i="4" a="1"/>
  <c r="E442" i="4" s="1"/>
  <c r="E443" i="4" a="1"/>
  <c r="E443" i="4" s="1"/>
  <c r="E444" i="4" a="1"/>
  <c r="E444" i="4" s="1"/>
  <c r="E445" i="4" a="1"/>
  <c r="E445" i="4" s="1"/>
  <c r="E446" i="4" a="1"/>
  <c r="E446" i="4" s="1"/>
  <c r="E447" i="4" a="1"/>
  <c r="E447" i="4" s="1"/>
  <c r="E448" i="4" a="1"/>
  <c r="E448" i="4" s="1"/>
  <c r="E449" i="4" a="1"/>
  <c r="E449" i="4" s="1"/>
  <c r="E450" i="4" a="1"/>
  <c r="E450" i="4" s="1"/>
  <c r="E451" i="4" a="1"/>
  <c r="E451" i="4" s="1"/>
  <c r="E452" i="4" a="1"/>
  <c r="E452" i="4" s="1"/>
  <c r="E453" i="4" a="1"/>
  <c r="E453" i="4" s="1"/>
  <c r="E454" i="4" a="1"/>
  <c r="E454" i="4" s="1"/>
  <c r="E455" i="4" a="1"/>
  <c r="E455" i="4" s="1"/>
  <c r="E456" i="4" a="1"/>
  <c r="E456" i="4" s="1"/>
  <c r="E457" i="4" a="1"/>
  <c r="E457" i="4" s="1"/>
  <c r="E458" i="4" a="1"/>
  <c r="E458" i="4" s="1"/>
  <c r="E459" i="4" a="1"/>
  <c r="E459" i="4" s="1"/>
  <c r="E460" i="4" a="1"/>
  <c r="E460" i="4" s="1"/>
  <c r="E461" i="4" a="1"/>
  <c r="E461" i="4" s="1"/>
  <c r="E462" i="4" a="1"/>
  <c r="E462" i="4" s="1"/>
  <c r="E463" i="4" a="1"/>
  <c r="E463" i="4" s="1"/>
  <c r="E464" i="4" a="1"/>
  <c r="E464" i="4" s="1"/>
  <c r="E465" i="4" a="1"/>
  <c r="E465" i="4" s="1"/>
  <c r="E466" i="4" a="1"/>
  <c r="E466" i="4" s="1"/>
  <c r="E467" i="4" a="1"/>
  <c r="E467" i="4" s="1"/>
  <c r="E468" i="4" a="1"/>
  <c r="E468" i="4" s="1"/>
  <c r="E469" i="4" a="1"/>
  <c r="E469" i="4" s="1"/>
  <c r="E470" i="4" a="1"/>
  <c r="E470" i="4" s="1"/>
  <c r="E471" i="4" a="1"/>
  <c r="E471" i="4" s="1"/>
  <c r="E472" i="4" a="1"/>
  <c r="E472" i="4" s="1"/>
  <c r="E473" i="4" a="1"/>
  <c r="E473" i="4" s="1"/>
  <c r="E474" i="4" a="1"/>
  <c r="E474" i="4" s="1"/>
  <c r="E475" i="4" a="1"/>
  <c r="E475" i="4" s="1"/>
  <c r="E476" i="4" a="1"/>
  <c r="E476" i="4" s="1"/>
  <c r="E477" i="4" a="1"/>
  <c r="E477" i="4" s="1"/>
  <c r="E478" i="4" a="1"/>
  <c r="E478" i="4" s="1"/>
  <c r="E479" i="4" a="1"/>
  <c r="E479" i="4" s="1"/>
  <c r="E480" i="4" a="1"/>
  <c r="E480" i="4" s="1"/>
  <c r="E481" i="4" a="1"/>
  <c r="E481" i="4" s="1"/>
  <c r="E482" i="4" a="1"/>
  <c r="E482" i="4" s="1"/>
  <c r="E483" i="4" a="1"/>
  <c r="E483" i="4" s="1"/>
  <c r="E484" i="4" a="1"/>
  <c r="E484" i="4" s="1"/>
  <c r="E485" i="4" a="1"/>
  <c r="E485" i="4" s="1"/>
  <c r="E486" i="4" a="1"/>
  <c r="E486" i="4" s="1"/>
  <c r="E487" i="4" a="1"/>
  <c r="E487" i="4" s="1"/>
  <c r="E488" i="4" a="1"/>
  <c r="E488" i="4" s="1"/>
  <c r="E489" i="4" a="1"/>
  <c r="E489" i="4" s="1"/>
  <c r="E490" i="4" a="1"/>
  <c r="E490" i="4" s="1"/>
  <c r="E491" i="4" a="1"/>
  <c r="E491" i="4" s="1"/>
  <c r="E492" i="4" a="1"/>
  <c r="E492" i="4" s="1"/>
  <c r="E493" i="4" a="1"/>
  <c r="E493" i="4" s="1"/>
  <c r="E494" i="4" a="1"/>
  <c r="E494" i="4" s="1"/>
  <c r="E495" i="4" a="1"/>
  <c r="E495" i="4" s="1"/>
  <c r="E496" i="4" a="1"/>
  <c r="E496" i="4" s="1"/>
  <c r="E497" i="4" a="1"/>
  <c r="E497" i="4" s="1"/>
  <c r="E498" i="4" a="1"/>
  <c r="E498" i="4" s="1"/>
  <c r="E499" i="4" a="1"/>
  <c r="E499" i="4" s="1"/>
  <c r="E500" i="4" a="1"/>
  <c r="E500" i="4" s="1"/>
  <c r="E501" i="4" a="1"/>
  <c r="E501" i="4" s="1"/>
  <c r="E502" i="4" a="1"/>
  <c r="E502" i="4" s="1"/>
  <c r="E503" i="4" a="1"/>
  <c r="E503" i="4" s="1"/>
  <c r="E504" i="4" a="1"/>
  <c r="E504" i="4" s="1"/>
  <c r="E505" i="4" a="1"/>
  <c r="E505" i="4" s="1"/>
  <c r="E506" i="4" a="1"/>
  <c r="E506" i="4" s="1"/>
  <c r="E507" i="4" a="1"/>
  <c r="E507" i="4" s="1"/>
  <c r="E508" i="4" a="1"/>
  <c r="E508" i="4" s="1"/>
  <c r="E509" i="4" a="1"/>
  <c r="E509" i="4" s="1"/>
  <c r="E510" i="4" a="1"/>
  <c r="E510" i="4" s="1"/>
  <c r="E511" i="4" a="1"/>
  <c r="E511" i="4" s="1"/>
  <c r="E512" i="4" a="1"/>
  <c r="E512" i="4" s="1"/>
  <c r="E513" i="4" a="1"/>
  <c r="E513" i="4" s="1"/>
  <c r="E514" i="4" a="1"/>
  <c r="E514" i="4" s="1"/>
  <c r="E515" i="4" a="1"/>
  <c r="E515" i="4" s="1"/>
  <c r="E516" i="4" a="1"/>
  <c r="E516" i="4" s="1"/>
  <c r="E517" i="4" a="1"/>
  <c r="E517" i="4" s="1"/>
  <c r="E518" i="4" a="1"/>
  <c r="E518" i="4" s="1"/>
  <c r="E519" i="4" a="1"/>
  <c r="E519" i="4" s="1"/>
  <c r="E520" i="4" a="1"/>
  <c r="E520" i="4" s="1"/>
  <c r="E2" i="4" a="1"/>
  <c r="E2" i="4" s="1"/>
  <c r="D3" i="4" a="1"/>
  <c r="D3" i="4" s="1"/>
  <c r="D4" i="4" a="1"/>
  <c r="D4" i="4" s="1"/>
  <c r="D5" i="4" a="1"/>
  <c r="D5" i="4" s="1"/>
  <c r="D6" i="4" a="1"/>
  <c r="D6" i="4" s="1"/>
  <c r="D7" i="4" a="1"/>
  <c r="D7" i="4" s="1"/>
  <c r="D8" i="4" a="1"/>
  <c r="D8" i="4" s="1"/>
  <c r="D9" i="4" a="1"/>
  <c r="D9" i="4" s="1"/>
  <c r="D10" i="4" a="1"/>
  <c r="D10" i="4" s="1"/>
  <c r="D11" i="4" a="1"/>
  <c r="D11" i="4" s="1"/>
  <c r="D12" i="4" a="1"/>
  <c r="D12" i="4" s="1"/>
  <c r="D13" i="4" a="1"/>
  <c r="D13" i="4" s="1"/>
  <c r="D14" i="4" a="1"/>
  <c r="D14" i="4" s="1"/>
  <c r="D15" i="4" a="1"/>
  <c r="D15" i="4" s="1"/>
  <c r="D17" i="4" a="1"/>
  <c r="D17" i="4" s="1"/>
  <c r="D18" i="4" a="1"/>
  <c r="D18" i="4" s="1"/>
  <c r="D19" i="4" a="1"/>
  <c r="D19" i="4" s="1"/>
  <c r="D20" i="4" a="1"/>
  <c r="D20" i="4" s="1"/>
  <c r="D21" i="4" a="1"/>
  <c r="D21" i="4" s="1"/>
  <c r="D22" i="4" a="1"/>
  <c r="D22" i="4" s="1"/>
  <c r="D23" i="4" a="1"/>
  <c r="D23" i="4" s="1"/>
  <c r="D24" i="4" a="1"/>
  <c r="D24" i="4" s="1"/>
  <c r="D25" i="4" a="1"/>
  <c r="D25" i="4" s="1"/>
  <c r="D26" i="4" a="1"/>
  <c r="D26" i="4" s="1"/>
  <c r="D27" i="4" a="1"/>
  <c r="D27" i="4" s="1"/>
  <c r="D28" i="4" a="1"/>
  <c r="D28" i="4" s="1"/>
  <c r="D29" i="4" a="1"/>
  <c r="D29" i="4" s="1"/>
  <c r="D30" i="4" a="1"/>
  <c r="D30" i="4" s="1"/>
  <c r="D31" i="4" a="1"/>
  <c r="D31" i="4" s="1"/>
  <c r="D32" i="4" a="1"/>
  <c r="D32" i="4" s="1"/>
  <c r="D33" i="4" a="1"/>
  <c r="D33" i="4" s="1"/>
  <c r="D34" i="4" a="1"/>
  <c r="D34" i="4" s="1"/>
  <c r="D35" i="4" a="1"/>
  <c r="D35" i="4" s="1"/>
  <c r="D36" i="4" a="1"/>
  <c r="D36" i="4" s="1"/>
  <c r="D37" i="4" a="1"/>
  <c r="D37" i="4" s="1"/>
  <c r="D38" i="4" a="1"/>
  <c r="D38" i="4" s="1"/>
  <c r="D39" i="4" a="1"/>
  <c r="D39" i="4" s="1"/>
  <c r="D40" i="4" a="1"/>
  <c r="D40" i="4" s="1"/>
  <c r="D41" i="4" a="1"/>
  <c r="D41" i="4" s="1"/>
  <c r="D42" i="4" a="1"/>
  <c r="D42" i="4" s="1"/>
  <c r="D43" i="4" a="1"/>
  <c r="D43" i="4" s="1"/>
  <c r="D44" i="4" a="1"/>
  <c r="D44" i="4" s="1"/>
  <c r="D45" i="4" a="1"/>
  <c r="D45" i="4" s="1"/>
  <c r="D46" i="4" a="1"/>
  <c r="D46" i="4" s="1"/>
  <c r="D47" i="4" a="1"/>
  <c r="D47" i="4" s="1"/>
  <c r="D48" i="4" a="1"/>
  <c r="D48" i="4" s="1"/>
  <c r="D49" i="4" a="1"/>
  <c r="D49" i="4" s="1"/>
  <c r="D50" i="4" a="1"/>
  <c r="D50" i="4" s="1"/>
  <c r="D51" i="4" a="1"/>
  <c r="D51" i="4" s="1"/>
  <c r="D52" i="4" a="1"/>
  <c r="D52" i="4" s="1"/>
  <c r="D53" i="4" a="1"/>
  <c r="D53" i="4" s="1"/>
  <c r="D54" i="4" a="1"/>
  <c r="D54" i="4" s="1"/>
  <c r="D55" i="4" a="1"/>
  <c r="D55" i="4" s="1"/>
  <c r="D56" i="4" a="1"/>
  <c r="D56" i="4" s="1"/>
  <c r="D57" i="4" a="1"/>
  <c r="D57" i="4" s="1"/>
  <c r="D58" i="4" a="1"/>
  <c r="D58" i="4" s="1"/>
  <c r="D59" i="4" a="1"/>
  <c r="D59" i="4" s="1"/>
  <c r="D60" i="4" a="1"/>
  <c r="D60" i="4" s="1"/>
  <c r="D61" i="4" a="1"/>
  <c r="D61" i="4" s="1"/>
  <c r="D62" i="4" a="1"/>
  <c r="D62" i="4" s="1"/>
  <c r="D63" i="4" a="1"/>
  <c r="D63" i="4" s="1"/>
  <c r="D64" i="4" a="1"/>
  <c r="D64" i="4" s="1"/>
  <c r="D65" i="4" a="1"/>
  <c r="D65" i="4" s="1"/>
  <c r="D66" i="4" a="1"/>
  <c r="D66" i="4" s="1"/>
  <c r="D67" i="4" a="1"/>
  <c r="D67" i="4" s="1"/>
  <c r="D68" i="4" a="1"/>
  <c r="D68" i="4" s="1"/>
  <c r="D69" i="4" a="1"/>
  <c r="D69" i="4" s="1"/>
  <c r="D70" i="4" a="1"/>
  <c r="D70" i="4" s="1"/>
  <c r="D71" i="4" a="1"/>
  <c r="D71" i="4" s="1"/>
  <c r="D72" i="4" a="1"/>
  <c r="D72" i="4" s="1"/>
  <c r="D73" i="4" a="1"/>
  <c r="D73" i="4" s="1"/>
  <c r="D74" i="4" a="1"/>
  <c r="D74" i="4" s="1"/>
  <c r="D75" i="4" a="1"/>
  <c r="D75" i="4" s="1"/>
  <c r="D76" i="4" a="1"/>
  <c r="D76" i="4" s="1"/>
  <c r="D77" i="4" a="1"/>
  <c r="D77" i="4" s="1"/>
  <c r="D78" i="4" a="1"/>
  <c r="D78" i="4" s="1"/>
  <c r="D79" i="4" a="1"/>
  <c r="D79" i="4" s="1"/>
  <c r="D80" i="4" a="1"/>
  <c r="D80" i="4" s="1"/>
  <c r="D81" i="4" a="1"/>
  <c r="D81" i="4" s="1"/>
  <c r="D82" i="4" a="1"/>
  <c r="D82" i="4" s="1"/>
  <c r="D83" i="4" a="1"/>
  <c r="D83" i="4" s="1"/>
  <c r="D84" i="4" a="1"/>
  <c r="D84" i="4" s="1"/>
  <c r="D85" i="4" a="1"/>
  <c r="D85" i="4" s="1"/>
  <c r="D86" i="4" a="1"/>
  <c r="D86" i="4" s="1"/>
  <c r="D87" i="4" a="1"/>
  <c r="D87" i="4" s="1"/>
  <c r="D88" i="4" a="1"/>
  <c r="D88" i="4" s="1"/>
  <c r="D89" i="4" a="1"/>
  <c r="D89" i="4" s="1"/>
  <c r="D90" i="4" a="1"/>
  <c r="D90" i="4" s="1"/>
  <c r="D91" i="4" a="1"/>
  <c r="D91" i="4" s="1"/>
  <c r="D92" i="4" a="1"/>
  <c r="D92" i="4" s="1"/>
  <c r="D93" i="4" a="1"/>
  <c r="D93" i="4" s="1"/>
  <c r="D94" i="4" a="1"/>
  <c r="D94" i="4" s="1"/>
  <c r="D95" i="4" a="1"/>
  <c r="D95" i="4" s="1"/>
  <c r="D96" i="4" a="1"/>
  <c r="D96" i="4" s="1"/>
  <c r="D97" i="4" a="1"/>
  <c r="D97" i="4" s="1"/>
  <c r="D98" i="4" a="1"/>
  <c r="D98" i="4" s="1"/>
  <c r="D99" i="4" a="1"/>
  <c r="D99" i="4" s="1"/>
  <c r="D100" i="4" a="1"/>
  <c r="D100" i="4" s="1"/>
  <c r="D101" i="4" a="1"/>
  <c r="D101" i="4" s="1"/>
  <c r="D102" i="4" a="1"/>
  <c r="D102" i="4" s="1"/>
  <c r="D103" i="4" a="1"/>
  <c r="D103" i="4" s="1"/>
  <c r="D104" i="4" a="1"/>
  <c r="D104" i="4" s="1"/>
  <c r="D105" i="4" a="1"/>
  <c r="D105" i="4" s="1"/>
  <c r="D106" i="4" a="1"/>
  <c r="D106" i="4" s="1"/>
  <c r="D107" i="4" a="1"/>
  <c r="D107" i="4" s="1"/>
  <c r="D108" i="4" a="1"/>
  <c r="D108" i="4" s="1"/>
  <c r="D109" i="4" a="1"/>
  <c r="D109" i="4" s="1"/>
  <c r="D110" i="4" a="1"/>
  <c r="D110" i="4" s="1"/>
  <c r="D111" i="4" a="1"/>
  <c r="D111" i="4" s="1"/>
  <c r="D112" i="4" a="1"/>
  <c r="D112" i="4" s="1"/>
  <c r="D113" i="4" a="1"/>
  <c r="D113" i="4" s="1"/>
  <c r="D114" i="4" a="1"/>
  <c r="D114" i="4" s="1"/>
  <c r="D115" i="4" a="1"/>
  <c r="D115" i="4" s="1"/>
  <c r="D116" i="4" a="1"/>
  <c r="D116" i="4" s="1"/>
  <c r="D117" i="4" a="1"/>
  <c r="D117" i="4" s="1"/>
  <c r="D118" i="4" a="1"/>
  <c r="D118" i="4" s="1"/>
  <c r="D119" i="4" a="1"/>
  <c r="D119" i="4" s="1"/>
  <c r="D120" i="4" a="1"/>
  <c r="D120" i="4" s="1"/>
  <c r="D121" i="4" a="1"/>
  <c r="D121" i="4" s="1"/>
  <c r="D122" i="4" a="1"/>
  <c r="D122" i="4" s="1"/>
  <c r="D123" i="4" a="1"/>
  <c r="D123" i="4" s="1"/>
  <c r="D124" i="4" a="1"/>
  <c r="D124" i="4" s="1"/>
  <c r="D125" i="4" a="1"/>
  <c r="D125" i="4" s="1"/>
  <c r="D126" i="4" a="1"/>
  <c r="D126" i="4" s="1"/>
  <c r="D127" i="4" a="1"/>
  <c r="D127" i="4" s="1"/>
  <c r="D128" i="4" a="1"/>
  <c r="D128" i="4" s="1"/>
  <c r="D129" i="4" a="1"/>
  <c r="D129" i="4" s="1"/>
  <c r="D130" i="4" a="1"/>
  <c r="D130" i="4" s="1"/>
  <c r="D131" i="4" a="1"/>
  <c r="D131" i="4" s="1"/>
  <c r="D132" i="4" a="1"/>
  <c r="D132" i="4" s="1"/>
  <c r="D133" i="4" a="1"/>
  <c r="D133" i="4" s="1"/>
  <c r="D134" i="4" a="1"/>
  <c r="D134" i="4" s="1"/>
  <c r="D135" i="4" a="1"/>
  <c r="D135" i="4" s="1"/>
  <c r="D136" i="4" a="1"/>
  <c r="D136" i="4" s="1"/>
  <c r="D137" i="4" a="1"/>
  <c r="D137" i="4" s="1"/>
  <c r="D138" i="4" a="1"/>
  <c r="D138" i="4" s="1"/>
  <c r="D139" i="4" a="1"/>
  <c r="D139" i="4" s="1"/>
  <c r="D140" i="4" a="1"/>
  <c r="D140" i="4" s="1"/>
  <c r="D141" i="4" a="1"/>
  <c r="D141" i="4" s="1"/>
  <c r="D142" i="4" a="1"/>
  <c r="D142" i="4" s="1"/>
  <c r="D143" i="4" a="1"/>
  <c r="D143" i="4" s="1"/>
  <c r="D144" i="4" a="1"/>
  <c r="D144" i="4" s="1"/>
  <c r="D145" i="4" a="1"/>
  <c r="D145" i="4" s="1"/>
  <c r="D146" i="4" a="1"/>
  <c r="D146" i="4" s="1"/>
  <c r="D147" i="4" a="1"/>
  <c r="D147" i="4" s="1"/>
  <c r="D148" i="4" a="1"/>
  <c r="D148" i="4" s="1"/>
  <c r="D149" i="4" a="1"/>
  <c r="D149" i="4" s="1"/>
  <c r="D150" i="4" a="1"/>
  <c r="D150" i="4" s="1"/>
  <c r="D151" i="4" a="1"/>
  <c r="D151" i="4" s="1"/>
  <c r="D152" i="4" a="1"/>
  <c r="D152" i="4" s="1"/>
  <c r="D153" i="4" a="1"/>
  <c r="D153" i="4" s="1"/>
  <c r="D154" i="4" a="1"/>
  <c r="D154" i="4" s="1"/>
  <c r="D155" i="4" a="1"/>
  <c r="D155" i="4" s="1"/>
  <c r="D156" i="4" a="1"/>
  <c r="D156" i="4" s="1"/>
  <c r="D157" i="4" a="1"/>
  <c r="D157" i="4" s="1"/>
  <c r="D158" i="4" a="1"/>
  <c r="D158" i="4" s="1"/>
  <c r="D159" i="4" a="1"/>
  <c r="D159" i="4" s="1"/>
  <c r="D160" i="4" a="1"/>
  <c r="D160" i="4" s="1"/>
  <c r="D161" i="4" a="1"/>
  <c r="D161" i="4" s="1"/>
  <c r="D162" i="4" a="1"/>
  <c r="D162" i="4" s="1"/>
  <c r="D163" i="4" a="1"/>
  <c r="D163" i="4" s="1"/>
  <c r="D164" i="4" a="1"/>
  <c r="D164" i="4" s="1"/>
  <c r="D165" i="4" a="1"/>
  <c r="D165" i="4" s="1"/>
  <c r="D166" i="4" a="1"/>
  <c r="D166" i="4" s="1"/>
  <c r="D167" i="4" a="1"/>
  <c r="D167" i="4" s="1"/>
  <c r="D168" i="4" a="1"/>
  <c r="D168" i="4" s="1"/>
  <c r="D169" i="4" a="1"/>
  <c r="D169" i="4" s="1"/>
  <c r="D170" i="4" a="1"/>
  <c r="D170" i="4" s="1"/>
  <c r="D171" i="4" a="1"/>
  <c r="D171" i="4" s="1"/>
  <c r="D172" i="4" a="1"/>
  <c r="D172" i="4" s="1"/>
  <c r="D173" i="4" a="1"/>
  <c r="D173" i="4" s="1"/>
  <c r="D174" i="4" a="1"/>
  <c r="D174" i="4" s="1"/>
  <c r="D175" i="4" a="1"/>
  <c r="D175" i="4" s="1"/>
  <c r="D176" i="4" a="1"/>
  <c r="D176" i="4" s="1"/>
  <c r="D177" i="4" a="1"/>
  <c r="D177" i="4" s="1"/>
  <c r="D178" i="4" a="1"/>
  <c r="D178" i="4" s="1"/>
  <c r="D179" i="4" a="1"/>
  <c r="D179" i="4" s="1"/>
  <c r="D180" i="4" a="1"/>
  <c r="D180" i="4" s="1"/>
  <c r="D181" i="4" a="1"/>
  <c r="D181" i="4" s="1"/>
  <c r="D182" i="4" a="1"/>
  <c r="D182" i="4" s="1"/>
  <c r="D183" i="4" a="1"/>
  <c r="D183" i="4" s="1"/>
  <c r="D184" i="4" a="1"/>
  <c r="D184" i="4" s="1"/>
  <c r="D185" i="4" a="1"/>
  <c r="D185" i="4" s="1"/>
  <c r="D186" i="4" a="1"/>
  <c r="D186" i="4" s="1"/>
  <c r="D187" i="4" a="1"/>
  <c r="D187" i="4" s="1"/>
  <c r="D188" i="4" a="1"/>
  <c r="D188" i="4" s="1"/>
  <c r="D189" i="4" a="1"/>
  <c r="D189" i="4" s="1"/>
  <c r="D190" i="4" a="1"/>
  <c r="D190" i="4" s="1"/>
  <c r="D191" i="4" a="1"/>
  <c r="D191" i="4" s="1"/>
  <c r="D192" i="4" a="1"/>
  <c r="D192" i="4" s="1"/>
  <c r="D193" i="4" a="1"/>
  <c r="D193" i="4" s="1"/>
  <c r="D194" i="4" a="1"/>
  <c r="D194" i="4" s="1"/>
  <c r="D195" i="4" a="1"/>
  <c r="D195" i="4" s="1"/>
  <c r="D196" i="4" a="1"/>
  <c r="D196" i="4" s="1"/>
  <c r="D197" i="4" a="1"/>
  <c r="D197" i="4" s="1"/>
  <c r="D198" i="4" a="1"/>
  <c r="D198" i="4" s="1"/>
  <c r="D199" i="4" a="1"/>
  <c r="D199" i="4" s="1"/>
  <c r="D200" i="4" a="1"/>
  <c r="D200" i="4" s="1"/>
  <c r="D201" i="4" a="1"/>
  <c r="D201" i="4" s="1"/>
  <c r="D202" i="4" a="1"/>
  <c r="D202" i="4" s="1"/>
  <c r="D203" i="4" a="1"/>
  <c r="D203" i="4" s="1"/>
  <c r="D204" i="4" a="1"/>
  <c r="D204" i="4" s="1"/>
  <c r="D205" i="4" a="1"/>
  <c r="D205" i="4" s="1"/>
  <c r="D206" i="4" a="1"/>
  <c r="D206" i="4" s="1"/>
  <c r="D207" i="4" a="1"/>
  <c r="D207" i="4" s="1"/>
  <c r="D208" i="4" a="1"/>
  <c r="D208" i="4" s="1"/>
  <c r="D209" i="4" a="1"/>
  <c r="D209" i="4" s="1"/>
  <c r="D210" i="4" a="1"/>
  <c r="D210" i="4" s="1"/>
  <c r="D211" i="4" a="1"/>
  <c r="D211" i="4" s="1"/>
  <c r="D212" i="4" a="1"/>
  <c r="D212" i="4" s="1"/>
  <c r="D213" i="4" a="1"/>
  <c r="D213" i="4" s="1"/>
  <c r="D214" i="4" a="1"/>
  <c r="D214" i="4" s="1"/>
  <c r="D215" i="4" a="1"/>
  <c r="D215" i="4" s="1"/>
  <c r="D216" i="4" a="1"/>
  <c r="D216" i="4" s="1"/>
  <c r="D217" i="4" a="1"/>
  <c r="D217" i="4" s="1"/>
  <c r="D218" i="4" a="1"/>
  <c r="D218" i="4" s="1"/>
  <c r="D219" i="4" a="1"/>
  <c r="D219" i="4" s="1"/>
  <c r="D220" i="4" a="1"/>
  <c r="D220" i="4" s="1"/>
  <c r="D221" i="4" a="1"/>
  <c r="D221" i="4" s="1"/>
  <c r="D222" i="4" a="1"/>
  <c r="D222" i="4" s="1"/>
  <c r="D223" i="4" a="1"/>
  <c r="D223" i="4" s="1"/>
  <c r="D224" i="4" a="1"/>
  <c r="D224" i="4" s="1"/>
  <c r="D225" i="4" a="1"/>
  <c r="D225" i="4" s="1"/>
  <c r="D226" i="4" a="1"/>
  <c r="D226" i="4" s="1"/>
  <c r="D227" i="4" a="1"/>
  <c r="D227" i="4" s="1"/>
  <c r="D228" i="4" a="1"/>
  <c r="D228" i="4" s="1"/>
  <c r="D229" i="4" a="1"/>
  <c r="D229" i="4" s="1"/>
  <c r="D230" i="4" a="1"/>
  <c r="D230" i="4" s="1"/>
  <c r="D231" i="4" a="1"/>
  <c r="D231" i="4" s="1"/>
  <c r="D232" i="4" a="1"/>
  <c r="D232" i="4" s="1"/>
  <c r="D233" i="4" a="1"/>
  <c r="D233" i="4" s="1"/>
  <c r="D234" i="4" a="1"/>
  <c r="D234" i="4" s="1"/>
  <c r="D235" i="4" a="1"/>
  <c r="D235" i="4" s="1"/>
  <c r="D236" i="4" a="1"/>
  <c r="D236" i="4" s="1"/>
  <c r="D237" i="4" a="1"/>
  <c r="D237" i="4" s="1"/>
  <c r="D238" i="4" a="1"/>
  <c r="D238" i="4" s="1"/>
  <c r="D239" i="4" a="1"/>
  <c r="D239" i="4" s="1"/>
  <c r="D240" i="4" a="1"/>
  <c r="D240" i="4" s="1"/>
  <c r="D241" i="4" a="1"/>
  <c r="D241" i="4" s="1"/>
  <c r="D242" i="4" a="1"/>
  <c r="D242" i="4" s="1"/>
  <c r="D243" i="4" a="1"/>
  <c r="D243" i="4" s="1"/>
  <c r="D244" i="4" a="1"/>
  <c r="D244" i="4" s="1"/>
  <c r="D245" i="4" a="1"/>
  <c r="D245" i="4" s="1"/>
  <c r="D246" i="4" a="1"/>
  <c r="D246" i="4" s="1"/>
  <c r="D247" i="4" a="1"/>
  <c r="D247" i="4" s="1"/>
  <c r="D248" i="4" a="1"/>
  <c r="D248" i="4" s="1"/>
  <c r="D249" i="4" a="1"/>
  <c r="D249" i="4" s="1"/>
  <c r="D250" i="4" a="1"/>
  <c r="D250" i="4" s="1"/>
  <c r="D251" i="4" a="1"/>
  <c r="D251" i="4" s="1"/>
  <c r="D252" i="4" a="1"/>
  <c r="D252" i="4" s="1"/>
  <c r="D253" i="4" a="1"/>
  <c r="D253" i="4" s="1"/>
  <c r="D254" i="4" a="1"/>
  <c r="D254" i="4" s="1"/>
  <c r="D255" i="4" a="1"/>
  <c r="D255" i="4" s="1"/>
  <c r="D256" i="4" a="1"/>
  <c r="D256" i="4" s="1"/>
  <c r="D257" i="4" a="1"/>
  <c r="D257" i="4" s="1"/>
  <c r="D258" i="4" a="1"/>
  <c r="D258" i="4" s="1"/>
  <c r="D259" i="4" a="1"/>
  <c r="D259" i="4" s="1"/>
  <c r="D260" i="4" a="1"/>
  <c r="D260" i="4" s="1"/>
  <c r="D261" i="4" a="1"/>
  <c r="D261" i="4" s="1"/>
  <c r="D262" i="4" a="1"/>
  <c r="D262" i="4" s="1"/>
  <c r="D263" i="4" a="1"/>
  <c r="D263" i="4" s="1"/>
  <c r="D264" i="4" a="1"/>
  <c r="D264" i="4" s="1"/>
  <c r="D265" i="4" a="1"/>
  <c r="D265" i="4" s="1"/>
  <c r="D266" i="4" a="1"/>
  <c r="D266" i="4" s="1"/>
  <c r="D267" i="4" a="1"/>
  <c r="D267" i="4" s="1"/>
  <c r="D268" i="4" a="1"/>
  <c r="D268" i="4" s="1"/>
  <c r="D269" i="4" a="1"/>
  <c r="D269" i="4" s="1"/>
  <c r="D270" i="4" a="1"/>
  <c r="D270" i="4" s="1"/>
  <c r="D271" i="4" a="1"/>
  <c r="D271" i="4" s="1"/>
  <c r="D272" i="4" a="1"/>
  <c r="D272" i="4" s="1"/>
  <c r="D273" i="4" a="1"/>
  <c r="D273" i="4" s="1"/>
  <c r="D274" i="4" a="1"/>
  <c r="D274" i="4" s="1"/>
  <c r="D275" i="4" a="1"/>
  <c r="D275" i="4" s="1"/>
  <c r="D276" i="4" a="1"/>
  <c r="D276" i="4" s="1"/>
  <c r="D277" i="4" a="1"/>
  <c r="D277" i="4" s="1"/>
  <c r="D278" i="4" a="1"/>
  <c r="D278" i="4" s="1"/>
  <c r="D279" i="4" a="1"/>
  <c r="D279" i="4" s="1"/>
  <c r="D280" i="4" a="1"/>
  <c r="D280" i="4" s="1"/>
  <c r="D281" i="4" a="1"/>
  <c r="D281" i="4" s="1"/>
  <c r="D282" i="4" a="1"/>
  <c r="D282" i="4" s="1"/>
  <c r="D283" i="4" a="1"/>
  <c r="D283" i="4" s="1"/>
  <c r="D284" i="4" a="1"/>
  <c r="D284" i="4" s="1"/>
  <c r="D285" i="4" a="1"/>
  <c r="D285" i="4" s="1"/>
  <c r="D286" i="4" a="1"/>
  <c r="D286" i="4" s="1"/>
  <c r="D287" i="4" a="1"/>
  <c r="D287" i="4" s="1"/>
  <c r="D288" i="4" a="1"/>
  <c r="D288" i="4" s="1"/>
  <c r="D289" i="4" a="1"/>
  <c r="D289" i="4" s="1"/>
  <c r="D290" i="4" a="1"/>
  <c r="D290" i="4" s="1"/>
  <c r="D291" i="4" a="1"/>
  <c r="D291" i="4" s="1"/>
  <c r="D292" i="4" a="1"/>
  <c r="D292" i="4" s="1"/>
  <c r="D293" i="4" a="1"/>
  <c r="D293" i="4" s="1"/>
  <c r="D294" i="4" a="1"/>
  <c r="D294" i="4" s="1"/>
  <c r="D295" i="4" a="1"/>
  <c r="D295" i="4" s="1"/>
  <c r="D296" i="4" a="1"/>
  <c r="D296" i="4" s="1"/>
  <c r="D297" i="4" a="1"/>
  <c r="D297" i="4" s="1"/>
  <c r="D298" i="4" a="1"/>
  <c r="D298" i="4" s="1"/>
  <c r="D299" i="4" a="1"/>
  <c r="D299" i="4" s="1"/>
  <c r="D300" i="4" a="1"/>
  <c r="D300" i="4" s="1"/>
  <c r="D301" i="4" a="1"/>
  <c r="D301" i="4" s="1"/>
  <c r="D302" i="4" a="1"/>
  <c r="D302" i="4" s="1"/>
  <c r="D303" i="4" a="1"/>
  <c r="D303" i="4" s="1"/>
  <c r="D304" i="4" a="1"/>
  <c r="D304" i="4" s="1"/>
  <c r="D305" i="4" a="1"/>
  <c r="D305" i="4" s="1"/>
  <c r="D306" i="4" a="1"/>
  <c r="D306" i="4" s="1"/>
  <c r="D307" i="4" a="1"/>
  <c r="D307" i="4" s="1"/>
  <c r="D308" i="4" a="1"/>
  <c r="D308" i="4" s="1"/>
  <c r="D309" i="4" a="1"/>
  <c r="D309" i="4" s="1"/>
  <c r="D310" i="4" a="1"/>
  <c r="D310" i="4" s="1"/>
  <c r="D311" i="4" a="1"/>
  <c r="D311" i="4" s="1"/>
  <c r="D312" i="4" a="1"/>
  <c r="D312" i="4" s="1"/>
  <c r="D313" i="4" a="1"/>
  <c r="D313" i="4" s="1"/>
  <c r="D314" i="4" a="1"/>
  <c r="D314" i="4" s="1"/>
  <c r="D315" i="4" a="1"/>
  <c r="D315" i="4" s="1"/>
  <c r="D316" i="4" a="1"/>
  <c r="D316" i="4" s="1"/>
  <c r="D317" i="4" a="1"/>
  <c r="D317" i="4" s="1"/>
  <c r="D318" i="4" a="1"/>
  <c r="D318" i="4" s="1"/>
  <c r="D319" i="4" a="1"/>
  <c r="D319" i="4" s="1"/>
  <c r="D320" i="4" a="1"/>
  <c r="D320" i="4" s="1"/>
  <c r="D321" i="4" a="1"/>
  <c r="D321" i="4" s="1"/>
  <c r="D322" i="4" a="1"/>
  <c r="D322" i="4" s="1"/>
  <c r="D323" i="4" a="1"/>
  <c r="D323" i="4" s="1"/>
  <c r="D324" i="4" a="1"/>
  <c r="D324" i="4" s="1"/>
  <c r="D325" i="4" a="1"/>
  <c r="D325" i="4" s="1"/>
  <c r="D326" i="4" a="1"/>
  <c r="D326" i="4" s="1"/>
  <c r="D327" i="4" a="1"/>
  <c r="D327" i="4" s="1"/>
  <c r="D328" i="4" a="1"/>
  <c r="D328" i="4" s="1"/>
  <c r="D329" i="4" a="1"/>
  <c r="D329" i="4" s="1"/>
  <c r="D330" i="4" a="1"/>
  <c r="D330" i="4" s="1"/>
  <c r="D331" i="4" a="1"/>
  <c r="D331" i="4" s="1"/>
  <c r="D332" i="4" a="1"/>
  <c r="D332" i="4" s="1"/>
  <c r="D333" i="4" a="1"/>
  <c r="D333" i="4" s="1"/>
  <c r="D334" i="4" a="1"/>
  <c r="D334" i="4" s="1"/>
  <c r="D335" i="4" a="1"/>
  <c r="D335" i="4" s="1"/>
  <c r="D336" i="4" a="1"/>
  <c r="D336" i="4" s="1"/>
  <c r="D337" i="4" a="1"/>
  <c r="D337" i="4" s="1"/>
  <c r="D338" i="4" a="1"/>
  <c r="D338" i="4" s="1"/>
  <c r="D339" i="4" a="1"/>
  <c r="D339" i="4" s="1"/>
  <c r="D340" i="4" a="1"/>
  <c r="D340" i="4" s="1"/>
  <c r="D341" i="4" a="1"/>
  <c r="D341" i="4" s="1"/>
  <c r="D342" i="4" a="1"/>
  <c r="D342" i="4" s="1"/>
  <c r="D343" i="4" a="1"/>
  <c r="D343" i="4" s="1"/>
  <c r="D344" i="4" a="1"/>
  <c r="D344" i="4" s="1"/>
  <c r="D345" i="4" a="1"/>
  <c r="D345" i="4" s="1"/>
  <c r="D346" i="4" a="1"/>
  <c r="D346" i="4" s="1"/>
  <c r="D347" i="4" a="1"/>
  <c r="D347" i="4" s="1"/>
  <c r="D348" i="4" a="1"/>
  <c r="D348" i="4" s="1"/>
  <c r="D349" i="4" a="1"/>
  <c r="D349" i="4" s="1"/>
  <c r="D350" i="4" a="1"/>
  <c r="D350" i="4" s="1"/>
  <c r="D351" i="4" a="1"/>
  <c r="D351" i="4" s="1"/>
  <c r="D352" i="4" a="1"/>
  <c r="D352" i="4" s="1"/>
  <c r="D353" i="4" a="1"/>
  <c r="D353" i="4" s="1"/>
  <c r="D354" i="4" a="1"/>
  <c r="D354" i="4" s="1"/>
  <c r="D355" i="4" a="1"/>
  <c r="D355" i="4" s="1"/>
  <c r="D356" i="4" a="1"/>
  <c r="D356" i="4" s="1"/>
  <c r="D357" i="4" a="1"/>
  <c r="D357" i="4" s="1"/>
  <c r="D358" i="4" a="1"/>
  <c r="D358" i="4" s="1"/>
  <c r="D359" i="4" a="1"/>
  <c r="D359" i="4" s="1"/>
  <c r="D360" i="4" a="1"/>
  <c r="D360" i="4" s="1"/>
  <c r="D361" i="4" a="1"/>
  <c r="D361" i="4" s="1"/>
  <c r="D362" i="4" a="1"/>
  <c r="D362" i="4" s="1"/>
  <c r="D363" i="4" a="1"/>
  <c r="D363" i="4" s="1"/>
  <c r="D364" i="4" a="1"/>
  <c r="D364" i="4" s="1"/>
  <c r="D365" i="4" a="1"/>
  <c r="D365" i="4" s="1"/>
  <c r="D366" i="4" a="1"/>
  <c r="D366" i="4" s="1"/>
  <c r="D367" i="4" a="1"/>
  <c r="D367" i="4" s="1"/>
  <c r="D368" i="4" a="1"/>
  <c r="D368" i="4" s="1"/>
  <c r="D369" i="4" a="1"/>
  <c r="D369" i="4" s="1"/>
  <c r="D370" i="4" a="1"/>
  <c r="D370" i="4" s="1"/>
  <c r="D371" i="4" a="1"/>
  <c r="D371" i="4" s="1"/>
  <c r="D372" i="4" a="1"/>
  <c r="D372" i="4" s="1"/>
  <c r="D373" i="4" a="1"/>
  <c r="D373" i="4" s="1"/>
  <c r="D374" i="4" a="1"/>
  <c r="D374" i="4" s="1"/>
  <c r="D375" i="4" a="1"/>
  <c r="D375" i="4" s="1"/>
  <c r="D376" i="4" a="1"/>
  <c r="D376" i="4" s="1"/>
  <c r="D377" i="4" a="1"/>
  <c r="D377" i="4" s="1"/>
  <c r="D378" i="4" a="1"/>
  <c r="D378" i="4" s="1"/>
  <c r="D379" i="4" a="1"/>
  <c r="D379" i="4" s="1"/>
  <c r="D380" i="4" a="1"/>
  <c r="D380" i="4" s="1"/>
  <c r="D381" i="4" a="1"/>
  <c r="D381" i="4" s="1"/>
  <c r="D382" i="4" a="1"/>
  <c r="D382" i="4" s="1"/>
  <c r="D383" i="4" a="1"/>
  <c r="D383" i="4" s="1"/>
  <c r="D384" i="4" a="1"/>
  <c r="D384" i="4" s="1"/>
  <c r="D385" i="4" a="1"/>
  <c r="D385" i="4" s="1"/>
  <c r="D386" i="4" a="1"/>
  <c r="D386" i="4" s="1"/>
  <c r="D387" i="4" a="1"/>
  <c r="D387" i="4" s="1"/>
  <c r="D388" i="4" a="1"/>
  <c r="D388" i="4" s="1"/>
  <c r="D389" i="4" a="1"/>
  <c r="D389" i="4" s="1"/>
  <c r="D390" i="4" a="1"/>
  <c r="D390" i="4" s="1"/>
  <c r="D391" i="4" a="1"/>
  <c r="D391" i="4" s="1"/>
  <c r="D392" i="4" a="1"/>
  <c r="D392" i="4" s="1"/>
  <c r="D393" i="4" a="1"/>
  <c r="D393" i="4" s="1"/>
  <c r="D394" i="4" a="1"/>
  <c r="D394" i="4" s="1"/>
  <c r="D395" i="4" a="1"/>
  <c r="D395" i="4" s="1"/>
  <c r="D396" i="4" a="1"/>
  <c r="D396" i="4" s="1"/>
  <c r="D397" i="4" a="1"/>
  <c r="D397" i="4" s="1"/>
  <c r="D398" i="4" a="1"/>
  <c r="D398" i="4" s="1"/>
  <c r="D399" i="4" a="1"/>
  <c r="D399" i="4" s="1"/>
  <c r="D400" i="4" a="1"/>
  <c r="D400" i="4" s="1"/>
  <c r="D401" i="4" a="1"/>
  <c r="D401" i="4" s="1"/>
  <c r="D402" i="4" a="1"/>
  <c r="D402" i="4" s="1"/>
  <c r="D403" i="4" a="1"/>
  <c r="D403" i="4" s="1"/>
  <c r="D404" i="4" a="1"/>
  <c r="D404" i="4" s="1"/>
  <c r="D405" i="4" a="1"/>
  <c r="D405" i="4" s="1"/>
  <c r="D406" i="4" a="1"/>
  <c r="D406" i="4" s="1"/>
  <c r="D407" i="4" a="1"/>
  <c r="D407" i="4" s="1"/>
  <c r="D408" i="4" a="1"/>
  <c r="D408" i="4" s="1"/>
  <c r="D409" i="4" a="1"/>
  <c r="D409" i="4" s="1"/>
  <c r="D410" i="4" a="1"/>
  <c r="D410" i="4" s="1"/>
  <c r="D411" i="4" a="1"/>
  <c r="D411" i="4" s="1"/>
  <c r="D412" i="4" a="1"/>
  <c r="D412" i="4" s="1"/>
  <c r="D413" i="4" a="1"/>
  <c r="D413" i="4" s="1"/>
  <c r="D414" i="4" a="1"/>
  <c r="D414" i="4" s="1"/>
  <c r="D415" i="4" a="1"/>
  <c r="D415" i="4" s="1"/>
  <c r="D416" i="4" a="1"/>
  <c r="D416" i="4" s="1"/>
  <c r="D417" i="4" a="1"/>
  <c r="D417" i="4" s="1"/>
  <c r="D418" i="4" a="1"/>
  <c r="D418" i="4" s="1"/>
  <c r="D419" i="4" a="1"/>
  <c r="D419" i="4" s="1"/>
  <c r="D420" i="4" a="1"/>
  <c r="D420" i="4" s="1"/>
  <c r="D421" i="4" a="1"/>
  <c r="D421" i="4" s="1"/>
  <c r="D422" i="4" a="1"/>
  <c r="D422" i="4" s="1"/>
  <c r="D423" i="4" a="1"/>
  <c r="D423" i="4" s="1"/>
  <c r="D424" i="4" a="1"/>
  <c r="D424" i="4" s="1"/>
  <c r="D425" i="4" a="1"/>
  <c r="D425" i="4" s="1"/>
  <c r="D426" i="4" a="1"/>
  <c r="D426" i="4" s="1"/>
  <c r="D427" i="4" a="1"/>
  <c r="D427" i="4" s="1"/>
  <c r="D428" i="4" a="1"/>
  <c r="D428" i="4" s="1"/>
  <c r="D429" i="4" a="1"/>
  <c r="D429" i="4" s="1"/>
  <c r="D430" i="4" a="1"/>
  <c r="D430" i="4" s="1"/>
  <c r="D431" i="4" a="1"/>
  <c r="D431" i="4" s="1"/>
  <c r="D432" i="4" a="1"/>
  <c r="D432" i="4" s="1"/>
  <c r="D433" i="4" a="1"/>
  <c r="D433" i="4" s="1"/>
  <c r="D434" i="4" a="1"/>
  <c r="D434" i="4" s="1"/>
  <c r="D435" i="4" a="1"/>
  <c r="D435" i="4" s="1"/>
  <c r="D436" i="4" a="1"/>
  <c r="D436" i="4" s="1"/>
  <c r="D437" i="4" a="1"/>
  <c r="D437" i="4" s="1"/>
  <c r="D438" i="4" a="1"/>
  <c r="D438" i="4" s="1"/>
  <c r="D439" i="4" a="1"/>
  <c r="D439" i="4" s="1"/>
  <c r="D440" i="4" a="1"/>
  <c r="D440" i="4" s="1"/>
  <c r="D441" i="4" a="1"/>
  <c r="D441" i="4" s="1"/>
  <c r="D442" i="4" a="1"/>
  <c r="D442" i="4" s="1"/>
  <c r="D443" i="4" a="1"/>
  <c r="D443" i="4" s="1"/>
  <c r="D444" i="4" a="1"/>
  <c r="D444" i="4" s="1"/>
  <c r="D445" i="4" a="1"/>
  <c r="D445" i="4" s="1"/>
  <c r="D446" i="4" a="1"/>
  <c r="D446" i="4" s="1"/>
  <c r="D447" i="4" a="1"/>
  <c r="D447" i="4" s="1"/>
  <c r="D448" i="4" a="1"/>
  <c r="D448" i="4" s="1"/>
  <c r="D449" i="4" a="1"/>
  <c r="D449" i="4" s="1"/>
  <c r="D450" i="4" a="1"/>
  <c r="D450" i="4" s="1"/>
  <c r="D451" i="4" a="1"/>
  <c r="D451" i="4" s="1"/>
  <c r="D452" i="4" a="1"/>
  <c r="D452" i="4" s="1"/>
  <c r="D453" i="4" a="1"/>
  <c r="D453" i="4" s="1"/>
  <c r="D454" i="4" a="1"/>
  <c r="D454" i="4" s="1"/>
  <c r="D455" i="4" a="1"/>
  <c r="D455" i="4" s="1"/>
  <c r="D456" i="4" a="1"/>
  <c r="D456" i="4" s="1"/>
  <c r="D457" i="4" a="1"/>
  <c r="D457" i="4" s="1"/>
  <c r="D458" i="4" a="1"/>
  <c r="D458" i="4" s="1"/>
  <c r="D459" i="4" a="1"/>
  <c r="D459" i="4" s="1"/>
  <c r="D460" i="4" a="1"/>
  <c r="D460" i="4" s="1"/>
  <c r="D461" i="4" a="1"/>
  <c r="D461" i="4" s="1"/>
  <c r="D462" i="4" a="1"/>
  <c r="D462" i="4" s="1"/>
  <c r="D463" i="4" a="1"/>
  <c r="D463" i="4" s="1"/>
  <c r="D464" i="4" a="1"/>
  <c r="D464" i="4" s="1"/>
  <c r="D465" i="4" a="1"/>
  <c r="D465" i="4" s="1"/>
  <c r="D466" i="4" a="1"/>
  <c r="D466" i="4" s="1"/>
  <c r="D467" i="4" a="1"/>
  <c r="D467" i="4" s="1"/>
  <c r="D468" i="4" a="1"/>
  <c r="D468" i="4" s="1"/>
  <c r="D469" i="4" a="1"/>
  <c r="D469" i="4" s="1"/>
  <c r="D470" i="4" a="1"/>
  <c r="D470" i="4" s="1"/>
  <c r="D471" i="4" a="1"/>
  <c r="D471" i="4" s="1"/>
  <c r="D472" i="4" a="1"/>
  <c r="D472" i="4" s="1"/>
  <c r="D473" i="4" a="1"/>
  <c r="D473" i="4" s="1"/>
  <c r="D474" i="4" a="1"/>
  <c r="D474" i="4" s="1"/>
  <c r="D475" i="4" a="1"/>
  <c r="D475" i="4" s="1"/>
  <c r="D476" i="4" a="1"/>
  <c r="D476" i="4" s="1"/>
  <c r="D477" i="4" a="1"/>
  <c r="D477" i="4" s="1"/>
  <c r="D478" i="4" a="1"/>
  <c r="D478" i="4" s="1"/>
  <c r="D479" i="4" a="1"/>
  <c r="D479" i="4" s="1"/>
  <c r="D480" i="4" a="1"/>
  <c r="D480" i="4" s="1"/>
  <c r="D481" i="4" a="1"/>
  <c r="D481" i="4" s="1"/>
  <c r="D482" i="4" a="1"/>
  <c r="D482" i="4" s="1"/>
  <c r="D483" i="4" a="1"/>
  <c r="D483" i="4" s="1"/>
  <c r="D484" i="4" a="1"/>
  <c r="D484" i="4" s="1"/>
  <c r="D485" i="4" a="1"/>
  <c r="D485" i="4" s="1"/>
  <c r="D486" i="4" a="1"/>
  <c r="D486" i="4" s="1"/>
  <c r="D487" i="4" a="1"/>
  <c r="D487" i="4" s="1"/>
  <c r="D488" i="4" a="1"/>
  <c r="D488" i="4" s="1"/>
  <c r="D489" i="4" a="1"/>
  <c r="D489" i="4" s="1"/>
  <c r="D490" i="4" a="1"/>
  <c r="D490" i="4" s="1"/>
  <c r="D491" i="4" a="1"/>
  <c r="D491" i="4" s="1"/>
  <c r="D492" i="4" a="1"/>
  <c r="D492" i="4" s="1"/>
  <c r="D493" i="4" a="1"/>
  <c r="D493" i="4" s="1"/>
  <c r="D494" i="4" a="1"/>
  <c r="D494" i="4" s="1"/>
  <c r="D495" i="4" a="1"/>
  <c r="D495" i="4" s="1"/>
  <c r="D496" i="4" a="1"/>
  <c r="D496" i="4" s="1"/>
  <c r="D497" i="4" a="1"/>
  <c r="D497" i="4" s="1"/>
  <c r="D498" i="4" a="1"/>
  <c r="D498" i="4" s="1"/>
  <c r="D499" i="4" a="1"/>
  <c r="D499" i="4" s="1"/>
  <c r="D500" i="4" a="1"/>
  <c r="D500" i="4" s="1"/>
  <c r="D501" i="4" a="1"/>
  <c r="D501" i="4" s="1"/>
  <c r="D502" i="4" a="1"/>
  <c r="D502" i="4" s="1"/>
  <c r="D503" i="4" a="1"/>
  <c r="D503" i="4" s="1"/>
  <c r="D504" i="4" a="1"/>
  <c r="D504" i="4" s="1"/>
  <c r="D505" i="4" a="1"/>
  <c r="D505" i="4" s="1"/>
  <c r="D506" i="4" a="1"/>
  <c r="D506" i="4" s="1"/>
  <c r="D507" i="4" a="1"/>
  <c r="D507" i="4" s="1"/>
  <c r="D508" i="4" a="1"/>
  <c r="D508" i="4" s="1"/>
  <c r="D509" i="4" a="1"/>
  <c r="D509" i="4" s="1"/>
  <c r="D510" i="4" a="1"/>
  <c r="D510" i="4" s="1"/>
  <c r="D511" i="4" a="1"/>
  <c r="D511" i="4" s="1"/>
  <c r="D512" i="4" a="1"/>
  <c r="D512" i="4" s="1"/>
  <c r="D513" i="4" a="1"/>
  <c r="D513" i="4" s="1"/>
  <c r="D514" i="4" a="1"/>
  <c r="D514" i="4" s="1"/>
  <c r="D515" i="4" a="1"/>
  <c r="D515" i="4" s="1"/>
  <c r="D516" i="4" a="1"/>
  <c r="D516" i="4" s="1"/>
  <c r="D517" i="4" a="1"/>
  <c r="D517" i="4" s="1"/>
  <c r="D518" i="4" a="1"/>
  <c r="D518" i="4" s="1"/>
  <c r="D519" i="4" a="1"/>
  <c r="D519" i="4" s="1"/>
  <c r="D520" i="4" a="1"/>
  <c r="D520" i="4" s="1"/>
  <c r="D2" i="4" a="1"/>
  <c r="D2" i="4" s="1"/>
  <c r="C3" i="4" a="1"/>
  <c r="C3" i="4" s="1"/>
  <c r="C4" i="4" a="1"/>
  <c r="C4" i="4" s="1"/>
  <c r="C5" i="4" a="1"/>
  <c r="C5" i="4" s="1"/>
  <c r="C6" i="4" a="1"/>
  <c r="C6" i="4" s="1"/>
  <c r="C7" i="4" a="1"/>
  <c r="C7" i="4" s="1"/>
  <c r="C8" i="4" a="1"/>
  <c r="C8" i="4" s="1"/>
  <c r="C9" i="4" a="1"/>
  <c r="C9" i="4" s="1"/>
  <c r="C10" i="4" a="1"/>
  <c r="C10" i="4"/>
  <c r="C12" i="4" a="1"/>
  <c r="C12" i="4" s="1"/>
  <c r="C13" i="4" a="1"/>
  <c r="C13" i="4" s="1"/>
  <c r="C14" i="4" a="1"/>
  <c r="C14" i="4" s="1"/>
  <c r="C15" i="4" a="1"/>
  <c r="C15" i="4" s="1"/>
  <c r="C16" i="4" a="1"/>
  <c r="C16" i="4" s="1"/>
  <c r="C17" i="4" a="1"/>
  <c r="C17" i="4" s="1"/>
  <c r="C18" i="4" a="1"/>
  <c r="C18" i="4"/>
  <c r="C19" i="4" a="1"/>
  <c r="C19" i="4" s="1"/>
  <c r="C20" i="4" a="1"/>
  <c r="C20" i="4" s="1"/>
  <c r="C21" i="4" a="1"/>
  <c r="C21" i="4" s="1"/>
  <c r="C22" i="4" a="1"/>
  <c r="C22" i="4" s="1"/>
  <c r="C23" i="4" a="1"/>
  <c r="C23" i="4" s="1"/>
  <c r="C24" i="4" a="1"/>
  <c r="C24" i="4" s="1"/>
  <c r="C25" i="4" a="1"/>
  <c r="C25" i="4" s="1"/>
  <c r="C26" i="4" a="1"/>
  <c r="C26" i="4"/>
  <c r="C27" i="4" a="1"/>
  <c r="C27" i="4" s="1"/>
  <c r="C28" i="4" a="1"/>
  <c r="C28" i="4" s="1"/>
  <c r="C29" i="4" a="1"/>
  <c r="C29" i="4" s="1"/>
  <c r="C30" i="4" a="1"/>
  <c r="C30" i="4" s="1"/>
  <c r="C31" i="4" a="1"/>
  <c r="C31" i="4" s="1"/>
  <c r="C32" i="4" a="1"/>
  <c r="C32" i="4" s="1"/>
  <c r="C33" i="4" a="1"/>
  <c r="C33" i="4" s="1"/>
  <c r="C34" i="4" a="1"/>
  <c r="C34" i="4"/>
  <c r="C35" i="4" a="1"/>
  <c r="C35" i="4" s="1"/>
  <c r="C36" i="4" a="1"/>
  <c r="C36" i="4" s="1"/>
  <c r="C37" i="4" a="1"/>
  <c r="C37" i="4" s="1"/>
  <c r="C38" i="4" a="1"/>
  <c r="C38" i="4" s="1"/>
  <c r="C39" i="4" a="1"/>
  <c r="C39" i="4" s="1"/>
  <c r="C40" i="4" a="1"/>
  <c r="C40" i="4" s="1"/>
  <c r="C41" i="4" a="1"/>
  <c r="C41" i="4" s="1"/>
  <c r="C42" i="4" a="1"/>
  <c r="C42" i="4"/>
  <c r="C43" i="4" a="1"/>
  <c r="C43" i="4" s="1"/>
  <c r="C44" i="4" a="1"/>
  <c r="C44" i="4" s="1"/>
  <c r="C45" i="4" a="1"/>
  <c r="C45" i="4" s="1"/>
  <c r="C46" i="4" a="1"/>
  <c r="C46" i="4" s="1"/>
  <c r="C47" i="4" a="1"/>
  <c r="C47" i="4" s="1"/>
  <c r="C48" i="4" a="1"/>
  <c r="C48" i="4" s="1"/>
  <c r="C49" i="4" a="1"/>
  <c r="C49" i="4" s="1"/>
  <c r="C50" i="4" a="1"/>
  <c r="C50" i="4"/>
  <c r="C51" i="4" a="1"/>
  <c r="C51" i="4" s="1"/>
  <c r="C52" i="4" a="1"/>
  <c r="C52" i="4" s="1"/>
  <c r="C53" i="4" a="1"/>
  <c r="C53" i="4" s="1"/>
  <c r="C54" i="4" a="1"/>
  <c r="C54" i="4" s="1"/>
  <c r="C55" i="4" a="1"/>
  <c r="C55" i="4" s="1"/>
  <c r="C56" i="4" a="1"/>
  <c r="C56" i="4" s="1"/>
  <c r="C57" i="4" a="1"/>
  <c r="C57" i="4" s="1"/>
  <c r="C58" i="4" a="1"/>
  <c r="C58" i="4"/>
  <c r="C59" i="4" a="1"/>
  <c r="C59" i="4" s="1"/>
  <c r="C60" i="4" a="1"/>
  <c r="C60" i="4" s="1"/>
  <c r="C61" i="4" a="1"/>
  <c r="C61" i="4" s="1"/>
  <c r="C62" i="4" a="1"/>
  <c r="C62" i="4" s="1"/>
  <c r="C63" i="4" a="1"/>
  <c r="C63" i="4" s="1"/>
  <c r="C64" i="4" a="1"/>
  <c r="C64" i="4" s="1"/>
  <c r="C65" i="4" a="1"/>
  <c r="C65" i="4" s="1"/>
  <c r="C66" i="4" a="1"/>
  <c r="C66" i="4"/>
  <c r="C67" i="4" a="1"/>
  <c r="C67" i="4" s="1"/>
  <c r="C68" i="4" a="1"/>
  <c r="C68" i="4" s="1"/>
  <c r="C69" i="4" a="1"/>
  <c r="C69" i="4" s="1"/>
  <c r="C70" i="4" a="1"/>
  <c r="C70" i="4" s="1"/>
  <c r="C71" i="4" a="1"/>
  <c r="C71" i="4" s="1"/>
  <c r="C72" i="4" a="1"/>
  <c r="C72" i="4" s="1"/>
  <c r="C73" i="4" a="1"/>
  <c r="C73" i="4" s="1"/>
  <c r="C74" i="4" a="1"/>
  <c r="C74" i="4"/>
  <c r="C75" i="4" a="1"/>
  <c r="C75" i="4" s="1"/>
  <c r="C76" i="4" a="1"/>
  <c r="C76" i="4" s="1"/>
  <c r="C77" i="4" a="1"/>
  <c r="C77" i="4" s="1"/>
  <c r="C78" i="4" a="1"/>
  <c r="C78" i="4" s="1"/>
  <c r="C79" i="4" a="1"/>
  <c r="C79" i="4" s="1"/>
  <c r="C80" i="4" a="1"/>
  <c r="C80" i="4" s="1"/>
  <c r="C81" i="4" a="1"/>
  <c r="C81" i="4" s="1"/>
  <c r="C82" i="4" a="1"/>
  <c r="C82" i="4"/>
  <c r="C83" i="4" a="1"/>
  <c r="C83" i="4" s="1"/>
  <c r="C84" i="4" a="1"/>
  <c r="C84" i="4" s="1"/>
  <c r="C85" i="4" a="1"/>
  <c r="C85" i="4" s="1"/>
  <c r="C86" i="4" a="1"/>
  <c r="C86" i="4" s="1"/>
  <c r="C87" i="4" a="1"/>
  <c r="C87" i="4" s="1"/>
  <c r="C88" i="4" a="1"/>
  <c r="C88" i="4" s="1"/>
  <c r="C89" i="4" a="1"/>
  <c r="C89" i="4" s="1"/>
  <c r="C90" i="4" a="1"/>
  <c r="C90" i="4"/>
  <c r="C91" i="4" a="1"/>
  <c r="C91" i="4" s="1"/>
  <c r="C92" i="4" a="1"/>
  <c r="C92" i="4" s="1"/>
  <c r="C93" i="4" a="1"/>
  <c r="C93" i="4" s="1"/>
  <c r="C94" i="4" a="1"/>
  <c r="C94" i="4" s="1"/>
  <c r="C95" i="4" a="1"/>
  <c r="C95" i="4" s="1"/>
  <c r="C96" i="4" a="1"/>
  <c r="C96" i="4" s="1"/>
  <c r="C97" i="4" a="1"/>
  <c r="C97" i="4" s="1"/>
  <c r="C98" i="4" a="1"/>
  <c r="C98" i="4"/>
  <c r="C99" i="4" a="1"/>
  <c r="C99" i="4" s="1"/>
  <c r="C100" i="4" a="1"/>
  <c r="C100" i="4" s="1"/>
  <c r="C101" i="4" a="1"/>
  <c r="C101" i="4" s="1"/>
  <c r="C102" i="4" a="1"/>
  <c r="C102" i="4" s="1"/>
  <c r="C103" i="4" a="1"/>
  <c r="C103" i="4" s="1"/>
  <c r="C104" i="4" a="1"/>
  <c r="C104" i="4" s="1"/>
  <c r="C105" i="4" a="1"/>
  <c r="C105" i="4" s="1"/>
  <c r="C106" i="4" a="1"/>
  <c r="C106" i="4"/>
  <c r="C107" i="4" a="1"/>
  <c r="C107" i="4" s="1"/>
  <c r="C108" i="4" a="1"/>
  <c r="C108" i="4" s="1"/>
  <c r="C109" i="4" a="1"/>
  <c r="C109" i="4" s="1"/>
  <c r="C110" i="4" a="1"/>
  <c r="C110" i="4" s="1"/>
  <c r="C111" i="4" a="1"/>
  <c r="C111" i="4" s="1"/>
  <c r="C112" i="4" a="1"/>
  <c r="C112" i="4" s="1"/>
  <c r="C113" i="4" a="1"/>
  <c r="C113" i="4" s="1"/>
  <c r="C114" i="4" a="1"/>
  <c r="C114" i="4"/>
  <c r="C115" i="4" a="1"/>
  <c r="C115" i="4" s="1"/>
  <c r="C116" i="4" a="1"/>
  <c r="C116" i="4" s="1"/>
  <c r="C117" i="4" a="1"/>
  <c r="C117" i="4" s="1"/>
  <c r="C118" i="4" a="1"/>
  <c r="C118" i="4" s="1"/>
  <c r="C119" i="4" a="1"/>
  <c r="C119" i="4" s="1"/>
  <c r="C120" i="4" a="1"/>
  <c r="C120" i="4" s="1"/>
  <c r="C121" i="4" a="1"/>
  <c r="C121" i="4" s="1"/>
  <c r="C122" i="4" a="1"/>
  <c r="C122" i="4"/>
  <c r="C123" i="4" a="1"/>
  <c r="C123" i="4" s="1"/>
  <c r="C124" i="4" a="1"/>
  <c r="C124" i="4" s="1"/>
  <c r="C125" i="4" a="1"/>
  <c r="C125" i="4" s="1"/>
  <c r="C126" i="4" a="1"/>
  <c r="C126" i="4" s="1"/>
  <c r="C127" i="4" a="1"/>
  <c r="C127" i="4" s="1"/>
  <c r="C128" i="4" a="1"/>
  <c r="C128" i="4" s="1"/>
  <c r="C129" i="4" a="1"/>
  <c r="C129" i="4" s="1"/>
  <c r="C130" i="4" a="1"/>
  <c r="C130" i="4"/>
  <c r="C131" i="4" a="1"/>
  <c r="C131" i="4" s="1"/>
  <c r="C132" i="4" a="1"/>
  <c r="C132" i="4" s="1"/>
  <c r="C133" i="4" a="1"/>
  <c r="C133" i="4" s="1"/>
  <c r="C134" i="4" a="1"/>
  <c r="C134" i="4" s="1"/>
  <c r="C135" i="4" a="1"/>
  <c r="C135" i="4" s="1"/>
  <c r="C136" i="4" a="1"/>
  <c r="C136" i="4" s="1"/>
  <c r="C137" i="4" a="1"/>
  <c r="C137" i="4" s="1"/>
  <c r="C138" i="4" a="1"/>
  <c r="C138" i="4"/>
  <c r="C139" i="4" a="1"/>
  <c r="C139" i="4" s="1"/>
  <c r="C140" i="4" a="1"/>
  <c r="C140" i="4" s="1"/>
  <c r="C141" i="4" a="1"/>
  <c r="C141" i="4" s="1"/>
  <c r="C142" i="4" a="1"/>
  <c r="C142" i="4" s="1"/>
  <c r="C143" i="4" a="1"/>
  <c r="C143" i="4" s="1"/>
  <c r="C144" i="4" a="1"/>
  <c r="C144" i="4" s="1"/>
  <c r="C145" i="4" a="1"/>
  <c r="C145" i="4" s="1"/>
  <c r="C146" i="4" a="1"/>
  <c r="C146" i="4"/>
  <c r="C147" i="4" a="1"/>
  <c r="C147" i="4" s="1"/>
  <c r="C148" i="4" a="1"/>
  <c r="C148" i="4" s="1"/>
  <c r="C149" i="4" a="1"/>
  <c r="C149" i="4" s="1"/>
  <c r="C150" i="4" a="1"/>
  <c r="C150" i="4" s="1"/>
  <c r="C151" i="4" a="1"/>
  <c r="C151" i="4" s="1"/>
  <c r="C152" i="4" a="1"/>
  <c r="C152" i="4" s="1"/>
  <c r="C153" i="4" a="1"/>
  <c r="C153" i="4" s="1"/>
  <c r="C154" i="4" a="1"/>
  <c r="C154" i="4"/>
  <c r="C155" i="4" a="1"/>
  <c r="C155" i="4" s="1"/>
  <c r="C156" i="4" a="1"/>
  <c r="C156" i="4" s="1"/>
  <c r="C157" i="4" a="1"/>
  <c r="C157" i="4" s="1"/>
  <c r="C158" i="4" a="1"/>
  <c r="C158" i="4" s="1"/>
  <c r="C159" i="4" a="1"/>
  <c r="C159" i="4" s="1"/>
  <c r="C160" i="4" a="1"/>
  <c r="C160" i="4" s="1"/>
  <c r="C161" i="4" a="1"/>
  <c r="C161" i="4" s="1"/>
  <c r="C162" i="4" a="1"/>
  <c r="C162" i="4"/>
  <c r="C163" i="4" a="1"/>
  <c r="C163" i="4" s="1"/>
  <c r="C164" i="4" a="1"/>
  <c r="C164" i="4" s="1"/>
  <c r="C165" i="4" a="1"/>
  <c r="C165" i="4" s="1"/>
  <c r="C166" i="4" a="1"/>
  <c r="C166" i="4" s="1"/>
  <c r="C167" i="4" a="1"/>
  <c r="C167" i="4" s="1"/>
  <c r="C168" i="4" a="1"/>
  <c r="C168" i="4" s="1"/>
  <c r="C169" i="4" a="1"/>
  <c r="C169" i="4" s="1"/>
  <c r="C170" i="4" a="1"/>
  <c r="C170" i="4"/>
  <c r="C171" i="4" a="1"/>
  <c r="C171" i="4" s="1"/>
  <c r="C172" i="4" a="1"/>
  <c r="C172" i="4" s="1"/>
  <c r="C173" i="4" a="1"/>
  <c r="C173" i="4" s="1"/>
  <c r="C174" i="4" a="1"/>
  <c r="C174" i="4" s="1"/>
  <c r="C175" i="4" a="1"/>
  <c r="C175" i="4" s="1"/>
  <c r="C176" i="4" a="1"/>
  <c r="C176" i="4" s="1"/>
  <c r="C177" i="4" a="1"/>
  <c r="C177" i="4" s="1"/>
  <c r="C178" i="4" a="1"/>
  <c r="C178" i="4"/>
  <c r="C179" i="4" a="1"/>
  <c r="C179" i="4" s="1"/>
  <c r="C180" i="4" a="1"/>
  <c r="C180" i="4" s="1"/>
  <c r="C181" i="4" a="1"/>
  <c r="C181" i="4" s="1"/>
  <c r="C182" i="4" a="1"/>
  <c r="C182" i="4" s="1"/>
  <c r="C183" i="4" a="1"/>
  <c r="C183" i="4" s="1"/>
  <c r="C184" i="4" a="1"/>
  <c r="C184" i="4" s="1"/>
  <c r="C185" i="4" a="1"/>
  <c r="C185" i="4" s="1"/>
  <c r="C186" i="4" a="1"/>
  <c r="C186" i="4"/>
  <c r="C187" i="4" a="1"/>
  <c r="C187" i="4" s="1"/>
  <c r="C188" i="4" a="1"/>
  <c r="C188" i="4" s="1"/>
  <c r="C189" i="4" a="1"/>
  <c r="C189" i="4" s="1"/>
  <c r="C190" i="4" a="1"/>
  <c r="C190" i="4" s="1"/>
  <c r="C191" i="4" a="1"/>
  <c r="C191" i="4" s="1"/>
  <c r="C192" i="4" a="1"/>
  <c r="C192" i="4" s="1"/>
  <c r="C193" i="4" a="1"/>
  <c r="C193" i="4" s="1"/>
  <c r="C194" i="4" a="1"/>
  <c r="C194" i="4"/>
  <c r="C195" i="4" a="1"/>
  <c r="C195" i="4" s="1"/>
  <c r="C196" i="4" a="1"/>
  <c r="C196" i="4" s="1"/>
  <c r="C197" i="4" a="1"/>
  <c r="C197" i="4" s="1"/>
  <c r="C198" i="4" a="1"/>
  <c r="C198" i="4" s="1"/>
  <c r="C199" i="4" a="1"/>
  <c r="C199" i="4" s="1"/>
  <c r="C200" i="4" a="1"/>
  <c r="C200" i="4" s="1"/>
  <c r="C201" i="4" a="1"/>
  <c r="C201" i="4" s="1"/>
  <c r="C202" i="4" a="1"/>
  <c r="C202" i="4"/>
  <c r="C203" i="4" a="1"/>
  <c r="C203" i="4" s="1"/>
  <c r="C204" i="4" a="1"/>
  <c r="C204" i="4" s="1"/>
  <c r="C205" i="4" a="1"/>
  <c r="C205" i="4" s="1"/>
  <c r="C206" i="4" a="1"/>
  <c r="C206" i="4" s="1"/>
  <c r="C207" i="4" a="1"/>
  <c r="C207" i="4" s="1"/>
  <c r="C208" i="4" a="1"/>
  <c r="C208" i="4" s="1"/>
  <c r="C209" i="4" a="1"/>
  <c r="C209" i="4" s="1"/>
  <c r="C210" i="4" a="1"/>
  <c r="C210" i="4"/>
  <c r="C211" i="4" a="1"/>
  <c r="C211" i="4" s="1"/>
  <c r="C212" i="4" a="1"/>
  <c r="C212" i="4" s="1"/>
  <c r="C213" i="4" a="1"/>
  <c r="C213" i="4" s="1"/>
  <c r="C214" i="4" a="1"/>
  <c r="C214" i="4" s="1"/>
  <c r="C215" i="4" a="1"/>
  <c r="C215" i="4" s="1"/>
  <c r="C216" i="4" a="1"/>
  <c r="C216" i="4" s="1"/>
  <c r="C217" i="4" a="1"/>
  <c r="C217" i="4" s="1"/>
  <c r="C218" i="4" a="1"/>
  <c r="C218" i="4"/>
  <c r="C219" i="4" a="1"/>
  <c r="C219" i="4" s="1"/>
  <c r="C220" i="4" a="1"/>
  <c r="C220" i="4" s="1"/>
  <c r="C221" i="4" a="1"/>
  <c r="C221" i="4" s="1"/>
  <c r="C222" i="4" a="1"/>
  <c r="C222" i="4" s="1"/>
  <c r="C223" i="4" a="1"/>
  <c r="C223" i="4" s="1"/>
  <c r="C224" i="4" a="1"/>
  <c r="C224" i="4" s="1"/>
  <c r="C225" i="4" a="1"/>
  <c r="C225" i="4" s="1"/>
  <c r="C226" i="4" a="1"/>
  <c r="C226" i="4"/>
  <c r="C227" i="4" a="1"/>
  <c r="C227" i="4" s="1"/>
  <c r="C228" i="4" a="1"/>
  <c r="C228" i="4" s="1"/>
  <c r="C229" i="4" a="1"/>
  <c r="C229" i="4" s="1"/>
  <c r="C230" i="4" a="1"/>
  <c r="C230" i="4" s="1"/>
  <c r="C231" i="4" a="1"/>
  <c r="C231" i="4" s="1"/>
  <c r="C232" i="4" a="1"/>
  <c r="C232" i="4" s="1"/>
  <c r="C233" i="4" a="1"/>
  <c r="C233" i="4" s="1"/>
  <c r="C234" i="4" a="1"/>
  <c r="C234" i="4"/>
  <c r="C235" i="4" a="1"/>
  <c r="C235" i="4" s="1"/>
  <c r="C236" i="4" a="1"/>
  <c r="C236" i="4" s="1"/>
  <c r="C237" i="4" a="1"/>
  <c r="C237" i="4" s="1"/>
  <c r="C238" i="4" a="1"/>
  <c r="C238" i="4" s="1"/>
  <c r="C239" i="4" a="1"/>
  <c r="C239" i="4" s="1"/>
  <c r="C240" i="4" a="1"/>
  <c r="C240" i="4" s="1"/>
  <c r="C241" i="4" a="1"/>
  <c r="C241" i="4" s="1"/>
  <c r="C242" i="4" a="1"/>
  <c r="C242" i="4"/>
  <c r="C243" i="4" a="1"/>
  <c r="C243" i="4" s="1"/>
  <c r="C244" i="4" a="1"/>
  <c r="C244" i="4" s="1"/>
  <c r="C245" i="4" a="1"/>
  <c r="C245" i="4" s="1"/>
  <c r="C246" i="4" a="1"/>
  <c r="C246" i="4" s="1"/>
  <c r="C247" i="4" a="1"/>
  <c r="C247" i="4" s="1"/>
  <c r="C248" i="4" a="1"/>
  <c r="C248" i="4" s="1"/>
  <c r="C249" i="4" a="1"/>
  <c r="C249" i="4" s="1"/>
  <c r="C250" i="4" a="1"/>
  <c r="C250" i="4"/>
  <c r="C251" i="4" a="1"/>
  <c r="C251" i="4" s="1"/>
  <c r="C252" i="4" a="1"/>
  <c r="C252" i="4" s="1"/>
  <c r="C253" i="4" a="1"/>
  <c r="C253" i="4" s="1"/>
  <c r="C254" i="4" a="1"/>
  <c r="C254" i="4" s="1"/>
  <c r="C255" i="4" a="1"/>
  <c r="C255" i="4" s="1"/>
  <c r="C256" i="4" a="1"/>
  <c r="C256" i="4" s="1"/>
  <c r="C257" i="4" a="1"/>
  <c r="C257" i="4" s="1"/>
  <c r="C258" i="4" a="1"/>
  <c r="C258" i="4"/>
  <c r="C259" i="4" a="1"/>
  <c r="C259" i="4" s="1"/>
  <c r="C260" i="4" a="1"/>
  <c r="C260" i="4" s="1"/>
  <c r="C261" i="4" a="1"/>
  <c r="C261" i="4" s="1"/>
  <c r="C262" i="4" a="1"/>
  <c r="C262" i="4" s="1"/>
  <c r="C263" i="4" a="1"/>
  <c r="C263" i="4" s="1"/>
  <c r="C264" i="4" a="1"/>
  <c r="C264" i="4" s="1"/>
  <c r="C265" i="4" a="1"/>
  <c r="C265" i="4" s="1"/>
  <c r="C266" i="4" a="1"/>
  <c r="C266" i="4"/>
  <c r="C267" i="4" a="1"/>
  <c r="C267" i="4" s="1"/>
  <c r="C268" i="4" a="1"/>
  <c r="C268" i="4" s="1"/>
  <c r="C269" i="4" a="1"/>
  <c r="C269" i="4" s="1"/>
  <c r="C270" i="4" a="1"/>
  <c r="C270" i="4" s="1"/>
  <c r="C271" i="4" a="1"/>
  <c r="C271" i="4" s="1"/>
  <c r="C272" i="4" a="1"/>
  <c r="C272" i="4" s="1"/>
  <c r="C273" i="4" a="1"/>
  <c r="C273" i="4" s="1"/>
  <c r="C274" i="4" a="1"/>
  <c r="C274" i="4"/>
  <c r="C275" i="4" a="1"/>
  <c r="C275" i="4" s="1"/>
  <c r="C276" i="4" a="1"/>
  <c r="C276" i="4" s="1"/>
  <c r="C277" i="4" a="1"/>
  <c r="C277" i="4" s="1"/>
  <c r="C278" i="4" a="1"/>
  <c r="C278" i="4" s="1"/>
  <c r="C279" i="4" a="1"/>
  <c r="C279" i="4" s="1"/>
  <c r="C280" i="4" a="1"/>
  <c r="C280" i="4" s="1"/>
  <c r="C281" i="4" a="1"/>
  <c r="C281" i="4" s="1"/>
  <c r="C282" i="4" a="1"/>
  <c r="C282" i="4"/>
  <c r="C283" i="4" a="1"/>
  <c r="C283" i="4" s="1"/>
  <c r="C284" i="4" a="1"/>
  <c r="C284" i="4" s="1"/>
  <c r="C285" i="4" a="1"/>
  <c r="C285" i="4" s="1"/>
  <c r="C286" i="4" a="1"/>
  <c r="C286" i="4" s="1"/>
  <c r="C287" i="4" a="1"/>
  <c r="C287" i="4" s="1"/>
  <c r="C288" i="4" a="1"/>
  <c r="C288" i="4" s="1"/>
  <c r="C289" i="4" a="1"/>
  <c r="C289" i="4" s="1"/>
  <c r="C290" i="4" a="1"/>
  <c r="C290" i="4"/>
  <c r="C291" i="4" a="1"/>
  <c r="C291" i="4" s="1"/>
  <c r="C292" i="4" a="1"/>
  <c r="C292" i="4" s="1"/>
  <c r="C293" i="4" a="1"/>
  <c r="C293" i="4" s="1"/>
  <c r="C294" i="4" a="1"/>
  <c r="C294" i="4" s="1"/>
  <c r="C295" i="4" a="1"/>
  <c r="C295" i="4" s="1"/>
  <c r="C296" i="4" a="1"/>
  <c r="C296" i="4" s="1"/>
  <c r="C297" i="4" a="1"/>
  <c r="C297" i="4" s="1"/>
  <c r="C298" i="4" a="1"/>
  <c r="C298" i="4"/>
  <c r="C299" i="4" a="1"/>
  <c r="C299" i="4" s="1"/>
  <c r="C300" i="4" a="1"/>
  <c r="C300" i="4" s="1"/>
  <c r="C301" i="4" a="1"/>
  <c r="C301" i="4" s="1"/>
  <c r="C302" i="4" a="1"/>
  <c r="C302" i="4" s="1"/>
  <c r="C303" i="4" a="1"/>
  <c r="C303" i="4" s="1"/>
  <c r="C304" i="4" a="1"/>
  <c r="C304" i="4" s="1"/>
  <c r="C305" i="4" a="1"/>
  <c r="C305" i="4" s="1"/>
  <c r="C306" i="4" a="1"/>
  <c r="C306" i="4"/>
  <c r="C307" i="4" a="1"/>
  <c r="C307" i="4" s="1"/>
  <c r="C308" i="4" a="1"/>
  <c r="C308" i="4" s="1"/>
  <c r="C309" i="4" a="1"/>
  <c r="C309" i="4" s="1"/>
  <c r="C310" i="4" a="1"/>
  <c r="C310" i="4" s="1"/>
  <c r="C311" i="4" a="1"/>
  <c r="C311" i="4" s="1"/>
  <c r="C312" i="4" a="1"/>
  <c r="C312" i="4" s="1"/>
  <c r="C313" i="4" a="1"/>
  <c r="C313" i="4" s="1"/>
  <c r="C314" i="4" a="1"/>
  <c r="C314" i="4"/>
  <c r="C315" i="4" a="1"/>
  <c r="C315" i="4" s="1"/>
  <c r="C316" i="4" a="1"/>
  <c r="C316" i="4" s="1"/>
  <c r="C317" i="4" a="1"/>
  <c r="C317" i="4" s="1"/>
  <c r="C318" i="4" a="1"/>
  <c r="C318" i="4" s="1"/>
  <c r="C319" i="4" a="1"/>
  <c r="C319" i="4" s="1"/>
  <c r="C320" i="4" a="1"/>
  <c r="C320" i="4" s="1"/>
  <c r="C321" i="4" a="1"/>
  <c r="C321" i="4" s="1"/>
  <c r="C322" i="4" a="1"/>
  <c r="C322" i="4"/>
  <c r="C323" i="4" a="1"/>
  <c r="C323" i="4" s="1"/>
  <c r="C324" i="4" a="1"/>
  <c r="C324" i="4" s="1"/>
  <c r="C325" i="4" a="1"/>
  <c r="C325" i="4" s="1"/>
  <c r="C326" i="4" a="1"/>
  <c r="C326" i="4" s="1"/>
  <c r="C327" i="4" a="1"/>
  <c r="C327" i="4" s="1"/>
  <c r="C328" i="4" a="1"/>
  <c r="C328" i="4" s="1"/>
  <c r="C329" i="4" a="1"/>
  <c r="C329" i="4" s="1"/>
  <c r="C330" i="4" a="1"/>
  <c r="C330" i="4"/>
  <c r="C331" i="4" a="1"/>
  <c r="C331" i="4" s="1"/>
  <c r="C332" i="4" a="1"/>
  <c r="C332" i="4" s="1"/>
  <c r="C333" i="4" a="1"/>
  <c r="C333" i="4" s="1"/>
  <c r="C334" i="4" a="1"/>
  <c r="C334" i="4" s="1"/>
  <c r="C335" i="4" a="1"/>
  <c r="C335" i="4" s="1"/>
  <c r="C336" i="4" a="1"/>
  <c r="C336" i="4" s="1"/>
  <c r="C337" i="4" a="1"/>
  <c r="C337" i="4" s="1"/>
  <c r="C338" i="4" a="1"/>
  <c r="C338" i="4"/>
  <c r="C339" i="4" a="1"/>
  <c r="C339" i="4" s="1"/>
  <c r="C340" i="4" a="1"/>
  <c r="C340" i="4" s="1"/>
  <c r="C341" i="4" a="1"/>
  <c r="C341" i="4" s="1"/>
  <c r="C342" i="4" a="1"/>
  <c r="C342" i="4" s="1"/>
  <c r="C343" i="4" a="1"/>
  <c r="C343" i="4" s="1"/>
  <c r="C344" i="4" a="1"/>
  <c r="C344" i="4" s="1"/>
  <c r="C345" i="4" a="1"/>
  <c r="C345" i="4" s="1"/>
  <c r="C346" i="4" a="1"/>
  <c r="C346" i="4"/>
  <c r="C347" i="4" a="1"/>
  <c r="C347" i="4" s="1"/>
  <c r="C348" i="4" a="1"/>
  <c r="C348" i="4" s="1"/>
  <c r="C349" i="4" a="1"/>
  <c r="C349" i="4" s="1"/>
  <c r="C350" i="4" a="1"/>
  <c r="C350" i="4" s="1"/>
  <c r="C351" i="4" a="1"/>
  <c r="C351" i="4" s="1"/>
  <c r="C352" i="4" a="1"/>
  <c r="C352" i="4" s="1"/>
  <c r="C353" i="4" a="1"/>
  <c r="C353" i="4" s="1"/>
  <c r="C354" i="4" a="1"/>
  <c r="C354" i="4"/>
  <c r="C355" i="4" a="1"/>
  <c r="C355" i="4" s="1"/>
  <c r="C356" i="4" a="1"/>
  <c r="C356" i="4" s="1"/>
  <c r="C357" i="4" a="1"/>
  <c r="C357" i="4" s="1"/>
  <c r="C358" i="4" a="1"/>
  <c r="C358" i="4" s="1"/>
  <c r="C359" i="4" a="1"/>
  <c r="C359" i="4" s="1"/>
  <c r="C360" i="4" a="1"/>
  <c r="C360" i="4" s="1"/>
  <c r="C361" i="4" a="1"/>
  <c r="C361" i="4" s="1"/>
  <c r="C362" i="4" a="1"/>
  <c r="C362" i="4"/>
  <c r="C363" i="4" a="1"/>
  <c r="C363" i="4" s="1"/>
  <c r="C364" i="4" a="1"/>
  <c r="C364" i="4" s="1"/>
  <c r="C365" i="4" a="1"/>
  <c r="C365" i="4" s="1"/>
  <c r="C366" i="4" a="1"/>
  <c r="C366" i="4" s="1"/>
  <c r="C367" i="4" a="1"/>
  <c r="C367" i="4" s="1"/>
  <c r="C368" i="4" a="1"/>
  <c r="C368" i="4" s="1"/>
  <c r="C369" i="4" a="1"/>
  <c r="C369" i="4" s="1"/>
  <c r="C370" i="4" a="1"/>
  <c r="C370" i="4"/>
  <c r="C371" i="4" a="1"/>
  <c r="C371" i="4" s="1"/>
  <c r="C372" i="4" a="1"/>
  <c r="C372" i="4" s="1"/>
  <c r="C373" i="4" a="1"/>
  <c r="C373" i="4" s="1"/>
  <c r="C374" i="4" a="1"/>
  <c r="C374" i="4" s="1"/>
  <c r="C375" i="4" a="1"/>
  <c r="C375" i="4" s="1"/>
  <c r="C376" i="4" a="1"/>
  <c r="C376" i="4" s="1"/>
  <c r="C377" i="4" a="1"/>
  <c r="C377" i="4" s="1"/>
  <c r="C378" i="4" a="1"/>
  <c r="C378" i="4"/>
  <c r="C379" i="4" a="1"/>
  <c r="C379" i="4" s="1"/>
  <c r="C380" i="4" a="1"/>
  <c r="C380" i="4" s="1"/>
  <c r="C381" i="4" a="1"/>
  <c r="C381" i="4" s="1"/>
  <c r="C382" i="4" a="1"/>
  <c r="C382" i="4" s="1"/>
  <c r="C383" i="4" a="1"/>
  <c r="C383" i="4" s="1"/>
  <c r="C384" i="4" a="1"/>
  <c r="C384" i="4" s="1"/>
  <c r="C385" i="4" a="1"/>
  <c r="C385" i="4" s="1"/>
  <c r="C386" i="4" a="1"/>
  <c r="C386" i="4"/>
  <c r="C387" i="4" a="1"/>
  <c r="C387" i="4" s="1"/>
  <c r="C388" i="4" a="1"/>
  <c r="C388" i="4" s="1"/>
  <c r="C389" i="4" a="1"/>
  <c r="C389" i="4" s="1"/>
  <c r="C390" i="4" a="1"/>
  <c r="C390" i="4" s="1"/>
  <c r="C391" i="4" a="1"/>
  <c r="C391" i="4" s="1"/>
  <c r="C392" i="4" a="1"/>
  <c r="C392" i="4" s="1"/>
  <c r="C393" i="4" a="1"/>
  <c r="C393" i="4" s="1"/>
  <c r="C394" i="4" a="1"/>
  <c r="C394" i="4"/>
  <c r="C395" i="4" a="1"/>
  <c r="C395" i="4" s="1"/>
  <c r="C396" i="4" a="1"/>
  <c r="C396" i="4" s="1"/>
  <c r="C397" i="4" a="1"/>
  <c r="C397" i="4" s="1"/>
  <c r="C398" i="4" a="1"/>
  <c r="C398" i="4" s="1"/>
  <c r="C399" i="4" a="1"/>
  <c r="C399" i="4" s="1"/>
  <c r="C400" i="4" a="1"/>
  <c r="C400" i="4" s="1"/>
  <c r="C401" i="4" a="1"/>
  <c r="C401" i="4" s="1"/>
  <c r="C402" i="4" a="1"/>
  <c r="C402" i="4"/>
  <c r="C403" i="4" a="1"/>
  <c r="C403" i="4" s="1"/>
  <c r="C404" i="4" a="1"/>
  <c r="C404" i="4" s="1"/>
  <c r="C405" i="4" a="1"/>
  <c r="C405" i="4" s="1"/>
  <c r="C406" i="4" a="1"/>
  <c r="C406" i="4" s="1"/>
  <c r="C407" i="4" a="1"/>
  <c r="C407" i="4" s="1"/>
  <c r="C408" i="4" a="1"/>
  <c r="C408" i="4" s="1"/>
  <c r="C409" i="4" a="1"/>
  <c r="C409" i="4" s="1"/>
  <c r="C410" i="4" a="1"/>
  <c r="C410" i="4"/>
  <c r="C411" i="4" a="1"/>
  <c r="C411" i="4" s="1"/>
  <c r="C412" i="4" a="1"/>
  <c r="C412" i="4" s="1"/>
  <c r="C413" i="4" a="1"/>
  <c r="C413" i="4" s="1"/>
  <c r="C414" i="4" a="1"/>
  <c r="C414" i="4" s="1"/>
  <c r="C415" i="4" a="1"/>
  <c r="C415" i="4" s="1"/>
  <c r="C416" i="4" a="1"/>
  <c r="C416" i="4" s="1"/>
  <c r="C417" i="4" a="1"/>
  <c r="C417" i="4" s="1"/>
  <c r="C418" i="4" a="1"/>
  <c r="C418" i="4"/>
  <c r="C419" i="4" a="1"/>
  <c r="C419" i="4" s="1"/>
  <c r="C420" i="4" a="1"/>
  <c r="C420" i="4" s="1"/>
  <c r="C421" i="4" a="1"/>
  <c r="C421" i="4" s="1"/>
  <c r="C422" i="4" a="1"/>
  <c r="C422" i="4" s="1"/>
  <c r="C423" i="4" a="1"/>
  <c r="C423" i="4" s="1"/>
  <c r="C424" i="4" a="1"/>
  <c r="C424" i="4" s="1"/>
  <c r="C425" i="4" a="1"/>
  <c r="C425" i="4" s="1"/>
  <c r="C426" i="4" a="1"/>
  <c r="C426" i="4"/>
  <c r="C427" i="4" a="1"/>
  <c r="C427" i="4" s="1"/>
  <c r="C428" i="4" a="1"/>
  <c r="C428" i="4" s="1"/>
  <c r="C429" i="4" a="1"/>
  <c r="C429" i="4" s="1"/>
  <c r="C430" i="4" a="1"/>
  <c r="C430" i="4" s="1"/>
  <c r="C431" i="4" a="1"/>
  <c r="C431" i="4" s="1"/>
  <c r="C432" i="4" a="1"/>
  <c r="C432" i="4" s="1"/>
  <c r="C433" i="4" a="1"/>
  <c r="C433" i="4" s="1"/>
  <c r="C434" i="4" a="1"/>
  <c r="C434" i="4"/>
  <c r="C435" i="4" a="1"/>
  <c r="C435" i="4" s="1"/>
  <c r="C436" i="4" a="1"/>
  <c r="C436" i="4" s="1"/>
  <c r="C437" i="4" a="1"/>
  <c r="C437" i="4" s="1"/>
  <c r="C438" i="4" a="1"/>
  <c r="C438" i="4" s="1"/>
  <c r="C439" i="4" a="1"/>
  <c r="C439" i="4" s="1"/>
  <c r="C440" i="4" a="1"/>
  <c r="C440" i="4" s="1"/>
  <c r="C441" i="4" a="1"/>
  <c r="C441" i="4" s="1"/>
  <c r="C442" i="4" a="1"/>
  <c r="C442" i="4"/>
  <c r="C443" i="4" a="1"/>
  <c r="C443" i="4" s="1"/>
  <c r="C444" i="4" a="1"/>
  <c r="C444" i="4" s="1"/>
  <c r="C445" i="4" a="1"/>
  <c r="C445" i="4" s="1"/>
  <c r="C446" i="4" a="1"/>
  <c r="C446" i="4" s="1"/>
  <c r="C447" i="4" a="1"/>
  <c r="C447" i="4" s="1"/>
  <c r="C448" i="4" a="1"/>
  <c r="C448" i="4" s="1"/>
  <c r="C449" i="4" a="1"/>
  <c r="C449" i="4" s="1"/>
  <c r="C450" i="4" a="1"/>
  <c r="C450" i="4"/>
  <c r="C451" i="4" a="1"/>
  <c r="C451" i="4" s="1"/>
  <c r="C452" i="4" a="1"/>
  <c r="C452" i="4" s="1"/>
  <c r="C453" i="4" a="1"/>
  <c r="C453" i="4" s="1"/>
  <c r="C454" i="4" a="1"/>
  <c r="C454" i="4" s="1"/>
  <c r="C455" i="4" a="1"/>
  <c r="C455" i="4" s="1"/>
  <c r="C456" i="4" a="1"/>
  <c r="C456" i="4" s="1"/>
  <c r="C457" i="4" a="1"/>
  <c r="C457" i="4" s="1"/>
  <c r="C458" i="4" a="1"/>
  <c r="C458" i="4"/>
  <c r="C459" i="4" a="1"/>
  <c r="C459" i="4" s="1"/>
  <c r="C460" i="4" a="1"/>
  <c r="C460" i="4" s="1"/>
  <c r="C461" i="4" a="1"/>
  <c r="C461" i="4" s="1"/>
  <c r="C462" i="4" a="1"/>
  <c r="C462" i="4" s="1"/>
  <c r="C463" i="4" a="1"/>
  <c r="C463" i="4" s="1"/>
  <c r="C464" i="4" a="1"/>
  <c r="C464" i="4" s="1"/>
  <c r="C465" i="4" a="1"/>
  <c r="C465" i="4" s="1"/>
  <c r="C466" i="4" a="1"/>
  <c r="C466" i="4"/>
  <c r="C467" i="4" a="1"/>
  <c r="C467" i="4" s="1"/>
  <c r="C468" i="4" a="1"/>
  <c r="C468" i="4" s="1"/>
  <c r="C469" i="4" a="1"/>
  <c r="C469" i="4" s="1"/>
  <c r="C470" i="4" a="1"/>
  <c r="C470" i="4" s="1"/>
  <c r="C471" i="4" a="1"/>
  <c r="C471" i="4" s="1"/>
  <c r="C472" i="4" a="1"/>
  <c r="C472" i="4" s="1"/>
  <c r="C473" i="4" a="1"/>
  <c r="C473" i="4" s="1"/>
  <c r="C474" i="4" a="1"/>
  <c r="C474" i="4"/>
  <c r="C475" i="4" a="1"/>
  <c r="C475" i="4" s="1"/>
  <c r="C476" i="4" a="1"/>
  <c r="C476" i="4" s="1"/>
  <c r="C477" i="4" a="1"/>
  <c r="C477" i="4" s="1"/>
  <c r="C478" i="4" a="1"/>
  <c r="C478" i="4" s="1"/>
  <c r="C479" i="4" a="1"/>
  <c r="C479" i="4" s="1"/>
  <c r="C480" i="4" a="1"/>
  <c r="C480" i="4" s="1"/>
  <c r="C481" i="4" a="1"/>
  <c r="C481" i="4" s="1"/>
  <c r="C482" i="4" a="1"/>
  <c r="C482" i="4"/>
  <c r="C483" i="4" a="1"/>
  <c r="C483" i="4" s="1"/>
  <c r="C484" i="4" a="1"/>
  <c r="C484" i="4" s="1"/>
  <c r="C485" i="4" a="1"/>
  <c r="C485" i="4" s="1"/>
  <c r="C486" i="4" a="1"/>
  <c r="C486" i="4" s="1"/>
  <c r="C487" i="4" a="1"/>
  <c r="C487" i="4" s="1"/>
  <c r="C488" i="4" a="1"/>
  <c r="C488" i="4" s="1"/>
  <c r="C489" i="4" a="1"/>
  <c r="C489" i="4" s="1"/>
  <c r="C490" i="4" a="1"/>
  <c r="C490" i="4"/>
  <c r="C491" i="4" a="1"/>
  <c r="C491" i="4" s="1"/>
  <c r="C492" i="4" a="1"/>
  <c r="C492" i="4" s="1"/>
  <c r="C493" i="4" a="1"/>
  <c r="C493" i="4" s="1"/>
  <c r="C494" i="4" a="1"/>
  <c r="C494" i="4" s="1"/>
  <c r="C495" i="4" a="1"/>
  <c r="C495" i="4" s="1"/>
  <c r="C496" i="4" a="1"/>
  <c r="C496" i="4" s="1"/>
  <c r="C497" i="4" a="1"/>
  <c r="C497" i="4" s="1"/>
  <c r="C498" i="4" a="1"/>
  <c r="C498" i="4"/>
  <c r="C499" i="4" a="1"/>
  <c r="C499" i="4" s="1"/>
  <c r="C500" i="4" a="1"/>
  <c r="C500" i="4" s="1"/>
  <c r="C501" i="4" a="1"/>
  <c r="C501" i="4" s="1"/>
  <c r="C502" i="4" a="1"/>
  <c r="C502" i="4" s="1"/>
  <c r="C503" i="4" a="1"/>
  <c r="C503" i="4" s="1"/>
  <c r="C504" i="4" a="1"/>
  <c r="C504" i="4" s="1"/>
  <c r="C505" i="4" a="1"/>
  <c r="C505" i="4" s="1"/>
  <c r="C506" i="4" a="1"/>
  <c r="C506" i="4" s="1"/>
  <c r="C507" i="4" a="1"/>
  <c r="C507" i="4" s="1"/>
  <c r="C508" i="4" a="1"/>
  <c r="C508" i="4" s="1"/>
  <c r="C509" i="4" a="1"/>
  <c r="C509" i="4" s="1"/>
  <c r="C510" i="4" a="1"/>
  <c r="C510" i="4" s="1"/>
  <c r="C511" i="4" a="1"/>
  <c r="C511" i="4" s="1"/>
  <c r="C512" i="4" a="1"/>
  <c r="C512" i="4" s="1"/>
  <c r="C513" i="4" a="1"/>
  <c r="C513" i="4" s="1"/>
  <c r="C514" i="4" a="1"/>
  <c r="C514" i="4" s="1"/>
  <c r="C515" i="4" a="1"/>
  <c r="C515" i="4" s="1"/>
  <c r="C516" i="4" a="1"/>
  <c r="C516" i="4" s="1"/>
  <c r="C517" i="4" a="1"/>
  <c r="C517" i="4" s="1"/>
  <c r="C518" i="4" a="1"/>
  <c r="C518" i="4" s="1"/>
  <c r="C519" i="4" a="1"/>
  <c r="C519" i="4" s="1"/>
  <c r="C520" i="4" a="1"/>
  <c r="C520" i="4" s="1"/>
  <c r="C2" i="4" a="1"/>
  <c r="C2" i="4" s="1"/>
  <c r="B3" i="4" a="1"/>
  <c r="B3" i="4" s="1"/>
  <c r="B4" i="4" a="1"/>
  <c r="B4" i="4" s="1"/>
  <c r="B5" i="4" a="1"/>
  <c r="B5" i="4" s="1"/>
  <c r="B6" i="4" a="1"/>
  <c r="B6" i="4" s="1"/>
  <c r="B7" i="4" a="1"/>
  <c r="B7" i="4" s="1"/>
  <c r="B8" i="4" a="1"/>
  <c r="B8" i="4" s="1"/>
  <c r="B9" i="4" a="1"/>
  <c r="B9" i="4" s="1"/>
  <c r="B10" i="4" a="1"/>
  <c r="B10" i="4" s="1"/>
  <c r="B11" i="4" a="1"/>
  <c r="B11" i="4" s="1"/>
  <c r="B12" i="4" a="1"/>
  <c r="B12" i="4" s="1"/>
  <c r="B13" i="4" a="1"/>
  <c r="B13" i="4" s="1"/>
  <c r="B14" i="4" a="1"/>
  <c r="B14" i="4" s="1"/>
  <c r="B15" i="4" a="1"/>
  <c r="B15" i="4" s="1"/>
  <c r="B16" i="4" a="1"/>
  <c r="B16" i="4" s="1"/>
  <c r="B17" i="4" a="1"/>
  <c r="B17" i="4" s="1"/>
  <c r="B18" i="4" a="1"/>
  <c r="B18" i="4" s="1"/>
  <c r="B19" i="4" a="1"/>
  <c r="B19" i="4" s="1"/>
  <c r="B20" i="4" a="1"/>
  <c r="B20" i="4" s="1"/>
  <c r="B21" i="4" a="1"/>
  <c r="B21" i="4" s="1"/>
  <c r="B22" i="4" a="1"/>
  <c r="B22" i="4" s="1"/>
  <c r="B23" i="4" a="1"/>
  <c r="B23" i="4" s="1"/>
  <c r="B24" i="4" a="1"/>
  <c r="B24" i="4" s="1"/>
  <c r="B25" i="4" a="1"/>
  <c r="B25" i="4" s="1"/>
  <c r="B26" i="4" a="1"/>
  <c r="B26" i="4" s="1"/>
  <c r="B27" i="4" a="1"/>
  <c r="B27" i="4" s="1"/>
  <c r="B28" i="4" a="1"/>
  <c r="B28" i="4" s="1"/>
  <c r="B29" i="4" a="1"/>
  <c r="B29" i="4" s="1"/>
  <c r="B30" i="4" a="1"/>
  <c r="B30" i="4" s="1"/>
  <c r="B31" i="4" a="1"/>
  <c r="B31" i="4" s="1"/>
  <c r="B32" i="4" a="1"/>
  <c r="B32" i="4" s="1"/>
  <c r="B33" i="4" a="1"/>
  <c r="B33" i="4" s="1"/>
  <c r="B34" i="4" a="1"/>
  <c r="B34" i="4" s="1"/>
  <c r="B35" i="4" a="1"/>
  <c r="B35" i="4" s="1"/>
  <c r="B36" i="4" a="1"/>
  <c r="B36" i="4" s="1"/>
  <c r="B37" i="4" a="1"/>
  <c r="B37" i="4" s="1"/>
  <c r="B38" i="4" a="1"/>
  <c r="B38" i="4" s="1"/>
  <c r="B39" i="4" a="1"/>
  <c r="B39" i="4" s="1"/>
  <c r="B40" i="4" a="1"/>
  <c r="B40" i="4" s="1"/>
  <c r="B41" i="4" a="1"/>
  <c r="B41" i="4" s="1"/>
  <c r="B42" i="4" a="1"/>
  <c r="B42" i="4" s="1"/>
  <c r="B43" i="4" a="1"/>
  <c r="B43" i="4" s="1"/>
  <c r="B44" i="4" a="1"/>
  <c r="B44" i="4" s="1"/>
  <c r="B45" i="4" a="1"/>
  <c r="B45" i="4" s="1"/>
  <c r="B46" i="4" a="1"/>
  <c r="B46" i="4" s="1"/>
  <c r="B47" i="4" a="1"/>
  <c r="B47" i="4" s="1"/>
  <c r="B48" i="4" a="1"/>
  <c r="B48" i="4" s="1"/>
  <c r="B49" i="4" a="1"/>
  <c r="B49" i="4" s="1"/>
  <c r="B50" i="4" a="1"/>
  <c r="B50" i="4" s="1"/>
  <c r="B51" i="4" a="1"/>
  <c r="B51" i="4" s="1"/>
  <c r="B52" i="4" a="1"/>
  <c r="B52" i="4" s="1"/>
  <c r="B53" i="4" a="1"/>
  <c r="B53" i="4" s="1"/>
  <c r="B54" i="4" a="1"/>
  <c r="B54" i="4" s="1"/>
  <c r="B55" i="4" a="1"/>
  <c r="B55" i="4" s="1"/>
  <c r="B56" i="4" a="1"/>
  <c r="B56" i="4" s="1"/>
  <c r="B57" i="4" a="1"/>
  <c r="B57" i="4" s="1"/>
  <c r="B58" i="4" a="1"/>
  <c r="B58" i="4" s="1"/>
  <c r="B59" i="4" a="1"/>
  <c r="B59" i="4" s="1"/>
  <c r="B60" i="4" a="1"/>
  <c r="B60" i="4" s="1"/>
  <c r="B61" i="4" a="1"/>
  <c r="B61" i="4" s="1"/>
  <c r="B62" i="4" a="1"/>
  <c r="B62" i="4" s="1"/>
  <c r="B63" i="4" a="1"/>
  <c r="B63" i="4" s="1"/>
  <c r="B64" i="4" a="1"/>
  <c r="B64" i="4" s="1"/>
  <c r="B65" i="4" a="1"/>
  <c r="B65" i="4" s="1"/>
  <c r="B66" i="4" a="1"/>
  <c r="B66" i="4" s="1"/>
  <c r="B67" i="4" a="1"/>
  <c r="B67" i="4" s="1"/>
  <c r="B68" i="4" a="1"/>
  <c r="B68" i="4" s="1"/>
  <c r="B69" i="4" a="1"/>
  <c r="B69" i="4" s="1"/>
  <c r="B70" i="4" a="1"/>
  <c r="B70" i="4" s="1"/>
  <c r="B71" i="4" a="1"/>
  <c r="B71" i="4" s="1"/>
  <c r="B72" i="4" a="1"/>
  <c r="B72" i="4" s="1"/>
  <c r="B73" i="4" a="1"/>
  <c r="B73" i="4" s="1"/>
  <c r="B74" i="4" a="1"/>
  <c r="B74" i="4" s="1"/>
  <c r="B75" i="4" a="1"/>
  <c r="B75" i="4" s="1"/>
  <c r="B76" i="4" a="1"/>
  <c r="B76" i="4" s="1"/>
  <c r="B77" i="4" a="1"/>
  <c r="B77" i="4" s="1"/>
  <c r="B78" i="4" a="1"/>
  <c r="B78" i="4" s="1"/>
  <c r="B79" i="4" a="1"/>
  <c r="B79" i="4" s="1"/>
  <c r="B80" i="4" a="1"/>
  <c r="B80" i="4" s="1"/>
  <c r="B81" i="4" a="1"/>
  <c r="B81" i="4" s="1"/>
  <c r="B82" i="4" a="1"/>
  <c r="B82" i="4" s="1"/>
  <c r="B83" i="4" a="1"/>
  <c r="B83" i="4" s="1"/>
  <c r="B84" i="4" a="1"/>
  <c r="B84" i="4" s="1"/>
  <c r="B85" i="4" a="1"/>
  <c r="B85" i="4" s="1"/>
  <c r="B86" i="4" a="1"/>
  <c r="B86" i="4" s="1"/>
  <c r="B87" i="4" a="1"/>
  <c r="B87" i="4" s="1"/>
  <c r="B88" i="4" a="1"/>
  <c r="B88" i="4" s="1"/>
  <c r="B89" i="4" a="1"/>
  <c r="B89" i="4" s="1"/>
  <c r="B90" i="4" a="1"/>
  <c r="B90" i="4" s="1"/>
  <c r="B91" i="4" a="1"/>
  <c r="B91" i="4" s="1"/>
  <c r="B92" i="4" a="1"/>
  <c r="B92" i="4" s="1"/>
  <c r="B93" i="4" a="1"/>
  <c r="B93" i="4" s="1"/>
  <c r="B94" i="4" a="1"/>
  <c r="B94" i="4" s="1"/>
  <c r="B95" i="4" a="1"/>
  <c r="B95" i="4" s="1"/>
  <c r="B96" i="4" a="1"/>
  <c r="B96" i="4" s="1"/>
  <c r="B97" i="4" a="1"/>
  <c r="B97" i="4" s="1"/>
  <c r="B98" i="4" a="1"/>
  <c r="B98" i="4" s="1"/>
  <c r="B99" i="4" a="1"/>
  <c r="B99" i="4" s="1"/>
  <c r="B100" i="4" a="1"/>
  <c r="B100" i="4" s="1"/>
  <c r="B101" i="4" a="1"/>
  <c r="B101" i="4" s="1"/>
  <c r="B102" i="4" a="1"/>
  <c r="B102" i="4" s="1"/>
  <c r="B103" i="4" a="1"/>
  <c r="B103" i="4" s="1"/>
  <c r="B104" i="4" a="1"/>
  <c r="B104" i="4" s="1"/>
  <c r="B105" i="4" a="1"/>
  <c r="B105" i="4" s="1"/>
  <c r="B106" i="4" a="1"/>
  <c r="B106" i="4" s="1"/>
  <c r="B107" i="4" a="1"/>
  <c r="B107" i="4" s="1"/>
  <c r="B108" i="4" a="1"/>
  <c r="B108" i="4" s="1"/>
  <c r="B109" i="4" a="1"/>
  <c r="B109" i="4" s="1"/>
  <c r="B110" i="4" a="1"/>
  <c r="B110" i="4" s="1"/>
  <c r="B111" i="4" a="1"/>
  <c r="B111" i="4" s="1"/>
  <c r="B112" i="4" a="1"/>
  <c r="B112" i="4" s="1"/>
  <c r="B113" i="4" a="1"/>
  <c r="B113" i="4" s="1"/>
  <c r="B114" i="4" a="1"/>
  <c r="B114" i="4" s="1"/>
  <c r="B115" i="4" a="1"/>
  <c r="B115" i="4" s="1"/>
  <c r="B116" i="4" a="1"/>
  <c r="B116" i="4" s="1"/>
  <c r="B117" i="4" a="1"/>
  <c r="B117" i="4" s="1"/>
  <c r="B118" i="4" a="1"/>
  <c r="B118" i="4" s="1"/>
  <c r="B119" i="4" a="1"/>
  <c r="B119" i="4" s="1"/>
  <c r="B120" i="4" a="1"/>
  <c r="B120" i="4" s="1"/>
  <c r="B121" i="4" a="1"/>
  <c r="B121" i="4" s="1"/>
  <c r="B122" i="4" a="1"/>
  <c r="B122" i="4" s="1"/>
  <c r="B123" i="4" a="1"/>
  <c r="B123" i="4" s="1"/>
  <c r="B124" i="4" a="1"/>
  <c r="B124" i="4" s="1"/>
  <c r="B125" i="4" a="1"/>
  <c r="B125" i="4" s="1"/>
  <c r="B126" i="4" a="1"/>
  <c r="B126" i="4" s="1"/>
  <c r="B127" i="4" a="1"/>
  <c r="B127" i="4" s="1"/>
  <c r="B128" i="4" a="1"/>
  <c r="B128" i="4" s="1"/>
  <c r="B129" i="4" a="1"/>
  <c r="B129" i="4" s="1"/>
  <c r="B130" i="4" a="1"/>
  <c r="B130" i="4" s="1"/>
  <c r="B131" i="4" a="1"/>
  <c r="B131" i="4" s="1"/>
  <c r="B132" i="4" a="1"/>
  <c r="B132" i="4" s="1"/>
  <c r="B133" i="4" a="1"/>
  <c r="B133" i="4" s="1"/>
  <c r="B134" i="4" a="1"/>
  <c r="B134" i="4" s="1"/>
  <c r="B135" i="4" a="1"/>
  <c r="B135" i="4" s="1"/>
  <c r="B136" i="4" a="1"/>
  <c r="B136" i="4" s="1"/>
  <c r="B137" i="4" a="1"/>
  <c r="B137" i="4" s="1"/>
  <c r="B138" i="4" a="1"/>
  <c r="B138" i="4" s="1"/>
  <c r="B139" i="4" a="1"/>
  <c r="B139" i="4" s="1"/>
  <c r="B140" i="4" a="1"/>
  <c r="B140" i="4" s="1"/>
  <c r="B141" i="4" a="1"/>
  <c r="B141" i="4" s="1"/>
  <c r="B142" i="4" a="1"/>
  <c r="B142" i="4" s="1"/>
  <c r="B143" i="4" a="1"/>
  <c r="B143" i="4" s="1"/>
  <c r="B144" i="4" a="1"/>
  <c r="B144" i="4" s="1"/>
  <c r="B145" i="4" a="1"/>
  <c r="B145" i="4" s="1"/>
  <c r="B146" i="4" a="1"/>
  <c r="B146" i="4" s="1"/>
  <c r="B147" i="4" a="1"/>
  <c r="B147" i="4" s="1"/>
  <c r="B148" i="4" a="1"/>
  <c r="B148" i="4" s="1"/>
  <c r="B149" i="4" a="1"/>
  <c r="B149" i="4" s="1"/>
  <c r="B150" i="4" a="1"/>
  <c r="B150" i="4" s="1"/>
  <c r="B151" i="4" a="1"/>
  <c r="B151" i="4" s="1"/>
  <c r="B152" i="4" a="1"/>
  <c r="B152" i="4" s="1"/>
  <c r="B153" i="4" a="1"/>
  <c r="B153" i="4" s="1"/>
  <c r="B154" i="4" a="1"/>
  <c r="B154" i="4" s="1"/>
  <c r="B155" i="4" a="1"/>
  <c r="B155" i="4" s="1"/>
  <c r="B156" i="4" a="1"/>
  <c r="B156" i="4" s="1"/>
  <c r="B157" i="4" a="1"/>
  <c r="B157" i="4" s="1"/>
  <c r="B158" i="4" a="1"/>
  <c r="B158" i="4" s="1"/>
  <c r="B159" i="4" a="1"/>
  <c r="B159" i="4" s="1"/>
  <c r="B160" i="4" a="1"/>
  <c r="B160" i="4" s="1"/>
  <c r="B161" i="4" a="1"/>
  <c r="B161" i="4" s="1"/>
  <c r="B162" i="4" a="1"/>
  <c r="B162" i="4" s="1"/>
  <c r="B163" i="4" a="1"/>
  <c r="B163" i="4" s="1"/>
  <c r="B164" i="4" a="1"/>
  <c r="B164" i="4" s="1"/>
  <c r="B165" i="4" a="1"/>
  <c r="B165" i="4" s="1"/>
  <c r="B166" i="4" a="1"/>
  <c r="B166" i="4" s="1"/>
  <c r="B167" i="4" a="1"/>
  <c r="B167" i="4" s="1"/>
  <c r="B168" i="4" a="1"/>
  <c r="B168" i="4" s="1"/>
  <c r="B169" i="4" a="1"/>
  <c r="B169" i="4" s="1"/>
  <c r="B170" i="4" a="1"/>
  <c r="B170" i="4" s="1"/>
  <c r="B171" i="4" a="1"/>
  <c r="B171" i="4" s="1"/>
  <c r="B172" i="4" a="1"/>
  <c r="B172" i="4" s="1"/>
  <c r="B173" i="4" a="1"/>
  <c r="B173" i="4" s="1"/>
  <c r="B174" i="4" a="1"/>
  <c r="B174" i="4" s="1"/>
  <c r="B175" i="4" a="1"/>
  <c r="B175" i="4" s="1"/>
  <c r="B176" i="4" a="1"/>
  <c r="B176" i="4" s="1"/>
  <c r="B177" i="4" a="1"/>
  <c r="B177" i="4" s="1"/>
  <c r="B178" i="4" a="1"/>
  <c r="B178" i="4" s="1"/>
  <c r="B179" i="4" a="1"/>
  <c r="B179" i="4" s="1"/>
  <c r="B180" i="4" a="1"/>
  <c r="B180" i="4" s="1"/>
  <c r="B181" i="4" a="1"/>
  <c r="B181" i="4" s="1"/>
  <c r="B182" i="4" a="1"/>
  <c r="B182" i="4" s="1"/>
  <c r="B183" i="4" a="1"/>
  <c r="B183" i="4" s="1"/>
  <c r="B184" i="4" a="1"/>
  <c r="B184" i="4" s="1"/>
  <c r="B185" i="4" a="1"/>
  <c r="B185" i="4" s="1"/>
  <c r="B186" i="4" a="1"/>
  <c r="B186" i="4" s="1"/>
  <c r="B187" i="4" a="1"/>
  <c r="B187" i="4" s="1"/>
  <c r="B188" i="4" a="1"/>
  <c r="B188" i="4" s="1"/>
  <c r="B189" i="4" a="1"/>
  <c r="B189" i="4" s="1"/>
  <c r="B190" i="4" a="1"/>
  <c r="B190" i="4" s="1"/>
  <c r="B191" i="4" a="1"/>
  <c r="B191" i="4" s="1"/>
  <c r="B192" i="4" a="1"/>
  <c r="B192" i="4" s="1"/>
  <c r="B193" i="4" a="1"/>
  <c r="B193" i="4" s="1"/>
  <c r="B194" i="4" a="1"/>
  <c r="B194" i="4" s="1"/>
  <c r="B195" i="4" a="1"/>
  <c r="B195" i="4" s="1"/>
  <c r="B196" i="4" a="1"/>
  <c r="B196" i="4" s="1"/>
  <c r="B197" i="4" a="1"/>
  <c r="B197" i="4" s="1"/>
  <c r="B198" i="4" a="1"/>
  <c r="B198" i="4" s="1"/>
  <c r="B199" i="4" a="1"/>
  <c r="B199" i="4" s="1"/>
  <c r="B200" i="4" a="1"/>
  <c r="B200" i="4" s="1"/>
  <c r="B201" i="4" a="1"/>
  <c r="B201" i="4" s="1"/>
  <c r="B202" i="4" a="1"/>
  <c r="B202" i="4" s="1"/>
  <c r="B203" i="4" a="1"/>
  <c r="B203" i="4" s="1"/>
  <c r="B204" i="4" a="1"/>
  <c r="B204" i="4" s="1"/>
  <c r="B205" i="4" a="1"/>
  <c r="B205" i="4" s="1"/>
  <c r="B206" i="4" a="1"/>
  <c r="B206" i="4" s="1"/>
  <c r="B207" i="4" a="1"/>
  <c r="B207" i="4" s="1"/>
  <c r="B208" i="4" a="1"/>
  <c r="B208" i="4" s="1"/>
  <c r="B209" i="4" a="1"/>
  <c r="B209" i="4" s="1"/>
  <c r="B210" i="4" a="1"/>
  <c r="B210" i="4" s="1"/>
  <c r="B211" i="4" a="1"/>
  <c r="B211" i="4" s="1"/>
  <c r="B212" i="4" a="1"/>
  <c r="B212" i="4" s="1"/>
  <c r="B213" i="4" a="1"/>
  <c r="B213" i="4" s="1"/>
  <c r="B214" i="4" a="1"/>
  <c r="B214" i="4" s="1"/>
  <c r="B215" i="4" a="1"/>
  <c r="B215" i="4" s="1"/>
  <c r="B216" i="4" a="1"/>
  <c r="B216" i="4" s="1"/>
  <c r="B217" i="4" a="1"/>
  <c r="B217" i="4" s="1"/>
  <c r="B218" i="4" a="1"/>
  <c r="B218" i="4" s="1"/>
  <c r="B219" i="4" a="1"/>
  <c r="B219" i="4" s="1"/>
  <c r="B220" i="4" a="1"/>
  <c r="B220" i="4" s="1"/>
  <c r="B221" i="4" a="1"/>
  <c r="B221" i="4" s="1"/>
  <c r="B222" i="4" a="1"/>
  <c r="B222" i="4" s="1"/>
  <c r="B223" i="4" a="1"/>
  <c r="B223" i="4" s="1"/>
  <c r="B224" i="4" a="1"/>
  <c r="B224" i="4" s="1"/>
  <c r="B225" i="4" a="1"/>
  <c r="B225" i="4" s="1"/>
  <c r="B226" i="4" a="1"/>
  <c r="B226" i="4" s="1"/>
  <c r="B227" i="4" a="1"/>
  <c r="B227" i="4" s="1"/>
  <c r="B228" i="4" a="1"/>
  <c r="B228" i="4" s="1"/>
  <c r="B229" i="4" a="1"/>
  <c r="B229" i="4" s="1"/>
  <c r="B230" i="4" a="1"/>
  <c r="B230" i="4" s="1"/>
  <c r="B231" i="4" a="1"/>
  <c r="B231" i="4" s="1"/>
  <c r="B232" i="4" a="1"/>
  <c r="B232" i="4" s="1"/>
  <c r="B233" i="4" a="1"/>
  <c r="B233" i="4" s="1"/>
  <c r="B234" i="4" a="1"/>
  <c r="B234" i="4" s="1"/>
  <c r="B235" i="4" a="1"/>
  <c r="B235" i="4" s="1"/>
  <c r="B236" i="4" a="1"/>
  <c r="B236" i="4" s="1"/>
  <c r="B237" i="4" a="1"/>
  <c r="B237" i="4" s="1"/>
  <c r="B238" i="4" a="1"/>
  <c r="B238" i="4" s="1"/>
  <c r="B239" i="4" a="1"/>
  <c r="B239" i="4" s="1"/>
  <c r="B240" i="4" a="1"/>
  <c r="B240" i="4" s="1"/>
  <c r="B241" i="4" a="1"/>
  <c r="B241" i="4" s="1"/>
  <c r="B242" i="4" a="1"/>
  <c r="B242" i="4" s="1"/>
  <c r="B243" i="4" a="1"/>
  <c r="B243" i="4" s="1"/>
  <c r="B244" i="4" a="1"/>
  <c r="B244" i="4" s="1"/>
  <c r="B245" i="4" a="1"/>
  <c r="B245" i="4" s="1"/>
  <c r="B246" i="4" a="1"/>
  <c r="B246" i="4" s="1"/>
  <c r="B247" i="4" a="1"/>
  <c r="B247" i="4" s="1"/>
  <c r="B248" i="4" a="1"/>
  <c r="B248" i="4" s="1"/>
  <c r="B249" i="4" a="1"/>
  <c r="B249" i="4" s="1"/>
  <c r="B250" i="4" a="1"/>
  <c r="B250" i="4" s="1"/>
  <c r="B251" i="4" a="1"/>
  <c r="B251" i="4" s="1"/>
  <c r="B252" i="4" a="1"/>
  <c r="B252" i="4" s="1"/>
  <c r="B253" i="4" a="1"/>
  <c r="B253" i="4" s="1"/>
  <c r="B254" i="4" a="1"/>
  <c r="B254" i="4" s="1"/>
  <c r="B255" i="4" a="1"/>
  <c r="B255" i="4" s="1"/>
  <c r="B256" i="4" a="1"/>
  <c r="B256" i="4" s="1"/>
  <c r="B257" i="4" a="1"/>
  <c r="B257" i="4" s="1"/>
  <c r="B258" i="4" a="1"/>
  <c r="B258" i="4" s="1"/>
  <c r="B259" i="4" a="1"/>
  <c r="B259" i="4" s="1"/>
  <c r="B260" i="4" a="1"/>
  <c r="B260" i="4" s="1"/>
  <c r="B261" i="4" a="1"/>
  <c r="B261" i="4" s="1"/>
  <c r="B262" i="4" a="1"/>
  <c r="B262" i="4" s="1"/>
  <c r="B263" i="4" a="1"/>
  <c r="B263" i="4" s="1"/>
  <c r="B264" i="4" a="1"/>
  <c r="B264" i="4" s="1"/>
  <c r="B265" i="4" a="1"/>
  <c r="B265" i="4" s="1"/>
  <c r="B266" i="4" a="1"/>
  <c r="B266" i="4" s="1"/>
  <c r="B267" i="4" a="1"/>
  <c r="B267" i="4" s="1"/>
  <c r="B268" i="4" a="1"/>
  <c r="B268" i="4" s="1"/>
  <c r="B269" i="4" a="1"/>
  <c r="B269" i="4" s="1"/>
  <c r="B270" i="4" a="1"/>
  <c r="B270" i="4" s="1"/>
  <c r="B271" i="4" a="1"/>
  <c r="B271" i="4" s="1"/>
  <c r="B272" i="4" a="1"/>
  <c r="B272" i="4" s="1"/>
  <c r="B273" i="4" a="1"/>
  <c r="B273" i="4" s="1"/>
  <c r="B274" i="4" a="1"/>
  <c r="B274" i="4" s="1"/>
  <c r="B275" i="4" a="1"/>
  <c r="B275" i="4" s="1"/>
  <c r="B276" i="4" a="1"/>
  <c r="B276" i="4" s="1"/>
  <c r="B277" i="4" a="1"/>
  <c r="B277" i="4" s="1"/>
  <c r="B278" i="4" a="1"/>
  <c r="B278" i="4" s="1"/>
  <c r="B279" i="4" a="1"/>
  <c r="B279" i="4" s="1"/>
  <c r="B280" i="4" a="1"/>
  <c r="B280" i="4" s="1"/>
  <c r="B281" i="4" a="1"/>
  <c r="B281" i="4" s="1"/>
  <c r="B282" i="4" a="1"/>
  <c r="B282" i="4" s="1"/>
  <c r="B283" i="4" a="1"/>
  <c r="B283" i="4" s="1"/>
  <c r="B284" i="4" a="1"/>
  <c r="B284" i="4" s="1"/>
  <c r="B285" i="4" a="1"/>
  <c r="B285" i="4" s="1"/>
  <c r="B286" i="4" a="1"/>
  <c r="B286" i="4" s="1"/>
  <c r="B287" i="4" a="1"/>
  <c r="B287" i="4" s="1"/>
  <c r="B288" i="4" a="1"/>
  <c r="B288" i="4" s="1"/>
  <c r="B289" i="4" a="1"/>
  <c r="B289" i="4" s="1"/>
  <c r="B290" i="4" a="1"/>
  <c r="B290" i="4" s="1"/>
  <c r="B291" i="4" a="1"/>
  <c r="B291" i="4" s="1"/>
  <c r="B292" i="4" a="1"/>
  <c r="B292" i="4" s="1"/>
  <c r="B293" i="4" a="1"/>
  <c r="B293" i="4" s="1"/>
  <c r="B294" i="4" a="1"/>
  <c r="B294" i="4" s="1"/>
  <c r="B295" i="4" a="1"/>
  <c r="B295" i="4" s="1"/>
  <c r="B296" i="4" a="1"/>
  <c r="B296" i="4" s="1"/>
  <c r="B297" i="4" a="1"/>
  <c r="B297" i="4" s="1"/>
  <c r="B298" i="4" a="1"/>
  <c r="B298" i="4" s="1"/>
  <c r="B299" i="4" a="1"/>
  <c r="B299" i="4" s="1"/>
  <c r="B300" i="4" a="1"/>
  <c r="B300" i="4" s="1"/>
  <c r="B301" i="4" a="1"/>
  <c r="B301" i="4" s="1"/>
  <c r="B302" i="4" a="1"/>
  <c r="B302" i="4" s="1"/>
  <c r="B303" i="4" a="1"/>
  <c r="B303" i="4" s="1"/>
  <c r="B304" i="4" a="1"/>
  <c r="B304" i="4" s="1"/>
  <c r="B305" i="4" a="1"/>
  <c r="B305" i="4" s="1"/>
  <c r="B306" i="4" a="1"/>
  <c r="B306" i="4" s="1"/>
  <c r="B307" i="4" a="1"/>
  <c r="B307" i="4" s="1"/>
  <c r="B308" i="4" a="1"/>
  <c r="B308" i="4" s="1"/>
  <c r="B309" i="4" a="1"/>
  <c r="B309" i="4" s="1"/>
  <c r="B310" i="4" a="1"/>
  <c r="B310" i="4" s="1"/>
  <c r="B311" i="4" a="1"/>
  <c r="B311" i="4" s="1"/>
  <c r="B312" i="4" a="1"/>
  <c r="B312" i="4" s="1"/>
  <c r="B313" i="4" a="1"/>
  <c r="B313" i="4" s="1"/>
  <c r="B314" i="4" a="1"/>
  <c r="B314" i="4" s="1"/>
  <c r="B315" i="4" a="1"/>
  <c r="B315" i="4" s="1"/>
  <c r="B316" i="4" a="1"/>
  <c r="B316" i="4" s="1"/>
  <c r="B317" i="4" a="1"/>
  <c r="B317" i="4" s="1"/>
  <c r="B318" i="4" a="1"/>
  <c r="B318" i="4" s="1"/>
  <c r="B319" i="4" a="1"/>
  <c r="B319" i="4" s="1"/>
  <c r="B320" i="4" a="1"/>
  <c r="B320" i="4" s="1"/>
  <c r="B321" i="4" a="1"/>
  <c r="B321" i="4" s="1"/>
  <c r="B322" i="4" a="1"/>
  <c r="B322" i="4" s="1"/>
  <c r="B323" i="4" a="1"/>
  <c r="B323" i="4" s="1"/>
  <c r="B324" i="4" a="1"/>
  <c r="B324" i="4" s="1"/>
  <c r="B325" i="4" a="1"/>
  <c r="B325" i="4" s="1"/>
  <c r="B326" i="4" a="1"/>
  <c r="B326" i="4" s="1"/>
  <c r="B327" i="4" a="1"/>
  <c r="B327" i="4" s="1"/>
  <c r="B328" i="4" a="1"/>
  <c r="B328" i="4" s="1"/>
  <c r="B329" i="4" a="1"/>
  <c r="B329" i="4" s="1"/>
  <c r="B330" i="4" a="1"/>
  <c r="B330" i="4" s="1"/>
  <c r="B331" i="4" a="1"/>
  <c r="B331" i="4" s="1"/>
  <c r="B332" i="4" a="1"/>
  <c r="B332" i="4" s="1"/>
  <c r="B333" i="4" a="1"/>
  <c r="B333" i="4" s="1"/>
  <c r="B334" i="4" a="1"/>
  <c r="B334" i="4" s="1"/>
  <c r="B335" i="4" a="1"/>
  <c r="B335" i="4" s="1"/>
  <c r="B336" i="4" a="1"/>
  <c r="B336" i="4" s="1"/>
  <c r="B337" i="4" a="1"/>
  <c r="B337" i="4" s="1"/>
  <c r="B338" i="4" a="1"/>
  <c r="B338" i="4" s="1"/>
  <c r="B339" i="4" a="1"/>
  <c r="B339" i="4" s="1"/>
  <c r="B340" i="4" a="1"/>
  <c r="B340" i="4" s="1"/>
  <c r="B341" i="4" a="1"/>
  <c r="B341" i="4" s="1"/>
  <c r="B342" i="4" a="1"/>
  <c r="B342" i="4" s="1"/>
  <c r="B343" i="4" a="1"/>
  <c r="B343" i="4" s="1"/>
  <c r="B344" i="4" a="1"/>
  <c r="B344" i="4" s="1"/>
  <c r="B345" i="4" a="1"/>
  <c r="B345" i="4" s="1"/>
  <c r="B346" i="4" a="1"/>
  <c r="B346" i="4" s="1"/>
  <c r="B347" i="4" a="1"/>
  <c r="B347" i="4" s="1"/>
  <c r="B348" i="4" a="1"/>
  <c r="B348" i="4" s="1"/>
  <c r="B349" i="4" a="1"/>
  <c r="B349" i="4" s="1"/>
  <c r="B350" i="4" a="1"/>
  <c r="B350" i="4" s="1"/>
  <c r="B351" i="4" a="1"/>
  <c r="B351" i="4" s="1"/>
  <c r="B352" i="4" a="1"/>
  <c r="B352" i="4" s="1"/>
  <c r="B353" i="4" a="1"/>
  <c r="B353" i="4" s="1"/>
  <c r="B354" i="4" a="1"/>
  <c r="B354" i="4" s="1"/>
  <c r="B355" i="4" a="1"/>
  <c r="B355" i="4" s="1"/>
  <c r="B356" i="4" a="1"/>
  <c r="B356" i="4" s="1"/>
  <c r="B357" i="4" a="1"/>
  <c r="B357" i="4" s="1"/>
  <c r="B358" i="4" a="1"/>
  <c r="B358" i="4" s="1"/>
  <c r="B359" i="4" a="1"/>
  <c r="B359" i="4" s="1"/>
  <c r="B360" i="4" a="1"/>
  <c r="B360" i="4" s="1"/>
  <c r="B361" i="4" a="1"/>
  <c r="B361" i="4" s="1"/>
  <c r="B362" i="4" a="1"/>
  <c r="B362" i="4" s="1"/>
  <c r="B363" i="4" a="1"/>
  <c r="B363" i="4" s="1"/>
  <c r="B364" i="4" a="1"/>
  <c r="B364" i="4" s="1"/>
  <c r="B365" i="4" a="1"/>
  <c r="B365" i="4" s="1"/>
  <c r="B366" i="4" a="1"/>
  <c r="B366" i="4" s="1"/>
  <c r="B367" i="4" a="1"/>
  <c r="B367" i="4" s="1"/>
  <c r="B368" i="4" a="1"/>
  <c r="B368" i="4" s="1"/>
  <c r="B369" i="4" a="1"/>
  <c r="B369" i="4" s="1"/>
  <c r="B370" i="4" a="1"/>
  <c r="B370" i="4" s="1"/>
  <c r="B371" i="4" a="1"/>
  <c r="B371" i="4" s="1"/>
  <c r="B372" i="4" a="1"/>
  <c r="B372" i="4" s="1"/>
  <c r="B373" i="4" a="1"/>
  <c r="B373" i="4" s="1"/>
  <c r="B374" i="4" a="1"/>
  <c r="B374" i="4" s="1"/>
  <c r="B375" i="4" a="1"/>
  <c r="B375" i="4" s="1"/>
  <c r="B376" i="4" a="1"/>
  <c r="B376" i="4" s="1"/>
  <c r="B377" i="4" a="1"/>
  <c r="B377" i="4" s="1"/>
  <c r="B378" i="4" a="1"/>
  <c r="B378" i="4" s="1"/>
  <c r="B379" i="4" a="1"/>
  <c r="B379" i="4" s="1"/>
  <c r="B380" i="4" a="1"/>
  <c r="B380" i="4" s="1"/>
  <c r="B381" i="4" a="1"/>
  <c r="B381" i="4" s="1"/>
  <c r="B382" i="4" a="1"/>
  <c r="B382" i="4" s="1"/>
  <c r="B383" i="4" a="1"/>
  <c r="B383" i="4" s="1"/>
  <c r="B384" i="4" a="1"/>
  <c r="B384" i="4" s="1"/>
  <c r="B385" i="4" a="1"/>
  <c r="B385" i="4" s="1"/>
  <c r="B386" i="4" a="1"/>
  <c r="B386" i="4" s="1"/>
  <c r="B387" i="4" a="1"/>
  <c r="B387" i="4" s="1"/>
  <c r="B388" i="4" a="1"/>
  <c r="B388" i="4" s="1"/>
  <c r="B389" i="4" a="1"/>
  <c r="B389" i="4" s="1"/>
  <c r="B390" i="4" a="1"/>
  <c r="B390" i="4" s="1"/>
  <c r="B391" i="4" a="1"/>
  <c r="B391" i="4" s="1"/>
  <c r="B392" i="4" a="1"/>
  <c r="B392" i="4" s="1"/>
  <c r="B393" i="4" a="1"/>
  <c r="B393" i="4" s="1"/>
  <c r="B394" i="4" a="1"/>
  <c r="B394" i="4" s="1"/>
  <c r="B395" i="4" a="1"/>
  <c r="B395" i="4" s="1"/>
  <c r="B396" i="4" a="1"/>
  <c r="B396" i="4" s="1"/>
  <c r="B397" i="4" a="1"/>
  <c r="B397" i="4" s="1"/>
  <c r="B398" i="4" a="1"/>
  <c r="B398" i="4" s="1"/>
  <c r="B399" i="4" a="1"/>
  <c r="B399" i="4" s="1"/>
  <c r="B400" i="4" a="1"/>
  <c r="B400" i="4" s="1"/>
  <c r="B401" i="4" a="1"/>
  <c r="B401" i="4" s="1"/>
  <c r="B402" i="4" a="1"/>
  <c r="B402" i="4" s="1"/>
  <c r="B403" i="4" a="1"/>
  <c r="B403" i="4" s="1"/>
  <c r="B404" i="4" a="1"/>
  <c r="B404" i="4" s="1"/>
  <c r="B405" i="4" a="1"/>
  <c r="B405" i="4" s="1"/>
  <c r="B406" i="4" a="1"/>
  <c r="B406" i="4" s="1"/>
  <c r="B407" i="4" a="1"/>
  <c r="B407" i="4" s="1"/>
  <c r="B408" i="4" a="1"/>
  <c r="B408" i="4" s="1"/>
  <c r="B409" i="4" a="1"/>
  <c r="B409" i="4" s="1"/>
  <c r="B410" i="4" a="1"/>
  <c r="B410" i="4" s="1"/>
  <c r="B411" i="4" a="1"/>
  <c r="B411" i="4" s="1"/>
  <c r="B412" i="4" a="1"/>
  <c r="B412" i="4" s="1"/>
  <c r="B413" i="4" a="1"/>
  <c r="B413" i="4" s="1"/>
  <c r="B414" i="4" a="1"/>
  <c r="B414" i="4" s="1"/>
  <c r="B415" i="4" a="1"/>
  <c r="B415" i="4" s="1"/>
  <c r="B416" i="4" a="1"/>
  <c r="B416" i="4" s="1"/>
  <c r="B417" i="4" a="1"/>
  <c r="B417" i="4" s="1"/>
  <c r="B418" i="4" a="1"/>
  <c r="B418" i="4" s="1"/>
  <c r="B419" i="4" a="1"/>
  <c r="B419" i="4" s="1"/>
  <c r="B420" i="4" a="1"/>
  <c r="B420" i="4" s="1"/>
  <c r="B421" i="4" a="1"/>
  <c r="B421" i="4" s="1"/>
  <c r="B422" i="4" a="1"/>
  <c r="B422" i="4" s="1"/>
  <c r="B423" i="4" a="1"/>
  <c r="B423" i="4" s="1"/>
  <c r="B424" i="4" a="1"/>
  <c r="B424" i="4" s="1"/>
  <c r="B425" i="4" a="1"/>
  <c r="B425" i="4" s="1"/>
  <c r="B426" i="4" a="1"/>
  <c r="B426" i="4" s="1"/>
  <c r="B427" i="4" a="1"/>
  <c r="B427" i="4" s="1"/>
  <c r="B428" i="4" a="1"/>
  <c r="B428" i="4" s="1"/>
  <c r="B429" i="4" a="1"/>
  <c r="B429" i="4" s="1"/>
  <c r="B430" i="4" a="1"/>
  <c r="B430" i="4" s="1"/>
  <c r="B431" i="4" a="1"/>
  <c r="B431" i="4" s="1"/>
  <c r="B432" i="4" a="1"/>
  <c r="B432" i="4" s="1"/>
  <c r="B433" i="4" a="1"/>
  <c r="B433" i="4" s="1"/>
  <c r="B434" i="4" a="1"/>
  <c r="B434" i="4" s="1"/>
  <c r="B435" i="4" a="1"/>
  <c r="B435" i="4" s="1"/>
  <c r="B436" i="4" a="1"/>
  <c r="B436" i="4" s="1"/>
  <c r="B437" i="4" a="1"/>
  <c r="B437" i="4" s="1"/>
  <c r="B438" i="4" a="1"/>
  <c r="B438" i="4" s="1"/>
  <c r="B439" i="4" a="1"/>
  <c r="B439" i="4" s="1"/>
  <c r="B440" i="4" a="1"/>
  <c r="B440" i="4" s="1"/>
  <c r="B441" i="4" a="1"/>
  <c r="B441" i="4" s="1"/>
  <c r="B442" i="4" a="1"/>
  <c r="B442" i="4" s="1"/>
  <c r="B443" i="4" a="1"/>
  <c r="B443" i="4" s="1"/>
  <c r="B444" i="4" a="1"/>
  <c r="B444" i="4" s="1"/>
  <c r="B445" i="4" a="1"/>
  <c r="B445" i="4" s="1"/>
  <c r="B446" i="4" a="1"/>
  <c r="B446" i="4" s="1"/>
  <c r="B447" i="4" a="1"/>
  <c r="B447" i="4" s="1"/>
  <c r="B448" i="4" a="1"/>
  <c r="B448" i="4" s="1"/>
  <c r="B449" i="4" a="1"/>
  <c r="B449" i="4" s="1"/>
  <c r="B450" i="4" a="1"/>
  <c r="B450" i="4" s="1"/>
  <c r="B451" i="4" a="1"/>
  <c r="B451" i="4" s="1"/>
  <c r="B452" i="4" a="1"/>
  <c r="B452" i="4" s="1"/>
  <c r="B453" i="4" a="1"/>
  <c r="B453" i="4" s="1"/>
  <c r="B454" i="4" a="1"/>
  <c r="B454" i="4" s="1"/>
  <c r="B455" i="4" a="1"/>
  <c r="B455" i="4" s="1"/>
  <c r="B456" i="4" a="1"/>
  <c r="B456" i="4" s="1"/>
  <c r="B457" i="4" a="1"/>
  <c r="B457" i="4" s="1"/>
  <c r="B458" i="4" a="1"/>
  <c r="B458" i="4" s="1"/>
  <c r="B459" i="4" a="1"/>
  <c r="B459" i="4" s="1"/>
  <c r="B460" i="4" a="1"/>
  <c r="B460" i="4" s="1"/>
  <c r="B461" i="4" a="1"/>
  <c r="B461" i="4" s="1"/>
  <c r="B462" i="4" a="1"/>
  <c r="B462" i="4" s="1"/>
  <c r="B463" i="4" a="1"/>
  <c r="B463" i="4" s="1"/>
  <c r="B464" i="4" a="1"/>
  <c r="B464" i="4" s="1"/>
  <c r="B465" i="4" a="1"/>
  <c r="B465" i="4" s="1"/>
  <c r="B466" i="4" a="1"/>
  <c r="B466" i="4" s="1"/>
  <c r="B467" i="4" a="1"/>
  <c r="B467" i="4" s="1"/>
  <c r="B468" i="4" a="1"/>
  <c r="B468" i="4" s="1"/>
  <c r="B469" i="4" a="1"/>
  <c r="B469" i="4" s="1"/>
  <c r="B470" i="4" a="1"/>
  <c r="B470" i="4" s="1"/>
  <c r="B471" i="4" a="1"/>
  <c r="B471" i="4" s="1"/>
  <c r="B472" i="4" a="1"/>
  <c r="B472" i="4" s="1"/>
  <c r="B473" i="4" a="1"/>
  <c r="B473" i="4" s="1"/>
  <c r="B474" i="4" a="1"/>
  <c r="B474" i="4" s="1"/>
  <c r="B475" i="4" a="1"/>
  <c r="B475" i="4" s="1"/>
  <c r="B476" i="4" a="1"/>
  <c r="B476" i="4" s="1"/>
  <c r="B477" i="4" a="1"/>
  <c r="B477" i="4" s="1"/>
  <c r="B478" i="4" a="1"/>
  <c r="B478" i="4" s="1"/>
  <c r="B479" i="4" a="1"/>
  <c r="B479" i="4" s="1"/>
  <c r="B480" i="4" a="1"/>
  <c r="B480" i="4" s="1"/>
  <c r="B481" i="4" a="1"/>
  <c r="B481" i="4" s="1"/>
  <c r="B482" i="4" a="1"/>
  <c r="B482" i="4" s="1"/>
  <c r="B483" i="4" a="1"/>
  <c r="B483" i="4" s="1"/>
  <c r="B484" i="4" a="1"/>
  <c r="B484" i="4" s="1"/>
  <c r="B485" i="4" a="1"/>
  <c r="B485" i="4" s="1"/>
  <c r="B486" i="4" a="1"/>
  <c r="B486" i="4" s="1"/>
  <c r="B487" i="4" a="1"/>
  <c r="B487" i="4" s="1"/>
  <c r="B488" i="4" a="1"/>
  <c r="B488" i="4" s="1"/>
  <c r="B489" i="4" a="1"/>
  <c r="B489" i="4" s="1"/>
  <c r="B490" i="4" a="1"/>
  <c r="B490" i="4" s="1"/>
  <c r="B491" i="4" a="1"/>
  <c r="B491" i="4" s="1"/>
  <c r="B492" i="4" a="1"/>
  <c r="B492" i="4" s="1"/>
  <c r="B493" i="4" a="1"/>
  <c r="B493" i="4" s="1"/>
  <c r="B494" i="4" a="1"/>
  <c r="B494" i="4" s="1"/>
  <c r="B495" i="4" a="1"/>
  <c r="B495" i="4" s="1"/>
  <c r="B496" i="4" a="1"/>
  <c r="B496" i="4" s="1"/>
  <c r="B497" i="4" a="1"/>
  <c r="B497" i="4" s="1"/>
  <c r="B498" i="4" a="1"/>
  <c r="B498" i="4" s="1"/>
  <c r="B499" i="4" a="1"/>
  <c r="B499" i="4" s="1"/>
  <c r="B500" i="4" a="1"/>
  <c r="B500" i="4" s="1"/>
  <c r="B501" i="4" a="1"/>
  <c r="B501" i="4" s="1"/>
  <c r="B502" i="4" a="1"/>
  <c r="B502" i="4" s="1"/>
  <c r="B503" i="4" a="1"/>
  <c r="B503" i="4" s="1"/>
  <c r="B504" i="4" a="1"/>
  <c r="B504" i="4" s="1"/>
  <c r="B505" i="4" a="1"/>
  <c r="B505" i="4" s="1"/>
  <c r="B506" i="4" a="1"/>
  <c r="B506" i="4" s="1"/>
  <c r="B507" i="4" a="1"/>
  <c r="B507" i="4" s="1"/>
  <c r="B508" i="4" a="1"/>
  <c r="B508" i="4" s="1"/>
  <c r="B509" i="4" a="1"/>
  <c r="B509" i="4" s="1"/>
  <c r="B510" i="4" a="1"/>
  <c r="B510" i="4" s="1"/>
  <c r="B511" i="4" a="1"/>
  <c r="B511" i="4" s="1"/>
  <c r="B512" i="4" a="1"/>
  <c r="B512" i="4" s="1"/>
  <c r="B513" i="4" a="1"/>
  <c r="B513" i="4" s="1"/>
  <c r="B514" i="4" a="1"/>
  <c r="B514" i="4" s="1"/>
  <c r="B515" i="4" a="1"/>
  <c r="B515" i="4" s="1"/>
  <c r="B516" i="4" a="1"/>
  <c r="B516" i="4" s="1"/>
  <c r="B517" i="4" a="1"/>
  <c r="B517" i="4" s="1"/>
  <c r="B518" i="4" a="1"/>
  <c r="B518" i="4" s="1"/>
  <c r="B519" i="4" a="1"/>
  <c r="B519" i="4" s="1"/>
  <c r="B520" i="4" a="1"/>
  <c r="B520" i="4" s="1"/>
  <c r="L4" i="3"/>
  <c r="L5" i="3"/>
  <c r="L6" i="3"/>
  <c r="L7" i="3"/>
  <c r="L8" i="3"/>
  <c r="L9" i="3"/>
  <c r="L10" i="3"/>
  <c r="L11" i="3"/>
  <c r="L12" i="3"/>
  <c r="L14" i="3"/>
  <c r="L16" i="3"/>
  <c r="L17" i="3"/>
  <c r="L18" i="3"/>
  <c r="L19" i="3"/>
  <c r="L20" i="3"/>
  <c r="L21" i="3"/>
  <c r="L22" i="3"/>
  <c r="L23" i="3"/>
  <c r="L25" i="3"/>
  <c r="L26" i="3"/>
  <c r="L27" i="3"/>
  <c r="L28" i="3"/>
  <c r="L29" i="3"/>
  <c r="L31" i="3"/>
  <c r="L32" i="3"/>
  <c r="L33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8" i="3"/>
  <c r="L159" i="3"/>
  <c r="L160" i="3"/>
  <c r="L161" i="3"/>
  <c r="L162" i="3"/>
  <c r="L163" i="3"/>
  <c r="L164" i="3"/>
  <c r="L165" i="3"/>
  <c r="L166" i="3"/>
  <c r="L168" i="3"/>
  <c r="L169" i="3"/>
  <c r="L170" i="3"/>
  <c r="L171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3" i="3"/>
  <c r="L4" i="1"/>
  <c r="B2" i="2" a="1"/>
  <c r="B2" i="2" s="1"/>
  <c r="C5" i="2" a="1"/>
  <c r="C5" i="2" s="1"/>
  <c r="L3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2" i="1"/>
  <c r="E3" i="2" a="1"/>
  <c r="E3" i="2" s="1"/>
  <c r="E4" i="2" a="1"/>
  <c r="E4" i="2" s="1"/>
  <c r="E5" i="2" a="1"/>
  <c r="E5" i="2" s="1"/>
  <c r="E6" i="2" a="1"/>
  <c r="E6" i="2" s="1"/>
  <c r="E7" i="2" a="1"/>
  <c r="E7" i="2" s="1"/>
  <c r="E8" i="2" a="1"/>
  <c r="E8" i="2" s="1"/>
  <c r="E9" i="2" a="1"/>
  <c r="E9" i="2" s="1"/>
  <c r="E10" i="2" a="1"/>
  <c r="E10" i="2" s="1"/>
  <c r="E11" i="2" a="1"/>
  <c r="E11" i="2" s="1"/>
  <c r="E12" i="2" a="1"/>
  <c r="E12" i="2" s="1"/>
  <c r="E13" i="2" a="1"/>
  <c r="E13" i="2" s="1"/>
  <c r="E14" i="2" a="1"/>
  <c r="E14" i="2" s="1"/>
  <c r="E15" i="2" a="1"/>
  <c r="E15" i="2" s="1"/>
  <c r="E16" i="2" a="1"/>
  <c r="E16" i="2" s="1"/>
  <c r="E17" i="2" a="1"/>
  <c r="E17" i="2" s="1"/>
  <c r="E18" i="2" a="1"/>
  <c r="E18" i="2" s="1"/>
  <c r="E19" i="2" a="1"/>
  <c r="E19" i="2" s="1"/>
  <c r="E20" i="2" a="1"/>
  <c r="E20" i="2" s="1"/>
  <c r="E21" i="2" a="1"/>
  <c r="E21" i="2" s="1"/>
  <c r="E22" i="2" a="1"/>
  <c r="E22" i="2" s="1"/>
  <c r="E23" i="2" a="1"/>
  <c r="E23" i="2" s="1"/>
  <c r="E24" i="2" a="1"/>
  <c r="E24" i="2" s="1"/>
  <c r="E25" i="2" a="1"/>
  <c r="E25" i="2" s="1"/>
  <c r="E26" i="2" a="1"/>
  <c r="E26" i="2" s="1"/>
  <c r="E27" i="2" a="1"/>
  <c r="E27" i="2" s="1"/>
  <c r="E28" i="2" a="1"/>
  <c r="E28" i="2" s="1"/>
  <c r="E29" i="2" a="1"/>
  <c r="E29" i="2" s="1"/>
  <c r="E30" i="2" a="1"/>
  <c r="E30" i="2" s="1"/>
  <c r="E31" i="2" a="1"/>
  <c r="E31" i="2" s="1"/>
  <c r="E32" i="2" a="1"/>
  <c r="E32" i="2" s="1"/>
  <c r="E33" i="2" a="1"/>
  <c r="E33" i="2" s="1"/>
  <c r="E34" i="2" a="1"/>
  <c r="E34" i="2" s="1"/>
  <c r="E35" i="2" a="1"/>
  <c r="E35" i="2" s="1"/>
  <c r="E36" i="2" a="1"/>
  <c r="E36" i="2" s="1"/>
  <c r="E37" i="2" a="1"/>
  <c r="E37" i="2" s="1"/>
  <c r="E38" i="2" a="1"/>
  <c r="E38" i="2" s="1"/>
  <c r="E39" i="2" a="1"/>
  <c r="E39" i="2" s="1"/>
  <c r="E40" i="2" a="1"/>
  <c r="E40" i="2" s="1"/>
  <c r="E41" i="2" a="1"/>
  <c r="E41" i="2" s="1"/>
  <c r="E42" i="2" a="1"/>
  <c r="E42" i="2" s="1"/>
  <c r="E43" i="2" a="1"/>
  <c r="E43" i="2" s="1"/>
  <c r="E44" i="2" a="1"/>
  <c r="E44" i="2" s="1"/>
  <c r="E45" i="2" a="1"/>
  <c r="E45" i="2" s="1"/>
  <c r="E46" i="2" a="1"/>
  <c r="E46" i="2" s="1"/>
  <c r="E47" i="2" a="1"/>
  <c r="E47" i="2" s="1"/>
  <c r="E48" i="2" a="1"/>
  <c r="E48" i="2" s="1"/>
  <c r="E49" i="2" a="1"/>
  <c r="E49" i="2" s="1"/>
  <c r="E50" i="2" a="1"/>
  <c r="E50" i="2" s="1"/>
  <c r="E51" i="2" a="1"/>
  <c r="E51" i="2" s="1"/>
  <c r="E52" i="2" a="1"/>
  <c r="E52" i="2" s="1"/>
  <c r="E53" i="2" a="1"/>
  <c r="E53" i="2" s="1"/>
  <c r="E54" i="2" a="1"/>
  <c r="E54" i="2" s="1"/>
  <c r="E55" i="2" a="1"/>
  <c r="E55" i="2" s="1"/>
  <c r="E56" i="2" a="1"/>
  <c r="E56" i="2" s="1"/>
  <c r="E57" i="2" a="1"/>
  <c r="E57" i="2" s="1"/>
  <c r="E58" i="2" a="1"/>
  <c r="E58" i="2" s="1"/>
  <c r="E59" i="2" a="1"/>
  <c r="E59" i="2" s="1"/>
  <c r="E60" i="2" a="1"/>
  <c r="E60" i="2" s="1"/>
  <c r="E61" i="2" a="1"/>
  <c r="E61" i="2" s="1"/>
  <c r="E62" i="2" a="1"/>
  <c r="E62" i="2" s="1"/>
  <c r="E63" i="2" a="1"/>
  <c r="E63" i="2" s="1"/>
  <c r="E64" i="2" a="1"/>
  <c r="E64" i="2" s="1"/>
  <c r="E65" i="2" a="1"/>
  <c r="E65" i="2" s="1"/>
  <c r="E66" i="2" a="1"/>
  <c r="E66" i="2" s="1"/>
  <c r="E67" i="2" a="1"/>
  <c r="E67" i="2" s="1"/>
  <c r="E68" i="2" a="1"/>
  <c r="E68" i="2" s="1"/>
  <c r="E69" i="2" a="1"/>
  <c r="E69" i="2" s="1"/>
  <c r="E70" i="2" a="1"/>
  <c r="E70" i="2" s="1"/>
  <c r="E71" i="2" a="1"/>
  <c r="E71" i="2" s="1"/>
  <c r="E72" i="2" a="1"/>
  <c r="E72" i="2" s="1"/>
  <c r="E73" i="2" a="1"/>
  <c r="E73" i="2" s="1"/>
  <c r="E74" i="2" a="1"/>
  <c r="E74" i="2" s="1"/>
  <c r="E75" i="2" a="1"/>
  <c r="E75" i="2" s="1"/>
  <c r="E76" i="2" a="1"/>
  <c r="E76" i="2" s="1"/>
  <c r="E77" i="2" a="1"/>
  <c r="E77" i="2" s="1"/>
  <c r="E78" i="2" a="1"/>
  <c r="E78" i="2" s="1"/>
  <c r="E79" i="2" a="1"/>
  <c r="E79" i="2" s="1"/>
  <c r="E80" i="2" a="1"/>
  <c r="E80" i="2" s="1"/>
  <c r="E81" i="2" a="1"/>
  <c r="E81" i="2" s="1"/>
  <c r="E82" i="2" a="1"/>
  <c r="E82" i="2" s="1"/>
  <c r="E83" i="2" a="1"/>
  <c r="E83" i="2" s="1"/>
  <c r="E84" i="2" a="1"/>
  <c r="E84" i="2" s="1"/>
  <c r="E85" i="2" a="1"/>
  <c r="E85" i="2" s="1"/>
  <c r="E86" i="2" a="1"/>
  <c r="E86" i="2" s="1"/>
  <c r="E87" i="2" a="1"/>
  <c r="E87" i="2" s="1"/>
  <c r="E88" i="2" a="1"/>
  <c r="E88" i="2" s="1"/>
  <c r="E89" i="2" a="1"/>
  <c r="E89" i="2" s="1"/>
  <c r="E90" i="2" a="1"/>
  <c r="E90" i="2" s="1"/>
  <c r="E91" i="2" a="1"/>
  <c r="E91" i="2" s="1"/>
  <c r="E92" i="2" a="1"/>
  <c r="E92" i="2" s="1"/>
  <c r="E93" i="2" a="1"/>
  <c r="E93" i="2" s="1"/>
  <c r="E94" i="2" a="1"/>
  <c r="E94" i="2" s="1"/>
  <c r="E95" i="2" a="1"/>
  <c r="E95" i="2" s="1"/>
  <c r="E96" i="2" a="1"/>
  <c r="E96" i="2" s="1"/>
  <c r="E97" i="2" a="1"/>
  <c r="E97" i="2" s="1"/>
  <c r="E98" i="2" a="1"/>
  <c r="E98" i="2" s="1"/>
  <c r="E99" i="2" a="1"/>
  <c r="E99" i="2" s="1"/>
  <c r="E100" i="2" a="1"/>
  <c r="E100" i="2" s="1"/>
  <c r="E101" i="2" a="1"/>
  <c r="E101" i="2" s="1"/>
  <c r="E102" i="2" a="1"/>
  <c r="E102" i="2" s="1"/>
  <c r="E103" i="2" a="1"/>
  <c r="E103" i="2" s="1"/>
  <c r="E104" i="2" a="1"/>
  <c r="E104" i="2" s="1"/>
  <c r="E105" i="2" a="1"/>
  <c r="E105" i="2" s="1"/>
  <c r="E106" i="2" a="1"/>
  <c r="E106" i="2" s="1"/>
  <c r="E107" i="2" a="1"/>
  <c r="E107" i="2" s="1"/>
  <c r="E108" i="2" a="1"/>
  <c r="E108" i="2" s="1"/>
  <c r="E109" i="2" a="1"/>
  <c r="E109" i="2" s="1"/>
  <c r="E110" i="2" a="1"/>
  <c r="E110" i="2" s="1"/>
  <c r="E111" i="2" a="1"/>
  <c r="E111" i="2" s="1"/>
  <c r="E112" i="2" a="1"/>
  <c r="E112" i="2" s="1"/>
  <c r="E113" i="2" a="1"/>
  <c r="E113" i="2" s="1"/>
  <c r="E114" i="2" a="1"/>
  <c r="E114" i="2" s="1"/>
  <c r="E115" i="2" a="1"/>
  <c r="E115" i="2" s="1"/>
  <c r="E116" i="2" a="1"/>
  <c r="E116" i="2" s="1"/>
  <c r="E117" i="2" a="1"/>
  <c r="E117" i="2" s="1"/>
  <c r="E118" i="2" a="1"/>
  <c r="E118" i="2" s="1"/>
  <c r="E119" i="2" a="1"/>
  <c r="E119" i="2" s="1"/>
  <c r="E120" i="2" a="1"/>
  <c r="E120" i="2" s="1"/>
  <c r="E121" i="2" a="1"/>
  <c r="E121" i="2" s="1"/>
  <c r="E122" i="2" a="1"/>
  <c r="E122" i="2" s="1"/>
  <c r="E123" i="2" a="1"/>
  <c r="E123" i="2" s="1"/>
  <c r="E124" i="2" a="1"/>
  <c r="E124" i="2" s="1"/>
  <c r="E125" i="2" a="1"/>
  <c r="E125" i="2" s="1"/>
  <c r="E126" i="2" a="1"/>
  <c r="E126" i="2" s="1"/>
  <c r="E127" i="2" a="1"/>
  <c r="E127" i="2" s="1"/>
  <c r="E128" i="2" a="1"/>
  <c r="E128" i="2" s="1"/>
  <c r="E129" i="2" a="1"/>
  <c r="E129" i="2" s="1"/>
  <c r="E130" i="2" a="1"/>
  <c r="E130" i="2" s="1"/>
  <c r="E131" i="2" a="1"/>
  <c r="E131" i="2" s="1"/>
  <c r="E132" i="2" a="1"/>
  <c r="E132" i="2" s="1"/>
  <c r="E133" i="2" a="1"/>
  <c r="E133" i="2" s="1"/>
  <c r="E134" i="2" a="1"/>
  <c r="E134" i="2" s="1"/>
  <c r="E135" i="2" a="1"/>
  <c r="E135" i="2" s="1"/>
  <c r="E136" i="2" a="1"/>
  <c r="E136" i="2" s="1"/>
  <c r="E137" i="2" a="1"/>
  <c r="E137" i="2" s="1"/>
  <c r="E138" i="2" a="1"/>
  <c r="E138" i="2" s="1"/>
  <c r="E139" i="2" a="1"/>
  <c r="E139" i="2" s="1"/>
  <c r="E140" i="2" a="1"/>
  <c r="E140" i="2" s="1"/>
  <c r="E141" i="2" a="1"/>
  <c r="E141" i="2" s="1"/>
  <c r="E142" i="2" a="1"/>
  <c r="E142" i="2" s="1"/>
  <c r="E143" i="2" a="1"/>
  <c r="E143" i="2" s="1"/>
  <c r="E144" i="2" a="1"/>
  <c r="E144" i="2" s="1"/>
  <c r="E145" i="2" a="1"/>
  <c r="E145" i="2" s="1"/>
  <c r="E146" i="2" a="1"/>
  <c r="E146" i="2" s="1"/>
  <c r="E147" i="2" a="1"/>
  <c r="E147" i="2" s="1"/>
  <c r="E148" i="2" a="1"/>
  <c r="E148" i="2" s="1"/>
  <c r="E149" i="2" a="1"/>
  <c r="E149" i="2" s="1"/>
  <c r="E150" i="2" a="1"/>
  <c r="E150" i="2" s="1"/>
  <c r="E151" i="2" a="1"/>
  <c r="E151" i="2" s="1"/>
  <c r="E152" i="2" a="1"/>
  <c r="E152" i="2" s="1"/>
  <c r="E153" i="2" a="1"/>
  <c r="E153" i="2" s="1"/>
  <c r="E154" i="2" a="1"/>
  <c r="E154" i="2" s="1"/>
  <c r="E155" i="2" a="1"/>
  <c r="E155" i="2" s="1"/>
  <c r="E156" i="2" a="1"/>
  <c r="E156" i="2" s="1"/>
  <c r="E157" i="2" a="1"/>
  <c r="E157" i="2" s="1"/>
  <c r="E158" i="2" a="1"/>
  <c r="E158" i="2" s="1"/>
  <c r="E159" i="2" a="1"/>
  <c r="E159" i="2" s="1"/>
  <c r="E160" i="2" a="1"/>
  <c r="E160" i="2" s="1"/>
  <c r="E161" i="2" a="1"/>
  <c r="E161" i="2" s="1"/>
  <c r="E162" i="2" a="1"/>
  <c r="E162" i="2" s="1"/>
  <c r="E163" i="2" a="1"/>
  <c r="E163" i="2" s="1"/>
  <c r="E164" i="2" a="1"/>
  <c r="E164" i="2" s="1"/>
  <c r="E165" i="2" a="1"/>
  <c r="E165" i="2" s="1"/>
  <c r="E166" i="2" a="1"/>
  <c r="E166" i="2" s="1"/>
  <c r="E167" i="2" a="1"/>
  <c r="E167" i="2" s="1"/>
  <c r="E168" i="2" a="1"/>
  <c r="E168" i="2" s="1"/>
  <c r="E169" i="2" a="1"/>
  <c r="E169" i="2" s="1"/>
  <c r="E170" i="2" a="1"/>
  <c r="E170" i="2" s="1"/>
  <c r="E171" i="2" a="1"/>
  <c r="E171" i="2" s="1"/>
  <c r="E172" i="2" a="1"/>
  <c r="E172" i="2" s="1"/>
  <c r="E173" i="2" a="1"/>
  <c r="E173" i="2" s="1"/>
  <c r="E174" i="2" a="1"/>
  <c r="E174" i="2" s="1"/>
  <c r="E175" i="2" a="1"/>
  <c r="E175" i="2" s="1"/>
  <c r="E176" i="2" a="1"/>
  <c r="E176" i="2" s="1"/>
  <c r="E177" i="2" a="1"/>
  <c r="E177" i="2" s="1"/>
  <c r="E178" i="2" a="1"/>
  <c r="E178" i="2" s="1"/>
  <c r="E179" i="2" a="1"/>
  <c r="E179" i="2" s="1"/>
  <c r="E180" i="2" a="1"/>
  <c r="E180" i="2" s="1"/>
  <c r="E181" i="2" a="1"/>
  <c r="E181" i="2" s="1"/>
  <c r="E182" i="2" a="1"/>
  <c r="E182" i="2" s="1"/>
  <c r="E183" i="2" a="1"/>
  <c r="E183" i="2" s="1"/>
  <c r="E184" i="2" a="1"/>
  <c r="E184" i="2" s="1"/>
  <c r="E185" i="2" a="1"/>
  <c r="E185" i="2" s="1"/>
  <c r="E186" i="2" a="1"/>
  <c r="E186" i="2" s="1"/>
  <c r="E187" i="2" a="1"/>
  <c r="E187" i="2" s="1"/>
  <c r="E188" i="2" a="1"/>
  <c r="E188" i="2" s="1"/>
  <c r="E189" i="2" a="1"/>
  <c r="E189" i="2" s="1"/>
  <c r="E190" i="2" a="1"/>
  <c r="E190" i="2" s="1"/>
  <c r="E191" i="2" a="1"/>
  <c r="E191" i="2" s="1"/>
  <c r="E192" i="2" a="1"/>
  <c r="E192" i="2" s="1"/>
  <c r="E193" i="2" a="1"/>
  <c r="E193" i="2" s="1"/>
  <c r="E194" i="2" a="1"/>
  <c r="E194" i="2" s="1"/>
  <c r="E195" i="2" a="1"/>
  <c r="E195" i="2" s="1"/>
  <c r="E196" i="2" a="1"/>
  <c r="E196" i="2" s="1"/>
  <c r="E197" i="2" a="1"/>
  <c r="E197" i="2" s="1"/>
  <c r="E198" i="2" a="1"/>
  <c r="E198" i="2" s="1"/>
  <c r="E199" i="2" a="1"/>
  <c r="E199" i="2" s="1"/>
  <c r="E200" i="2" a="1"/>
  <c r="E200" i="2" s="1"/>
  <c r="E201" i="2" a="1"/>
  <c r="E201" i="2" s="1"/>
  <c r="E202" i="2" a="1"/>
  <c r="E202" i="2" s="1"/>
  <c r="E203" i="2" a="1"/>
  <c r="E203" i="2" s="1"/>
  <c r="E204" i="2" a="1"/>
  <c r="E204" i="2" s="1"/>
  <c r="E205" i="2" a="1"/>
  <c r="E205" i="2" s="1"/>
  <c r="E206" i="2" a="1"/>
  <c r="E206" i="2" s="1"/>
  <c r="E207" i="2" a="1"/>
  <c r="E207" i="2" s="1"/>
  <c r="E208" i="2" a="1"/>
  <c r="E208" i="2" s="1"/>
  <c r="E209" i="2" a="1"/>
  <c r="E209" i="2" s="1"/>
  <c r="E210" i="2" a="1"/>
  <c r="E210" i="2" s="1"/>
  <c r="E211" i="2" a="1"/>
  <c r="E211" i="2" s="1"/>
  <c r="E212" i="2" a="1"/>
  <c r="E212" i="2" s="1"/>
  <c r="E213" i="2" a="1"/>
  <c r="E213" i="2" s="1"/>
  <c r="E214" i="2" a="1"/>
  <c r="E214" i="2" s="1"/>
  <c r="E215" i="2" a="1"/>
  <c r="E215" i="2" s="1"/>
  <c r="E216" i="2" a="1"/>
  <c r="E216" i="2" s="1"/>
  <c r="E217" i="2" a="1"/>
  <c r="E217" i="2" s="1"/>
  <c r="E218" i="2" a="1"/>
  <c r="E218" i="2" s="1"/>
  <c r="E219" i="2" a="1"/>
  <c r="E219" i="2" s="1"/>
  <c r="E220" i="2" a="1"/>
  <c r="E220" i="2" s="1"/>
  <c r="E221" i="2" a="1"/>
  <c r="E221" i="2" s="1"/>
  <c r="E222" i="2" a="1"/>
  <c r="E222" i="2" s="1"/>
  <c r="E223" i="2" a="1"/>
  <c r="E223" i="2" s="1"/>
  <c r="E224" i="2" a="1"/>
  <c r="E224" i="2" s="1"/>
  <c r="E225" i="2" a="1"/>
  <c r="E225" i="2" s="1"/>
  <c r="E226" i="2" a="1"/>
  <c r="E226" i="2" s="1"/>
  <c r="E227" i="2" a="1"/>
  <c r="E227" i="2" s="1"/>
  <c r="E228" i="2" a="1"/>
  <c r="E228" i="2" s="1"/>
  <c r="E229" i="2" a="1"/>
  <c r="E229" i="2" s="1"/>
  <c r="E230" i="2" a="1"/>
  <c r="E230" i="2" s="1"/>
  <c r="E231" i="2" a="1"/>
  <c r="E231" i="2" s="1"/>
  <c r="E232" i="2" a="1"/>
  <c r="E232" i="2" s="1"/>
  <c r="E233" i="2" a="1"/>
  <c r="E233" i="2" s="1"/>
  <c r="E234" i="2" a="1"/>
  <c r="E234" i="2" s="1"/>
  <c r="E235" i="2" a="1"/>
  <c r="E235" i="2" s="1"/>
  <c r="E236" i="2" a="1"/>
  <c r="E236" i="2" s="1"/>
  <c r="E237" i="2" a="1"/>
  <c r="E237" i="2" s="1"/>
  <c r="E238" i="2" a="1"/>
  <c r="E238" i="2" s="1"/>
  <c r="E239" i="2" a="1"/>
  <c r="E239" i="2" s="1"/>
  <c r="E240" i="2" a="1"/>
  <c r="E240" i="2" s="1"/>
  <c r="E241" i="2" a="1"/>
  <c r="E241" i="2" s="1"/>
  <c r="E242" i="2" a="1"/>
  <c r="E242" i="2"/>
  <c r="E243" i="2" a="1"/>
  <c r="E243" i="2" s="1"/>
  <c r="E244" i="2" a="1"/>
  <c r="E244" i="2" s="1"/>
  <c r="E245" i="2" a="1"/>
  <c r="E245" i="2" s="1"/>
  <c r="E246" i="2" a="1"/>
  <c r="E246" i="2" s="1"/>
  <c r="E247" i="2" a="1"/>
  <c r="E247" i="2" s="1"/>
  <c r="E248" i="2" a="1"/>
  <c r="E248" i="2" s="1"/>
  <c r="E249" i="2" a="1"/>
  <c r="E249" i="2" s="1"/>
  <c r="E250" i="2" a="1"/>
  <c r="E250" i="2" s="1"/>
  <c r="E251" i="2" a="1"/>
  <c r="E251" i="2" s="1"/>
  <c r="E252" i="2" a="1"/>
  <c r="E252" i="2" s="1"/>
  <c r="E253" i="2" a="1"/>
  <c r="E253" i="2" s="1"/>
  <c r="E254" i="2" a="1"/>
  <c r="E254" i="2" s="1"/>
  <c r="E255" i="2" a="1"/>
  <c r="E255" i="2" s="1"/>
  <c r="E256" i="2" a="1"/>
  <c r="E256" i="2" s="1"/>
  <c r="E257" i="2" a="1"/>
  <c r="E257" i="2" s="1"/>
  <c r="E258" i="2" a="1"/>
  <c r="E258" i="2" s="1"/>
  <c r="E259" i="2" a="1"/>
  <c r="E259" i="2" s="1"/>
  <c r="E260" i="2" a="1"/>
  <c r="E260" i="2" s="1"/>
  <c r="E261" i="2" a="1"/>
  <c r="E261" i="2" s="1"/>
  <c r="E262" i="2" a="1"/>
  <c r="E262" i="2" s="1"/>
  <c r="E263" i="2" a="1"/>
  <c r="E263" i="2" s="1"/>
  <c r="E264" i="2" a="1"/>
  <c r="E264" i="2" s="1"/>
  <c r="E265" i="2" a="1"/>
  <c r="E265" i="2" s="1"/>
  <c r="E266" i="2" a="1"/>
  <c r="E266" i="2" s="1"/>
  <c r="E267" i="2" a="1"/>
  <c r="E267" i="2" s="1"/>
  <c r="E268" i="2" a="1"/>
  <c r="E268" i="2" s="1"/>
  <c r="E269" i="2" a="1"/>
  <c r="E269" i="2" s="1"/>
  <c r="E270" i="2" a="1"/>
  <c r="E270" i="2" s="1"/>
  <c r="E271" i="2" a="1"/>
  <c r="E271" i="2" s="1"/>
  <c r="E272" i="2" a="1"/>
  <c r="E272" i="2" s="1"/>
  <c r="E273" i="2" a="1"/>
  <c r="E273" i="2" s="1"/>
  <c r="E274" i="2" a="1"/>
  <c r="E274" i="2" s="1"/>
  <c r="E275" i="2" a="1"/>
  <c r="E275" i="2" s="1"/>
  <c r="E276" i="2" a="1"/>
  <c r="E276" i="2" s="1"/>
  <c r="E277" i="2" a="1"/>
  <c r="E277" i="2" s="1"/>
  <c r="E278" i="2" a="1"/>
  <c r="E278" i="2" s="1"/>
  <c r="E279" i="2" a="1"/>
  <c r="E279" i="2" s="1"/>
  <c r="E280" i="2" a="1"/>
  <c r="E280" i="2" s="1"/>
  <c r="E281" i="2" a="1"/>
  <c r="E281" i="2" s="1"/>
  <c r="E282" i="2" a="1"/>
  <c r="E282" i="2" s="1"/>
  <c r="E283" i="2" a="1"/>
  <c r="E283" i="2" s="1"/>
  <c r="E284" i="2" a="1"/>
  <c r="E284" i="2" s="1"/>
  <c r="E285" i="2" a="1"/>
  <c r="E285" i="2" s="1"/>
  <c r="E286" i="2" a="1"/>
  <c r="E286" i="2" s="1"/>
  <c r="E287" i="2" a="1"/>
  <c r="E287" i="2" s="1"/>
  <c r="E288" i="2" a="1"/>
  <c r="E288" i="2" s="1"/>
  <c r="E289" i="2" a="1"/>
  <c r="E289" i="2" s="1"/>
  <c r="E290" i="2" a="1"/>
  <c r="E290" i="2" s="1"/>
  <c r="E291" i="2" a="1"/>
  <c r="E291" i="2" s="1"/>
  <c r="E292" i="2" a="1"/>
  <c r="E292" i="2" s="1"/>
  <c r="E293" i="2" a="1"/>
  <c r="E293" i="2" s="1"/>
  <c r="E294" i="2" a="1"/>
  <c r="E294" i="2" s="1"/>
  <c r="E295" i="2" a="1"/>
  <c r="E295" i="2" s="1"/>
  <c r="E296" i="2" a="1"/>
  <c r="E296" i="2" s="1"/>
  <c r="E297" i="2" a="1"/>
  <c r="E297" i="2" s="1"/>
  <c r="E298" i="2" a="1"/>
  <c r="E298" i="2" s="1"/>
  <c r="E299" i="2" a="1"/>
  <c r="E299" i="2" s="1"/>
  <c r="E300" i="2" a="1"/>
  <c r="E300" i="2" s="1"/>
  <c r="E301" i="2" a="1"/>
  <c r="E301" i="2" s="1"/>
  <c r="E302" i="2" a="1"/>
  <c r="E302" i="2" s="1"/>
  <c r="E303" i="2" a="1"/>
  <c r="E303" i="2" s="1"/>
  <c r="E304" i="2" a="1"/>
  <c r="E304" i="2" s="1"/>
  <c r="E305" i="2" a="1"/>
  <c r="E305" i="2" s="1"/>
  <c r="E306" i="2" a="1"/>
  <c r="E306" i="2" s="1"/>
  <c r="E307" i="2" a="1"/>
  <c r="E307" i="2" s="1"/>
  <c r="E308" i="2" a="1"/>
  <c r="E308" i="2" s="1"/>
  <c r="E309" i="2" a="1"/>
  <c r="E309" i="2" s="1"/>
  <c r="E310" i="2" a="1"/>
  <c r="E310" i="2" s="1"/>
  <c r="E311" i="2" a="1"/>
  <c r="E311" i="2" s="1"/>
  <c r="E312" i="2" a="1"/>
  <c r="E312" i="2" s="1"/>
  <c r="E313" i="2" a="1"/>
  <c r="E313" i="2" s="1"/>
  <c r="E314" i="2" a="1"/>
  <c r="E314" i="2" s="1"/>
  <c r="E315" i="2" a="1"/>
  <c r="E315" i="2" s="1"/>
  <c r="E316" i="2" a="1"/>
  <c r="E316" i="2" s="1"/>
  <c r="E317" i="2" a="1"/>
  <c r="E317" i="2" s="1"/>
  <c r="E318" i="2" a="1"/>
  <c r="E318" i="2" s="1"/>
  <c r="E319" i="2" a="1"/>
  <c r="E319" i="2" s="1"/>
  <c r="E320" i="2" a="1"/>
  <c r="E320" i="2" s="1"/>
  <c r="E321" i="2" a="1"/>
  <c r="E321" i="2" s="1"/>
  <c r="E322" i="2" a="1"/>
  <c r="E322" i="2"/>
  <c r="E323" i="2" a="1"/>
  <c r="E323" i="2" s="1"/>
  <c r="E324" i="2" a="1"/>
  <c r="E324" i="2" s="1"/>
  <c r="E325" i="2" a="1"/>
  <c r="E325" i="2" s="1"/>
  <c r="E326" i="2" a="1"/>
  <c r="E326" i="2" s="1"/>
  <c r="E327" i="2" a="1"/>
  <c r="E327" i="2" s="1"/>
  <c r="E328" i="2" a="1"/>
  <c r="E328" i="2" s="1"/>
  <c r="E329" i="2" a="1"/>
  <c r="E329" i="2" s="1"/>
  <c r="E330" i="2" a="1"/>
  <c r="E330" i="2" s="1"/>
  <c r="E331" i="2" a="1"/>
  <c r="E331" i="2" s="1"/>
  <c r="E332" i="2" a="1"/>
  <c r="E332" i="2" s="1"/>
  <c r="E333" i="2" a="1"/>
  <c r="E333" i="2" s="1"/>
  <c r="E334" i="2" a="1"/>
  <c r="E334" i="2" s="1"/>
  <c r="E335" i="2" a="1"/>
  <c r="E335" i="2" s="1"/>
  <c r="E336" i="2" a="1"/>
  <c r="E336" i="2" s="1"/>
  <c r="E337" i="2" a="1"/>
  <c r="E337" i="2" s="1"/>
  <c r="E338" i="2" a="1"/>
  <c r="E338" i="2" s="1"/>
  <c r="E339" i="2" a="1"/>
  <c r="E339" i="2" s="1"/>
  <c r="E340" i="2" a="1"/>
  <c r="E340" i="2" s="1"/>
  <c r="E341" i="2" a="1"/>
  <c r="E341" i="2" s="1"/>
  <c r="E342" i="2" a="1"/>
  <c r="E342" i="2" s="1"/>
  <c r="E343" i="2" a="1"/>
  <c r="E343" i="2" s="1"/>
  <c r="E344" i="2" a="1"/>
  <c r="E344" i="2" s="1"/>
  <c r="E345" i="2" a="1"/>
  <c r="E345" i="2" s="1"/>
  <c r="E346" i="2" a="1"/>
  <c r="E346" i="2" s="1"/>
  <c r="E347" i="2" a="1"/>
  <c r="E347" i="2" s="1"/>
  <c r="E348" i="2" a="1"/>
  <c r="E348" i="2" s="1"/>
  <c r="E349" i="2" a="1"/>
  <c r="E349" i="2" s="1"/>
  <c r="E350" i="2" a="1"/>
  <c r="E350" i="2" s="1"/>
  <c r="E351" i="2" a="1"/>
  <c r="E351" i="2" s="1"/>
  <c r="E352" i="2" a="1"/>
  <c r="E352" i="2" s="1"/>
  <c r="E353" i="2" a="1"/>
  <c r="E353" i="2" s="1"/>
  <c r="E354" i="2" a="1"/>
  <c r="E354" i="2" s="1"/>
  <c r="E355" i="2" a="1"/>
  <c r="E355" i="2" s="1"/>
  <c r="E356" i="2" a="1"/>
  <c r="E356" i="2" s="1"/>
  <c r="E357" i="2" a="1"/>
  <c r="E357" i="2" s="1"/>
  <c r="E358" i="2" a="1"/>
  <c r="E358" i="2" s="1"/>
  <c r="E359" i="2" a="1"/>
  <c r="E359" i="2" s="1"/>
  <c r="E360" i="2" a="1"/>
  <c r="E360" i="2" s="1"/>
  <c r="E361" i="2" a="1"/>
  <c r="E361" i="2" s="1"/>
  <c r="E362" i="2" a="1"/>
  <c r="E362" i="2" s="1"/>
  <c r="E363" i="2" a="1"/>
  <c r="E363" i="2" s="1"/>
  <c r="E364" i="2" a="1"/>
  <c r="E364" i="2" s="1"/>
  <c r="E365" i="2" a="1"/>
  <c r="E365" i="2" s="1"/>
  <c r="E366" i="2" a="1"/>
  <c r="E366" i="2" s="1"/>
  <c r="E367" i="2" a="1"/>
  <c r="E367" i="2" s="1"/>
  <c r="E368" i="2" a="1"/>
  <c r="E368" i="2" s="1"/>
  <c r="E369" i="2" a="1"/>
  <c r="E369" i="2" s="1"/>
  <c r="E370" i="2" a="1"/>
  <c r="E370" i="2" s="1"/>
  <c r="E371" i="2" a="1"/>
  <c r="E371" i="2" s="1"/>
  <c r="E372" i="2" a="1"/>
  <c r="E372" i="2" s="1"/>
  <c r="E373" i="2" a="1"/>
  <c r="E373" i="2" s="1"/>
  <c r="E374" i="2" a="1"/>
  <c r="E374" i="2" s="1"/>
  <c r="E375" i="2" a="1"/>
  <c r="E375" i="2" s="1"/>
  <c r="E376" i="2" a="1"/>
  <c r="E376" i="2" s="1"/>
  <c r="E377" i="2" a="1"/>
  <c r="E377" i="2" s="1"/>
  <c r="E378" i="2" a="1"/>
  <c r="E378" i="2" s="1"/>
  <c r="E379" i="2" a="1"/>
  <c r="E379" i="2" s="1"/>
  <c r="E380" i="2" a="1"/>
  <c r="E380" i="2" s="1"/>
  <c r="E381" i="2" a="1"/>
  <c r="E381" i="2" s="1"/>
  <c r="E382" i="2" a="1"/>
  <c r="E382" i="2" s="1"/>
  <c r="E383" i="2" a="1"/>
  <c r="E383" i="2" s="1"/>
  <c r="E384" i="2" a="1"/>
  <c r="E384" i="2" s="1"/>
  <c r="E385" i="2" a="1"/>
  <c r="E385" i="2" s="1"/>
  <c r="E386" i="2" a="1"/>
  <c r="E386" i="2" s="1"/>
  <c r="E387" i="2" a="1"/>
  <c r="E387" i="2" s="1"/>
  <c r="E388" i="2" a="1"/>
  <c r="E388" i="2" s="1"/>
  <c r="E389" i="2" a="1"/>
  <c r="E389" i="2" s="1"/>
  <c r="E390" i="2" a="1"/>
  <c r="E390" i="2" s="1"/>
  <c r="E391" i="2" a="1"/>
  <c r="E391" i="2" s="1"/>
  <c r="E392" i="2" a="1"/>
  <c r="E392" i="2" s="1"/>
  <c r="E393" i="2" a="1"/>
  <c r="E393" i="2" s="1"/>
  <c r="E394" i="2" a="1"/>
  <c r="E394" i="2" s="1"/>
  <c r="E395" i="2" a="1"/>
  <c r="E395" i="2" s="1"/>
  <c r="E396" i="2" a="1"/>
  <c r="E396" i="2" s="1"/>
  <c r="E397" i="2" a="1"/>
  <c r="E397" i="2" s="1"/>
  <c r="E398" i="2" a="1"/>
  <c r="E398" i="2" s="1"/>
  <c r="E399" i="2" a="1"/>
  <c r="E399" i="2" s="1"/>
  <c r="E400" i="2" a="1"/>
  <c r="E400" i="2" s="1"/>
  <c r="E401" i="2" a="1"/>
  <c r="E401" i="2" s="1"/>
  <c r="E402" i="2" a="1"/>
  <c r="E402" i="2" s="1"/>
  <c r="E403" i="2" a="1"/>
  <c r="E403" i="2" s="1"/>
  <c r="E404" i="2" a="1"/>
  <c r="E404" i="2" s="1"/>
  <c r="E405" i="2" a="1"/>
  <c r="E405" i="2" s="1"/>
  <c r="E406" i="2" a="1"/>
  <c r="E406" i="2" s="1"/>
  <c r="E407" i="2" a="1"/>
  <c r="E407" i="2" s="1"/>
  <c r="E408" i="2" a="1"/>
  <c r="E408" i="2" s="1"/>
  <c r="E409" i="2" a="1"/>
  <c r="E409" i="2" s="1"/>
  <c r="E410" i="2" a="1"/>
  <c r="E410" i="2" s="1"/>
  <c r="E411" i="2" a="1"/>
  <c r="E411" i="2" s="1"/>
  <c r="E412" i="2" a="1"/>
  <c r="E412" i="2" s="1"/>
  <c r="E413" i="2" a="1"/>
  <c r="E413" i="2" s="1"/>
  <c r="E414" i="2" a="1"/>
  <c r="E414" i="2" s="1"/>
  <c r="E415" i="2" a="1"/>
  <c r="E415" i="2" s="1"/>
  <c r="E416" i="2" a="1"/>
  <c r="E416" i="2" s="1"/>
  <c r="E417" i="2" a="1"/>
  <c r="E417" i="2" s="1"/>
  <c r="E418" i="2" a="1"/>
  <c r="E418" i="2" s="1"/>
  <c r="E419" i="2" a="1"/>
  <c r="E419" i="2" s="1"/>
  <c r="E420" i="2" a="1"/>
  <c r="E420" i="2" s="1"/>
  <c r="E421" i="2" a="1"/>
  <c r="E421" i="2" s="1"/>
  <c r="E422" i="2" a="1"/>
  <c r="E422" i="2" s="1"/>
  <c r="E423" i="2" a="1"/>
  <c r="E423" i="2" s="1"/>
  <c r="E424" i="2" a="1"/>
  <c r="E424" i="2" s="1"/>
  <c r="E425" i="2" a="1"/>
  <c r="E425" i="2" s="1"/>
  <c r="E426" i="2" a="1"/>
  <c r="E426" i="2" s="1"/>
  <c r="E427" i="2" a="1"/>
  <c r="E427" i="2" s="1"/>
  <c r="E428" i="2" a="1"/>
  <c r="E428" i="2" s="1"/>
  <c r="E429" i="2" a="1"/>
  <c r="E429" i="2" s="1"/>
  <c r="E430" i="2" a="1"/>
  <c r="E430" i="2" s="1"/>
  <c r="E431" i="2" a="1"/>
  <c r="E431" i="2" s="1"/>
  <c r="E432" i="2" a="1"/>
  <c r="E432" i="2" s="1"/>
  <c r="E433" i="2" a="1"/>
  <c r="E433" i="2" s="1"/>
  <c r="E434" i="2" a="1"/>
  <c r="E434" i="2" s="1"/>
  <c r="E435" i="2" a="1"/>
  <c r="E435" i="2" s="1"/>
  <c r="E436" i="2" a="1"/>
  <c r="E436" i="2" s="1"/>
  <c r="E437" i="2" a="1"/>
  <c r="E437" i="2" s="1"/>
  <c r="E438" i="2" a="1"/>
  <c r="E438" i="2" s="1"/>
  <c r="E439" i="2" a="1"/>
  <c r="E439" i="2" s="1"/>
  <c r="E440" i="2" a="1"/>
  <c r="E440" i="2" s="1"/>
  <c r="E441" i="2" a="1"/>
  <c r="E441" i="2" s="1"/>
  <c r="E442" i="2" a="1"/>
  <c r="E442" i="2" s="1"/>
  <c r="E443" i="2" a="1"/>
  <c r="E443" i="2" s="1"/>
  <c r="E444" i="2" a="1"/>
  <c r="E444" i="2" s="1"/>
  <c r="E445" i="2" a="1"/>
  <c r="E445" i="2" s="1"/>
  <c r="E446" i="2" a="1"/>
  <c r="E446" i="2" s="1"/>
  <c r="E447" i="2" a="1"/>
  <c r="E447" i="2" s="1"/>
  <c r="E448" i="2" a="1"/>
  <c r="E448" i="2" s="1"/>
  <c r="E449" i="2" a="1"/>
  <c r="E449" i="2" s="1"/>
  <c r="E450" i="2" a="1"/>
  <c r="E450" i="2" s="1"/>
  <c r="E451" i="2" a="1"/>
  <c r="E451" i="2" s="1"/>
  <c r="E452" i="2" a="1"/>
  <c r="E452" i="2" s="1"/>
  <c r="E453" i="2" a="1"/>
  <c r="E453" i="2" s="1"/>
  <c r="E454" i="2" a="1"/>
  <c r="E454" i="2" s="1"/>
  <c r="E455" i="2" a="1"/>
  <c r="E455" i="2" s="1"/>
  <c r="E456" i="2" a="1"/>
  <c r="E456" i="2" s="1"/>
  <c r="E457" i="2" a="1"/>
  <c r="E457" i="2" s="1"/>
  <c r="E458" i="2" a="1"/>
  <c r="E458" i="2" s="1"/>
  <c r="E459" i="2" a="1"/>
  <c r="E459" i="2" s="1"/>
  <c r="E460" i="2" a="1"/>
  <c r="E460" i="2" s="1"/>
  <c r="E461" i="2" a="1"/>
  <c r="E461" i="2" s="1"/>
  <c r="E462" i="2" a="1"/>
  <c r="E462" i="2" s="1"/>
  <c r="E463" i="2" a="1"/>
  <c r="E463" i="2" s="1"/>
  <c r="E464" i="2" a="1"/>
  <c r="E464" i="2" s="1"/>
  <c r="E465" i="2" a="1"/>
  <c r="E465" i="2" s="1"/>
  <c r="E466" i="2" a="1"/>
  <c r="E466" i="2" s="1"/>
  <c r="E467" i="2" a="1"/>
  <c r="E467" i="2" s="1"/>
  <c r="E468" i="2" a="1"/>
  <c r="E468" i="2" s="1"/>
  <c r="E469" i="2" a="1"/>
  <c r="E469" i="2" s="1"/>
  <c r="E470" i="2" a="1"/>
  <c r="E470" i="2" s="1"/>
  <c r="E471" i="2" a="1"/>
  <c r="E471" i="2" s="1"/>
  <c r="E472" i="2" a="1"/>
  <c r="E472" i="2" s="1"/>
  <c r="E473" i="2" a="1"/>
  <c r="E473" i="2" s="1"/>
  <c r="E474" i="2" a="1"/>
  <c r="E474" i="2" s="1"/>
  <c r="E475" i="2" a="1"/>
  <c r="E475" i="2" s="1"/>
  <c r="E476" i="2" a="1"/>
  <c r="E476" i="2" s="1"/>
  <c r="E477" i="2" a="1"/>
  <c r="E477" i="2" s="1"/>
  <c r="E478" i="2" a="1"/>
  <c r="E478" i="2" s="1"/>
  <c r="E479" i="2" a="1"/>
  <c r="E479" i="2" s="1"/>
  <c r="E480" i="2" a="1"/>
  <c r="E480" i="2" s="1"/>
  <c r="E481" i="2" a="1"/>
  <c r="E481" i="2" s="1"/>
  <c r="E482" i="2" a="1"/>
  <c r="E482" i="2" s="1"/>
  <c r="E483" i="2" a="1"/>
  <c r="E483" i="2" s="1"/>
  <c r="E484" i="2" a="1"/>
  <c r="E484" i="2" s="1"/>
  <c r="E485" i="2" a="1"/>
  <c r="E485" i="2" s="1"/>
  <c r="E486" i="2" a="1"/>
  <c r="E486" i="2" s="1"/>
  <c r="E487" i="2" a="1"/>
  <c r="E487" i="2" s="1"/>
  <c r="E488" i="2" a="1"/>
  <c r="E488" i="2" s="1"/>
  <c r="E489" i="2" a="1"/>
  <c r="E489" i="2" s="1"/>
  <c r="E490" i="2" a="1"/>
  <c r="E490" i="2" s="1"/>
  <c r="E491" i="2" a="1"/>
  <c r="E491" i="2" s="1"/>
  <c r="E492" i="2" a="1"/>
  <c r="E492" i="2" s="1"/>
  <c r="E493" i="2" a="1"/>
  <c r="E493" i="2" s="1"/>
  <c r="E494" i="2" a="1"/>
  <c r="E494" i="2" s="1"/>
  <c r="E495" i="2" a="1"/>
  <c r="E495" i="2" s="1"/>
  <c r="E496" i="2" a="1"/>
  <c r="E496" i="2" s="1"/>
  <c r="E497" i="2" a="1"/>
  <c r="E497" i="2" s="1"/>
  <c r="E498" i="2" a="1"/>
  <c r="E498" i="2" s="1"/>
  <c r="E499" i="2" a="1"/>
  <c r="E499" i="2" s="1"/>
  <c r="E500" i="2" a="1"/>
  <c r="E500" i="2" s="1"/>
  <c r="E501" i="2" a="1"/>
  <c r="E501" i="2" s="1"/>
  <c r="E502" i="2" a="1"/>
  <c r="E502" i="2" s="1"/>
  <c r="E503" i="2" a="1"/>
  <c r="E503" i="2" s="1"/>
  <c r="E504" i="2" a="1"/>
  <c r="E504" i="2" s="1"/>
  <c r="E505" i="2" a="1"/>
  <c r="E505" i="2" s="1"/>
  <c r="E506" i="2" a="1"/>
  <c r="E506" i="2" s="1"/>
  <c r="E507" i="2" a="1"/>
  <c r="E507" i="2" s="1"/>
  <c r="E508" i="2" a="1"/>
  <c r="E508" i="2" s="1"/>
  <c r="E509" i="2" a="1"/>
  <c r="E509" i="2" s="1"/>
  <c r="E510" i="2" a="1"/>
  <c r="E510" i="2" s="1"/>
  <c r="E511" i="2" a="1"/>
  <c r="E511" i="2" s="1"/>
  <c r="E512" i="2" a="1"/>
  <c r="E512" i="2" s="1"/>
  <c r="E513" i="2" a="1"/>
  <c r="E513" i="2" s="1"/>
  <c r="E514" i="2" a="1"/>
  <c r="E514" i="2" s="1"/>
  <c r="E515" i="2" a="1"/>
  <c r="E515" i="2" s="1"/>
  <c r="E516" i="2" a="1"/>
  <c r="E516" i="2" s="1"/>
  <c r="E517" i="2" a="1"/>
  <c r="E517" i="2" s="1"/>
  <c r="E518" i="2" a="1"/>
  <c r="E518" i="2" s="1"/>
  <c r="E519" i="2" a="1"/>
  <c r="E519" i="2" s="1"/>
  <c r="E520" i="2" a="1"/>
  <c r="E520" i="2" s="1"/>
  <c r="E2" i="2" a="1"/>
  <c r="E2" i="2" s="1"/>
  <c r="D3" i="2" a="1"/>
  <c r="D3" i="2" s="1"/>
  <c r="D4" i="2" a="1"/>
  <c r="D4" i="2" s="1"/>
  <c r="D5" i="2" a="1"/>
  <c r="D5" i="2" s="1"/>
  <c r="D6" i="2" a="1"/>
  <c r="D6" i="2" s="1"/>
  <c r="D7" i="2" a="1"/>
  <c r="D7" i="2" s="1"/>
  <c r="D8" i="2" a="1"/>
  <c r="D8" i="2" s="1"/>
  <c r="D9" i="2" a="1"/>
  <c r="D9" i="2" s="1"/>
  <c r="D10" i="2" a="1"/>
  <c r="D10" i="2" s="1"/>
  <c r="D11" i="2" a="1"/>
  <c r="D11" i="2" s="1"/>
  <c r="D12" i="2" a="1"/>
  <c r="D12" i="2" s="1"/>
  <c r="D13" i="2" a="1"/>
  <c r="D13" i="2" s="1"/>
  <c r="D14" i="2" a="1"/>
  <c r="D14" i="2" s="1"/>
  <c r="D15" i="2" a="1"/>
  <c r="D15" i="2" s="1"/>
  <c r="D16" i="2" a="1"/>
  <c r="D16" i="2" s="1"/>
  <c r="D17" i="2" a="1"/>
  <c r="D17" i="2" s="1"/>
  <c r="D18" i="2" a="1"/>
  <c r="D18" i="2" s="1"/>
  <c r="D19" i="2" a="1"/>
  <c r="D19" i="2" s="1"/>
  <c r="D20" i="2" a="1"/>
  <c r="D20" i="2" s="1"/>
  <c r="D21" i="2" a="1"/>
  <c r="D21" i="2" s="1"/>
  <c r="D22" i="2" a="1"/>
  <c r="D22" i="2" s="1"/>
  <c r="D23" i="2" a="1"/>
  <c r="D23" i="2" s="1"/>
  <c r="D24" i="2" a="1"/>
  <c r="D24" i="2" s="1"/>
  <c r="D25" i="2" a="1"/>
  <c r="D25" i="2" s="1"/>
  <c r="D26" i="2" a="1"/>
  <c r="D26" i="2" s="1"/>
  <c r="D27" i="2" a="1"/>
  <c r="D27" i="2" s="1"/>
  <c r="D28" i="2" a="1"/>
  <c r="D28" i="2" s="1"/>
  <c r="D29" i="2" a="1"/>
  <c r="D29" i="2" s="1"/>
  <c r="D30" i="2" a="1"/>
  <c r="D30" i="2" s="1"/>
  <c r="D31" i="2" a="1"/>
  <c r="D31" i="2" s="1"/>
  <c r="D32" i="2" a="1"/>
  <c r="D32" i="2" s="1"/>
  <c r="D33" i="2" a="1"/>
  <c r="D33" i="2" s="1"/>
  <c r="D34" i="2" a="1"/>
  <c r="D34" i="2" s="1"/>
  <c r="D35" i="2" a="1"/>
  <c r="D35" i="2" s="1"/>
  <c r="D36" i="2" a="1"/>
  <c r="D36" i="2" s="1"/>
  <c r="D37" i="2" a="1"/>
  <c r="D37" i="2" s="1"/>
  <c r="D38" i="2" a="1"/>
  <c r="D38" i="2" s="1"/>
  <c r="D39" i="2" a="1"/>
  <c r="D39" i="2" s="1"/>
  <c r="D40" i="2" a="1"/>
  <c r="D40" i="2" s="1"/>
  <c r="D41" i="2" a="1"/>
  <c r="D41" i="2" s="1"/>
  <c r="D42" i="2" a="1"/>
  <c r="D42" i="2" s="1"/>
  <c r="D43" i="2" a="1"/>
  <c r="D43" i="2" s="1"/>
  <c r="D44" i="2" a="1"/>
  <c r="D44" i="2" s="1"/>
  <c r="D45" i="2" a="1"/>
  <c r="D45" i="2" s="1"/>
  <c r="D46" i="2" a="1"/>
  <c r="D46" i="2" s="1"/>
  <c r="D47" i="2" a="1"/>
  <c r="D47" i="2" s="1"/>
  <c r="D48" i="2" a="1"/>
  <c r="D48" i="2" s="1"/>
  <c r="D49" i="2" a="1"/>
  <c r="D49" i="2" s="1"/>
  <c r="D50" i="2" a="1"/>
  <c r="D50" i="2" s="1"/>
  <c r="D51" i="2" a="1"/>
  <c r="D51" i="2" s="1"/>
  <c r="D52" i="2" a="1"/>
  <c r="D52" i="2" s="1"/>
  <c r="D53" i="2" a="1"/>
  <c r="D53" i="2" s="1"/>
  <c r="D54" i="2" a="1"/>
  <c r="D54" i="2" s="1"/>
  <c r="D55" i="2" a="1"/>
  <c r="D55" i="2" s="1"/>
  <c r="D56" i="2" a="1"/>
  <c r="D56" i="2" s="1"/>
  <c r="D57" i="2" a="1"/>
  <c r="D57" i="2" s="1"/>
  <c r="D58" i="2" a="1"/>
  <c r="D58" i="2" s="1"/>
  <c r="D59" i="2" a="1"/>
  <c r="D59" i="2" s="1"/>
  <c r="D60" i="2" a="1"/>
  <c r="D60" i="2" s="1"/>
  <c r="D61" i="2" a="1"/>
  <c r="D61" i="2" s="1"/>
  <c r="D62" i="2" a="1"/>
  <c r="D62" i="2" s="1"/>
  <c r="D63" i="2" a="1"/>
  <c r="D63" i="2" s="1"/>
  <c r="D64" i="2" a="1"/>
  <c r="D64" i="2" s="1"/>
  <c r="D65" i="2" a="1"/>
  <c r="D65" i="2" s="1"/>
  <c r="D66" i="2" a="1"/>
  <c r="D66" i="2" s="1"/>
  <c r="D67" i="2" a="1"/>
  <c r="D67" i="2" s="1"/>
  <c r="D68" i="2" a="1"/>
  <c r="D68" i="2" s="1"/>
  <c r="D69" i="2" a="1"/>
  <c r="D69" i="2" s="1"/>
  <c r="D70" i="2" a="1"/>
  <c r="D70" i="2" s="1"/>
  <c r="D71" i="2" a="1"/>
  <c r="D71" i="2" s="1"/>
  <c r="D72" i="2" a="1"/>
  <c r="D72" i="2" s="1"/>
  <c r="D73" i="2" a="1"/>
  <c r="D73" i="2" s="1"/>
  <c r="D74" i="2" a="1"/>
  <c r="D74" i="2" s="1"/>
  <c r="D75" i="2" a="1"/>
  <c r="D75" i="2" s="1"/>
  <c r="D76" i="2" a="1"/>
  <c r="D76" i="2" s="1"/>
  <c r="D77" i="2" a="1"/>
  <c r="D77" i="2" s="1"/>
  <c r="D78" i="2" a="1"/>
  <c r="D78" i="2" s="1"/>
  <c r="D79" i="2" a="1"/>
  <c r="D79" i="2" s="1"/>
  <c r="D80" i="2" a="1"/>
  <c r="D80" i="2" s="1"/>
  <c r="D81" i="2" a="1"/>
  <c r="D81" i="2" s="1"/>
  <c r="D82" i="2" a="1"/>
  <c r="D82" i="2" s="1"/>
  <c r="D83" i="2" a="1"/>
  <c r="D83" i="2" s="1"/>
  <c r="D84" i="2" a="1"/>
  <c r="D84" i="2" s="1"/>
  <c r="D85" i="2" a="1"/>
  <c r="D85" i="2" s="1"/>
  <c r="D86" i="2" a="1"/>
  <c r="D86" i="2" s="1"/>
  <c r="D87" i="2" a="1"/>
  <c r="D87" i="2" s="1"/>
  <c r="D88" i="2" a="1"/>
  <c r="D88" i="2" s="1"/>
  <c r="D89" i="2" a="1"/>
  <c r="D89" i="2" s="1"/>
  <c r="D90" i="2" a="1"/>
  <c r="D90" i="2"/>
  <c r="D91" i="2" a="1"/>
  <c r="D91" i="2" s="1"/>
  <c r="D92" i="2" a="1"/>
  <c r="D92" i="2" s="1"/>
  <c r="D93" i="2" a="1"/>
  <c r="D93" i="2" s="1"/>
  <c r="D94" i="2" a="1"/>
  <c r="D94" i="2" s="1"/>
  <c r="D95" i="2" a="1"/>
  <c r="D95" i="2" s="1"/>
  <c r="D96" i="2" a="1"/>
  <c r="D96" i="2" s="1"/>
  <c r="D97" i="2" a="1"/>
  <c r="D97" i="2" s="1"/>
  <c r="D98" i="2" a="1"/>
  <c r="D98" i="2" s="1"/>
  <c r="D99" i="2" a="1"/>
  <c r="D99" i="2" s="1"/>
  <c r="D100" i="2" a="1"/>
  <c r="D100" i="2" s="1"/>
  <c r="D101" i="2" a="1"/>
  <c r="D101" i="2" s="1"/>
  <c r="D102" i="2" a="1"/>
  <c r="D102" i="2" s="1"/>
  <c r="D103" i="2" a="1"/>
  <c r="D103" i="2" s="1"/>
  <c r="D104" i="2" a="1"/>
  <c r="D104" i="2" s="1"/>
  <c r="D105" i="2" a="1"/>
  <c r="D105" i="2" s="1"/>
  <c r="D106" i="2" a="1"/>
  <c r="D106" i="2" s="1"/>
  <c r="D107" i="2" a="1"/>
  <c r="D107" i="2" s="1"/>
  <c r="D108" i="2" a="1"/>
  <c r="D108" i="2" s="1"/>
  <c r="D109" i="2" a="1"/>
  <c r="D109" i="2" s="1"/>
  <c r="D110" i="2" a="1"/>
  <c r="D110" i="2" s="1"/>
  <c r="D111" i="2" a="1"/>
  <c r="D111" i="2" s="1"/>
  <c r="D112" i="2" a="1"/>
  <c r="D112" i="2" s="1"/>
  <c r="D113" i="2" a="1"/>
  <c r="D113" i="2" s="1"/>
  <c r="D114" i="2" a="1"/>
  <c r="D114" i="2" s="1"/>
  <c r="D115" i="2" a="1"/>
  <c r="D115" i="2" s="1"/>
  <c r="D116" i="2" a="1"/>
  <c r="D116" i="2" s="1"/>
  <c r="D117" i="2" a="1"/>
  <c r="D117" i="2" s="1"/>
  <c r="D118" i="2" a="1"/>
  <c r="D118" i="2" s="1"/>
  <c r="D119" i="2" a="1"/>
  <c r="D119" i="2" s="1"/>
  <c r="D120" i="2" a="1"/>
  <c r="D120" i="2" s="1"/>
  <c r="D121" i="2" a="1"/>
  <c r="D121" i="2" s="1"/>
  <c r="D122" i="2" a="1"/>
  <c r="D122" i="2" s="1"/>
  <c r="D123" i="2" a="1"/>
  <c r="D123" i="2" s="1"/>
  <c r="D124" i="2" a="1"/>
  <c r="D124" i="2" s="1"/>
  <c r="D125" i="2" a="1"/>
  <c r="D125" i="2" s="1"/>
  <c r="D126" i="2" a="1"/>
  <c r="D126" i="2" s="1"/>
  <c r="D127" i="2" a="1"/>
  <c r="D127" i="2" s="1"/>
  <c r="D128" i="2" a="1"/>
  <c r="D128" i="2" s="1"/>
  <c r="D129" i="2" a="1"/>
  <c r="D129" i="2" s="1"/>
  <c r="D130" i="2" a="1"/>
  <c r="D130" i="2" s="1"/>
  <c r="D131" i="2" a="1"/>
  <c r="D131" i="2" s="1"/>
  <c r="D132" i="2" a="1"/>
  <c r="D132" i="2" s="1"/>
  <c r="D133" i="2" a="1"/>
  <c r="D133" i="2" s="1"/>
  <c r="D134" i="2" a="1"/>
  <c r="D134" i="2" s="1"/>
  <c r="D135" i="2" a="1"/>
  <c r="D135" i="2" s="1"/>
  <c r="D136" i="2" a="1"/>
  <c r="D136" i="2" s="1"/>
  <c r="D137" i="2" a="1"/>
  <c r="D137" i="2" s="1"/>
  <c r="D138" i="2" a="1"/>
  <c r="D138" i="2" s="1"/>
  <c r="D139" i="2" a="1"/>
  <c r="D139" i="2" s="1"/>
  <c r="D140" i="2" a="1"/>
  <c r="D140" i="2" s="1"/>
  <c r="D141" i="2" a="1"/>
  <c r="D141" i="2" s="1"/>
  <c r="D142" i="2" a="1"/>
  <c r="D142" i="2" s="1"/>
  <c r="D143" i="2" a="1"/>
  <c r="D143" i="2" s="1"/>
  <c r="D144" i="2" a="1"/>
  <c r="D144" i="2" s="1"/>
  <c r="D145" i="2" a="1"/>
  <c r="D145" i="2" s="1"/>
  <c r="D146" i="2" a="1"/>
  <c r="D146" i="2" s="1"/>
  <c r="D147" i="2" a="1"/>
  <c r="D147" i="2" s="1"/>
  <c r="D148" i="2" a="1"/>
  <c r="D148" i="2" s="1"/>
  <c r="D149" i="2" a="1"/>
  <c r="D149" i="2" s="1"/>
  <c r="D150" i="2" a="1"/>
  <c r="D150" i="2" s="1"/>
  <c r="D151" i="2" a="1"/>
  <c r="D151" i="2" s="1"/>
  <c r="D152" i="2" a="1"/>
  <c r="D152" i="2" s="1"/>
  <c r="D153" i="2" a="1"/>
  <c r="D153" i="2" s="1"/>
  <c r="D154" i="2" a="1"/>
  <c r="D154" i="2" s="1"/>
  <c r="D155" i="2" a="1"/>
  <c r="D155" i="2" s="1"/>
  <c r="D156" i="2" a="1"/>
  <c r="D156" i="2" s="1"/>
  <c r="D157" i="2" a="1"/>
  <c r="D157" i="2" s="1"/>
  <c r="D158" i="2" a="1"/>
  <c r="D158" i="2" s="1"/>
  <c r="D159" i="2" a="1"/>
  <c r="D159" i="2" s="1"/>
  <c r="D160" i="2" a="1"/>
  <c r="D160" i="2" s="1"/>
  <c r="D161" i="2" a="1"/>
  <c r="D161" i="2" s="1"/>
  <c r="D162" i="2" a="1"/>
  <c r="D162" i="2" s="1"/>
  <c r="D163" i="2" a="1"/>
  <c r="D163" i="2" s="1"/>
  <c r="D164" i="2" a="1"/>
  <c r="D164" i="2" s="1"/>
  <c r="D165" i="2" a="1"/>
  <c r="D165" i="2" s="1"/>
  <c r="D166" i="2" a="1"/>
  <c r="D166" i="2" s="1"/>
  <c r="D167" i="2" a="1"/>
  <c r="D167" i="2" s="1"/>
  <c r="D168" i="2" a="1"/>
  <c r="D168" i="2" s="1"/>
  <c r="D169" i="2" a="1"/>
  <c r="D169" i="2" s="1"/>
  <c r="D170" i="2" a="1"/>
  <c r="D170" i="2" s="1"/>
  <c r="D171" i="2" a="1"/>
  <c r="D171" i="2" s="1"/>
  <c r="D172" i="2" a="1"/>
  <c r="D172" i="2" s="1"/>
  <c r="D173" i="2" a="1"/>
  <c r="D173" i="2" s="1"/>
  <c r="D174" i="2" a="1"/>
  <c r="D174" i="2" s="1"/>
  <c r="D175" i="2" a="1"/>
  <c r="D175" i="2" s="1"/>
  <c r="D176" i="2" a="1"/>
  <c r="D176" i="2" s="1"/>
  <c r="D177" i="2" a="1"/>
  <c r="D177" i="2" s="1"/>
  <c r="D178" i="2" a="1"/>
  <c r="D178" i="2" s="1"/>
  <c r="D179" i="2" a="1"/>
  <c r="D179" i="2" s="1"/>
  <c r="D180" i="2" a="1"/>
  <c r="D180" i="2" s="1"/>
  <c r="D181" i="2" a="1"/>
  <c r="D181" i="2" s="1"/>
  <c r="D182" i="2" a="1"/>
  <c r="D182" i="2" s="1"/>
  <c r="D183" i="2" a="1"/>
  <c r="D183" i="2" s="1"/>
  <c r="D184" i="2" a="1"/>
  <c r="D184" i="2" s="1"/>
  <c r="D185" i="2" a="1"/>
  <c r="D185" i="2" s="1"/>
  <c r="D186" i="2" a="1"/>
  <c r="D186" i="2" s="1"/>
  <c r="D187" i="2" a="1"/>
  <c r="D187" i="2" s="1"/>
  <c r="D188" i="2" a="1"/>
  <c r="D188" i="2" s="1"/>
  <c r="D189" i="2" a="1"/>
  <c r="D189" i="2" s="1"/>
  <c r="D190" i="2" a="1"/>
  <c r="D190" i="2" s="1"/>
  <c r="D191" i="2" a="1"/>
  <c r="D191" i="2" s="1"/>
  <c r="D192" i="2" a="1"/>
  <c r="D192" i="2" s="1"/>
  <c r="D193" i="2" a="1"/>
  <c r="D193" i="2" s="1"/>
  <c r="D194" i="2" a="1"/>
  <c r="D194" i="2" s="1"/>
  <c r="D195" i="2" a="1"/>
  <c r="D195" i="2" s="1"/>
  <c r="D196" i="2" a="1"/>
  <c r="D196" i="2" s="1"/>
  <c r="D197" i="2" a="1"/>
  <c r="D197" i="2" s="1"/>
  <c r="D198" i="2" a="1"/>
  <c r="D198" i="2" s="1"/>
  <c r="D199" i="2" a="1"/>
  <c r="D199" i="2" s="1"/>
  <c r="D200" i="2" a="1"/>
  <c r="D200" i="2" s="1"/>
  <c r="D201" i="2" a="1"/>
  <c r="D201" i="2" s="1"/>
  <c r="D202" i="2" a="1"/>
  <c r="D202" i="2" s="1"/>
  <c r="D203" i="2" a="1"/>
  <c r="D203" i="2" s="1"/>
  <c r="D204" i="2" a="1"/>
  <c r="D204" i="2" s="1"/>
  <c r="D205" i="2" a="1"/>
  <c r="D205" i="2" s="1"/>
  <c r="D206" i="2" a="1"/>
  <c r="D206" i="2" s="1"/>
  <c r="D207" i="2" a="1"/>
  <c r="D207" i="2" s="1"/>
  <c r="D208" i="2" a="1"/>
  <c r="D208" i="2" s="1"/>
  <c r="D209" i="2" a="1"/>
  <c r="D209" i="2" s="1"/>
  <c r="D210" i="2" a="1"/>
  <c r="D210" i="2" s="1"/>
  <c r="D211" i="2" a="1"/>
  <c r="D211" i="2" s="1"/>
  <c r="D212" i="2" a="1"/>
  <c r="D212" i="2" s="1"/>
  <c r="D213" i="2" a="1"/>
  <c r="D213" i="2" s="1"/>
  <c r="D214" i="2" a="1"/>
  <c r="D214" i="2" s="1"/>
  <c r="D215" i="2" a="1"/>
  <c r="D215" i="2" s="1"/>
  <c r="D216" i="2" a="1"/>
  <c r="D216" i="2" s="1"/>
  <c r="D217" i="2" a="1"/>
  <c r="D217" i="2" s="1"/>
  <c r="D218" i="2" a="1"/>
  <c r="D218" i="2" s="1"/>
  <c r="D219" i="2" a="1"/>
  <c r="D219" i="2" s="1"/>
  <c r="D220" i="2" a="1"/>
  <c r="D220" i="2" s="1"/>
  <c r="D221" i="2" a="1"/>
  <c r="D221" i="2" s="1"/>
  <c r="D222" i="2" a="1"/>
  <c r="D222" i="2" s="1"/>
  <c r="D223" i="2" a="1"/>
  <c r="D223" i="2" s="1"/>
  <c r="D224" i="2" a="1"/>
  <c r="D224" i="2" s="1"/>
  <c r="D225" i="2" a="1"/>
  <c r="D225" i="2" s="1"/>
  <c r="D226" i="2" a="1"/>
  <c r="D226" i="2" s="1"/>
  <c r="D227" i="2" a="1"/>
  <c r="D227" i="2" s="1"/>
  <c r="D228" i="2" a="1"/>
  <c r="D228" i="2" s="1"/>
  <c r="D229" i="2" a="1"/>
  <c r="D229" i="2" s="1"/>
  <c r="D230" i="2" a="1"/>
  <c r="D230" i="2" s="1"/>
  <c r="D231" i="2" a="1"/>
  <c r="D231" i="2" s="1"/>
  <c r="D232" i="2" a="1"/>
  <c r="D232" i="2" s="1"/>
  <c r="D233" i="2" a="1"/>
  <c r="D233" i="2" s="1"/>
  <c r="D234" i="2" a="1"/>
  <c r="D234" i="2" s="1"/>
  <c r="D235" i="2" a="1"/>
  <c r="D235" i="2" s="1"/>
  <c r="D236" i="2" a="1"/>
  <c r="D236" i="2" s="1"/>
  <c r="D237" i="2" a="1"/>
  <c r="D237" i="2" s="1"/>
  <c r="D238" i="2" a="1"/>
  <c r="D238" i="2" s="1"/>
  <c r="D239" i="2" a="1"/>
  <c r="D239" i="2" s="1"/>
  <c r="D240" i="2" a="1"/>
  <c r="D240" i="2" s="1"/>
  <c r="D241" i="2" a="1"/>
  <c r="D241" i="2" s="1"/>
  <c r="D242" i="2" a="1"/>
  <c r="D242" i="2" s="1"/>
  <c r="D243" i="2" a="1"/>
  <c r="D243" i="2" s="1"/>
  <c r="D244" i="2" a="1"/>
  <c r="D244" i="2" s="1"/>
  <c r="D245" i="2" a="1"/>
  <c r="D245" i="2" s="1"/>
  <c r="D246" i="2" a="1"/>
  <c r="D246" i="2" s="1"/>
  <c r="D247" i="2" a="1"/>
  <c r="D247" i="2" s="1"/>
  <c r="D248" i="2" a="1"/>
  <c r="D248" i="2" s="1"/>
  <c r="D249" i="2" a="1"/>
  <c r="D249" i="2" s="1"/>
  <c r="D250" i="2" a="1"/>
  <c r="D250" i="2" s="1"/>
  <c r="D251" i="2" a="1"/>
  <c r="D251" i="2" s="1"/>
  <c r="D252" i="2" a="1"/>
  <c r="D252" i="2" s="1"/>
  <c r="D253" i="2" a="1"/>
  <c r="D253" i="2" s="1"/>
  <c r="D254" i="2" a="1"/>
  <c r="D254" i="2" s="1"/>
  <c r="D255" i="2" a="1"/>
  <c r="D255" i="2" s="1"/>
  <c r="D256" i="2" a="1"/>
  <c r="D256" i="2" s="1"/>
  <c r="D257" i="2" a="1"/>
  <c r="D257" i="2" s="1"/>
  <c r="D258" i="2" a="1"/>
  <c r="D258" i="2" s="1"/>
  <c r="D259" i="2" a="1"/>
  <c r="D259" i="2" s="1"/>
  <c r="D260" i="2" a="1"/>
  <c r="D260" i="2" s="1"/>
  <c r="D261" i="2" a="1"/>
  <c r="D261" i="2" s="1"/>
  <c r="D262" i="2" a="1"/>
  <c r="D262" i="2" s="1"/>
  <c r="D263" i="2" a="1"/>
  <c r="D263" i="2" s="1"/>
  <c r="D264" i="2" a="1"/>
  <c r="D264" i="2" s="1"/>
  <c r="D265" i="2" a="1"/>
  <c r="D265" i="2" s="1"/>
  <c r="D266" i="2" a="1"/>
  <c r="D266" i="2" s="1"/>
  <c r="D267" i="2" a="1"/>
  <c r="D267" i="2" s="1"/>
  <c r="D268" i="2" a="1"/>
  <c r="D268" i="2" s="1"/>
  <c r="D269" i="2" a="1"/>
  <c r="D269" i="2" s="1"/>
  <c r="D270" i="2" a="1"/>
  <c r="D270" i="2" s="1"/>
  <c r="D271" i="2" a="1"/>
  <c r="D271" i="2" s="1"/>
  <c r="D272" i="2" a="1"/>
  <c r="D272" i="2" s="1"/>
  <c r="D273" i="2" a="1"/>
  <c r="D273" i="2" s="1"/>
  <c r="D274" i="2" a="1"/>
  <c r="D274" i="2" s="1"/>
  <c r="D275" i="2" a="1"/>
  <c r="D275" i="2" s="1"/>
  <c r="D276" i="2" a="1"/>
  <c r="D276" i="2" s="1"/>
  <c r="D277" i="2" a="1"/>
  <c r="D277" i="2" s="1"/>
  <c r="D278" i="2" a="1"/>
  <c r="D278" i="2" s="1"/>
  <c r="D279" i="2" a="1"/>
  <c r="D279" i="2" s="1"/>
  <c r="D280" i="2" a="1"/>
  <c r="D280" i="2" s="1"/>
  <c r="D281" i="2" a="1"/>
  <c r="D281" i="2" s="1"/>
  <c r="D282" i="2" a="1"/>
  <c r="D282" i="2" s="1"/>
  <c r="D283" i="2" a="1"/>
  <c r="D283" i="2" s="1"/>
  <c r="D284" i="2" a="1"/>
  <c r="D284" i="2" s="1"/>
  <c r="D285" i="2" a="1"/>
  <c r="D285" i="2" s="1"/>
  <c r="D286" i="2" a="1"/>
  <c r="D286" i="2" s="1"/>
  <c r="D287" i="2" a="1"/>
  <c r="D287" i="2" s="1"/>
  <c r="D288" i="2" a="1"/>
  <c r="D288" i="2" s="1"/>
  <c r="D289" i="2" a="1"/>
  <c r="D289" i="2" s="1"/>
  <c r="D290" i="2" a="1"/>
  <c r="D290" i="2" s="1"/>
  <c r="D291" i="2" a="1"/>
  <c r="D291" i="2" s="1"/>
  <c r="D292" i="2" a="1"/>
  <c r="D292" i="2" s="1"/>
  <c r="D293" i="2" a="1"/>
  <c r="D293" i="2" s="1"/>
  <c r="D294" i="2" a="1"/>
  <c r="D294" i="2" s="1"/>
  <c r="D295" i="2" a="1"/>
  <c r="D295" i="2" s="1"/>
  <c r="D296" i="2" a="1"/>
  <c r="D296" i="2" s="1"/>
  <c r="D297" i="2" a="1"/>
  <c r="D297" i="2" s="1"/>
  <c r="D298" i="2" a="1"/>
  <c r="D298" i="2" s="1"/>
  <c r="D299" i="2" a="1"/>
  <c r="D299" i="2" s="1"/>
  <c r="D300" i="2" a="1"/>
  <c r="D300" i="2" s="1"/>
  <c r="D301" i="2" a="1"/>
  <c r="D301" i="2" s="1"/>
  <c r="D302" i="2" a="1"/>
  <c r="D302" i="2" s="1"/>
  <c r="D303" i="2" a="1"/>
  <c r="D303" i="2" s="1"/>
  <c r="D304" i="2" a="1"/>
  <c r="D304" i="2" s="1"/>
  <c r="D305" i="2" a="1"/>
  <c r="D305" i="2" s="1"/>
  <c r="D306" i="2" a="1"/>
  <c r="D306" i="2" s="1"/>
  <c r="D307" i="2" a="1"/>
  <c r="D307" i="2" s="1"/>
  <c r="D308" i="2" a="1"/>
  <c r="D308" i="2" s="1"/>
  <c r="D309" i="2" a="1"/>
  <c r="D309" i="2" s="1"/>
  <c r="D310" i="2" a="1"/>
  <c r="D310" i="2" s="1"/>
  <c r="D311" i="2" a="1"/>
  <c r="D311" i="2" s="1"/>
  <c r="D312" i="2" a="1"/>
  <c r="D312" i="2" s="1"/>
  <c r="D313" i="2" a="1"/>
  <c r="D313" i="2" s="1"/>
  <c r="D314" i="2" a="1"/>
  <c r="D314" i="2" s="1"/>
  <c r="D315" i="2" a="1"/>
  <c r="D315" i="2" s="1"/>
  <c r="D316" i="2" a="1"/>
  <c r="D316" i="2" s="1"/>
  <c r="D317" i="2" a="1"/>
  <c r="D317" i="2" s="1"/>
  <c r="D318" i="2" a="1"/>
  <c r="D318" i="2" s="1"/>
  <c r="D319" i="2" a="1"/>
  <c r="D319" i="2" s="1"/>
  <c r="D320" i="2" a="1"/>
  <c r="D320" i="2" s="1"/>
  <c r="D321" i="2" a="1"/>
  <c r="D321" i="2" s="1"/>
  <c r="D322" i="2" a="1"/>
  <c r="D322" i="2" s="1"/>
  <c r="D323" i="2" a="1"/>
  <c r="D323" i="2" s="1"/>
  <c r="D324" i="2" a="1"/>
  <c r="D324" i="2" s="1"/>
  <c r="D325" i="2" a="1"/>
  <c r="D325" i="2" s="1"/>
  <c r="D326" i="2" a="1"/>
  <c r="D326" i="2" s="1"/>
  <c r="D327" i="2" a="1"/>
  <c r="D327" i="2" s="1"/>
  <c r="D328" i="2" a="1"/>
  <c r="D328" i="2" s="1"/>
  <c r="D329" i="2" a="1"/>
  <c r="D329" i="2" s="1"/>
  <c r="D330" i="2" a="1"/>
  <c r="D330" i="2" s="1"/>
  <c r="D331" i="2" a="1"/>
  <c r="D331" i="2" s="1"/>
  <c r="D332" i="2" a="1"/>
  <c r="D332" i="2" s="1"/>
  <c r="D333" i="2" a="1"/>
  <c r="D333" i="2" s="1"/>
  <c r="D334" i="2" a="1"/>
  <c r="D334" i="2" s="1"/>
  <c r="D335" i="2" a="1"/>
  <c r="D335" i="2" s="1"/>
  <c r="D336" i="2" a="1"/>
  <c r="D336" i="2" s="1"/>
  <c r="D337" i="2" a="1"/>
  <c r="D337" i="2" s="1"/>
  <c r="D338" i="2" a="1"/>
  <c r="D338" i="2" s="1"/>
  <c r="D339" i="2" a="1"/>
  <c r="D339" i="2" s="1"/>
  <c r="D340" i="2" a="1"/>
  <c r="D340" i="2" s="1"/>
  <c r="D341" i="2" a="1"/>
  <c r="D341" i="2" s="1"/>
  <c r="D342" i="2" a="1"/>
  <c r="D342" i="2" s="1"/>
  <c r="D343" i="2" a="1"/>
  <c r="D343" i="2" s="1"/>
  <c r="D344" i="2" a="1"/>
  <c r="D344" i="2" s="1"/>
  <c r="D345" i="2" a="1"/>
  <c r="D345" i="2" s="1"/>
  <c r="D346" i="2" a="1"/>
  <c r="D346" i="2" s="1"/>
  <c r="D347" i="2" a="1"/>
  <c r="D347" i="2" s="1"/>
  <c r="D348" i="2" a="1"/>
  <c r="D348" i="2" s="1"/>
  <c r="D349" i="2" a="1"/>
  <c r="D349" i="2" s="1"/>
  <c r="D350" i="2" a="1"/>
  <c r="D350" i="2" s="1"/>
  <c r="D351" i="2" a="1"/>
  <c r="D351" i="2" s="1"/>
  <c r="D352" i="2" a="1"/>
  <c r="D352" i="2" s="1"/>
  <c r="D353" i="2" a="1"/>
  <c r="D353" i="2" s="1"/>
  <c r="D354" i="2" a="1"/>
  <c r="D354" i="2" s="1"/>
  <c r="D355" i="2" a="1"/>
  <c r="D355" i="2" s="1"/>
  <c r="D356" i="2" a="1"/>
  <c r="D356" i="2" s="1"/>
  <c r="D357" i="2" a="1"/>
  <c r="D357" i="2" s="1"/>
  <c r="D358" i="2" a="1"/>
  <c r="D358" i="2" s="1"/>
  <c r="D359" i="2" a="1"/>
  <c r="D359" i="2" s="1"/>
  <c r="D360" i="2" a="1"/>
  <c r="D360" i="2" s="1"/>
  <c r="D361" i="2" a="1"/>
  <c r="D361" i="2" s="1"/>
  <c r="D362" i="2" a="1"/>
  <c r="D362" i="2" s="1"/>
  <c r="D363" i="2" a="1"/>
  <c r="D363" i="2" s="1"/>
  <c r="D364" i="2" a="1"/>
  <c r="D364" i="2" s="1"/>
  <c r="D365" i="2" a="1"/>
  <c r="D365" i="2" s="1"/>
  <c r="D366" i="2" a="1"/>
  <c r="D366" i="2" s="1"/>
  <c r="D367" i="2" a="1"/>
  <c r="D367" i="2" s="1"/>
  <c r="D368" i="2" a="1"/>
  <c r="D368" i="2" s="1"/>
  <c r="D369" i="2" a="1"/>
  <c r="D369" i="2" s="1"/>
  <c r="D370" i="2" a="1"/>
  <c r="D370" i="2" s="1"/>
  <c r="D371" i="2" a="1"/>
  <c r="D371" i="2" s="1"/>
  <c r="D372" i="2" a="1"/>
  <c r="D372" i="2" s="1"/>
  <c r="D373" i="2" a="1"/>
  <c r="D373" i="2" s="1"/>
  <c r="D374" i="2" a="1"/>
  <c r="D374" i="2" s="1"/>
  <c r="D375" i="2" a="1"/>
  <c r="D375" i="2" s="1"/>
  <c r="D376" i="2" a="1"/>
  <c r="D376" i="2" s="1"/>
  <c r="D377" i="2" a="1"/>
  <c r="D377" i="2" s="1"/>
  <c r="D378" i="2" a="1"/>
  <c r="D378" i="2" s="1"/>
  <c r="D379" i="2" a="1"/>
  <c r="D379" i="2" s="1"/>
  <c r="D380" i="2" a="1"/>
  <c r="D380" i="2" s="1"/>
  <c r="D381" i="2" a="1"/>
  <c r="D381" i="2" s="1"/>
  <c r="D382" i="2" a="1"/>
  <c r="D382" i="2" s="1"/>
  <c r="D383" i="2" a="1"/>
  <c r="D383" i="2" s="1"/>
  <c r="D384" i="2" a="1"/>
  <c r="D384" i="2" s="1"/>
  <c r="D385" i="2" a="1"/>
  <c r="D385" i="2" s="1"/>
  <c r="D386" i="2" a="1"/>
  <c r="D386" i="2" s="1"/>
  <c r="D387" i="2" a="1"/>
  <c r="D387" i="2" s="1"/>
  <c r="D388" i="2" a="1"/>
  <c r="D388" i="2" s="1"/>
  <c r="D389" i="2" a="1"/>
  <c r="D389" i="2" s="1"/>
  <c r="D390" i="2" a="1"/>
  <c r="D390" i="2" s="1"/>
  <c r="D391" i="2" a="1"/>
  <c r="D391" i="2" s="1"/>
  <c r="D392" i="2" a="1"/>
  <c r="D392" i="2" s="1"/>
  <c r="D393" i="2" a="1"/>
  <c r="D393" i="2" s="1"/>
  <c r="D394" i="2" a="1"/>
  <c r="D394" i="2" s="1"/>
  <c r="D395" i="2" a="1"/>
  <c r="D395" i="2" s="1"/>
  <c r="D396" i="2" a="1"/>
  <c r="D396" i="2" s="1"/>
  <c r="D397" i="2" a="1"/>
  <c r="D397" i="2" s="1"/>
  <c r="D398" i="2" a="1"/>
  <c r="D398" i="2" s="1"/>
  <c r="D399" i="2" a="1"/>
  <c r="D399" i="2" s="1"/>
  <c r="D400" i="2" a="1"/>
  <c r="D400" i="2" s="1"/>
  <c r="D401" i="2" a="1"/>
  <c r="D401" i="2" s="1"/>
  <c r="D402" i="2" a="1"/>
  <c r="D402" i="2" s="1"/>
  <c r="D403" i="2" a="1"/>
  <c r="D403" i="2" s="1"/>
  <c r="D404" i="2" a="1"/>
  <c r="D404" i="2" s="1"/>
  <c r="D405" i="2" a="1"/>
  <c r="D405" i="2" s="1"/>
  <c r="D406" i="2" a="1"/>
  <c r="D406" i="2" s="1"/>
  <c r="D407" i="2" a="1"/>
  <c r="D407" i="2" s="1"/>
  <c r="D408" i="2" a="1"/>
  <c r="D408" i="2" s="1"/>
  <c r="D409" i="2" a="1"/>
  <c r="D409" i="2" s="1"/>
  <c r="D410" i="2" a="1"/>
  <c r="D410" i="2"/>
  <c r="D411" i="2" a="1"/>
  <c r="D411" i="2" s="1"/>
  <c r="D412" i="2" a="1"/>
  <c r="D412" i="2" s="1"/>
  <c r="D413" i="2" a="1"/>
  <c r="D413" i="2" s="1"/>
  <c r="D414" i="2" a="1"/>
  <c r="D414" i="2" s="1"/>
  <c r="D415" i="2" a="1"/>
  <c r="D415" i="2" s="1"/>
  <c r="D416" i="2" a="1"/>
  <c r="D416" i="2" s="1"/>
  <c r="D417" i="2" a="1"/>
  <c r="D417" i="2" s="1"/>
  <c r="D418" i="2" a="1"/>
  <c r="D418" i="2" s="1"/>
  <c r="D419" i="2" a="1"/>
  <c r="D419" i="2" s="1"/>
  <c r="D420" i="2" a="1"/>
  <c r="D420" i="2" s="1"/>
  <c r="D421" i="2" a="1"/>
  <c r="D421" i="2" s="1"/>
  <c r="D422" i="2" a="1"/>
  <c r="D422" i="2" s="1"/>
  <c r="D423" i="2" a="1"/>
  <c r="D423" i="2" s="1"/>
  <c r="D424" i="2" a="1"/>
  <c r="D424" i="2" s="1"/>
  <c r="D425" i="2" a="1"/>
  <c r="D425" i="2" s="1"/>
  <c r="D426" i="2" a="1"/>
  <c r="D426" i="2" s="1"/>
  <c r="D427" i="2" a="1"/>
  <c r="D427" i="2" s="1"/>
  <c r="D428" i="2" a="1"/>
  <c r="D428" i="2" s="1"/>
  <c r="D429" i="2" a="1"/>
  <c r="D429" i="2" s="1"/>
  <c r="D430" i="2" a="1"/>
  <c r="D430" i="2" s="1"/>
  <c r="D431" i="2" a="1"/>
  <c r="D431" i="2" s="1"/>
  <c r="D432" i="2" a="1"/>
  <c r="D432" i="2" s="1"/>
  <c r="D433" i="2" a="1"/>
  <c r="D433" i="2" s="1"/>
  <c r="D434" i="2" a="1"/>
  <c r="D434" i="2" s="1"/>
  <c r="D435" i="2" a="1"/>
  <c r="D435" i="2" s="1"/>
  <c r="D436" i="2" a="1"/>
  <c r="D436" i="2" s="1"/>
  <c r="D437" i="2" a="1"/>
  <c r="D437" i="2" s="1"/>
  <c r="D438" i="2" a="1"/>
  <c r="D438" i="2" s="1"/>
  <c r="D439" i="2" a="1"/>
  <c r="D439" i="2" s="1"/>
  <c r="D440" i="2" a="1"/>
  <c r="D440" i="2" s="1"/>
  <c r="D441" i="2" a="1"/>
  <c r="D441" i="2" s="1"/>
  <c r="D442" i="2" a="1"/>
  <c r="D442" i="2" s="1"/>
  <c r="D443" i="2" a="1"/>
  <c r="D443" i="2" s="1"/>
  <c r="D444" i="2" a="1"/>
  <c r="D444" i="2" s="1"/>
  <c r="D445" i="2" a="1"/>
  <c r="D445" i="2" s="1"/>
  <c r="D446" i="2" a="1"/>
  <c r="D446" i="2" s="1"/>
  <c r="D447" i="2" a="1"/>
  <c r="D447" i="2" s="1"/>
  <c r="D448" i="2" a="1"/>
  <c r="D448" i="2" s="1"/>
  <c r="D449" i="2" a="1"/>
  <c r="D449" i="2" s="1"/>
  <c r="D450" i="2" a="1"/>
  <c r="D450" i="2" s="1"/>
  <c r="D451" i="2" a="1"/>
  <c r="D451" i="2" s="1"/>
  <c r="D452" i="2" a="1"/>
  <c r="D452" i="2" s="1"/>
  <c r="D453" i="2" a="1"/>
  <c r="D453" i="2" s="1"/>
  <c r="D454" i="2" a="1"/>
  <c r="D454" i="2" s="1"/>
  <c r="D455" i="2" a="1"/>
  <c r="D455" i="2" s="1"/>
  <c r="D456" i="2" a="1"/>
  <c r="D456" i="2" s="1"/>
  <c r="D457" i="2" a="1"/>
  <c r="D457" i="2" s="1"/>
  <c r="D458" i="2" a="1"/>
  <c r="D458" i="2" s="1"/>
  <c r="D459" i="2" a="1"/>
  <c r="D459" i="2" s="1"/>
  <c r="D460" i="2" a="1"/>
  <c r="D460" i="2" s="1"/>
  <c r="D461" i="2" a="1"/>
  <c r="D461" i="2" s="1"/>
  <c r="D462" i="2" a="1"/>
  <c r="D462" i="2" s="1"/>
  <c r="D463" i="2" a="1"/>
  <c r="D463" i="2" s="1"/>
  <c r="D464" i="2" a="1"/>
  <c r="D464" i="2" s="1"/>
  <c r="D465" i="2" a="1"/>
  <c r="D465" i="2" s="1"/>
  <c r="D466" i="2" a="1"/>
  <c r="D466" i="2" s="1"/>
  <c r="D467" i="2" a="1"/>
  <c r="D467" i="2" s="1"/>
  <c r="D468" i="2" a="1"/>
  <c r="D468" i="2" s="1"/>
  <c r="D469" i="2" a="1"/>
  <c r="D469" i="2" s="1"/>
  <c r="D470" i="2" a="1"/>
  <c r="D470" i="2" s="1"/>
  <c r="D471" i="2" a="1"/>
  <c r="D471" i="2" s="1"/>
  <c r="D472" i="2" a="1"/>
  <c r="D472" i="2" s="1"/>
  <c r="D473" i="2" a="1"/>
  <c r="D473" i="2" s="1"/>
  <c r="D474" i="2" a="1"/>
  <c r="D474" i="2" s="1"/>
  <c r="D475" i="2" a="1"/>
  <c r="D475" i="2" s="1"/>
  <c r="D476" i="2" a="1"/>
  <c r="D476" i="2" s="1"/>
  <c r="D477" i="2" a="1"/>
  <c r="D477" i="2" s="1"/>
  <c r="D478" i="2" a="1"/>
  <c r="D478" i="2" s="1"/>
  <c r="D479" i="2" a="1"/>
  <c r="D479" i="2" s="1"/>
  <c r="D480" i="2" a="1"/>
  <c r="D480" i="2" s="1"/>
  <c r="D481" i="2" a="1"/>
  <c r="D481" i="2" s="1"/>
  <c r="D482" i="2" a="1"/>
  <c r="D482" i="2" s="1"/>
  <c r="D483" i="2" a="1"/>
  <c r="D483" i="2" s="1"/>
  <c r="D484" i="2" a="1"/>
  <c r="D484" i="2" s="1"/>
  <c r="D485" i="2" a="1"/>
  <c r="D485" i="2" s="1"/>
  <c r="D486" i="2" a="1"/>
  <c r="D486" i="2" s="1"/>
  <c r="D487" i="2" a="1"/>
  <c r="D487" i="2" s="1"/>
  <c r="D488" i="2" a="1"/>
  <c r="D488" i="2" s="1"/>
  <c r="D489" i="2" a="1"/>
  <c r="D489" i="2" s="1"/>
  <c r="D490" i="2" a="1"/>
  <c r="D490" i="2" s="1"/>
  <c r="D491" i="2" a="1"/>
  <c r="D491" i="2" s="1"/>
  <c r="D492" i="2" a="1"/>
  <c r="D492" i="2" s="1"/>
  <c r="D493" i="2" a="1"/>
  <c r="D493" i="2" s="1"/>
  <c r="D494" i="2" a="1"/>
  <c r="D494" i="2" s="1"/>
  <c r="D495" i="2" a="1"/>
  <c r="D495" i="2" s="1"/>
  <c r="D496" i="2" a="1"/>
  <c r="D496" i="2" s="1"/>
  <c r="D497" i="2" a="1"/>
  <c r="D497" i="2" s="1"/>
  <c r="D498" i="2" a="1"/>
  <c r="D498" i="2" s="1"/>
  <c r="D499" i="2" a="1"/>
  <c r="D499" i="2" s="1"/>
  <c r="D500" i="2" a="1"/>
  <c r="D500" i="2" s="1"/>
  <c r="D501" i="2" a="1"/>
  <c r="D501" i="2" s="1"/>
  <c r="D502" i="2" a="1"/>
  <c r="D502" i="2" s="1"/>
  <c r="D503" i="2" a="1"/>
  <c r="D503" i="2" s="1"/>
  <c r="D504" i="2" a="1"/>
  <c r="D504" i="2" s="1"/>
  <c r="D505" i="2" a="1"/>
  <c r="D505" i="2" s="1"/>
  <c r="D506" i="2" a="1"/>
  <c r="D506" i="2" s="1"/>
  <c r="D507" i="2" a="1"/>
  <c r="D507" i="2" s="1"/>
  <c r="D508" i="2" a="1"/>
  <c r="D508" i="2" s="1"/>
  <c r="D509" i="2" a="1"/>
  <c r="D509" i="2" s="1"/>
  <c r="D510" i="2" a="1"/>
  <c r="D510" i="2" s="1"/>
  <c r="D511" i="2" a="1"/>
  <c r="D511" i="2" s="1"/>
  <c r="D512" i="2" a="1"/>
  <c r="D512" i="2" s="1"/>
  <c r="D513" i="2" a="1"/>
  <c r="D513" i="2" s="1"/>
  <c r="D514" i="2" a="1"/>
  <c r="D514" i="2" s="1"/>
  <c r="D515" i="2" a="1"/>
  <c r="D515" i="2" s="1"/>
  <c r="D516" i="2" a="1"/>
  <c r="D516" i="2" s="1"/>
  <c r="D517" i="2" a="1"/>
  <c r="D517" i="2" s="1"/>
  <c r="D518" i="2" a="1"/>
  <c r="D518" i="2" s="1"/>
  <c r="D519" i="2" a="1"/>
  <c r="D519" i="2" s="1"/>
  <c r="D520" i="2" a="1"/>
  <c r="D520" i="2" s="1"/>
  <c r="D2" i="2" a="1"/>
  <c r="D2" i="2" s="1"/>
  <c r="C2" i="2" a="1"/>
  <c r="C2" i="2" s="1"/>
  <c r="B3" i="2" a="1"/>
  <c r="B3" i="2" s="1"/>
  <c r="B4" i="2" a="1"/>
  <c r="B4" i="2" s="1"/>
  <c r="B5" i="2" a="1"/>
  <c r="B5" i="2" s="1"/>
  <c r="B6" i="2" a="1"/>
  <c r="B6" i="2" s="1"/>
  <c r="B7" i="2" a="1"/>
  <c r="B7" i="2" s="1"/>
  <c r="B8" i="2" a="1"/>
  <c r="B8" i="2" s="1"/>
  <c r="B9" i="2" a="1"/>
  <c r="B9" i="2" s="1"/>
  <c r="B10" i="2" a="1"/>
  <c r="B10" i="2" s="1"/>
  <c r="B11" i="2" a="1"/>
  <c r="B11" i="2" s="1"/>
  <c r="B12" i="2" a="1"/>
  <c r="B12" i="2" s="1"/>
  <c r="B13" i="2" a="1"/>
  <c r="B13" i="2" s="1"/>
  <c r="B14" i="2" a="1"/>
  <c r="B14" i="2" s="1"/>
  <c r="B15" i="2" a="1"/>
  <c r="B15" i="2" s="1"/>
  <c r="B16" i="2" a="1"/>
  <c r="B16" i="2" s="1"/>
  <c r="B17" i="2" a="1"/>
  <c r="B17" i="2" s="1"/>
  <c r="B18" i="2" a="1"/>
  <c r="B18" i="2" s="1"/>
  <c r="B19" i="2" a="1"/>
  <c r="B19" i="2" s="1"/>
  <c r="B20" i="2" a="1"/>
  <c r="B20" i="2" s="1"/>
  <c r="B21" i="2" a="1"/>
  <c r="B21" i="2" s="1"/>
  <c r="B22" i="2" a="1"/>
  <c r="B22" i="2" s="1"/>
  <c r="B23" i="2" a="1"/>
  <c r="B23" i="2" s="1"/>
  <c r="B24" i="2" a="1"/>
  <c r="B24" i="2" s="1"/>
  <c r="B25" i="2" a="1"/>
  <c r="B25" i="2" s="1"/>
  <c r="B26" i="2" a="1"/>
  <c r="B26" i="2" s="1"/>
  <c r="B27" i="2" a="1"/>
  <c r="B27" i="2"/>
  <c r="B28" i="2" a="1"/>
  <c r="B28" i="2" s="1"/>
  <c r="B29" i="2" a="1"/>
  <c r="B29" i="2" s="1"/>
  <c r="B30" i="2" a="1"/>
  <c r="B30" i="2" s="1"/>
  <c r="B31" i="2" a="1"/>
  <c r="B31" i="2" s="1"/>
  <c r="B32" i="2" a="1"/>
  <c r="B32" i="2" s="1"/>
  <c r="B33" i="2" a="1"/>
  <c r="B33" i="2" s="1"/>
  <c r="B34" i="2" a="1"/>
  <c r="B34" i="2" s="1"/>
  <c r="B35" i="2" a="1"/>
  <c r="B35" i="2" s="1"/>
  <c r="B36" i="2" a="1"/>
  <c r="B36" i="2" s="1"/>
  <c r="B37" i="2" a="1"/>
  <c r="B37" i="2" s="1"/>
  <c r="B38" i="2" a="1"/>
  <c r="B38" i="2" s="1"/>
  <c r="B39" i="2" a="1"/>
  <c r="B39" i="2" s="1"/>
  <c r="B40" i="2" a="1"/>
  <c r="B40" i="2" s="1"/>
  <c r="B41" i="2" a="1"/>
  <c r="B41" i="2" s="1"/>
  <c r="B42" i="2" a="1"/>
  <c r="B42" i="2" s="1"/>
  <c r="B43" i="2" a="1"/>
  <c r="B43" i="2" s="1"/>
  <c r="B44" i="2" a="1"/>
  <c r="B44" i="2" s="1"/>
  <c r="B45" i="2" a="1"/>
  <c r="B45" i="2" s="1"/>
  <c r="B46" i="2" a="1"/>
  <c r="B46" i="2" s="1"/>
  <c r="B47" i="2" a="1"/>
  <c r="B47" i="2" s="1"/>
  <c r="B48" i="2" a="1"/>
  <c r="B48" i="2" s="1"/>
  <c r="B49" i="2" a="1"/>
  <c r="B49" i="2" s="1"/>
  <c r="B50" i="2" a="1"/>
  <c r="B50" i="2" s="1"/>
  <c r="B51" i="2" a="1"/>
  <c r="B51" i="2" s="1"/>
  <c r="B52" i="2" a="1"/>
  <c r="B52" i="2" s="1"/>
  <c r="B53" i="2" a="1"/>
  <c r="B53" i="2" s="1"/>
  <c r="B54" i="2" a="1"/>
  <c r="B54" i="2" s="1"/>
  <c r="B55" i="2" a="1"/>
  <c r="B55" i="2" s="1"/>
  <c r="B56" i="2" a="1"/>
  <c r="B56" i="2" s="1"/>
  <c r="B57" i="2" a="1"/>
  <c r="B57" i="2" s="1"/>
  <c r="B58" i="2" a="1"/>
  <c r="B58" i="2" s="1"/>
  <c r="B59" i="2" a="1"/>
  <c r="B59" i="2" s="1"/>
  <c r="B60" i="2" a="1"/>
  <c r="B60" i="2" s="1"/>
  <c r="B61" i="2" a="1"/>
  <c r="B61" i="2" s="1"/>
  <c r="B62" i="2" a="1"/>
  <c r="B62" i="2" s="1"/>
  <c r="B63" i="2" a="1"/>
  <c r="B63" i="2" s="1"/>
  <c r="B64" i="2" a="1"/>
  <c r="B64" i="2" s="1"/>
  <c r="B65" i="2" a="1"/>
  <c r="B65" i="2" s="1"/>
  <c r="B66" i="2" a="1"/>
  <c r="B66" i="2" s="1"/>
  <c r="B67" i="2" a="1"/>
  <c r="B67" i="2" s="1"/>
  <c r="B68" i="2" a="1"/>
  <c r="B68" i="2" s="1"/>
  <c r="B69" i="2" a="1"/>
  <c r="B69" i="2" s="1"/>
  <c r="B70" i="2" a="1"/>
  <c r="B70" i="2" s="1"/>
  <c r="B71" i="2" a="1"/>
  <c r="B71" i="2" s="1"/>
  <c r="B72" i="2" a="1"/>
  <c r="B72" i="2" s="1"/>
  <c r="B73" i="2" a="1"/>
  <c r="B73" i="2" s="1"/>
  <c r="B74" i="2" a="1"/>
  <c r="B74" i="2" s="1"/>
  <c r="B75" i="2" a="1"/>
  <c r="B75" i="2" s="1"/>
  <c r="B76" i="2" a="1"/>
  <c r="B76" i="2" s="1"/>
  <c r="B77" i="2" a="1"/>
  <c r="B77" i="2" s="1"/>
  <c r="B78" i="2" a="1"/>
  <c r="B78" i="2" s="1"/>
  <c r="B79" i="2" a="1"/>
  <c r="B79" i="2" s="1"/>
  <c r="B80" i="2" a="1"/>
  <c r="B80" i="2" s="1"/>
  <c r="B81" i="2" a="1"/>
  <c r="B81" i="2" s="1"/>
  <c r="B82" i="2" a="1"/>
  <c r="B82" i="2" s="1"/>
  <c r="B83" i="2" a="1"/>
  <c r="B83" i="2" s="1"/>
  <c r="B84" i="2" a="1"/>
  <c r="B84" i="2" s="1"/>
  <c r="B85" i="2" a="1"/>
  <c r="B85" i="2" s="1"/>
  <c r="B86" i="2" a="1"/>
  <c r="B86" i="2" s="1"/>
  <c r="B87" i="2" a="1"/>
  <c r="B87" i="2" s="1"/>
  <c r="B88" i="2" a="1"/>
  <c r="B88" i="2" s="1"/>
  <c r="B89" i="2" a="1"/>
  <c r="B89" i="2" s="1"/>
  <c r="B90" i="2" a="1"/>
  <c r="B90" i="2" s="1"/>
  <c r="B91" i="2" a="1"/>
  <c r="B91" i="2" s="1"/>
  <c r="B92" i="2" a="1"/>
  <c r="B92" i="2" s="1"/>
  <c r="B93" i="2" a="1"/>
  <c r="B93" i="2" s="1"/>
  <c r="B94" i="2" a="1"/>
  <c r="B94" i="2" s="1"/>
  <c r="B95" i="2" a="1"/>
  <c r="B95" i="2" s="1"/>
  <c r="B96" i="2" a="1"/>
  <c r="B96" i="2" s="1"/>
  <c r="B97" i="2" a="1"/>
  <c r="B97" i="2" s="1"/>
  <c r="B98" i="2" a="1"/>
  <c r="B98" i="2" s="1"/>
  <c r="B99" i="2" a="1"/>
  <c r="B99" i="2" s="1"/>
  <c r="B100" i="2" a="1"/>
  <c r="B100" i="2" s="1"/>
  <c r="B101" i="2" a="1"/>
  <c r="B101" i="2" s="1"/>
  <c r="B102" i="2" a="1"/>
  <c r="B102" i="2" s="1"/>
  <c r="B103" i="2" a="1"/>
  <c r="B103" i="2" s="1"/>
  <c r="B104" i="2" a="1"/>
  <c r="B104" i="2" s="1"/>
  <c r="B105" i="2" a="1"/>
  <c r="B105" i="2" s="1"/>
  <c r="B106" i="2" a="1"/>
  <c r="B106" i="2" s="1"/>
  <c r="B107" i="2" a="1"/>
  <c r="B107" i="2" s="1"/>
  <c r="B108" i="2" a="1"/>
  <c r="B108" i="2" s="1"/>
  <c r="B109" i="2" a="1"/>
  <c r="B109" i="2" s="1"/>
  <c r="B110" i="2" a="1"/>
  <c r="B110" i="2" s="1"/>
  <c r="B111" i="2" a="1"/>
  <c r="B111" i="2" s="1"/>
  <c r="B112" i="2" a="1"/>
  <c r="B112" i="2" s="1"/>
  <c r="B113" i="2" a="1"/>
  <c r="B113" i="2" s="1"/>
  <c r="B114" i="2" a="1"/>
  <c r="B114" i="2" s="1"/>
  <c r="B115" i="2" a="1"/>
  <c r="B115" i="2" s="1"/>
  <c r="B116" i="2" a="1"/>
  <c r="B116" i="2" s="1"/>
  <c r="B117" i="2" a="1"/>
  <c r="B117" i="2" s="1"/>
  <c r="B118" i="2" a="1"/>
  <c r="B118" i="2" s="1"/>
  <c r="B119" i="2" a="1"/>
  <c r="B119" i="2" s="1"/>
  <c r="B120" i="2" a="1"/>
  <c r="B120" i="2" s="1"/>
  <c r="B121" i="2" a="1"/>
  <c r="B121" i="2" s="1"/>
  <c r="B122" i="2" a="1"/>
  <c r="B122" i="2" s="1"/>
  <c r="B123" i="2" a="1"/>
  <c r="B123" i="2" s="1"/>
  <c r="B124" i="2" a="1"/>
  <c r="B124" i="2" s="1"/>
  <c r="B125" i="2" a="1"/>
  <c r="B125" i="2" s="1"/>
  <c r="B126" i="2" a="1"/>
  <c r="B126" i="2" s="1"/>
  <c r="B127" i="2" a="1"/>
  <c r="B127" i="2" s="1"/>
  <c r="B128" i="2" a="1"/>
  <c r="B128" i="2" s="1"/>
  <c r="B129" i="2" a="1"/>
  <c r="B129" i="2" s="1"/>
  <c r="B130" i="2" a="1"/>
  <c r="B130" i="2" s="1"/>
  <c r="B131" i="2" a="1"/>
  <c r="B131" i="2" s="1"/>
  <c r="B132" i="2" a="1"/>
  <c r="B132" i="2" s="1"/>
  <c r="B133" i="2" a="1"/>
  <c r="B133" i="2" s="1"/>
  <c r="B134" i="2" a="1"/>
  <c r="B134" i="2" s="1"/>
  <c r="B135" i="2" a="1"/>
  <c r="B135" i="2" s="1"/>
  <c r="B136" i="2" a="1"/>
  <c r="B136" i="2" s="1"/>
  <c r="B137" i="2" a="1"/>
  <c r="B137" i="2" s="1"/>
  <c r="B138" i="2" a="1"/>
  <c r="B138" i="2" s="1"/>
  <c r="B139" i="2" a="1"/>
  <c r="B139" i="2" s="1"/>
  <c r="B140" i="2" a="1"/>
  <c r="B140" i="2" s="1"/>
  <c r="B141" i="2" a="1"/>
  <c r="B141" i="2" s="1"/>
  <c r="B142" i="2" a="1"/>
  <c r="B142" i="2" s="1"/>
  <c r="B143" i="2" a="1"/>
  <c r="B143" i="2" s="1"/>
  <c r="B144" i="2" a="1"/>
  <c r="B144" i="2" s="1"/>
  <c r="B145" i="2" a="1"/>
  <c r="B145" i="2" s="1"/>
  <c r="B146" i="2" a="1"/>
  <c r="B146" i="2" s="1"/>
  <c r="B147" i="2" a="1"/>
  <c r="B147" i="2" s="1"/>
  <c r="B148" i="2" a="1"/>
  <c r="B148" i="2" s="1"/>
  <c r="B149" i="2" a="1"/>
  <c r="B149" i="2" s="1"/>
  <c r="B150" i="2" a="1"/>
  <c r="B150" i="2" s="1"/>
  <c r="B151" i="2" a="1"/>
  <c r="B151" i="2" s="1"/>
  <c r="B152" i="2" a="1"/>
  <c r="B152" i="2" s="1"/>
  <c r="B153" i="2" a="1"/>
  <c r="B153" i="2" s="1"/>
  <c r="B154" i="2" a="1"/>
  <c r="B154" i="2" s="1"/>
  <c r="B155" i="2" a="1"/>
  <c r="B155" i="2" s="1"/>
  <c r="B156" i="2" a="1"/>
  <c r="B156" i="2" s="1"/>
  <c r="B157" i="2" a="1"/>
  <c r="B157" i="2" s="1"/>
  <c r="B158" i="2" a="1"/>
  <c r="B158" i="2" s="1"/>
  <c r="B159" i="2" a="1"/>
  <c r="B159" i="2" s="1"/>
  <c r="B160" i="2" a="1"/>
  <c r="B160" i="2" s="1"/>
  <c r="B161" i="2" a="1"/>
  <c r="B161" i="2" s="1"/>
  <c r="B162" i="2" a="1"/>
  <c r="B162" i="2" s="1"/>
  <c r="B163" i="2" a="1"/>
  <c r="B163" i="2" s="1"/>
  <c r="B164" i="2" a="1"/>
  <c r="B164" i="2" s="1"/>
  <c r="B165" i="2" a="1"/>
  <c r="B165" i="2" s="1"/>
  <c r="B166" i="2" a="1"/>
  <c r="B166" i="2" s="1"/>
  <c r="B167" i="2" a="1"/>
  <c r="B167" i="2" s="1"/>
  <c r="B168" i="2" a="1"/>
  <c r="B168" i="2" s="1"/>
  <c r="B169" i="2" a="1"/>
  <c r="B169" i="2" s="1"/>
  <c r="B170" i="2" a="1"/>
  <c r="B170" i="2" s="1"/>
  <c r="B171" i="2" a="1"/>
  <c r="B171" i="2" s="1"/>
  <c r="B172" i="2" a="1"/>
  <c r="B172" i="2" s="1"/>
  <c r="B173" i="2" a="1"/>
  <c r="B173" i="2" s="1"/>
  <c r="B174" i="2" a="1"/>
  <c r="B174" i="2" s="1"/>
  <c r="B175" i="2" a="1"/>
  <c r="B175" i="2" s="1"/>
  <c r="B176" i="2" a="1"/>
  <c r="B176" i="2" s="1"/>
  <c r="B177" i="2" a="1"/>
  <c r="B177" i="2" s="1"/>
  <c r="B178" i="2" a="1"/>
  <c r="B178" i="2" s="1"/>
  <c r="B179" i="2" a="1"/>
  <c r="B179" i="2" s="1"/>
  <c r="B180" i="2" a="1"/>
  <c r="B180" i="2" s="1"/>
  <c r="B181" i="2" a="1"/>
  <c r="B181" i="2" s="1"/>
  <c r="B182" i="2" a="1"/>
  <c r="B182" i="2" s="1"/>
  <c r="B183" i="2" a="1"/>
  <c r="B183" i="2" s="1"/>
  <c r="B184" i="2" a="1"/>
  <c r="B184" i="2" s="1"/>
  <c r="B185" i="2" a="1"/>
  <c r="B185" i="2" s="1"/>
  <c r="B186" i="2" a="1"/>
  <c r="B186" i="2" s="1"/>
  <c r="B187" i="2" a="1"/>
  <c r="B187" i="2" s="1"/>
  <c r="B188" i="2" a="1"/>
  <c r="B188" i="2" s="1"/>
  <c r="B189" i="2" a="1"/>
  <c r="B189" i="2" s="1"/>
  <c r="B190" i="2" a="1"/>
  <c r="B190" i="2" s="1"/>
  <c r="B191" i="2" a="1"/>
  <c r="B191" i="2" s="1"/>
  <c r="B192" i="2" a="1"/>
  <c r="B192" i="2" s="1"/>
  <c r="B193" i="2" a="1"/>
  <c r="B193" i="2" s="1"/>
  <c r="B194" i="2" a="1"/>
  <c r="B194" i="2" s="1"/>
  <c r="B195" i="2" a="1"/>
  <c r="B195" i="2" s="1"/>
  <c r="B196" i="2" a="1"/>
  <c r="B196" i="2" s="1"/>
  <c r="B197" i="2" a="1"/>
  <c r="B197" i="2" s="1"/>
  <c r="B198" i="2" a="1"/>
  <c r="B198" i="2" s="1"/>
  <c r="B199" i="2" a="1"/>
  <c r="B199" i="2" s="1"/>
  <c r="B200" i="2" a="1"/>
  <c r="B200" i="2" s="1"/>
  <c r="B201" i="2" a="1"/>
  <c r="B201" i="2" s="1"/>
  <c r="B202" i="2" a="1"/>
  <c r="B202" i="2" s="1"/>
  <c r="B203" i="2" a="1"/>
  <c r="B203" i="2" s="1"/>
  <c r="B204" i="2" a="1"/>
  <c r="B204" i="2" s="1"/>
  <c r="B205" i="2" a="1"/>
  <c r="B205" i="2" s="1"/>
  <c r="B206" i="2" a="1"/>
  <c r="B206" i="2" s="1"/>
  <c r="B207" i="2" a="1"/>
  <c r="B207" i="2" s="1"/>
  <c r="B208" i="2" a="1"/>
  <c r="B208" i="2" s="1"/>
  <c r="B209" i="2" a="1"/>
  <c r="B209" i="2" s="1"/>
  <c r="B210" i="2" a="1"/>
  <c r="B210" i="2" s="1"/>
  <c r="B211" i="2" a="1"/>
  <c r="B211" i="2" s="1"/>
  <c r="B212" i="2" a="1"/>
  <c r="B212" i="2" s="1"/>
  <c r="B213" i="2" a="1"/>
  <c r="B213" i="2" s="1"/>
  <c r="B214" i="2" a="1"/>
  <c r="B214" i="2" s="1"/>
  <c r="B215" i="2" a="1"/>
  <c r="B215" i="2" s="1"/>
  <c r="B216" i="2" a="1"/>
  <c r="B216" i="2" s="1"/>
  <c r="B217" i="2" a="1"/>
  <c r="B217" i="2" s="1"/>
  <c r="B218" i="2" a="1"/>
  <c r="B218" i="2" s="1"/>
  <c r="B219" i="2" a="1"/>
  <c r="B219" i="2" s="1"/>
  <c r="B220" i="2" a="1"/>
  <c r="B220" i="2" s="1"/>
  <c r="B221" i="2" a="1"/>
  <c r="B221" i="2" s="1"/>
  <c r="B222" i="2" a="1"/>
  <c r="B222" i="2" s="1"/>
  <c r="B223" i="2" a="1"/>
  <c r="B223" i="2" s="1"/>
  <c r="B224" i="2" a="1"/>
  <c r="B224" i="2" s="1"/>
  <c r="B225" i="2" a="1"/>
  <c r="B225" i="2" s="1"/>
  <c r="B226" i="2" a="1"/>
  <c r="B226" i="2" s="1"/>
  <c r="B227" i="2" a="1"/>
  <c r="B227" i="2" s="1"/>
  <c r="B228" i="2" a="1"/>
  <c r="B228" i="2" s="1"/>
  <c r="B229" i="2" a="1"/>
  <c r="B229" i="2" s="1"/>
  <c r="B230" i="2" a="1"/>
  <c r="B230" i="2" s="1"/>
  <c r="B231" i="2" a="1"/>
  <c r="B231" i="2" s="1"/>
  <c r="B232" i="2" a="1"/>
  <c r="B232" i="2" s="1"/>
  <c r="B233" i="2" a="1"/>
  <c r="B233" i="2" s="1"/>
  <c r="B234" i="2" a="1"/>
  <c r="B234" i="2" s="1"/>
  <c r="B235" i="2" a="1"/>
  <c r="B235" i="2" s="1"/>
  <c r="B236" i="2" a="1"/>
  <c r="B236" i="2" s="1"/>
  <c r="B237" i="2" a="1"/>
  <c r="B237" i="2" s="1"/>
  <c r="B238" i="2" a="1"/>
  <c r="B238" i="2" s="1"/>
  <c r="B239" i="2" a="1"/>
  <c r="B239" i="2" s="1"/>
  <c r="B240" i="2" a="1"/>
  <c r="B240" i="2" s="1"/>
  <c r="B241" i="2" a="1"/>
  <c r="B241" i="2" s="1"/>
  <c r="B242" i="2" a="1"/>
  <c r="B242" i="2" s="1"/>
  <c r="B243" i="2" a="1"/>
  <c r="B243" i="2" s="1"/>
  <c r="B244" i="2" a="1"/>
  <c r="B244" i="2" s="1"/>
  <c r="B245" i="2" a="1"/>
  <c r="B245" i="2" s="1"/>
  <c r="B246" i="2" a="1"/>
  <c r="B246" i="2" s="1"/>
  <c r="B247" i="2" a="1"/>
  <c r="B247" i="2" s="1"/>
  <c r="B248" i="2" a="1"/>
  <c r="B248" i="2" s="1"/>
  <c r="B249" i="2" a="1"/>
  <c r="B249" i="2" s="1"/>
  <c r="B250" i="2" a="1"/>
  <c r="B250" i="2" s="1"/>
  <c r="B251" i="2" a="1"/>
  <c r="B251" i="2" s="1"/>
  <c r="B252" i="2" a="1"/>
  <c r="B252" i="2" s="1"/>
  <c r="B253" i="2" a="1"/>
  <c r="B253" i="2" s="1"/>
  <c r="B254" i="2" a="1"/>
  <c r="B254" i="2" s="1"/>
  <c r="B255" i="2" a="1"/>
  <c r="B255" i="2" s="1"/>
  <c r="B256" i="2" a="1"/>
  <c r="B256" i="2" s="1"/>
  <c r="B257" i="2" a="1"/>
  <c r="B257" i="2" s="1"/>
  <c r="B258" i="2" a="1"/>
  <c r="B258" i="2" s="1"/>
  <c r="B259" i="2" a="1"/>
  <c r="B259" i="2" s="1"/>
  <c r="B260" i="2" a="1"/>
  <c r="B260" i="2" s="1"/>
  <c r="B261" i="2" a="1"/>
  <c r="B261" i="2" s="1"/>
  <c r="B262" i="2" a="1"/>
  <c r="B262" i="2" s="1"/>
  <c r="B263" i="2" a="1"/>
  <c r="B263" i="2" s="1"/>
  <c r="B264" i="2" a="1"/>
  <c r="B264" i="2" s="1"/>
  <c r="B265" i="2" a="1"/>
  <c r="B265" i="2" s="1"/>
  <c r="B266" i="2" a="1"/>
  <c r="B266" i="2" s="1"/>
  <c r="B267" i="2" a="1"/>
  <c r="B267" i="2" s="1"/>
  <c r="B268" i="2" a="1"/>
  <c r="B268" i="2" s="1"/>
  <c r="B269" i="2" a="1"/>
  <c r="B269" i="2" s="1"/>
  <c r="B270" i="2" a="1"/>
  <c r="B270" i="2" s="1"/>
  <c r="B271" i="2" a="1"/>
  <c r="B271" i="2" s="1"/>
  <c r="B272" i="2" a="1"/>
  <c r="B272" i="2" s="1"/>
  <c r="B273" i="2" a="1"/>
  <c r="B273" i="2" s="1"/>
  <c r="B274" i="2" a="1"/>
  <c r="B274" i="2" s="1"/>
  <c r="B275" i="2" a="1"/>
  <c r="B275" i="2" s="1"/>
  <c r="B276" i="2" a="1"/>
  <c r="B276" i="2" s="1"/>
  <c r="B277" i="2" a="1"/>
  <c r="B277" i="2" s="1"/>
  <c r="B278" i="2" a="1"/>
  <c r="B278" i="2" s="1"/>
  <c r="B279" i="2" a="1"/>
  <c r="B279" i="2" s="1"/>
  <c r="B280" i="2" a="1"/>
  <c r="B280" i="2" s="1"/>
  <c r="B281" i="2" a="1"/>
  <c r="B281" i="2" s="1"/>
  <c r="B282" i="2" a="1"/>
  <c r="B282" i="2" s="1"/>
  <c r="B283" i="2" a="1"/>
  <c r="B283" i="2" s="1"/>
  <c r="B284" i="2" a="1"/>
  <c r="B284" i="2" s="1"/>
  <c r="B285" i="2" a="1"/>
  <c r="B285" i="2" s="1"/>
  <c r="B286" i="2" a="1"/>
  <c r="B286" i="2" s="1"/>
  <c r="B287" i="2" a="1"/>
  <c r="B287" i="2" s="1"/>
  <c r="B288" i="2" a="1"/>
  <c r="B288" i="2" s="1"/>
  <c r="B289" i="2" a="1"/>
  <c r="B289" i="2" s="1"/>
  <c r="B290" i="2" a="1"/>
  <c r="B290" i="2" s="1"/>
  <c r="B291" i="2" a="1"/>
  <c r="B291" i="2" s="1"/>
  <c r="B292" i="2" a="1"/>
  <c r="B292" i="2" s="1"/>
  <c r="B293" i="2" a="1"/>
  <c r="B293" i="2" s="1"/>
  <c r="B294" i="2" a="1"/>
  <c r="B294" i="2" s="1"/>
  <c r="B295" i="2" a="1"/>
  <c r="B295" i="2" s="1"/>
  <c r="B296" i="2" a="1"/>
  <c r="B296" i="2" s="1"/>
  <c r="B297" i="2" a="1"/>
  <c r="B297" i="2" s="1"/>
  <c r="B298" i="2" a="1"/>
  <c r="B298" i="2" s="1"/>
  <c r="B299" i="2" a="1"/>
  <c r="B299" i="2" s="1"/>
  <c r="B300" i="2" a="1"/>
  <c r="B300" i="2" s="1"/>
  <c r="B301" i="2" a="1"/>
  <c r="B301" i="2" s="1"/>
  <c r="B302" i="2" a="1"/>
  <c r="B302" i="2" s="1"/>
  <c r="B303" i="2" a="1"/>
  <c r="B303" i="2" s="1"/>
  <c r="B304" i="2" a="1"/>
  <c r="B304" i="2" s="1"/>
  <c r="B305" i="2" a="1"/>
  <c r="B305" i="2" s="1"/>
  <c r="B306" i="2" a="1"/>
  <c r="B306" i="2" s="1"/>
  <c r="B307" i="2" a="1"/>
  <c r="B307" i="2" s="1"/>
  <c r="B308" i="2" a="1"/>
  <c r="B308" i="2" s="1"/>
  <c r="B309" i="2" a="1"/>
  <c r="B309" i="2" s="1"/>
  <c r="B310" i="2" a="1"/>
  <c r="B310" i="2" s="1"/>
  <c r="B311" i="2" a="1"/>
  <c r="B311" i="2" s="1"/>
  <c r="B312" i="2" a="1"/>
  <c r="B312" i="2" s="1"/>
  <c r="B313" i="2" a="1"/>
  <c r="B313" i="2" s="1"/>
  <c r="B314" i="2" a="1"/>
  <c r="B314" i="2" s="1"/>
  <c r="B315" i="2" a="1"/>
  <c r="B315" i="2" s="1"/>
  <c r="B316" i="2" a="1"/>
  <c r="B316" i="2" s="1"/>
  <c r="B317" i="2" a="1"/>
  <c r="B317" i="2" s="1"/>
  <c r="B318" i="2" a="1"/>
  <c r="B318" i="2" s="1"/>
  <c r="B319" i="2" a="1"/>
  <c r="B319" i="2" s="1"/>
  <c r="B320" i="2" a="1"/>
  <c r="B320" i="2" s="1"/>
  <c r="B321" i="2" a="1"/>
  <c r="B321" i="2" s="1"/>
  <c r="B322" i="2" a="1"/>
  <c r="B322" i="2" s="1"/>
  <c r="B323" i="2" a="1"/>
  <c r="B323" i="2" s="1"/>
  <c r="B324" i="2" a="1"/>
  <c r="B324" i="2" s="1"/>
  <c r="B325" i="2" a="1"/>
  <c r="B325" i="2" s="1"/>
  <c r="B326" i="2" a="1"/>
  <c r="B326" i="2" s="1"/>
  <c r="B327" i="2" a="1"/>
  <c r="B327" i="2" s="1"/>
  <c r="B328" i="2" a="1"/>
  <c r="B328" i="2" s="1"/>
  <c r="B329" i="2" a="1"/>
  <c r="B329" i="2" s="1"/>
  <c r="B330" i="2" a="1"/>
  <c r="B330" i="2" s="1"/>
  <c r="B331" i="2" a="1"/>
  <c r="B331" i="2" s="1"/>
  <c r="B332" i="2" a="1"/>
  <c r="B332" i="2" s="1"/>
  <c r="B333" i="2" a="1"/>
  <c r="B333" i="2" s="1"/>
  <c r="B334" i="2" a="1"/>
  <c r="B334" i="2" s="1"/>
  <c r="B335" i="2" a="1"/>
  <c r="B335" i="2" s="1"/>
  <c r="B336" i="2" a="1"/>
  <c r="B336" i="2" s="1"/>
  <c r="B337" i="2" a="1"/>
  <c r="B337" i="2" s="1"/>
  <c r="B338" i="2" a="1"/>
  <c r="B338" i="2" s="1"/>
  <c r="B339" i="2" a="1"/>
  <c r="B339" i="2" s="1"/>
  <c r="B340" i="2" a="1"/>
  <c r="B340" i="2" s="1"/>
  <c r="B341" i="2" a="1"/>
  <c r="B341" i="2" s="1"/>
  <c r="B342" i="2" a="1"/>
  <c r="B342" i="2" s="1"/>
  <c r="B343" i="2" a="1"/>
  <c r="B343" i="2" s="1"/>
  <c r="B344" i="2" a="1"/>
  <c r="B344" i="2" s="1"/>
  <c r="B345" i="2" a="1"/>
  <c r="B345" i="2" s="1"/>
  <c r="B346" i="2" a="1"/>
  <c r="B346" i="2" s="1"/>
  <c r="B347" i="2" a="1"/>
  <c r="B347" i="2" s="1"/>
  <c r="B348" i="2" a="1"/>
  <c r="B348" i="2" s="1"/>
  <c r="B349" i="2" a="1"/>
  <c r="B349" i="2" s="1"/>
  <c r="B350" i="2" a="1"/>
  <c r="B350" i="2" s="1"/>
  <c r="B351" i="2" a="1"/>
  <c r="B351" i="2" s="1"/>
  <c r="B352" i="2" a="1"/>
  <c r="B352" i="2" s="1"/>
  <c r="B353" i="2" a="1"/>
  <c r="B353" i="2" s="1"/>
  <c r="B354" i="2" a="1"/>
  <c r="B354" i="2" s="1"/>
  <c r="B355" i="2" a="1"/>
  <c r="B355" i="2" s="1"/>
  <c r="B356" i="2" a="1"/>
  <c r="B356" i="2" s="1"/>
  <c r="B357" i="2" a="1"/>
  <c r="B357" i="2" s="1"/>
  <c r="B358" i="2" a="1"/>
  <c r="B358" i="2" s="1"/>
  <c r="B359" i="2" a="1"/>
  <c r="B359" i="2" s="1"/>
  <c r="B360" i="2" a="1"/>
  <c r="B360" i="2" s="1"/>
  <c r="B361" i="2" a="1"/>
  <c r="B361" i="2" s="1"/>
  <c r="B362" i="2" a="1"/>
  <c r="B362" i="2" s="1"/>
  <c r="B363" i="2" a="1"/>
  <c r="B363" i="2" s="1"/>
  <c r="B364" i="2" a="1"/>
  <c r="B364" i="2" s="1"/>
  <c r="B365" i="2" a="1"/>
  <c r="B365" i="2" s="1"/>
  <c r="B366" i="2" a="1"/>
  <c r="B366" i="2" s="1"/>
  <c r="B367" i="2" a="1"/>
  <c r="B367" i="2" s="1"/>
  <c r="B368" i="2" a="1"/>
  <c r="B368" i="2" s="1"/>
  <c r="B369" i="2" a="1"/>
  <c r="B369" i="2" s="1"/>
  <c r="B370" i="2" a="1"/>
  <c r="B370" i="2" s="1"/>
  <c r="B371" i="2" a="1"/>
  <c r="B371" i="2" s="1"/>
  <c r="B372" i="2" a="1"/>
  <c r="B372" i="2" s="1"/>
  <c r="B373" i="2" a="1"/>
  <c r="B373" i="2" s="1"/>
  <c r="B374" i="2" a="1"/>
  <c r="B374" i="2" s="1"/>
  <c r="B375" i="2" a="1"/>
  <c r="B375" i="2" s="1"/>
  <c r="B376" i="2" a="1"/>
  <c r="B376" i="2" s="1"/>
  <c r="B377" i="2" a="1"/>
  <c r="B377" i="2" s="1"/>
  <c r="B378" i="2" a="1"/>
  <c r="B378" i="2" s="1"/>
  <c r="B379" i="2" a="1"/>
  <c r="B379" i="2" s="1"/>
  <c r="B380" i="2" a="1"/>
  <c r="B380" i="2" s="1"/>
  <c r="B381" i="2" a="1"/>
  <c r="B381" i="2" s="1"/>
  <c r="B382" i="2" a="1"/>
  <c r="B382" i="2" s="1"/>
  <c r="B383" i="2" a="1"/>
  <c r="B383" i="2" s="1"/>
  <c r="B384" i="2" a="1"/>
  <c r="B384" i="2" s="1"/>
  <c r="B385" i="2" a="1"/>
  <c r="B385" i="2" s="1"/>
  <c r="B386" i="2" a="1"/>
  <c r="B386" i="2" s="1"/>
  <c r="B387" i="2" a="1"/>
  <c r="B387" i="2" s="1"/>
  <c r="B388" i="2" a="1"/>
  <c r="B388" i="2" s="1"/>
  <c r="B389" i="2" a="1"/>
  <c r="B389" i="2" s="1"/>
  <c r="B390" i="2" a="1"/>
  <c r="B390" i="2" s="1"/>
  <c r="B391" i="2" a="1"/>
  <c r="B391" i="2" s="1"/>
  <c r="B392" i="2" a="1"/>
  <c r="B392" i="2" s="1"/>
  <c r="B393" i="2" a="1"/>
  <c r="B393" i="2" s="1"/>
  <c r="B394" i="2" a="1"/>
  <c r="B394" i="2" s="1"/>
  <c r="B395" i="2" a="1"/>
  <c r="B395" i="2" s="1"/>
  <c r="B396" i="2" a="1"/>
  <c r="B396" i="2" s="1"/>
  <c r="B397" i="2" a="1"/>
  <c r="B397" i="2" s="1"/>
  <c r="B398" i="2" a="1"/>
  <c r="B398" i="2" s="1"/>
  <c r="B399" i="2" a="1"/>
  <c r="B399" i="2" s="1"/>
  <c r="B400" i="2" a="1"/>
  <c r="B400" i="2" s="1"/>
  <c r="B401" i="2" a="1"/>
  <c r="B401" i="2" s="1"/>
  <c r="B402" i="2" a="1"/>
  <c r="B402" i="2" s="1"/>
  <c r="B403" i="2" a="1"/>
  <c r="B403" i="2" s="1"/>
  <c r="B404" i="2" a="1"/>
  <c r="B404" i="2" s="1"/>
  <c r="B405" i="2" a="1"/>
  <c r="B405" i="2" s="1"/>
  <c r="B406" i="2" a="1"/>
  <c r="B406" i="2" s="1"/>
  <c r="B407" i="2" a="1"/>
  <c r="B407" i="2" s="1"/>
  <c r="B408" i="2" a="1"/>
  <c r="B408" i="2" s="1"/>
  <c r="B409" i="2" a="1"/>
  <c r="B409" i="2" s="1"/>
  <c r="B410" i="2" a="1"/>
  <c r="B410" i="2" s="1"/>
  <c r="B411" i="2" a="1"/>
  <c r="B411" i="2" s="1"/>
  <c r="B412" i="2" a="1"/>
  <c r="B412" i="2" s="1"/>
  <c r="B413" i="2" a="1"/>
  <c r="B413" i="2" s="1"/>
  <c r="B414" i="2" a="1"/>
  <c r="B414" i="2" s="1"/>
  <c r="B415" i="2" a="1"/>
  <c r="B415" i="2" s="1"/>
  <c r="B416" i="2" a="1"/>
  <c r="B416" i="2" s="1"/>
  <c r="B417" i="2" a="1"/>
  <c r="B417" i="2" s="1"/>
  <c r="B418" i="2" a="1"/>
  <c r="B418" i="2" s="1"/>
  <c r="B419" i="2" a="1"/>
  <c r="B419" i="2" s="1"/>
  <c r="B420" i="2" a="1"/>
  <c r="B420" i="2" s="1"/>
  <c r="B421" i="2" a="1"/>
  <c r="B421" i="2" s="1"/>
  <c r="B422" i="2" a="1"/>
  <c r="B422" i="2" s="1"/>
  <c r="B423" i="2" a="1"/>
  <c r="B423" i="2" s="1"/>
  <c r="B424" i="2" a="1"/>
  <c r="B424" i="2" s="1"/>
  <c r="B425" i="2" a="1"/>
  <c r="B425" i="2" s="1"/>
  <c r="B426" i="2" a="1"/>
  <c r="B426" i="2" s="1"/>
  <c r="B427" i="2" a="1"/>
  <c r="B427" i="2" s="1"/>
  <c r="B428" i="2" a="1"/>
  <c r="B428" i="2" s="1"/>
  <c r="B429" i="2" a="1"/>
  <c r="B429" i="2" s="1"/>
  <c r="B430" i="2" a="1"/>
  <c r="B430" i="2" s="1"/>
  <c r="B431" i="2" a="1"/>
  <c r="B431" i="2" s="1"/>
  <c r="B432" i="2" a="1"/>
  <c r="B432" i="2" s="1"/>
  <c r="B433" i="2" a="1"/>
  <c r="B433" i="2" s="1"/>
  <c r="B434" i="2" a="1"/>
  <c r="B434" i="2" s="1"/>
  <c r="B435" i="2" a="1"/>
  <c r="B435" i="2" s="1"/>
  <c r="B436" i="2" a="1"/>
  <c r="B436" i="2" s="1"/>
  <c r="B437" i="2" a="1"/>
  <c r="B437" i="2" s="1"/>
  <c r="B438" i="2" a="1"/>
  <c r="B438" i="2" s="1"/>
  <c r="B439" i="2" a="1"/>
  <c r="B439" i="2" s="1"/>
  <c r="B440" i="2" a="1"/>
  <c r="B440" i="2" s="1"/>
  <c r="B441" i="2" a="1"/>
  <c r="B441" i="2" s="1"/>
  <c r="B442" i="2" a="1"/>
  <c r="B442" i="2" s="1"/>
  <c r="B443" i="2" a="1"/>
  <c r="B443" i="2" s="1"/>
  <c r="B444" i="2" a="1"/>
  <c r="B444" i="2" s="1"/>
  <c r="B445" i="2" a="1"/>
  <c r="B445" i="2" s="1"/>
  <c r="B446" i="2" a="1"/>
  <c r="B446" i="2" s="1"/>
  <c r="B447" i="2" a="1"/>
  <c r="B447" i="2" s="1"/>
  <c r="B448" i="2" a="1"/>
  <c r="B448" i="2" s="1"/>
  <c r="B449" i="2" a="1"/>
  <c r="B449" i="2" s="1"/>
  <c r="B450" i="2" a="1"/>
  <c r="B450" i="2" s="1"/>
  <c r="B451" i="2" a="1"/>
  <c r="B451" i="2" s="1"/>
  <c r="B452" i="2" a="1"/>
  <c r="B452" i="2" s="1"/>
  <c r="B453" i="2" a="1"/>
  <c r="B453" i="2" s="1"/>
  <c r="B454" i="2" a="1"/>
  <c r="B454" i="2" s="1"/>
  <c r="B455" i="2" a="1"/>
  <c r="B455" i="2" s="1"/>
  <c r="B456" i="2" a="1"/>
  <c r="B456" i="2" s="1"/>
  <c r="B457" i="2" a="1"/>
  <c r="B457" i="2" s="1"/>
  <c r="B458" i="2" a="1"/>
  <c r="B458" i="2" s="1"/>
  <c r="B459" i="2" a="1"/>
  <c r="B459" i="2" s="1"/>
  <c r="B460" i="2" a="1"/>
  <c r="B460" i="2" s="1"/>
  <c r="B461" i="2" a="1"/>
  <c r="B461" i="2" s="1"/>
  <c r="B462" i="2" a="1"/>
  <c r="B462" i="2" s="1"/>
  <c r="B463" i="2" a="1"/>
  <c r="B463" i="2" s="1"/>
  <c r="B464" i="2" a="1"/>
  <c r="B464" i="2" s="1"/>
  <c r="B465" i="2" a="1"/>
  <c r="B465" i="2" s="1"/>
  <c r="B466" i="2" a="1"/>
  <c r="B466" i="2" s="1"/>
  <c r="B467" i="2" a="1"/>
  <c r="B467" i="2" s="1"/>
  <c r="B468" i="2" a="1"/>
  <c r="B468" i="2" s="1"/>
  <c r="B469" i="2" a="1"/>
  <c r="B469" i="2" s="1"/>
  <c r="B470" i="2" a="1"/>
  <c r="B470" i="2" s="1"/>
  <c r="B471" i="2" a="1"/>
  <c r="B471" i="2" s="1"/>
  <c r="B472" i="2" a="1"/>
  <c r="B472" i="2" s="1"/>
  <c r="B473" i="2" a="1"/>
  <c r="B473" i="2" s="1"/>
  <c r="B474" i="2" a="1"/>
  <c r="B474" i="2" s="1"/>
  <c r="B475" i="2" a="1"/>
  <c r="B475" i="2" s="1"/>
  <c r="B476" i="2" a="1"/>
  <c r="B476" i="2" s="1"/>
  <c r="B477" i="2" a="1"/>
  <c r="B477" i="2" s="1"/>
  <c r="B478" i="2" a="1"/>
  <c r="B478" i="2" s="1"/>
  <c r="B479" i="2" a="1"/>
  <c r="B479" i="2" s="1"/>
  <c r="B480" i="2" a="1"/>
  <c r="B480" i="2" s="1"/>
  <c r="B481" i="2" a="1"/>
  <c r="B481" i="2" s="1"/>
  <c r="B482" i="2" a="1"/>
  <c r="B482" i="2" s="1"/>
  <c r="B483" i="2" a="1"/>
  <c r="B483" i="2" s="1"/>
  <c r="B484" i="2" a="1"/>
  <c r="B484" i="2" s="1"/>
  <c r="B485" i="2" a="1"/>
  <c r="B485" i="2" s="1"/>
  <c r="B486" i="2" a="1"/>
  <c r="B486" i="2" s="1"/>
  <c r="B487" i="2" a="1"/>
  <c r="B487" i="2" s="1"/>
  <c r="B488" i="2" a="1"/>
  <c r="B488" i="2" s="1"/>
  <c r="B489" i="2" a="1"/>
  <c r="B489" i="2" s="1"/>
  <c r="B490" i="2" a="1"/>
  <c r="B490" i="2" s="1"/>
  <c r="B491" i="2" a="1"/>
  <c r="B491" i="2" s="1"/>
  <c r="B492" i="2" a="1"/>
  <c r="B492" i="2" s="1"/>
  <c r="B493" i="2" a="1"/>
  <c r="B493" i="2" s="1"/>
  <c r="B494" i="2" a="1"/>
  <c r="B494" i="2" s="1"/>
  <c r="B495" i="2" a="1"/>
  <c r="B495" i="2" s="1"/>
  <c r="B496" i="2" a="1"/>
  <c r="B496" i="2" s="1"/>
  <c r="B497" i="2" a="1"/>
  <c r="B497" i="2" s="1"/>
  <c r="B498" i="2" a="1"/>
  <c r="B498" i="2" s="1"/>
  <c r="B499" i="2" a="1"/>
  <c r="B499" i="2" s="1"/>
  <c r="B500" i="2" a="1"/>
  <c r="B500" i="2" s="1"/>
  <c r="B501" i="2" a="1"/>
  <c r="B501" i="2" s="1"/>
  <c r="B502" i="2" a="1"/>
  <c r="B502" i="2" s="1"/>
  <c r="B503" i="2" a="1"/>
  <c r="B503" i="2" s="1"/>
  <c r="B504" i="2" a="1"/>
  <c r="B504" i="2" s="1"/>
  <c r="B505" i="2" a="1"/>
  <c r="B505" i="2" s="1"/>
  <c r="B506" i="2" a="1"/>
  <c r="B506" i="2" s="1"/>
  <c r="B507" i="2" a="1"/>
  <c r="B507" i="2" s="1"/>
  <c r="B508" i="2" a="1"/>
  <c r="B508" i="2" s="1"/>
  <c r="B509" i="2" a="1"/>
  <c r="B509" i="2" s="1"/>
  <c r="B510" i="2" a="1"/>
  <c r="B510" i="2" s="1"/>
  <c r="B511" i="2" a="1"/>
  <c r="B511" i="2" s="1"/>
  <c r="B512" i="2" a="1"/>
  <c r="B512" i="2" s="1"/>
  <c r="B513" i="2" a="1"/>
  <c r="B513" i="2" s="1"/>
  <c r="B514" i="2" a="1"/>
  <c r="B514" i="2" s="1"/>
  <c r="B515" i="2" a="1"/>
  <c r="B515" i="2" s="1"/>
  <c r="B516" i="2" a="1"/>
  <c r="B516" i="2" s="1"/>
  <c r="B517" i="2" a="1"/>
  <c r="B517" i="2" s="1"/>
  <c r="B518" i="2" a="1"/>
  <c r="B518" i="2" s="1"/>
  <c r="B519" i="2" a="1"/>
  <c r="B519" i="2" s="1"/>
  <c r="B520" i="2" a="1"/>
  <c r="B520" i="2" s="1"/>
  <c r="C55" i="2" a="1"/>
  <c r="C55" i="2" s="1"/>
  <c r="C56" i="2" a="1"/>
  <c r="C56" i="2" s="1"/>
  <c r="C57" i="2" a="1"/>
  <c r="C57" i="2" s="1"/>
  <c r="C58" i="2" a="1"/>
  <c r="C58" i="2" s="1"/>
  <c r="C59" i="2" a="1"/>
  <c r="C59" i="2" s="1"/>
  <c r="C60" i="2" a="1"/>
  <c r="C60" i="2" s="1"/>
  <c r="C61" i="2" a="1"/>
  <c r="C61" i="2" s="1"/>
  <c r="C62" i="2" a="1"/>
  <c r="C62" i="2" s="1"/>
  <c r="C63" i="2" a="1"/>
  <c r="C63" i="2" s="1"/>
  <c r="C64" i="2" a="1"/>
  <c r="C64" i="2" s="1"/>
  <c r="C65" i="2" a="1"/>
  <c r="C65" i="2" s="1"/>
  <c r="C66" i="2" a="1"/>
  <c r="C66" i="2" s="1"/>
  <c r="C67" i="2" a="1"/>
  <c r="C67" i="2" s="1"/>
  <c r="C68" i="2" a="1"/>
  <c r="C68" i="2" s="1"/>
  <c r="C69" i="2" a="1"/>
  <c r="C69" i="2" s="1"/>
  <c r="C70" i="2" a="1"/>
  <c r="C70" i="2" s="1"/>
  <c r="C71" i="2" a="1"/>
  <c r="C71" i="2" s="1"/>
  <c r="C72" i="2" a="1"/>
  <c r="C72" i="2" s="1"/>
  <c r="C73" i="2" a="1"/>
  <c r="C73" i="2" s="1"/>
  <c r="C74" i="2" a="1"/>
  <c r="C74" i="2" s="1"/>
  <c r="C75" i="2" a="1"/>
  <c r="C75" i="2" s="1"/>
  <c r="C76" i="2" a="1"/>
  <c r="C76" i="2" s="1"/>
  <c r="C77" i="2" a="1"/>
  <c r="C77" i="2" s="1"/>
  <c r="C78" i="2" a="1"/>
  <c r="C78" i="2" s="1"/>
  <c r="C79" i="2" a="1"/>
  <c r="C79" i="2" s="1"/>
  <c r="C80" i="2" a="1"/>
  <c r="C80" i="2" s="1"/>
  <c r="C81" i="2" a="1"/>
  <c r="C81" i="2" s="1"/>
  <c r="C82" i="2" a="1"/>
  <c r="C82" i="2" s="1"/>
  <c r="C83" i="2" a="1"/>
  <c r="C83" i="2" s="1"/>
  <c r="C84" i="2" a="1"/>
  <c r="C84" i="2" s="1"/>
  <c r="C85" i="2" a="1"/>
  <c r="C85" i="2" s="1"/>
  <c r="C86" i="2" a="1"/>
  <c r="C86" i="2" s="1"/>
  <c r="C87" i="2" a="1"/>
  <c r="C87" i="2" s="1"/>
  <c r="C88" i="2" a="1"/>
  <c r="C88" i="2" s="1"/>
  <c r="C89" i="2" a="1"/>
  <c r="C89" i="2" s="1"/>
  <c r="C90" i="2" a="1"/>
  <c r="C90" i="2" s="1"/>
  <c r="C91" i="2" a="1"/>
  <c r="C91" i="2" s="1"/>
  <c r="C92" i="2" a="1"/>
  <c r="C92" i="2" s="1"/>
  <c r="C93" i="2" a="1"/>
  <c r="C93" i="2" s="1"/>
  <c r="C94" i="2" a="1"/>
  <c r="C94" i="2" s="1"/>
  <c r="C95" i="2" a="1"/>
  <c r="C95" i="2" s="1"/>
  <c r="C96" i="2" a="1"/>
  <c r="C96" i="2" s="1"/>
  <c r="C97" i="2" a="1"/>
  <c r="C97" i="2" s="1"/>
  <c r="C98" i="2" a="1"/>
  <c r="C98" i="2" s="1"/>
  <c r="C99" i="2" a="1"/>
  <c r="C99" i="2" s="1"/>
  <c r="C100" i="2" a="1"/>
  <c r="C100" i="2" s="1"/>
  <c r="C101" i="2" a="1"/>
  <c r="C101" i="2" s="1"/>
  <c r="C102" i="2" a="1"/>
  <c r="C102" i="2" s="1"/>
  <c r="C103" i="2" a="1"/>
  <c r="C103" i="2" s="1"/>
  <c r="C104" i="2" a="1"/>
  <c r="C104" i="2" s="1"/>
  <c r="C105" i="2" a="1"/>
  <c r="C105" i="2" s="1"/>
  <c r="C106" i="2" a="1"/>
  <c r="C106" i="2" s="1"/>
  <c r="C107" i="2" a="1"/>
  <c r="C107" i="2" s="1"/>
  <c r="C108" i="2" a="1"/>
  <c r="C108" i="2" s="1"/>
  <c r="C109" i="2" a="1"/>
  <c r="C109" i="2" s="1"/>
  <c r="C110" i="2" a="1"/>
  <c r="C110" i="2" s="1"/>
  <c r="C111" i="2" a="1"/>
  <c r="C111" i="2" s="1"/>
  <c r="C112" i="2" a="1"/>
  <c r="C112" i="2" s="1"/>
  <c r="C113" i="2" a="1"/>
  <c r="C113" i="2" s="1"/>
  <c r="C114" i="2" a="1"/>
  <c r="C114" i="2" s="1"/>
  <c r="C115" i="2" a="1"/>
  <c r="C115" i="2" s="1"/>
  <c r="C116" i="2" a="1"/>
  <c r="C116" i="2" s="1"/>
  <c r="C117" i="2" a="1"/>
  <c r="C117" i="2" s="1"/>
  <c r="C118" i="2" a="1"/>
  <c r="C118" i="2" s="1"/>
  <c r="C119" i="2" a="1"/>
  <c r="C119" i="2" s="1"/>
  <c r="C120" i="2" a="1"/>
  <c r="C120" i="2" s="1"/>
  <c r="C121" i="2" a="1"/>
  <c r="C121" i="2" s="1"/>
  <c r="C122" i="2" a="1"/>
  <c r="C122" i="2" s="1"/>
  <c r="C123" i="2" a="1"/>
  <c r="C123" i="2" s="1"/>
  <c r="C124" i="2" a="1"/>
  <c r="C124" i="2" s="1"/>
  <c r="C125" i="2" a="1"/>
  <c r="C125" i="2" s="1"/>
  <c r="C126" i="2" a="1"/>
  <c r="C126" i="2" s="1"/>
  <c r="C127" i="2" a="1"/>
  <c r="C127" i="2" s="1"/>
  <c r="C128" i="2" a="1"/>
  <c r="C128" i="2" s="1"/>
  <c r="C129" i="2" a="1"/>
  <c r="C129" i="2" s="1"/>
  <c r="C130" i="2" a="1"/>
  <c r="C130" i="2" s="1"/>
  <c r="C131" i="2" a="1"/>
  <c r="C131" i="2" s="1"/>
  <c r="C132" i="2" a="1"/>
  <c r="C132" i="2" s="1"/>
  <c r="C133" i="2" a="1"/>
  <c r="C133" i="2" s="1"/>
  <c r="C134" i="2" a="1"/>
  <c r="C134" i="2" s="1"/>
  <c r="C135" i="2" a="1"/>
  <c r="C135" i="2" s="1"/>
  <c r="C136" i="2" a="1"/>
  <c r="C136" i="2" s="1"/>
  <c r="C137" i="2" a="1"/>
  <c r="C137" i="2" s="1"/>
  <c r="C138" i="2" a="1"/>
  <c r="C138" i="2" s="1"/>
  <c r="C139" i="2" a="1"/>
  <c r="C139" i="2" s="1"/>
  <c r="C140" i="2" a="1"/>
  <c r="C140" i="2" s="1"/>
  <c r="C141" i="2" a="1"/>
  <c r="C141" i="2" s="1"/>
  <c r="C142" i="2" a="1"/>
  <c r="C142" i="2" s="1"/>
  <c r="C143" i="2" a="1"/>
  <c r="C143" i="2" s="1"/>
  <c r="C144" i="2" a="1"/>
  <c r="C144" i="2" s="1"/>
  <c r="C145" i="2" a="1"/>
  <c r="C145" i="2" s="1"/>
  <c r="C146" i="2" a="1"/>
  <c r="C146" i="2" s="1"/>
  <c r="C147" i="2" a="1"/>
  <c r="C147" i="2" s="1"/>
  <c r="C148" i="2" a="1"/>
  <c r="C148" i="2" s="1"/>
  <c r="C149" i="2" a="1"/>
  <c r="C149" i="2" s="1"/>
  <c r="C150" i="2" a="1"/>
  <c r="C150" i="2"/>
  <c r="C151" i="2" a="1"/>
  <c r="C151" i="2" s="1"/>
  <c r="C152" i="2" a="1"/>
  <c r="C152" i="2" s="1"/>
  <c r="C153" i="2" a="1"/>
  <c r="C153" i="2" s="1"/>
  <c r="C154" i="2" a="1"/>
  <c r="C154" i="2" s="1"/>
  <c r="C155" i="2" a="1"/>
  <c r="C155" i="2" s="1"/>
  <c r="C156" i="2" a="1"/>
  <c r="C156" i="2" s="1"/>
  <c r="C157" i="2" a="1"/>
  <c r="C157" i="2" s="1"/>
  <c r="C158" i="2" a="1"/>
  <c r="C158" i="2" s="1"/>
  <c r="C159" i="2" a="1"/>
  <c r="C159" i="2" s="1"/>
  <c r="C160" i="2" a="1"/>
  <c r="C160" i="2" s="1"/>
  <c r="C161" i="2" a="1"/>
  <c r="C161" i="2" s="1"/>
  <c r="C162" i="2" a="1"/>
  <c r="C162" i="2" s="1"/>
  <c r="C163" i="2" a="1"/>
  <c r="C163" i="2" s="1"/>
  <c r="C164" i="2" a="1"/>
  <c r="C164" i="2" s="1"/>
  <c r="C165" i="2" a="1"/>
  <c r="C165" i="2" s="1"/>
  <c r="C166" i="2" a="1"/>
  <c r="C166" i="2" s="1"/>
  <c r="C167" i="2" a="1"/>
  <c r="C167" i="2" s="1"/>
  <c r="C168" i="2" a="1"/>
  <c r="C168" i="2" s="1"/>
  <c r="C169" i="2" a="1"/>
  <c r="C169" i="2" s="1"/>
  <c r="C170" i="2" a="1"/>
  <c r="C170" i="2" s="1"/>
  <c r="C171" i="2" a="1"/>
  <c r="C171" i="2" s="1"/>
  <c r="C172" i="2" a="1"/>
  <c r="C172" i="2" s="1"/>
  <c r="C173" i="2" a="1"/>
  <c r="C173" i="2" s="1"/>
  <c r="C174" i="2" a="1"/>
  <c r="C174" i="2" s="1"/>
  <c r="C175" i="2" a="1"/>
  <c r="C175" i="2" s="1"/>
  <c r="C176" i="2" a="1"/>
  <c r="C176" i="2" s="1"/>
  <c r="C177" i="2" a="1"/>
  <c r="C177" i="2" s="1"/>
  <c r="C178" i="2" a="1"/>
  <c r="C178" i="2" s="1"/>
  <c r="C179" i="2" a="1"/>
  <c r="C179" i="2" s="1"/>
  <c r="C180" i="2" a="1"/>
  <c r="C180" i="2" s="1"/>
  <c r="C181" i="2" a="1"/>
  <c r="C181" i="2" s="1"/>
  <c r="C182" i="2" a="1"/>
  <c r="C182" i="2"/>
  <c r="C183" i="2" a="1"/>
  <c r="C183" i="2" s="1"/>
  <c r="C184" i="2" a="1"/>
  <c r="C184" i="2" s="1"/>
  <c r="C185" i="2" a="1"/>
  <c r="C185" i="2" s="1"/>
  <c r="C186" i="2" a="1"/>
  <c r="C186" i="2" s="1"/>
  <c r="C187" i="2" a="1"/>
  <c r="C187" i="2" s="1"/>
  <c r="C188" i="2" a="1"/>
  <c r="C188" i="2" s="1"/>
  <c r="C189" i="2" a="1"/>
  <c r="C189" i="2" s="1"/>
  <c r="C190" i="2" a="1"/>
  <c r="C190" i="2" s="1"/>
  <c r="C191" i="2" a="1"/>
  <c r="C191" i="2" s="1"/>
  <c r="C192" i="2" a="1"/>
  <c r="C192" i="2" s="1"/>
  <c r="C193" i="2" a="1"/>
  <c r="C193" i="2" s="1"/>
  <c r="C194" i="2" a="1"/>
  <c r="C194" i="2" s="1"/>
  <c r="C195" i="2" a="1"/>
  <c r="C195" i="2" s="1"/>
  <c r="C196" i="2" a="1"/>
  <c r="C196" i="2" s="1"/>
  <c r="C197" i="2" a="1"/>
  <c r="C197" i="2" s="1"/>
  <c r="C198" i="2" a="1"/>
  <c r="C198" i="2" s="1"/>
  <c r="C199" i="2" a="1"/>
  <c r="C199" i="2" s="1"/>
  <c r="C200" i="2" a="1"/>
  <c r="C200" i="2" s="1"/>
  <c r="C201" i="2" a="1"/>
  <c r="C201" i="2" s="1"/>
  <c r="C202" i="2" a="1"/>
  <c r="C202" i="2" s="1"/>
  <c r="C203" i="2" a="1"/>
  <c r="C203" i="2" s="1"/>
  <c r="C204" i="2" a="1"/>
  <c r="C204" i="2" s="1"/>
  <c r="C205" i="2" a="1"/>
  <c r="C205" i="2" s="1"/>
  <c r="C206" i="2" a="1"/>
  <c r="C206" i="2" s="1"/>
  <c r="C207" i="2" a="1"/>
  <c r="C207" i="2" s="1"/>
  <c r="C208" i="2" a="1"/>
  <c r="C208" i="2" s="1"/>
  <c r="C209" i="2" a="1"/>
  <c r="C209" i="2" s="1"/>
  <c r="C210" i="2" a="1"/>
  <c r="C210" i="2" s="1"/>
  <c r="C211" i="2" a="1"/>
  <c r="C211" i="2" s="1"/>
  <c r="C212" i="2" a="1"/>
  <c r="C212" i="2" s="1"/>
  <c r="C213" i="2" a="1"/>
  <c r="C213" i="2" s="1"/>
  <c r="C214" i="2" a="1"/>
  <c r="C214" i="2" s="1"/>
  <c r="C215" i="2" a="1"/>
  <c r="C215" i="2" s="1"/>
  <c r="C216" i="2" a="1"/>
  <c r="C216" i="2" s="1"/>
  <c r="C217" i="2" a="1"/>
  <c r="C217" i="2" s="1"/>
  <c r="C218" i="2" a="1"/>
  <c r="C218" i="2" s="1"/>
  <c r="C219" i="2" a="1"/>
  <c r="C219" i="2" s="1"/>
  <c r="C220" i="2" a="1"/>
  <c r="C220" i="2" s="1"/>
  <c r="C221" i="2" a="1"/>
  <c r="C221" i="2" s="1"/>
  <c r="C222" i="2" a="1"/>
  <c r="C222" i="2" s="1"/>
  <c r="C223" i="2" a="1"/>
  <c r="C223" i="2" s="1"/>
  <c r="C224" i="2" a="1"/>
  <c r="C224" i="2" s="1"/>
  <c r="C225" i="2" a="1"/>
  <c r="C225" i="2" s="1"/>
  <c r="C226" i="2" a="1"/>
  <c r="C226" i="2" s="1"/>
  <c r="C227" i="2" a="1"/>
  <c r="C227" i="2" s="1"/>
  <c r="C228" i="2" a="1"/>
  <c r="C228" i="2" s="1"/>
  <c r="C229" i="2" a="1"/>
  <c r="C229" i="2" s="1"/>
  <c r="C230" i="2" a="1"/>
  <c r="C230" i="2" s="1"/>
  <c r="C231" i="2" a="1"/>
  <c r="C231" i="2" s="1"/>
  <c r="C232" i="2" a="1"/>
  <c r="C232" i="2" s="1"/>
  <c r="C233" i="2" a="1"/>
  <c r="C233" i="2" s="1"/>
  <c r="C234" i="2" a="1"/>
  <c r="C234" i="2" s="1"/>
  <c r="C235" i="2" a="1"/>
  <c r="C235" i="2" s="1"/>
  <c r="C236" i="2" a="1"/>
  <c r="C236" i="2" s="1"/>
  <c r="C237" i="2" a="1"/>
  <c r="C237" i="2" s="1"/>
  <c r="C238" i="2" a="1"/>
  <c r="C238" i="2" s="1"/>
  <c r="C239" i="2" a="1"/>
  <c r="C239" i="2" s="1"/>
  <c r="C240" i="2" a="1"/>
  <c r="C240" i="2" s="1"/>
  <c r="C241" i="2" a="1"/>
  <c r="C241" i="2" s="1"/>
  <c r="C242" i="2" a="1"/>
  <c r="C242" i="2" s="1"/>
  <c r="C243" i="2" a="1"/>
  <c r="C243" i="2" s="1"/>
  <c r="C244" i="2" a="1"/>
  <c r="C244" i="2" s="1"/>
  <c r="C245" i="2" a="1"/>
  <c r="C245" i="2" s="1"/>
  <c r="C246" i="2" a="1"/>
  <c r="C246" i="2" s="1"/>
  <c r="C247" i="2" a="1"/>
  <c r="C247" i="2" s="1"/>
  <c r="C248" i="2" a="1"/>
  <c r="C248" i="2" s="1"/>
  <c r="C249" i="2" a="1"/>
  <c r="C249" i="2" s="1"/>
  <c r="C250" i="2" a="1"/>
  <c r="C250" i="2" s="1"/>
  <c r="C251" i="2" a="1"/>
  <c r="C251" i="2" s="1"/>
  <c r="C252" i="2" a="1"/>
  <c r="C252" i="2" s="1"/>
  <c r="C253" i="2" a="1"/>
  <c r="C253" i="2" s="1"/>
  <c r="C254" i="2" a="1"/>
  <c r="C254" i="2" s="1"/>
  <c r="C255" i="2" a="1"/>
  <c r="C255" i="2" s="1"/>
  <c r="C256" i="2" a="1"/>
  <c r="C256" i="2" s="1"/>
  <c r="C257" i="2" a="1"/>
  <c r="C257" i="2" s="1"/>
  <c r="C258" i="2" a="1"/>
  <c r="C258" i="2" s="1"/>
  <c r="C259" i="2" a="1"/>
  <c r="C259" i="2" s="1"/>
  <c r="C260" i="2" a="1"/>
  <c r="C260" i="2" s="1"/>
  <c r="C261" i="2" a="1"/>
  <c r="C261" i="2" s="1"/>
  <c r="C262" i="2" a="1"/>
  <c r="C262" i="2" s="1"/>
  <c r="C263" i="2" a="1"/>
  <c r="C263" i="2" s="1"/>
  <c r="C264" i="2" a="1"/>
  <c r="C264" i="2" s="1"/>
  <c r="C265" i="2" a="1"/>
  <c r="C265" i="2" s="1"/>
  <c r="C266" i="2" a="1"/>
  <c r="C266" i="2" s="1"/>
  <c r="C267" i="2" a="1"/>
  <c r="C267" i="2" s="1"/>
  <c r="C268" i="2" a="1"/>
  <c r="C268" i="2" s="1"/>
  <c r="C269" i="2" a="1"/>
  <c r="C269" i="2" s="1"/>
  <c r="C270" i="2" a="1"/>
  <c r="C270" i="2" s="1"/>
  <c r="C271" i="2" a="1"/>
  <c r="C271" i="2" s="1"/>
  <c r="C272" i="2" a="1"/>
  <c r="C272" i="2" s="1"/>
  <c r="C273" i="2" a="1"/>
  <c r="C273" i="2" s="1"/>
  <c r="C274" i="2" a="1"/>
  <c r="C274" i="2" s="1"/>
  <c r="C275" i="2" a="1"/>
  <c r="C275" i="2" s="1"/>
  <c r="C276" i="2" a="1"/>
  <c r="C276" i="2" s="1"/>
  <c r="C277" i="2" a="1"/>
  <c r="C277" i="2" s="1"/>
  <c r="C278" i="2" a="1"/>
  <c r="C278" i="2" s="1"/>
  <c r="C279" i="2" a="1"/>
  <c r="C279" i="2" s="1"/>
  <c r="C280" i="2" a="1"/>
  <c r="C280" i="2" s="1"/>
  <c r="C281" i="2" a="1"/>
  <c r="C281" i="2" s="1"/>
  <c r="C282" i="2" a="1"/>
  <c r="C282" i="2" s="1"/>
  <c r="C283" i="2" a="1"/>
  <c r="C283" i="2" s="1"/>
  <c r="C284" i="2" a="1"/>
  <c r="C284" i="2" s="1"/>
  <c r="C285" i="2" a="1"/>
  <c r="C285" i="2" s="1"/>
  <c r="C286" i="2" a="1"/>
  <c r="C286" i="2" s="1"/>
  <c r="C287" i="2" a="1"/>
  <c r="C287" i="2" s="1"/>
  <c r="C288" i="2" a="1"/>
  <c r="C288" i="2" s="1"/>
  <c r="C289" i="2" a="1"/>
  <c r="C289" i="2" s="1"/>
  <c r="C290" i="2" a="1"/>
  <c r="C290" i="2" s="1"/>
  <c r="C291" i="2" a="1"/>
  <c r="C291" i="2" s="1"/>
  <c r="C292" i="2" a="1"/>
  <c r="C292" i="2" s="1"/>
  <c r="C293" i="2" a="1"/>
  <c r="C293" i="2" s="1"/>
  <c r="C294" i="2" a="1"/>
  <c r="C294" i="2" s="1"/>
  <c r="C295" i="2" a="1"/>
  <c r="C295" i="2" s="1"/>
  <c r="C296" i="2" a="1"/>
  <c r="C296" i="2" s="1"/>
  <c r="C297" i="2" a="1"/>
  <c r="C297" i="2" s="1"/>
  <c r="C298" i="2" a="1"/>
  <c r="C298" i="2" s="1"/>
  <c r="C299" i="2" a="1"/>
  <c r="C299" i="2" s="1"/>
  <c r="C300" i="2" a="1"/>
  <c r="C300" i="2" s="1"/>
  <c r="C301" i="2" a="1"/>
  <c r="C301" i="2" s="1"/>
  <c r="C302" i="2" a="1"/>
  <c r="C302" i="2" s="1"/>
  <c r="C303" i="2" a="1"/>
  <c r="C303" i="2" s="1"/>
  <c r="C304" i="2" a="1"/>
  <c r="C304" i="2" s="1"/>
  <c r="C305" i="2" a="1"/>
  <c r="C305" i="2" s="1"/>
  <c r="C306" i="2" a="1"/>
  <c r="C306" i="2" s="1"/>
  <c r="C307" i="2" a="1"/>
  <c r="C307" i="2" s="1"/>
  <c r="C308" i="2" a="1"/>
  <c r="C308" i="2" s="1"/>
  <c r="C309" i="2" a="1"/>
  <c r="C309" i="2" s="1"/>
  <c r="C310" i="2" a="1"/>
  <c r="C310" i="2" s="1"/>
  <c r="C311" i="2" a="1"/>
  <c r="C311" i="2" s="1"/>
  <c r="C312" i="2" a="1"/>
  <c r="C312" i="2" s="1"/>
  <c r="C313" i="2" a="1"/>
  <c r="C313" i="2" s="1"/>
  <c r="C314" i="2" a="1"/>
  <c r="C314" i="2" s="1"/>
  <c r="C315" i="2" a="1"/>
  <c r="C315" i="2" s="1"/>
  <c r="C316" i="2" a="1"/>
  <c r="C316" i="2" s="1"/>
  <c r="C317" i="2" a="1"/>
  <c r="C317" i="2" s="1"/>
  <c r="C318" i="2" a="1"/>
  <c r="C318" i="2" s="1"/>
  <c r="C319" i="2" a="1"/>
  <c r="C319" i="2" s="1"/>
  <c r="C320" i="2" a="1"/>
  <c r="C320" i="2" s="1"/>
  <c r="C321" i="2" a="1"/>
  <c r="C321" i="2" s="1"/>
  <c r="C322" i="2" a="1"/>
  <c r="C322" i="2" s="1"/>
  <c r="C323" i="2" a="1"/>
  <c r="C323" i="2" s="1"/>
  <c r="C324" i="2" a="1"/>
  <c r="C324" i="2" s="1"/>
  <c r="C325" i="2" a="1"/>
  <c r="C325" i="2" s="1"/>
  <c r="C326" i="2" a="1"/>
  <c r="C326" i="2" s="1"/>
  <c r="C327" i="2" a="1"/>
  <c r="C327" i="2" s="1"/>
  <c r="C328" i="2" a="1"/>
  <c r="C328" i="2" s="1"/>
  <c r="C329" i="2" a="1"/>
  <c r="C329" i="2" s="1"/>
  <c r="C330" i="2" a="1"/>
  <c r="C330" i="2" s="1"/>
  <c r="C331" i="2" a="1"/>
  <c r="C331" i="2" s="1"/>
  <c r="C332" i="2" a="1"/>
  <c r="C332" i="2" s="1"/>
  <c r="C333" i="2" a="1"/>
  <c r="C333" i="2" s="1"/>
  <c r="C334" i="2" a="1"/>
  <c r="C334" i="2" s="1"/>
  <c r="C335" i="2" a="1"/>
  <c r="C335" i="2" s="1"/>
  <c r="C336" i="2" a="1"/>
  <c r="C336" i="2" s="1"/>
  <c r="C337" i="2" a="1"/>
  <c r="C337" i="2" s="1"/>
  <c r="C338" i="2" a="1"/>
  <c r="C338" i="2" s="1"/>
  <c r="C339" i="2" a="1"/>
  <c r="C339" i="2" s="1"/>
  <c r="C340" i="2" a="1"/>
  <c r="C340" i="2" s="1"/>
  <c r="C341" i="2" a="1"/>
  <c r="C341" i="2" s="1"/>
  <c r="C342" i="2" a="1"/>
  <c r="C342" i="2" s="1"/>
  <c r="C343" i="2" a="1"/>
  <c r="C343" i="2" s="1"/>
  <c r="C344" i="2" a="1"/>
  <c r="C344" i="2" s="1"/>
  <c r="C345" i="2" a="1"/>
  <c r="C345" i="2" s="1"/>
  <c r="C346" i="2" a="1"/>
  <c r="C346" i="2" s="1"/>
  <c r="C347" i="2" a="1"/>
  <c r="C347" i="2" s="1"/>
  <c r="C348" i="2" a="1"/>
  <c r="C348" i="2" s="1"/>
  <c r="C349" i="2" a="1"/>
  <c r="C349" i="2" s="1"/>
  <c r="C350" i="2" a="1"/>
  <c r="C350" i="2" s="1"/>
  <c r="C351" i="2" a="1"/>
  <c r="C351" i="2" s="1"/>
  <c r="C352" i="2" a="1"/>
  <c r="C352" i="2" s="1"/>
  <c r="C353" i="2" a="1"/>
  <c r="C353" i="2" s="1"/>
  <c r="C354" i="2" a="1"/>
  <c r="C354" i="2" s="1"/>
  <c r="C355" i="2" a="1"/>
  <c r="C355" i="2" s="1"/>
  <c r="C356" i="2" a="1"/>
  <c r="C356" i="2" s="1"/>
  <c r="C357" i="2" a="1"/>
  <c r="C357" i="2" s="1"/>
  <c r="C358" i="2" a="1"/>
  <c r="C358" i="2"/>
  <c r="C359" i="2" a="1"/>
  <c r="C359" i="2" s="1"/>
  <c r="C360" i="2" a="1"/>
  <c r="C360" i="2" s="1"/>
  <c r="C361" i="2" a="1"/>
  <c r="C361" i="2" s="1"/>
  <c r="C362" i="2" a="1"/>
  <c r="C362" i="2" s="1"/>
  <c r="C363" i="2" a="1"/>
  <c r="C363" i="2" s="1"/>
  <c r="C364" i="2" a="1"/>
  <c r="C364" i="2" s="1"/>
  <c r="C365" i="2" a="1"/>
  <c r="C365" i="2" s="1"/>
  <c r="C366" i="2" a="1"/>
  <c r="C366" i="2" s="1"/>
  <c r="C367" i="2" a="1"/>
  <c r="C367" i="2" s="1"/>
  <c r="C368" i="2" a="1"/>
  <c r="C368" i="2" s="1"/>
  <c r="C369" i="2" a="1"/>
  <c r="C369" i="2" s="1"/>
  <c r="C370" i="2" a="1"/>
  <c r="C370" i="2" s="1"/>
  <c r="C371" i="2" a="1"/>
  <c r="C371" i="2" s="1"/>
  <c r="C372" i="2" a="1"/>
  <c r="C372" i="2" s="1"/>
  <c r="C373" i="2" a="1"/>
  <c r="C373" i="2" s="1"/>
  <c r="C374" i="2" a="1"/>
  <c r="C374" i="2" s="1"/>
  <c r="C375" i="2" a="1"/>
  <c r="C375" i="2" s="1"/>
  <c r="C376" i="2" a="1"/>
  <c r="C376" i="2" s="1"/>
  <c r="C377" i="2" a="1"/>
  <c r="C377" i="2" s="1"/>
  <c r="C378" i="2" a="1"/>
  <c r="C378" i="2" s="1"/>
  <c r="C379" i="2" a="1"/>
  <c r="C379" i="2" s="1"/>
  <c r="C380" i="2" a="1"/>
  <c r="C380" i="2" s="1"/>
  <c r="C381" i="2" a="1"/>
  <c r="C381" i="2" s="1"/>
  <c r="C382" i="2" a="1"/>
  <c r="C382" i="2" s="1"/>
  <c r="C383" i="2" a="1"/>
  <c r="C383" i="2" s="1"/>
  <c r="C384" i="2" a="1"/>
  <c r="C384" i="2" s="1"/>
  <c r="C385" i="2" a="1"/>
  <c r="C385" i="2" s="1"/>
  <c r="C386" i="2" a="1"/>
  <c r="C386" i="2" s="1"/>
  <c r="C387" i="2" a="1"/>
  <c r="C387" i="2" s="1"/>
  <c r="C388" i="2" a="1"/>
  <c r="C388" i="2" s="1"/>
  <c r="C389" i="2" a="1"/>
  <c r="C389" i="2" s="1"/>
  <c r="C390" i="2" a="1"/>
  <c r="C390" i="2" s="1"/>
  <c r="C391" i="2" a="1"/>
  <c r="C391" i="2" s="1"/>
  <c r="C392" i="2" a="1"/>
  <c r="C392" i="2" s="1"/>
  <c r="C393" i="2" a="1"/>
  <c r="C393" i="2" s="1"/>
  <c r="C394" i="2" a="1"/>
  <c r="C394" i="2" s="1"/>
  <c r="C395" i="2" a="1"/>
  <c r="C395" i="2" s="1"/>
  <c r="C396" i="2" a="1"/>
  <c r="C396" i="2" s="1"/>
  <c r="C397" i="2" a="1"/>
  <c r="C397" i="2" s="1"/>
  <c r="C398" i="2" a="1"/>
  <c r="C398" i="2" s="1"/>
  <c r="C399" i="2" a="1"/>
  <c r="C399" i="2" s="1"/>
  <c r="C400" i="2" a="1"/>
  <c r="C400" i="2" s="1"/>
  <c r="C401" i="2" a="1"/>
  <c r="C401" i="2" s="1"/>
  <c r="C402" i="2" a="1"/>
  <c r="C402" i="2" s="1"/>
  <c r="C403" i="2" a="1"/>
  <c r="C403" i="2" s="1"/>
  <c r="C404" i="2" a="1"/>
  <c r="C404" i="2" s="1"/>
  <c r="C405" i="2" a="1"/>
  <c r="C405" i="2" s="1"/>
  <c r="C406" i="2" a="1"/>
  <c r="C406" i="2" s="1"/>
  <c r="C407" i="2" a="1"/>
  <c r="C407" i="2" s="1"/>
  <c r="C408" i="2" a="1"/>
  <c r="C408" i="2" s="1"/>
  <c r="C409" i="2" a="1"/>
  <c r="C409" i="2" s="1"/>
  <c r="C410" i="2" a="1"/>
  <c r="C410" i="2" s="1"/>
  <c r="C411" i="2" a="1"/>
  <c r="C411" i="2" s="1"/>
  <c r="C412" i="2" a="1"/>
  <c r="C412" i="2" s="1"/>
  <c r="C413" i="2" a="1"/>
  <c r="C413" i="2" s="1"/>
  <c r="C414" i="2" a="1"/>
  <c r="C414" i="2" s="1"/>
  <c r="C415" i="2" a="1"/>
  <c r="C415" i="2" s="1"/>
  <c r="C416" i="2" a="1"/>
  <c r="C416" i="2" s="1"/>
  <c r="C417" i="2" a="1"/>
  <c r="C417" i="2" s="1"/>
  <c r="C418" i="2" a="1"/>
  <c r="C418" i="2" s="1"/>
  <c r="C419" i="2" a="1"/>
  <c r="C419" i="2" s="1"/>
  <c r="C420" i="2" a="1"/>
  <c r="C420" i="2" s="1"/>
  <c r="C421" i="2" a="1"/>
  <c r="C421" i="2" s="1"/>
  <c r="C422" i="2" a="1"/>
  <c r="C422" i="2" s="1"/>
  <c r="C423" i="2" a="1"/>
  <c r="C423" i="2" s="1"/>
  <c r="C424" i="2" a="1"/>
  <c r="C424" i="2" s="1"/>
  <c r="C425" i="2" a="1"/>
  <c r="C425" i="2" s="1"/>
  <c r="C426" i="2" a="1"/>
  <c r="C426" i="2" s="1"/>
  <c r="C427" i="2" a="1"/>
  <c r="C427" i="2" s="1"/>
  <c r="C428" i="2" a="1"/>
  <c r="C428" i="2" s="1"/>
  <c r="C429" i="2" a="1"/>
  <c r="C429" i="2" s="1"/>
  <c r="C430" i="2" a="1"/>
  <c r="C430" i="2" s="1"/>
  <c r="C431" i="2" a="1"/>
  <c r="C431" i="2" s="1"/>
  <c r="C432" i="2" a="1"/>
  <c r="C432" i="2" s="1"/>
  <c r="C433" i="2" a="1"/>
  <c r="C433" i="2" s="1"/>
  <c r="C434" i="2" a="1"/>
  <c r="C434" i="2" s="1"/>
  <c r="C435" i="2" a="1"/>
  <c r="C435" i="2" s="1"/>
  <c r="C436" i="2" a="1"/>
  <c r="C436" i="2" s="1"/>
  <c r="C437" i="2" a="1"/>
  <c r="C437" i="2" s="1"/>
  <c r="C438" i="2" a="1"/>
  <c r="C438" i="2" s="1"/>
  <c r="C439" i="2" a="1"/>
  <c r="C439" i="2" s="1"/>
  <c r="C440" i="2" a="1"/>
  <c r="C440" i="2" s="1"/>
  <c r="C441" i="2" a="1"/>
  <c r="C441" i="2" s="1"/>
  <c r="C442" i="2" a="1"/>
  <c r="C442" i="2" s="1"/>
  <c r="C443" i="2" a="1"/>
  <c r="C443" i="2" s="1"/>
  <c r="C444" i="2" a="1"/>
  <c r="C444" i="2" s="1"/>
  <c r="C445" i="2" a="1"/>
  <c r="C445" i="2" s="1"/>
  <c r="C446" i="2" a="1"/>
  <c r="C446" i="2" s="1"/>
  <c r="C447" i="2" a="1"/>
  <c r="C447" i="2" s="1"/>
  <c r="C448" i="2" a="1"/>
  <c r="C448" i="2" s="1"/>
  <c r="C449" i="2" a="1"/>
  <c r="C449" i="2" s="1"/>
  <c r="C450" i="2" a="1"/>
  <c r="C450" i="2" s="1"/>
  <c r="C451" i="2" a="1"/>
  <c r="C451" i="2" s="1"/>
  <c r="C452" i="2" a="1"/>
  <c r="C452" i="2" s="1"/>
  <c r="C453" i="2" a="1"/>
  <c r="C453" i="2" s="1"/>
  <c r="C454" i="2" a="1"/>
  <c r="C454" i="2"/>
  <c r="C455" i="2" a="1"/>
  <c r="C455" i="2" s="1"/>
  <c r="C456" i="2" a="1"/>
  <c r="C456" i="2" s="1"/>
  <c r="C457" i="2" a="1"/>
  <c r="C457" i="2" s="1"/>
  <c r="C458" i="2" a="1"/>
  <c r="C458" i="2" s="1"/>
  <c r="C459" i="2" a="1"/>
  <c r="C459" i="2" s="1"/>
  <c r="C460" i="2" a="1"/>
  <c r="C460" i="2" s="1"/>
  <c r="C461" i="2" a="1"/>
  <c r="C461" i="2" s="1"/>
  <c r="C462" i="2" a="1"/>
  <c r="C462" i="2" s="1"/>
  <c r="C463" i="2" a="1"/>
  <c r="C463" i="2" s="1"/>
  <c r="C464" i="2" a="1"/>
  <c r="C464" i="2" s="1"/>
  <c r="C465" i="2" a="1"/>
  <c r="C465" i="2" s="1"/>
  <c r="C466" i="2" a="1"/>
  <c r="C466" i="2" s="1"/>
  <c r="C467" i="2" a="1"/>
  <c r="C467" i="2" s="1"/>
  <c r="C468" i="2" a="1"/>
  <c r="C468" i="2" s="1"/>
  <c r="C469" i="2" a="1"/>
  <c r="C469" i="2" s="1"/>
  <c r="C470" i="2" a="1"/>
  <c r="C470" i="2" s="1"/>
  <c r="C471" i="2" a="1"/>
  <c r="C471" i="2" s="1"/>
  <c r="C472" i="2" a="1"/>
  <c r="C472" i="2" s="1"/>
  <c r="C473" i="2" a="1"/>
  <c r="C473" i="2" s="1"/>
  <c r="C474" i="2" a="1"/>
  <c r="C474" i="2" s="1"/>
  <c r="C475" i="2" a="1"/>
  <c r="C475" i="2" s="1"/>
  <c r="C476" i="2" a="1"/>
  <c r="C476" i="2" s="1"/>
  <c r="C477" i="2" a="1"/>
  <c r="C477" i="2" s="1"/>
  <c r="C478" i="2" a="1"/>
  <c r="C478" i="2" s="1"/>
  <c r="C479" i="2" a="1"/>
  <c r="C479" i="2" s="1"/>
  <c r="C480" i="2" a="1"/>
  <c r="C480" i="2" s="1"/>
  <c r="C481" i="2" a="1"/>
  <c r="C481" i="2" s="1"/>
  <c r="C482" i="2" a="1"/>
  <c r="C482" i="2" s="1"/>
  <c r="C483" i="2" a="1"/>
  <c r="C483" i="2" s="1"/>
  <c r="C484" i="2" a="1"/>
  <c r="C484" i="2" s="1"/>
  <c r="C485" i="2" a="1"/>
  <c r="C485" i="2" s="1"/>
  <c r="C486" i="2" a="1"/>
  <c r="C486" i="2" s="1"/>
  <c r="C487" i="2" a="1"/>
  <c r="C487" i="2" s="1"/>
  <c r="C488" i="2" a="1"/>
  <c r="C488" i="2" s="1"/>
  <c r="C489" i="2" a="1"/>
  <c r="C489" i="2" s="1"/>
  <c r="C490" i="2" a="1"/>
  <c r="C490" i="2" s="1"/>
  <c r="C491" i="2" a="1"/>
  <c r="C491" i="2" s="1"/>
  <c r="C492" i="2" a="1"/>
  <c r="C492" i="2" s="1"/>
  <c r="C493" i="2" a="1"/>
  <c r="C493" i="2" s="1"/>
  <c r="C494" i="2" a="1"/>
  <c r="C494" i="2" s="1"/>
  <c r="C495" i="2" a="1"/>
  <c r="C495" i="2" s="1"/>
  <c r="C496" i="2" a="1"/>
  <c r="C496" i="2" s="1"/>
  <c r="C497" i="2" a="1"/>
  <c r="C497" i="2" s="1"/>
  <c r="C498" i="2" a="1"/>
  <c r="C498" i="2" s="1"/>
  <c r="C499" i="2" a="1"/>
  <c r="C499" i="2" s="1"/>
  <c r="C500" i="2" a="1"/>
  <c r="C500" i="2" s="1"/>
  <c r="C501" i="2" a="1"/>
  <c r="C501" i="2" s="1"/>
  <c r="C502" i="2" a="1"/>
  <c r="C502" i="2" s="1"/>
  <c r="C503" i="2" a="1"/>
  <c r="C503" i="2" s="1"/>
  <c r="C504" i="2" a="1"/>
  <c r="C504" i="2" s="1"/>
  <c r="C505" i="2" a="1"/>
  <c r="C505" i="2" s="1"/>
  <c r="C506" i="2" a="1"/>
  <c r="C506" i="2" s="1"/>
  <c r="C507" i="2" a="1"/>
  <c r="C507" i="2" s="1"/>
  <c r="C508" i="2" a="1"/>
  <c r="C508" i="2" s="1"/>
  <c r="C509" i="2" a="1"/>
  <c r="C509" i="2" s="1"/>
  <c r="C510" i="2" a="1"/>
  <c r="C510" i="2" s="1"/>
  <c r="C511" i="2" a="1"/>
  <c r="C511" i="2" s="1"/>
  <c r="C512" i="2" a="1"/>
  <c r="C512" i="2" s="1"/>
  <c r="C513" i="2" a="1"/>
  <c r="C513" i="2" s="1"/>
  <c r="C514" i="2" a="1"/>
  <c r="C514" i="2" s="1"/>
  <c r="C515" i="2" a="1"/>
  <c r="C515" i="2" s="1"/>
  <c r="C516" i="2" a="1"/>
  <c r="C516" i="2" s="1"/>
  <c r="C517" i="2" a="1"/>
  <c r="C517" i="2" s="1"/>
  <c r="C518" i="2" a="1"/>
  <c r="C518" i="2" s="1"/>
  <c r="C519" i="2" a="1"/>
  <c r="C519" i="2" s="1"/>
  <c r="C520" i="2" a="1"/>
  <c r="C520" i="2" s="1"/>
  <c r="C28" i="2" a="1"/>
  <c r="C28" i="2" s="1"/>
  <c r="C29" i="2" a="1"/>
  <c r="C29" i="2" s="1"/>
  <c r="C30" i="2" a="1"/>
  <c r="C30" i="2" s="1"/>
  <c r="C31" i="2" a="1"/>
  <c r="C31" i="2" s="1"/>
  <c r="C32" i="2" a="1"/>
  <c r="C32" i="2" s="1"/>
  <c r="C33" i="2" a="1"/>
  <c r="C33" i="2" s="1"/>
  <c r="C34" i="2" a="1"/>
  <c r="C34" i="2" s="1"/>
  <c r="C35" i="2" a="1"/>
  <c r="C35" i="2" s="1"/>
  <c r="C36" i="2" a="1"/>
  <c r="C36" i="2" s="1"/>
  <c r="C37" i="2" a="1"/>
  <c r="C37" i="2" s="1"/>
  <c r="C38" i="2" a="1"/>
  <c r="C38" i="2" s="1"/>
  <c r="C39" i="2" a="1"/>
  <c r="C39" i="2" s="1"/>
  <c r="C40" i="2" a="1"/>
  <c r="C40" i="2" s="1"/>
  <c r="C41" i="2" a="1"/>
  <c r="C41" i="2" s="1"/>
  <c r="C42" i="2" a="1"/>
  <c r="C42" i="2" s="1"/>
  <c r="C43" i="2" a="1"/>
  <c r="C43" i="2" s="1"/>
  <c r="C44" i="2" a="1"/>
  <c r="C44" i="2" s="1"/>
  <c r="C45" i="2" a="1"/>
  <c r="C45" i="2" s="1"/>
  <c r="C46" i="2" a="1"/>
  <c r="C46" i="2" s="1"/>
  <c r="C47" i="2" a="1"/>
  <c r="C47" i="2" s="1"/>
  <c r="C48" i="2" a="1"/>
  <c r="C48" i="2" s="1"/>
  <c r="C49" i="2" a="1"/>
  <c r="C49" i="2" s="1"/>
  <c r="C50" i="2" a="1"/>
  <c r="C50" i="2" s="1"/>
  <c r="C51" i="2" a="1"/>
  <c r="C51" i="2" s="1"/>
  <c r="C52" i="2" a="1"/>
  <c r="C52" i="2" s="1"/>
  <c r="C53" i="2" a="1"/>
  <c r="C53" i="2" s="1"/>
  <c r="C54" i="2" a="1"/>
  <c r="C54" i="2" s="1"/>
  <c r="C3" i="2" a="1"/>
  <c r="C3" i="2" s="1"/>
  <c r="C4" i="2" a="1"/>
  <c r="C4" i="2" s="1"/>
  <c r="C6" i="2" a="1"/>
  <c r="C6" i="2" s="1"/>
  <c r="C7" i="2" a="1"/>
  <c r="C7" i="2" s="1"/>
  <c r="C8" i="2" a="1"/>
  <c r="C8" i="2" s="1"/>
  <c r="C9" i="2" a="1"/>
  <c r="C9" i="2" s="1"/>
  <c r="C10" i="2" a="1"/>
  <c r="C10" i="2" s="1"/>
  <c r="C11" i="2" a="1"/>
  <c r="C11" i="2" s="1"/>
  <c r="C12" i="2" a="1"/>
  <c r="C12" i="2" s="1"/>
  <c r="C13" i="2" a="1"/>
  <c r="C13" i="2" s="1"/>
  <c r="C14" i="2" a="1"/>
  <c r="C14" i="2" s="1"/>
  <c r="C15" i="2" a="1"/>
  <c r="C15" i="2" s="1"/>
  <c r="C16" i="2" a="1"/>
  <c r="C16" i="2" s="1"/>
  <c r="C17" i="2" a="1"/>
  <c r="C17" i="2" s="1"/>
  <c r="C18" i="2" a="1"/>
  <c r="C18" i="2" s="1"/>
  <c r="C19" i="2" a="1"/>
  <c r="C19" i="2" s="1"/>
  <c r="C20" i="2" a="1"/>
  <c r="C20" i="2" s="1"/>
  <c r="C21" i="2" a="1"/>
  <c r="C21" i="2" s="1"/>
  <c r="C22" i="2" a="1"/>
  <c r="C22" i="2" s="1"/>
  <c r="C23" i="2" a="1"/>
  <c r="C23" i="2" s="1"/>
  <c r="C24" i="2" a="1"/>
  <c r="C24" i="2" s="1"/>
  <c r="C25" i="2" a="1"/>
  <c r="C25" i="2" s="1"/>
  <c r="C26" i="2" a="1"/>
  <c r="C26" i="2" s="1"/>
  <c r="C27" i="2" a="1"/>
  <c r="C27" i="2" s="1"/>
  <c r="M3" i="14" l="1"/>
  <c r="M4" i="14"/>
  <c r="M5" i="14"/>
  <c r="M8" i="14"/>
  <c r="M9" i="14"/>
  <c r="M10" i="14"/>
  <c r="M13" i="14"/>
  <c r="M15" i="14"/>
  <c r="M18" i="14"/>
  <c r="M19" i="14"/>
  <c r="M20" i="14"/>
  <c r="M21" i="14"/>
  <c r="M22" i="14"/>
  <c r="M23" i="14"/>
  <c r="M24" i="14"/>
  <c r="M28" i="14"/>
  <c r="M29" i="14"/>
  <c r="M33" i="14"/>
  <c r="M34" i="14"/>
  <c r="M35" i="14"/>
  <c r="M38" i="14"/>
  <c r="M39" i="14"/>
  <c r="M40" i="14"/>
  <c r="M43" i="14"/>
  <c r="M44" i="14"/>
  <c r="M45" i="14"/>
  <c r="M148" i="14"/>
  <c r="M149" i="14"/>
  <c r="M150" i="14"/>
  <c r="M153" i="14"/>
  <c r="M154" i="14"/>
  <c r="M158" i="14"/>
  <c r="M159" i="14"/>
  <c r="M163" i="14"/>
  <c r="M164" i="14"/>
  <c r="M178" i="14"/>
  <c r="M179" i="14"/>
  <c r="M183" i="14"/>
  <c r="M184" i="14"/>
  <c r="M188" i="14"/>
  <c r="M189" i="14"/>
  <c r="M193" i="14"/>
  <c r="M194" i="14"/>
  <c r="M198" i="14"/>
  <c r="M199" i="14"/>
  <c r="M203" i="14"/>
  <c r="M204" i="14"/>
  <c r="M208" i="14"/>
  <c r="M209" i="14"/>
  <c r="M213" i="14"/>
  <c r="M214" i="14"/>
  <c r="M218" i="14"/>
  <c r="M223" i="14"/>
  <c r="M224" i="14"/>
  <c r="M228" i="14"/>
  <c r="M229" i="14"/>
  <c r="M233" i="14"/>
  <c r="M234" i="14"/>
  <c r="M238" i="14"/>
  <c r="M239" i="14"/>
  <c r="M243" i="14"/>
  <c r="M244" i="14"/>
  <c r="M248" i="14"/>
  <c r="M249" i="14"/>
  <c r="M253" i="14"/>
  <c r="M254" i="14"/>
  <c r="M258" i="14"/>
  <c r="M259" i="14"/>
  <c r="M260" i="14"/>
  <c r="M261" i="14"/>
  <c r="M262" i="14"/>
  <c r="M264" i="14"/>
  <c r="M265" i="14"/>
  <c r="M266" i="14"/>
  <c r="M267" i="14"/>
  <c r="M269" i="14"/>
  <c r="M270" i="14"/>
  <c r="M271" i="14"/>
  <c r="M272" i="14"/>
  <c r="M274" i="14"/>
  <c r="M275" i="14"/>
  <c r="M277" i="14"/>
  <c r="M279" i="14"/>
  <c r="M280" i="14"/>
  <c r="M281" i="14"/>
  <c r="M282" i="14"/>
  <c r="M291" i="14"/>
  <c r="M294" i="14"/>
  <c r="M295" i="14"/>
  <c r="M296" i="14"/>
  <c r="M297" i="14"/>
  <c r="M298" i="14"/>
  <c r="M299" i="14"/>
  <c r="M300" i="14"/>
  <c r="M301" i="14"/>
  <c r="M302" i="14"/>
  <c r="M304" i="14"/>
  <c r="M305" i="14"/>
  <c r="M309" i="14"/>
  <c r="M310" i="14"/>
  <c r="M314" i="14"/>
  <c r="M315" i="14"/>
  <c r="M319" i="14"/>
  <c r="M320" i="14"/>
  <c r="M324" i="14"/>
  <c r="M325" i="14"/>
  <c r="M330" i="14"/>
  <c r="M331" i="14"/>
  <c r="M335" i="14"/>
  <c r="M336" i="14"/>
  <c r="M340" i="14"/>
  <c r="M341" i="14"/>
  <c r="M349" i="14"/>
  <c r="M350" i="14"/>
  <c r="M351" i="14"/>
  <c r="M354" i="14"/>
  <c r="M355" i="14"/>
  <c r="M356" i="14"/>
  <c r="M359" i="14"/>
  <c r="M364" i="14"/>
  <c r="M365" i="14"/>
  <c r="M366" i="14"/>
  <c r="M369" i="14"/>
  <c r="M370" i="14"/>
  <c r="M371" i="14"/>
  <c r="M374" i="14"/>
  <c r="M375" i="14"/>
  <c r="M424" i="14"/>
  <c r="M425" i="14"/>
  <c r="M426" i="14"/>
  <c r="M429" i="14"/>
  <c r="M430" i="14"/>
  <c r="M444" i="14"/>
  <c r="M445" i="14"/>
  <c r="M446" i="14"/>
  <c r="M449" i="14"/>
  <c r="M450" i="14"/>
  <c r="M454" i="14"/>
  <c r="M455" i="14"/>
  <c r="M460" i="14"/>
  <c r="M469" i="14"/>
  <c r="M470" i="14"/>
  <c r="M476" i="14"/>
  <c r="M480" i="14"/>
  <c r="M481" i="14"/>
  <c r="M485" i="14"/>
  <c r="M486" i="14"/>
  <c r="M490" i="14"/>
  <c r="M491" i="14"/>
  <c r="M495" i="14"/>
  <c r="M496" i="14"/>
  <c r="M500" i="14"/>
  <c r="M501" i="14"/>
  <c r="M505" i="14"/>
  <c r="M506" i="14"/>
  <c r="M510" i="14"/>
  <c r="M511" i="14"/>
  <c r="M515" i="14"/>
  <c r="M516" i="14"/>
  <c r="M520" i="14"/>
  <c r="M521" i="14"/>
  <c r="M525" i="14"/>
  <c r="M526" i="14"/>
  <c r="M530" i="14"/>
  <c r="M531" i="14"/>
  <c r="M532" i="14"/>
  <c r="M535" i="14"/>
  <c r="M536" i="14"/>
  <c r="M540" i="14"/>
  <c r="M541" i="14"/>
  <c r="M542" i="14"/>
  <c r="M543" i="14"/>
  <c r="M544" i="14"/>
  <c r="M545" i="14"/>
  <c r="M546" i="14"/>
  <c r="M547" i="14"/>
  <c r="M548" i="14"/>
  <c r="M550" i="14"/>
  <c r="M551" i="14"/>
  <c r="M552" i="14"/>
  <c r="M555" i="14"/>
  <c r="M556" i="14"/>
  <c r="M557" i="14"/>
  <c r="M560" i="14"/>
  <c r="M561" i="14"/>
  <c r="M565" i="14"/>
  <c r="M566" i="14"/>
  <c r="M570" i="14"/>
  <c r="M571" i="14"/>
  <c r="M575" i="14"/>
  <c r="M580" i="14"/>
  <c r="M581" i="14"/>
  <c r="M585" i="14"/>
  <c r="M586" i="14"/>
  <c r="M590" i="14"/>
  <c r="M595" i="14"/>
  <c r="M596" i="14"/>
  <c r="M597" i="14"/>
  <c r="M598" i="14"/>
  <c r="M599" i="14"/>
  <c r="M600" i="14"/>
  <c r="M605" i="14"/>
  <c r="M606" i="14"/>
  <c r="M607" i="14"/>
  <c r="M608" i="14"/>
  <c r="M609" i="14"/>
  <c r="M610" i="14"/>
  <c r="M611" i="14"/>
  <c r="M615" i="14"/>
  <c r="M616" i="14"/>
  <c r="M617" i="14"/>
  <c r="M620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tc={90619B08-60D3-453A-88F6-5A8B3338064A}</author>
    <author>tc={6D2E080C-70D3-4384-ADC4-BA362F8EB7D7}</author>
    <author>tc={6B8C9425-29FC-4C86-BF7C-9FE5A57D7A49}</author>
  </authors>
  <commentList>
    <comment ref="G1" authorId="0" shapeId="0" xr:uid="{90619B08-60D3-453A-88F6-5A8B3338064A}">
      <text>
        <t>[Threaded comment]
Your version of Excel allows you to read this threaded comment; however, any edits to it will get removed if the file is opened in a newer version of Excel. Learn more: https://go.microsoft.com/fwlink/?linkid=870924
Comment:
    keine % Werte mehr, sondern Status aus Initiative Record: 25%: Erster Termin oder Kickoff wurde durchgeführt, Lead-Verantwortung ist geklärt
50%: Elaboration ist im Gange
75%: Prozess wurde beim IT Process Committee zur Freigabe eingereicht
100%: IT Process Committee hat den Prozess freigegeben</t>
      </text>
    </comment>
    <comment ref="M1" authorId="1" shapeId="0" xr:uid="{6D2E080C-70D3-4384-ADC4-BA362F8EB7D7}">
      <text>
        <t>[Threaded comment]
Your version of Excel allows you to read this threaded comment; however, any edits to it will get removed if the file is opened in a newer version of Excel. Learn more: https://go.microsoft.com/fwlink/?linkid=870924
Comment:
    spalte kann vermutlich raus</t>
      </text>
    </comment>
    <comment ref="O1" authorId="2" shapeId="0" xr:uid="{6B8C9425-29FC-4C86-BF7C-9FE5A57D7A49}">
      <text>
        <t>[Threaded comment]
Your version of Excel allows you to read this threaded comment; however, any edits to it will get removed if the file is opened in a newer version of Excel. Learn more: https://go.microsoft.com/fwlink/?linkid=870924
Comment:
    für dashboard nicht mehr relevant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<sst xmlns="http://schemas.openxmlformats.org/spreadsheetml/2006/main" count="30395" uniqueCount="710">
  <si>
    <t>Initative</t>
  </si>
  <si>
    <t xml:space="preserve">Process </t>
  </si>
  <si>
    <t>Phase</t>
  </si>
  <si>
    <t>Process level</t>
  </si>
  <si>
    <t>Process group</t>
  </si>
  <si>
    <t>Percent complete</t>
  </si>
  <si>
    <t>IT process Consultant</t>
  </si>
  <si>
    <t>Responsible</t>
  </si>
  <si>
    <t>Care taker</t>
  </si>
  <si>
    <t>Start</t>
  </si>
  <si>
    <t>End</t>
  </si>
  <si>
    <t>Duration</t>
  </si>
  <si>
    <t>Approval date</t>
  </si>
  <si>
    <t>Actual phase</t>
  </si>
  <si>
    <t>Planned phase</t>
  </si>
  <si>
    <t>Associated process on L1</t>
  </si>
  <si>
    <t>Corporate IT body</t>
  </si>
  <si>
    <t>Manage IT strategy</t>
  </si>
  <si>
    <t>Total</t>
  </si>
  <si>
    <t>L1</t>
  </si>
  <si>
    <t>MP</t>
  </si>
  <si>
    <t>1</t>
  </si>
  <si>
    <t>Elaboration</t>
  </si>
  <si>
    <t>Kunz Christina (LIS-MHP Management- und IT Beratung GmbH)</t>
  </si>
  <si>
    <t>Felder Max (LLI)</t>
  </si>
  <si>
    <t>Mielenz Thomas (LMT)</t>
  </si>
  <si>
    <t>Elaboration in progress</t>
  </si>
  <si>
    <t>Scheduled</t>
  </si>
  <si>
    <t>Implementation LIS</t>
  </si>
  <si>
    <t>Implementation COT</t>
  </si>
  <si>
    <t>Implementation LUS</t>
  </si>
  <si>
    <t>Manage IT governance framework</t>
  </si>
  <si>
    <t>Maintain IT glossary</t>
  </si>
  <si>
    <t>L2</t>
  </si>
  <si>
    <t>Manage enterprise architecture</t>
  </si>
  <si>
    <t>Hoermann Patrick (LLI)</t>
  </si>
  <si>
    <t>Gujral Parth (COB-COT-IT)</t>
  </si>
  <si>
    <t>Nussbaumer Florian (LBC)</t>
  </si>
  <si>
    <t>Strategic architecture process</t>
  </si>
  <si>
    <t>ITSM</t>
  </si>
  <si>
    <t>Manage IT portfolio</t>
  </si>
  <si>
    <t>Frank Maren (LIS);Kunz Christina (LIS-MHP Management- und IT Beratung GmbH)</t>
  </si>
  <si>
    <t>Rantou Anna (LIS)</t>
  </si>
  <si>
    <t>Delayed</t>
  </si>
  <si>
    <t>IT project management</t>
  </si>
  <si>
    <t>Manage IT project portfolio</t>
  </si>
  <si>
    <t>Frank Maren (LIS)</t>
  </si>
  <si>
    <t>Mühlbacher Christian (LIS)</t>
  </si>
  <si>
    <t>Rollinger Alexander (LIS)</t>
  </si>
  <si>
    <t>Manage IT service portfolio</t>
  </si>
  <si>
    <t>Reiner Heiko (HAU-ITSA)</t>
  </si>
  <si>
    <t>IT planning and steering</t>
  </si>
  <si>
    <t>Manage and control IT financials</t>
  </si>
  <si>
    <t>Hynek Tobias (LIS)</t>
  </si>
  <si>
    <t>Frank Nicole (LIS)</t>
  </si>
  <si>
    <t>Moser Mario (LIS-LAH)</t>
  </si>
  <si>
    <t>Create and maintain IT budgets</t>
  </si>
  <si>
    <t>Approve and communicate budget plan</t>
  </si>
  <si>
    <t>L3</t>
  </si>
  <si>
    <t>Collect and consolidate budget from stakeholders</t>
  </si>
  <si>
    <t>Develop preliminary budget plan</t>
  </si>
  <si>
    <t>Maintan and adjust budget</t>
  </si>
  <si>
    <t>Review budget plan</t>
  </si>
  <si>
    <t>Revise and optimize budget plan</t>
  </si>
  <si>
    <t>Manage finance and accounting</t>
  </si>
  <si>
    <t>Define financial management framework</t>
  </si>
  <si>
    <t>Establish financial accounting structure</t>
  </si>
  <si>
    <t>Manage IT costs</t>
  </si>
  <si>
    <t>Compare actual cost to budget (forecast)</t>
  </si>
  <si>
    <t>Initiate corrective or preventive actions</t>
  </si>
  <si>
    <t>Report actual IT costs</t>
  </si>
  <si>
    <t>Model and allocate IT costs</t>
  </si>
  <si>
    <t>Apply cost model to calculate service cost per unit</t>
  </si>
  <si>
    <t>Iplement cost allocation to stakeholders / companies</t>
  </si>
  <si>
    <t>Define cost allocation principles</t>
  </si>
  <si>
    <t>Establish cost allocation model</t>
  </si>
  <si>
    <t>Gather relevant cost and consumption data</t>
  </si>
  <si>
    <t>Manage IT stakeholder relationships</t>
  </si>
  <si>
    <t>Manage IT processes and continuous improvement</t>
  </si>
  <si>
    <t>Kuerschner Phillip (LIS)</t>
  </si>
  <si>
    <t>Develop and maintain IT BPM framework</t>
  </si>
  <si>
    <t>Thu 18.09.25</t>
  </si>
  <si>
    <t>Manage continuous improvement</t>
  </si>
  <si>
    <t>Hiller Moritz (LIS)</t>
  </si>
  <si>
    <t>Manage a common approach to contiual improvement</t>
  </si>
  <si>
    <t>Manage continual improvement initiative</t>
  </si>
  <si>
    <t>Perform operational process management</t>
  </si>
  <si>
    <t>Identify process and determine goals</t>
  </si>
  <si>
    <t>Elaborate to-be process</t>
  </si>
  <si>
    <t>Plan process execution</t>
  </si>
  <si>
    <t>Implement process</t>
  </si>
  <si>
    <t>Fri 19.09.25</t>
  </si>
  <si>
    <t>Perform and measure process</t>
  </si>
  <si>
    <t>Analyse process</t>
  </si>
  <si>
    <t>Central area (Jan Müskens)</t>
  </si>
  <si>
    <t>Manage IT risks and compliance</t>
  </si>
  <si>
    <t>Mueskens Jan (LHO)</t>
  </si>
  <si>
    <t>Monnier Murielle (LEC)</t>
  </si>
  <si>
    <t>Monitor to delegate</t>
  </si>
  <si>
    <t>Requirements to measures</t>
  </si>
  <si>
    <t>Implement to improve</t>
  </si>
  <si>
    <t>Manage IT-C strategy</t>
  </si>
  <si>
    <t>Manage IT-C framework</t>
  </si>
  <si>
    <t>(DC/DCC/MSC IT-compliance</t>
  </si>
  <si>
    <t>Plan IT service</t>
  </si>
  <si>
    <t>CP</t>
  </si>
  <si>
    <t>Spieth Tina (LIS)</t>
  </si>
  <si>
    <t>Wed 10.12.25</t>
  </si>
  <si>
    <t>Elaboration Done</t>
  </si>
  <si>
    <t>Perform initial assessment of customer need</t>
  </si>
  <si>
    <t>Tue 19.08.25</t>
  </si>
  <si>
    <t>Evaluate and qualify IT demand</t>
  </si>
  <si>
    <t>Analyse architecture impact</t>
  </si>
  <si>
    <t>Pernet Benoit (LEC) (MIN)</t>
  </si>
  <si>
    <t>Approve IT demand</t>
  </si>
  <si>
    <t>Build IT Service</t>
  </si>
  <si>
    <t>Frick Markus (LIS)</t>
  </si>
  <si>
    <t>Koiner Alexander (LWN)</t>
  </si>
  <si>
    <t>Design IT service</t>
  </si>
  <si>
    <t>Architecture management</t>
  </si>
  <si>
    <t>Define solution target architecture</t>
  </si>
  <si>
    <t>Hammer Marco (AER)</t>
  </si>
  <si>
    <t>Perform software selection</t>
  </si>
  <si>
    <t>Tue 14.10.25</t>
  </si>
  <si>
    <t>Preiss Matthias (LBC)</t>
  </si>
  <si>
    <t>Record and plan functional requirements</t>
  </si>
  <si>
    <t>L4</t>
  </si>
  <si>
    <t>Conduct market analysis &amp; compile long/short list</t>
  </si>
  <si>
    <t>Perform vendor use case pitch &amp; usability test</t>
  </si>
  <si>
    <t>Validate strategic fit</t>
  </si>
  <si>
    <t>Recommendation &amp; EA approval</t>
  </si>
  <si>
    <t>Develop and customise IT service</t>
  </si>
  <si>
    <t>Implementation LIS Done</t>
  </si>
  <si>
    <t>Deploy IT service</t>
  </si>
  <si>
    <t>Test and validate IT service</t>
  </si>
  <si>
    <t>Evaluate success of IT service rollout</t>
  </si>
  <si>
    <t>Manage IT service change</t>
  </si>
  <si>
    <t>Manag IT service change</t>
  </si>
  <si>
    <t>Frank Maren (LIS); Kunz Christina (LIS-MHP Management- und IT Beratung GmbH)</t>
  </si>
  <si>
    <t>Sint Rachel (LBH)</t>
  </si>
  <si>
    <t>Manage IT service release</t>
  </si>
  <si>
    <t>Deliver IT service</t>
  </si>
  <si>
    <t>Mechegia Eloise (LIS)</t>
  </si>
  <si>
    <t>Bergmann Aniko (LIS-LIN)</t>
  </si>
  <si>
    <t>Manage IT service provision request</t>
  </si>
  <si>
    <t>Handle IT service order</t>
  </si>
  <si>
    <t>Run IT service</t>
  </si>
  <si>
    <t>Schroeder Michael (LIS)</t>
  </si>
  <si>
    <t>Ensure IT service continuity</t>
  </si>
  <si>
    <t>Held Matthias</t>
  </si>
  <si>
    <t>Manage IT service capacity</t>
  </si>
  <si>
    <t>Review and maintain IT service continuity plan</t>
  </si>
  <si>
    <t>Montior and report IT service performance</t>
  </si>
  <si>
    <t>Kueschner Phillip (LIS)</t>
  </si>
  <si>
    <t>Monitor and report IT service level</t>
  </si>
  <si>
    <t>Monitor IT service risk and compliance</t>
  </si>
  <si>
    <t>Monitor user experience</t>
  </si>
  <si>
    <t>Operate and maintain IT service</t>
  </si>
  <si>
    <t>Kretz Lucas (COC-COT-IT)</t>
  </si>
  <si>
    <t>Maintain CMDB</t>
  </si>
  <si>
    <t>Nissen Sönke (LIS)</t>
  </si>
  <si>
    <t>Maintain IT asset database</t>
  </si>
  <si>
    <t>Maintain standard change catalouge for IT service</t>
  </si>
  <si>
    <t>Provide IT service support</t>
  </si>
  <si>
    <t>Handle IT Incident</t>
  </si>
  <si>
    <t>Handle IT problem</t>
  </si>
  <si>
    <t>Handle IT service request</t>
  </si>
  <si>
    <t>Manage IT service desk</t>
  </si>
  <si>
    <t>Information security</t>
  </si>
  <si>
    <t>Ensure Information security</t>
  </si>
  <si>
    <t>SP</t>
  </si>
  <si>
    <t>Da Silva Alessandro (LIN)</t>
  </si>
  <si>
    <t>Perform SaaS Security Assessment</t>
  </si>
  <si>
    <t>Hefele Michael (LIN-LIS)</t>
  </si>
  <si>
    <t>Manage IT project</t>
  </si>
  <si>
    <t>Initiate IT project</t>
  </si>
  <si>
    <t>Plan IT project</t>
  </si>
  <si>
    <t>Steer &amp; execute IT project</t>
  </si>
  <si>
    <t>Close IT project</t>
  </si>
  <si>
    <t>Manage IT project change request</t>
  </si>
  <si>
    <t>Assign personnel resources to IT project</t>
  </si>
  <si>
    <t>Ressourcemanagement for IT projects</t>
  </si>
  <si>
    <t>Manage IT sourcing and procurement</t>
  </si>
  <si>
    <t>Moser Mario (LIS-LAH);Frank Maren (LIS);Kunz Christina (LIS-MHP Management- und IT Beratung GmbH)</t>
  </si>
  <si>
    <t>HR initiatives for IT</t>
  </si>
  <si>
    <t>Provide and develop IT workforce</t>
  </si>
  <si>
    <t>Grabmair Melanie (LIS)</t>
  </si>
  <si>
    <t>Plan IT workforce</t>
  </si>
  <si>
    <t>Recruit IT workforce</t>
  </si>
  <si>
    <t>Kiesewetter Ivana (LIS)</t>
  </si>
  <si>
    <t>Pre-board new IT employee</t>
  </si>
  <si>
    <t>Onboard new IT employee</t>
  </si>
  <si>
    <t>Kramer Annika (LIS)</t>
  </si>
  <si>
    <t>Monitoring IT employee retention</t>
  </si>
  <si>
    <t>Implement and maintain IT job architecture</t>
  </si>
  <si>
    <t>Evaluate IT career path</t>
  </si>
  <si>
    <t>Manage IT talent</t>
  </si>
  <si>
    <t>Manage IT skills</t>
  </si>
  <si>
    <t>Manage IT global orientation programme</t>
  </si>
  <si>
    <t>Manage IT employee benefits</t>
  </si>
  <si>
    <t>Ensure performance and conformance of IT services</t>
  </si>
  <si>
    <t>Held Matthias (LIS)</t>
  </si>
  <si>
    <t>Manage IT knowledge</t>
  </si>
  <si>
    <t>Leverage IT innovtion</t>
  </si>
  <si>
    <t xml:space="preserve">Datum </t>
  </si>
  <si>
    <t>Initiative</t>
  </si>
  <si>
    <t>Process</t>
  </si>
  <si>
    <t>Process Group</t>
  </si>
  <si>
    <t>% Work Complete</t>
  </si>
  <si>
    <t>IT Process Consultant</t>
  </si>
  <si>
    <t>IT Process Manager</t>
  </si>
  <si>
    <t>Duration2</t>
  </si>
  <si>
    <t>Process approval date</t>
  </si>
  <si>
    <t>Actual Phase</t>
  </si>
  <si>
    <t>Associated Process on L1</t>
  </si>
  <si>
    <t xml:space="preserve">   Manage IT strategy</t>
  </si>
  <si>
    <t xml:space="preserve">      Manage IT strategy</t>
  </si>
  <si>
    <t xml:space="preserve">   Manage IT governance framework</t>
  </si>
  <si>
    <t xml:space="preserve">      Manage IT governance framework</t>
  </si>
  <si>
    <t xml:space="preserve">      Maintain IT glossary</t>
  </si>
  <si>
    <t xml:space="preserve">         Maintain IT glossary</t>
  </si>
  <si>
    <t xml:space="preserve">   Manage enterprise architecture</t>
  </si>
  <si>
    <t xml:space="preserve">      Manage enterprise architecture</t>
  </si>
  <si>
    <t>Implementation COT Done</t>
  </si>
  <si>
    <t xml:space="preserve">      Strategic architecture process</t>
  </si>
  <si>
    <t xml:space="preserve">         Strategic architecture process</t>
  </si>
  <si>
    <t>Implementation LUS Done</t>
  </si>
  <si>
    <t xml:space="preserve">   Manage IT portfolio</t>
  </si>
  <si>
    <t xml:space="preserve">      Manage IT portfolio</t>
  </si>
  <si>
    <t>?</t>
  </si>
  <si>
    <t xml:space="preserve">      Manage IT project portfolio</t>
  </si>
  <si>
    <t xml:space="preserve">         Manage IT project portfolio</t>
  </si>
  <si>
    <t xml:space="preserve">      Manage IT service portfolio</t>
  </si>
  <si>
    <t xml:space="preserve">         Manage IT service portfolio</t>
  </si>
  <si>
    <t xml:space="preserve">   Manage and control IT financials </t>
  </si>
  <si>
    <t xml:space="preserve">Manage and control IT financials </t>
  </si>
  <si>
    <t xml:space="preserve">      Manage and control IT financials </t>
  </si>
  <si>
    <t>Hynek Tobias (LIS);Kreis Andreas (LLI)</t>
  </si>
  <si>
    <t xml:space="preserve">      Create and maintain IT budgets</t>
  </si>
  <si>
    <t xml:space="preserve">         Create and maintain IT budgets</t>
  </si>
  <si>
    <t xml:space="preserve">         Approve and communicate budget plan </t>
  </si>
  <si>
    <t xml:space="preserve">            Approve and communicate budget plan </t>
  </si>
  <si>
    <t xml:space="preserve">         Collect and consolidate budget from stakeholders </t>
  </si>
  <si>
    <t xml:space="preserve">            Collect and consolidate budget from stakeholders </t>
  </si>
  <si>
    <t xml:space="preserve">         Develop preliminary budget plan </t>
  </si>
  <si>
    <t xml:space="preserve">            Develop preliminary budget plan </t>
  </si>
  <si>
    <t xml:space="preserve">         Maintan and adjust budget </t>
  </si>
  <si>
    <t xml:space="preserve">            Maintan and adjust budget </t>
  </si>
  <si>
    <t xml:space="preserve">         Review budget plan </t>
  </si>
  <si>
    <t xml:space="preserve">            Review budget plan </t>
  </si>
  <si>
    <t xml:space="preserve">         Revise and optimize budget plan </t>
  </si>
  <si>
    <t xml:space="preserve">            Revise and optimize budget plan </t>
  </si>
  <si>
    <t xml:space="preserve">      Manage finance and accounting</t>
  </si>
  <si>
    <t xml:space="preserve">         Manage finance and accounting</t>
  </si>
  <si>
    <t xml:space="preserve">         Define financial management framework</t>
  </si>
  <si>
    <t xml:space="preserve">            Define financial management framework</t>
  </si>
  <si>
    <t xml:space="preserve">         Establish financial accounting structure</t>
  </si>
  <si>
    <t xml:space="preserve">            Establish financial accounting structure</t>
  </si>
  <si>
    <t xml:space="preserve">      Manage IT costs</t>
  </si>
  <si>
    <t xml:space="preserve">         Manage IT costs</t>
  </si>
  <si>
    <t xml:space="preserve">         Compare actual cost to budget (forecast)</t>
  </si>
  <si>
    <t xml:space="preserve">            Compare actual cost to budget (forecast)</t>
  </si>
  <si>
    <t xml:space="preserve">         Initiate corrective or preventive actions</t>
  </si>
  <si>
    <t xml:space="preserve">            Initiate corrective or preventive actions</t>
  </si>
  <si>
    <t xml:space="preserve">         Report actual IT costs</t>
  </si>
  <si>
    <t xml:space="preserve">            Report actual IT costs</t>
  </si>
  <si>
    <t xml:space="preserve">      Model and allocate IT costs</t>
  </si>
  <si>
    <t xml:space="preserve">         Model and allocate IT costs</t>
  </si>
  <si>
    <t xml:space="preserve">         Apply cost model to calculate service cost per unit </t>
  </si>
  <si>
    <t xml:space="preserve">            Apply cost model to calculate service cost per unit </t>
  </si>
  <si>
    <t xml:space="preserve">         Implement cost allocation to stakeholders / companies</t>
  </si>
  <si>
    <t xml:space="preserve">            Implement cost allocation to stakeholders / companies</t>
  </si>
  <si>
    <t xml:space="preserve">         Define cost allocation principles </t>
  </si>
  <si>
    <t xml:space="preserve">            Define cost allocation principles </t>
  </si>
  <si>
    <t xml:space="preserve">         Establish cost allocation model</t>
  </si>
  <si>
    <t xml:space="preserve">            Establish cost allocation model</t>
  </si>
  <si>
    <t xml:space="preserve">         Gather relevant cost and consumption data</t>
  </si>
  <si>
    <t xml:space="preserve">            Gather relevant cost and consumption data</t>
  </si>
  <si>
    <t xml:space="preserve">   Manage IT stakeholder relationships</t>
  </si>
  <si>
    <t xml:space="preserve">      Manage IT stakeholder relationships</t>
  </si>
  <si>
    <t xml:space="preserve">   Manage IT processes and continuous improvement </t>
  </si>
  <si>
    <t xml:space="preserve">Manage IT processes and continuous improvement </t>
  </si>
  <si>
    <t xml:space="preserve">      Manage IT processes and continuous improvement </t>
  </si>
  <si>
    <t xml:space="preserve">      Develop and maintain IT BPM framework</t>
  </si>
  <si>
    <t xml:space="preserve">         Develop and maintain IT BPM framework</t>
  </si>
  <si>
    <t xml:space="preserve">      Manage continuous improvement</t>
  </si>
  <si>
    <t xml:space="preserve">         Manage continuous improvement</t>
  </si>
  <si>
    <t xml:space="preserve">         Manage a common approach to contiual improvement </t>
  </si>
  <si>
    <t xml:space="preserve">            Manage a common approach to contiual improvement </t>
  </si>
  <si>
    <t xml:space="preserve">         Manage continual improvement initiative</t>
  </si>
  <si>
    <t xml:space="preserve">            Manage continual improvement initiative</t>
  </si>
  <si>
    <t xml:space="preserve">      Perform operational process management</t>
  </si>
  <si>
    <t xml:space="preserve">         Perform operational process management</t>
  </si>
  <si>
    <t xml:space="preserve">         Identify process and determine goals</t>
  </si>
  <si>
    <t xml:space="preserve">            Identify process and determine goals</t>
  </si>
  <si>
    <t xml:space="preserve">         Elaborate to-be process</t>
  </si>
  <si>
    <t xml:space="preserve">            Elaborate to-be process</t>
  </si>
  <si>
    <t xml:space="preserve">         Plan process execution</t>
  </si>
  <si>
    <t xml:space="preserve">            Plan process execution</t>
  </si>
  <si>
    <t xml:space="preserve">         Implement process</t>
  </si>
  <si>
    <t xml:space="preserve">            Implement process</t>
  </si>
  <si>
    <t xml:space="preserve">         Perform and measure process</t>
  </si>
  <si>
    <t xml:space="preserve">            Perform and measure process</t>
  </si>
  <si>
    <t xml:space="preserve">         Analyse process</t>
  </si>
  <si>
    <t xml:space="preserve">            Analyse process</t>
  </si>
  <si>
    <t xml:space="preserve">   Manage IT risks and compliance </t>
  </si>
  <si>
    <t xml:space="preserve">Manage IT risks and compliance </t>
  </si>
  <si>
    <t xml:space="preserve">      Manage IT risks and compliance </t>
  </si>
  <si>
    <t>Rollinger Alexander (LIS);Kreis Andreas (LLI)</t>
  </si>
  <si>
    <t xml:space="preserve">      Monitor to delegate</t>
  </si>
  <si>
    <t xml:space="preserve">         Monitor to delegate</t>
  </si>
  <si>
    <t xml:space="preserve">      Requirements to measures</t>
  </si>
  <si>
    <t xml:space="preserve">         Requirements to measures</t>
  </si>
  <si>
    <t xml:space="preserve">      Implement to improve</t>
  </si>
  <si>
    <t xml:space="preserve">         Implement to improve</t>
  </si>
  <si>
    <t xml:space="preserve">      Manage IT-C strategy</t>
  </si>
  <si>
    <t xml:space="preserve">         Manage IT-C strategy</t>
  </si>
  <si>
    <t xml:space="preserve">      Manage IT-C framework</t>
  </si>
  <si>
    <t xml:space="preserve">         Manage IT-C framework</t>
  </si>
  <si>
    <t xml:space="preserve">      (DC/DCC/MSC IT-compliance</t>
  </si>
  <si>
    <t xml:space="preserve">         (DC/DCC/MSC IT-compliance</t>
  </si>
  <si>
    <t xml:space="preserve">   Plan IT service</t>
  </si>
  <si>
    <t xml:space="preserve">      Plan IT service</t>
  </si>
  <si>
    <t xml:space="preserve">      Perform initial assessment of customer need</t>
  </si>
  <si>
    <t xml:space="preserve">         Perform initial assessment of customer need</t>
  </si>
  <si>
    <t xml:space="preserve">      Evaluate and qualify IT demand</t>
  </si>
  <si>
    <t xml:space="preserve">         Evaluate and qualify IT demand</t>
  </si>
  <si>
    <t xml:space="preserve">         Analyse architecture impact</t>
  </si>
  <si>
    <t xml:space="preserve">            Analyse architecture impact</t>
  </si>
  <si>
    <t xml:space="preserve">      Approve IT demand</t>
  </si>
  <si>
    <t xml:space="preserve">         Approve IT demand</t>
  </si>
  <si>
    <t xml:space="preserve">   Build IT Service</t>
  </si>
  <si>
    <t xml:space="preserve">      Build IT Service</t>
  </si>
  <si>
    <t xml:space="preserve">      Design IT service</t>
  </si>
  <si>
    <t xml:space="preserve">         Design IT service</t>
  </si>
  <si>
    <t xml:space="preserve">         Define solution target architecture</t>
  </si>
  <si>
    <t xml:space="preserve">            Define solution target architecture</t>
  </si>
  <si>
    <t xml:space="preserve">         Perform software selection</t>
  </si>
  <si>
    <t xml:space="preserve">            Perform software selection</t>
  </si>
  <si>
    <t xml:space="preserve">            Record and plan functional requirements</t>
  </si>
  <si>
    <t xml:space="preserve">               Record and plan functional requirements</t>
  </si>
  <si>
    <t xml:space="preserve">            Conduct market analysis &amp; compile long/short list</t>
  </si>
  <si>
    <t xml:space="preserve">               Conduct market analysis &amp; compile long/short list</t>
  </si>
  <si>
    <t xml:space="preserve">            Perform vendor use case pitch &amp; usability test</t>
  </si>
  <si>
    <t xml:space="preserve">               Perform vendor use case pitch &amp; usability test</t>
  </si>
  <si>
    <t xml:space="preserve">            Validate strategic fit </t>
  </si>
  <si>
    <t xml:space="preserve">               Validate strategic fit </t>
  </si>
  <si>
    <t xml:space="preserve">            Recommendation &amp; EA approval</t>
  </si>
  <si>
    <t xml:space="preserve">               Recommendation &amp; EA approval</t>
  </si>
  <si>
    <t xml:space="preserve">      Develop and customise IT service</t>
  </si>
  <si>
    <t xml:space="preserve">         Develop and customise IT service</t>
  </si>
  <si>
    <t xml:space="preserve">      Deploy IT service</t>
  </si>
  <si>
    <t xml:space="preserve">         Deploy IT service</t>
  </si>
  <si>
    <t xml:space="preserve">      Test and validate IT service </t>
  </si>
  <si>
    <t xml:space="preserve">         Test and validate IT service </t>
  </si>
  <si>
    <t xml:space="preserve">      Evaluate success of IT service rollout</t>
  </si>
  <si>
    <t xml:space="preserve">         Evaluate success of IT service rollout</t>
  </si>
  <si>
    <t xml:space="preserve">      Manage IT service change</t>
  </si>
  <si>
    <t xml:space="preserve">         Manag IT service change</t>
  </si>
  <si>
    <t>Kunz Christina (LIS-MHP Management- und IT Beratung GmbH);Frank Maren (LIS)</t>
  </si>
  <si>
    <t xml:space="preserve">      Manage IT service release</t>
  </si>
  <si>
    <t xml:space="preserve">         Manage IT service release</t>
  </si>
  <si>
    <t xml:space="preserve">   Deliver IT service</t>
  </si>
  <si>
    <t xml:space="preserve">      Deliver IT service</t>
  </si>
  <si>
    <t xml:space="preserve">      Manage IT service provision request</t>
  </si>
  <si>
    <t xml:space="preserve">         Manage IT service provision request</t>
  </si>
  <si>
    <t xml:space="preserve">      Handle IT service order </t>
  </si>
  <si>
    <t xml:space="preserve">         Handle IT service order </t>
  </si>
  <si>
    <t xml:space="preserve">   Run IT service</t>
  </si>
  <si>
    <t xml:space="preserve">      Run IT service</t>
  </si>
  <si>
    <t xml:space="preserve">      Ensure IT service continuity </t>
  </si>
  <si>
    <t xml:space="preserve">         Ensure IT service continuity </t>
  </si>
  <si>
    <t xml:space="preserve">Held Matthias </t>
  </si>
  <si>
    <t xml:space="preserve">         Manage IT service capacity</t>
  </si>
  <si>
    <t xml:space="preserve">            Manage IT service capacity</t>
  </si>
  <si>
    <t xml:space="preserve">         Review and maintain IT service continuity plan</t>
  </si>
  <si>
    <t xml:space="preserve">            Review and maintain IT service continuity plan</t>
  </si>
  <si>
    <t xml:space="preserve">      Montior and report IT service performance </t>
  </si>
  <si>
    <t xml:space="preserve">         Montior and report IT service performance </t>
  </si>
  <si>
    <t xml:space="preserve">         Monitor and report IT service level</t>
  </si>
  <si>
    <t xml:space="preserve">            Monitor and report IT service level</t>
  </si>
  <si>
    <t xml:space="preserve">         Monitor IT service risk and compliance </t>
  </si>
  <si>
    <t xml:space="preserve">            Monitor IT service risk and compliance </t>
  </si>
  <si>
    <t xml:space="preserve">         Monitor user experience </t>
  </si>
  <si>
    <t xml:space="preserve">            Monitor user experience </t>
  </si>
  <si>
    <t xml:space="preserve">      Operate and maintain IT service </t>
  </si>
  <si>
    <t xml:space="preserve">         Operate and maintain IT service </t>
  </si>
  <si>
    <t xml:space="preserve">         Maintain CMDB</t>
  </si>
  <si>
    <t xml:space="preserve">            Maintain CMDB</t>
  </si>
  <si>
    <t xml:space="preserve">         Maintain IT asset database </t>
  </si>
  <si>
    <t xml:space="preserve">            Maintain IT asset database </t>
  </si>
  <si>
    <t xml:space="preserve">         Maintain standard change catalouge for IT service </t>
  </si>
  <si>
    <t xml:space="preserve">            Maintain standard change catalouge for IT service </t>
  </si>
  <si>
    <t xml:space="preserve">      Provide IT service support</t>
  </si>
  <si>
    <t xml:space="preserve">         Provide IT service support</t>
  </si>
  <si>
    <t>Kürschner Philipp (LIS)</t>
  </si>
  <si>
    <t xml:space="preserve">         Handle IT Incident</t>
  </si>
  <si>
    <t xml:space="preserve">            Handle IT Incident</t>
  </si>
  <si>
    <t xml:space="preserve">         Handle IT problem</t>
  </si>
  <si>
    <t xml:space="preserve">            Handle IT problem</t>
  </si>
  <si>
    <t xml:space="preserve">         Handle IT service request</t>
  </si>
  <si>
    <t xml:space="preserve">            Handle IT service request</t>
  </si>
  <si>
    <t xml:space="preserve">         Manage IT service desk</t>
  </si>
  <si>
    <t xml:space="preserve">            Manage IT service desk</t>
  </si>
  <si>
    <t xml:space="preserve">   Ensure Information security </t>
  </si>
  <si>
    <t xml:space="preserve">Ensure Information security </t>
  </si>
  <si>
    <t xml:space="preserve">      Ensure Information security </t>
  </si>
  <si>
    <t xml:space="preserve">      Perform SaaS Security Assessment</t>
  </si>
  <si>
    <t xml:space="preserve">         Perform SaaS Security Assessment</t>
  </si>
  <si>
    <t xml:space="preserve">   Manage IT project</t>
  </si>
  <si>
    <t xml:space="preserve">      Manage IT project</t>
  </si>
  <si>
    <t xml:space="preserve">      Initiate IT project</t>
  </si>
  <si>
    <t xml:space="preserve">         Initiate IT project</t>
  </si>
  <si>
    <t xml:space="preserve">      Plan IT project </t>
  </si>
  <si>
    <t xml:space="preserve">         Plan IT project </t>
  </si>
  <si>
    <t xml:space="preserve">      Steer &amp; execute IT project </t>
  </si>
  <si>
    <t xml:space="preserve">         Steer &amp; execute IT project </t>
  </si>
  <si>
    <t xml:space="preserve">      Close IT project</t>
  </si>
  <si>
    <t xml:space="preserve">         Close IT project</t>
  </si>
  <si>
    <t xml:space="preserve">      Manage IT project change request </t>
  </si>
  <si>
    <t xml:space="preserve">         Manage IT project change request </t>
  </si>
  <si>
    <t xml:space="preserve">      Assign personnel resources to IT project</t>
  </si>
  <si>
    <t xml:space="preserve">         Ressourcemanagement for IT projects</t>
  </si>
  <si>
    <t xml:space="preserve">   Manage IT sourcing and procurement </t>
  </si>
  <si>
    <t xml:space="preserve">Manage IT sourcing and procurement </t>
  </si>
  <si>
    <t xml:space="preserve">      Manage IT sourcing and procurement </t>
  </si>
  <si>
    <t xml:space="preserve">   Provide and develop IT workforce</t>
  </si>
  <si>
    <t xml:space="preserve">      Provide and develop IT workforce</t>
  </si>
  <si>
    <t xml:space="preserve">      Plan IT workforce</t>
  </si>
  <si>
    <t xml:space="preserve">         Plan IT workforce</t>
  </si>
  <si>
    <t xml:space="preserve">      Recruit IT workforce</t>
  </si>
  <si>
    <t xml:space="preserve">         Recruit IT workforce</t>
  </si>
  <si>
    <t xml:space="preserve">      Pre-board new IT employee</t>
  </si>
  <si>
    <t xml:space="preserve">         Pre-board new IT employee</t>
  </si>
  <si>
    <t xml:space="preserve">      Onboard new IT employee</t>
  </si>
  <si>
    <t xml:space="preserve">         Onboard new IT employee</t>
  </si>
  <si>
    <t xml:space="preserve">      Monitoring IT employee retention</t>
  </si>
  <si>
    <t xml:space="preserve">         Monitoring IT employee retention</t>
  </si>
  <si>
    <t xml:space="preserve">      Implement and maintain IT job architecture</t>
  </si>
  <si>
    <t xml:space="preserve">         Implement and maintain IT job architecture</t>
  </si>
  <si>
    <t xml:space="preserve">      Evaluate IT career path</t>
  </si>
  <si>
    <t xml:space="preserve">         Evaluate IT career path</t>
  </si>
  <si>
    <t xml:space="preserve">      Manage IT talent</t>
  </si>
  <si>
    <t xml:space="preserve">         Manage IT talent</t>
  </si>
  <si>
    <t xml:space="preserve">      Manage IT skills</t>
  </si>
  <si>
    <t xml:space="preserve">         Manage IT skills</t>
  </si>
  <si>
    <t xml:space="preserve">      Manage IT global orientation programme</t>
  </si>
  <si>
    <t xml:space="preserve">         Manage IT global orientation programme</t>
  </si>
  <si>
    <t xml:space="preserve">      Manage IT employee benefits</t>
  </si>
  <si>
    <t xml:space="preserve">         Manage IT employee benefits</t>
  </si>
  <si>
    <t xml:space="preserve">   Ensure performance and conformance of IT services </t>
  </si>
  <si>
    <t xml:space="preserve">Ensure performance and conformance of IT services </t>
  </si>
  <si>
    <t xml:space="preserve">      Ensure performance and conformance of IT services </t>
  </si>
  <si>
    <t xml:space="preserve">   Manage IT knowledge </t>
  </si>
  <si>
    <t xml:space="preserve">Manage IT knowledge </t>
  </si>
  <si>
    <t xml:space="preserve">      Manage IT knowledge </t>
  </si>
  <si>
    <t xml:space="preserve">   Leverage IT innovtion </t>
  </si>
  <si>
    <t xml:space="preserve">Leverage IT innovtion </t>
  </si>
  <si>
    <t xml:space="preserve">      Leverage IT innovtion </t>
  </si>
  <si>
    <t>0 dys</t>
  </si>
  <si>
    <t>% Arbeit abgeschlossen</t>
  </si>
  <si>
    <t>IT Process Initiative Lead</t>
  </si>
  <si>
    <t>Anfang</t>
  </si>
  <si>
    <t>Ende</t>
  </si>
  <si>
    <t>Dauer2</t>
  </si>
  <si>
    <t>Process Approval Date</t>
  </si>
  <si>
    <t>📌 Analyse</t>
  </si>
  <si>
    <t>Mit 06.05.26</t>
  </si>
  <si>
    <t>Prozesse in Elaboration</t>
  </si>
  <si>
    <t>Kreis Andreas (LLI)</t>
  </si>
  <si>
    <t>NV</t>
  </si>
  <si>
    <t>Kunz Christina (LIS-MHP Management- und IT Beratung GmbH);Kreis Andreas (LLI)</t>
  </si>
  <si>
    <t>Mit 28.01.26</t>
  </si>
  <si>
    <t>Ceilia Roser (LIS)</t>
  </si>
  <si>
    <t xml:space="preserve">   Manage and control IT financials</t>
  </si>
  <si>
    <t xml:space="preserve">      Manage and control IT financials</t>
  </si>
  <si>
    <t xml:space="preserve">         Approve and communicate budget plan</t>
  </si>
  <si>
    <t xml:space="preserve">            Approve and communicate budget plan</t>
  </si>
  <si>
    <t xml:space="preserve">         Collect and consolidate budget from stakeholders</t>
  </si>
  <si>
    <t xml:space="preserve">            Collect and consolidate budget from stakeholders</t>
  </si>
  <si>
    <t xml:space="preserve">         Develop preliminary budget plan</t>
  </si>
  <si>
    <t xml:space="preserve">            Develop preliminary budget plan</t>
  </si>
  <si>
    <t xml:space="preserve">         Maintan and adjust budget</t>
  </si>
  <si>
    <t xml:space="preserve">            Maintan and adjust budget</t>
  </si>
  <si>
    <t xml:space="preserve">         Review budget plan</t>
  </si>
  <si>
    <t xml:space="preserve">            Review budget plan</t>
  </si>
  <si>
    <t xml:space="preserve">         Revise and optimize budget plan</t>
  </si>
  <si>
    <t xml:space="preserve">            Revise and optimize budget plan</t>
  </si>
  <si>
    <t xml:space="preserve">         Compare actual cost to budget forecast</t>
  </si>
  <si>
    <t xml:space="preserve">            Compare actual cost to budget forecast</t>
  </si>
  <si>
    <t xml:space="preserve">         Apply cost model to calculate service cost per unit</t>
  </si>
  <si>
    <t xml:space="preserve">            Apply cost model to calculate service cost per unit</t>
  </si>
  <si>
    <t xml:space="preserve">         Implement cost allocation to stakeholders or companies</t>
  </si>
  <si>
    <t xml:space="preserve">            Implement cost allocation to stakeholders or companies</t>
  </si>
  <si>
    <t xml:space="preserve">         Define cost allocation principles</t>
  </si>
  <si>
    <t xml:space="preserve">            Define cost allocation principles</t>
  </si>
  <si>
    <t xml:space="preserve">   Manage IT processes and continuous improvement</t>
  </si>
  <si>
    <t xml:space="preserve">      Manage IT processes and continuous improvement</t>
  </si>
  <si>
    <t>Hoermann Patrick (LLI);Rollinger Alexander (LIS)</t>
  </si>
  <si>
    <t>Don 18.09.25</t>
  </si>
  <si>
    <t>Rollinger Alexander (LIS);Böhme Matthias (ext.)</t>
  </si>
  <si>
    <t xml:space="preserve">         Manage a common approach to contiual improvement</t>
  </si>
  <si>
    <t xml:space="preserve">            Manage a common approach to contiual improvement</t>
  </si>
  <si>
    <t xml:space="preserve">         Perform operational process management (V 2.0)</t>
  </si>
  <si>
    <t xml:space="preserve">            Identify process and determine goals (V 2.0)</t>
  </si>
  <si>
    <t xml:space="preserve">            Elaborate to-be process (V 2.0)</t>
  </si>
  <si>
    <t xml:space="preserve">            Plan process execution (V 2.0)</t>
  </si>
  <si>
    <t>Fre 19.09.25</t>
  </si>
  <si>
    <t xml:space="preserve">            Implement process (V 2.0)</t>
  </si>
  <si>
    <t xml:space="preserve">   Manage IT risks and compliance</t>
  </si>
  <si>
    <t xml:space="preserve">      Manage IT risks and compliance</t>
  </si>
  <si>
    <t>Kreis Andreas (LLI);Rollinger Alexander (LIS)</t>
  </si>
  <si>
    <t xml:space="preserve">      Manage IT risks</t>
  </si>
  <si>
    <t xml:space="preserve">         Manage IT risks</t>
  </si>
  <si>
    <t>Rollinger Alexander (LIS);Moser Mario (LIS-LAH)</t>
  </si>
  <si>
    <t xml:space="preserve">      Manage IT compliance</t>
  </si>
  <si>
    <t xml:space="preserve">         Manage IT compliance</t>
  </si>
  <si>
    <t xml:space="preserve">            Monitor to delegate</t>
  </si>
  <si>
    <t xml:space="preserve">            Requirements to measures</t>
  </si>
  <si>
    <t xml:space="preserve">            Implement to improve</t>
  </si>
  <si>
    <t xml:space="preserve">            Manage IT-C strategy</t>
  </si>
  <si>
    <t xml:space="preserve">            Manage IT-C framework</t>
  </si>
  <si>
    <t xml:space="preserve">         DC/DCC/MSC IT-compliance</t>
  </si>
  <si>
    <t xml:space="preserve">            DC/DCC/MSC IT-compliance</t>
  </si>
  <si>
    <t>Mit 10.12.25</t>
  </si>
  <si>
    <t>Die 19.08.25</t>
  </si>
  <si>
    <t>Dalek Martin (LIS)</t>
  </si>
  <si>
    <t>Wiehe Alexander (COB)</t>
  </si>
  <si>
    <t xml:space="preserve">      Test and validate IT service</t>
  </si>
  <si>
    <t xml:space="preserve">         Test and validate IT service</t>
  </si>
  <si>
    <t>Mit 15.04.26</t>
  </si>
  <si>
    <t>Kuerschner Phillip</t>
  </si>
  <si>
    <t>Schnurrenberger Christoph (LIS-LIN)</t>
  </si>
  <si>
    <t xml:space="preserve">      Handle IT service order</t>
  </si>
  <si>
    <t xml:space="preserve">         Handle IT service order</t>
  </si>
  <si>
    <t>Schroeder Michael (LIS);Böhme Matthias (ext.)</t>
  </si>
  <si>
    <t>Oey Kai (LIS)</t>
  </si>
  <si>
    <t xml:space="preserve">      Ensure IT service continuity</t>
  </si>
  <si>
    <t xml:space="preserve">         Ensure IT service continuity</t>
  </si>
  <si>
    <t>Held Matthias (LIS) ?</t>
  </si>
  <si>
    <t xml:space="preserve">      Monitor and report IT service performance</t>
  </si>
  <si>
    <t xml:space="preserve">         Montior and report IT service performance</t>
  </si>
  <si>
    <t>Kuerschner Philipp (LIS)</t>
  </si>
  <si>
    <t xml:space="preserve">         Monitor and report IT service financials</t>
  </si>
  <si>
    <t xml:space="preserve">            Monitor and report IT service financials</t>
  </si>
  <si>
    <t xml:space="preserve">         Monitor and analyse events</t>
  </si>
  <si>
    <t xml:space="preserve">            Monitor and analyse events</t>
  </si>
  <si>
    <t xml:space="preserve">         Monitor IT service risk and compliance</t>
  </si>
  <si>
    <t xml:space="preserve">            Monitor IT service risk and compliance</t>
  </si>
  <si>
    <t xml:space="preserve">         Monitor user experience</t>
  </si>
  <si>
    <t xml:space="preserve">            Monitor user experience</t>
  </si>
  <si>
    <t xml:space="preserve">      Operate and maintain IT service</t>
  </si>
  <si>
    <t xml:space="preserve">         Operate and maintain IT service</t>
  </si>
  <si>
    <t xml:space="preserve">         Maintain IT asset database</t>
  </si>
  <si>
    <t xml:space="preserve">            Maintain IT asset database</t>
  </si>
  <si>
    <t xml:space="preserve">         Maintain standard change catalouge for IT service</t>
  </si>
  <si>
    <t xml:space="preserve">            Maintain standard change catalouge for IT service</t>
  </si>
  <si>
    <t>Don 19.03.26</t>
  </si>
  <si>
    <t xml:space="preserve">   Ensure Information security</t>
  </si>
  <si>
    <t xml:space="preserve">      Ensure Information security</t>
  </si>
  <si>
    <t xml:space="preserve">      Plan IT project</t>
  </si>
  <si>
    <t xml:space="preserve">         Plan IT project</t>
  </si>
  <si>
    <t xml:space="preserve">      Steer and execute IT project</t>
  </si>
  <si>
    <t xml:space="preserve">         Steer and execute IT project</t>
  </si>
  <si>
    <t xml:space="preserve">      Manage IT project change request</t>
  </si>
  <si>
    <t xml:space="preserve">         Manage IT project change request</t>
  </si>
  <si>
    <t xml:space="preserve">   Manage IT sourcing and procurement</t>
  </si>
  <si>
    <t xml:space="preserve">      Manage IT sourcing and procurement</t>
  </si>
  <si>
    <t>Rollinger Alexander (LIS);Schoeberl Lorena (LBH)</t>
  </si>
  <si>
    <t>tbd</t>
  </si>
  <si>
    <t>Chen Leilei (ext.);Hynek Tobias (LIS)</t>
  </si>
  <si>
    <t>Amelang Nicole (LIS)</t>
  </si>
  <si>
    <t xml:space="preserve">      Manage HR4IT strategy, governane and framework</t>
  </si>
  <si>
    <t xml:space="preserve">         Manage HR4IT strategy, governane and framework</t>
  </si>
  <si>
    <t xml:space="preserve">            Plan IT workforce</t>
  </si>
  <si>
    <t xml:space="preserve">            Implement and maintain IT job architecture</t>
  </si>
  <si>
    <t xml:space="preserve">         Manage HR4IT service demand</t>
  </si>
  <si>
    <t xml:space="preserve">            Manage HR4IT service demand</t>
  </si>
  <si>
    <t xml:space="preserve">      Attract and hire employees</t>
  </si>
  <si>
    <t xml:space="preserve">         Attract and hire employees</t>
  </si>
  <si>
    <t xml:space="preserve">         Perform active sourcing</t>
  </si>
  <si>
    <t xml:space="preserve">            Perform active sourcing</t>
  </si>
  <si>
    <t xml:space="preserve">         Recruit employees and managers</t>
  </si>
  <si>
    <t xml:space="preserve">            Recruit employees and managers</t>
  </si>
  <si>
    <t xml:space="preserve">      Perform onboarding</t>
  </si>
  <si>
    <t xml:space="preserve">         Perform onboarding</t>
  </si>
  <si>
    <t xml:space="preserve">         Pre-board new IT employee and manager</t>
  </si>
  <si>
    <t xml:space="preserve">            Pre-board new IT employee and manager</t>
  </si>
  <si>
    <t xml:space="preserve">         Onboard new IT employee and manager</t>
  </si>
  <si>
    <t xml:space="preserve">            Onboard new IT employee and manager</t>
  </si>
  <si>
    <t xml:space="preserve">      Perform, learn and grow</t>
  </si>
  <si>
    <t xml:space="preserve">         Perform, learn and grow</t>
  </si>
  <si>
    <t xml:space="preserve">         Create, approve and publish trainings for IT workforce within IT Training Catalogue</t>
  </si>
  <si>
    <t xml:space="preserve">            Create, approve and publish trainings for IT workforce within IT Training Catalogue</t>
  </si>
  <si>
    <t xml:space="preserve">         Mapping and evaluate IT career level</t>
  </si>
  <si>
    <t xml:space="preserve">            Mapping and evaluate IT career level</t>
  </si>
  <si>
    <t xml:space="preserve">         Manage IT development programme</t>
  </si>
  <si>
    <t xml:space="preserve">            Manage IT development programme</t>
  </si>
  <si>
    <t xml:space="preserve">            Manage IT skills</t>
  </si>
  <si>
    <t xml:space="preserve">         Manage IT talent pool and identify potential</t>
  </si>
  <si>
    <t xml:space="preserve">            Manage IT global orientation programme</t>
  </si>
  <si>
    <t xml:space="preserve">         Manage IT global orientation programme incl. job shadowing</t>
  </si>
  <si>
    <t xml:space="preserve">            Manage IT global orientation programme incl. job shadowing</t>
  </si>
  <si>
    <t xml:space="preserve">   Ensure performance and conformance of IT services</t>
  </si>
  <si>
    <t xml:space="preserve">      Ensure performance and conformance of IT services</t>
  </si>
  <si>
    <t xml:space="preserve">   Manage IT knowledge</t>
  </si>
  <si>
    <t xml:space="preserve">      Manage IT knowledge</t>
  </si>
  <si>
    <t xml:space="preserve">   Leverage IT innovation</t>
  </si>
  <si>
    <t xml:space="preserve">      Leverage IT innovation</t>
  </si>
  <si>
    <t>Abbondio Viviana (LIS)</t>
  </si>
  <si>
    <t>Finish</t>
  </si>
  <si>
    <t>Comment</t>
  </si>
  <si>
    <t>Text19</t>
  </si>
  <si>
    <t>LookupKey</t>
  </si>
  <si>
    <t>Uwe Kranich is second responsible; 16.06. Vorstellung Comittee</t>
  </si>
  <si>
    <t>approximate date</t>
  </si>
  <si>
    <t>date to be reviewed</t>
  </si>
  <si>
    <t xml:space="preserve">            Conduct market analysis and compile long or short list</t>
  </si>
  <si>
    <t xml:space="preserve">               Conduct market analysis and compile long or short list</t>
  </si>
  <si>
    <t xml:space="preserve">            Perform vendor use case pitch and usability test</t>
  </si>
  <si>
    <t xml:space="preserve">               Perform vendor use case pitch and usability test</t>
  </si>
  <si>
    <t xml:space="preserve">            Validate strategic fit</t>
  </si>
  <si>
    <t xml:space="preserve">            Recommendation and EA approval</t>
  </si>
  <si>
    <t xml:space="preserve">               Recommendation and EA approval</t>
  </si>
  <si>
    <t xml:space="preserve">Resonsible unklar; Verwechslung Deliver und Run Prozesse </t>
  </si>
  <si>
    <t xml:space="preserve">Responsible unklar; Verwechslung Deliver und Run Prozesse </t>
  </si>
  <si>
    <t>Responsible from Matthias Held adjusted to Philipp Kürschner in the joint conversation</t>
  </si>
  <si>
    <t>Ansprechpartner Anna Rantou</t>
  </si>
  <si>
    <t xml:space="preserve">Ansprechpartner Eloise </t>
  </si>
  <si>
    <t>Mit Go Life Service Now</t>
  </si>
  <si>
    <t>Sönke Nissen war zuvor eingetragen. Philipp Kürschner sieht sich als verantwortlich.</t>
  </si>
  <si>
    <t>Trainings ongoing (with cPlace implementation)</t>
  </si>
  <si>
    <t xml:space="preserve">         Steer and execute IT project </t>
  </si>
  <si>
    <t>Roland Mario (LPS)</t>
  </si>
  <si>
    <t>will be defined in CF-B (HR)</t>
  </si>
  <si>
    <t xml:space="preserve">      Leverage IT innovation </t>
  </si>
  <si>
    <t>Vorgangsmodus</t>
  </si>
  <si>
    <t>% Work done</t>
  </si>
  <si>
    <t>Duration in days</t>
  </si>
  <si>
    <t>Parent Process</t>
  </si>
  <si>
    <t>Manuell geplant</t>
  </si>
  <si>
    <t>Management Processes</t>
  </si>
  <si>
    <t>Automatisch geplant</t>
  </si>
  <si>
    <t>No actual status</t>
  </si>
  <si>
    <t>Birgit Gerathewohl (LIS)</t>
  </si>
  <si>
    <t>Not planned yet</t>
  </si>
  <si>
    <t>Boehme Matthias (LIS-BPMO);Rollinger Alexander (LIS)</t>
  </si>
  <si>
    <t>n/a</t>
  </si>
  <si>
    <t>Core Processes</t>
  </si>
  <si>
    <t>Elaboration done</t>
  </si>
  <si>
    <t>not planned yet</t>
  </si>
  <si>
    <t xml:space="preserve">               Validate strategic fit</t>
  </si>
  <si>
    <t>Presented in IT Process Committee - still open points and not approved yet</t>
  </si>
  <si>
    <t>Hoeller Martin (LBH)</t>
  </si>
  <si>
    <t>In review cycle</t>
  </si>
  <si>
    <t>Resonsible unklar; Verwechslung Deliver und Run Prozesse</t>
  </si>
  <si>
    <t>Responsible unklar; Verwechslung Deliver und Run Prozesse</t>
  </si>
  <si>
    <t>Schroeder Michael (LIS);Boehme Matthias (LIS-BPMO)</t>
  </si>
  <si>
    <t>Oey Kai (LIS)?</t>
  </si>
  <si>
    <t>Norbert Schwarz (MHP) wird für Philipp Kürschner den Prozess mit erarbeiten; Philipp ist weiterhin PO</t>
  </si>
  <si>
    <t xml:space="preserve">         Maintain standard change catalogue for IT service</t>
  </si>
  <si>
    <t xml:space="preserve">            Maintain standard change catalogue for IT service</t>
  </si>
  <si>
    <t>Ansprechpartner Eloise</t>
  </si>
  <si>
    <t>Support processes</t>
  </si>
  <si>
    <t>Schoeberl Lorena (LBH)</t>
  </si>
  <si>
    <t>Dolderer Wolfgang (LIS)</t>
  </si>
  <si>
    <t>Chen Leilei (LIS-BPMO);Hynek Tobias (LIS)</t>
  </si>
  <si>
    <t>Chen Leilei (LIS-BPMO)</t>
  </si>
  <si>
    <t>Leverage IT innovation</t>
  </si>
  <si>
    <t>KeyNorm</t>
  </si>
  <si>
    <t>ProcessGroupOrder</t>
  </si>
  <si>
    <t>L1OrderInGroup</t>
  </si>
  <si>
    <t>SortKey</t>
  </si>
  <si>
    <t>Start_Total</t>
  </si>
  <si>
    <t>End_Total</t>
  </si>
  <si>
    <t>Start_PBI</t>
  </si>
  <si>
    <t>End_PBI</t>
  </si>
  <si>
    <t>DummyDatesFlag</t>
  </si>
  <si>
    <t>Contact summary</t>
  </si>
  <si>
    <t>StatusCategory</t>
  </si>
  <si>
    <t>StatusOrder</t>
  </si>
  <si>
    <t>PhaseOrder</t>
  </si>
  <si>
    <t>mp|manage it strategy</t>
  </si>
  <si>
    <t>mp|manage it governance framework</t>
  </si>
  <si>
    <t>mp|manage enterprise architecture</t>
  </si>
  <si>
    <t>mp|manage it portfolio</t>
  </si>
  <si>
    <t>mp|manage and control it financials</t>
  </si>
  <si>
    <t>mp|manage it stakeholder relationships</t>
  </si>
  <si>
    <t>mp|manage it processes and continuous improvement</t>
  </si>
  <si>
    <t>mp|manage it risks and compliance</t>
  </si>
  <si>
    <t>cp|plan it service</t>
  </si>
  <si>
    <t>cp|build it service</t>
  </si>
  <si>
    <t>cp|deliver it service</t>
  </si>
  <si>
    <t>cp|run it service</t>
  </si>
  <si>
    <t>sp|ensure information security</t>
  </si>
  <si>
    <t>sp|manage it project</t>
  </si>
  <si>
    <t>sp|manage it sourcing and procurement</t>
  </si>
  <si>
    <t>sp|provide and develop it workforce</t>
  </si>
  <si>
    <t>sp|ensure performance and conformance of it services</t>
  </si>
  <si>
    <t>sp|manage it knowledge</t>
  </si>
  <si>
    <t>sp|leverage it innovtion</t>
  </si>
  <si>
    <t>Chunk#</t>
  </si>
  <si>
    <t>HTML (alle Chunks aus Spalte B ab Zeile 2 kopieren, zusammenfügen, als dashboard.html speichern)</t>
  </si>
  <si>
    <t>&lt;!doctype html&gt;
&lt;html lang="en"&gt;
&lt;head&gt;
&lt;meta charset="utf-8" /&gt;
&lt;meta name="viewport" content="width=device-width, initial-scale=1" /&gt;
&lt;meta name="color-scheme" content="light" /&gt;
&lt;title&gt;Corporate IT Processes timeline&lt;/title&gt;
&lt;style&gt;
:root{color-scheme:light;--bg:#f8fafc;--panel:#ffffff;--muted:#475569;--text:#0f172a;--line:#e2e8f0;--accent:#2563eb;--pg-mp:#BDC4CA;--pg-cp:#FFCC00;--pg-sp:#8BB2C2;}
*{box-sizing:border-box;font-family:Segoe UI,system-ui,-apple-system,Arial,sans-serif;}
html,body{height:100%;margin:0;background:var(--bg);color:var(--text);}
.header{display:flex;align-items:center;justify-content:space-between;padding:14px 18px;border-bottom:1px solid var(--line);background:var(--panel);position:sticky;top:0;z-index:10;}
.hTitle{font-size:18px;font-weight:700;letter-spacing:.2px;}
.wrap{display:grid;grid-template-columns:320px 1fr;min-height:calc(100vh - 56px);}
.sidebar{border-right:1px solid var(--line);background:var(--panel);padding:14px;}
.main{padding:12px 14px;}
.btn{border:1px solid #cbd5e1;background:#ffffff;color:#0f172a;border-radius:8px;padding:8px 10px;font-size:12px;cursor:pointer;}
.btn:hover{border-color:#94a3b8;}
.btnRow{display:flex;gap:8px;flex-wrap:wrap;align-items:center;justify-content:flex-end;}
.grid{display:grid;grid-template-columns:320px 1fr;gap:0;border:1px solid var(--line);border-radius:12px;overflow:hidden;background:var(--panel);}
.labels{background:var(--panel);border-right:1px solid var(--line);}
.timeline{position:relative;background:#ffffff;overflow:auto;height:520px;}
.axis{position:sticky;top:0;background:var(--panel);border-bottom:1px solid var(--line);height:32px;z-index:5;}
.tick{position:absolute;top:0;height:32px;border-left:1px solid rgba(148,163,184,.45);}
.tick span{position:absolute;left:4px;top:7px;font-size:11px;color:#334155;white-space:nowrap;}
.labelRow{height:28px;display:flex;align-items:center;gap:8px;padding:0 10px;border-bottom:1px solid rgba(148,163,184,.25);white-space:nowrap;overflow:hidden;text-overflow:ellipsis;}
.labelRow .toggle{width:18px;height:18px;border:1px solid #94a3b8;border-radius:4px;display:flex;align-items:center;justify-content:center;font-size:12px;color:#334155;flex:0 0 auto;cursor:pointer;background:#fff;}
.labelRow .toggle.hidden{visibility:hidden;}
.labelRow .name{overflow:hidden;text-overflow:ellipsis;}
.labelRow.pg{font-weight:700;color:#0b1220;}
.labelRow.pg.pg-mp{background:var(--pg-mp);} .labelRow.pg.pg-cp{background:var(--pg-cp);} .labelRow.pg.pg-sp{background:var(--pg-sp);}
.labelRow.l1{font-weight:700;background:rgba(148,163,184,.18);}
.indent-0{padding-left:10px;} .indent-1{padding-left:22px;} .indent-2{padding-left:36px;} .indent-3{padding-left:52px;} .indent-4{padding-left:70px;}
.timeRow{height:28px;border-bottom:1px solid rgba(148,163,184,.25);position:relative;}
.bar{position:absolute;top:7px;height:14px;border-radius:6px;opacity:.95;}
.bar.delayed{outline:2px dashed rgba(239,68,68,.9);outline-offset:2px;}
.bar.rollup{top:9px;height:10px;border-radius:999px;opacity:.9;}
.todayLine{position:absolute;top:0;bottom:0;width:2px;background:rgba(239,68,68,.7);box-shadow:0 0 0 2px rgba(239,68,68,.18);z-index:4;pointer-events:none;}
.legend{display:flex;gap:10px;align-items:center;flex-wrap:wrap;margin:10px 0 8px;}
.legItem{display:flex;align-items:center;gap:6px;font-size:12px;color:#334155;cursor:pointer;user-select:none;}
.sw{width:12px;height:12px;border-radius:3px;} .legItem.off{opacity:.35;}
.tableWrap{margin-top:12px;border:1px solid var(--line);border-radius:12px;overflow:hidden;background:var(--panel);}
table{width:100%;border-collapse:collapse;background:var(--panel);}
th,td{padding:9px 10px;border-bottom:1px solid rgba(148,163,184,.25);font-size:12px;}
th{position:sticky;top:0;background:var(--panel);text-align:left;color:#0f172a;font-weight:700;}
.small{font-size:12px;color:#475569;} .hint{color:#475569;}
&lt;/style&gt;
&lt;/head&gt;
&lt;body&gt;
&lt;div class="header"&gt;&lt;div class="hTitle"&gt;Corporate IT Processes timeline&lt;/div&gt;
&lt;div class="btnRow"&gt;&lt;button class="btn" id="btnExpand"&gt;Expand all&lt;/button&gt;&lt;button class="btn" id="btnCollapse"&gt;Collapse all&lt;/button&gt;&lt;button class="btn" id="chipReset"&gt;Reset filters&lt;/button&gt;&lt;/div&gt;&lt;/div&gt;
&lt;div class="wrap"&gt;&lt;div class="sidebar"&gt;
&lt;div class="small" style="margin-bottom:8px;"&gt;Filters&lt;/div&gt;
&lt;div style="display:grid;gap:8px;"&gt;
&lt;select id="fGroup" class="btn" style="width:100%"&gt;&lt;option value=""&gt;All Process Groups&lt;/option&gt;&lt;/select&gt;
&lt;select id="fL1" class="btn" style="width:100%"&gt;&lt;option value=""&gt;All L1 Processes&lt;/option&gt;&lt;/select&gt;
&lt;select id="fConsultant" class="btn" style="width:100%"&gt;&lt;option value=""&gt;IT Process Consultant&lt;/option&gt;&lt;/select&gt;
&lt;select id="fManager" class="btn" style="width:100%"&gt;&lt;option value=""&gt;IT Process Manager&lt;/option&gt;&lt;/select&gt;
&lt;select id="fLead" class="btn" style="width:100%"&gt;&lt;option value=""&gt;IT Process Initiative Lead&lt;/option&gt;&lt;/select&gt;
&lt;button class="btn" id="chipDelayed" style="text-align:left;"&gt;Delayed only&lt;/button&gt;
&lt;/div&gt;&lt;div id="countInfo" class="small" style="margin-top:10px;"&gt;&lt;/div&gt;&lt;/div&gt;
&lt;div class="main"&gt;&lt;div class="legend" id="legend"&gt;&lt;/div&gt;
&lt;div class="grid"&gt;&lt;div class="labels" id="labels"&gt;&lt;/div&gt;
&lt;div class="timeline" id="timeline"&gt;&lt;div class="axis" id="axis"&gt;&lt;/div&gt;&lt;div class="rows" id="bars"&gt;&lt;/div&gt;&lt;/div&gt;&lt;/div&gt;
&lt;div class="tableWrap"&gt;&lt;table&gt;&lt;thead&gt;&lt;tr&gt;
&lt;th&gt;Process&lt;/th&gt;&lt;th&gt;Level&lt;/th&gt;&lt;th&gt;Phase&lt;/th&gt;&lt;th&gt;Start&lt;/th&gt;&lt;th&gt;End&lt;/th&gt;&lt;th&gt;% Done&lt;/th&gt;&lt;th&gt;IT Process Initiative Lead&lt;/th&gt;&lt;th&gt;IT Process Manager&lt;/th&gt;&lt;th&gt;IT Process Consultant&lt;/th&gt;&lt;th&gt;Status&lt;/th&gt;
&lt;/tr&gt;&lt;/thead&gt;&lt;tbody id="detailBody"&gt;&lt;/tbody&gt;&lt;/table&gt;&lt;/div&gt;&lt;/div&gt;&lt;/div&gt;
&lt;textarea id="dataB64" style="display:none"&gt;eyJkYXRhIjpbeyJwZyI6Ik1QIiwibDEiOiJNYW5hZ2UgSVQgc3RyYXRlZ3kiLCJwcm9jIjoiTWFuYWdlIElUIHN0cmF0ZWd5IiwibHZsIjoiTDEiLCJwaGFzZSI6IkVsYWJvcmF0aW9uIiwic3RhcnQiOiIyMDI2LTAyLTAyIiwiZW5kIjoiMjAyNi0wNC0zMCIsImFjdHVhbCI6IkVsYWJvcmF0aW9uIGluIHByb2dyZXNzIiwicGxhbm5lZCI6IkVsYWJvcmF0aW9uIGluIHByb2dyZXNzIiwicGN0IjoiMC4wMDUiLCJjb25zdWx0YW50IjoiS3JlaXMgQW5kcmVhcyAoTExJKSIsIm1hbmFnZXIiOiJNaWVsZW56IFRob21hcyAoTE1UKSIsImxlYWQiOiJGZWxkZXIgTWF4IChMTEkpIiwibm9kZUlkIjoibnxNUHxNYW5hZ2UgSVQgc3RyYXRlZ3l8TDF8TWFuYWdlIElUIHN0cmF0ZWd5In0seyJwZyI6Ik1QIiwibDEiOiJNYW5hZ2UgSVQgc3RyYXRlZ3kiLCJwcm9jIjoiTWFuYWdlIElUIHN0cmF0ZWd5IiwibHZsIjoiTDEiLCJwaGFzZSI6IkltcGxlbWVudGF0aW9uIExJUyIsInN0YXJ0IjoiMjAyNi0wNS0xNCIsImVuZCI6IjIwMjYtMDctMjkiLCJhY3R1YWwiOiIiLCJwbGFubmVkIjoiU2NoZWR1bGVkIiwicGN0IjoiMCIsImNvbnN1bHRhbnQiOiJLcmVpcyBBbmRyZWFzIChMTEkpIiwibWFuYWdlciI6Ik1pZWxlbnogVGhvbWFzIChMTVQpIiwibGVhZCI6IkZlbGRlciBNYXggKExMSSkiLCJub2RlSWQiOiJufE1QfE1hbmFnZSBJVCBzdHJhdGVneXxMMXxNYW5hZ2UgSVQgc3RyYXRlZ3kifSx7InBnIjoiTVAiLCJsMSI6Ik1hbmFnZSBJVCBnb3Zlcm5hbmNlIGZyYW1ld29yayIsInByb2MiOiJNYWludGFpbiBJVCBnbG9zc2FyeSIsImx2bCI6IkwyIiwicGhhc2UiOiJJbXBsZW1lbnRhdGlvbiBMSVMiLCJzdGFydCI6IjIwMjYtMDEtMDciLCJlbmQiOiIyMDI2LTAxLTE3IiwiYWN0dWFsIjoiRGVsYXllZCIsInBsYW5uZWQiOiJJbXBsZW1lbnRhdGlvbiBMSVMgRG9uZSIsInBjdCI6IjAiLCJjb25zdWx0YW50IjoiS3VueiBDaHJpc3RpbmEgKExJUy1NSFAgTWFuYWdlbWVudC0gdW5kIElUIEJlcmF0dW5nIEdtYkgpIiwibWFuYWdlciI6Ik1pZWxlbnogVGhvbWFzIChMTVQpIiwibGVhZCI6IkZlbGRlciBNYXggKExMSSkiLCJub2RlSWQiOiJufE1QfE1hbmFnZSBJVCBnb3Zlcm5hbmNlIGZyYW1ld29ya3xMMnxNYWludGFpbiBJVCBnbG9zc2FyeSJ9LHsicGciOiJNUCIsImwxIjoiTWFuYWdlIElUIGdvdmVybmFuY2UgZnJhbWV3b3JrIiwicHJvYyI6Ik1hbmFnZSBJVCBnb3Zlcm5hbmNlIGZyYW1ld29yayIsImx2bCI6IkwxIiwicGhhc2UiOiJFbGFib3JhdGlvbiIsInN0YXJ0IjoiMjAyNi0wMy0xNiIsImVuZCI6IjIwMjYtMDUtMjEiLCJhY3R1YWwiOiJFbGFib3JhdGlvbiBpbiBwcm9ncmVzcyIsInBsYW5uZWQiOiJFbGFib3JhdGlvbiBpbiBwcm9ncmVzcyIsInBjdCI6IjAuMDA1IiwiY29uc3VsdGFudCI6Ikt1bnogQ2hyaXN0aW5hIChMSVMtTUhQIE1hbmFnZW1lbnQtIHVuZCBJVCBCZXJhdHVuZyBHbWJIKTtLcmVpcyBBbmRyZWFzIChMTEkpIiwibWFuYWdlciI6Ik1pZWxlbnogVGhvbWFzIChMTVQpIiwibGVhZCI6IkZlbGRlciBNYXggKExMSSkiLCJub2RlSWQiOiJufE1QfE1hbmFnZSBJVCBnb3Zlcm5hbmNlIGZyYW1ld29ya3xMMXxNYW5hZ2UgSVQgZ292ZXJuYW5jZSBmcmFtZXdvcmsifSx7InBnIjoiTVAiLCJsMSI6Ik1hbmFnZSBJVCBnb3Zlcm5hbmNlIGZyYW1ld29yayIsInByb2MiOiJNYW5hZ2UgSVQgZ292ZXJuYW5jZSBmcmFtZXdvcmsiLCJsdmwiOiJMMSIsInBoYXNlIjoiSW1wbGVtZW50YXRpb24gTElTIiwic3RhcnQiOiIyMDI2LTA1LTI1IiwiZW5kIjoiMjAyNi0wOC0zMSIsImFjdHVhbCI6IiIsInBsYW5uZWQiOiJTY2hlZHVsZWQiLCJwY3QiOiIwIiwiY29uc3VsdGFudCI6Ikt1bnogQ2hyaXN0aW5hIChMSVMtTUhQIE1hbmFnZW1lbnQtIHVuZCBJVCBCZXJhdHVuZyBHbWJIKTtLcmVpcyBBbmRyZWFzIChMTEkpIiwibWFuYWdlciI6Ik1pZWxlbnogVGhvbWFzIChMTVQpIiwibGVhZCI6IkZlbGRlciBNYXggKExMSSkiLCJub2RlSWQiOiJufE1QfE1hbmFnZSBJVCBnb3Zlcm5hbmNlIGZyYW1ld29ya3xMMXxNYW5hZ2UgSVQgZ292ZXJuYW5jZSBmcmFtZXdvcmsifSx7InBnIjoiTVAiLCJsMSI6Ik1hbmFnZSBlbnRlcnByaXNlIGFyY2hpdGVjdHVyZSIsInByb2MiOiJNYW5hZ2UgZW50ZXJwcmlzZSBhcmNoaXRlY3R1cmUiLCJsdmwiOiJMMSIsInBoYXNlIjoiRWxhYm9yYXRpb24iLCJzdGFydCI6IjIwMjYtMDItMjMiLCJlbmQiOiIyMDI2LTA1LTA4IiwiYWN0dWFsIjoiRGVsYXllZCIsInBsYW5uZWQiOiJFbGFib3JhdGlvbiBpbiBwcm9ncmVzcyIsInBjdCI6IjAiLCJjb25zdWx0YW50IjoiSG9lcm1hbm4gUGF0cmljayAoTExJKSIsIm1hbmFnZXIiOiJOdXNzYmF1bWVyIEZsb3JpYW4gKExCQykiLCJsZWFkIjoiR3VqcmFsIFBhcnRoIChDT0ItQ09ULUlUKSIsIm5vZGVJZCI6Im58TVB8TWFuYWdlIGVudGVycHJpc2UgYXJjaGl0ZWN0dXJlfEwxfE1hbmFnZSBlbnRlcnByaXNlIGFyY2hpdGVjdHVyZSJ9LHsicGciOiJNUCIsImwxIjoiTWFuYWdlIGVudGVycHJpc2UgYXJjaGl0ZWN0dXJlIiwicHJvYyI6Ik1hbmFnZSBlbnRlcnByaXNlIGFyY2hpdGVjdHVyZSIsImx2bCI6IkwxIiwicGhhc2UiOiJJbXBsZW1lbnRhdGlvbiBDT1QiLCJzdGFydCI6IjIwMjYtMDUtMDgiLCJlbmQiOiIyMDI2LTA1LTExIiwiYWN0dWFsIjoiIiwicGxhbm5lZCI6IlNjaGVkdWxlZCIsInBjdCI6IjAiLCJjb25zdWx0YW50IjoiIiwibWFuYWdlciI6IiIsImxlYWQiOiIiLCJub2RlSWQiOiJufE1QfE1hbmFnZSBlbnRlcnByaXNlIGFyY2hpdGVjdHVyZXxMMXxNYW5hZ2UgZW50ZXJwcmlzZSBhcmNoaXRlY3R1cmUifSx7InBnIjoiTVAiLCJsMSI6Ik1hbmFnZSBlbnRlcnByaXNlIGFyY2hpdGVjdHVyZSIsInByb2MiOiJNYW5hZ2UgZW50ZXJwcmlzZSBhcmNoaXRlY3R1cmUiLCJsdmwiOiJMMSIsInBoYXNlIjoiSW1wbGVtZW50YXRpb24gTElTIiwic3RhcnQiOiIyMDI2LTA1LTA4IiwiZW5kIjoiMjAyNi0wNy0xNiIsImFjdHVhbCI6IiIsInBsYW5uZWQiOiJTY2hlZHVsZWQiLCJwY3QiOiIwIiwiY29uc3VsdGFudCI6IiIsIm1hbmFnZXIiOiIiLCJsZWFkIjoiIiwibm9kZUlkIjoibnxNUHxNYW5hZ2UgZW50ZXJwcmlzZSBhcmNoaXRlY3R1cmV8TDF8TWFuYWdlIGVudGVycHJpc2UgYXJjaGl0ZWN0dXJlIn0seyJwZyI6Ik1QIiwibDEiOiJNYW5hZ2UgZW50ZXJwcmlzZSBhcmNoaXRlY3R1cmUiLCJwcm9jIjoiTWFuYWdlIGVudGVycHJpc2UgYXJjaGl0ZWN0dXJlIiwibHZsIjoiTDEiLCJwaGFzZSI6IkltcGxlbWVudGF0aW9uIExVUyIsInN0YXJ0IjoiMjAyNi0wNS0wOCIsImVuZCI6IjIwMjYtMDUtMTEiLCJhY3R1YWwiOiIiLCJwbGFubmVkIjoiU2NoZWR1bGVkIiwicGN0IjoiMCIsImNvbnN1bHRhbnQiOiIiLCJtYW5hZ2VyIjoiIiwibGVhZCI6IiIsIm5vZGVJZCI6Im58TVB8TWFuYWdlIGVudGVycHJpc2UgYXJjaGl0ZWN0dXJlfEwxfE1hbmFnZSBlbnRlcnByaXNlIGFyY2hpdGVjdHVyZSJ9LHsicGciOiJNUCIsImwxIjoiTWFuYWdlIGVudGVycHJpc2UgYXJjaGl0ZWN0dXJlIiwicHJvYyI6IlN0cmF0ZWdpYyBhcmNoaXRlY3R1cmUgcHJvY2VzcyIsImx2bCI6IkwyIiwicGhhc2UiOiJFbGFib3JhdGlvbiIsInN0YXJ0IjoiMjAyNi0wMi0yMyIsImVuZCI6IjIwMjYtMDQtMzAiLCJhY3R1YWwiOiJEZWxheWVkIiwicGxhbm5lZCI6IkVsYWJvcmF0aW9uIGluIHByb2dyZXNzIiwicGN0IjoiMCIsImNvbnN1bHRhbnQiOiJIb2VybWFubiBQYXRyaWNrIChMTEkpIiwibWFuYWdlciI6Ik51c3NiYXVtZXIgRmxvcmlhbiAoTEJDKSIsImxlYWQiOiJHdWpyYWwgUGFydGggKENPQi1DT1QtSVQpIiwibm9kZUlkIjoibnxNUHxNYW5hZ2UgZW50ZXJwcmlzZSBhcmNoaXRlY3R1cmV8TDJ8U3RyYXRlZ2ljIGFyY2hpdGVjdHVyZSBwcm9jZXNzIn0seyJwZyI6Ik1QIiwibDEiOiJNYW5hZ2UgSVQgcG9ydGZvbGlvIiwicHJvYyI6Ik1hbmFnZSBJVCBwb3J0Zm9saW8iLCJsdmwiOiJMMSIsInBoYXNlIjoiRWxhYm9yYXRpb24iLCJzdGFydCI6IjIwMjUtMTEtMTEiLCJlbmQiOiIyMDI2LTAxLTI5IiwiYWN0dWFsIjoiRWxhYm9yYXRpb24gRG9uZSIsInBsYW5uZWQiOiJFbGFib3JhdGlvbiBEb25lIiwicGN0IjoiMC4wMSIsImNvbnN1bHRhbnQiOiJGcmFuayBNYXJlbiAoTElTKTtLdW56IENocmlzdGluYSAoTElTLU1IUCBNYW5hZ2VtZW50LSB1bmQgSVQgQmVyYXR1bmcgR21iSCkiLCJtYW5hZ2VyIjoiIiwibGVhZCI6IiIsIm5vZGVJZCI6Im58TVB8TWFuYWdlIElUIHBvcnRmb2xpb3xMMXxNYW5hZ2UgSVQgcG9ydGZvbGlvIn0seyJwZyI6Ik1QIiwibDEiOiJNYW5hZ2UgSVQgcG9ydGZvbGlvIiwicHJvYyI6Ik1hbmFnZSBJVCBwcm9qZWN0IHBvcnRmb2xpbyIsImx2bCI6IkwyIiwicGhhc2UiOiJFbGFib3JhdGlvbiIsInN0YXJ0IjoiMjAyNS0xMS0xMCIsImVuZCI6IjIwMjUtMTItMTAiLCJhY3R1YWwiOiJFbGFib3JhdGlvbiBEb25lIiwicGxhbm5lZCI6IkVsYWJvcmF0aW9uIERvbmUiLCJwY3QiOiIwLjAxIiwiY29uc3VsdGFudCI6IkZyYW5rIE1hcmVuIChMSVMpIiwibWFuYWdlciI6IlJvbGxpbmdlciBBbGV4YW5kZXIgKExJUykiLCJsZWFkIjoiTcO8aGxiYWNoZXIgQ2hyaXN0aWFuIChMSVMpIiwibm9kZUlkIjoibnxNUHxNYW5hZ2UgSVQgcG9ydGZvbGlvfEwyfE1hbmFnZSBJVCBwcm9qZWN0IHBvcnRmb2xpbyJ9LHsicGciOiJNUCIsImwxIjoiTWFuYWdlIElUIHBvcnRmb2xpbyIsInByb2MiOiJNYW5hZ2UgSVQgcHJvamVjdCBwb3J0Zm9saW8iLCJsdmwiOiJMMiIsInBoYXNlIjoiSW1wbGVtZW50YXRpb24gTElTIiwic3RhcnQiOiIyMDI2LTAyLTAxIiwiZW5kIjoiMjAyNi0wNS0zMSIsImFjdHVhbCI6IkRlbGF5ZWQiLCJwbGFubmVkIjoiSW1wbGVtZW50YXRpb24gTElTIiwicGN0IjoiMCIsImNvbnN1bHRhbnQiOiJGcmFuayBNYXJlbiAoTElTKSIsIm1hbmFnZXIiOiJSb2xsaW5nZXIgQWxleGFuZGVyIChMSVMpIiwibGVhZCI6Ik3DvGhsYmFjaGVyIENocmlzdGlhbiAoTElTKSIsIm5vZGVJZCI6Im58TVB8TWFuYWdlIElUIHBvcnRmb2xpb3xMMnxNYW5hZ2UgSVQgcHJvamVjdCBwb3J0Zm9saW8ifSx7InBnIjoiTVAiLCJsMSI6Ik1hbmFnZSBJVCBwb3J0Zm9saW8iLCJwcm9jIjoiTWFuYWdlIElUIHNlcnZpY2UgcG9ydGZvbGlvIiwibHZsIjoiTDIiLCJwaGFzZSI6IkVsYWJvcmF0aW9uIiwic3RhcnQiOiIyMDI2LTA0LTAxIiwiZW5kIjoiMjAyNi0wNi0xNSIsImFjdHVhbCI6IkVsYWJvcmF0aW9uIGluIHByb2dyZXNzIiwicGxhbm5lZCI6IkVsYWJvcmF0aW9uIGluIHByb2dyZXNzIiwicGN0IjoiMC4wMDUiLCJjb25zdWx0YW50IjoiRnJhbmsgTWFyZW4gKExJUyk7S3VueiBDaHJpc3RpbmEgKExJUy1NSFAgTWFuYWdlbWVudC0gdW5kIElUIEJlcmF0dW5nIEdtYkgpIiwibWFuYWdlciI6IlJlaW5lciBIZWlrbyAoSEFVLUlUU0EpIiwibGVhZCI6IkNlaWxpYSBSb3NlciAoTElTKSIsIm5vZGVJZCI6Im58TVB8TWFuYWdlIElUIHBvcnRmb2xpb3xMMnxNYW5hZ2UgSVQgc2VydmljZSBwb3J0Zm9saW8ifSx7InBnIjoiTVAiLCJsMSI6Ik1hbmFnZSBJVCBwb3J0Zm9saW8iLCJwcm9jIjoiTWFuYWdlIElUIHNlcnZpY2UgcG9ydGZvbGlvIiwibHZsIjoiTDIiLCJwaGFzZSI6IkltcGxlbWVudGF0aW9uIExJUyIsInN0YXJ0IjoiMjAyNi0wNi0xNSIsImVuZCI6IjIwMjYtMDktMDgiLCJhY3R1YWwiOiIiLCJwbGFubmVkIjoiU2NoZWR1bGVkIiwicGN0IjoiMCIsImNvbnN1bHRhbnQiOiJGcmFuayBNYXJlbiAoTElTKTtLdW56IENocmlzdGluYSAoTElTLU1IUCBNYW5hZ2VtZW50LSB1bmQgSVQgQmVyYXR1bmcgR21iSCkiLCJtYW5hZ2VyIjoiUmVpbmVyIEhlaWtvIChIQVUtSVRTQSkiLCJsZWFkIjoiQ2VpbGlhIFJvc2VyIChMSVMpIiwibm9kZUlkIjoibnxNUHxNYW5hZ2UgSVQgcG9ydGZvbGlvfEwyfE1hbmFnZSBJVCBzZXJ2aWNlIHBvcnRmb2xpbyJ9LHsicGciOiJNUCIsImwxIjoiTWFuYWdlIGFuZCBjb250cm9sIElUIGZpbmFuY2lhbHMiLCJwcm9jIjoiTWFuYWdlIGFuZCBjb250cm9sIElUIGZpbmFuY2lhbHMiLCJsdmwiOiJMMSIsInBoYXNlIjoiRWxhYm9yYXRpb24iLCJzdGFydCI6IjIwMjUtMTAtMTUiLCJlbmQiOiIyMDI2LTA0LTMwIiwiYWN0dWFsIjoiRWxhYm9yYXRpb24gaW4gcHJvZ3Jlc3MiLCJwbGFubmVkIjoiRWxhYm9yYXRpb24gaW4gcHJvZ3Jlc3MiLCJwY3QiOiIwLjAwNSIsImNvbnN1bHRhbnQiOiJIeW5layBUb2JpYXMgKExJUyk7S3JlaXMgQW5kcmVhcyAoTExJKSIsIm1hbmFnZXIiOiJNb3NlciBNYXJpbyAoTElTLUxBSCkiLCJsZWFkIjoiRnJhbmsgTmljb2xlIChMSVMpIiwibm9kZUlkIjoibnxNUHxNYW5hZ2UgYW5kIGNvbnRyb2wgSVQgZmluYW5jaWFsc3xMMXxNYW5hZ2UgYW5kIGNvbnRyb2wgSVQgZmluYW5jaWFscyJ9LHsicGciOiJNUCIsImwxIjoiTWFuYWdlIGFuZCBjb250cm9sIElUIGZpbmFuY2lhbHMiLCJwcm9jIjoiTWFuYWdlIGFuZCBjb250cm9sIElUIGZpbmFuY2lhbHMiLCJsdmwiOiJMMSIsInBoYXNlIjoiSW1wbGVtZW50YXRpb24gTElTIiwic3RhcnQiOiIyMDI2LTA1LTAxIiwiZW5kIjoiMjAyNi0wNy0zMSIsImFjdHVhbCI6IiIsInBsYW5uZWQiOiJTY2hlZHVsZWQiLCJwY3QiOiIwIiwiY29uc3VsdGFudCI6Ikh5bmVrIFRvYmlhcyAoTElTKTtLcmVpcyBBbmRyZWFzIChMTEkpIiwibWFuYWdlciI6Ik1vc2VyIE1hcmlvIChMSVMtTEFIKSIsImxlYWQiOiJGcmFuayBOaWNvbGUgKExJUykiLCJub2RlSWQiOiJufE1QfE1hbmFnZSBhbmQgY29udHJvbCBJVCBmaW5hbmNpYWxzfEwxfE1hbmFnZSBhbmQgY29udHJvbCBJVCBmaW5hbmNpYWxzIn0seyJwZyI6Ik1QIiwibDEiOiJNYW5hZ2UgSVQgc3Rha2Vob2xkZXIgcmVsYXRpb25zaGlwcyIsInByb2MiOiJNYW5hZ2UgSVQgc3Rha2Vob2xkZXIgcmVsYXRpb25zaGlwcyIsImx2bCI6IkwxIiwicGhhc2UiOiJFbGFib3JhdGlvbiIsInN0YXJ0IjoiMjAyNi0wNC0wMSIsImVuZCI6IjIwMjYtMDYtMTUiLCJhY3R1YWwiOiJEZWxheWVkIiwicGxhbm5lZCI6IkVsYWJvcmF0aW9uIGluIHByb2dyZXNzIiwicGN0IjoiMCIsImNvbnN1bHRhbnQiOiJLcmVpcyBBbmRyZWFzIChMTEkpIiwibWFuYWdlciI6Ik1pZWxlbnogVGhvbWFzIChMTVQpIiwibGVhZCI6IkZlbGRlciBNYXggKExMSSkiLCJub2RlSWQiOiJufE1QfE1hbmFnZSBJVCBzdGFrZWhvbGRlciByZWxhdGlvbnNoaXBzfEwxfE1hbmFnZSBJVCBzdGFrZWhvbGRlciByZWxhdGlvbnNoaXBzIn0seyJwZyI6Ik1QIiwibDEiOiJNYW5hZ2UgSVQgc3Rha2Vob2xkZXIgcmVsYXRpb25zaGlwcyIsInByb2MiOiJNYW5hZ2UgSVQgc3Rha2Vob2xkZXIgcmVsYXRpb25zaGlwcyIsImx2bCI6IkwxIiwicGhhc2UiOiJJbXBsZW1lbnRhdGlvbiBMSVMiLCJzdGFydCI6IjIwMjYtMTAtMTUiLCJlbmQiOiIyMDI2LTEyLTIzIiwiYWN0dWFsIjoiIiwicGxhbm5lZCI6IlNjaGVkdWxlZCIsInBjdCI6IjAiLCJjb25zdWx0YW50IjoiS3JlaXMgQW5kcmVhcyAoTExJKSIsIm1hbmFnZXIiOiJNaWVsZW56IFRob21hcyAoTE1UKSIsImxlYWQiOiJGZWxkZXIgTWF4IChMTEkpIiwibm9kZUlkIjoibnxNUHxNYW5hZ2UgSVQgc3Rha2Vob2xkZXIgcmVsYXRpb25zaGlwc3xMMXxNYW5hZ2UgSVQgc3Rha2Vob2xkZXIgcmVsYXRpb25zaGlwcyJ9LHsicGciOiJNUCIsImwxIjoiTWFuYWdlIElUIHByb2Nlc3NlcyBhbmQgY29udGludW91cyBpbXByb3ZlbWVudCIsInByb2MiOiJBbmFseXNlIHByb2Nlc3MiLCJsdmwiOiJMMyIsInBoYXNlIjoiRWxhYm9yYXRpb24iLCJzdGFydCI6IjIwMjUtMTAtMDEiLCJlbmQiOiIyMDI1LTEwLTAxIiwiYWN0dWFsIjoiRWxhYm9yYXRpb24gRG9uZSIsInBsYW5uZWQiOiJFbGFib3JhdGlvbiBEb25lIiwicGN0IjoiMC4wMSIsImNvbnN1bHRhbnQiOiJIb2VybWFubiBQYXRyaWNrIChMTEkpIiwibWFuYWdlciI6IlJlaW5lciBIZWlrbyAoSEFVLUlUU0EpIiwibGVhZCI6IlJvbGxpbmdlciBBbGV4YW5kZXIgKExJUykiLCJub2RlSWQiOiJufE1QfE1hbmFnZSBJVCBwcm9jZXNzZXMgYW5kIGNvbnRpbnVvdXMgaW1wcm92ZW1lbnR8TDN8QW5hbHlzZSBwcm9jZXNzIn0seyJwZyI6Ik1QIiwibDEiOiJNYW5hZ2UgSVQgcHJvY2Vzc2VzIGFuZCBjb250aW51b3VzIGltcHJvdmVtZW50IiwicHJvYyI6IkRldmVsb3AgYW5kIG1haW50YWluIElUIEJQTSBmcmFtZXdvcmsiLCJsdmwiOiJMMiIsInBoYXNlIjoiRWxhYm9yYXRpb24iLCJzdGFydCI6IjIwMjUtMDgtMDQiLCJlbmQiOiIyMDI1LTA4LTMwIiwiYWN0dWFsIjoiRWxhYm9yYXRpb24gRG9uZSIsInBsYW5uZWQiOiJFbGFib3JhdGlvbiBEb25lIiwicGN0IjoiMC4wMSIsImNvbnN1bHRhbnQiOiJIb2VybWFubiBQYXRyaWNrIChMTEkpIiwibWFuYWdlciI6IlJlaW5lciBIZWlrbyAoSEFVLUlUU0EpIiwibGVhZCI6IlJvbGxpbmdlciBBbGV4YW5kZXIgKExJUykiLCJub2RlSWQiOiJufE1QfE1hbmFnZSBJVCBwcm9jZXNzZXMgYW5kIGNvbnRpbnVvdXMgaW1wcm92ZW1lbnR8TDJ8RGV2ZWxvcCBhbmQgbWFpbnRhaW4gSVQgQlBNIGZyYW1ld29yayJ9LHsicGciOiJNUCIsImwxIjoiTWFuYWdlIElUIHByb2Nlc3NlcyBhbmQgY29udGludW91cyBpbXByb3ZlbWVudCIsInByb2MiOiJFbGFib3JhdGUgdG8tYmUgcHJvY2VzcyAoViAyLjApIiwibHZsIjoiTDMiLCJwaGFzZSI6IkVsYWJvcmF0aW9uIiwic3RhcnQiOiIyMDI2LTAxLTEyIiwiZW5kIjoiMjAyNi0wNS0zMSIsImFjdHVhbCI6IkVsYWJvcmF0aW9uIGluIHByb2dyZXNzIiwicGxhbm5lZCI6IkVsYWJvcmF0aW9uIGluIHByb2dyZXNzIiwicGN0IjoiMC4wMDI1IiwiY29uc3VsdGFudCI6IkhvZXJtYW5uIFBhdHJpY2sgKExMSSkiLCJtYW5hZ2VyIjoiUmVpbmVyIEhlaWtvIChIQVUtSVRTQSkiLCJsZWFkIjoiUm9sbGluZ2VyIEFsZXhhbmRlciAoTElTKSIsIm5vZGVJZCI6Im58TVB8TWFuYWdlIElUIHByb2Nlc3NlcyBhbmQgY29udGludW91cyBpbXByb3ZlbWVudHxMM3xFbGFib3JhdGUgdG8tYmUgcHJvY2VzcyAoViAyLjApIn0seyJwZyI6Ik1QIiwibDEiOiJNYW5hZ2UgSVQgcHJvY2Vzc2VzIGFuZCBjb250aW51b3VzIGltcHJvdmVtZW50IiwicHJvYyI6IklkZW50aWZ5IHByb2Nlc3MgYW5kIGRldGVybWluZSBnb2FscyAoViAyLjApIiwibHZsIjoiTDMiLCJwaGFzZSI6IkVsYWJvcmF0aW9uIiwic3RhcnQiOiIyMDI2LTAxLTEyIiwiZW5kIjoiMjAyNi0wNS0zMSIsImFjdHVhbCI6IkVsYWJvcmF0aW9uIGluIHByb2dyZXNzIiwicGxhbm5lZCI6IkVsYWJvcmF0aW9uIGluIHByb2dyZXNzIiwicGN0IjoiMC4wMDI1IiwiY29uc3VsdGFudCI6IkhvZXJtYW5uIFBhdHJpY2sgKExMSSkiLCJtYW5hZ2VyIjoiUmVpbmVyIEhlaWtvIChIQVUtSVRTQSkiLCJsZWFkIjoiUm9sbGluZ2VyIEFsZXhhbmRlciAoTElTKSIsIm5vZGVJZCI6Im58TVB8TWFuYWdlIElUIHByb2Nlc3NlcyBhbmQgY29udGludW91cyBpbXByb3ZlbWVudHxMM3xJZGVudGlmeSBwcm9jZXNzIGFuZCBkZXRlcm1pbmUgZ29hbHMgKFYgMi4wKSJ9LHsicGciOiJNUCIsImwxIjoiTWFuYWdlIElUIHByb2Nlc3NlcyBhbmQgY29udGludW91cyBpbXByb3ZlbWVudCIsInByb2MiOiJJbXBsZW1lbnQgcHJvY2VzcyAoViAyLjApIiwibHZsIjoiTDMiLCJwaGFzZSI6IkVsYWJvcmF0aW9uIiwic3RhcnQiOiIyMDI2LTAxLTEyIiwiZW5kIjoiMjAyNi0wNS0zMSIsImFjdHVhbCI6IkVsYWJvcmF0aW9uIGluIHByb2dyZXNzIiwicGxhbm5lZCI6IkVsYWJvcmF0aW9uIGluIHByb2dyZXNzIiwicGN0IjoiMC4wMDI1IiwiY29uc3VsdGFudCI6IkhvZXJtYW5uIFBhdHJpY2sgKExMSSkiLCJtYW5hZ2VyIjoiUmVpbmVyIEhlaWtvIChIQVUtSVRTQSkiLCJsZWFkIjoiUm9sbGluZ2VyIEFsZXhhbmRlciAoTElTKSIsIm5vZGVJZCI6Im58TVB8TWFuYWdlIElUIHByb2Nlc3NlcyBhbmQgY29udGludW91cyBpbXByb3ZlbWVudHxMM3xJbXBsZW1lbnQgcHJvY2VzcyAoViAyLjApIn0seyJwZyI6Ik1QIiwibDEiOiJNYW5hZ2UgSVQgcHJvY2Vzc2VzIGFuZCBjb250aW51b3VzIGltcHJvdmVtZW50IiwicHJvYyI6Ik1hbmFnZSBjb250aW51b3VzIGltcHJvdmVtZW50IiwibHZsIjoiTDIiLCJwaGFzZSI6IkVsYWJvcmF0aW9uIiwic3RhcnQiOiIyMDI1LTEwLTAxIiwiZW5kIjoiMjAyNi0wMS0zMCIsImFjdHVhbCI6IkRlbGF5ZWQiLCJwbGFubmVkIjoiRWxhYm9yYXRpb24gRG9uZSIsInBjdCI6IjAiLCJjb25zdWx0YW50IjoiUm9sbGluZ2VyIEFsZXhhbmRlciAoTElTKTtCw7ZobWUgTWF0dGhpYXMgKGV4dC4pIiwibWFuYWdlciI6IlJlaW5lciBIZWlrbyAoSEFVLUlUU0EpIiwibGVhZCI6Ikt1ZXJzY2huZXIgUGhpbGlwcCAoTElTKSIsIm5vZGVJZCI6Im58TVB8TWFuYWdlIElUIHByb2Nlc3NlcyBhbmQgY29udGludW91cyBpbXByb3ZlbWVudHxMMnxNYW5hZ2UgY29udGludW91cyBpbXByb3ZlbWVudCJ9LHsicGciOiJNUCIsImwxIjoiTWFuYWdlIElUIHByb2Nlc3NlcyBhbmQgY29udGludW91cyBpbXByb3ZlbWVudCIsInByb2MiOiJNYW5hZ2UgSVQgcHJvY2Vzc2VzIGFuZCBjb250aW51b3VzIGltcHJvdmVtZW50IiwibHZsIjoiTDEiLCJwaGFzZSI6IkVsYWJvcmF0aW9uIiwic3RhcnQiOiIyMDI1LTEwLTAxIiwiZW5kIjoiMjAyNS0xMC0wMSIsImFjdHVhbCI6IkVsYWJvcmF0aW9uIERvbmUiLCJwbGFubmVkIjoiRWxhYm9yYXRpb24gRG9uZSIsInBjdCI6IjAuMDEiLCJjb25zdWx0YW50IjoiSG9lcm1hbm4gUGF0cmljayAoTExJKSIsIm1hbmFnZXIiOiJSZWluZXIgSGVpa28gKEhBVS1JVFNBKSIsImxlYWQiOiJSb2xsaW5nZXIgQWxleGFuZGVyIChMSVMpIiwibm9kZUlkIjoibnxNUHxNYW5hZ2UgSVQgcHJvY2Vzc2VzIGFuZCBjb250aW51b3VzIGltcHJvdmVtZW50fEwxfE1hbmFnZSBJVCBwcm9jZXNzZXMgYW5kIGNvbnRpbnVvdXMgaW1wcm92ZW1lbnQifSx7InBnIjoiTVAiLCJsMSI6Ik1hbmFnZSBJVCBwcm9jZXNzZXMgYW5kIGNvbnRpbnVvdXMgaW1wcm92ZW1lbnQiLCJwcm9jIjoiUGVyZm9ybSBhbmQgbWVhc3VyZSBwcm9jZXNzIiwibHZsIjoiTDMiLCJwaGFzZSI6IkVsYWJvcmF0aW9uIiwic3RhcnQiOiIyMDI1LTEwLTAxIiwiZW5kIjoiMjAyNS0xMC0wMSIsImFjdHVhbCI6IkVsYWJvcmF0aW9uIERvbmUiLCJwbGFubmVkIjoiRWxhYm9yYXRpb24gRG9uZSIsInBjdCI6IjAuMDEiLCJjb25zdWx0YW50IjoiSG9lcm1hbm4gUGF0cmljayAoTExJKSIsIm1hbmFnZXIiOiJSZWluZXIgSGVpa28gKEhBVS1JVFNBKSIsImxlYWQiOiJSb2xsaW5nZXIgQWxleGFuZGVyIChMSVMpIiwibm9kZUlkIjoibnxNUHxNYW5hZ2UgSVQgcHJvY2Vzc2VzIGFuZCBjb250aW51b3VzIGltcHJvdmVtZW50fEwzfFBlcmZvcm0gYW5kIG1lYXN1cmUgcHJvY2VzcyJ9LHsicGciOiJNUCIsImwxIjoiTWFuYWdlIElUIHByb2Nlc3NlcyBhbmQgY29udGludW91cyBpbXByb3ZlbWVudCIsInByb2MiOiJQZXJmb3JtIG9wZXJhdGlvbmFsIHByb2Nlc3MgbWFuYWdlbWVudCAoViAyLjApIiwibHZsIjoiTDIiLCJwaGFzZSI6IkVsYWJvcmF0aW9uIiwic3RhcnQiOiIyMDI2LTAxLTEyIiwiZW5kIjoiMjAyNi0wNS0zMSIsImFjdHVhbCI6IkVsYWJvcmF0aW9uIGluIHByb2dyZXNzIiwicGxhbm5lZCI6IkVsYWJvcmF0aW9uIGluIHByb2dyZXNzIiwicGN0IjoiMC4wMDI1IiwiY29uc3VsdGFudCI6IkhvZXJtYW5uIFBhdHJpY2sgKExMSSkiLCJtYW5hZ2VyIjoiUmVpbmVyIEhlaWtvIChIQVUtSVRTQSkiLCJsZWFkIjoiUm9sbGluZ2VyIEFsZXhhbmRlciAoTElTKSIsIm5vZGVJZCI6Im58TVB8TWFuYWdlIElUIHByb2Nlc3NlcyBhbmQgY29udGludW91cyBpbXByb3ZlbWVudHxMMnxQZXJmb3JtIG9wZXJhdGlvbmFsIHByb2Nlc3MgbWFuYWdlbWVudCAoViAyLjApIn0seyJwZyI6Ik1QIiwibDEiOiJNYW5hZ2UgSVQgcHJvY2Vzc2VzIGFuZCBjb250aW51b3VzIGltcHJvdmVtZW50IiwicHJvYyI6IlBsYW4gcHJvY2VzcyBleGVjdXRpb24gKFYgMi4wKSIsImx2bCI6IkwzIiwicGhhc2UiOiJFbGFib3JhdGlvbiIsInN0YXJ0IjoiMjAyNi0wMS0xMiIsImVuZCI6IjIwMjYtMDUtMzEiLCJhY3R1YWwiOiJFbGFib3JhdGlvbiBpbiBwcm9ncmVzcyIsInBsYW5uZWQiOiJFbGFib3JhdGlvbiBpbiBwcm9ncmVzcyIsInBjdCI6IjAuMDAyNSIsImNvbnN1bHRhbnQiOiJIb2VybWFubiBQYXRyaWNrIChMTEkpIiwibWFuYWdlciI6IlJlaW5lciBIZWlrbyAoSEFVLUlUU0EpIiwibGVhZCI6IlJvbGxpbmdlciBBbGV4YW5kZXIgKExJUykiLCJub2RlSWQiOiJufE1QfE1hbmFnZSBJVCBwcm9jZXNzZXMgYW5kIGNvbnRpbnVvdXMgaW1wcm92ZW1lbnR8TDN8UGxhbiBwcm9jZXNzIGV4ZWN1dGlvbiAoViAyLjApIn0seyJwZyI6Ik1QIiwibDEiOiJNYW5hZ2UgSVQgcmlza3MgYW5kIGNvbXBsaWFuY2UiLCJwcm9jIjoiREMvRENDL01TQyBJVC1jb21wbGlhbmNlIiwibHZsIjoiTDMiLCJwaGFzZSI6IkVsYWJvcmF0aW9uIiwic3RhcnQiOiIyMDI1LTEwLTAxIiwiZW5kIjoiMjAyNi0wOS0zMCIsImFjdHVhbCI6IkVsYWJvcmF0aW9uIGluIHByb2dyZXNzIiwicGxhbm5lZCI6IkVsYWJvcmF0aW9uIGluIHByb2dyZXNzIiwicGN0IjoiMC4wMDI1IiwiY29uc3VsdGFudCI6IkhvZXJtYW5uIFBhdHJpY2sgKExMSSkiLCJtYW5hZ2VyIjoiTW9ubmllciBNdXJpZWxsZSAoTEVDKSIsImxlYWQiOiJNdWVza2VucyBKYW4gKExITykiLCJub2RlSWQiOiJufE1QfE1hbmFnZSBJVCByaXNrcyBhbmQgY29tcGxpYW5jZXxMM3xEQy9EQ0MvTVNDIElULWNvbXBsaWFuY2UifSx7InBnIjoiTVAiLCJsMSI6Ik1hbmFnZSBJVCByaXNrcyBhbmQgY29tcGxpYW5jZSIsInByb2MiOiJJbXBsZW1lbnQgdG8gaW1wcm92ZSIsImx2bCI6IkwzIiwicGhhc2UiOiJFbGFib3JhdGlvbiIsInN0YXJ0IjoiMjAyNS0xMC0wMSIsImVuZCI6IjIwMjYtMDktMzAiLCJhY3R1YWwiOiJFbGFib3JhdGlvbiBpbiBwcm9ncmVzcyIsInBsYW5uZWQiOiJFbGFib3JhdGlvbiBpbiBwcm9ncmVzcyIsInBjdCI6IjAuMDAyNSIsImNvbnN1bHRhbnQiOiJIb2VybWFubiBQYXRyaWNrIChMTEkpIiwibWFuYWdlciI6Ik1vbm5pZXIgTXVyaWVsbGUgKExFQykiLCJsZWFkIjoiTXVlc2tlbnMgSmFuIChMSE8pIiwibm9kZUlkIjoibnxNUHxNYW5hZ2UgSVQgcmlza3MgYW5kIGNvbXBsaWFuY2V8TDN8SW1wbGVtZW50IHRvIGltcHJvdmUifSx7InBnIjoiTVAiLCJsMSI6Ik1hbmFnZSBJVCByaXNrcyBhbmQgY29tcGxpYW5jZSIsInByb2MiOiJNYW5hZ2UgSVQgY29tcGxpYW5jZSIsImx2bCI6IkwyIiwicGhhc2UiOiJFbGFib3JhdGlvbiIsInN0YXJ0IjoiMjAyNS0xMC0wMSIsImVuZCI6IjIwMjYtMDktMzAiLCJhY3R1YWwiOiJFbGFib3JhdGlvbiBpbiBwcm9ncmVzcyIsInBsYW5uZWQiOiJFbGFib3JhdGlvbiBpbiBwcm9ncmVzcyIsInBjdCI6IjAuMDAyNSIsImNvbnN1bHRhbnQiOiJIb2VybWFubiBQYXRyaWNrIChMTEkpIiwibWFuYWdlciI6Ik1vbm5pZXIgTXVyaWVsbGUgKExFQykiLCJsZWFkIjoiTXVlc2tlbnMgSmFuIChMSE8pIiwibm9kZUlkIjoibnxNUHxNYW5hZ2UgSVQgcmlza3MgYW5kIGNvbXBsaWFuY2V8TDJ8TWFuYWdlIElUIGNvbXBsaWFuY2UifSx7InBnIjoiTVAiLCJsMSI6Ik1hbmFnZSBJVCByaXNrcyBhbmQgY29tcGxpYW5jZSIsInByb2MiOiJNYW5hZ2UgSVQgcmlza3MgYW5kIGNvbXBsaWFuY2UiLCJsdmwiOiJMMSIsInBoYXNlIjoiRWxhYm9yYXRpb24iLCJzdGFydCI6IjIwMjUtMTAtMDEiLCJlbmQiOiIyMDI1LTEwLTAxIiwiYWN0dWFsIjoiRWxhYm9yYXRpb24gRG9uZSIsInBsYW5uZWQiOiJFbGFib3JhdGlvbiBEb25lIiwicGN0IjoiMC4wMSIsImNvbnN1bHRhbnQiOiJIb2VybWFubiBQYXRyaWNrIChMTEkpIiwibWFuYWdlciI6Ik1vbm5pZXIgTXVyaWVsbGUgKExFQykiLCJsZWFkIjoiTXVlc2tlbnMgSmFuIChMSE8pIiwibm9kZUlkIjoibnxNUHxNYW5hZ2UgSVQgcmlza3MgYW5kIGNvbXBsaWFuY2V8TDF8TWFuYWdlIElUIHJpc2tzIGFuZCBjb21wbGlhbmNlIn0seyJwZyI6Ik1QIiwibDEiOiJNYW5hZ2UgSVQgcmlza3MgYW5kIGNvbXBsaWFuY2UiLCJwcm9jIjoiTWFuYWdlIElULUMgZnJhbWV3b3JrIiwibHZsIjoiTDMiLCJwaGFzZSI6IkVsYWJvcmF0aW9uIiwic3RhcnQiOiIyMDI1LTEwLTAxIiwiZW5kIjoiMjAyNi0wOS0zMCIsImFjdHVhbCI6IkVsYWJvcmF0aW9uIGluIHByb2dyZXNzIiwicGxhbm5lZCI6IkVsYWJvcmF0aW9uIGluIHByb2dyZXNzIiwicGN0IjoiMC4wMDI1IiwiY29uc3VsdGFudCI6IkhvZXJtYW5uIFBhdHJpY2sgKExMSSkiLCJtYW5hZ2VyIjoiTW9ubmllciBNdXJpZWxsZSAoTEVDKSIsImxlYWQiOiJNdWVza2VucyBKYW4gKExITykiLCJub2RlSWQiOiJufE1QfE1hbmFnZSBJVCByaXNrcyBhbmQgY29tcGxpYW5jZXxMM3xNYW5hZ2UgSVQtQyBmcmFtZXdvcmsifSx7InBnIjoiTVAiLCJsMSI6Ik1hbmFnZSBJVCByaXNrcyBhbmQgY29tcGxpYW5jZSIsInByb2MiOiJNYW5hZ2UgSVQtQyBzdHJhdGVneSIsImx2bCI6IkwzIiwicGhhc2UiOiJFbGFib3JhdGlvbiIsInN0YXJ0IjoiMjAyNS0xMC0wMSIsImVuZCI6IjIwMjYtMDktMzAiLCJhY3R1YWwiOiJFbGFib3JhdGlvbiBpbiBwcm9ncmVzcyIsInBsYW5uZWQiOiJFbGFib3JhdGlvbiBpbiBwcm9ncmVzcyIsInBjdCI6IjAuMDAyNSIsImNvbnN1bHRhbnQiOiJIb2VybWFubiBQYXRyaWNrIChMTEkpIiwibWFuYWdlciI6Ik1vbm5pZXIgTXVyaWVsbGUgKExFQykiLCJsZWFkIjoiTXVlc2tlbnMgSmFuIChMSE8pIiwibm9kZUlkIjoibnxNUHxNYW5hZ2UgSVQgcmlza3MgYW5kIGNvbXBsaWFuY2V8TDN8TWFuYWdlIElULUMgc3RyYXRlZ3kifSx7InBnIjoiTVAiLCJsMSI6Ik1hbmFnZSBJVCByaXNrcyBhbmQgY29tcGxpYW5jZSIsInByb2MiOiJNb25pdG9yIHRvIGRlbGVnYXRlIiwibHZsIjoiTDMiLCJwaGFzZSI6IkVsYWJvcmF0aW9uIiwic3RhcnQiOiIyMDI1LTEwLTAxIiwiZW5kIjoiMjAyNi0wOS0zMCIsImFjdHVhbCI6IkVsYWJvcmF0aW9uIGluIHByb2dyZXNzIiwicGxhbm5lZCI6IkVsYWJvcmF0aW9uIGluIHByb2dyZXNzIiwicGN0IjoiMC4wMDI1IiwiY29uc3VsdGFudCI6IkhvZXJtYW5uIFBhdHJpY2sgKExMSSkiLCJtYW5hZ2VyIjoiTW9ubmllciBNdXJpZWxsZSAoTEVDKSIsImxlYWQiOiJNdWVza2VucyBKYW4gKExITykiLCJub2RlSWQiOiJufE1QfE1hbmFnZSBJVCByaXNrcyBhbmQgY29tcGxpYW5jZXxMM3xNb25pdG9yIHRvIGRlbGVnYXRlIn0seyJwZyI6Ik1QIiwibDEiOiJNYW5hZ2UgSVQgcmlza3MgYW5kIGNvbXBsaWFuY2UiLCJwcm9jIjoiUmVxdWlyZW1lbnRzIHRvIG1lYXN1cmVzIiwibHZsIjoiTDMiLCJwaGFzZSI6IkVsYWJvcmF0aW9uIiwic3RhcnQiOiIyMDI1LTEwLTAxIiwiZW5kIjoiMjAyNi0wOS0zMCIsImFjdHVhbCI6IkVsYWJvcmF0aW9uIGluIHByb2dyZXNzIiwicGxhbm5lZCI6IkVsYWJvcmF0aW9uIGluIHByb2dyZXNzIiwicGN0IjoiMC4wMDI1IiwiY29uc3VsdGFudCI6IkhvZXJtYW5uIFBhdHJpY2sgKExMSSkiLCJtYW5hZ2VyIjoiTW9ubmllciBNdXJpZWxsZSAoTEVDKSIsImxlYWQiOiJNdWVza2VucyBKYW4gKExITykiLCJub2RlSWQiOiJufE1QfE1hbmFnZSBJVCByaXNrcyBhbmQgY29tcGxpYW5jZXxMM3xSZXF1aXJlbWVudHMgdG8gbWVhc3VyZXMifSx7InBnIjoiQ1AiLCJsMSI6IlBsYW4gSVQgc2VydmljZSIsInByb2MiOiJBbmFseXNlIGFyY2hpdGVjdHVyZSBpbXBhY3QiLCJsdmwiOiJMMyIsInBoYXNlIjoiRWxhYm9yYXRpb24iLCJzdGFydCI6IjIwMjUtMDgtMDEiLCJlbmQiOiIyMDI1LTEwLTE1IiwiYWN0dWFsIjoiRWxhYm9yYXRpb24gRG9uZSIsInBsYW5uZWQiOiJFbGFib3JhdGlvbiBEb25lIiwicGN0IjoiMC4wMSIsImNvbnN1bHRhbnQiOiJLdW56IENocmlzdGluYSAoTElTLU1IUCBNYW5hZ2VtZW50LSB1bmQgSVQgQmVyYXR1bmcgR21iSCkiLCJtYW5hZ2VyIjoiTWllbGVueiBUaG9tYXMgKExNVCkiLCJsZWFkIjoiUGVybmV0IEJlbm9pdCAoTEVDKSAoTUlOKSIsIm5vZGVJZCI6Im58Q1B8UGxhbiBJVCBzZXJ2aWNlfEwzfEFuYWx5c2UgYXJjaGl0ZWN0dXJlIGltcGFjdCJ9LHsicGciOiJDUCIsImwxIjoiUGxhbiBJVCBzZXJ2aWNlIiwicHJvYyI6IkFuYWx5c2UgYXJjaGl0ZWN0dXJlIGltcGFjdCIsImx2bCI6IkwzIiwicGhhc2UiOiJJbXBsZW1lbnRhdGlvbiBDT1QiLCJzdGFydCI6IjIwMjUtMTAtMTYiLCJlbmQiOiIyMDI2LTA0LTMwIiwiYWN0dWFsIjoiRGVsYXllZCIsInBsYW5uZWQiOiJJbXBsZW1lbnRhdGlvbiBDT1QiLCJwY3QiOiIwIiwiY29uc3VsdGFudCI6Ikt1bnogQ2hyaXN0aW5hIChMSVMtTUhQIE1hbmFnZW1lbnQtIHVuZCBJVCBCZXJhdHVuZyBHbWJIKSIsIm1hbmFnZXIiOiJNaWVsZW56IFRob21hcyAoTE1UKSIsImxlYWQiOiJQZXJuZXQgQmVub2l0IChMRUMpIChNSU4pIiwibm9kZUlkIjoibnxDUHxQbGFuIElUIHNlcnZpY2V8TDN8QW5hbHlzZSBhcmNoaXRlY3R1cmUgaW1wYWN0In0seyJwZyI6IkNQIiwibDEiOiJQbGFuIElUIHNlcnZpY2UiLCJwcm9jIjoiQXBwcm92ZSBJVCBkZW1hbmQiLCJsdmwiOiJMMiIsInBoYXNlIjoiRWxhYm9yYXRpb24iLCJzdGFydCI6IjIwMjUtMDgtMDEiLCJlbmQiOiIyMDI1LTA4LTAxIiwiYWN0dWFsIjoiRWxhYm9yYXRpb24gRG9uZSIsInBsYW5uZWQiOiJFbGFib3JhdGlvbiBEb25lIiwicGN0IjoiMC4wMSIsImNvbnN1bHRhbnQiOiJLdW56IENocmlzdGluYSAoTElTLU1IUCBNYW5hZ2VtZW50LSB1bmQgSVQgQmVyYXR1bmcgR21iSCkiLCJtYW5hZ2VyIjoiTWllbGVueiBUaG9tYXMgKExNVCkiLCJsZWFkIjoiU3BpZXRoIFRpbmEgKExJUykiLCJub2RlSWQiOiJufENQfFBsYW4gSVQgc2VydmljZXxMMnxBcHByb3ZlIElUIGRlbWFuZCJ9LHsicGciOiJDUCIsImwxIjoiUGxhbiBJVCBzZXJ2aWNlIiwicHJvYyI6IkFwcHJvdmUgSVQgZGVtYW5kIiwibHZsIjoiTDIiLCJwaGFzZSI6IkltcGxlbWVudGF0aW9uIENPVCIsInN0YXJ0IjoiMjAyNS0xMS0wMyIsImVuZCI6IjIwMjYtMDMtMzEiLCJhY3R1YWwiOiJEZWxheWVkIiwicGxhbm5lZCI6IkltcGxlbWVudGF0aW9uIENPVCBEb25lIiwicGN0IjoiMCIsImNvbnN1bHRhbnQiOiJLdW56IENocmlzdGluYSAoTElTLU1IUCBNYW5hZ2VtZW50LSB1bmQgSVQgQmVyYXR1bmcgR21iSCkiLCJtYW5hZ2VyIjoiTWllbGVueiBUaG9tYXMgKExNVCkiLCJsZWFkIjoiU3BpZXRoIFRpbmEgKExJUykiLCJub2RlSWQiOiJufENQfFBsYW4gSVQgc2VydmljZXxMMnxBcHByb3ZlIElUIGRlbWFuZCJ9LHsicGciOiJDUCIsImwxIjoiUGxhbiBJVCBzZXJ2aWNlIiwicHJvYyI6IkFwcHJvdmUgSVQgZGVtYW5kIiwibHZsIjoiTDIiLCJwaGFzZSI6IkltcGxlbWVudGF0aW9uIExJUyIsInN0YXJ0IjoiMjAyNS0xMS0wMSIsImVuZCI6IjIwMjYtMDItMjgiLCJhY3R1YWwiOiJEZWxheWVkIiwicGxhbm5lZCI6IkltcGxlbWVudGF0aW9uIExJUyBEb25lIiwicGN0IjoiMCIsImNvbnN1bHRhbnQiOiJLdW56IENocmlzdGluYSAoTElTLU1</t>
  </si>
  <si>
    <t>IUCBNYW5hZ2VtZW50LSB1bmQgSVQgQmVyYXR1bmcgR21iSCkiLCJtYW5hZ2VyIjoiTWllbGVueiBUaG9tYXMgKExNVCkiLCJsZWFkIjoiU3BpZXRoIFRpbmEgKExJUykiLCJub2RlSWQiOiJufENQfFBsYW4gSVQgc2VydmljZXxMMnxBcHByb3ZlIElUIGRlbWFuZCJ9LHsicGciOiJDUCIsImwxIjoiUGxhbiBJVCBzZXJ2aWNlIiwicHJvYyI6IkV2YWx1YXRlIGFuZCBxdWFsaWZ5IElUIGRlbWFuZCIsImx2bCI6IkwyIiwicGhhc2UiOiJFbGFib3JhdGlvbiIsInN0YXJ0IjoiMjAyNS0wOC0wMSIsImVuZCI6IjIwMjUtMDgtMDEiLCJhY3R1YWwiOiJFbGFib3JhdGlvbiBEb25lIiwicGxhbm5lZCI6IkVsYWJvcmF0aW9uIERvbmUiLCJwY3QiOiIwLjAxIiwiY29uc3VsdGFudCI6Ikt1bnogQ2hyaXN0aW5hIChMSVMtTUhQIE1hbmFnZW1lbnQtIHVuZCBJVCBCZXJhdHVuZyBHbWJIKSIsIm1hbmFnZXIiOiJNaWVsZW56IFRob21hcyAoTE1UKSIsImxlYWQiOiJTcGlldGggVGluYSAoTElTKSIsIm5vZGVJZCI6Im58Q1B8UGxhbiBJVCBzZXJ2aWNlfEwyfEV2YWx1YXRlIGFuZCBxdWFsaWZ5IElUIGRlbWFuZCJ9LHsicGciOiJDUCIsImwxIjoiUGxhbiBJVCBzZXJ2aWNlIiwicHJvYyI6IkV2YWx1YXRlIGFuZCBxdWFsaWZ5IElUIGRlbWFuZCIsImx2bCI6IkwyIiwicGhhc2UiOiJJbXBsZW1lbnRhdGlvbiBDT1QiLCJzdGFydCI6IjIwMjUtMTEtMDMiLCJlbmQiOiIyMDI2LTAzLTMxIiwiYWN0dWFsIjoiRGVsYXllZCIsInBsYW5uZWQiOiJJbXBsZW1lbnRhdGlvbiBDT1QgRG9uZSIsInBjdCI6IjAiLCJjb25zdWx0YW50IjoiS3VueiBDaHJpc3RpbmEgKExJUy1NSFAgTWFuYWdlbWVudC0gdW5kIElUIEJlcmF0dW5nIEdtYkgpIiwibWFuYWdlciI6Ik1pZWxlbnogVGhvbWFzIChMTVQpIiwibGVhZCI6IlNwaWV0aCBUaW5hIChMSVMpIiwibm9kZUlkIjoibnxDUHxQbGFuIElUIHNlcnZpY2V8TDJ8RXZhbHVhdGUgYW5kIHF1YWxpZnkgSVQgZGVtYW5kIn0seyJwZyI6IkNQIiwibDEiOiJQbGFuIElUIHNlcnZpY2UiLCJwcm9jIjoiRXZhbHVhdGUgYW5kIHF1YWxpZnkgSVQgZGVtYW5kIiwibHZsIjoiTDIiLCJwaGFzZSI6IkltcGxlbWVudGF0aW9uIExJUyIsInN0YXJ0IjoiMjAyNS0xMS0wMSIsImVuZCI6IjIwMjYtMDItMjgiLCJhY3R1YWwiOiJEZWxheWVkIiwicGxhbm5lZCI6IkltcGxlbWVudGF0aW9uIExJUyBEb25lIiwicGN0IjoiMCIsImNvbnN1bHRhbnQiOiJLdW56IENocmlzdGluYSAoTElTLU1IUCBNYW5hZ2VtZW50LSB1bmQgSVQgQmVyYXR1bmcgR21iSCkiLCJtYW5hZ2VyIjoiTWllbGVueiBUaG9tYXMgKExNVCkiLCJsZWFkIjoiU3BpZXRoIFRpbmEgKExJUykiLCJub2RlSWQiOiJufENQfFBsYW4gSVQgc2VydmljZXxMMnxFdmFsdWF0ZSBhbmQgcXVhbGlmeSBJVCBkZW1hbmQifSx7InBnIjoiQ1AiLCJsMSI6IlBsYW4gSVQgc2VydmljZSIsInByb2MiOiJQZXJmb3JtIGluaXRpYWwgYXNzZXNzbWVudCBvZiBjdXN0b21lciBuZWVkIiwibHZsIjoiTDIiLCJwaGFzZSI6IkVsYWJvcmF0aW9uIiwic3RhcnQiOiIyMDI1LTA4LTAxIiwiZW5kIjoiMjAyNS0wOC0wMSIsImFjdHVhbCI6IkVsYWJvcmF0aW9uIERvbmUiLCJwbGFubmVkIjoiRWxhYm9yYXRpb24gRG9uZSIsInBjdCI6IjAuMDEiLCJjb25zdWx0YW50IjoiS3VueiBDaHJpc3RpbmEgKExJUy1NSFAgTWFuYWdlbWVudC0gdW5kIElUIEJlcmF0dW5nIEdtYkgpIiwibWFuYWdlciI6Ik1pZWxlbnogVGhvbWFzIChMTVQpIiwibGVhZCI6IlNwaWV0aCBUaW5hIChMSVMpIiwibm9kZUlkIjoibnxDUHxQbGFuIElUIHNlcnZpY2V8TDJ8UGVyZm9ybSBpbml0aWFsIGFzc2Vzc21lbnQgb2YgY3VzdG9tZXIgbmVlZCJ9LHsicGciOiJDUCIsImwxIjoiUGxhbiBJVCBzZXJ2aWNlIiwicHJvYyI6IlBlcmZvcm0gaW5pdGlhbCBhc3Nlc3NtZW50IG9mIGN1c3RvbWVyIG5lZWQiLCJsdmwiOiJMMiIsInBoYXNlIjoiSW1wbGVtZW50YXRpb24gQ09UIiwic3RhcnQiOiIyMDI1LTExLTAzIiwiZW5kIjoiMjAyNi0wMy0zMSIsImFjdHVhbCI6IkRlbGF5ZWQiLCJwbGFubmVkIjoiSW1wbGVtZW50YXRpb24gQ09UIERvbmUiLCJwY3QiOiIwIiwiY29uc3VsdGFudCI6Ikt1bnogQ2hyaXN0aW5hIChMSVMtTUhQIE1hbmFnZW1lbnQtIHVuZCBJVCBCZXJhdHVuZyBHbWJIKSIsIm1hbmFnZXIiOiJNaWVsZW56IFRob21hcyAoTE1UKSIsImxlYWQiOiJTcGlldGggVGluYSAoTElTKSIsIm5vZGVJZCI6Im58Q1B8UGxhbiBJVCBzZXJ2aWNlfEwyfFBlcmZvcm0gaW5pdGlhbCBhc3Nlc3NtZW50IG9mIGN1c3RvbWVyIG5lZWQifSx7InBnIjoiQ1AiLCJsMSI6IlBsYW4gSVQgc2VydmljZSIsInByb2MiOiJQZXJmb3JtIGluaXRpYWwgYXNzZXNzbWVudCBvZiBjdXN0b21lciBuZWVkIiwibHZsIjoiTDIiLCJwaGFzZSI6IkltcGxlbWVudGF0aW9uIExJUyIsInN0YXJ0IjoiMjAyNS0xMS0wMSIsImVuZCI6IjIwMjYtMDItMjgiLCJhY3R1YWwiOiJEZWxheWVkIiwicGxhbm5lZCI6IkltcGxlbWVudGF0aW9uIExJUyBEb25lIiwicGN0IjoiMCIsImNvbnN1bHRhbnQiOiJLdW56IENocmlzdGluYSAoTElTLU1IUCBNYW5hZ2VtZW50LSB1bmQgSVQgQmVyYXR1bmcgR21iSCkiLCJtYW5hZ2VyIjoiTWllbGVueiBUaG9tYXMgKExNVCkiLCJsZWFkIjoiU3BpZXRoIFRpbmEgKExJUykiLCJub2RlSWQiOiJufENQfFBsYW4gSVQgc2VydmljZXxMMnxQZXJmb3JtIGluaXRpYWwgYXNzZXNzbWVudCBvZiBjdXN0b21lciBuZWVkIn0seyJwZyI6IkNQIiwibDEiOiJQbGFuIElUIHNlcnZpY2UiLCJwcm9jIjoiUGxhbiBJVCBzZXJ2aWNlIiwibHZsIjoiTDEiLCJwaGFzZSI6IkVsYWJvcmF0aW9uIiwic3RhcnQiOiIyMDI1LTEwLTE2IiwiZW5kIjoiMjAyNS0xMC0zMSIsImFjdHVhbCI6IkVsYWJvcmF0aW9uIERvbmUiLCJwbGFubmVkIjoiRWxhYm9yYXRpb24gRG9uZSIsInBjdCI6IjAuMDEiLCJjb25zdWx0YW50IjoiS3VueiBDaHJpc3RpbmEgKExJUy1NSFAgTWFuYWdlbWVudC0gdW5kIElUIEJlcmF0dW5nIEdtYkgpIiwibWFuYWdlciI6Ik1pZWxlbnogVGhvbWFzIChMTVQpIiwibGVhZCI6IlNwaWV0aCBUaW5hIChMSVMpIiwibm9kZUlkIjoibnxDUHxQbGFuIElUIHNlcnZpY2V8TDF8UGxhbiBJVCBzZXJ2aWNlIn0seyJwZyI6IkNQIiwibDEiOiJQbGFuIElUIHNlcnZpY2UiLCJwcm9jIjoiUGxhbiBJVCBzZXJ2aWNlIiwibHZsIjoiTDEiLCJwaGFzZSI6IkltcGxlbWVudGF0aW9uIENPVCIsInN0YXJ0IjoiMjAyNS0xMS0wMyIsImVuZCI6IjIwMjYtMDMtMzEiLCJhY3R1YWwiOiJEZWxheWVkIiwicGxhbm5lZCI6IkltcGxlbWVudGF0aW9uIENPVCBEb25lIiwicGN0IjoiMCIsImNvbnN1bHRhbnQiOiJLdW56IENocmlzdGluYSAoTElTLU1IUCBNYW5hZ2VtZW50LSB1bmQgSVQgQmVyYXR1bmcgR21iSCkiLCJtYW5hZ2VyIjoiTWllbGVueiBUaG9tYXMgKExNVCkiLCJsZWFkIjoiU3BpZXRoIFRpbmEgKExJUykiLCJub2RlSWQiOiJufENQfFBsYW4gSVQgc2VydmljZXxMMXxQbGFuIElUIHNlcnZpY2UifSx7InBnIjoiQ1AiLCJsMSI6IlBsYW4gSVQgc2VydmljZSIsInByb2MiOiJQbGFuIElUIHNlcnZpY2UiLCJsdmwiOiJMMSIsInBoYXNlIjoiSW1wbGVtZW50YXRpb24gTElTIiwic3RhcnQiOiIyMDI1LTExLTAxIiwiZW5kIjoiMjAyNi0wMi0yOCIsImFjdHVhbCI6IkRlbGF5ZWQiLCJwbGFubmVkIjoiSW1wbGVtZW50YXRpb24gTElTIERvbmUiLCJwY3QiOiIwLjAwNzUiLCJjb25zdWx0YW50IjoiS3VueiBDaHJpc3RpbmEgKExJUy1NSFAgTWFuYWdlbWVudC0gdW5kIElUIEJlcmF0dW5nIEdtYkgpIiwibWFuYWdlciI6Ik1pZWxlbnogVGhvbWFzIChMTVQpIiwibGVhZCI6IlNwaWV0aCBUaW5hIChMSVMpIiwibm9kZUlkIjoibnxDUHxQbGFuIElUIHNlcnZpY2V8TDF8UGxhbiBJVCBzZXJ2aWNlIn0seyJwZyI6IkNQIiwibDEiOiJCdWlsZCBJVCBTZXJ2aWNlIiwicHJvYyI6IkNvbmR1Y3QgbWFya2V0IGFuYWx5c2lzIGFuZCBjb21waWxlIGxvbmcgb3Igc2hvcnQgbGlzdCIsImx2bCI6Ikw0IiwicGhhc2UiOiJFbGFib3JhdGlvbiIsInN0YXJ0IjoiMjAyNS0xMC0wMSIsImVuZCI6IjIwMjUtMTAtMDEiLCJhY3R1YWwiOiJFbGFib3JhdGlvbiBEb25lIiwicGxhbm5lZCI6IkVsYWJvcmF0aW9uIERvbmUiLCJwY3QiOiIwLjAxIiwiY29uc3VsdGFudCI6IkhvZXJtYW5uIFBhdHJpY2sgKExMSSkiLCJtYW5hZ2VyIjoiUmVpbmVyIEhlaWtvIChIQVUtSVRTQSkiLCJsZWFkIjoiUHJlaXNzIE1hdHRoaWFzIChMQkMpIiwibm9kZUlkIjoibnxDUHxCdWlsZCBJVCBTZXJ2aWNlfEw0fENvbmR1Y3QgbWFya2V0IGFuYWx5c2lzIGFuZCBjb21waWxlIGxvbmcgb3Igc2hvcnQgbGlzdCJ9LHsicGciOiJDUCIsImwxIjoiQnVpbGQgSVQgU2VydmljZSIsInByb2MiOiJEZWZpbmUgc29sdXRpb24gdGFyZ2V0IGFyY2hpdGVjdHVyZSIsImx2bCI6IkwzIiwicGhhc2UiOiJFbGFib3JhdGlvbiIsInN0YXJ0IjoiMjAyNi0wMi0wNSIsImVuZCI6IjIwMjYtMDQtMjEiLCJhY3R1YWwiOiJFbGFib3JhdGlvbiBpbiBwcm9ncmVzcyIsInBsYW5uZWQiOiJFbGFib3JhdGlvbiBEb25lIiwicGN0IjoiMC4wMDUiLCJjb25zdWx0YW50IjoiSG9lcm1hbm4gUGF0cmljayAoTExJKSIsIm1hbmFnZXIiOiJOdXNzYmF1bWVyIEZsb3JpYW4gKExCQykiLCJsZWFkIjoiSGFtbWVyIE1hcmNvIChBRVIpIiwibm9kZUlkIjoibnxDUHxCdWlsZCBJVCBTZXJ2aWNlfEwzfERlZmluZSBzb2x1dGlvbiB0YXJnZXQgYXJjaGl0ZWN0dXJlIn0seyJwZyI6IkNQIiwibDEiOiJCdWlsZCBJVCBTZXJ2aWNlIiwicHJvYyI6IkRlZmluZSBzb2x1dGlvbiB0YXJnZXQgYXJjaGl0ZWN0dXJlIiwibHZsIjoiTDMiLCJwaGFzZSI6IkltcGxlbWVudGF0aW9uIENPVCIsInN0YXJ0IjoiMjAyNi0wNC0yMiIsImVuZCI6IjIwMjYtMDQtMjIiLCJhY3R1YWwiOiJEZWxheWVkIiwicGxhbm5lZCI6IkltcGxlbWVudGF0aW9uIENPVCBEb25lIiwicGN0IjoiMCIsImNvbnN1bHRhbnQiOiJIb2VybWFubiBQYXRyaWNrIChMTEkpIiwibWFuYWdlciI6Ik51c3NiYXVtZXIgRmxvcmlhbiAoTEJDKSIsImxlYWQiOiJIYW1tZXIgTWFyY28gKEFFUikiLCJub2RlSWQiOiJufENQfEJ1aWxkIElUIFNlcnZpY2V8TDN8RGVmaW5lIHNvbHV0aW9uIHRhcmdldCBhcmNoaXRlY3R1cmUifSx7InBnIjoiQ1AiLCJsMSI6IkJ1aWxkIElUIFNlcnZpY2UiLCJwcm9jIjoiRGVmaW5lIHNvbHV0aW9uIHRhcmdldCBhcmNoaXRlY3R1cmUiLCJsdmwiOiJMMyIsInBoYXNlIjoiSW1wbGVtZW50YXRpb24gTElTIiwic3RhcnQiOiIyMDI2LTA0LTIyIiwiZW5kIjoiMjAyNi0wNi0yMiIsImFjdHVhbCI6IkRlbGF5ZWQiLCJwbGFubmVkIjoiSW1wbGVtZW50YXRpb24gTElTIiwicGN0IjoiMCIsImNvbnN1bHRhbnQiOiJIb2VybWFubiBQYXRyaWNrIChMTEkpIiwibWFuYWdlciI6Ik51c3NiYXVtZXIgRmxvcmlhbiAoTEJDKSIsImxlYWQiOiJIYW1tZXIgTWFyY28gKEFFUikiLCJub2RlSWQiOiJufENQfEJ1aWxkIElUIFNlcnZpY2V8TDN8RGVmaW5lIHNvbHV0aW9uIHRhcmdldCBhcmNoaXRlY3R1cmUifSx7InBnIjoiQ1AiLCJsMSI6IkJ1aWxkIElUIFNlcnZpY2UiLCJwcm9jIjoiRGVmaW5lIHNvbHV0aW9uIHRhcmdldCBhcmNoaXRlY3R1cmUiLCJsdmwiOiJMMyIsInBoYXNlIjoiSW1wbGVtZW50YXRpb24gTFVTIiwic3RhcnQiOiIyMDI2LTAxLTE0IiwiZW5kIjoiMjAyNi0wMS0xNCIsImFjdHVhbCI6IkRlbGF5ZWQiLCJwbGFubmVkIjoiSW1wbGVtZW50YXRpb24gTFVTIERvbmUiLCJwY3QiOiIwIiwiY29uc3VsdGFudCI6IkhvZXJtYW5uIFBhdHJpY2sgKExMSSkiLCJtYW5hZ2VyIjoiTnVzc2JhdW1lciBGbG9yaWFuIChMQkMpIiwibGVhZCI6IkhhbW1lciBNYXJjbyAoQUVSKSIsIm5vZGVJZCI6Im58Q1B8QnVpbGQgSVQgU2VydmljZXxMM3xEZWZpbmUgc29sdXRpb24gdGFyZ2V0IGFyY2hpdGVjdHVyZSJ9LHsicGciOiJDUCIsImwxIjoiQnVpbGQgSVQgU2VydmljZSIsInByb2MiOiJEZXBsb3kgSVQgc2VydmljZSIsImx2bCI6IkwyIiwicGhhc2UiOiJFbGFib3JhdGlvbiIsInN0YXJ0IjoiMjAyNi0wNC0xNSIsImVuZCI6IjIwMjYtMDYtMTUiLCJhY3R1YWwiOiJEZWxheWVkIiwicGxhbm5lZCI6IkVsYWJvcmF0aW9uIGluIHByb2dyZXNzIiwicGN0IjoiMCIsImNvbnN1bHRhbnQiOiJLdW56IENocmlzdGluYSAoTElTLU1IUCBNYW5hZ2VtZW50LSB1bmQgSVQgQmVyYXR1bmcgR21iSCkiLCJtYW5hZ2VyIjoiV2llaGUgQWxleGFuZGVyIChDT0IpIiwibGVhZCI6IkRhbGVrIE1hcnRpbiAoTElTKSIsIm5vZGVJZCI6Im58Q1B8QnVpbGQgSVQgU2VydmljZXxMMnxEZXBsb3kgSVQgc2VydmljZSJ9LHsicGciOiJDUCIsImwxIjoiQnVpbGQgSVQgU2VydmljZSIsInByb2MiOiJEZXBsb3kgSVQgc2VydmljZSIsImx2bCI6IkwyIiwicGhhc2UiOiJJbXBsZW1lbnRhdGlvbiBMSVMiLCJzdGFydCI6IjIwMjYtMDctMTUiLCJlbmQiOiIyMDI2LTA4LTMxIiwiYWN0dWFsIjoiIiwicGxhbm5lZCI6IlNjaGVkdWxlZCIsInBjdCI6IjAiLCJjb25zdWx0YW50IjoiS3VueiBDaHJpc3RpbmEgKExJUy1NSFAgTWFuYWdlbWVudC0gdW5kIElUIEJlcmF0dW5nIEdtYkgpIiwibWFuYWdlciI6IldpZWhlIEFsZXhhbmRlciAoQ09CKSIsImxlYWQiOiJEYWxlayBNYXJ0aW4gKExJUykiLCJub2RlSWQiOiJufENQfEJ1aWxkIElUIFNlcnZpY2V8TDJ8RGVwbG95IElUIHNlcnZpY2UifSx7InBnIjoiQ1AiLCJsMSI6IkJ1aWxkIElUIFNlcnZpY2UiLCJwcm9jIjoiRGVzaWduIElUIHNlcnZpY2UiLCJsdmwiOiJMMiIsInBoYXNlIjoiRWxhYm9yYXRpb24iLCJzdGFydCI6IjIwMjYtMDItMTYiLCJlbmQiOiIyMDI2LTA1LTE1IiwiYWN0dWFsIjoiRGVsYXllZCIsInBsYW5uZWQiOiJFbGFib3JhdGlvbiBpbiBwcm9ncmVzcyIsInBjdCI6IjAiLCJjb25zdWx0YW50IjoiS3VueiBDaHJpc3RpbmEgKExJUy1NSFAgTWFuYWdlbWVudC0gdW5kIElUIEJlcmF0dW5nIEdtYkgpIiwibWFuYWdlciI6IldpZWhlIEFsZXhhbmRlciAoQ09CKSIsImxlYWQiOiJEYWxlayBNYXJ0aW4gKExJUykiLCJub2RlSWQiOiJufENQfEJ1aWxkIElUIFNlcnZpY2V8TDJ8RGVzaWduIElUIHNlcnZpY2UifSx7InBnIjoiQ1AiLCJsMSI6IkJ1aWxkIElUIFNlcnZpY2UiLCJwcm9jIjoiRGVzaWduIElUIHNlcnZpY2UiLCJsdmwiOiJMMiIsInBoYXNlIjoiSW1wbGVtZW50YXRpb24gTElTIiwic3RhcnQiOiIyMDI2LTA1LTE4IiwiZW5kIjoiMjAyNi0wOC0xNCIsImFjdHVhbCI6IiIsInBsYW5uZWQiOiJTY2hlZHVsZWQiLCJwY3QiOiIwIiwiY29uc3VsdGFudCI6Ikt1bnogQ2hyaXN0aW5hIChMSVMtTUhQIE1hbmFnZW1lbnQtIHVuZCBJVCBCZXJhdHVuZyBHbWJIKSIsIm1hbmFnZXIiOiJXaWVoZSBBbGV4YW5kZXIgKENPQikiLCJsZWFkIjoiRGFsZWsgTWFydGluIChMSVMpIiwibm9kZUlkIjoibnxDUHxCdWlsZCBJVCBTZXJ2aWNlfEwyfERlc2lnbiBJVCBzZXJ2aWNlIn0seyJwZyI6IkNQIiwibDEiOiJCdWlsZCBJVCBTZXJ2aWNlIiwicHJvYyI6IkRldmVsb3AgYW5kIGN1c3RvbWlzZSBJVCBzZXJ2aWNlIiwibHZsIjoiTDIiLCJwaGFzZSI6IkVsYWJvcmF0aW9uIiwic3RhcnQiOiIyMDI2LTAyLTE2IiwiZW5kIjoiMjAyNi0wNS0xNSIsImFjdHVhbCI6IkRlbGF5ZWQiLCJwbGFubmVkIjoiRWxhYm9yYXRpb24gaW4gcHJvZ3Jlc3MiLCJwY3QiOiIwIiwiY29uc3VsdGFudCI6Ikt1bnogQ2hyaXN0aW5hIChMSVMtTUhQIE1hbmFnZW1lbnQtIHVuZCBJVCBCZXJhdHVuZyBHbWJIKSIsIm1hbmFnZXIiOiJXaWVoZSBBbGV4YW5kZXIgKENPQikiLCJsZWFkIjoiRGFsZWsgTWFydGluIChMSVMpIiwibm9kZUlkIjoibnxDUHxCdWlsZCBJVCBTZXJ2aWNlfEwyfERldmVsb3AgYW5kIGN1c3RvbWlzZSBJVCBzZXJ2aWNlIn0seyJwZyI6IkNQIiwibDEiOiJCdWlsZCBJVCBTZXJ2aWNlIiwicHJvYyI6IkRldmVsb3AgYW5kIGN1c3RvbWlzZSBJVCBzZXJ2aWNlIiwibHZsIjoiTDIiLCJwaGFzZSI6IkltcGxlbWVudGF0aW9uIExJUyIsInN0YXJ0IjoiMjAyNS0wNS0yNiIsImVuZCI6IjIwMjUtMDgtMTUiLCJhY3R1YWwiOiJEZWxheWVkIiwicGxhbm5lZCI6IkltcGxlbWVudGF0aW9uIExJUyBEb25lIiwicGN0IjoiMCIsImNvbnN1bHRhbnQiOiJLdW56IENocmlzdGluYSAoTElTLU1IUCBNYW5hZ2VtZW50LSB1bmQgSVQgQmVyYXR1bmcgR21iSCkiLCJtYW5hZ2VyIjoiV2llaGUgQWxleGFuZGVyIChDT0IpIiwibGVhZCI6IkRhbGVrIE1hcnRpbiAoTElTKSIsIm5vZGVJZCI6Im58Q1B8QnVpbGQgSVQgU2VydmljZXxMMnxEZXZlbG9wIGFuZCBjdXN0b21pc2UgSVQgc2VydmljZSJ9LHsicGciOiJDUCIsImwxIjoiQnVpbGQgSVQgU2VydmljZSIsInByb2MiOiJNYW5hZyBJVCBzZXJ2aWNlIGNoYW5nZSIsImx2bCI6IkwyIiwicGhhc2UiOiJFbGFib3JhdGlvbiIsInN0YXJ0IjoiMjAyNi0wMS0xMiIsImVuZCI6IjIwMjYtMDMtMTgiLCJhY3R1YWwiOiJFbGFib3JhdGlvbiBEb25lIiwicGxhbm5lZCI6IkVsYWJvcmF0aW9uIERvbmUiLCJwY3QiOiIwLjAxIiwiY29uc3VsdGFudCI6Ikt1bnogQ2hyaXN0aW5hIChMSVMtTUhQIE1hbmFnZW1lbnQtIHVuZCBJVCBCZXJhdHVuZyBHbWJIKTtGcmFuayBNYXJlbiAoTElTKSIsIm1hbmFnZXIiOiJXaWVoZSBBbGV4YW5kZXIgKENPQikiLCJsZWFkIjoiU2ludCBSYWNoZWwgKExCSCkiLCJub2RlSWQiOiJufENQfEJ1aWxkIElUIFNlcnZpY2V8TDJ8TWFuYWcgSVQgc2VydmljZSBjaGFuZ2UifSx7InBnIjoiQ1AiLCJsMSI6IkJ1aWxkIElUIFNlcnZpY2UiLCJwcm9jIjoiTWFuYWcgSVQgc2VydmljZSBjaGFuZ2UiLCJsdmwiOiJMMiIsInBoYXNlIjoiSW1wbGVtZW50YXRpb24gTElTIiwic3RhcnQiOiIyMDI2LTA0LTE1IiwiZW5kIjoiMjAyNi0wNi0zMCIsImFjdHVhbCI6IkRlbGF5ZWQiLCJwbGFubmVkIjoiSW1wbGVtZW50YXRpb24gTElTIiwicGN0IjoiMCIsImNvbnN1bHRhbnQiOiJLdW56IENocmlzdGluYSAoTElTLU1IUCBNYW5hZ2VtZW50LSB1bmQgSVQgQmVyYXR1bmcgR21iSCk7RnJhbmsgTWFyZW4gKExJUykiLCJtYW5hZ2VyIjoiV2llaGUgQWxleGFuZGVyIChDT0IpIiwibGVhZCI6IlNpbnQgUmFjaGVsIChMQkgpIiwibm9kZUlkIjoibnxDUHxCdWlsZCBJVCBTZXJ2aWNlfEwyfE1hbmFnIElUIHNlcnZpY2UgY2hhbmdlIn0seyJwZyI6IkNQIiwibDEiOiJCdWlsZCBJVCBTZXJ2aWNlIiwicHJvYyI6Ik1hbmFnZSBJVCBzZXJ2aWNlIHJlbGVhc2UiLCJsdmwiOiJMMiIsInBoYXNlIjoiRWxhYm9yYXRpb24iLCJzdGFydCI6IjIwMjYtMDItMjAiLCJlbmQiOiIyMDI2LTA1LTA4IiwiYWN0dWFsIjoiRWxhYm9yYXRpb24gaW4gcHJvZ3Jlc3MiLCJwbGFubmVkIjoiRWxhYm9yYXRpb24gaW4gcHJvZ3Jlc3MiLCJwY3QiOiIwLjAwNSIsImNvbnN1bHRhbnQiOiJLdW56IENocmlzdGluYSAoTElTLU1IUCBNYW5hZ2VtZW50LSB1bmQgSVQgQmVyYXR1bmcgR21iSCk7RnJhbmsgTWFyZW4gKExJUykiLCJtYW5hZ2VyIjoiV2llaGUgQWxleGFuZGVyIChDT0IpIiwibGVhZCI6IlNpbnQgUmFjaGVsIChMQkgpIiwibm9kZUlkIjoibnxDUHxCdWlsZCBJVCBTZXJ2aWNlfEwyfE1hbmFnZSBJVCBzZXJ2aWNlIHJlbGVhc2UifSx7InBnIjoiQ1AiLCJsMSI6IkJ1aWxkIElUIFNlcnZpY2UiLCJwcm9jIjoiTWFuYWdlIElUIHNlcnZpY2UgcmVsZWFzZSIsImx2bCI6IkwyIiwicGhhc2UiOiJJbXBsZW1lbnRhdGlvbiBMSVMiLCJzdGFydCI6IjIwMjYtMDQtMTUiLCJlbmQiOiIyMDI2LTA2LTMwIiwiYWN0dWFsIjoiRGVsYXllZCIsInBsYW5uZWQiOiJJbXBsZW1lbnRhdGlvbiBMSVMiLCJwY3QiOiIwIiwiY29uc3VsdGFudCI6Ikt1bnogQ2hyaXN0aW5hIChMSVMtTUhQIE1hbmFnZW1lbnQtIHVuZCBJVCBCZXJhdHVuZyBHbWJIKTtGcmFuayBNYXJlbiAoTElTKSIsIm1hbmFnZXIiOiJXaWVoZSBBbGV4YW5kZXIgKENPQikiLCJsZWFkIjoiU2ludCBSYWNoZWwgKExCSCkiLCJub2RlSWQiOiJufENQfEJ1aWxkIElUIFNlcnZpY2V8TDJ8TWFuYWdlIElUIHNlcnZpY2UgcmVsZWFzZSJ9LHsicGciOiJDUCIsImwxIjoiQnVpbGQgSVQgU2VydmljZSIsInByb2MiOiJQZXJmb3JtIHNvZnR3YXJlIHNlbGVjdGlvbiIsImx2bCI6IkwzIiwicGhhc2UiOiJFbGFib3JhdGlvbiIsInN0YXJ0IjoiMjAyNS0xMC0wMSIsImVuZCI6IjIwMjUtMTItMjMiLCJhY3R1YWwiOiJFbGFib3JhdGlvbiBEb25lIiwicGxhbm5lZCI6IkVsYWJvcmF0aW9uIERvbmUiLCJwY3QiOiIwLjAxIiwiY29uc3VsdGFudCI6IkhvZXJtYW5uIFBhdHJpY2sgKExMSSkiLCJtYW5hZ2VyIjoiUmVpbmVyIEhlaWtvIChIQVUtSVRTQSkiLCJsZWFkIjoiUHJlaXNzIE1hdHRoaWFzIChMQkMpIiwibm9kZUlkIjoibnxDUHxCdWlsZCBJVCBTZXJ2aWNlfEwzfFBlcmZvcm0gc29mdHdhcmUgc2VsZWN0aW9uIn0seyJwZyI6IkNQIiwibDEiOiJCdWlsZCBJVCBTZXJ2aWNlIiwicHJvYyI6IlBlcmZvcm0gc29mdHdhcmUgc2VsZWN0aW9uIiwibHZsIjoiTDMiLCJwaGFzZSI6IkltcGxlbWVudGF0aW9uIENPVCIsInN0YXJ0IjoiMjAyNS0xMC0xNiIsImVuZCI6IjIwMjUtMTItMzEiLCJhY3R1YWwiOiJEZWxheWVkIiwicGxhbm5lZCI6IkltcGxlbWVudGF0aW9uIENPVCBEb25lIiwicGN0IjoiMCIsImNvbnN1bHRhbnQiOiJIb2VybWFubiBQYXRyaWNrIChMTEkpIiwibWFuYWdlciI6IlJlaW5lciBIZWlrbyAoSEFVLUlUU0EpIiwibGVhZCI6IlByZWlzcyBNYXR0aGlhcyAoTEJDKSIsIm5vZGVJZCI6Im58Q1B8QnVpbGQgSVQgU2VydmljZXxMM3xQZXJmb3JtIHNvZnR3YXJlIHNlbGVjdGlvbiJ9LHsicGciOiJDUCIsImwxIjoiQnVpbGQgSVQgU2VydmljZSIsInByb2MiOiJQZXJmb3JtIHNvZnR3YXJlIHNlbGVjdGlvbiIsImx2bCI6IkwzIiwicGhhc2UiOiJJbXBsZW1lbnRhdGlvbiBMSVMiLCJzdGFydCI6IjIwMjYtMDItMTYiLCJlbmQiOiIyMDI2LTA0LTMwIiwiYWN0dWFsIjoiRGVsYXllZCIsInBsYW5uZWQiOiJJbXBsZW1lbnRhdGlvbiBMSVMiLCJwY3QiOiIwIiwiY29uc3VsdGFudCI6IkhvZXJtYW5uIFBhdHJpY2sgKExMSSkiLCJtYW5hZ2VyIjoiUmVpbmVyIEhlaWtvIChIQVUtSVRTQSkiLCJsZWFkIjoiUHJlaXNzIE1hdHRoaWFzIChMQkMpIiwibm9kZUlkIjoibnxDUHxCdWlsZCBJVCBTZXJ2aWNlfEwzfFBlcmZvcm0gc29mdHdhcmUgc2VsZWN0aW9uIn0seyJwZyI6IkNQIiwibDEiOiJCdWlsZCBJVCBTZXJ2aWNlIiwicHJvYyI6IlBlcmZvcm0gdmVuZG9yIHVzZSBjYXNlIHBpdGNoIGFuZCB1c2FiaWxpdHkgdGVzdCIsImx2bCI6Ikw0IiwicGhhc2UiOiJFbGFib3JhdGlvbiIsInN0YXJ0IjoiMjAyNS0xMC0wMSIsImVuZCI6IjIwMjUtMTAtMDEiLCJhY3R1YWwiOiJFbGFib3JhdGlvbiBEb25lIiwicGxhbm5lZCI6IkVsYWJvcmF0aW9uIERvbmUiLCJwY3QiOiIwLjAxIiwiY29uc3VsdGFudCI6IkhvZXJtYW5uIFBhdHJpY2sgKExMSSkiLCJtYW5hZ2VyIjoiUmVpbmVyIEhlaWtvIChIQVUtSVRTQSkiLCJsZWFkIjoiUHJlaXNzIE1hdHRoaWFzIChMQkMpIiwibm9kZUlkIjoibnxDUHxCdWlsZCBJVCBTZXJ2aWNlfEw0fFBlcmZvcm0gdmVuZG9yIHVzZSBjYXNlIHBpdGNoIGFuZCB1c2FiaWxpdHkgdGVzdCJ9LHsicGciOiJDUCIsImwxIjoiQnVpbGQgSVQgU2VydmljZSIsInByb2MiOiJSZWNvbW1lbmRhdGlvbiBhbmQgRUEgYXBwcm92YWwiLCJsdmwiOiJMNCIsInBoYXNlIjoiRWxhYm9yYXRpb24iLCJzdGFydCI6IjIwMjUtMTAtMDEiLCJlbmQiOiIyMDI1LTEwLTAxIiwiYWN0dWFsIjoiRWxhYm9yYXRpb24gRG9uZSIsInBsYW5uZWQiOiJFbGFib3JhdGlvbiBEb25lIiwicGN0IjoiMC4wMSIsImNvbnN1bHRhbnQiOiJIb2VybWFubiBQYXRyaWNrIChMTEkpIiwibWFuYWdlciI6IlJlaW5lciBIZWlrbyAoSEFVLUlUU0EpIiwibGVhZCI6IlByZWlzcyBNYXR0aGlhcyAoTEJDKSIsIm5vZGVJZCI6Im58Q1B8QnVpbGQgSVQgU2VydmljZXxMNHxSZWNvbW1lbmRhdGlvbiBhbmQgRUEgYXBwcm92YWwifSx7InBnIjoiQ1AiLCJsMSI6IkJ1aWxkIElUIFNlcnZpY2UiLCJwcm9jIjoiUmVjb3JkIGFuZCBwbGFuIGZ1bmN0aW9uYWwgcmVxdWlyZW1lbnRzIiwibHZsIjoiTDQiLCJwaGFzZSI6IkVsYWJvcmF0aW9uIiwic3RhcnQiOiIyMDI1LTEwLTAxIiwiZW5kIjoiMjAyNS0xMC0wMSIsImFjdHVhbCI6IkVsYWJvcmF0aW9uIERvbmUiLCJwbGFubmVkIjoiRWxhYm9yYXRpb24gRG9uZSIsInBjdCI6IjAuMDEiLCJjb25zdWx0YW50IjoiSG9lcm1hbm4gUGF0cmljayAoTExJKSIsIm1hbmFnZXIiOiJSZWluZXIgSGVpa28gKEhBVS1JVFNBKSIsImxlYWQiOiJQcmVpc3MgTWF0dGhpYXMgKExCQykiLCJub2RlSWQiOiJufENQfEJ1aWxkIElUIFNlcnZpY2V8TDR8UmVjb3JkIGFuZCBwbGFuIGZ1bmN0aW9uYWwgcmVxdWlyZW1lbnRzIn0seyJwZyI6IkNQIiwibDEiOiJCdWlsZCBJVCBTZXJ2aWNlIiwicHJvYyI6IlRlc3QgYW5kIHZhbGlkYXRlIElUIHNlcnZpY2UiLCJsdmwiOiJMMiIsInBoYXNlIjoiRWxhYm9yYXRpb24iLCJzdGFydCI6IjIwMjYtMDQtMTUiLCJlbmQiOiIyMDI2LTA2LTE1IiwiYWN0dWFsIjoiRGVsYXllZCIsInBsYW5uZWQiOiJFbGFib3JhdGlvbiBpbiBwcm9ncmVzcyIsInBjdCI6IjAiLCJjb25zdWx0YW50IjoiS3VueiBDaHJpc3RpbmEgKExJUy1NSFAgTWFuYWdlbWVudC0gdW5kIElUIEJlcmF0dW5nIEdtYkgpIiwibWFuYWdlciI6IldpZWhlIEFsZXhhbmRlciAoQ09CKSIsImxlYWQiOiJEYWxlayBNYXJ0aW4gKExJUykiLCJub2RlSWQiOiJufENQfEJ1aWxkIElUIFNlcnZpY2V8TDJ8VGVzdCBhbmQgdmFsaWRhdGUgSVQgc2VydmljZSJ9LHsicGciOiJDUCIsImwxIjoiQnVpbGQgSVQgU2VydmljZSIsInByb2MiOiJUZXN0IGFuZCB2YWxpZGF0ZSBJVCBzZXJ2aWNlIiwibHZsIjoiTDIiLCJwaGFzZSI6IkltcGxlbWVudGF0aW9uIExJUyIsInN0YXJ0IjoiMjAyNi0wNy0xNSIsImVuZCI6IjIwMjYtMDgtMzEiLCJhY3R1YWwiOiIiLCJwbGFubmVkIjoiU2NoZWR1bGVkIiwicGN0IjoiMCIsImNvbnN1bHRhbnQiOiJLdW56IENocmlzdGluYSAoTElTLU1IUCBNYW5hZ2VtZW50LSB1bmQgSVQgQmVyYXR1bmcgR21iSCkiLCJtYW5hZ2VyIjoiV2llaGUgQWxleGFuZGVyIChDT0IpIiwibGVhZCI6IkRhbGVrIE1hcnRpbiAoTElTKSIsIm5vZGVJZCI6Im58Q1B8QnVpbGQgSVQgU2VydmljZXxMMnxUZXN0IGFuZCB2YWxpZGF0ZSBJVCBzZXJ2aWNlIn0seyJwZyI6IkNQIiwibDEiOiJCdWlsZCBJVCBTZXJ2aWNlIiwicHJvYyI6IlZhbGlkYXRlIHN0cmF0ZWdpYyBmaXQiLCJsdmwiOiJMNCIsInBoYXNlIjoiRWxhYm9yYXRpb24iLCJzdGFydCI6IjIwMjUtMTAtMDEiLCJlbmQiOiIyMDI1LTEwLTAxIiwiYWN0dWFsIjoiRWxhYm9yYXRpb24gRG9uZSIsInBsYW5uZWQiOiJFbGFib3JhdGlvbiBEb25lIiwicGN0IjoiMC4wMSIsImNvbnN1bHRhbnQiOiJIb2VybWFubiBQYXRyaWNrIChMTEkpIiwibWFuYWdlciI6IlJlaW5lciBIZWlrbyAoSEFVLUlUU0EpIiwibGVhZCI6IlByZWlzcyBNYXR0aGlhcyAoTEJDKSIsIm5vZGVJZCI6Im58Q1B8QnVpbGQgSVQgU2VydmljZXxMNHxWYWxpZGF0ZSBzdHJhdGVnaWMgZml0In0seyJwZyI6IkNQIiwibDEiOiJEZWxpdmVyIElUIHNlcnZpY2UiLCJwcm9jIjoiSGFuZGxlIElUIHNlcnZpY2Ugb3JkZXIiLCJsdmwiOiJMMiIsInBoYXNlIjoiRWxhYm9yYXRpb24iLCJzdGFydCI6IjIwMjYtMDQtMDEiLCJlbmQiOiIyMDI2LTA2LTE3IiwiYWN0dWFsIjoiRGVsYXllZCIsInBsYW5uZWQiOiJFbGFib3JhdGlvbiBpbiBwcm9ncmVzcyIsInBjdCI6IjAiLCJjb25zdWx0YW50IjoiSG9lcm1hbm4gUGF0cmljayAoTExJKSIsIm1hbmFnZXIiOiJTY2hudXJyZW5iZXJnZXIgQ2hyaXN0b3BoIChMSVMtTElOKSIsImxlYWQiOiJLdWVyc2NobmVyIFBoaWxpcHAgKExJUykiLCJub2RlSWQiOiJufENQfERlbGl2ZXIgSVQgc2VydmljZXxMMnxIYW5kbGUgSVQgc2VydmljZSBvcmRlciJ9LHsicGciOiJDUCIsImwxIjoiRGVsaXZlciBJVCBzZXJ2aWNlIiwicHJvYyI6IkhhbmRsZSBJVCBzZXJ2aWNlIG9yZGVyIiwibHZsIjoiTDIiLCJwaGFzZSI6IkltcGxlbWVudGF0aW9uIExJUyIsInN0YXJ0IjoiMjAyNi0wNC0wMSIsImVuZCI6IjIwMjYtMDYtMTUiLCJhY3R1YWwiOiJEZWxheWVkIiwicGxhbm5lZCI6IkltcGxlbWVudGF0aW9uIExJUyIsInBjdCI6IjAiLCJjb25zdWx0YW50IjoiSG9lcm1hbm4gUGF0cmljayAoTExJKSIsIm1hbmFnZXIiOiJTY2hudXJyZW5iZXJnZXIgQ2hyaXN0b3BoIChMSVMtTElOKSIsImxlYWQiOiJLdWVyc2NobmVyIFBoaWxpcHAgKExJUykiLCJub2RlSWQiOiJufENQfERlbGl2ZXIgSVQgc2VydmljZXxMMnxIYW5kbGUgSVQgc2VydmljZSBvcmRlciJ9LHsicGciOiJDUCIsImwxIjoiRGVsaXZlciBJVCBzZXJ2aWNlIiwicHJvYyI6Ik1hbmFnZSBJVCBzZXJ2aWNlIHByb3Zpc2lvbiByZXF1ZXN0IiwibHZsIjoiTDIiLCJwaGFzZSI6IkVsYWJvcmF0aW9uIiwic3RhcnQiOiIyMDI2LTA0LTAxIiwiZW5kIjoiMjAyNi0wNi0xNyIsImFjdHVhbCI6IkRlbGF5ZWQiLCJwbGFubmVkIjoiRWxhYm9yYXRpb24gaW4gcHJvZ3Jlc3MiLCJwY3QiOiIwIiwiY29uc3VsdGFudCI6IkhvZXJtYW5uIFBhdHJpY2sgKExMSSkiLCJtYW5hZ2VyIjoiU2NobnVycmVuYmVyZ2VyIENocmlzdG9waCAoTElTLUxJTikiLCJsZWFkIjoiS3VlcnNjaG5lciBQaGlsaXBwIChMSVMpIiwibm9kZUlkIjoibnxDUHxEZWxpdmVyIElUIHNlcnZpY2V8TDJ8TWFuYWdlIElUIHNlcnZpY2UgcHJvdmlzaW9uIHJlcXVlc3QifSx7InBnIjoiQ1AiLCJsMSI6IkRlbGl2ZXIgSVQgc2VydmljZSIsInByb2MiOiJNYW5hZ2UgSVQgc2VydmljZSBwcm92aXNpb24gcmVxdWVzdCIsImx2bCI6IkwyIiwicGhhc2UiOiJJbXBsZW1lbnRhdGlvbiBMSVMiLCJzdGFydCI6IjIwMjYtMDQtMDEiLCJlbmQiOiIyMDI2LTA2LTE1IiwiYWN0dWFsIjoiRGVsYXllZCIsInBsYW5uZWQiOiJJbXBsZW1lbnRhdGlvbiBMSVMiLCJwY3QiOiIwIiwiY29uc3VsdGFudCI6IkhvZXJtYW5uIFBhdHJpY2sgKExMSSkiLCJtYW5hZ2VyIjoiU2NobnVycmVuYmVyZ2VyIENocmlzdG9waCAoTElTLUxJTikiLCJsZWFkIjoiS3VlcnNjaG5lciBQaGlsaXBwIChMSVMpIiwibm9kZUlkIjoibnxDUHxEZWxpdmVyIElUIHNlcnZpY2V8TDJ8TWFuYWdlIElUIHNlcnZpY2UgcHJvdmlzaW9uIHJlcXVlc3QifSx7InBnIjoiQ1AiLCJsMSI6IlJ1biBJVCBzZXJ2aWNlIiwicHJvYyI6IkhhbmRsZSBJVCBJbmNpZGVudCIsImx2bCI6IkwzIiwicGhhc2UiOiJFbGFib3JhdGlvbiIsInN0YXJ0IjoiMjAyNi0wMS0xMyIsImVuZCI6IjIwMjYtMDMtMTkiLCJhY3R1YWwiOiJFbGFib3JhdGlvbiBpbiBwcm9ncmVzcyIsInBsYW5uZWQiOiJFbGFib3JhdGlvbiBEb25lIiwicGN0IjoiMC4wMDc1IiwiY29uc3VsdGFudCI6IlNjaHJvZWRlciBNaWNoYWVsIChMSVMpIiwibWFuYWdlciI6IlNpbnQgUmFjaGVsIChMQkgpIiwibGVhZCI6Ikt1ZXJzY2huZXIgUGhpbGlwcCAoTElTKSIsIm5vZGVJZCI6Im58Q1B8UnVuIElUIHNlcnZpY2V8TDN8SGFuZGxlIElUIEluY2lkZW50In0seyJwZyI6IkNQIiwibDEiOiJSdW4gSVQgc2VydmljZSIsInByb2MiOiJIYW5kbGUgSVQgcHJvYmxlbSIsImx2bCI6IkwzIiwicGhhc2UiOiJFbGFib3JhdGlvbiIsInN0YXJ0IjoiMjAyNi0wMS0xMyIsImVuZCI6IjIwMjYtMDMtMTkiLCJhY3R1YWwiOiJFbGFib3JhdGlvbiBpbiBwcm9ncmVzcyIsInBsYW5uZWQiOiJFbGFib3JhdGlvbiBEb25lIiwicGN0IjoiMC4wMDc1IiwiY29uc3VsdGFudCI6IlNjaHJvZWRlciBNaWNoYWVsIChMSVMpIiwibWFuYWdlciI6IlNpbnQgUmFjaGVsIChMQkgpIiwibGVhZCI6Ikt1ZXJzY2huZXIgUGhpbGlwcCAoTElTKSIsIm5vZGVJZCI6Im58Q1B8UnVuIElUIHNlcnZpY2V8TDN8SGFuZGxlIElUIHByb2JsZW0ifSx7InBnIjoiQ1AiLCJsMSI6IlJ1biBJVCBzZXJ2aWNlIiwicHJvYyI6IkhhbmRsZSBJVCBzZXJ2aWNlIHJlcXVlc3QiLCJsdmwiOiJMMyIsInBoYXNlIjoiRWxhYm9yYXRpb24iLCJzdGFydCI6IjIwMjYtMDItMDIiLCJlbmQiOiIyMDI2LTAzLTE5IiwiYWN0dWFsIjoiRWxhYm9yYXRpb24gRG9uZSIsInBsYW5uZWQiOiJFbGFib3JhdGlvbiBEb25lIiwicGN0IjoiMC4wMSIsImNvbnN1bHRhbnQiOiJGcmFuayBNYXJlbiAoTElTKSIsIm1hbmFnZXIiOiJTaW50IFJhY2hlbCAoTEJIKSIsImxlYWQiOiJLdWVyc2NobmVyIFBoaWxpcHAgKExJUykiLCJub2RlSWQiOiJufENQfFJ1biBJVCBzZXJ2aWNlfEwzfEhhbmRsZSBJVCBzZXJ2aWNlIHJlcXVlc3QifSx7InBnIjoiQ1AiLCJsMSI6IlJ1biBJVCBzZXJ2aWNlIiwicHJvYyI6Ik1haW50YWluIENNREIiLCJsdmwiOiJMMyIsInBoYXNlIjoiRWxhYm9yYXRpb24iLCJzdGFydCI6IjIwMjYtMDEtMTQiLCJlbmQiOiIyMDI2LTA1LTIwIiwiYWN0dWFsIjoiRWxhYm9yYXRpb24gaW4gcHJvZ3Jlc3MiLCJwbGFubmVkIjoiRWxhYm9yYXRpb24gaW4gcHJvZ3Jlc3MiLCJwY3QiOiIwLjAwNSIsImNvbnN1bHRhbnQiOiJTY2hyb2VkZXIgTWljaGFlbCAoTElTKSIsIm1hbmFnZXIiOiJTaW50IFJhY2hlbCAoTEJIKSIsImxlYWQiOiJLcmV0eiBMdWNhcyAoQ09DLUNPVC1JVCkiLCJub2RlSWQiOiJufENQfFJ1biBJVCBzZXJ2aWNlfEwzfE1haW50YWluIENNREIifSx7InBnIjoiQ1AiLCJsMSI6IlJ1biBJVCBzZXJ2aWNlIiwicHJvYyI6Ik9wZXJhdGUgYW5kIG1haW50YWluIElUIHNlcnZpY2UiLCJsdmwiOiJMMiIsInBoYXNlIjoiRWxhYm9yYXRpb24iLCJzdGFydCI6IjIwMjYtMDEtMTIiLCJlbmQiOiIyMDI2LTA2LTMwIiwiYWN0dWFsIjoiRGVsYXllZCIsInBsYW5uZWQiOiJFbGFib3JhdGlvbiBpbiBwcm9ncmVzcyIsInBjdCI6IjAiLCJjb25zdWx0YW50IjoiU2Nocm9lZGVyIE1pY2hhZWwgKExJUykiLCJtYW5hZ2VyIjoiU2ludCBSYWNoZWwgKExCSCkiLCJsZWFkIjoiS3JldHogTHVjYXMgKENPQy1DT1QtSVQpIiwibm9kZUlkIjoibnxDUHxSdW4gSVQgc2VydmljZXxMMnxPcGVyYXRlIGFuZCBtYWludGFpbiBJVCBzZXJ2aWNlIn0seyJwZyI6IkNQIiwibDEiOiJSdW4gSVQgc2VydmljZSIsInByb2MiOiJPcGVyYXRlIGFuZCBtYWludGFpbiBJVCBzZXJ2aWNlIiwibHZsIjoiTDIiLCJwaGFzZSI6IkltcGxlbWVudGF0aW9uIExJUyIsInN0YXJ0IjoiMjAyNi0wNC0xNSIsImVuZCI6IjIwMjYtMDYtMzAiLCJhY3R1YWwiOiJEZWxheWVkIiwicGxhbm5lZCI6IkltcGxlbWVudGF0aW9uIExJUyIsInBjdCI6IjAiLCJjb25zdWx0YW50IjoiU2Nocm9lZGVyIE1pY2hhZWwgKExJUykiLCJtYW5hZ2VyIjoiU2ludCBSYWNoZWwgKExCSCkiLCJsZWFkIjoiS3JldHogTHVjYXMgKENPQy1DT1QtSVQpIiwibm9kZUlkIjoibnxDUHxSdW4gSVQgc2VydmljZXxMMnxPcGVyYXRlIGFuZCBtYWludGFpbiBJVCBzZXJ2aWNlIn0seyJwZyI6IkNQIiwibDEiOiJSdW4gSVQgc2VydmljZSIsInByb2MiOiJQcm92aWRlIElUIHNlcnZpY2Ugc3VwcG9ydCIsImx2bCI6IkwyIiwicGhhc2UiOiJFbGFib3JhdGlvbiIsInN0YXJ0IjoiMjAyNi0wMS0xMiIsImVuZCI6IjIwMjYtMDMtMzAiLCJhY3R1YWwiOiJEZWxheWVkIiwicGxhbm5lZCI6IkVsYWJvcmF0aW9uIERvbmUiLCJwY3QiOiIwIiwiY29uc3VsdGFudCI6IlNjaHJvZWRlciBNaWNoYWVsIChMSVMpIiwibWFuYWdlciI6IlNpbnQgUmFjaGVsIChMQkgpIiwibGVhZCI6Ikt1ZXJzY2huZXIgUGhpbGlwcCAoTElTKSIsIm5vZGVJZCI6Im58Q1B8UnVuIElUIHNlcnZpY2V8TDJ8UHJvdmlkZSBJVCBzZXJ2aWNlIHN1cHBvcnQifSx7InBnIjoiQ1AiLCJsMSI6IlJ1biBJVCBzZXJ2aWNlIiwicHJvYyI6IlByb3ZpZGUgSVQgc2VydmljZSBzdXBwb3J0IiwibHZsIjoiTDIiLCJwaGFzZSI6IkltcGxlbWVudGF0aW9uIExJUyIsInN0YXJ0IjoiMjAyNi0wNC0wMSIsImVuZCI6IjIwMjYtMDYtMTUiLCJhY3R1YWwiOiJEZWxheWVkIiwicGxhbm5lZCI6IkltcGxlbWVudGF0aW9uIExJUyIsInBjdCI6IjAiLCJjb25zdWx0YW50IjoiU2Nocm9lZGVyIE1pY2hhZWwgKExJUykiLCJtYW5hZ2VyIjoiU2ludCBSYWNoZWwgKExCSCkiLCJsZWFkIjoiS3VlcnNjaG5lciBQaGlsaXBwIChMSVMpIiwibm9kZUlkIjoibnxDUHxSdW4gSVQgc2VydmljZXxMMnxQcm92aWRlIElUIHNlcnZpY2Ugc3VwcG9ydCJ9LHsicGciOiJDUCIsImwxIjoiUnVuIElUIHNlcnZpY2UiLCJwcm9jIjoiUnVuIElUIHNlcnZpY2UiLCJsdmwiOiJMMSIsInBoYXNlIjoiRWxhYm9yYXRpb24iLCJzdGFydCI6IjIwMjUtMTAtMTYiLCJlbmQiOiIyMDI2LTA2LTMwIiwiYWN0dWFsIjoiRGVsYXllZCIsInBsYW5uZWQiOiJFbGFib3JhdGlvbiBpbiBwcm9ncmVzcyIsInBjdCI6IjAiLCJjb25zdWx0YW50IjoiU2Nocm9lZGVyIE1pY2hhZWwgKExJUyk7QsO2aG1lIE1hdHRoaWFzIChleHQuKSIsIm1hbmFnZXIiOiJTaW50IFJhY2hlbCAoTEJIKSIsImxlYWQiOiJPZXkgS2FpIChMSVMpIiwibm9kZUlkIjoibnxDUHxSdW4gSVQgc2VydmljZXxMMXxSdW4gSVQgc2VydmljZSJ9LHsicGciOiJTUCIsImwxIjoiRW5zdXJlIEluZm9ybWF0aW9uIHNlY3VyaXR5IiwicHJvYyI6IlBlcmZvcm0gU2FhUyBTZWN1cml0eSBBc3Nlc3NtZW50IiwibHZsIjoiTDIiLCJwaGFzZSI6IkVsYWJvcmF0aW9uIiwic3RhcnQiOiIyMDI1LTEwLTE5IiwiZW5kIjoiMjAyNi0wNC0zMCIsImFjdHVhbCI6IkVsYWJvcmF0aW9uIGluIHByb2dyZXNzIiwicGxhbm5lZCI6IkVsYWJvcmF0aW9uIGluIHByb2dyZXNzIiwicGN0IjoiMC4wMDUiLCJjb25zdWx0YW50IjoiSG9lcm1hbm4gUGF0cmljayAoTExJKTtSb2xsaW5nZXIgQWxleGFuZGVyIChMSVMpIiwibWFuYWdlciI6IlJlaW5lciBIZWlrbyAoSEFVLUlUU0EpIiwibGVhZCI6IkhlZmVsZSBNaWNoYWVsIChMSU4tTElTKSIsIm5vZGVJZCI6Im58U1B8RW5zdXJlIEluZm9ybWF0aW9uIHNlY3VyaXR5fEwyfFBlcmZvcm0gU2FhUyBTZWN1cml0eSBBc3Nlc3NtZW50In0seyJwZyI6IlNQIiwibDEiOiJNYW5hZ2UgSVQgcHJvamVjdCIsInByb2MiOiJDbG9zZSBJVCBwcm9qZWN0IiwibHZsIjoiTDIiLCJwaGFzZSI6IkVsYWJvcmF0aW9uIiwic3RhcnQiOiIyMDI1LTExLTExIiwiZW5kIjoiMjAyNS0xMi0xMCIsImFjdHVhbCI6IkVsYWJvcmF0aW9uIERvbmUiLCJwbGFubmVkIjoiRWxhYm9yYXRpb24gRG9uZSIsInBjdCI6IjAuMDEiLCJjb25zdWx0YW50IjoiRnJhbmsgTWFyZW4gKExJUykiLCJtYW5hZ2VyIjoiUm9sbGluZ2VyIEFsZXhhbmRlciAoTElTKSIsImxlYWQiOiJNw7xobGJhY2hlciBDaHJpc3RpYW4gKExJUykiLCJub2RlSWQiOiJufFNQfE1hbmFnZSBJVCBwcm9qZWN0fEwyfENsb3NlIElUIHByb2plY3QifSx7InBnIjoiU1AiLCJsMSI6Ik1hbmFnZSBJVCBwcm9qZWN0IiwicHJvYyI6IkluaXRpYXRlIElUIHByb2plY3QiLCJsdmwiOiJMMiIsInBoYXNlIjoiRWxhYm9yYXRpb24iLCJzdGFydCI6IjIwMjUtMTEtMTEiLCJlbmQiOiIyMDI1LTEyLTEwIiwiYWN0dWFsIjoiRWxhYm9yYXRpb24gRG9uZSIsInBsYW5uZWQiOiJFbGFib3JhdGlvbiBEb25lIiwicGN0IjoiMC4wMSIsImNvbnN1bHRhbnQiOiJGcmFuayBNYXJlbiAoTElTKSIsIm1hbmFnZXIiOiJSb2xsaW5nZXIgQWxleGFuZGVyIChMSVMpIiwibGVhZCI6Ik3DvGhsYmFjaGVyIENocmlzdGlhbiAoTElTKSIsIm5vZGVJZCI6Im58U1B8TWFuYWdlIElUIHByb2plY3R8TDJ8SW5pdGlhdGUgSVQgcHJvamVjdCJ9LHsicGciOiJTUCIsImwxIjoiTWFuYWdlIElUIHByb2plY3QiLCJwcm9jIjoiTWFuYWdlIElUIHByb2plY3QiLCJsdmwiOiJMMSIsInBoYXNlIjoiRWxhYm9yYXRpb24iLCJzdGFydCI6IjIwMjUtMTEtMTEiLCJlbmQiOiIyMDI1LTEyLTEwIiwiYWN0dWFsIjoiRWxhYm9yYXRpb24gRG9uZSIsInBsYW5uZWQiOiJFbGFib3JhdGlvbiBEb25lIiwicGN0IjoiMC4wMSIsImNvbnN1bHRhbnQiOiJGcmFuayBNYXJlbiAoTElTKSIsIm1hbmFnZXIiOiJSb2xsaW5nZXIgQWxleGFuZGVyIChMSVMpIiwibGVhZCI6Ik3DvGhsYmFjaGVyIENocmlzdGlhbiAoTElTKSIsIm5vZGVJZCI6Im58U1B8TWFuYWdlIElUIHByb2plY3R8TDF8TWFuYWdlIElUIHByb2plY3QifSx7InBnIjoiU1AiLCJsMSI6Ik1hbmFnZSBJVCBwcm9qZWN0IiwicHJvYyI6Ik1hbmFnZSBJVCBwcm9qZWN0IGNoYW5nZSByZXF1ZXN0IiwibHZsIjoiTDIiLCJwaGFzZSI6IkVsYWJvcmF0aW9uIiwic3RhcnQiOiIyMDI1LTExLTExIiwiZW5kIjoiMjAyNS0xMi0xMCIsImFjdHVhbCI6IkVsYWJvcmF0aW9uIERvbmUiLCJwbGFubmVkIjoiRWxhYm9yYXRpb24gRG9uZSIsInBjdCI6IjAuMDEiLCJjb25zdWx0YW50IjoiRnJhbmsgTWFyZW4gKExJUykiLCJtYW5hZ2VyIjoiUm9sbGluZ2VyIEFsZXhhbmRlciAoTElTKSIsImxlYWQiOiJNw7xobGJhY2hlciBDaHJpc3RpYW4gKExJUykiLCJub2RlSWQiOiJufFNQfE1hbmFnZSBJVCBwcm9qZWN0fEwyfE1hbmFnZSBJVCBwcm9qZWN0IGNoYW5nZSByZXF1ZXN0In0seyJwZyI6IlNQIiwibDEiOiJNYW5hZ2UgSVQgcHJvamVjdCIsInByb2MiOiJQbGFuIElUIHByb2plY3QiLCJsdmwiOiJMMiIsInBoYXNlIjoiRWxhYm9yYXRpb24iLCJzdGFydCI6IjIwMjUtMTEtMTEiLCJlbmQiOiIyMDI1LTEyLTEwIiwiYWN0dWFsIjoiRWxhYm9yYXRpb24gRG9uZSIsInBsYW5uZWQiOiJFbGFib3JhdGlvbiBEb25lIiwicGN0IjoiMC4wMSIsImNvbnN1bHRhbnQiOiJGcmFuayBNYXJlbiAoTElTKSIsIm1hbmFnZXIiOiJSb2xsaW5nZXIgQWxleGFuZGVyIChMSVMpIiwibGVhZCI6Ik3DvGhsYmFjaGVyIENocmlzdGlhbiAoTElTKSIsIm5vZGVJZCI6Im58U1B8TWFuYWdlIElUIHByb2plY3R8TDJ8UGxhbiBJVCBwcm9qZWN0In0seyJwZyI6IlNQIiwibDEiOiJNYW5hZ2UgSVQgcHJvamVjdCIsInByb2MiOiJSZXNzb3VyY2VtYW5hZ2VtZW50IGZvciBJVCBwcm9qZWN0cyIsImx2bCI6IkwyIiwicGhhc2UiOiJFbGFib3JhdGlvbiIsInN0YXJ0IjoiMjAyNS0xMS0xMSIsImVuZCI6IjIwMjUtMTItMTAiLCJhY3R1YWwiOiJFbGFib3JhdGlvbiBEb25lIiwicGxhbm5lZCI6IkVsYWJvcmF0aW9uIERvbmUiLCJwY3QiOiIwLjAxIiwiY29uc3VsdGFudCI6IkZyYW5rIE1hcmVuIChMSVMpIiwibWFuYWdlciI6IlJvbGxpbmdlciBBbGV4YW5kZXIgKExJUykiLCJsZWFkIjoiTcO8aGxiYWNoZXIgQ2hyaXN0aWFuIChMSVMpIiwibm9kZUlkIjoibnxTUHxNYW5hZ2UgSVQgcHJvamVjdHxMMnxSZXNzb3VyY2VtYW5hZ2VtZW50IGZvciBJVCBwcm9qZWN0cyJ9LHsicGciOiJTUCIsImwxIjoiTWFuYWdlIElUIHByb2plY3QiLCJwcm9jIjoiU3RlZXIgYW5kIGV4ZWN1dGUgSVQgcHJvamVjdCIsImx2bCI6IkwyIiwicGhhc2UiOiJFbGFib3JhdGlvbiIsInN0YXJ0IjoiMjAyNS0xMS0xMSIsImVuZCI6IjIwMjUtMTItMTAiLCJhY3R1YWwiOiJFbGFib3JhdGlvbiBEb25lIiwicGxhbm5lZCI6IkVsYWJvcmF0aW9uIERvbmUiLCJwY3QiOiIwLjAxIiwiY29uc3VsdGFudCI6IkZyYW5rIE1hcmVuIChMSVMpIiwibWFuYWdlciI6IlJvbGxpbmdlciBBbGV4YW5kZXIgKExJUykiLCJsZWFkIjoiTcO8aGxiYWNoZXIgQ2hyaXN0aWFuIChMSVMpIiwibm9kZUlkIjoibnxTUHxNYW5hZ2UgSVQgcHJvamVjdHxMMnxTdGVlciBhbmQgZXhlY3V0ZSBJVCBwcm9qZWN0In0seyJwZyI6IlNQIiwibDEiOiJNYW5hZ2UgSVQgc291cmNpbmcgYW5kIHByb2N1cmVtZW50Iiw</t>
  </si>
  <si>
    <t>icHJvYyI6Ik1hbmFnZSBJVCBzb3VyY2luZyBhbmQgcHJvY3VyZW1lbnQiLCJsdmwiOiJMMSIsInBoYXNlIjoiRWxhYm9yYXRpb24iLCJzdGFydCI6IjIwMjYtMDQtMjAiLCJlbmQiOiIyMDI2LTA0LTIyIiwiYWN0dWFsIjoiRWxhYm9yYXRpb24gaW4gcHJvZ3Jlc3MiLCJwbGFubmVkIjoiRWxhYm9yYXRpb24gRG9uZSIsInBjdCI6IjAuMDAyNSIsImNvbnN1bHRhbnQiOiJTY2hvZWJlcmwgTG9yZW5hIChMQkgpIiwibWFuYWdlciI6Ik1vbm5pZXIgTXVyaWVsbGUgKExFQykiLCJsZWFkIjoiRG9sZGVyZXIgV29sZmdhbmcgKExJUykiLCJub2RlSWQiOiJufFNQfE1hbmFnZSBJVCBzb3VyY2luZyBhbmQgcHJvY3VyZW1lbnR8TDF8TWFuYWdlIElUIHNvdXJjaW5nIGFuZCBwcm9jdXJlbWVudCJ9LHsicGciOiJTUCIsImwxIjoiUHJvdmlkZSBhbmQgZGV2ZWxvcCBJVCB3b3JrZm9yY2UiLCJwcm9jIjoiQXR0cmFjdCBhbmQgaGlyZSBlbXBsb3llZXMiLCJsdmwiOiJMMiIsInBoYXNlIjoiRWxhYm9yYXRpb24iLCJzdGFydCI6IjIwMjYtMDEtMDciLCJlbmQiOiIyMDI2LTAzLTE2IiwiYWN0dWFsIjoiRWxhYm9yYXRpb24gaW4gcHJvZ3Jlc3MiLCJwbGFubmVkIjoiRWxhYm9yYXRpb24gRG9uZSIsInBjdCI6IjAuMDA1IiwiY29uc3VsdGFudCI6IkNoZW4gTGVpbGVpIChleHQuKTtIeW5layBUb2JpYXMgKExJUykiLCJtYW5hZ2VyIjoiTWllbGVueiBUaG9tYXMgKExNVCkiLCJsZWFkIjoiS2llc2V3ZXR0ZXIgSXZhbmEgKExJUykiLCJub2RlSWQiOiJufFNQfFByb3ZpZGUgYW5kIGRldmVsb3AgSVQgd29ya2ZvcmNlfEwyfEF0dHJhY3QgYW5kIGhpcmUgZW1wbG95ZWVzIn0seyJwZyI6IlNQIiwibDEiOiJQcm92aWRlIGFuZCBkZXZlbG9wIElUIHdvcmtmb3JjZSIsInByb2MiOiJBdHRyYWN0IGFuZCBoaXJlIGVtcGxveWVlcyIsImx2bCI6IkwyIiwicGhhc2UiOiJJbXBsZW1lbnRhdGlvbiBDT1QiLCJzdGFydCI6IjIwMjYtMDQtMDEiLCJlbmQiOiIyMDI2LTA2LTE1IiwiYWN0dWFsIjoiRGVsYXllZCIsInBsYW5uZWQiOiJJbXBsZW1lbnRhdGlvbiBDT1QiLCJwY3QiOiIwIiwiY29uc3VsdGFudCI6IkNoZW4gTGVpbGVpIChleHQuKTtIeW5layBUb2JpYXMgKExJUykiLCJtYW5hZ2VyIjoiTWllbGVueiBUaG9tYXMgKExNVCkiLCJsZWFkIjoiS2llc2V3ZXR0ZXIgSXZhbmEgKExJUykiLCJub2RlSWQiOiJufFNQfFByb3ZpZGUgYW5kIGRldmVsb3AgSVQgd29ya2ZvcmNlfEwyfEF0dHJhY3QgYW5kIGhpcmUgZW1wbG95ZWVzIn0seyJwZyI6IlNQIiwibDEiOiJQcm92aWRlIGFuZCBkZXZlbG9wIElUIHdvcmtmb3JjZSIsInByb2MiOiJBdHRyYWN0IGFuZCBoaXJlIGVtcGxveWVlcyIsImx2bCI6IkwyIiwicGhhc2UiOiJJbXBsZW1lbnRhdGlvbiBMSVMiLCJzdGFydCI6IjIwMjYtMDQtMDEiLCJlbmQiOiIyMDI2LTA2LTE1IiwiYWN0dWFsIjoiRGVsYXllZCIsInBsYW5uZWQiOiJJbXBsZW1lbnRhdGlvbiBMSVMiLCJwY3QiOiIwIiwiY29uc3VsdGFudCI6IkNoZW4gTGVpbGVpIChleHQuKTtIeW5layBUb2JpYXMgKExJUykiLCJtYW5hZ2VyIjoiTWllbGVueiBUaG9tYXMgKExNVCkiLCJsZWFkIjoiS2llc2V3ZXR0ZXIgSXZhbmEgKExJUykiLCJub2RlSWQiOiJufFNQfFByb3ZpZGUgYW5kIGRldmVsb3AgSVQgd29ya2ZvcmNlfEwyfEF0dHJhY3QgYW5kIGhpcmUgZW1wbG95ZWVzIn0seyJwZyI6IlNQIiwibDEiOiJQcm92aWRlIGFuZCBkZXZlbG9wIElUIHdvcmtmb3JjZSIsInByb2MiOiJDcmVhdGUsIGFwcHJvdmUgYW5kIHB1Ymxpc2ggdHJhaW5pbmdzIGZvciBJVCB3b3JrZm9yY2Ugd2l0aGluIElUIFRyYWluaW5nIENhdGFsb2d1ZSIsImx2bCI6IkwzIiwicGhhc2UiOiJFbGFib3JhdGlvbiIsInN0YXJ0IjoiMjAyNS0xMC0wMSIsImVuZCI6IjIwMjYtMDQtMzAiLCJhY3R1YWwiOiJFbGFib3JhdGlvbiBpbiBwcm9ncmVzcyIsInBsYW5uZWQiOiJFbGFib3JhdGlvbiBpbiBwcm9ncmVzcyIsInBjdCI6IjAuMDA1IiwiY29uc3VsdGFudCI6IkNoZW4gTGVpbGVpIChleHQuKTtIeW5layBUb2JpYXMgKExJUykiLCJtYW5hZ2VyIjoiTWllbGVueiBUaG9tYXMgKExNVCkiLCJsZWFkIjoiR3JhYm1haXIgTWVsYW5pZSAoTElTKSIsIm5vZGVJZCI6Im58U1B8UHJvdmlkZSBhbmQgZGV2ZWxvcCBJVCB3b3JrZm9yY2V8TDN8Q3JlYXRlLCBhcHByb3ZlIGFuZCBwdWJsaXNoIHRyYWluaW5ncyBmb3IgSVQgd29ya2ZvcmNlIHdpdGhpbiBJVCBUcmFpbmluZyBDYXRhbG9ndWUifSx7InBnIjoiU1AiLCJsMSI6IlByb3ZpZGUgYW5kIGRldmVsb3AgSVQgd29ya2ZvcmNlIiwicHJvYyI6IkltcGxlbWVudCBhbmQgbWFpbnRhaW4gSVQgam9iIGFyY2hpdGVjdHVyZSIsImx2bCI6IkwzIiwicGhhc2UiOiJFbGFib3JhdGlvbiIsInN0YXJ0IjoiMjAyNS0xMC0xNiIsImVuZCI6IjIwMjYtMDUtMzEiLCJhY3R1YWwiOiJEZWxheWVkIiwicGxhbm5lZCI6IkVsYWJvcmF0aW9uIGluIHByb2dyZXNzIiwicGN0IjoiMCIsImNvbnN1bHRhbnQiOiJDaGVuIExlaWxlaSAoZXh0Lik7SHluZWsgVG9iaWFzIChMSVMpIiwibWFuYWdlciI6IlJvbGxpbmdlciBBbGV4YW5kZXIgKExJUykiLCJsZWFkIjoiQW1lbGFuZyBOaWNvbGUgKExJUykiLCJub2RlSWQiOiJufFNQfFByb3ZpZGUgYW5kIGRldmVsb3AgSVQgd29ya2ZvcmNlfEwzfEltcGxlbWVudCBhbmQgbWFpbnRhaW4gSVQgam9iIGFyY2hpdGVjdHVyZSJ9LHsicGciOiJTUCIsImwxIjoiUHJvdmlkZSBhbmQgZGV2ZWxvcCBJVCB3b3JrZm9yY2UiLCJwcm9jIjoiTWFuYWdlIEhSNElUIHNlcnZpY2UgZGVtYW5kIiwibHZsIjoiTDMiLCJwaGFzZSI6IkVsYWJvcmF0aW9uIiwic3RhcnQiOiIyMDI1LTEwLTAxIiwiZW5kIjoiMjAyNi0wNS0zMSIsImFjdHVhbCI6IkRlbGF5ZWQiLCJwbGFubmVkIjoiRWxhYm9yYXRpb24gaW4gcHJvZ3Jlc3MiLCJwY3QiOiIwIiwiY29uc3VsdGFudCI6IkNoZW4gTGVpbGVpIChleHQuKTtIeW5layBUb2JpYXMgKExJUykiLCJtYW5hZ2VyIjoiUm9sbGluZ2VyIEFsZXhhbmRlciAoTElTKSIsImxlYWQiOiJBbWVsYW5nIE5pY29sZSAoTElTKSIsIm5vZGVJZCI6Im58U1B8UHJvdmlkZSBhbmQgZGV2ZWxvcCBJVCB3b3JrZm9yY2V8TDN8TWFuYWdlIEhSNElUIHNlcnZpY2UgZGVtYW5kIn0seyJwZyI6IlNQIiwibDEiOiJQcm92aWRlIGFuZCBkZXZlbG9wIElUIHdvcmtmb3JjZSIsInByb2MiOiJNYW5hZ2UgSFI0SVQgc2VydmljZSBkZW1hbmQiLCJsdmwiOiJMMyIsInBoYXNlIjoiSW1wbGVtZW50YXRpb24gQ09UIiwic3RhcnQiOiIyMDI2LTA2LTAxIiwiZW5kIjoiMjAyNi0wNi0zMCIsImFjdHVhbCI6IiIsInBsYW5uZWQiOiJTY2hlZHVsZWQiLCJwY3QiOiIwIiwiY29uc3VsdGFudCI6IkNoZW4gTGVpbGVpIChleHQuKTtIeW5layBUb2JpYXMgKExJUykiLCJtYW5hZ2VyIjoiUm9sbGluZ2VyIEFsZXhhbmRlciAoTElTKSIsImxlYWQiOiJBbWVsYW5nIE5pY29sZSAoTElTKSIsIm5vZGVJZCI6Im58U1B8UHJvdmlkZSBhbmQgZGV2ZWxvcCBJVCB3b3JrZm9yY2V8TDN8TWFuYWdlIEhSNElUIHNlcnZpY2UgZGVtYW5kIn0seyJwZyI6IlNQIiwibDEiOiJQcm92aWRlIGFuZCBkZXZlbG9wIElUIHdvcmtmb3JjZSIsInByb2MiOiJNYW5hZ2UgSFI0SVQgc2VydmljZSBkZW1hbmQiLCJsdmwiOiJMMyIsInBoYXNlIjoiSW1wbGVtZW50YXRpb24gTElTIiwic3RhcnQiOiIyMDI2LTA2LTAxIiwiZW5kIjoiMjAyNi0wNi0zMCIsImFjdHVhbCI6IiIsInBsYW5uZWQiOiJTY2hlZHVsZWQiLCJwY3QiOiIwIiwiY29uc3VsdGFudCI6IkNoZW4gTGVpbGVpIChleHQuKTtIeW5layBUb2JpYXMgKExJUykiLCJtYW5hZ2VyIjoiUm9sbGluZ2VyIEFsZXhhbmRlciAoTElTKSIsImxlYWQiOiJBbWVsYW5nIE5pY29sZSAoTElTKSIsIm5vZGVJZCI6Im58U1B8UHJvdmlkZSBhbmQgZGV2ZWxvcCBJVCB3b3JrZm9yY2V8TDN8TWFuYWdlIEhSNElUIHNlcnZpY2UgZGVtYW5kIn0seyJwZyI6IlNQIiwibDEiOiJQcm92aWRlIGFuZCBkZXZlbG9wIElUIHdvcmtmb3JjZSIsInByb2MiOiJNYW5hZ2UgSFI0SVQgc2VydmljZSBkZW1hbmQiLCJsdmwiOiJMMyIsInBoYXNlIjoiSW1wbGVtZW50YXRpb24gTFVTIiwic3RhcnQiOiIyMDI2LTA2LTAxIiwiZW5kIjoiMjAyNi0wNi0zMCIsImFjdHVhbCI6IiIsInBsYW5uZWQiOiJTY2hlZHVsZWQiLCJwY3QiOiIwIiwiY29uc3VsdGFudCI6IkNoZW4gTGVpbGVpIChleHQuKTtIeW5layBUb2JpYXMgKExJUykiLCJtYW5hZ2VyIjoiUm9sbGluZ2VyIEFsZXhhbmRlciAoTElTKSIsImxlYWQiOiJBbWVsYW5nIE5pY29sZSAoTElTKSIsIm5vZGVJZCI6Im58U1B8UHJvdmlkZSBhbmQgZGV2ZWxvcCBJVCB3b3JrZm9yY2V8TDN8TWFuYWdlIEhSNElUIHNlcnZpY2UgZGVtYW5kIn0seyJwZyI6IlNQIiwibDEiOiJQcm92aWRlIGFuZCBkZXZlbG9wIElUIHdvcmtmb3JjZSIsInByb2MiOiJNYW5hZ2UgSFI0SVQgc3RyYXRlZ3ksIGdvdmVybmFuZSBhbmQgZnJhbWV3b3JrIiwibHZsIjoiTDIiLCJwaGFzZSI6IkVsYWJvcmF0aW9uIiwic3RhcnQiOiIyMDI1LTEwLTAxIiwiZW5kIjoiMjAyNS0xMC0wMSIsImFjdHVhbCI6IkVsYWJvcmF0aW9uIERvbmUiLCJwbGFubmVkIjoiRWxhYm9yYXRpb24gRG9uZSIsInBjdCI6IjAuMDEiLCJjb25zdWx0YW50IjoiQ2hlbiBMZWlsZWkgKGV4dC4pO0h5bmVrIFRvYmlhcyAoTElTKSIsIm1hbmFnZXIiOiJSb2xsaW5nZXIgQWxleGFuZGVyIChMSVMpIiwibGVhZCI6IkFtZWxhbmcgTmljb2xlIChMSVMpIiwibm9kZUlkIjoibnxTUHxQcm92aWRlIGFuZCBkZXZlbG9wIElUIHdvcmtmb3JjZXxMMnxNYW5hZ2UgSFI0SVQgc3RyYXRlZ3ksIGdvdmVybmFuZSBhbmQgZnJhbWV3b3JrIn0seyJwZyI6IlNQIiwibDEiOiJQcm92aWRlIGFuZCBkZXZlbG9wIElUIHdvcmtmb3JjZSIsInByb2MiOiJNYW5hZ2UgSVQgZ2xvYmFsIG9yaWVudGF0aW9uIHByb2dyYW1tZSBpbmNsLiBqb2Igc2hhZG93aW5nIiwibHZsIjoiTDMiLCJwaGFzZSI6IkVsYWJvcmF0aW9uIiwic3RhcnQiOiIyMDI2LTAxLTE1IiwiZW5kIjoiMjAyNi0wMy0zMSIsImFjdHVhbCI6IkRlbGF5ZWQiLCJwbGFubmVkIjoiRWxhYm9yYXRpb24gRG9uZSIsInBjdCI6IjAiLCJjb25zdWx0YW50IjoiQ2hlbiBMZWlsZWkgKGV4dC4pO0h5bmVrIFRvYmlhcyAoTElTKSIsIm1hbmFnZXIiOiJNaWVsZW56IFRob21hcyAoTE1UKSIsImxlYWQiOiJHcmFibWFpciBNZWxhbmllIChMSVMpIiwibm9kZUlkIjoibnxTUHxQcm92aWRlIGFuZCBkZXZlbG9wIElUIHdvcmtmb3JjZXxMM3xNYW5hZ2UgSVQgZ2xvYmFsIG9yaWVudGF0aW9uIHByb2dyYW1tZSBpbmNsLiBqb2Igc2hhZG93aW5nIn0seyJwZyI6IlNQIiwibDEiOiJQcm92aWRlIGFuZCBkZXZlbG9wIElUIHdvcmtmb3JjZSIsInByb2MiOiJNYW5hZ2UgSVQgZ2xvYmFsIG9yaWVudGF0aW9uIHByb2dyYW1tZSBpbmNsLiBqb2Igc2hhZG93aW5nIiwibHZsIjoiTDMiLCJwaGFzZSI6IkltcGxlbWVudGF0aW9uIENPVCIsInN0YXJ0IjoiMjAyNi0wNC0wMSIsImVuZCI6IjIwMjYtMDctMDEiLCJhY3R1YWwiOiJEZWxheWVkIiwicGxhbm5lZCI6IkltcGxlbWVudGF0aW9uIENPVCIsInBjdCI6IjAiLCJjb25zdWx0YW50IjoiQ2hlbiBMZWlsZWkgKGV4dC4pO0h5bmVrIFRvYmlhcyAoTElTKSIsIm1hbmFnZXIiOiJNaWVsZW56IFRob21hcyAoTE1UKSIsImxlYWQiOiJHcmFibWFpciBNZWxhbmllIChMSVMpIiwibm9kZUlkIjoibnxTUHxQcm92aWRlIGFuZCBkZXZlbG9wIElUIHdvcmtmb3JjZXxMM3xNYW5hZ2UgSVQgZ2xvYmFsIG9yaWVudGF0aW9uIHByb2dyYW1tZSBpbmNsLiBqb2Igc2hhZG93aW5nIn0seyJwZyI6IlNQIiwibDEiOiJQcm92aWRlIGFuZCBkZXZlbG9wIElUIHdvcmtmb3JjZSIsInByb2MiOiJNYW5hZ2UgSVQgZ2xvYmFsIG9yaWVudGF0aW9uIHByb2dyYW1tZSBpbmNsLiBqb2Igc2hhZG93aW5nIiwibHZsIjoiTDMiLCJwaGFzZSI6IkltcGxlbWVudGF0aW9uIExJUyIsInN0YXJ0IjoiMjAyNi0wNC0wMSIsImVuZCI6IjIwMjYtMDctMDEiLCJhY3R1YWwiOiJEZWxheWVkIiwicGxhbm5lZCI6IkltcGxlbWVudGF0aW9uIExJUyIsInBjdCI6IjAiLCJjb25zdWx0YW50IjoiQ2hlbiBMZWlsZWkgKGV4dC4pO0h5bmVrIFRvYmlhcyAoTElTKSIsIm1hbmFnZXIiOiJNaWVsZW56IFRob21hcyAoTE1UKSIsImxlYWQiOiJHcmFibWFpciBNZWxhbmllIChMSVMpIiwibm9kZUlkIjoibnxTUHxQcm92aWRlIGFuZCBkZXZlbG9wIElUIHdvcmtmb3JjZXxMM3xNYW5hZ2UgSVQgZ2xvYmFsIG9yaWVudGF0aW9uIHByb2dyYW1tZSBpbmNsLiBqb2Igc2hhZG93aW5nIn0seyJwZyI6IlNQIiwibDEiOiJQcm92aWRlIGFuZCBkZXZlbG9wIElUIHdvcmtmb3JjZSIsInByb2MiOiJNYW5hZ2UgSVQgZ2xvYmFsIG9yaWVudGF0aW9uIHByb2dyYW1tZSBpbmNsLiBqb2Igc2hhZG93aW5nIiwibHZsIjoiTDMiLCJwaGFzZSI6IkltcGxlbWVudGF0aW9uIExVUyIsInN0YXJ0IjoiMjAyNi0wNC0wMSIsImVuZCI6IjIwMjYtMDctMDEiLCJhY3R1YWwiOiJEZWxheWVkIiwicGxhbm5lZCI6IkltcGxlbWVudGF0aW9uIExVUyIsInBjdCI6IjAiLCJjb25zdWx0YW50IjoiQ2hlbiBMZWlsZWkgKGV4dC4pO0h5bmVrIFRvYmlhcyAoTElTKSIsIm1hbmFnZXIiOiJNaWVsZW56IFRob21hcyAoTE1UKSIsImxlYWQiOiJHcmFibWFpciBNZWxhbmllIChMSVMpIiwibm9kZUlkIjoibnxTUHxQcm92aWRlIGFuZCBkZXZlbG9wIElUIHdvcmtmb3JjZXxMM3xNYW5hZ2UgSVQgZ2xvYmFsIG9yaWVudGF0aW9uIHByb2dyYW1tZSBpbmNsLiBqb2Igc2hhZG93aW5nIn0seyJwZyI6IlNQIiwibDEiOiJQcm92aWRlIGFuZCBkZXZlbG9wIElUIHdvcmtmb3JjZSIsInByb2MiOiJNYW5hZ2UgSVQgc2tpbGxzIiwibHZsIjoiTDMiLCJwaGFzZSI6IkVsYWJvcmF0aW9uIiwic3RhcnQiOiIyMDI2LTAxLTAxIiwiZW5kIjoiMjAyNi0xMi0zMSIsImFjdHVhbCI6IkRlbGF5ZWQiLCJwbGFubmVkIjoiRWxhYm9yYXRpb24gaW4gcHJvZ3Jlc3MiLCJwY3QiOiIwIiwiY29uc3VsdGFudCI6IkNoZW4gTGVpbGVpIChleHQuKTtIeW5layBUb2JpYXMgKExJUykiLCJtYW5hZ2VyIjoiTWllbGVueiBUaG9tYXMgKExNVCkiLCJsZWFkIjoiR3JhYm1haXIgTWVsYW5pZSAoTElTKSIsIm5vZGVJZCI6Im58U1B8UHJvdmlkZSBhbmQgZGV2ZWxvcCBJVCB3b3JrZm9yY2V8TDN8TWFuYWdlIElUIHNraWxscyJ9LHsicGciOiJTUCIsImwxIjoiUHJvdmlkZSBhbmQgZGV2ZWxvcCBJVCB3b3JrZm9yY2UiLCJwcm9jIjoiTWFuYWdlIElUIHNraWxscyIsImx2bCI6IkwzIiwicGhhc2UiOiJJbXBsZW1lbnRhdGlvbiBDT1QiLCJzdGFydCI6IjIwMjctMDEtMDEiLCJlbmQiOiIyMDI3LTA2LTMwIiwiYWN0dWFsIjoiIiwicGxhbm5lZCI6IlNjaGVkdWxlZCIsInBjdCI6IjAiLCJjb25zdWx0YW50IjoiQ2hlbiBMZWlsZWkgKGV4dC4pO0h5bmVrIFRvYmlhcyAoTElTKSIsIm1hbmFnZXIiOiJNaWVsZW56IFRob21hcyAoTE1UKSIsImxlYWQiOiJHcmFibWFpciBNZWxhbmllIChMSVMpIiwibm9kZUlkIjoibnxTUHxQcm92aWRlIGFuZCBkZXZlbG9wIElUIHdvcmtmb3JjZXxMM3xNYW5hZ2UgSVQgc2tpbGxzIn0seyJwZyI6IlNQIiwibDEiOiJQcm92aWRlIGFuZCBkZXZlbG9wIElUIHdvcmtmb3JjZSIsInByb2MiOiJNYW5hZ2UgSVQgc2tpbGxzIiwibHZsIjoiTDMiLCJwaGFzZSI6IkltcGxlbWVudGF0aW9uIExJUyIsInN0YXJ0IjoiMjAyNy0wMS0wMSIsImVuZCI6IjIwMjctMDYtMzAiLCJhY3R1YWwiOiIiLCJwbGFubmVkIjoiU2NoZWR1bGVkIiwicGN0IjoiMCIsImNvbnN1bHRhbnQiOiJDaGVuIExlaWxlaSAoZXh0Lik7SHluZWsgVG9iaWFzIChMSVMpIiwibWFuYWdlciI6Ik1pZWxlbnogVGhvbWFzIChMTVQpIiwibGVhZCI6IkdyYWJtYWlyIE1lbGFuaWUgKExJUykiLCJub2RlSWQiOiJufFNQfFByb3ZpZGUgYW5kIGRldmVsb3AgSVQgd29ya2ZvcmNlfEwzfE1hbmFnZSBJVCBza2lsbHMifSx7InBnIjoiU1AiLCJsMSI6IlByb3ZpZGUgYW5kIGRldmVsb3AgSVQgd29ya2ZvcmNlIiwicHJvYyI6Ik1hbmFnZSBJVCBza2lsbHMiLCJsdmwiOiJMMyIsInBoYXNlIjoiSW1wbGVtZW50YXRpb24gTFVTIiwic3RhcnQiOiIyMDI3LTAxLTAxIiwiZW5kIjoiMjAyNy0wNi0zMCIsImFjdHVhbCI6IiIsInBsYW5uZWQiOiJTY2hlZHVsZWQiLCJwY3QiOiIwIiwiY29uc3VsdGFudCI6IkNoZW4gTGVpbGVpIChleHQuKTtIeW5layBUb2JpYXMgKExJUykiLCJtYW5hZ2VyIjoiTWllbGVueiBUaG9tYXMgKExNVCkiLCJsZWFkIjoiR3JhYm1haXIgTWVsYW5pZSAoTElTKSIsIm5vZGVJZCI6Im58U1B8UHJvdmlkZSBhbmQgZGV2ZWxvcCBJVCB3b3JrZm9yY2V8TDN8TWFuYWdlIElUIHNraWxscyJ9LHsicGciOiJTUCIsImwxIjoiUHJvdmlkZSBhbmQgZGV2ZWxvcCBJVCB3b3JrZm9yY2UiLCJwcm9jIjoiTWFwcGluZyBhbmQgZXZhbHVhdGUgSVQgY2FyZWVyIGxldmVsIiwibHZsIjoiTDMiLCJwaGFzZSI6IkVsYWJvcmF0aW9uIiwic3RhcnQiOiIyMDI2LTA0LTAxIiwiZW5kIjoiMjAyNy0wMS0wMSIsImFjdHVhbCI6IkRlbGF5ZWQiLCJwbGFubmVkIjoiRWxhYm9yYXRpb24gaW4gcHJvZ3Jlc3MiLCJwY3QiOiIwIiwiY29uc3VsdGFudCI6IkNoZW4gTGVpbGVpIChleHQuKTtIeW5layBUb2JpYXMgKExJUykiLCJtYW5hZ2VyIjoiTWllbGVueiBUaG9tYXMgKExNVCkiLCJsZWFkIjoiR3JhYm1haXIgTWVsYW5pZSAoTElTKSIsIm5vZGVJZCI6Im58U1B8UHJvdmlkZSBhbmQgZGV2ZWxvcCBJVCB3b3JrZm9yY2V8TDN8TWFwcGluZyBhbmQgZXZhbHVhdGUgSVQgY2FyZWVyIGxldmVsIn0seyJwZyI6IlNQIiwibDEiOiJQcm92aWRlIGFuZCBkZXZlbG9wIElUIHdvcmtmb3JjZSIsInByb2MiOiJPbmJvYXJkIG5ldyBJVCBlbXBsb3llZSBhbmQgbWFuYWdlciIsImx2bCI6IkwzIiwicGhhc2UiOiJFbGFib3JhdGlvbiIsInN0YXJ0IjoiMjAyNS0xMC0xNiIsImVuZCI6IjIwMjYtMDQtMzAiLCJhY3R1YWwiOiJFbGFib3JhdGlvbiBpbiBwcm9ncmVzcyIsInBsYW5uZWQiOiJFbGFib3JhdGlvbiBpbiBwcm9ncmVzcyIsInBjdCI6IjAuMDA1IiwiY29uc3VsdGFudCI6IkNoZW4gTGVpbGVpIChleHQuKTtIeW5layBUb2JpYXMgKExJUykiLCJtYW5hZ2VyIjoiTWllbGVueiBUaG9tYXMgKExNVCkiLCJsZWFkIjoiIiwibm9kZUlkIjoibnxTUHxQcm92aWRlIGFuZCBkZXZlbG9wIElUIHdvcmtmb3JjZXxMM3xPbmJvYXJkIG5ldyBJVCBlbXBsb3llZSBhbmQgbWFuYWdlciJ9LHsicGciOiJTUCIsImwxIjoiUHJvdmlkZSBhbmQgZGV2ZWxvcCBJVCB3b3JrZm9yY2UiLCJwcm9jIjoiUGVyZm9ybSBhY3RpdmUgc291cmNpbmciLCJsdmwiOiJMMyIsInBoYXNlIjoiRWxhYm9yYXRpb24iLCJzdGFydCI6IjIwMjUtMTAtMDEiLCJlbmQiOiIyMDI2LTA0LTMwIiwiYWN0dWFsIjoiRGVsYXllZCIsInBsYW5uZWQiOiJFbGFib3JhdGlvbiBpbiBwcm9ncmVzcyIsInBjdCI6IjAiLCJjb25zdWx0YW50IjoiQ2hlbiBMZWlsZWkgKGV4dC4pO0h5bmVrIFRvYmlhcyAoTElTKSIsIm1hbmFnZXIiOiJNaWVsZW56IFRob21hcyAoTE1UKSIsImxlYWQiOiJLaWVzZXdldHRlciBJdmFuYSAoTElTKSIsIm5vZGVJZCI6Im58U1B8UHJvdmlkZSBhbmQgZGV2ZWxvcCBJVCB3b3JrZm9yY2V8TDN8UGVyZm9ybSBhY3RpdmUgc291cmNpbmcifSx7InBnIjoiU1AiLCJsMSI6IlByb3ZpZGUgYW5kIGRldmVsb3AgSVQgd29ya2ZvcmNlIiwicHJvYyI6IlBlcmZvcm0gYWN0aXZlIHNvdXJjaW5nIiwibHZsIjoiTDMiLCJwaGFzZSI6IkltcGxlbWVudGF0aW9uIExJUyIsInN0YXJ0IjoiMjAyNi0wMy0wMSIsImVuZCI6IjIwMjYtMTItMzEiLCJhY3R1YWwiOiJEZWxheWVkIiwicGxhbm5lZCI6IkltcGxlbWVudGF0aW9uIExJUyIsInBjdCI6IjAiLCJjb25zdWx0YW50IjoiQ2hlbiBMZWlsZWkgKGV4dC4pO0h5bmVrIFRvYmlhcyAoTElTKSIsIm1hbmFnZXIiOiJNaWVsZW56IFRob21hcyAoTE1UKSIsImxlYWQiOiJLaWVzZXdldHRlciBJdmFuYSAoTElTKSIsIm5vZGVJZCI6Im58U1B8UHJvdmlkZSBhbmQgZGV2ZWxvcCBJVCB3b3JrZm9yY2V8TDN8UGVyZm9ybSBhY3RpdmUgc291cmNpbmcifSx7InBnIjoiU1AiLCJsMSI6IlByb3ZpZGUgYW5kIGRldmVsb3AgSVQgd29ya2ZvcmNlIiwicHJvYyI6IlBlcmZvcm0gb25ib2FyZGluZyIsImx2bCI6IkwyIiwicGhhc2UiOiJFbGFib3JhdGlvbiIsInN0YXJ0IjoiMjAyNS0xMC0xNiIsImVuZCI6IjIwMjYtMDQtMzAiLCJhY3R1YWwiOiJFbGFib3JhdGlvbiBpbiBwcm9ncmVzcyIsInBsYW5uZWQiOiJFbGFib3JhdGlvbiBpbiBwcm9ncmVzcyIsInBjdCI6IjAuMDAyNSIsImNvbnN1bHRhbnQiOiJDaGVuIExlaWxlaSAoZXh0Lik7SHluZWsgVG9iaWFzIChMSVMpIiwibWFuYWdlciI6Ik1pZWxlbnogVGhvbWFzIChMTVQpIiwibGVhZCI6IiIsIm5vZGVJZCI6Im58U1B8UHJvdmlkZSBhbmQgZGV2ZWxvcCBJVCB3b3JrZm9yY2V8TDJ8UGVyZm9ybSBvbmJvYXJkaW5nIn0seyJwZyI6IlNQIiwibDEiOiJQcm92aWRlIGFuZCBkZXZlbG9wIElUIHdvcmtmb3JjZSIsInByb2MiOiJQbGFuIElUIHdvcmtmb3JjZSIsImx2bCI6IkwzIiwicGhhc2UiOiJFbGFib3JhdGlvbiIsInN0YXJ0IjoiMjAyNS0xMC0xNiIsImVuZCI6IjIwMjUtMTItMzEiLCJhY3R1YWwiOiJEZWxheWVkIiwicGxhbm5lZCI6IkVsYWJvcmF0aW9uIERvbmUiLCJwY3QiOiIwIiwiY29uc3VsdGFudCI6IkNoZW4gTGVpbGVpIChleHQuKTtIeW5layBUb2JpYXMgKExJUykiLCJtYW5hZ2VyIjoiUm9sbGluZ2VyIEFsZXhhbmRlciAoTElTKSIsImxlYWQiOiJBbWVsYW5nIE5pY29sZSAoTElTKSIsIm5vZGVJZCI6Im58U1B8UHJvdmlkZSBhbmQgZGV2ZWxvcCBJVCB3b3JrZm9yY2V8TDN8UGxhbiBJVCB3b3JrZm9yY2UifSx7InBnIjoiU1AiLCJsMSI6IlByb3ZpZGUgYW5kIGRldmVsb3AgSVQgd29ya2ZvcmNlIiwicHJvYyI6IlBsYW4gSVQgd29ya2ZvcmNlIiwibHZsIjoiTDMiLCJwaGFzZSI6IkltcGxlbWVudGF0aW9uIExJUyIsInN0YXJ0IjoiMjAyNi0wMS0wMSIsImVuZCI6IjIwMjYtMTItMzEiLCJhY3R1YWwiOiJEZWxheWVkIiwicGxhbm5lZCI6IkltcGxlbWVudGF0aW9uIExJUyIsInBjdCI6IjAiLCJjb25zdWx0YW50IjoiQ2hlbiBMZWlsZWkgKGV4dC4pO0h5bmVrIFRvYmlhcyAoTElTKSIsIm1hbmFnZXIiOiJSb2xsaW5nZXIgQWxleGFuZGVyIChMSVMpIiwibGVhZCI6IkFtZWxhbmcgTmljb2xlIChMSVMpIiwibm9kZUlkIjoibnxTUHxQcm92aWRlIGFuZCBkZXZlbG9wIElUIHdvcmtmb3JjZXxMM3xQbGFuIElUIHdvcmtmb3JjZSJ9LHsicGciOiJTUCIsImwxIjoiUHJvdmlkZSBhbmQgZGV2ZWxvcCBJVCB3b3JrZm9yY2UiLCJwcm9jIjoiUHJlLWJvYXJkIG5ldyBJVCBlbXBsb3llZSBhbmQgbWFuYWdlciIsImx2bCI6IkwzIiwicGhhc2UiOiJFbGFib3JhdGlvbiIsInN0YXJ0IjoiMjAyNS0xMC0xNiIsImVuZCI6IjIwMjYtMDQtMzAiLCJhY3R1YWwiOiJFbGFib3JhdGlvbiBpbiBwcm9ncmVzcyIsInBsYW5uZWQiOiJFbGFib3JhdGlvbiBpbiBwcm9ncmVzcyIsInBjdCI6IjAuMDAyNSIsImNvbnN1bHRhbnQiOiJDaGVuIExlaWxlaSAoZXh0Lik7SHluZWsgVG9iaWFzIChMSVMpIiwibWFuYWdlciI6Ik1pZWxlbnogVGhvbWFzIChMTVQpIiwibGVhZCI6IiIsIm5vZGVJZCI6Im58U1B8UHJvdmlkZSBhbmQgZGV2ZWxvcCBJVCB3b3JrZm9yY2V8TDN8UHJlLWJvYXJkIG5ldyBJVCBlbXBsb3llZSBhbmQgbWFuYWdlciJ9LHsicGciOiJTUCIsImwxIjoiUHJvdmlkZSBhbmQgZGV2ZWxvcCBJVCB3b3JrZm9yY2UiLCJwcm9jIjoiUHJvdmlkZSBhbmQgZGV2ZWxvcCBJVCB3b3JrZm9yY2UiLCJsdmwiOiJMMSIsInBoYXNlIjoiRWxhYm9yYXRpb24iLCJzdGFydCI6IjIwMjUtMTAtMDEiLCJlbmQiOiIyMDI1LTEwLTAxIiwiYWN0dWFsIjoiRWxhYm9yYXRpb24gRG9uZSIsInBsYW5uZWQiOiJFbGFib3JhdGlvbiBEb25lIiwicGN0IjoiMC4wMSIsImNvbnN1bHRhbnQiOiJDaGVuIExlaWxlaSAoZXh0Lik7SHluZWsgVG9iaWFzIChMSVMpIiwibWFuYWdlciI6IlJvbGxpbmdlciBBbGV4YW5kZXIgKExJUykiLCJsZWFkIjoiQW1lbGFuZyBOaWNvbGUgKExJUykiLCJub2RlSWQiOiJufFNQfFByb3ZpZGUgYW5kIGRldmVsb3AgSVQgd29ya2ZvcmNlfEwxfFByb3ZpZGUgYW5kIGRldmVsb3AgSVQgd29ya2ZvcmNlIn0seyJwZyI6IlNQIiwibDEiOiJQcm92aWRlIGFuZCBkZXZlbG9wIElUIHdvcmtmb3JjZSIsInByb2MiOiJSZWNydWl0IGVtcGxveWVlcyBhbmQgbWFuYWdlcnMiLCJsdmwiOiJMMyIsInBoYXNlIjoiRWxhYm9yYXRpb24iLCJzdGFydCI6IjIwMjUtMTAtMDEiLCJlbmQiOiIyMDI2LTA0LTMwIiwiYWN0dWFsIjoiRWxhYm9yYXRpb24gaW4gcHJvZ3Jlc3MiLCJwbGFubmVkIjoiRWxhYm9yYXRpb24gaW4gcHJvZ3Jlc3MiLCJwY3QiOiIwLjAwMjUiLCJjb25zdWx0YW50IjoiQ2hlbiBMZWlsZWkgKGV4dC4pO0h5bmVrIFRvYmlhcyAoTElTKSIsIm1hbmFnZXIiOiJNaWVsZW56IFRob21hcyAoTE1UKSIsImxlYWQiOiJLaWVzZXdldHRlciBJdmFuYSAoTElTKSIsIm5vZGVJZCI6Im58U1B8UHJvdmlkZSBhbmQgZGV2ZWxvcCBJVCB3b3JrZm9yY2V8TDN8UmVjcnVpdCBlbXBsb3llZXMgYW5kIG1hbmFnZXJzIn0seyJwZyI6IlNQIiwibDEiOiJQcm92aWRlIGFuZCBkZXZlbG9wIElUIHdvcmtmb3JjZSIsInByb2MiOiJSZWNydWl0IGVtcGxveWVlcyBhbmQgbWFuYWdlcnMiLCJsdmwiOiJMMyIsInBoYXNlIjoiSW1wbGVtZW50YXRpb24gTElTIiwic3RhcnQiOiIyMDI2LTAzLTAxIiwiZW5kIjoiMjAyNi0xMi0zMSIsImFjdHVhbCI6IkRlbGF5ZWQiLCJwbGFubmVkIjoiSW1wbGVtZW50YXRpb24gTElTIiwicGN0IjoiMCIsImNvbnN1bHRhbnQiOiJDaGVuIExlaWxlaSAoZXh0Lik7SHluZWsgVG9iaWFzIChMSVMpIiwibWFuYWdlciI6Ik1pZWxlbnogVGhvbWFzIChMTVQpIiwibGVhZCI6IktpZXNld2V0dGVyIEl2YW5hIChMSVMpIiwibm9kZUlkIjoibnxTUHxQcm92aWRlIGFuZCBkZXZlbG9wIElUIHdvcmtmb3JjZXxMM3xSZWNydWl0IGVtcGxveWVlcyBhbmQgbWFuYWdlcnMifSx7InBnIjoiU1AiLCJsMSI6IkVuc3VyZSBwZXJmb3JtYW5jZSBhbmQgY29uZm9ybWFuY2Ugb2YgSVQgc2VydmljZXMiLCJwcm9jIjoiRW5zdXJlIHBlcmZvcm1hbmNlIGFuZCBjb25mb3JtYW5jZSBvZiBJVCBzZXJ2aWNlcyIsImx2bCI6IkwxIiwicGhhc2UiOiJFbGFib3JhdGlvbiIsInN0YXJ0IjoiMjAyNi0wNC0xNSIsImVuZCI6IjIwMjYtMDYtMzAiLCJhY3R1YWwiOiJEZWxheWVkIiwicGxhbm5lZCI6IkVsYWJvcmF0aW9uIGluIHByb2dyZXNzIiwicGN0IjoiMCIsImNvbnN1bHRhbnQiOiJTY2hyb2VkZXIgTWljaGFlbCAoTElTKSIsIm1hbmFnZXIiOiJTaW50IFJhY2hlbCAoTEJIKSIsImxlYWQiOiI/Iiwibm9kZUlkIjoibnxTUHxFbnN1cmUgcGVyZm9ybWFuY2UgYW5kIGNvbmZvcm1hbmNlIG9mIElUIHNlcnZpY2VzfEwxfEVuc3VyZSBwZXJmb3JtYW5jZSBhbmQgY29uZm9ybWFuY2Ugb2YgSVQgc2VydmljZXMifSx7InBnIjoiU1AiLCJsMSI6Ik1hbmFnZSBJVCBrbm93bGVkZ2UiLCJwcm9jIjoiTWFuYWdlIElUIGtub3dsZWRnZSIsImx2bCI6IkwxIiwicGhhc2UiOiJFbGFib3JhdGlvbiIsInN0YXJ0IjoiMjAyNi0wMS0yMCIsImVuZCI6IjIwMjYtMDItMjUiLCJhY3R1YWwiOiJFbGFib3JhdGlvbiBEb25lIiwicGxhbm5lZCI6IkVsYWJvcmF0aW9uIERvbmUiLCJwY3QiOiIwLjAxIiwiY29uc3VsdGFudCI6IlNjaHJvZWRlciBNaWNoYWVsIChMSVMpIiwibWFuYWdlciI6IlNpbnQgUmFjaGVsIChMQkgpIiwibGVhZCI6Ikt1ZXJzY2huZXIgUGhpbGlwcCAoTElTKSIsIm5vZGVJZCI6Im58U1B8TWFuYWdlIElUIGtub3dsZWRnZXxMMXxNYW5hZ2UgSVQga25vd2xlZGdlIn0seyJwZyI6IlNQIiwibDEiOiJNYW5hZ2UgSVQga25vd2xlZGdlIiwicHJvYyI6Ik1hbmFnZSBJVCBrbm93bGVkZ2UiLCJsdmwiOiJMMSIsInBoYXNlIjoiSW1wbGVtZW50YXRpb24gTElTIiwic3RhcnQiOiIyMDI2LTA0LTE1IiwiZW5kIjoiMjAyNi0wNi0zMCIsImFjdHVhbCI6IkRlbGF5ZWQiLCJwbGFubmVkIjoiSW1wbGVtZW50YXRpb24gTElTIiwicGN0IjoiMCIsImNvbnN1bHRhbnQiOiJTY2hyb2VkZXIgTWljaGFlbCAoTElTKSIsIm1hbmFnZXIiOiJTaW50IFJhY2hlbCAoTEJIKSIsImxlYWQiOiJLdWVyc2NobmVyIFBoaWxpcHAgKExJUykiLCJub2RlSWQiOiJufFNQfE1hbmFnZSBJVCBrbm93bGVkZ2V8TDF8TWFuYWdlIElUIGtub3dsZWRnZSJ9XSwibm9kZXMiOlt7ImlkIjoicGd8TVAiLCJ0eXBlIjoicGciLCJwZyI6Ik1QIiwibHZsIjoiTDAiLCJuYW1lIjoiTVAiLCJhc3NvY0wxIjoiIiwiaW5kZW50IjowLCJzb3J0S2V5IjowLCJwYXJlbnRJZCI6bnVsbCwiY2hpbGRyZW4iOlsibnxNUHxNYW5hZ2UgSVQgc3RyYXRlZ3l8TDF8TWFuYWdlIElUIHN0cmF0ZWd5IiwibnxNUHxNYW5hZ2UgSVQgZ292ZXJuYW5jZSBmcmFtZXdvcmt8TDF8TWFuYWdlIElUIGdvdmVybmFuY2UgZnJhbWV3b3JrIiwibnxNUHxNYW5hZ2UgZW50ZXJwcmlzZSBhcmNoaXRlY3R1cmV8TDF8TWFuYWdlIGVudGVycHJpc2UgYXJjaGl0ZWN0dXJlIiwibnxNUHxNYW5hZ2UgSVQgcG9ydGZvbGlvfEwxfE1hbmFnZSBJVCBwb3J0Zm9saW8iLCJufE1QfE1hbmFnZSBhbmQgY29udHJvbCBJVCBmaW5hbmNpYWxzfEwxfE1hbmFnZSBhbmQgY29udHJvbCBJVCBmaW5hbmNpYWxzIiwibnxNUHxNYW5hZ2UgSVQgc3Rha2Vob2xkZXIgcmVsYXRpb25zaGlwc3xMMXxNYW5hZ2UgSVQgc3Rha2Vob2xkZXIgcmVsYXRpb25zaGlwcyIsIm58TVB8TWFuYWdlIElUIHByb2Nlc3NlcyBhbmQgY29udGludW91cyBpbXByb3ZlbWVudHxMMXxNYW5hZ2UgSVQgcHJvY2Vzc2VzIGFuZCBjb250aW51b3VzIGltcHJvdmVtZW50IiwibnxNUHxNYW5hZ2UgSVQgcmlza3MgYW5kIGNvbXBsaWFuY2V8TDF8TWFuYWdlIElUIHJpc2tzIGFuZCBjb21wbGlhbmNlIl0sIml0ZW1zIjpbXX0seyJpZCI6Im58TVB8TWFuYWdlIElUIHN0cmF0ZWd5fEwxfE1hbmFnZSBJVCBzdHJhdGVneSIsInR5cGUiOiJwcm9jIiwicGciOiJNUCIsImx2bCI6IkwxIiwibmFtZSI6Ik1hbmFnZSBJVCBzdHJhdGVneSIsImFzc29jTDEiOiJNYW5hZ2UgSVQgc3RyYXRlZ3kiLCJpbmRlbnQiOjEsInNvcnRLZXkiOjEwMDEsInBhcmVudElkIjoicGd8TVAiLCJjaGlsZHJlbiI6W10sIml0ZW1zIjpbeyJwZyI6Ik1QIiwibDEiOiJNYW5hZ2UgSVQgc3RyYXRlZ3kiLCJwcm9jIjoiTWFuYWdlIElUIHN0cmF0ZWd5IiwibHZsIjoiTDEiLCJwaGFzZSI6IkVsYWJvcmF0aW9uIiwic3RhcnQiOiIyMDI2LTAyLTAyIiwiZW5kIjoiMjAyNi0wNC0zMCIsImFjdHVhbCI6IkVsYWJvcmF0aW9uIGluIHByb2dyZXNzIiwicGxhbm5lZCI6IkVsYWJvcmF0aW9uIGluIHByb2dyZXNzIiwicGN0IjoiMC4wMDUiLCJjb25zdWx0YW50IjoiS3JlaXMgQW5kcmVhcyAoTExJKSIsIm1hbmFnZXIiOiJNaWVsZW56IFRob21hcyAoTE1UKSIsImxlYWQiOiJGZWxkZXIgTWF4IChMTEkpIiwibm9kZUlkIjoibnxNUHxNYW5hZ2UgSVQgc3RyYXRlZ3l8TDF8TWFuYWdlIElUIHN0cmF0ZWd5In0seyJwZyI6Ik1QIiwibDEiOiJNYW5hZ2UgSVQgc3RyYXRlZ3kiLCJwcm9jIjoiTWFuYWdlIElUIHN0cmF0ZWd5IiwibHZsIjoiTDEiLCJwaGFzZSI6IkltcGxlbWVudGF0aW9uIExJUyIsInN0YXJ0IjoiMjAyNi0wNS0xNCIsImVuZCI6IjIwMjYtMDctMjkiLCJhY3R1YWwiOiIiLCJwbGFubmVkIjoiU2NoZWR1bGVkIiwicGN0IjoiMCIsImNvbnN1bHRhbnQiOiJLcmVpcyBBbmRyZWFzIChMTEkpIiwibWFuYWdlciI6Ik1pZWxlbnogVGhvbWFzIChMTVQpIiwibGVhZCI6IkZlbGRlciBNYXggKExMSSkiLCJub2RlSWQiOiJufE1QfE1hbmFnZSBJVCBzdHJhdGVneXxMMXxNYW5hZ2UgSVQgc3RyYXRlZ3kifV19LHsiaWQiOiJufE1QfE1hbmFnZSBJVCBnb3Zlcm5hbmNlIGZyYW1ld29ya3xMMnxNYWludGFpbiBJVCBnbG9zc2FyeSIsInR5cGUiOiJwcm9jIiwicGciOiJNUCIsImx2bCI6IkwyIiwibmFtZSI6Ik1haW50YWluIElUIGdsb3NzYXJ5IiwiYXNzb2NMMSI6Ik1hbmFnZSBJVCBnb3Zlcm5hbmNlIGZyYW1ld29yayIsImluZGVudCI6Miwic29ydEtleSI6MTAwMiwicGFyZW50SWQiOiJufE1QfE1hbmFnZSBJVCBnb3Zlcm5hbmNlIGZyYW1ld29ya3xMMXxNYW5hZ2UgSVQgZ292ZXJuYW5jZSBmcmFtZXdvcmsiLCJjaGlsZHJlbiI6W10sIml0ZW1zIjpbeyJwZyI6Ik1QIiwibDEiOiJNYW5hZ2UgSVQgZ292ZXJuYW5jZSBmcmFtZXdvcmsiLCJwcm9jIjoiTWFpbnRhaW4gSVQgZ2xvc3NhcnkiLCJsdmwiOiJMMiIsInBoYXNlIjoiSW1wbGVtZW50YXRpb24gTElTIiwic3RhcnQiOiIyMDI2LTAxLTA3IiwiZW5kIjoiMjAyNi0wMS0xNyIsImFjdHVhbCI6IkRlbGF5ZWQiLCJwbGFubmVkIjoiSW1wbGVtZW50YXRpb24gTElTIERvbmUiLCJwY3QiOiIwIiwiY29uc3VsdGFudCI6Ikt1bnogQ2hyaXN0aW5hIChMSVMtTUhQIE1hbmFnZW1lbnQtIHVuZCBJVCBCZXJhdHVuZyBHbWJIKSIsIm1hbmFnZXIiOiJNaWVsZW56IFRob21hcyAoTE1UKSIsImxlYWQiOiJGZWxkZXIgTWF4IChMTEkpIiwibm9kZUlkIjoibnxNUHxNYW5hZ2UgSVQgZ292ZXJuYW5jZSBmcmFtZXdvcmt8TDJ8TWFpbnRhaW4gSVQgZ2xvc3NhcnkifV19LHsiaWQiOiJufE1QfE1hbmFnZSBJVCBnb3Zlcm5hbmNlIGZyYW1ld29ya3xMMXxNYW5hZ2UgSVQgZ292ZXJuYW5jZSBmcmFtZXdvcmsiLCJ0eXBlIjoicHJvYyIsInBnIjoiTVAiLCJsdmwiOiJMMSIsIm5hbWUiOiJNYW5hZ2UgSVQgZ292ZXJuYW5jZSBmcmFtZXdvcmsiLCJhc3NvY0wxIjoiTWFuYWdlIElUIGdvdmVybmFuY2UgZnJhbWV3b3JrIiwiaW5kZW50IjoxLCJzb3J0S2V5IjoxMDAyLCJwYXJlbnRJZCI6InBnfE1QIiwiY2hpbGRyZW4iOlsibnxNUHxNYW5hZ2UgSVQgZ292ZXJuYW5jZSBmcmFtZXdvcmt8TDJ8TWFpbnRhaW4gSVQgZ2xvc3NhcnkiXSwiaXRlbXMiOlt7InBnIjoiTVAiLCJsMSI6Ik1hbmFnZSBJVCBnb3Zlcm5hbmNlIGZyYW1ld29yayIsInByb2MiOiJNYW5hZ2UgSVQgZ292ZXJuYW5jZSBmcmFtZXdvcmsiLCJsdmwiOiJMMSIsInBoYXNlIjoiRWxhYm9yYXRpb24iLCJzdGFydCI6IjIwMjYtMDMtMTYiLCJlbmQiOiIyMDI2LTA1LTIxIiwiYWN0dWFsIjoiRWxhYm9yYXRpb24gaW4gcHJvZ3Jlc3MiLCJwbGFubmVkIjoiRWxhYm9yYXRpb24gaW4gcHJvZ3Jlc3MiLCJwY3QiOiIwLjAwNSIsImNvbnN1bHRhbnQiOiJLdW56IENocmlzdGluYSAoTElTLU1IUCBNYW5hZ2VtZW50LSB1bmQgSVQgQmVyYXR1bmcgR21iSCk7S3JlaXMgQW5kcmVhcyAoTExJKSIsIm1hbmFnZXIiOiJNaWVsZW56IFRob21hcyAoTE1UKSIsImxlYWQiOiJGZWxkZXIgTWF4IChMTEkpIiwibm9kZUlkIjoibnxNUHxNYW5hZ2UgSVQgZ292ZXJuYW5jZSBmcmFtZXdvcmt8TDF8TWFuYWdlIElUIGdvdmVybmFuY2UgZnJhbWV3b3JrIn0seyJwZyI6Ik1QIiwibDEiOiJNYW5hZ2UgSVQgZ292ZXJuYW5jZSBmcmFtZXdvcmsiLCJwcm9jIjoiTWFuYWdlIElUIGdvdmVybmFuY2UgZnJhbWV3b3JrIiwibHZsIjoiTDEiLCJwaGFzZSI6IkltcGxlbWVudGF0aW9uIExJUyIsInN0YXJ0IjoiMjAyNi0wNS0yNSIsImVuZCI6IjIwMjYtMDgtMzEiLCJhY3R1YWwiOiIiLCJwbGFubmVkIjoiU2NoZWR1bGVkIiwicGN0IjoiMCIsImNvbnN1bHRhbnQiOiJLdW56IENocmlzdGluYSAoTElTLU1IUCBNYW5hZ2VtZW50LSB1bmQgSVQgQmVyYXR1bmcgR21iSCk7S3JlaXMgQW5kcmVhcyAoTExJKSIsIm1hbmFnZXIiOiJNaWVsZW56IFRob21hcyAoTE1UKSIsImxlYWQiOiJGZWxkZXIgTWF4IChMTEkpIiwibm9kZUlkIjoibnxNUHxNYW5hZ2UgSVQgZ292ZXJuYW5jZSBmcmFtZXdvcmt8TDF8TWFuYWdlIElUIGdvdmVybmFuY2UgZnJhbWV3b3JrIn1dfSx7ImlkIjoibnxNUHxNYW5hZ2UgZW50ZXJwcmlzZSBhcmNoaXRlY3R1cmV8TDF8TWFuYWdlIGVudGVycHJpc2UgYXJjaGl0ZWN0dXJlIiwidHlwZSI6InByb2MiLCJwZyI6Ik1QIiwibHZsIjoiTDEiLCJuYW1lIjoiTWFuYWdlIGVudGVycHJpc2UgYXJjaGl0ZWN0dXJlIiwiYXNzb2NMMSI6Ik1hbmFnZSBlbnRlcnByaXNlIGFyY2hpdGVjdHVyZSIsImluZGVudCI6MSwic29ydEtleSI6MTAwMywicGFyZW50SWQiOiJwZ3xNUCIsImNoaWxkcmVuIjpbIm58TVB8TWFuYWdlIGVudGVycHJpc2UgYXJjaGl0ZWN0dXJlfEwyfFN0cmF0ZWdpYyBhcmNoaXRlY3R1cmUgcHJvY2VzcyJdLCJpdGVtcyI6W3sicGciOiJNUCIsImwxIjoiTWFuYWdlIGVudGVycHJpc2UgYXJjaGl0ZWN0dXJlIiwicHJvYyI6Ik1hbmFnZSBlbnRlcnByaXNlIGFyY2hpdGVjdHVyZSIsImx2bCI6IkwxIiwicGhhc2UiOiJFbGFib3JhdGlvbiIsInN0YXJ0IjoiMjAyNi0wMi0yMyIsImVuZCI6IjIwMjYtMDUtMDgiLCJhY3R1YWwiOiJEZWxheWVkIiwicGxhbm5lZCI6IkVsYWJvcmF0aW9uIGluIHByb2dyZXNzIiwicGN0IjoiMCIsImNvbnN1bHRhbnQiOiJIb2VybWFubiBQYXRyaWNrIChMTEkpIiwibWFuYWdlciI6Ik51c3NiYXVtZXIgRmxvcmlhbiAoTEJDKSIsImxlYWQiOiJHdWpyYWwgUGFydGggKENPQi1DT1QtSVQpIiwibm9kZUlkIjoibnxNUHxNYW5hZ2UgZW50ZXJwcmlzZSBhcmNoaXRlY3R1cmV8TDF8TWFuYWdlIGVudGVycHJpc2UgYXJjaGl0ZWN0dXJlIn0seyJwZyI6Ik1QIiwibDEiOiJNYW5hZ2UgZW50ZXJwcmlzZSBhcmNoaXRlY3R1cmUiLCJwcm9jIjoiTWFuYWdlIGVudGVycHJpc2UgYXJjaGl0ZWN0dXJlIiwibHZsIjoiTDEiLCJwaGFzZSI6IkltcGxlbWVudGF0aW9uIENPVCIsInN0YXJ0IjoiMjAyNi0wNS0wOCIsImVuZCI6IjIwMjYtMDUtMTEiLCJhY3R1YWwiOiIiLCJwbGFubmVkIjoiU2NoZWR1bGVkIiwicGN0IjoiMCIsImNvbnN1bHRhbnQiOiIiLCJtYW5hZ2VyIjoiIiwibGVhZCI6IiIsIm5vZGVJZCI6Im58TVB8TWFuYWdlIGVudGVycHJpc2UgYXJjaGl0ZWN0dXJlfEwxfE1hbmFnZSBlbnRlcnByaXNlIGFyY2hpdGVjdHVyZSJ9LHsicGciOiJNUCIsImwxIjoiTWFuYWdlIGVudGVycHJpc2UgYXJjaGl0ZWN0dXJlIiwicHJvYyI6Ik1hbmFnZSBlbnRlcnByaXNlIGFyY2hpdGVjdHVyZSIsImx2bCI6IkwxIiwicGhhc2UiOiJJbXBsZW1lbnRhdGlvbiBMSVMiLCJzdGFydCI6IjIwMjYtMDUtMDgiLCJlbmQiOiIyMDI2LTA3LTE2IiwiYWN0dWFsIjoiIiwicGxhbm5lZCI6IlNjaGVkdWxlZCIsInBjdCI6IjAiLCJjb25zdWx0YW50IjoiIiwibWFuYWdlciI6IiIsImxlYWQiOiIiLCJub2RlSWQiOiJufE1QfE1hbmFnZSBlbnRlcnByaXNlIGFyY2hpdGVjdHVyZXxMMXxNYW5hZ2UgZW50ZXJwcmlzZSBhcmNoaXRlY3R1cmUifSx7InBnIjoiTVAiLCJsMSI6Ik1hbmFnZSBlbnRlcnByaXNlIGFyY2hpdGVjdHVyZSIsInByb2MiOiJNYW5hZ2UgZW50ZXJwcmlzZSBhcmNoaXRlY3R1cmUiLCJsdmwiOiJMMSIsInBoYXNlIjoiSW1wbGVtZW50YXRpb24gTFVTIiwic3RhcnQiOiIyMDI2LTA1LTA4IiwiZW5kIjoiMjAyNi0wNS0xMSIsImFjdHVhbCI6IiIsInBsYW5uZWQiOiJTY2hlZHVsZWQiLCJwY3QiOiIwIiwiY29uc3VsdGFudCI6IiIsIm1hbmFnZXIiOiIiLCJsZWFkIjoiIiwibm9kZUlkIjoibnxNUHxNYW5hZ2UgZW50ZXJwcmlzZSBhcmNoaXRlY3R1cmV8TDF8TWFuYWdlIGVudGVycHJpc2UgYXJjaGl0ZWN0dXJlIn1dfSx7ImlkIjoibnxNUHxNYW5hZ2UgZW50ZXJwcmlzZSBhcmNoaXRlY3R1cmV8TDJ8U3RyYXRlZ2ljIGFyY2hpdGVjdHVyZSBwcm9jZXNzIiwidHlwZSI6InByb2MiLCJwZyI6Ik1QIiwibHZsIjoiTDIiLCJuYW1lIjoiU3RyYXRlZ2ljIGFyY2hpdGVjdHVyZSBwcm9jZXNzIiwiYXNzb2NMMSI6Ik1hbmFnZSBlbnRlcnByaXNlIGFyY2hpdGVjdHVyZSIsImluZGVudCI6Miwic29ydEtleSI6MTAwMywicGFyZW50SWQiOiJufE1QfE1hbmFnZSBlbnRlcnByaXNlIGFyY2hpdGVjdHVyZXxMMXxNYW5hZ2UgZW50ZXJwcmlzZSBhcmNoaXRlY3R1cmUiLCJjaGlsZHJlbiI6W10sIml0ZW1zIjpbeyJwZyI6Ik1QIiwibDEiOiJNYW5hZ2UgZW50ZXJwcmlzZSBhcmNoaXRlY3R1cmUiLCJwcm9jIjoiU3RyYXRlZ2ljIGFyY2hpdGVjdHVyZSBwcm9jZXNzIiwibHZsIjoiTDIiLCJwaGFzZSI6IkVsYWJvcmF0aW9uIiwic3RhcnQiOiIyMDI2LTAyLTIzIiwiZW5kIjoiMjAyNi0wNC0zMCIsImFjdHVhbCI6IkRlbGF5ZWQiLCJwbGFubmVkIjoiRWxhYm9yYXRpb24gaW4gcHJvZ3Jlc3MiLCJwY3QiOiIwIiwiY29uc3VsdGFudCI6IkhvZXJtYW5uIFBhdHJpY2sgKExMSSkiLCJtYW5hZ2VyIjoiTnVzc2JhdW1lciBGbG9yaWFuIChMQkMpIiwibGVhZCI6Ikd1anJhbCBQYXJ0aCAoQ09CLUNPVC1JVCkiLCJub2RlSWQiOiJufE1QfE1hbmFnZSBlbnRlcnByaXNlIGFyY2hpdGVjdHVyZXxMMnxTdHJhdGVnaWMgYXJjaGl0ZWN0dXJlIHByb2Nlc3MifV19LHsiaWQiOiJufE1QfE1hbmFnZSBJVCBwb3J0Zm9saW98TDF8TWFuYWdlIElUIHBvcnRmb2xpbyIsInR5cGUiOiJwcm9jIiwicGciOiJNUCIsImx2bCI6IkwxIiwibmFtZSI6Ik1hbmFnZSBJVCBwb3J0Zm9saW8iLCJhc3NvY0wxIjoiTWFuYWdlIElUIHBvcnRmb2xpbyIsImluZGVudCI6MSwic29ydEtleSI6MTAwNCwicGFyZW50SWQiOiJwZ3xNUCIsImNoaWxkcmVuIjpbIm58TVB8TWFuYWdlIElUIHBvcnRmb2xpb3xMMnxNYW5hZ2UgSVQgcHJvamVjdCBwb3J0Zm9saW8iLCJufE1QfE1hbmFnZSBJVCBwb3J0Zm9saW98TDJ8TWFuYWdlIElUIHNlcnZpY2UgcG9ydGZvbGlvIl0sIml0ZW1zIjpbeyJwZyI6Ik1QIiwibDEiOiJNYW5hZ2UgSVQgcG9ydGZvbGlvIiwicHJvYyI6Ik1hbmFnZSBJVCBwb3J0Zm9saW8iLCJsdmwiOiJMMSIsInBoYXNlIjoiRWxhYm9yYXRpb24iLCJzdGFydCI6IjIwMjUtMTEtMTEiLCJlbmQiOiIyMDI2LTAxLTI5IiwiYWN0dWFsIjoiRWxhYm9yYXRpb24gRG9uZSIsInBsYW5uZWQiOiJFbGFib3JhdGlvbiBEb25lIiwicGN0IjoiMC4wMSIsImNvbnN1bHRhbnQiOiJGcmFuayBNYXJlbiAoTElTKTtLdW56IENocmlzdGluYSAoTElTLU1IUCBNYW5hZ2VtZW50LSB1bmQgSVQgQmVyYXR1bmcgR21iSCkiLCJtYW5hZ2VyIjoiIiwibGVhZCI6IiIsIm5vZGVJZCI6Im58TVB8TWFuYWdlIElUIHBvcnRmb2xpb3xMMXxNYW5hZ2UgSVQgcG9ydGZvbGlvIn1dfSx7ImlkIjoibnxNUHxNYW5hZ2UgSVQgcG9ydGZvbGlvfEwyfE1hbmFnZSBJVCBwcm9qZWN0IHBvcnRmb2xpbyIsInR5cGUiOiJwcm9jIiwicGciOiJNUCIsImx2bCI6IkwyIiwibmFtZSI6Ik1hbmFnZSBJVCBwcm9qZWN0IHBvcnRmb2xpbyIsImFzc29jTDEiOiJNYW5hZ2UgSVQgcG9ydGZvbGlvIiwiaW5kZW50IjoyLCJzb3J0S2V5IjoxMDA0LCJwYXJlbnRJZCI6Im58TVB8TWFuYWdlIElUIHBvcnRmb2xpb3xMMXxNYW5hZ2UgSVQgcG9ydGZvbGlvIiwiY2hpbGRyZW4iOltdLCJpdGVtcyI6W3sicGciOiJNUCIsImwxIjoiTWFuYWdlIElUIHBvcnRmb2xpbyIsInByb2MiOiJNYW5hZ2UgSVQgcHJvamVjdCBwb3J0Zm9saW8iLCJsdmwiOiJMMiIsInBoYXNlIjoiRWxhYm9yYXRpb24iLCJzdGFydCI6IjIwMjUtMTEtMTAiLCJlbmQiOiIyMDI1LTEyLTEwIiwiYWN0dWFsIjoiRWxhYm9yYXRpb24gRG9uZSIsInBsYW5uZWQiOiJFbGFib3JhdGlvbiBEb25lIiwicGN0IjoiMC4wMSIsImNvbnN1bHRhbnQiOiJGcmFuayBNYXJlbiAoTElTKSIsIm1hbmFnZXIiOiJSb2xsaW5nZXIgQWxleGFuZGVyIChMSVMpIiwibGVhZCI6Ik3DvGhsYmFjaGVyIENocmlzdGlhbiAoTEl</t>
  </si>
  <si>
    <t>TKSIsIm5vZGVJZCI6Im58TVB8TWFuYWdlIElUIHBvcnRmb2xpb3xMMnxNYW5hZ2UgSVQgcHJvamVjdCBwb3J0Zm9saW8ifSx7InBnIjoiTVAiLCJsMSI6Ik1hbmFnZSBJVCBwb3J0Zm9saW8iLCJwcm9jIjoiTWFuYWdlIElUIHByb2plY3QgcG9ydGZvbGlvIiwibHZsIjoiTDIiLCJwaGFzZSI6IkltcGxlbWVudGF0aW9uIExJUyIsInN0YXJ0IjoiMjAyNi0wMi0wMSIsImVuZCI6IjIwMjYtMDUtMzEiLCJhY3R1YWwiOiJEZWxheWVkIiwicGxhbm5lZCI6IkltcGxlbWVudGF0aW9uIExJUyIsInBjdCI6IjAiLCJjb25zdWx0YW50IjoiRnJhbmsgTWFyZW4gKExJUykiLCJtYW5hZ2VyIjoiUm9sbGluZ2VyIEFsZXhhbmRlciAoTElTKSIsImxlYWQiOiJNw7xobGJhY2hlciBDaHJpc3RpYW4gKExJUykiLCJub2RlSWQiOiJufE1QfE1hbmFnZSBJVCBwb3J0Zm9saW98TDJ8TWFuYWdlIElUIHByb2plY3QgcG9ydGZvbGlvIn1dfSx7ImlkIjoibnxNUHxNYW5hZ2UgSVQgcG9ydGZvbGlvfEwyfE1hbmFnZSBJVCBzZXJ2aWNlIHBvcnRmb2xpbyIsInR5cGUiOiJwcm9jIiwicGciOiJNUCIsImx2bCI6IkwyIiwibmFtZSI6Ik1hbmFnZSBJVCBzZXJ2aWNlIHBvcnRmb2xpbyIsImFzc29jTDEiOiJNYW5hZ2UgSVQgcG9ydGZvbGlvIiwiaW5kZW50IjoyLCJzb3J0S2V5IjoxMDA0LCJwYXJlbnRJZCI6Im58TVB8TWFuYWdlIElUIHBvcnRmb2xpb3xMMXxNYW5hZ2UgSVQgcG9ydGZvbGlvIiwiY2hpbGRyZW4iOltdLCJpdGVtcyI6W3sicGciOiJNUCIsImwxIjoiTWFuYWdlIElUIHBvcnRmb2xpbyIsInByb2MiOiJNYW5hZ2UgSVQgc2VydmljZSBwb3J0Zm9saW8iLCJsdmwiOiJMMiIsInBoYXNlIjoiRWxhYm9yYXRpb24iLCJzdGFydCI6IjIwMjYtMDQtMDEiLCJlbmQiOiIyMDI2LTA2LTE1IiwiYWN0dWFsIjoiRWxhYm9yYXRpb24gaW4gcHJvZ3Jlc3MiLCJwbGFubmVkIjoiRWxhYm9yYXRpb24gaW4gcHJvZ3Jlc3MiLCJwY3QiOiIwLjAwNSIsImNvbnN1bHRhbnQiOiJGcmFuayBNYXJlbiAoTElTKTtLdW56IENocmlzdGluYSAoTElTLU1IUCBNYW5hZ2VtZW50LSB1bmQgSVQgQmVyYXR1bmcgR21iSCkiLCJtYW5hZ2VyIjoiUmVpbmVyIEhlaWtvIChIQVUtSVRTQSkiLCJsZWFkIjoiQ2VpbGlhIFJvc2VyIChMSVMpIiwibm9kZUlkIjoibnxNUHxNYW5hZ2UgSVQgcG9ydGZvbGlvfEwyfE1hbmFnZSBJVCBzZXJ2aWNlIHBvcnRmb2xpbyJ9LHsicGciOiJNUCIsImwxIjoiTWFuYWdlIElUIHBvcnRmb2xpbyIsInByb2MiOiJNYW5hZ2UgSVQgc2VydmljZSBwb3J0Zm9saW8iLCJsdmwiOiJMMiIsInBoYXNlIjoiSW1wbGVtZW50YXRpb24gTElTIiwic3RhcnQiOiIyMDI2LTA2LTE1IiwiZW5kIjoiMjAyNi0wOS0wOCIsImFjdHVhbCI6IiIsInBsYW5uZWQiOiJTY2hlZHVsZWQiLCJwY3QiOiIwIiwiY29uc3VsdGFudCI6IkZyYW5rIE1hcmVuIChMSVMpO0t1bnogQ2hyaXN0aW5hIChMSVMtTUhQIE1hbmFnZW1lbnQtIHVuZCBJVCBCZXJhdHVuZyBHbWJIKSIsIm1hbmFnZXIiOiJSZWluZXIgSGVpa28gKEhBVS1JVFNBKSIsImxlYWQiOiJDZWlsaWEgUm9zZXIgKExJUykiLCJub2RlSWQiOiJufE1QfE1hbmFnZSBJVCBwb3J0Zm9saW98TDJ8TWFuYWdlIElUIHNlcnZpY2UgcG9ydGZvbGlvIn1dfSx7ImlkIjoibnxNUHxNYW5hZ2UgYW5kIGNvbnRyb2wgSVQgZmluYW5jaWFsc3xMMXxNYW5hZ2UgYW5kIGNvbnRyb2wgSVQgZmluYW5jaWFscyIsInR5cGUiOiJwcm9jIiwicGciOiJNUCIsImx2bCI6IkwxIiwibmFtZSI6Ik1hbmFnZSBhbmQgY29udHJvbCBJVCBmaW5hbmNpYWxzIiwiYXNzb2NMMSI6Ik1hbmFnZSBhbmQgY29udHJvbCBJVCBmaW5hbmNpYWxzIiwiaW5kZW50IjoxLCJzb3J0S2V5IjoxMDA1LCJwYXJlbnRJZCI6InBnfE1QIiwiY2hpbGRyZW4iOltdLCJpdGVtcyI6W3sicGciOiJNUCIsImwxIjoiTWFuYWdlIGFuZCBjb250cm9sIElUIGZpbmFuY2lhbHMiLCJwcm9jIjoiTWFuYWdlIGFuZCBjb250cm9sIElUIGZpbmFuY2lhbHMiLCJsdmwiOiJMMSIsInBoYXNlIjoiRWxhYm9yYXRpb24iLCJzdGFydCI6IjIwMjUtMTAtMTUiLCJlbmQiOiIyMDI2LTA0LTMwIiwiYWN0dWFsIjoiRWxhYm9yYXRpb24gaW4gcHJvZ3Jlc3MiLCJwbGFubmVkIjoiRWxhYm9yYXRpb24gaW4gcHJvZ3Jlc3MiLCJwY3QiOiIwLjAwNSIsImNvbnN1bHRhbnQiOiJIeW5layBUb2JpYXMgKExJUyk7S3JlaXMgQW5kcmVhcyAoTExJKSIsIm1hbmFnZXIiOiJNb3NlciBNYXJpbyAoTElTLUxBSCkiLCJsZWFkIjoiRnJhbmsgTmljb2xlIChMSVMpIiwibm9kZUlkIjoibnxNUHxNYW5hZ2UgYW5kIGNvbnRyb2wgSVQgZmluYW5jaWFsc3xMMXxNYW5hZ2UgYW5kIGNvbnRyb2wgSVQgZmluYW5jaWFscyJ9LHsicGciOiJNUCIsImwxIjoiTWFuYWdlIGFuZCBjb250cm9sIElUIGZpbmFuY2lhbHMiLCJwcm9jIjoiTWFuYWdlIGFuZCBjb250cm9sIElUIGZpbmFuY2lhbHMiLCJsdmwiOiJMMSIsInBoYXNlIjoiSW1wbGVtZW50YXRpb24gTElTIiwic3RhcnQiOiIyMDI2LTA1LTAxIiwiZW5kIjoiMjAyNi0wNy0zMSIsImFjdHVhbCI6IiIsInBsYW5uZWQiOiJTY2hlZHVsZWQiLCJwY3QiOiIwIiwiY29uc3VsdGFudCI6Ikh5bmVrIFRvYmlhcyAoTElTKTtLcmVpcyBBbmRyZWFzIChMTEkpIiwibWFuYWdlciI6Ik1vc2VyIE1hcmlvIChMSVMtTEFIKSIsImxlYWQiOiJGcmFuayBOaWNvbGUgKExJUykiLCJub2RlSWQiOiJufE1QfE1hbmFnZSBhbmQgY29udHJvbCBJVCBmaW5hbmNpYWxzfEwxfE1hbmFnZSBhbmQgY29udHJvbCBJVCBmaW5hbmNpYWxzIn1dfSx7ImlkIjoibnxNUHxNYW5hZ2UgSVQgc3Rha2Vob2xkZXIgcmVsYXRpb25zaGlwc3xMMXxNYW5hZ2UgSVQgc3Rha2Vob2xkZXIgcmVsYXRpb25zaGlwcyIsInR5cGUiOiJwcm9jIiwicGciOiJNUCIsImx2bCI6IkwxIiwibmFtZSI6Ik1hbmFnZSBJVCBzdGFrZWhvbGRlciByZWxhdGlvbnNoaXBzIiwiYXNzb2NMMSI6Ik1hbmFnZSBJVCBzdGFrZWhvbGRlciByZWxhdGlvbnNoaXBzIiwiaW5kZW50IjoxLCJzb3J0S2V5IjoxMDA2LCJwYXJlbnRJZCI6InBnfE1QIiwiY2hpbGRyZW4iOltdLCJpdGVtcyI6W3sicGciOiJNUCIsImwxIjoiTWFuYWdlIElUIHN0YWtlaG9sZGVyIHJlbGF0aW9uc2hpcHMiLCJwcm9jIjoiTWFuYWdlIElUIHN0YWtlaG9sZGVyIHJlbGF0aW9uc2hpcHMiLCJsdmwiOiJMMSIsInBoYXNlIjoiRWxhYm9yYXRpb24iLCJzdGFydCI6IjIwMjYtMDQtMDEiLCJlbmQiOiIyMDI2LTA2LTE1IiwiYWN0dWFsIjoiRGVsYXllZCIsInBsYW5uZWQiOiJFbGFib3JhdGlvbiBpbiBwcm9ncmVzcyIsInBjdCI6IjAiLCJjb25zdWx0YW50IjoiS3JlaXMgQW5kcmVhcyAoTExJKSIsIm1hbmFnZXIiOiJNaWVsZW56IFRob21hcyAoTE1UKSIsImxlYWQiOiJGZWxkZXIgTWF4IChMTEkpIiwibm9kZUlkIjoibnxNUHxNYW5hZ2UgSVQgc3Rha2Vob2xkZXIgcmVsYXRpb25zaGlwc3xMMXxNYW5hZ2UgSVQgc3Rha2Vob2xkZXIgcmVsYXRpb25zaGlwcyJ9LHsicGciOiJNUCIsImwxIjoiTWFuYWdlIElUIHN0YWtlaG9sZGVyIHJlbGF0aW9uc2hpcHMiLCJwcm9jIjoiTWFuYWdlIElUIHN0YWtlaG9sZGVyIHJlbGF0aW9uc2hpcHMiLCJsdmwiOiJMMSIsInBoYXNlIjoiSW1wbGVtZW50YXRpb24gTElTIiwic3RhcnQiOiIyMDI2LTEwLTE1IiwiZW5kIjoiMjAyNi0xMi0yMyIsImFjdHVhbCI6IiIsInBsYW5uZWQiOiJTY2hlZHVsZWQiLCJwY3QiOiIwIiwiY29uc3VsdGFudCI6IktyZWlzIEFuZHJlYXMgKExMSSkiLCJtYW5hZ2VyIjoiTWllbGVueiBUaG9tYXMgKExNVCkiLCJsZWFkIjoiRmVsZGVyIE1heCAoTExJKSIsIm5vZGVJZCI6Im58TVB8TWFuYWdlIElUIHN0YWtlaG9sZGVyIHJlbGF0aW9uc2hpcHN8TDF8TWFuYWdlIElUIHN0YWtlaG9sZGVyIHJlbGF0aW9uc2hpcHMifV19LHsiaWQiOiJufE1QfE1hbmFnZSBJVCBwcm9jZXNzZXMgYW5kIGNvbnRpbnVvdXMgaW1wcm92ZW1lbnR8TDN8QW5hbHlzZSBwcm9jZXNzIiwidHlwZSI6InByb2MiLCJwZyI6Ik1QIiwibHZsIjoiTDMiLCJuYW1lIjoiQW5hbHlzZSBwcm9jZXNzIiwiYXNzb2NMMSI6Ik1hbmFnZSBJVCBwcm9jZXNzZXMgYW5kIGNvbnRpbnVvdXMgaW1wcm92ZW1lbnQiLCJpbmRlbnQiOjMsInNvcnRLZXkiOjEwMDcsInBhcmVudElkIjoibnxNUHxNYW5hZ2UgSVQgcHJvY2Vzc2VzIGFuZCBjb250aW51b3VzIGltcHJvdmVtZW50fEwyfFBlcmZvcm0gb3BlcmF0aW9uYWwgcHJvY2VzcyBtYW5hZ2VtZW50IChWIDIuMCkiLCJjaGlsZHJlbiI6W10sIml0ZW1zIjpbeyJwZyI6Ik1QIiwibDEiOiJNYW5hZ2UgSVQgcHJvY2Vzc2VzIGFuZCBjb250aW51b3VzIGltcHJvdmVtZW50IiwicHJvYyI6IkFuYWx5c2UgcHJvY2VzcyIsImx2bCI6IkwzIiwicGhhc2UiOiJFbGFib3JhdGlvbiIsInN0YXJ0IjoiMjAyNS0xMC0wMSIsImVuZCI6IjIwMjUtMTAtMDEiLCJhY3R1YWwiOiJFbGFib3JhdGlvbiBEb25lIiwicGxhbm5lZCI6IkVsYWJvcmF0aW9uIERvbmUiLCJwY3QiOiIwLjAxIiwiY29uc3VsdGFudCI6IkhvZXJtYW5uIFBhdHJpY2sgKExMSSkiLCJtYW5hZ2VyIjoiUmVpbmVyIEhlaWtvIChIQVUtSVRTQSkiLCJsZWFkIjoiUm9sbGluZ2VyIEFsZXhhbmRlciAoTElTKSIsIm5vZGVJZCI6Im58TVB8TWFuYWdlIElUIHByb2Nlc3NlcyBhbmQgY29udGludW91cyBpbXByb3ZlbWVudHxMM3xBbmFseXNlIHByb2Nlc3MifV19LHsiaWQiOiJufE1QfE1hbmFnZSBJVCBwcm9jZXNzZXMgYW5kIGNvbnRpbnVvdXMgaW1wcm92ZW1lbnR8TDJ8RGV2ZWxvcCBhbmQgbWFpbnRhaW4gSVQgQlBNIGZyYW1ld29yayIsInR5cGUiOiJwcm9jIiwicGciOiJNUCIsImx2bCI6IkwyIiwibmFtZSI6IkRldmVsb3AgYW5kIG1haW50YWluIElUIEJQTSBmcmFtZXdvcmsiLCJhc3NvY0wxIjoiTWFuYWdlIElUIHByb2Nlc3NlcyBhbmQgY29udGludW91cyBpbXByb3ZlbWVudCIsImluZGVudCI6Miwic29ydEtleSI6MTAwNywicGFyZW50SWQiOiJufE1QfE1hbmFnZSBJVCBwcm9jZXNzZXMgYW5kIGNvbnRpbnVvdXMgaW1wcm92ZW1lbnR8TDF8TWFuYWdlIElUIHByb2Nlc3NlcyBhbmQgY29udGludW91cyBpbXByb3ZlbWVudCIsImNoaWxkcmVuIjpbXSwiaXRlbXMiOlt7InBnIjoiTVAiLCJsMSI6Ik1hbmFnZSBJVCBwcm9jZXNzZXMgYW5kIGNvbnRpbnVvdXMgaW1wcm92ZW1lbnQiLCJwcm9jIjoiRGV2ZWxvcCBhbmQgbWFpbnRhaW4gSVQgQlBNIGZyYW1ld29yayIsImx2bCI6IkwyIiwicGhhc2UiOiJFbGFib3JhdGlvbiIsInN0YXJ0IjoiMjAyNS0wOC0wNCIsImVuZCI6IjIwMjUtMDgtMzAiLCJhY3R1YWwiOiJFbGFib3JhdGlvbiBEb25lIiwicGxhbm5lZCI6IkVsYWJvcmF0aW9uIERvbmUiLCJwY3QiOiIwLjAxIiwiY29uc3VsdGFudCI6IkhvZXJtYW5uIFBhdHJpY2sgKExMSSkiLCJtYW5hZ2VyIjoiUmVpbmVyIEhlaWtvIChIQVUtSVRTQSkiLCJsZWFkIjoiUm9sbGluZ2VyIEFsZXhhbmRlciAoTElTKSIsIm5vZGVJZCI6Im58TVB8TWFuYWdlIElUIHByb2Nlc3NlcyBhbmQgY29udGludW91cyBpbXByb3ZlbWVudHxMMnxEZXZlbG9wIGFuZCBtYWludGFpbiBJVCBCUE0gZnJhbWV3b3JrIn1dfSx7ImlkIjoibnxNUHxNYW5hZ2UgSVQgcHJvY2Vzc2VzIGFuZCBjb250aW51b3VzIGltcHJvdmVtZW50fEwzfEVsYWJvcmF0ZSB0by1iZSBwcm9jZXNzIChWIDIuMCkiLCJ0eXBlIjoicHJvYyIsInBnIjoiTVAiLCJsdmwiOiJMMyIsIm5hbWUiOiJFbGFib3JhdGUgdG8tYmUgcHJvY2VzcyAoViAyLjApIiwiYXNzb2NMMSI6Ik1hbmFnZSBJVCBwcm9jZXNzZXMgYW5kIGNvbnRpbnVvdXMgaW1wcm92ZW1lbnQiLCJpbmRlbnQiOjMsInNvcnRLZXkiOjEwMDcsInBhcmVudElkIjoibnxNUHxNYW5hZ2UgSVQgcHJvY2Vzc2VzIGFuZCBjb250aW51b3VzIGltcHJvdmVtZW50fEwyfFBlcmZvcm0gb3BlcmF0aW9uYWwgcHJvY2VzcyBtYW5hZ2VtZW50IChWIDIuMCkiLCJjaGlsZHJlbiI6W10sIml0ZW1zIjpbeyJwZyI6Ik1QIiwibDEiOiJNYW5hZ2UgSVQgcHJvY2Vzc2VzIGFuZCBjb250aW51b3VzIGltcHJvdmVtZW50IiwicHJvYyI6IkVsYWJvcmF0ZSB0by1iZSBwcm9jZXNzIChWIDIuMCkiLCJsdmwiOiJMMyIsInBoYXNlIjoiRWxhYm9yYXRpb24iLCJzdGFydCI6IjIwMjYtMDEtMTIiLCJlbmQiOiIyMDI2LTA1LTMxIiwiYWN0dWFsIjoiRWxhYm9yYXRpb24gaW4gcHJvZ3Jlc3MiLCJwbGFubmVkIjoiRWxhYm9yYXRpb24gaW4gcHJvZ3Jlc3MiLCJwY3QiOiIwLjAwMjUiLCJjb25zdWx0YW50IjoiSG9lcm1hbm4gUGF0cmljayAoTExJKSIsIm1hbmFnZXIiOiJSZWluZXIgSGVpa28gKEhBVS1JVFNBKSIsImxlYWQiOiJSb2xsaW5nZXIgQWxleGFuZGVyIChMSVMpIiwibm9kZUlkIjoibnxNUHxNYW5hZ2UgSVQgcHJvY2Vzc2VzIGFuZCBjb250aW51b3VzIGltcHJvdmVtZW50fEwzfEVsYWJvcmF0ZSB0by1iZSBwcm9jZXNzIChWIDIuMCkifV19LHsiaWQiOiJufE1QfE1hbmFnZSBJVCBwcm9jZXNzZXMgYW5kIGNvbnRpbnVvdXMgaW1wcm92ZW1lbnR8TDN8SWRlbnRpZnkgcHJvY2VzcyBhbmQgZGV0ZXJtaW5lIGdvYWxzIChWIDIuMCkiLCJ0eXBlIjoicHJvYyIsInBnIjoiTVAiLCJsdmwiOiJMMyIsIm5hbWUiOiJJZGVudGlmeSBwcm9jZXNzIGFuZCBkZXRlcm1pbmUgZ29hbHMgKFYgMi4wKSIsImFzc29jTDEiOiJNYW5hZ2UgSVQgcHJvY2Vzc2VzIGFuZCBjb250aW51b3VzIGltcHJvdmVtZW50IiwiaW5kZW50IjozLCJzb3J0S2V5IjoxMDA3LCJwYXJlbnRJZCI6Im58TVB8TWFuYWdlIElUIHByb2Nlc3NlcyBhbmQgY29udGludW91cyBpbXByb3ZlbWVudHxMMnxQZXJmb3JtIG9wZXJhdGlvbmFsIHByb2Nlc3MgbWFuYWdlbWVudCAoViAyLjApIiwiY2hpbGRyZW4iOltdLCJpdGVtcyI6W3sicGciOiJNUCIsImwxIjoiTWFuYWdlIElUIHByb2Nlc3NlcyBhbmQgY29udGludW91cyBpbXByb3ZlbWVudCIsInByb2MiOiJJZGVudGlmeSBwcm9jZXNzIGFuZCBkZXRlcm1pbmUgZ29hbHMgKFYgMi4wKSIsImx2bCI6IkwzIiwicGhhc2UiOiJFbGFib3JhdGlvbiIsInN0YXJ0IjoiMjAyNi0wMS0xMiIsImVuZCI6IjIwMjYtMDUtMzEiLCJhY3R1YWwiOiJFbGFib3JhdGlvbiBpbiBwcm9ncmVzcyIsInBsYW5uZWQiOiJFbGFib3JhdGlvbiBpbiBwcm9ncmVzcyIsInBjdCI6IjAuMDAyNSIsImNvbnN1bHRhbnQiOiJIb2VybWFubiBQYXRyaWNrIChMTEkpIiwibWFuYWdlciI6IlJlaW5lciBIZWlrbyAoSEFVLUlUU0EpIiwibGVhZCI6IlJvbGxpbmdlciBBbGV4YW5kZXIgKExJUykiLCJub2RlSWQiOiJufE1QfE1hbmFnZSBJVCBwcm9jZXNzZXMgYW5kIGNvbnRpbnVvdXMgaW1wcm92ZW1lbnR8TDN8SWRlbnRpZnkgcHJvY2VzcyBhbmQgZGV0ZXJtaW5lIGdvYWxzIChWIDIuMCkifV19LHsiaWQiOiJufE1QfE1hbmFnZSBJVCBwcm9jZXNzZXMgYW5kIGNvbnRpbnVvdXMgaW1wcm92ZW1lbnR8TDN8SW1wbGVtZW50IHByb2Nlc3MgKFYgMi4wKSIsInR5cGUiOiJwcm9jIiwicGciOiJNUCIsImx2bCI6IkwzIiwibmFtZSI6IkltcGxlbWVudCBwcm9jZXNzIChWIDIuMCkiLCJhc3NvY0wxIjoiTWFuYWdlIElUIHByb2Nlc3NlcyBhbmQgY29udGludW91cyBpbXByb3ZlbWVudCIsImluZGVudCI6Mywic29ydEtleSI6MTAwNywicGFyZW50SWQiOiJufE1QfE1hbmFnZSBJVCBwcm9jZXNzZXMgYW5kIGNvbnRpbnVvdXMgaW1wcm92ZW1lbnR8TDJ8UGVyZm9ybSBvcGVyYXRpb25hbCBwcm9jZXNzIG1hbmFnZW1lbnQgKFYgMi4wKSIsImNoaWxkcmVuIjpbXSwiaXRlbXMiOlt7InBnIjoiTVAiLCJsMSI6Ik1hbmFnZSBJVCBwcm9jZXNzZXMgYW5kIGNvbnRpbnVvdXMgaW1wcm92ZW1lbnQiLCJwcm9jIjoiSW1wbGVtZW50IHByb2Nlc3MgKFYgMi4wKSIsImx2bCI6IkwzIiwicGhhc2UiOiJFbGFib3JhdGlvbiIsInN0YXJ0IjoiMjAyNi0wMS0xMiIsImVuZCI6IjIwMjYtMDUtMzEiLCJhY3R1YWwiOiJFbGFib3JhdGlvbiBpbiBwcm9ncmVzcyIsInBsYW5uZWQiOiJFbGFib3JhdGlvbiBpbiBwcm9ncmVzcyIsInBjdCI6IjAuMDAyNSIsImNvbnN1bHRhbnQiOiJIb2VybWFubiBQYXRyaWNrIChMTEkpIiwibWFuYWdlciI6IlJlaW5lciBIZWlrbyAoSEFVLUlUU0EpIiwibGVhZCI6IlJvbGxpbmdlciBBbGV4YW5kZXIgKExJUykiLCJub2RlSWQiOiJufE1QfE1hbmFnZSBJVCBwcm9jZXNzZXMgYW5kIGNvbnRpbnVvdXMgaW1wcm92ZW1lbnR8TDN8SW1wbGVtZW50IHByb2Nlc3MgKFYgMi4wKSJ9XX0seyJpZCI6Im58TVB8TWFuYWdlIElUIHByb2Nlc3NlcyBhbmQgY29udGludW91cyBpbXByb3ZlbWVudHxMMnxNYW5hZ2UgY29udGludW91cyBpbXByb3ZlbWVudCIsInR5cGUiOiJwcm9jIiwicGciOiJNUCIsImx2bCI6IkwyIiwibmFtZSI6Ik1hbmFnZSBjb250aW51b3VzIGltcHJvdmVtZW50IiwiYXNzb2NMMSI6Ik1hbmFnZSBJVCBwcm9jZXNzZXMgYW5kIGNvbnRpbnVvdXMgaW1wcm92ZW1lbnQiLCJpbmRlbnQiOjIsInNvcnRLZXkiOjEwMDcsInBhcmVudElkIjoibnxNUHxNYW5hZ2UgSVQgcHJvY2Vzc2VzIGFuZCBjb250aW51b3VzIGltcHJvdmVtZW50fEwxfE1hbmFnZSBJVCBwcm9jZXNzZXMgYW5kIGNvbnRpbnVvdXMgaW1wcm92ZW1lbnQiLCJjaGlsZHJlbiI6W10sIml0ZW1zIjpbeyJwZyI6Ik1QIiwibDEiOiJNYW5hZ2UgSVQgcHJvY2Vzc2VzIGFuZCBjb250aW51b3VzIGltcHJvdmVtZW50IiwicHJvYyI6Ik1hbmFnZSBjb250aW51b3VzIGltcHJvdmVtZW50IiwibHZsIjoiTDIiLCJwaGFzZSI6IkVsYWJvcmF0aW9uIiwic3RhcnQiOiIyMDI1LTEwLTAxIiwiZW5kIjoiMjAyNi0wMS0zMCIsImFjdHVhbCI6IkRlbGF5ZWQiLCJwbGFubmVkIjoiRWxhYm9yYXRpb24gRG9uZSIsInBjdCI6IjAiLCJjb25zdWx0YW50IjoiUm9sbGluZ2VyIEFsZXhhbmRlciAoTElTKTtCw7ZobWUgTWF0dGhpYXMgKGV4dC4pIiwibWFuYWdlciI6IlJlaW5lciBIZWlrbyAoSEFVLUlUU0EpIiwibGVhZCI6Ikt1ZXJzY2huZXIgUGhpbGlwcCAoTElTKSIsIm5vZGVJZCI6Im58TVB8TWFuYWdlIElUIHByb2Nlc3NlcyBhbmQgY29udGludW91cyBpbXByb3ZlbWVudHxMMnxNYW5hZ2UgY29udGludW91cyBpbXByb3ZlbWVudCJ9XX0seyJpZCI6Im58TVB8TWFuYWdlIElUIHByb2Nlc3NlcyBhbmQgY29udGludW91cyBpbXByb3ZlbWVudHxMMXxNYW5hZ2UgSVQgcHJvY2Vzc2VzIGFuZCBjb250aW51b3VzIGltcHJvdmVtZW50IiwidHlwZSI6InByb2MiLCJwZyI6Ik1QIiwibHZsIjoiTDEiLCJuYW1lIjoiTWFuYWdlIElUIHByb2Nlc3NlcyBhbmQgY29udGludW91cyBpbXByb3ZlbWVudCIsImFzc29jTDEiOiJNYW5hZ2UgSVQgcHJvY2Vzc2VzIGFuZCBjb250aW51b3VzIGltcHJvdmVtZW50IiwiaW5kZW50IjoxLCJzb3J0S2V5IjoxMDA3LCJwYXJlbnRJZCI6InBnfE1QIiwiY2hpbGRyZW4iOlsibnxNUHxNYW5hZ2UgSVQgcHJvY2Vzc2VzIGFuZCBjb250aW51b3VzIGltcHJvdmVtZW50fEwyfERldmVsb3AgYW5kIG1haW50YWluIElUIEJQTSBmcmFtZXdvcmsiLCJufE1QfE1hbmFnZSBJVCBwcm9jZXNzZXMgYW5kIGNvbnRpbnVvdXMgaW1wcm92ZW1lbnR8TDJ8TWFuYWdlIGNvbnRpbnVvdXMgaW1wcm92ZW1lbnQiLCJufE1QfE1hbmFnZSBJVCBwcm9jZXNzZXMgYW5kIGNvbnRpbnVvdXMgaW1wcm92ZW1lbnR8TDJ8UGVyZm9ybSBvcGVyYXRpb25hbCBwcm9jZXNzIG1hbmFnZW1lbnQgKFYgMi4wKSJdLCJpdGVtcyI6W3sicGciOiJNUCIsImwxIjoiTWFuYWdlIElUIHByb2Nlc3NlcyBhbmQgY29udGludW91cyBpbXByb3ZlbWVudCIsInByb2MiOiJNYW5hZ2UgSVQgcHJvY2Vzc2VzIGFuZCBjb250aW51b3VzIGltcHJvdmVtZW50IiwibHZsIjoiTDEiLCJwaGFzZSI6IkVsYWJvcmF0aW9uIiwic3RhcnQiOiIyMDI1LTEwLTAxIiwiZW5kIjoiMjAyNS0xMC0wMSIsImFjdHVhbCI6IkVsYWJvcmF0aW9uIERvbmUiLCJwbGFubmVkIjoiRWxhYm9yYXRpb24gRG9uZSIsInBjdCI6IjAuMDEiLCJjb25zdWx0YW50IjoiSG9lcm1hbm4gUGF0cmljayAoTExJKSIsIm1hbmFnZXIiOiJSZWluZXIgSGVpa28gKEhBVS1JVFNBKSIsImxlYWQiOiJSb2xsaW5nZXIgQWxleGFuZGVyIChMSVMpIiwibm9kZUlkIjoibnxNUHxNYW5hZ2UgSVQgcHJvY2Vzc2VzIGFuZCBjb250aW51b3VzIGltcHJvdmVtZW50fEwxfE1hbmFnZSBJVCBwcm9jZXNzZXMgYW5kIGNvbnRpbnVvdXMgaW1wcm92ZW1lbnQifV19LHsiaWQiOiJufE1QfE1hbmFnZSBJVCBwcm9jZXNzZXMgYW5kIGNvbnRpbnVvdXMgaW1wcm92ZW1lbnR8TDN8UGVyZm9ybSBhbmQgbWVhc3VyZSBwcm9jZXNzIiwidHlwZSI6InByb2MiLCJwZyI6Ik1QIiwibHZsIjoiTDMiLCJuYW1lIjoiUGVyZm9ybSBhbmQgbWVhc3VyZSBwcm9jZXNzIiwiYXNzb2NMMSI6Ik1hbmFnZSBJVCBwcm9jZXNzZXMgYW5kIGNvbnRpbnVvdXMgaW1wcm92ZW1lbnQiLCJpbmRlbnQiOjMsInNvcnRLZXkiOjEwMDcsInBhcmVudElkIjoibnxNUHxNYW5hZ2UgSVQgcHJvY2Vzc2VzIGFuZCBjb250aW51b3VzIGltcHJvdmVtZW50fEwyfFBlcmZvcm0gb3BlcmF0aW9uYWwgcHJvY2VzcyBtYW5hZ2VtZW50IChWIDIuMCkiLCJjaGlsZHJlbiI6W10sIml0ZW1zIjpbeyJwZyI6Ik1QIiwibDEiOiJNYW5hZ2UgSVQgcHJvY2Vzc2VzIGFuZCBjb250aW51b3VzIGltcHJvdmVtZW50IiwicHJvYyI6IlBlcmZvcm0gYW5kIG1lYXN1cmUgcHJvY2VzcyIsImx2bCI6IkwzIiwicGhhc2UiOiJFbGFib3JhdGlvbiIsInN0YXJ0IjoiMjAyNS0xMC0wMSIsImVuZCI6IjIwMjUtMTAtMDEiLCJhY3R1YWwiOiJFbGFib3JhdGlvbiBEb25lIiwicGxhbm5lZCI6IkVsYWJvcmF0aW9uIERvbmUiLCJwY3QiOiIwLjAxIiwiY29uc3VsdGFudCI6IkhvZXJtYW5uIFBhdHJpY2sgKExMSSkiLCJtYW5hZ2VyIjoiUmVpbmVyIEhlaWtvIChIQVUtSVRTQSkiLCJsZWFkIjoiUm9sbGluZ2VyIEFsZXhhbmRlciAoTElTKSIsIm5vZGVJZCI6Im58TVB8TWFuYWdlIElUIHByb2Nlc3NlcyBhbmQgY29udGludW91cyBpbXByb3ZlbWVudHxMM3xQZXJmb3JtIGFuZCBtZWFzdXJlIHByb2Nlc3MifV19LHsiaWQiOiJufE1QfE1hbmFnZSBJVCBwcm9jZXNzZXMgYW5kIGNvbnRpbnVvdXMgaW1wcm92ZW1lbnR8TDJ8UGVyZm9ybSBvcGVyYXRpb25hbCBwcm9jZXNzIG1hbmFnZW1lbnQgKFYgMi4wKSIsInR5cGUiOiJwcm9jIiwicGciOiJNUCIsImx2bCI6IkwyIiwibmFtZSI6IlBlcmZvcm0gb3BlcmF0aW9uYWwgcHJvY2VzcyBtYW5hZ2VtZW50IChWIDIuMCkiLCJhc3NvY0wxIjoiTWFuYWdlIElUIHByb2Nlc3NlcyBhbmQgY29udGludW91cyBpbXByb3ZlbWVudCIsImluZGVudCI6Miwic29ydEtleSI6MTAwNywicGFyZW50SWQiOiJufE1QfE1hbmFnZSBJVCBwcm9jZXNzZXMgYW5kIGNvbnRpbnVvdXMgaW1wcm92ZW1lbnR8TDF8TWFuYWdlIElUIHByb2Nlc3NlcyBhbmQgY29udGludW91cyBpbXByb3ZlbWVudCIsImNoaWxkcmVuIjpbIm58TVB8TWFuYWdlIElUIHByb2Nlc3NlcyBhbmQgY29udGludW91cyBpbXByb3ZlbWVudHxMM3xJZGVudGlmeSBwcm9jZXNzIGFuZCBkZXRlcm1pbmUgZ29hbHMgKFYgMi4wKSIsIm58TVB8TWFuYWdlIElUIHByb2Nlc3NlcyBhbmQgY29udGludW91cyBpbXByb3ZlbWVudHxMM3xFbGFib3JhdGUgdG8tYmUgcHJvY2VzcyAoViAyLjApIiwibnxNUHxNYW5hZ2UgSVQgcHJvY2Vzc2VzIGFuZCBjb250aW51b3VzIGltcHJvdmVtZW50fEwzfFBsYW4gcHJvY2VzcyBleGVjdXRpb24gKFYgMi4wKSIsIm58TVB8TWFuYWdlIElUIHByb2Nlc3NlcyBhbmQgY29udGludW91cyBpbXByb3ZlbWVudHxMM3xJbXBsZW1lbnQgcHJvY2VzcyAoViAyLjApIiwibnxNUHxNYW5hZ2UgSVQgcHJvY2Vzc2VzIGFuZCBjb250aW51b3VzIGltcHJvdmVtZW50fEwzfFBlcmZvcm0gYW5kIG1lYXN1cmUgcHJvY2VzcyIsIm58TVB8TWFuYWdlIElUIHByb2Nlc3NlcyBhbmQgY29udGludW91cyBpbXByb3ZlbWVudHxMM3xBbmFseXNlIHByb2Nlc3MiXSwiaXRlbXMiOlt7InBnIjoiTVAiLCJsMSI6Ik1hbmFnZSBJVCBwcm9jZXNzZXMgYW5kIGNvbnRpbnVvdXMgaW1wcm92ZW1lbnQiLCJwcm9jIjoiUGVyZm9ybSBvcGVyYXRpb25hbCBwcm9jZXNzIG1hbmFnZW1lbnQgKFYgMi4wKSIsImx2bCI6IkwyIiwicGhhc2UiOiJFbGFib3JhdGlvbiIsInN0YXJ0IjoiMjAyNi0wMS0xMiIsImVuZCI6IjIwMjYtMDUtMzEiLCJhY3R1YWwiOiJFbGFib3JhdGlvbiBpbiBwcm9ncmVzcyIsInBsYW5uZWQiOiJFbGFib3JhdGlvbiBpbiBwcm9ncmVzcyIsInBjdCI6IjAuMDAyNSIsImNvbnN1bHRhbnQiOiJIb2VybWFubiBQYXRyaWNrIChMTEkpIiwibWFuYWdlciI6IlJlaW5lciBIZWlrbyAoSEFVLUlUU0EpIiwibGVhZCI6IlJvbGxpbmdlciBBbGV4YW5kZXIgKExJUykiLCJub2RlSWQiOiJufE1QfE1hbmFnZSBJVCBwcm9jZXNzZXMgYW5kIGNvbnRpbnVvdXMgaW1wcm92ZW1lbnR8TDJ8UGVyZm9ybSBvcGVyYXRpb25hbCBwcm9jZXNzIG1hbmFnZW1lbnQgKFYgMi4wKSJ9XX0seyJpZCI6Im58TVB8TWFuYWdlIElUIHByb2Nlc3NlcyBhbmQgY29udGludW91cyBpbXByb3ZlbWVudHxMM3xQbGFuIHByb2Nlc3MgZXhlY3V0aW9uIChWIDIuMCkiLCJ0eXBlIjoicHJvYyIsInBnIjoiTVAiLCJsdmwiOiJMMyIsIm5hbWUiOiJQbGFuIHByb2Nlc3MgZXhlY3V0aW9uIChWIDIuMCkiLCJhc3NvY0wxIjoiTWFuYWdlIElUIHByb2Nlc3NlcyBhbmQgY29udGludW91cyBpbXByb3ZlbWVudCIsImluZGVudCI6Mywic29ydEtleSI6MTAwNywicGFyZW50SWQiOiJufE1QfE1hbmFnZSBJVCBwcm9jZXNzZXMgYW5kIGNvbnRpbnVvdXMgaW1wcm92ZW1lbnR8TDJ8UGVyZm9ybSBvcGVyYXRpb25hbCBwcm9jZXNzIG1hbmFnZW1lbnQgKFYgMi4wKSIsImNoaWxkcmVuIjpbXSwiaXRlbXMiOlt7InBnIjoiTVAiLCJsMSI6Ik1hbmFnZSBJVCBwcm9jZXNzZXMgYW5kIGNvbnRpbnVvdXMgaW1wcm92ZW1lbnQiLCJwcm9jIjoiUGxhbiBwcm9jZXNzIGV4ZWN1dGlvbiAoViAyLjApIiwibHZsIjoiTDMiLCJwaGFzZSI6IkVsYWJvcmF0aW9uIiwic3RhcnQiOiIyMDI2LTAxLTEyIiwiZW5kIjoiMjAyNi0wNS0zMSIsImFjdHVhbCI6IkVsYWJvcmF0aW9uIGluIHByb2dyZXNzIiwicGxhbm5lZCI6IkVsYWJvcmF0aW9uIGluIHByb2dyZXNzIiwicGN0IjoiMC4wMDI1IiwiY29uc3VsdGFudCI6IkhvZXJtYW5uIFBhdHJpY2sgKExMSSkiLCJtYW5hZ2VyIjoiUmVpbmVyIEhlaWtvIChIQVUtSVRTQSkiLCJsZWFkIjoiUm9sbGluZ2VyIEFsZXhhbmRlciAoTElTKSIsIm5vZGVJZCI6Im58TVB8TWFuYWdlIElUIHByb2Nlc3NlcyBhbmQgY29udGludW91cyBpbXByb3ZlbWVudHxMM3xQbGFuIHByb2Nlc3MgZXhlY3V0aW9uIChWIDIuMCkifV19LHsiaWQiOiJufE1QfE1hbmFnZSBJVCByaXNrcyBhbmQgY29tcGxpYW5jZXxMM3xEQy9EQ0MvTVNDIElULWNvbXBsaWFuY2UiLCJ0eXBlIjoicHJvYyIsInBnIjoiTVAiLCJsdmwiOiJMMyIsIm5hbWUiOiJEQy9EQ0MvTVNDIElULWNvbXBsaWFuY2UiLCJhc3NvY0wxIjoiTWFuYWdlIElUIHJpc2tzIGFuZCBjb21wbGlhbmNlIiwiaW5kZW50IjozLCJzb3J0S2V5IjoxMDA4LCJwYXJlbnRJZCI6Im58TVB8TWFuYWdlIElUIHJpc2tzIGFuZCBjb21wbGlhbmNlfEwyfE1hbmFnZSBJVCBjb21wbGlhbmNlIiwiY2hpbGRyZW4iOltdLCJpdGVtcyI6W3sicGciOiJNUCIsImwxIjoiTWFuYWdlIElUIHJpc2tzIGFuZCBjb21wbGlhbmNlIiwicHJvYyI6IkRDL0RDQy9NU0MgSVQtY29tcGxpYW5jZSIsImx2bCI6IkwzIiwicGhhc2UiOiJFbGFib3JhdGlvbiIsInN0YXJ0IjoiMjAyNS0xMC0wMSIsImVuZCI6IjIwMjYtMDktMzAiLCJhY3R1YWwiOiJFbGFib3JhdGlvbiBpbiBwcm9ncmVzcyIsInBsYW5uZWQiOiJFbGFib3JhdGlvbiBpbiBwcm9ncmVzcyIsInBjdCI6IjAuMDAyNSIsImNvbnN1bHRhbnQiOiJIb2VybWFubiBQYXRyaWNrIChMTEkpIiwibWFuYWdlciI6Ik1vbm5pZXIgTXVyaWVsbGUgKExFQykiLCJsZWFkIjoiTXVlc2tlbnMgSmFuIChMSE8pIiwibm9kZUlkIjoibnxNUHxNYW5hZ2UgSVQgcmlza3MgYW5kIGNvbXBsaWFuY2V8TDN8REMvRENDL01TQyBJVC1jb21wbGlhbmNlIn1dfSx7ImlkIjoibnxNUHxNYW5hZ2UgSVQgcmlza3MgYW5kIGNvbXBsaWFuY2V8TDN8SW1wbGVtZW50IHRvIGltcHJvdmUiLCJ0eXBlIjoicHJvYyIsInBnIjoiTVAiLCJsdmwiOiJMMyIsIm5hbWUiOiJJbXBsZW1lbnQgdG8gaW1wcm92ZSIsImFzc29jTDEiOiJNYW5hZ2UgSVQgcmlza3MgYW5kIGNvbXBsaWFuY2UiLCJpbmRlbnQiOjMsInNvcnRLZXkiOjEwMDgsInBhcmVudElkIjoibnxNUHxNYW5hZ2UgSVQgcmlza3MgYW5kIGNvbXBsaWFuY2V8TDJ8TWFuYWdlIElUIGNvbXBsaWFuY2UiLCJjaGlsZHJlbiI6W10sIml0ZW1zIjpbeyJwZyI6Ik1QIiwibDEiOiJNYW5hZ2UgSVQgcmlza3MgYW5kIGNvbXBsaWFuY2UiLCJwcm9jIjoiSW1wbGVtZW50IHRvIGltcHJvdmUiLCJsdmwiOiJMMyIsInBoYXNlIjoiRWxhYm9yYXRpb24iLCJzdGFydCI6IjIwMjUtMTAtMDEiLCJlbmQiOiIyMDI2LTA5LTMwIiwiYWN0dWFsIjoiRWxhYm9yYXRpb24gaW4gcHJvZ3Jlc3MiLCJwbGFubmVkIjoiRWxhYm9yYXRpb24gaW4gcHJvZ3Jlc3MiLCJwY3QiOiIwLjAwMjUiLCJjb25zdWx0YW50IjoiSG9lcm1hbm4gUGF0cmljayAoTExJKSIsIm1hbmFnZXIiOiJNb25uaWVyIE11cmllbGxlIChMRUMpIiwibGVhZCI6Ik11ZXNrZW5zIEphbiAoTEhPKSIsIm5vZGVJZCI6Im58TVB8TWFuYWdlIElUIHJpc2tzIGFuZCBjb21wbGlhbmNlfEwzfEltcGxlbWVudCB0byBpbXByb3ZlIn1dfSx7ImlkIjoibnxNUHxNYW5hZ2UgSVQgcmlza3MgYW5kIGNvbXBsaWFuY2V8TDJ8TWFuYWdlIElUIGNvbXBsaWFuY2UiLCJ0eXBlIjoicHJvYyIsInBnIjoiTVAiLCJsdmwiOiJMMiIsIm5hbWUiOiJNYW5hZ2UgSVQgY29tcGxpYW5jZSIsImFzc29jTDEiOiJNYW5hZ2UgSVQgcmlza3MgYW5kIGNvbXBsaWFuY2UiLCJpbmRlbnQiOjIsInNvcnRLZXkiOjEwMDgsInBhcmVudElkIjoibnxNUHxNYW5hZ2UgSVQgcmlza3MgYW5kIGNvbXBsaWFuY2V8TDF8TWFuYWdlIElUIHJpc2tzIGFuZCBjb21wbGlhbmNlIiwiY2hpbGRyZW4iOlsibnxNUHxNYW5hZ2UgSVQgcmlza3MgYW5kIGNvbXBsaWFuY2V8TDN8TW9uaXRvciB0byBkZWxlZ2F0ZSIsIm58TVB8TWFuYWdlIElUIHJpc2tzIGFuZCBjb21wbGlhbmNlfEwzfFJlcXVpcmVtZW50cyB0byBtZWFzdXJlcyIsIm58TVB8TWFuYWdlIElUIHJpc2tzIGFuZCBjb21wbGlhbmNlfEwzfEltcGxlbWVudCB0byBpbXByb3ZlIiwibnxNUHxNYW5hZ2UgSVQgcmlza3MgYW5kIGNvbXBsaWFuY2V8TDN8TWFuYWdlIElULUMgc3RyYXRlZ3kiLCJufE1QfE1hbmFnZSBJVCByaXNrcyBhbmQgY29tcGxpYW5jZXxMM3xNYW5hZ2UgSVQtQyBmcmFtZXdvcmsiLCJufE1QfE1hbmFnZSBJVCByaXNrcyBhbmQgY29tcGxpYW5jZXxMM3xEQy9EQ0MvTVNDIElULWNvbXBsaWFuY2UiXSwiaXRlbXMiOlt7InBnIjoiTVAiLCJsMSI6Ik1hbmFnZSBJVCByaXNrcyBhbmQgY29tcGxpYW5jZSIsInByb2MiOiJNYW5hZ2UgSVQgY29tcGxpYW5jZSIsImx2bCI6IkwyIiwicGhhc2UiOiJFbGFib3JhdGlvbiIsInN0YXJ0IjoiMjAyNS0xMC0wMSIsImVuZCI6IjIwMjYtMDktMzAiLCJhY3R1YWwiOiJFbGFib3JhdGlvbiBpbiBwcm9ncmVzcyIsInBsYW5uZWQiOiJFbGFib3JhdGlvbiBpbiBwcm9ncmVzcyIsInBjdCI6IjAuMDAyNSIsImNvbnN1bHRhbnQiOiJIb2VybWFubiBQYXRyaWNrIChMTEkpIiwibWFuYWdlciI6Ik1vbm5pZXIgTXVyaWVsbGUgKExFQykiLCJsZWFkIjoiTXVlc2tlbnMgSmFuIChMSE8pIiwibm9kZUlkIjoibnxNUHxNYW5hZ2UgSVQgcmlza3MgYW5kIGNvbXBsaWFuY2V8TDJ8TWFuYWdlIElUIGNvbXBsaWFuY2UifV19LHsiaWQiOiJufE1QfE1hbmFnZSBJVCByaXNrcyBhbmQgY29tcGxpYW5jZXxMMXxNYW5hZ2UgSVQgcmlza3MgYW5kIGNvbXBsaWFuY2UiLCJ0eXBlIjoicHJvYyIsInBnIjoiTVAiLCJsdmwiOiJMMSIsIm5hbWUiOiJNYW5hZ2UgSVQgcmlza3MgYW5kIGNvbXBsaWFuY2UiLCJhc3NvY0wxIjoiTWFuYWdlIElUIHJpc2tzIGFuZCBjb21wbGlhbmNlIiwiaW5kZW50IjoxLCJzb3J0S2V5IjoxMDA4LCJwYXJlbnRJZCI6InBnfE1QIiwiY2hpbGRyZW4iOlsibnxNUHxNYW5hZ2UgSVQgcmlza3MgYW5kIGNvbXBsaWFuY2V8TDJ8TWFuYWdlIElUIGNvbXBsaWFuY2UiXSwiaXRlbXMiOlt7InBnIjoiTVAiLCJsMSI6Ik1hbmFnZSBJVCByaXNrcyBhbmQgY29tcGxpYW5jZSIsInByb2MiOiJNYW5hZ2UgSVQgcmlza3MgYW5kIGNvbXBsaWFuY2UiLCJsdmwiOiJMMSIsInBoYXNlIjoiRWxhYm9yYXRpb24iLCJzdGFydCI6IjIwMjUtMTAtMDEiLCJlbmQiOiIyMDI1LTEwLTAxIiwiYWN0dWFsIjoiRWxhYm9yYXRpb24gRG9uZSIsInBsYW5uZWQiOiJFbGFib3JhdGlvbiBEb25lIiwicGN0IjoiMC4wMSIsImNvbnN1bHRhbnQiOiJIb2VybWFubiBQYXRyaWNrIChMTEkpIiwibWFuYWdlciI6Ik1vbm5pZXIgTXVyaWVsbGUgKExFQykiLCJsZWFkIjoiTXVlc2tlbnMgSmFuIChMSE8pIiwibm9kZUlkIjoibnxNUHxNYW5hZ2UgSVQgcmlza3MgYW5kIGNvbXBsaWFuY2V8TDF8TWFuYWdlIElUIHJpc2tzIGFuZCBjb21wbGlhbmNlIn1dfSx7ImlkIjoibnxNUHxNYW5hZ2UgSVQgcmlza3MgYW5kIGNvbXBsaWFuY2V8TDN8TWFuYWdlIElULUMgZnJhbWV3b3JrIiwidHlwZSI6InByb2MiLCJwZyI6Ik1QIiwibHZsIjoiTDMiLCJuYW1lIjoiTWFuYWdlIElULUMgZnJhbWV3b3JrIiwiYXNzb2NMMSI6Ik1hbmFnZSBJVCByaXNrcyBhbmQgY29tcGxpYW5jZSIsImluZGVudCI6Mywic29ydEtleSI6MTAwOCwicGFyZW50SWQiOiJufE1QfE1hbmFnZSBJVCByaXNrcyBhbmQgY29tcGxpYW5jZXxMMnxNYW5hZ2UgSVQgY29tcGxpYW5jZSIsImNoaWxkcmVuIjpbXSwiaXRlbXMiOlt7InBnIjoiTVAiLCJsMSI6Ik1hbmFnZSBJVCByaXNrcyBhbmQgY29tcGxpYW5jZSIsInByb2MiOiJNYW5hZ2UgSVQtQyBmcmFtZXdvcmsiLCJsdmwiOiJMMyIsInBoYXNlIjoiRWxhYm9yYXRpb24iLCJzdGFydCI6IjIwMjUtMTAtMDEiLCJlbmQiOiIyMDI2LTA5LTMwIiwiYWN0dWFsIjoiRWxhYm9yYXRpb24gaW4gcHJvZ3Jlc3MiLCJwbGFubmVkIjoiRWxhYm9yYXRpb24gaW4gcHJvZ3Jlc3MiLCJwY3QiOiIwLjAwMjUiLCJjb25zdWx0YW50IjoiSG9lcm1hbm4gUGF0cmljayAoTExJKSIsIm1hbmFnZXIiOiJNb25uaWVyIE11cmllbGxlIChMRUMpIiwibGVhZCI6Ik11ZXNrZW5zIEphbiAoTEhPKSIsIm5vZGVJZCI6Im58TVB8TWFuYWdlIElUIHJpc2tzIGFuZCBjb21wbGlhbmNlfEwzfE1hbmFnZSBJVC1DIGZyYW1ld29yayJ9XX0seyJpZCI6Im58TVB8TWFuYWdlIElUIHJpc2tzIGFuZCBjb21wbGlhbmNlfEwzfE1hbmFnZSBJVC1DIHN0cmF0ZWd5IiwidHlwZSI6InByb2MiLCJwZyI6Ik1QIiwibHZsIjoiTDMiLCJuYW1lIjoiTWFuYWdlIElULUMgc3RyYXRlZ3kiLCJhc3NvY0wxIjoiTWFuYWdlIElUIHJpc2tzIGFuZCBjb21wbGlhbmNlIiwiaW5kZW50IjozLCJzb3J0S2V5IjoxMDA4LCJwYXJlbnRJZCI6Im58TVB8TWFuYWdlIElUIHJpc2tzIGFuZCBjb21wbGlhbmNlfEwyfE1hbmFnZSBJVCBjb21wbGlhbmNlIiwiY2hpbGRyZW4iOltdLCJpdGVtcyI6W3sicGciOiJNUCIsImwxIjoiTWFuYWdlIElUIHJpc2tzIGFuZCBjb21wbGlhbmNlIiwicHJvYyI6Ik1hbmFnZSBJVC1DIHN0cmF0ZWd5IiwibHZsIjoiTDMiLCJwaGFzZSI6IkVsYWJvcmF0aW9uIiwic3RhcnQiOiIyMDI1LTEwLTAxIiwiZW5kIjoiMjAyNi0wOS0zMCIsImFjdHVhbCI6IkVsYWJvcmF0aW9uIGluIHByb2dyZXNzIiwicGxhbm5lZCI6IkVsYWJvcmF0aW9uIGluIHByb2dyZXNzIiwicGN0IjoiMC4wMDI1IiwiY29uc3VsdGFudCI6IkhvZXJtYW5uIFBhdHJpY2sgKExMSSkiLCJtYW5hZ2VyIjoiTW9ubmllciBNdXJpZWxsZSAoTEVDKSIsImxlYWQiOiJNdWVza2VucyBKYW4gKExITykiLCJub2RlSWQiOiJufE1QfE1hbmFnZSBJVCByaXNrcyBhbmQgY29tcGxpYW5jZXxMM3xNYW5hZ2UgSVQtQyBzdHJhdGVneSJ9XX0seyJpZCI6Im58TVB8TWFuYWdlIElUIHJpc2tzIGFuZCBjb21wbGlhbmNlfEwzfE1vbml0b3IgdG8gZGVsZWdhdGUiLCJ0eXBlIjoicHJvYyIsInBnIjoiTVAiLCJsdmwiOiJMMyIsIm5hbWUiOiJNb25pdG9yIHRvIGRlbGVnYXRlIiwiYXNzb2NMMSI6Ik1hbmFnZSBJVCByaXNrcyBhbmQgY29tcGxpYW5jZSIsImluZGVudCI6Mywic29ydEtleSI6MTAwOCwicGFyZW50SWQiOiJufE1QfE1hbmFnZSBJVCByaXNrcyBhbmQgY29tcGxpYW5jZXxMMnxNYW5hZ2UgSVQgY29tcGxpYW5jZSIsImNoaWxkcmVuIjpbXSwiaXRlbXMiOlt7InBnIjoiTVAiLCJsMSI6Ik1hbmFnZSBJVCByaXNrcyBhbmQgY29tcGxpYW5jZSIsInByb2MiOiJNb25pdG9yIHRvIGRlbGVnYXRlIiwibHZsIjoiTDMiLCJwaGFzZSI6IkVsYWJvcmF0aW9uIiwic3RhcnQiOiIyMDI1LTEwLTAxIiwiZW5kIjoiMjAyNi0wOS0zMCIsImFjdHVhbCI6IkVsYWJvcmF0aW9uIGluIHByb2dyZXNzIiwicGxhbm5lZCI6IkVsYWJvcmF0aW9uIGluIHByb2dyZXNzIiwicGN0IjoiMC4wMDI1IiwiY29uc3VsdGFudCI6IkhvZXJtYW5uIFBhdHJpY2sgKExMSSkiLCJtYW5hZ2VyIjoiTW9ubmllciBNdXJpZWxsZSAoTEVDKSIsImxlYWQiOiJNdWVza2VucyBKYW4gKExITykiLCJub2RlSWQiOiJufE1QfE1hbmFnZSBJVCByaXNrcyBhbmQgY29tcGxpYW5jZXxMM3xNb25pdG9yIHRvIGRlbGVnYXRlIn1dfSx7ImlkIjoibnxNUHxNYW5hZ2UgSVQgcmlza3MgYW5kIGNvbXBsaWFuY2V8TDN8UmVxdWlyZW1lbnRzIHRvIG1lYXN1cmVzIiwidHlwZSI6InByb2MiLCJwZyI6Ik1QIiwibHZsIjoiTDMiLCJuYW1lIjoiUmVxdWlyZW1lbnRzIHRvIG1lYXN1cmVzIiwiYXNzb2NMMSI6Ik1hbmFnZSBJVCByaXNrcyBhbmQgY29tcGxpYW5jZSIsImluZGVudCI6Mywic29ydEtleSI6MTAwOCwicGFyZW50SWQiOiJufE1QfE1hbmFnZSBJVCByaXNrcyBhbmQgY29tcGxpYW5jZXxMMnxNYW5hZ2UgSVQgY29tcGxpYW5jZSIsImNoaWxkcmVuIjpbXSwiaXRlbXMiOlt7InBnIjoiTVAiLCJsMSI6Ik1hbmFnZSBJVCByaXNrcyBhbmQgY29tcGxpYW5jZSIsInByb2MiOiJSZXF1aXJlbWVudHMgdG8gbWVhc3VyZXMiLCJsdmwiOiJMMyIsInBoYXNlIjoiRWxhYm9yYXRpb24iLCJzdGFydCI6IjIwMjUtMTAtMDEiLCJlbmQiOiIyMDI2LTA5LTMwIiwiYWN0dWFsIjoiRWxhYm9yYXRpb24gaW4gcHJvZ3Jlc3MiLCJwbGFubmVkIjoiRWxhYm9yYXRpb24gaW4gcHJvZ3Jlc3MiLCJwY3QiOiIwLjAwMjUiLCJjb25zdWx0YW50IjoiSG9lcm1hbm4gUGF0cmljayAoTExJKSIsIm1hbmFnZXIiOiJNb25uaWVyIE11cmllbGxlIChMRUMpIiwibGVhZCI6Ik11ZXNrZW5zIEphbiAoTEhPKSIsIm5vZGVJZCI6Im58TVB8TWFuYWdlIElUIHJpc2tzIGFuZCBjb21wbGlhbmNlfEwzfFJlcXVpcmVtZW50cyB0byBtZWFzdXJlcyJ9XX0seyJpZCI6InBnfENQIiwidHlwZSI6InBnIiwicGciOiJDUCIsImx2bCI6IkwwIiwibmFtZSI6IkNQIiwiYXNzb2NMMSI6IiIsImluZGVudCI6MCwic29ydEtleSI6MCwicGFyZW50SWQiOm51bGwsImNoaWxkcmVuIjpbIm58Q1B8UGxhbiBJVCBzZXJ2aWNlfEwxfFBsYW4gSVQgc2VydmljZSIsIm58Q1B8QnVpbGQgSVQgU2VydmljZXxMMXxCdWlsZCBJVCBTZXJ2aWNlIiwibnxDUHxEZWxpdmVyIElUIHNlcnZpY2V8TDF8RGVsaXZlciBJVCBzZXJ2aWNlIiwibnxDUHxSdW4gSVQgc2VydmljZXxMMXxSdW4gSVQgc2VydmljZSJdLCJpdGVtcyI6W119LHsiaWQiOiJufENQfFBsYW4gSVQgc2VydmljZXxMM3xBbmFseXNlIGFyY2hpdGVjdHVyZSBpbXBhY3QiLCJ0eXBlIjoicHJvYyIsInBnIjoiQ1AiLCJsdmwiOiJMMyIsIm5hbWUiOiJBbmFseXNlIGFyY2hpdGVjdHVyZSBpbXBhY3QiLCJhc3NvY0wxIjoiUGxhbiBJVCBzZXJ2aWNlIiwiaW5kZW50IjozLCJzb3J0S2V5IjoyMDAxLCJwYXJlbnRJZCI6Im58Q1B8UGxhbiBJVCBzZXJ2aWNlfEwyfEV2YWx1YXRlIGFuZCBxdWFsaWZ5IElUIGRlbWFuZCIsImNoaWxkcmVuIjpbXSwiaXRlbXMiOlt7InBnIjoiQ1AiLCJsMSI6IlBsYW4gSVQgc2VydmljZSIsInByb2MiOiJBbmFseXNlIGFyY2hpdGVjdHVyZSBpbXBhY3QiLCJsdmwiOiJMMyIsInBoYXNlIjoiRWxhYm9yYXRpb24iLCJzdGFydCI6IjIwMjUtMDgtMDEiLCJlbmQiOiIyMDI1LTEwLTE1IiwiYWN0dWFsIjoiRWxhYm9yYXRpb24gRG9uZSIsInBsYW5uZWQiOiJFbGFib3JhdGlvbiBEb25lIiwicGN0IjoiMC4wMSIsImNvbnN1bHRhbnQiOiJLdW56IENocmlzdGluYSAoTElTLU1IUCBNYW5hZ2VtZW50LSB1bmQgSVQgQmVyYXR1bmcgR21iSCkiLCJtYW5hZ2VyIjoiTWllbGVueiBUaG9tYXMgKExNVCkiLCJsZWFkIjoiUGVybmV0IEJlbm9pdCAoTEVDKSAoTUlOKSIsIm5vZGVJZCI6Im58Q1B8UGxhbiBJVCBzZXJ2aWNlfEwzfEFuYWx5c2UgYXJjaGl0ZWN0dXJlIGltcGFjdCJ9LHsicGciOiJDUCIsImwxIjoiUGxhbiBJVCBzZXJ2aWNlIiwicHJvYyI6IkFuYWx5c2UgYXJjaGl0ZWN0dXJlIGltcGFjdCIsImx2bCI6IkwzIiwicGhhc2UiOiJJbXBsZW1lbnRhdGlvbiBDT1QiLCJzdGFydCI6IjIwMjUtMTAtMTYiLCJlbmQiOiIyMDI2LTA0LTMwIiwiYWN0dWFsIjoiRGVsYXllZCIsInBsYW5uZWQiOiJJbXBsZW1lbnRhdGlvbiBDT1QiLCJwY3QiOiIwIiwiY29uc3VsdGFudCI6Ikt1bnogQ2hyaXN0aW5hIChMSVMtTUhQIE1hbmFnZW1lbnQtIHVuZCBJVCBCZXJhdHVuZyBHbWJIKSIsIm1hbmFnZXIiOiJNaWVsZW56IFRob21hcyAoTE1UKSIsImxlYWQiOiJQZXJuZXQgQmVub2l0IChMRUMpIChNSU4pIiwibm9kZUlkIjoibnxDUHxQbGFuIElUIHNlcnZpY2V8TDN8QW5hbHlzZSBhcmNoaXRlY3R1cmUgaW1wYWN0In1dfSx7ImlkIjoibnxDUHxQbGFuIElUIHNlcnZpY2V8TDJ8QXBwcm92ZSBJVCBkZW1hbmQiLCJ0eXBlIjoicHJvYyIsInBnIjoiQ1AiLCJsdmwiOiJMMiIsIm5hbWUiOiJBcHByb3ZlIElUIGRlbWFuZCIsImFzc29jTDEiOiJQbGFuIElUIHNlcnZpY2UiLCJpbmRlbnQiOjIsInNvcnRLZXkiOjIwMDEsInBhcmVudElkIjoibnxDUHxQbGFuIElUIHNlcnZpY2V8TDF8UGxhbiBJVCBzZXJ2aWNlIiwiY2hpbGRyZW4iOltdLCJpdGVtcyI6W3sicGciOiJDUCIsImwxIjoiUGxhbiBJVCBzZXJ2aWNlIiwicHJvYyI6IkFwcHJvdmUgSVQgZGVtYW5kIiwibHZsIjoiTDIiLCJwaGFzZSI6IkVsYWJvcmF0aW9uIiwic3RhcnQiOiIyMDI1LTA4LTAxIiwiZW5kIjoiMjAyNS0wOC0wMSIsImFjdHVhbCI6IkVsYWJvcmF0aW9uIERvbmUiLCJwbGFubmVkIjoiRWxhYm9yYXRpb24gRG9uZSIsInBjdCI6IjAuMDEiLCJjb25zdWx0YW50IjoiS3VueiBDaHJpc3RpbmEgKExJUy1NSFAgTWFuYWdlbWVudC0gdW5kIElUIEJlcmF0dW5nIEdtYkgpIiwibWFuYWdlciI6Ik1pZWxlbnogVGhvbWFzIChMTVQpIiwibGVhZCI6IlNwaWV0aCBUaW5hIChMSVMpIiwibm9kZUlkIjoibnxDUHxQbGFuIElUIHNlcnZpY2V8TDJ8QXBwcm92ZSBJVCBkZW1hbmQifSx7InBnIjoiQ1AiLCJsMSI6IlBsYW4gSVQgc2VydmljZSIsInByb2MiOiJBcHByb3ZlIElUIGRlbWFuZCIsImx2bCI6IkwyIiwicGhhc2UiOiJJbXBsZW1lbnRhdGlvbiBDT1QiLCJzdGFydCI6IjIwMjUtMTEtMDMiLCJlbmQiOiIyMDI2LTAzLTMxIiwiYWN0dWFsIjoiRGVsYXllZCIsInBsYW5uZWQiOiJJbXBsZW1lbnRhdGlvbiBDT1QgRG9uZSIsInBjdCI6IjAiLCJjb25zdWx0YW50IjoiS3VueiBDaHJpc3RpbmEgKExJUy1NSFAgTWFuYWdlbWVudC0</t>
  </si>
  <si>
    <t>gdW5kIElUIEJlcmF0dW5nIEdtYkgpIiwibWFuYWdlciI6Ik1pZWxlbnogVGhvbWFzIChMTVQpIiwibGVhZCI6IlNwaWV0aCBUaW5hIChMSVMpIiwibm9kZUlkIjoibnxDUHxQbGFuIElUIHNlcnZpY2V8TDJ8QXBwcm92ZSBJVCBkZW1hbmQifSx7InBnIjoiQ1AiLCJsMSI6IlBsYW4gSVQgc2VydmljZSIsInByb2MiOiJBcHByb3ZlIElUIGRlbWFuZCIsImx2bCI6IkwyIiwicGhhc2UiOiJJbXBsZW1lbnRhdGlvbiBMSVMiLCJzdGFydCI6IjIwMjUtMTEtMDEiLCJlbmQiOiIyMDI2LTAyLTI4IiwiYWN0dWFsIjoiRGVsYXllZCIsInBsYW5uZWQiOiJJbXBsZW1lbnRhdGlvbiBMSVMgRG9uZSIsInBjdCI6IjAiLCJjb25zdWx0YW50IjoiS3VueiBDaHJpc3RpbmEgKExJUy1NSFAgTWFuYWdlbWVudC0gdW5kIElUIEJlcmF0dW5nIEdtYkgpIiwibWFuYWdlciI6Ik1pZWxlbnogVGhvbWFzIChMTVQpIiwibGVhZCI6IlNwaWV0aCBUaW5hIChMSVMpIiwibm9kZUlkIjoibnxDUHxQbGFuIElUIHNlcnZpY2V8TDJ8QXBwcm92ZSBJVCBkZW1hbmQifV19LHsiaWQiOiJufENQfFBsYW4gSVQgc2VydmljZXxMMnxFdmFsdWF0ZSBhbmQgcXVhbGlmeSBJVCBkZW1hbmQiLCJ0eXBlIjoicHJvYyIsInBnIjoiQ1AiLCJsdmwiOiJMMiIsIm5hbWUiOiJFdmFsdWF0ZSBhbmQgcXVhbGlmeSBJVCBkZW1hbmQiLCJhc3NvY0wxIjoiUGxhbiBJVCBzZXJ2aWNlIiwiaW5kZW50IjoyLCJzb3J0S2V5IjoyMDAxLCJwYXJlbnRJZCI6Im58Q1B8UGxhbiBJVCBzZXJ2aWNlfEwxfFBsYW4gSVQgc2VydmljZSIsImNoaWxkcmVuIjpbIm58Q1B8UGxhbiBJVCBzZXJ2aWNlfEwzfEFuYWx5c2UgYXJjaGl0ZWN0dXJlIGltcGFjdCJdLCJpdGVtcyI6W3sicGciOiJDUCIsImwxIjoiUGxhbiBJVCBzZXJ2aWNlIiwicHJvYyI6IkV2YWx1YXRlIGFuZCBxdWFsaWZ5IElUIGRlbWFuZCIsImx2bCI6IkwyIiwicGhhc2UiOiJFbGFib3JhdGlvbiIsInN0YXJ0IjoiMjAyNS0wOC0wMSIsImVuZCI6IjIwMjUtMDgtMDEiLCJhY3R1YWwiOiJFbGFib3JhdGlvbiBEb25lIiwicGxhbm5lZCI6IkVsYWJvcmF0aW9uIERvbmUiLCJwY3QiOiIwLjAxIiwiY29uc3VsdGFudCI6Ikt1bnogQ2hyaXN0aW5hIChMSVMtTUhQIE1hbmFnZW1lbnQtIHVuZCBJVCBCZXJhdHVuZyBHbWJIKSIsIm1hbmFnZXIiOiJNaWVsZW56IFRob21hcyAoTE1UKSIsImxlYWQiOiJTcGlldGggVGluYSAoTElTKSIsIm5vZGVJZCI6Im58Q1B8UGxhbiBJVCBzZXJ2aWNlfEwyfEV2YWx1YXRlIGFuZCBxdWFsaWZ5IElUIGRlbWFuZCJ9LHsicGciOiJDUCIsImwxIjoiUGxhbiBJVCBzZXJ2aWNlIiwicHJvYyI6IkV2YWx1YXRlIGFuZCBxdWFsaWZ5IElUIGRlbWFuZCIsImx2bCI6IkwyIiwicGhhc2UiOiJJbXBsZW1lbnRhdGlvbiBDT1QiLCJzdGFydCI6IjIwMjUtMTEtMDMiLCJlbmQiOiIyMDI2LTAzLTMxIiwiYWN0dWFsIjoiRGVsYXllZCIsInBsYW5uZWQiOiJJbXBsZW1lbnRhdGlvbiBDT1QgRG9uZSIsInBjdCI6IjAiLCJjb25zdWx0YW50IjoiS3VueiBDaHJpc3RpbmEgKExJUy1NSFAgTWFuYWdlbWVudC0gdW5kIElUIEJlcmF0dW5nIEdtYkgpIiwibWFuYWdlciI6Ik1pZWxlbnogVGhvbWFzIChMTVQpIiwibGVhZCI6IlNwaWV0aCBUaW5hIChMSVMpIiwibm9kZUlkIjoibnxDUHxQbGFuIElUIHNlcnZpY2V8TDJ8RXZhbHVhdGUgYW5kIHF1YWxpZnkgSVQgZGVtYW5kIn0seyJwZyI6IkNQIiwibDEiOiJQbGFuIElUIHNlcnZpY2UiLCJwcm9jIjoiRXZhbHVhdGUgYW5kIHF1YWxpZnkgSVQgZGVtYW5kIiwibHZsIjoiTDIiLCJwaGFzZSI6IkltcGxlbWVudGF0aW9uIExJUyIsInN0YXJ0IjoiMjAyNS0xMS0wMSIsImVuZCI6IjIwMjYtMDItMjgiLCJhY3R1YWwiOiJEZWxheWVkIiwicGxhbm5lZCI6IkltcGxlbWVudGF0aW9uIExJUyBEb25lIiwicGN0IjoiMCIsImNvbnN1bHRhbnQiOiJLdW56IENocmlzdGluYSAoTElTLU1IUCBNYW5hZ2VtZW50LSB1bmQgSVQgQmVyYXR1bmcgR21iSCkiLCJtYW5hZ2VyIjoiTWllbGVueiBUaG9tYXMgKExNVCkiLCJsZWFkIjoiU3BpZXRoIFRpbmEgKExJUykiLCJub2RlSWQiOiJufENQfFBsYW4gSVQgc2VydmljZXxMMnxFdmFsdWF0ZSBhbmQgcXVhbGlmeSBJVCBkZW1hbmQifV19LHsiaWQiOiJufENQfFBsYW4gSVQgc2VydmljZXxMMnxQZXJmb3JtIGluaXRpYWwgYXNzZXNzbWVudCBvZiBjdXN0b21lciBuZWVkIiwidHlwZSI6InByb2MiLCJwZyI6IkNQIiwibHZsIjoiTDIiLCJuYW1lIjoiUGVyZm9ybSBpbml0aWFsIGFzc2Vzc21lbnQgb2YgY3VzdG9tZXIgbmVlZCIsImFzc29jTDEiOiJQbGFuIElUIHNlcnZpY2UiLCJpbmRlbnQiOjIsInNvcnRLZXkiOjIwMDEsInBhcmVudElkIjoibnxDUHxQbGFuIElUIHNlcnZpY2V8TDF8UGxhbiBJVCBzZXJ2aWNlIiwiY2hpbGRyZW4iOltdLCJpdGVtcyI6W3sicGciOiJDUCIsImwxIjoiUGxhbiBJVCBzZXJ2aWNlIiwicHJvYyI6IlBlcmZvcm0gaW5pdGlhbCBhc3Nlc3NtZW50IG9mIGN1c3RvbWVyIG5lZWQiLCJsdmwiOiJMMiIsInBoYXNlIjoiRWxhYm9yYXRpb24iLCJzdGFydCI6IjIwMjUtMDgtMDEiLCJlbmQiOiIyMDI1LTA4LTAxIiwiYWN0dWFsIjoiRWxhYm9yYXRpb24gRG9uZSIsInBsYW5uZWQiOiJFbGFib3JhdGlvbiBEb25lIiwicGN0IjoiMC4wMSIsImNvbnN1bHRhbnQiOiJLdW56IENocmlzdGluYSAoTElTLU1IUCBNYW5hZ2VtZW50LSB1bmQgSVQgQmVyYXR1bmcgR21iSCkiLCJtYW5hZ2VyIjoiTWllbGVueiBUaG9tYXMgKExNVCkiLCJsZWFkIjoiU3BpZXRoIFRpbmEgKExJUykiLCJub2RlSWQiOiJufENQfFBsYW4gSVQgc2VydmljZXxMMnxQZXJmb3JtIGluaXRpYWwgYXNzZXNzbWVudCBvZiBjdXN0b21lciBuZWVkIn0seyJwZyI6IkNQIiwibDEiOiJQbGFuIElUIHNlcnZpY2UiLCJwcm9jIjoiUGVyZm9ybSBpbml0aWFsIGFzc2Vzc21lbnQgb2YgY3VzdG9tZXIgbmVlZCIsImx2bCI6IkwyIiwicGhhc2UiOiJJbXBsZW1lbnRhdGlvbiBDT1QiLCJzdGFydCI6IjIwMjUtMTEtMDMiLCJlbmQiOiIyMDI2LTAzLTMxIiwiYWN0dWFsIjoiRGVsYXllZCIsInBsYW5uZWQiOiJJbXBsZW1lbnRhdGlvbiBDT1QgRG9uZSIsInBjdCI6IjAiLCJjb25zdWx0YW50IjoiS3VueiBDaHJpc3RpbmEgKExJUy1NSFAgTWFuYWdlbWVudC0gdW5kIElUIEJlcmF0dW5nIEdtYkgpIiwibWFuYWdlciI6Ik1pZWxlbnogVGhvbWFzIChMTVQpIiwibGVhZCI6IlNwaWV0aCBUaW5hIChMSVMpIiwibm9kZUlkIjoibnxDUHxQbGFuIElUIHNlcnZpY2V8TDJ8UGVyZm9ybSBpbml0aWFsIGFzc2Vzc21lbnQgb2YgY3VzdG9tZXIgbmVlZCJ9LHsicGciOiJDUCIsImwxIjoiUGxhbiBJVCBzZXJ2aWNlIiwicHJvYyI6IlBlcmZvcm0gaW5pdGlhbCBhc3Nlc3NtZW50IG9mIGN1c3RvbWVyIG5lZWQiLCJsdmwiOiJMMiIsInBoYXNlIjoiSW1wbGVtZW50YXRpb24gTElTIiwic3RhcnQiOiIyMDI1LTExLTAxIiwiZW5kIjoiMjAyNi0wMi0yOCIsImFjdHVhbCI6IkRlbGF5ZWQiLCJwbGFubmVkIjoiSW1wbGVtZW50YXRpb24gTElTIERvbmUiLCJwY3QiOiIwIiwiY29uc3VsdGFudCI6Ikt1bnogQ2hyaXN0aW5hIChMSVMtTUhQIE1hbmFnZW1lbnQtIHVuZCBJVCBCZXJhdHVuZyBHbWJIKSIsIm1hbmFnZXIiOiJNaWVsZW56IFRob21hcyAoTE1UKSIsImxlYWQiOiJTcGlldGggVGluYSAoTElTKSIsIm5vZGVJZCI6Im58Q1B8UGxhbiBJVCBzZXJ2aWNlfEwyfFBlcmZvcm0gaW5pdGlhbCBhc3Nlc3NtZW50IG9mIGN1c3RvbWVyIG5lZWQifV19LHsiaWQiOiJufENQfFBsYW4gSVQgc2VydmljZXxMMXxQbGFuIElUIHNlcnZpY2UiLCJ0eXBlIjoicHJvYyIsInBnIjoiQ1AiLCJsdmwiOiJMMSIsIm5hbWUiOiJQbGFuIElUIHNlcnZpY2UiLCJhc3NvY0wxIjoiUGxhbiBJVCBzZXJ2aWNlIiwiaW5kZW50IjoxLCJzb3J0S2V5IjoyMDAxLCJwYXJlbnRJZCI6InBnfENQIiwiY2hpbGRyZW4iOlsibnxDUHxQbGFuIElUIHNlcnZpY2V8TDJ8UGVyZm9ybSBpbml0aWFsIGFzc2Vzc21lbnQgb2YgY3VzdG9tZXIgbmVlZCIsIm58Q1B8UGxhbiBJVCBzZXJ2aWNlfEwyfEV2YWx1YXRlIGFuZCBxdWFsaWZ5IElUIGRlbWFuZCIsIm58Q1B8UGxhbiBJVCBzZXJ2aWNlfEwyfEFwcHJvdmUgSVQgZGVtYW5kIl0sIml0ZW1zIjpbeyJwZyI6IkNQIiwibDEiOiJQbGFuIElUIHNlcnZpY2UiLCJwcm9jIjoiUGxhbiBJVCBzZXJ2aWNlIiwibHZsIjoiTDEiLCJwaGFzZSI6IkVsYWJvcmF0aW9uIiwic3RhcnQiOiIyMDI1LTEwLTE2IiwiZW5kIjoiMjAyNS0xMC0zMSIsImFjdHVhbCI6IkVsYWJvcmF0aW9uIERvbmUiLCJwbGFubmVkIjoiRWxhYm9yYXRpb24gRG9uZSIsInBjdCI6IjAuMDEiLCJjb25zdWx0YW50IjoiS3VueiBDaHJpc3RpbmEgKExJUy1NSFAgTWFuYWdlbWVudC0gdW5kIElUIEJlcmF0dW5nIEdtYkgpIiwibWFuYWdlciI6Ik1pZWxlbnogVGhvbWFzIChMTVQpIiwibGVhZCI6IlNwaWV0aCBUaW5hIChMSVMpIiwibm9kZUlkIjoibnxDUHxQbGFuIElUIHNlcnZpY2V8TDF8UGxhbiBJVCBzZXJ2aWNlIn0seyJwZyI6IkNQIiwibDEiOiJQbGFuIElUIHNlcnZpY2UiLCJwcm9jIjoiUGxhbiBJVCBzZXJ2aWNlIiwibHZsIjoiTDEiLCJwaGFzZSI6IkltcGxlbWVudGF0aW9uIENPVCIsInN0YXJ0IjoiMjAyNS0xMS0wMyIsImVuZCI6IjIwMjYtMDMtMzEiLCJhY3R1YWwiOiJEZWxheWVkIiwicGxhbm5lZCI6IkltcGxlbWVudGF0aW9uIENPVCBEb25lIiwicGN0IjoiMCIsImNvbnN1bHRhbnQiOiJLdW56IENocmlzdGluYSAoTElTLU1IUCBNYW5hZ2VtZW50LSB1bmQgSVQgQmVyYXR1bmcgR21iSCkiLCJtYW5hZ2VyIjoiTWllbGVueiBUaG9tYXMgKExNVCkiLCJsZWFkIjoiU3BpZXRoIFRpbmEgKExJUykiLCJub2RlSWQiOiJufENQfFBsYW4gSVQgc2VydmljZXxMMXxQbGFuIElUIHNlcnZpY2UifSx7InBnIjoiQ1AiLCJsMSI6IlBsYW4gSVQgc2VydmljZSIsInByb2MiOiJQbGFuIElUIHNlcnZpY2UiLCJsdmwiOiJMMSIsInBoYXNlIjoiSW1wbGVtZW50YXRpb24gTElTIiwic3RhcnQiOiIyMDI1LTExLTAxIiwiZW5kIjoiMjAyNi0wMi0yOCIsImFjdHVhbCI6IkRlbGF5ZWQiLCJwbGFubmVkIjoiSW1wbGVtZW50YXRpb24gTElTIERvbmUiLCJwY3QiOiIwLjAwNzUiLCJjb25zdWx0YW50IjoiS3VueiBDaHJpc3RpbmEgKExJUy1NSFAgTWFuYWdlbWVudC0gdW5kIElUIEJlcmF0dW5nIEdtYkgpIiwibWFuYWdlciI6Ik1pZWxlbnogVGhvbWFzIChMTVQpIiwibGVhZCI6IlNwaWV0aCBUaW5hIChMSVMpIiwibm9kZUlkIjoibnxDUHxQbGFuIElUIHNlcnZpY2V8TDF8UGxhbiBJVCBzZXJ2aWNlIn1dfSx7ImlkIjoibnxDUHxCdWlsZCBJVCBTZXJ2aWNlfEwxfEJ1aWxkIElUIFNlcnZpY2UiLCJ0eXBlIjoicHJvYyIsInBnIjoiQ1AiLCJsdmwiOiJMMSIsIm5hbWUiOiJCdWlsZCBJVCBTZXJ2aWNlIiwiYXNzb2NMMSI6IkJ1aWxkIElUIFNlcnZpY2UiLCJpbmRlbnQiOjEsInNvcnRLZXkiOjIwMDIsInBhcmVudElkIjoicGd8Q1AiLCJjaGlsZHJlbiI6WyJufENQfEJ1aWxkIElUIFNlcnZpY2V8TDJ8RGVzaWduIElUIHNlcnZpY2UiLCJufENQfEJ1aWxkIElUIFNlcnZpY2V8TDJ8RGV2ZWxvcCBhbmQgY3VzdG9taXNlIElUIHNlcnZpY2UiLCJufENQfEJ1aWxkIElUIFNlcnZpY2V8TDJ8RGVwbG95IElUIHNlcnZpY2UiLCJufENQfEJ1aWxkIElUIFNlcnZpY2V8TDJ8VGVzdCBhbmQgdmFsaWRhdGUgSVQgc2VydmljZSIsIm58Q1B8QnVpbGQgSVQgU2VydmljZXxMMnxNYW5hZyBJVCBzZXJ2aWNlIGNoYW5nZSIsIm58Q1B8QnVpbGQgSVQgU2VydmljZXxMMnxNYW5hZ2UgSVQgc2VydmljZSByZWxlYXNlIl0sIml0ZW1zIjpbXX0seyJpZCI6Im58Q1B8QnVpbGQgSVQgU2VydmljZXxMNHxDb25kdWN0IG1hcmtldCBhbmFseXNpcyBhbmQgY29tcGlsZSBsb25nIG9yIHNob3J0IGxpc3QiLCJ0eXBlIjoicHJvYyIsInBnIjoiQ1AiLCJsdmwiOiJMNCIsIm5hbWUiOiJDb25kdWN0IG1hcmtldCBhbmFseXNpcyBhbmQgY29tcGlsZSBsb25nIG9yIHNob3J0IGxpc3QiLCJhc3NvY0wxIjoiQnVpbGQgSVQgU2VydmljZSIsImluZGVudCI6NCwic29ydEtleSI6MjAwMiwicGFyZW50SWQiOiJufENQfEJ1aWxkIElUIFNlcnZpY2V8TDN8UGVyZm9ybSBzb2Z0d2FyZSBzZWxlY3Rpb24iLCJjaGlsZHJlbiI6W10sIml0ZW1zIjpbeyJwZyI6IkNQIiwibDEiOiJCdWlsZCBJVCBTZXJ2aWNlIiwicHJvYyI6IkNvbmR1Y3QgbWFya2V0IGFuYWx5c2lzIGFuZCBjb21waWxlIGxvbmcgb3Igc2hvcnQgbGlzdCIsImx2bCI6Ikw0IiwicGhhc2UiOiJFbGFib3JhdGlvbiIsInN0YXJ0IjoiMjAyNS0xMC0wMSIsImVuZCI6IjIwMjUtMTAtMDEiLCJhY3R1YWwiOiJFbGFib3JhdGlvbiBEb25lIiwicGxhbm5lZCI6IkVsYWJvcmF0aW9uIERvbmUiLCJwY3QiOiIwLjAxIiwiY29uc3VsdGFudCI6IkhvZXJtYW5uIFBhdHJpY2sgKExMSSkiLCJtYW5hZ2VyIjoiUmVpbmVyIEhlaWtvIChIQVUtSVRTQSkiLCJsZWFkIjoiUHJlaXNzIE1hdHRoaWFzIChMQkMpIiwibm9kZUlkIjoibnxDUHxCdWlsZCBJVCBTZXJ2aWNlfEw0fENvbmR1Y3QgbWFya2V0IGFuYWx5c2lzIGFuZCBjb21waWxlIGxvbmcgb3Igc2hvcnQgbGlzdCJ9XX0seyJpZCI6Im58Q1B8QnVpbGQgSVQgU2VydmljZXxMM3xEZWZpbmUgc29sdXRpb24gdGFyZ2V0IGFyY2hpdGVjdHVyZSIsInR5cGUiOiJwcm9jIiwicGciOiJDUCIsImx2bCI6IkwzIiwibmFtZSI6IkRlZmluZSBzb2x1dGlvbiB0YXJnZXQgYXJjaGl0ZWN0dXJlIiwiYXNzb2NMMSI6IkJ1aWxkIElUIFNlcnZpY2UiLCJpbmRlbnQiOjMsInNvcnRLZXkiOjIwMDIsInBhcmVudElkIjoibnxDUHxCdWlsZCBJVCBTZXJ2aWNlfEwyfERlc2lnbiBJVCBzZXJ2aWNlIiwiY2hpbGRyZW4iOltdLCJpdGVtcyI6W3sicGciOiJDUCIsImwxIjoiQnVpbGQgSVQgU2VydmljZSIsInByb2MiOiJEZWZpbmUgc29sdXRpb24gdGFyZ2V0IGFyY2hpdGVjdHVyZSIsImx2bCI6IkwzIiwicGhhc2UiOiJFbGFib3JhdGlvbiIsInN0YXJ0IjoiMjAyNi0wMi0wNSIsImVuZCI6IjIwMjYtMDQtMjEiLCJhY3R1YWwiOiJFbGFib3JhdGlvbiBpbiBwcm9ncmVzcyIsInBsYW5uZWQiOiJFbGFib3JhdGlvbiBEb25lIiwicGN0IjoiMC4wMDUiLCJjb25zdWx0YW50IjoiSG9lcm1hbm4gUGF0cmljayAoTExJKSIsIm1hbmFnZXIiOiJOdXNzYmF1bWVyIEZsb3JpYW4gKExCQykiLCJsZWFkIjoiSGFtbWVyIE1hcmNvIChBRVIpIiwibm9kZUlkIjoibnxDUHxCdWlsZCBJVCBTZXJ2aWNlfEwzfERlZmluZSBzb2x1dGlvbiB0YXJnZXQgYXJjaGl0ZWN0dXJlIn0seyJwZyI6IkNQIiwibDEiOiJCdWlsZCBJVCBTZXJ2aWNlIiwicHJvYyI6IkRlZmluZSBzb2x1dGlvbiB0YXJnZXQgYXJjaGl0ZWN0dXJlIiwibHZsIjoiTDMiLCJwaGFzZSI6IkltcGxlbWVudGF0aW9uIENPVCIsInN0YXJ0IjoiMjAyNi0wNC0yMiIsImVuZCI6IjIwMjYtMDQtMjIiLCJhY3R1YWwiOiJEZWxheWVkIiwicGxhbm5lZCI6IkltcGxlbWVudGF0aW9uIENPVCBEb25lIiwicGN0IjoiMCIsImNvbnN1bHRhbnQiOiJIb2VybWFubiBQYXRyaWNrIChMTEkpIiwibWFuYWdlciI6Ik51c3NiYXVtZXIgRmxvcmlhbiAoTEJDKSIsImxlYWQiOiJIYW1tZXIgTWFyY28gKEFFUikiLCJub2RlSWQiOiJufENQfEJ1aWxkIElUIFNlcnZpY2V8TDN8RGVmaW5lIHNvbHV0aW9uIHRhcmdldCBhcmNoaXRlY3R1cmUifSx7InBnIjoiQ1AiLCJsMSI6IkJ1aWxkIElUIFNlcnZpY2UiLCJwcm9jIjoiRGVmaW5lIHNvbHV0aW9uIHRhcmdldCBhcmNoaXRlY3R1cmUiLCJsdmwiOiJMMyIsInBoYXNlIjoiSW1wbGVtZW50YXRpb24gTElTIiwic3RhcnQiOiIyMDI2LTA0LTIyIiwiZW5kIjoiMjAyNi0wNi0yMiIsImFjdHVhbCI6IkRlbGF5ZWQiLCJwbGFubmVkIjoiSW1wbGVtZW50YXRpb24gTElTIiwicGN0IjoiMCIsImNvbnN1bHRhbnQiOiJIb2VybWFubiBQYXRyaWNrIChMTEkpIiwibWFuYWdlciI6Ik51c3NiYXVtZXIgRmxvcmlhbiAoTEJDKSIsImxlYWQiOiJIYW1tZXIgTWFyY28gKEFFUikiLCJub2RlSWQiOiJufENQfEJ1aWxkIElUIFNlcnZpY2V8TDN8RGVmaW5lIHNvbHV0aW9uIHRhcmdldCBhcmNoaXRlY3R1cmUifSx7InBnIjoiQ1AiLCJsMSI6IkJ1aWxkIElUIFNlcnZpY2UiLCJwcm9jIjoiRGVmaW5lIHNvbHV0aW9uIHRhcmdldCBhcmNoaXRlY3R1cmUiLCJsdmwiOiJMMyIsInBoYXNlIjoiSW1wbGVtZW50YXRpb24gTFVTIiwic3RhcnQiOiIyMDI2LTAxLTE0IiwiZW5kIjoiMjAyNi0wMS0xNCIsImFjdHVhbCI6IkRlbGF5ZWQiLCJwbGFubmVkIjoiSW1wbGVtZW50YXRpb24gTFVTIERvbmUiLCJwY3QiOiIwIiwiY29uc3VsdGFudCI6IkhvZXJtYW5uIFBhdHJpY2sgKExMSSkiLCJtYW5hZ2VyIjoiTnVzc2JhdW1lciBGbG9yaWFuIChMQkMpIiwibGVhZCI6IkhhbW1lciBNYXJjbyAoQUVSKSIsIm5vZGVJZCI6Im58Q1B8QnVpbGQgSVQgU2VydmljZXxMM3xEZWZpbmUgc29sdXRpb24gdGFyZ2V0IGFyY2hpdGVjdHVyZSJ9XX0seyJpZCI6Im58Q1B8QnVpbGQgSVQgU2VydmljZXxMMnxEZXBsb3kgSVQgc2VydmljZSIsInR5cGUiOiJwcm9jIiwicGciOiJDUCIsImx2bCI6IkwyIiwibmFtZSI6IkRlcGxveSBJVCBzZXJ2aWNlIiwiYXNzb2NMMSI6IkJ1aWxkIElUIFNlcnZpY2UiLCJpbmRlbnQiOjIsInNvcnRLZXkiOjIwMDIsInBhcmVudElkIjoibnxDUHxCdWlsZCBJVCBTZXJ2aWNlfEwxfEJ1aWxkIElUIFNlcnZpY2UiLCJjaGlsZHJlbiI6W10sIml0ZW1zIjpbeyJwZyI6IkNQIiwibDEiOiJCdWlsZCBJVCBTZXJ2aWNlIiwicHJvYyI6IkRlcGxveSBJVCBzZXJ2aWNlIiwibHZsIjoiTDIiLCJwaGFzZSI6IkVsYWJvcmF0aW9uIiwic3RhcnQiOiIyMDI2LTA0LTE1IiwiZW5kIjoiMjAyNi0wNi0xNSIsImFjdHVhbCI6IkRlbGF5ZWQiLCJwbGFubmVkIjoiRWxhYm9yYXRpb24gaW4gcHJvZ3Jlc3MiLCJwY3QiOiIwIiwiY29uc3VsdGFudCI6Ikt1bnogQ2hyaXN0aW5hIChMSVMtTUhQIE1hbmFnZW1lbnQtIHVuZCBJVCBCZXJhdHVuZyBHbWJIKSIsIm1hbmFnZXIiOiJXaWVoZSBBbGV4YW5kZXIgKENPQikiLCJsZWFkIjoiRGFsZWsgTWFydGluIChMSVMpIiwibm9kZUlkIjoibnxDUHxCdWlsZCBJVCBTZXJ2aWNlfEwyfERlcGxveSBJVCBzZXJ2aWNlIn0seyJwZyI6IkNQIiwibDEiOiJCdWlsZCBJVCBTZXJ2aWNlIiwicHJvYyI6IkRlcGxveSBJVCBzZXJ2aWNlIiwibHZsIjoiTDIiLCJwaGFzZSI6IkltcGxlbWVudGF0aW9uIExJUyIsInN0YXJ0IjoiMjAyNi0wNy0xNSIsImVuZCI6IjIwMjYtMDgtMzEiLCJhY3R1YWwiOiIiLCJwbGFubmVkIjoiU2NoZWR1bGVkIiwicGN0IjoiMCIsImNvbnN1bHRhbnQiOiJLdW56IENocmlzdGluYSAoTElTLU1IUCBNYW5hZ2VtZW50LSB1bmQgSVQgQmVyYXR1bmcgR21iSCkiLCJtYW5hZ2VyIjoiV2llaGUgQWxleGFuZGVyIChDT0IpIiwibGVhZCI6IkRhbGVrIE1hcnRpbiAoTElTKSIsIm5vZGVJZCI6Im58Q1B8QnVpbGQgSVQgU2VydmljZXxMMnxEZXBsb3kgSVQgc2VydmljZSJ9XX0seyJpZCI6Im58Q1B8QnVpbGQgSVQgU2VydmljZXxMMnxEZXNpZ24gSVQgc2VydmljZSIsInR5cGUiOiJwcm9jIiwicGciOiJDUCIsImx2bCI6IkwyIiwibmFtZSI6IkRlc2lnbiBJVCBzZXJ2aWNlIiwiYXNzb2NMMSI6IkJ1aWxkIElUIFNlcnZpY2UiLCJpbmRlbnQiOjIsInNvcnRLZXkiOjIwMDIsInBhcmVudElkIjoibnxDUHxCdWlsZCBJVCBTZXJ2aWNlfEwxfEJ1aWxkIElUIFNlcnZpY2UiLCJjaGlsZHJlbiI6WyJufENQfEJ1aWxkIElUIFNlcnZpY2V8TDN8RGVmaW5lIHNvbHV0aW9uIHRhcmdldCBhcmNoaXRlY3R1cmUiLCJufENQfEJ1aWxkIElUIFNlcnZpY2V8TDN8UGVyZm9ybSBzb2Z0d2FyZSBzZWxlY3Rpb24iXSwiaXRlbXMiOlt7InBnIjoiQ1AiLCJsMSI6IkJ1aWxkIElUIFNlcnZpY2UiLCJwcm9jIjoiRGVzaWduIElUIHNlcnZpY2UiLCJsdmwiOiJMMiIsInBoYXNlIjoiRWxhYm9yYXRpb24iLCJzdGFydCI6IjIwMjYtMDItMTYiLCJlbmQiOiIyMDI2LTA1LTE1IiwiYWN0dWFsIjoiRGVsYXllZCIsInBsYW5uZWQiOiJFbGFib3JhdGlvbiBpbiBwcm9ncmVzcyIsInBjdCI6IjAiLCJjb25zdWx0YW50IjoiS3VueiBDaHJpc3RpbmEgKExJUy1NSFAgTWFuYWdlbWVudC0gdW5kIElUIEJlcmF0dW5nIEdtYkgpIiwibWFuYWdlciI6IldpZWhlIEFsZXhhbmRlciAoQ09CKSIsImxlYWQiOiJEYWxlayBNYXJ0aW4gKExJUykiLCJub2RlSWQiOiJufENQfEJ1aWxkIElUIFNlcnZpY2V8TDJ8RGVzaWduIElUIHNlcnZpY2UifSx7InBnIjoiQ1AiLCJsMSI6IkJ1aWxkIElUIFNlcnZpY2UiLCJwcm9jIjoiRGVzaWduIElUIHNlcnZpY2UiLCJsdmwiOiJMMiIsInBoYXNlIjoiSW1wbGVtZW50YXRpb24gTElTIiwic3RhcnQiOiIyMDI2LTA1LTE4IiwiZW5kIjoiMjAyNi0wOC0xNCIsImFjdHVhbCI6IiIsInBsYW5uZWQiOiJTY2hlZHVsZWQiLCJwY3QiOiIwIiwiY29uc3VsdGFudCI6Ikt1bnogQ2hyaXN0aW5hIChMSVMtTUhQIE1hbmFnZW1lbnQtIHVuZCBJVCBCZXJhdHVuZyBHbWJIKSIsIm1hbmFnZXIiOiJXaWVoZSBBbGV4YW5kZXIgKENPQikiLCJsZWFkIjoiRGFsZWsgTWFydGluIChMSVMpIiwibm9kZUlkIjoibnxDUHxCdWlsZCBJVCBTZXJ2aWNlfEwyfERlc2lnbiBJVCBzZXJ2aWNlIn1dfSx7ImlkIjoibnxDUHxCdWlsZCBJVCBTZXJ2aWNlfEwyfERldmVsb3AgYW5kIGN1c3RvbWlzZSBJVCBzZXJ2aWNlIiwidHlwZSI6InByb2MiLCJwZyI6IkNQIiwibHZsIjoiTDIiLCJuYW1lIjoiRGV2ZWxvcCBhbmQgY3VzdG9taXNlIElUIHNlcnZpY2UiLCJhc3NvY0wxIjoiQnVpbGQgSVQgU2VydmljZSIsImluZGVudCI6Miwic29ydEtleSI6MjAwMiwicGFyZW50SWQiOiJufENQfEJ1aWxkIElUIFNlcnZpY2V8TDF8QnVpbGQgSVQgU2VydmljZSIsImNoaWxkcmVuIjpbXSwiaXRlbXMiOlt7InBnIjoiQ1AiLCJsMSI6IkJ1aWxkIElUIFNlcnZpY2UiLCJwcm9jIjoiRGV2ZWxvcCBhbmQgY3VzdG9taXNlIElUIHNlcnZpY2UiLCJsdmwiOiJMMiIsInBoYXNlIjoiRWxhYm9yYXRpb24iLCJzdGFydCI6IjIwMjYtMDItMTYiLCJlbmQiOiIyMDI2LTA1LTE1IiwiYWN0dWFsIjoiRGVsYXllZCIsInBsYW5uZWQiOiJFbGFib3JhdGlvbiBpbiBwcm9ncmVzcyIsInBjdCI6IjAiLCJjb25zdWx0YW50IjoiS3VueiBDaHJpc3RpbmEgKExJUy1NSFAgTWFuYWdlbWVudC0gdW5kIElUIEJlcmF0dW5nIEdtYkgpIiwibWFuYWdlciI6IldpZWhlIEFsZXhhbmRlciAoQ09CKSIsImxlYWQiOiJEYWxlayBNYXJ0aW4gKExJUykiLCJub2RlSWQiOiJufENQfEJ1aWxkIElUIFNlcnZpY2V8TDJ8RGV2ZWxvcCBhbmQgY3VzdG9taXNlIElUIHNlcnZpY2UifSx7InBnIjoiQ1AiLCJsMSI6IkJ1aWxkIElUIFNlcnZpY2UiLCJwcm9jIjoiRGV2ZWxvcCBhbmQgY3VzdG9taXNlIElUIHNlcnZpY2UiLCJsdmwiOiJMMiIsInBoYXNlIjoiSW1wbGVtZW50YXRpb24gTElTIiwic3RhcnQiOiIyMDI1LTA1LTI2IiwiZW5kIjoiMjAyNS0wOC0xNSIsImFjdHVhbCI6IkRlbGF5ZWQiLCJwbGFubmVkIjoiSW1wbGVtZW50YXRpb24gTElTIERvbmUiLCJwY3QiOiIwIiwiY29uc3VsdGFudCI6Ikt1bnogQ2hyaXN0aW5hIChMSVMtTUhQIE1hbmFnZW1lbnQtIHVuZCBJVCBCZXJhdHVuZyBHbWJIKSIsIm1hbmFnZXIiOiJXaWVoZSBBbGV4YW5kZXIgKENPQikiLCJsZWFkIjoiRGFsZWsgTWFydGluIChMSVMpIiwibm9kZUlkIjoibnxDUHxCdWlsZCBJVCBTZXJ2aWNlfEwyfERldmVsb3AgYW5kIGN1c3RvbWlzZSBJVCBzZXJ2aWNlIn1dfSx7ImlkIjoibnxDUHxCdWlsZCBJVCBTZXJ2aWNlfEwyfE1hbmFnIElUIHNlcnZpY2UgY2hhbmdlIiwidHlwZSI6InByb2MiLCJwZyI6IkNQIiwibHZsIjoiTDIiLCJuYW1lIjoiTWFuYWcgSVQgc2VydmljZSBjaGFuZ2UiLCJhc3NvY0wxIjoiQnVpbGQgSVQgU2VydmljZSIsImluZGVudCI6Miwic29ydEtleSI6MjAwMiwicGFyZW50SWQiOiJufENQfEJ1aWxkIElUIFNlcnZpY2V8TDF8QnVpbGQgSVQgU2VydmljZSIsImNoaWxkcmVuIjpbXSwiaXRlbXMiOlt7InBnIjoiQ1AiLCJsMSI6IkJ1aWxkIElUIFNlcnZpY2UiLCJwcm9jIjoiTWFuYWcgSVQgc2VydmljZSBjaGFuZ2UiLCJsdmwiOiJMMiIsInBoYXNlIjoiRWxhYm9yYXRpb24iLCJzdGFydCI6IjIwMjYtMDEtMTIiLCJlbmQiOiIyMDI2LTAzLTE4IiwiYWN0dWFsIjoiRWxhYm9yYXRpb24gRG9uZSIsInBsYW5uZWQiOiJFbGFib3JhdGlvbiBEb25lIiwicGN0IjoiMC4wMSIsImNvbnN1bHRhbnQiOiJLdW56IENocmlzdGluYSAoTElTLU1IUCBNYW5hZ2VtZW50LSB1bmQgSVQgQmVyYXR1bmcgR21iSCk7RnJhbmsgTWFyZW4gKExJUykiLCJtYW5hZ2VyIjoiV2llaGUgQWxleGFuZGVyIChDT0IpIiwibGVhZCI6IlNpbnQgUmFjaGVsIChMQkgpIiwibm9kZUlkIjoibnxDUHxCdWlsZCBJVCBTZXJ2aWNlfEwyfE1hbmFnIElUIHNlcnZpY2UgY2hhbmdlIn0seyJwZyI6IkNQIiwibDEiOiJCdWlsZCBJVCBTZXJ2aWNlIiwicHJvYyI6Ik1hbmFnIElUIHNlcnZpY2UgY2hhbmdlIiwibHZsIjoiTDIiLCJwaGFzZSI6IkltcGxlbWVudGF0aW9uIExJUyIsInN0YXJ0IjoiMjAyNi0wNC0xNSIsImVuZCI6IjIwMjYtMDYtMzAiLCJhY3R1YWwiOiJEZWxheWVkIiwicGxhbm5lZCI6IkltcGxlbWVudGF0aW9uIExJUyIsInBjdCI6IjAiLCJjb25zdWx0YW50IjoiS3VueiBDaHJpc3RpbmEgKExJUy1NSFAgTWFuYWdlbWVudC0gdW5kIElUIEJlcmF0dW5nIEdtYkgpO0ZyYW5rIE1hcmVuIChMSVMpIiwibWFuYWdlciI6IldpZWhlIEFsZXhhbmRlciAoQ09CKSIsImxlYWQiOiJTaW50IFJhY2hlbCAoTEJIKSIsIm5vZGVJZCI6Im58Q1B8QnVpbGQgSVQgU2VydmljZXxMMnxNYW5hZyBJVCBzZXJ2aWNlIGNoYW5nZSJ9XX0seyJpZCI6Im58Q1B8QnVpbGQgSVQgU2VydmljZXxMMnxNYW5hZ2UgSVQgc2VydmljZSByZWxlYXNlIiwidHlwZSI6InByb2MiLCJwZyI6IkNQIiwibHZsIjoiTDIiLCJuYW1lIjoiTWFuYWdlIElUIHNlcnZpY2UgcmVsZWFzZSIsImFzc29jTDEiOiJCdWlsZCBJVCBTZXJ2aWNlIiwiaW5kZW50IjoyLCJzb3J0S2V5IjoyMDAyLCJwYXJlbnRJZCI6Im58Q1B8QnVpbGQgSVQgU2VydmljZXxMMXxCdWlsZCBJVCBTZXJ2aWNlIiwiY2hpbGRyZW4iOltdLCJpdGVtcyI6W3sicGciOiJDUCIsImwxIjoiQnVpbGQgSVQgU2VydmljZSIsInByb2MiOiJNYW5hZ2UgSVQgc2VydmljZSByZWxlYXNlIiwibHZsIjoiTDIiLCJwaGFzZSI6IkVsYWJvcmF0aW9uIiwic3RhcnQiOiIyMDI2LTAyLTIwIiwiZW5kIjoiMjAyNi0wNS0wOCIsImFjdHVhbCI6IkVsYWJvcmF0aW9uIGluIHByb2dyZXNzIiwicGxhbm5lZCI6IkVsYWJvcmF0aW9uIGluIHByb2dyZXNzIiwicGN0IjoiMC4wMDUiLCJjb25zdWx0YW50IjoiS3VueiBDaHJpc3RpbmEgKExJUy1NSFAgTWFuYWdlbWVudC0gdW5kIElUIEJlcmF0dW5nIEdtYkgpO0ZyYW5rIE1hcmVuIChMSVMpIiwibWFuYWdlciI6IldpZWhlIEFsZXhhbmRlciAoQ09CKSIsImxlYWQiOiJTaW50IFJhY2hlbCAoTEJIKSIsIm5vZGVJZCI6Im58Q1B8QnVpbGQgSVQgU2VydmljZXxMMnxNYW5hZ2UgSVQgc2VydmljZSByZWxlYXNlIn0seyJwZyI6IkNQIiwibDEiOiJCdWlsZCBJVCBTZXJ2aWNlIiwicHJvYyI6Ik1hbmFnZSBJVCBzZXJ2aWNlIHJlbGVhc2UiLCJsdmwiOiJMMiIsInBoYXNlIjoiSW1wbGVtZW50YXRpb24gTElTIiwic3RhcnQiOiIyMDI2LTA0LTE1IiwiZW5kIjoiMjAyNi0wNi0zMCIsImFjdHVhbCI6IkRlbGF5ZWQiLCJwbGFubmVkIjoiSW1wbGVtZW50YXRpb24gTElTIiwicGN0IjoiMCIsImNvbnN1bHRhbnQiOiJLdW56IENocmlzdGluYSAoTElTLU1IUCBNYW5hZ2VtZW50LSB1bmQgSVQgQmVyYXR1bmcgR21iSCk7RnJhbmsgTWFyZW4gKExJUykiLCJtYW5hZ2VyIjoiV2llaGUgQWxleGFuZGVyIChDT0IpIiwibGVhZCI6IlNpbnQgUmFjaGVsIChMQkgpIiwibm9kZUlkIjoibnxDUHxCdWlsZCBJVCBTZXJ2aWNlfEwyfE1hbmFnZSBJVCBzZXJ2aWNlIHJlbGVhc2UifV19LHsiaWQiOiJufENQfEJ1aWxkIElUIFNlcnZpY2V8TDN8UGVyZm9ybSBzb2Z0d2FyZSBzZWxlY3Rpb24iLCJ0eXBlIjoicHJvYyIsInBnIjoiQ1AiLCJsdmwiOiJMMyIsIm5hbWUiOiJQZXJmb3JtIHNvZnR3YXJlIHNlbGVjdGlvbiIsImFzc29jTDEiOiJCdWlsZCBJVCBTZXJ2aWNlIiwiaW5kZW50IjozLCJzb3J0S2V5IjoyMDAyLCJwYXJlbnRJZCI6Im58Q1B8QnVpbGQgSVQgU2VydmljZXxMMnxEZXNpZ24gSVQgc2VydmljZSIsImNoaWxkcmVuIjpbIm58Q1B8QnVpbGQgSVQgU2VydmljZXxMNHxSZWNvcmQgYW5kIHBsYW4gZnVuY3Rpb25hbCByZXF1aXJlbWVudHMiLCJufENQfEJ1aWxkIElUIFNlcnZpY2V8TDR8Q29uZHVjdCBtYXJrZXQgYW5hbHlzaXMgYW5kIGNvbXBpbGUgbG9uZyBvciBzaG9ydCBsaXN0IiwibnxDUHxCdWlsZCBJVCBTZXJ2aWNlfEw0fFBlcmZvcm0gdmVuZG9yIHVzZSBjYXNlIHBpdGNoIGFuZCB1c2FiaWxpdHkgdGVzdCIsIm58Q1B8QnVpbGQgSVQgU2VydmljZXxMNHxWYWxpZGF0ZSBzdHJhdGVnaWMgZml0IiwibnxDUHxCdWlsZCBJVCBTZXJ2aWNlfEw0fFJlY29tbWVuZGF0aW9uIGFuZCBFQSBhcHByb3ZhbCJdLCJpdGVtcyI6W3sicGciOiJDUCIsImwxIjoiQnVpbGQgSVQgU2VydmljZSIsInByb2MiOiJQZXJmb3JtIHNvZnR3YXJlIHNlbGVjdGlvbiIsImx2bCI6IkwzIiwicGhhc2UiOiJFbGFib3JhdGlvbiIsInN0YXJ0IjoiMjAyNS0xMC0wMSIsImVuZCI6IjIwMjUtMTItMjMiLCJhY3R1YWwiOiJFbGFib3JhdGlvbiBEb25lIiwicGxhbm5lZCI6IkVsYWJvcmF0aW9uIERvbmUiLCJwY3QiOiIwLjAxIiwiY29uc3VsdGFudCI6IkhvZXJtYW5uIFBhdHJpY2sgKExMSSkiLCJtYW5hZ2VyIjoiUmVpbmVyIEhlaWtvIChIQVUtSVRTQSkiLCJsZWFkIjoiUHJlaXNzIE1hdHRoaWFzIChMQkMpIiwibm9kZUlkIjoibnxDUHxCdWlsZCBJVCBTZXJ2aWNlfEwzfFBlcmZvcm0gc29mdHdhcmUgc2VsZWN0aW9uIn0seyJwZyI6IkNQIiwibDEiOiJCdWlsZCBJVCBTZXJ2aWNlIiwicHJvYyI6IlBlcmZvcm0gc29mdHdhcmUgc2VsZWN0aW9uIiwibHZsIjoiTDMiLCJwaGFzZSI6IkltcGxlbWVudGF0aW9uIENPVCIsInN0YXJ0IjoiMjAyNS0xMC0xNiIsImVuZCI6IjIwMjUtMTItMzEiLCJhY3R1YWwiOiJEZWxheWVkIiwicGxhbm5lZCI6IkltcGxlbWVudGF0aW9uIENPVCBEb25lIiwicGN0IjoiMCIsImNvbnN1bHRhbnQiOiJIb2VybWFubiBQYXRyaWNrIChMTEkpIiwibWFuYWdlciI6IlJlaW5lciBIZWlrbyAoSEFVLUlUU0EpIiwibGVhZCI6IlByZWlzcyBNYXR0aGlhcyAoTEJDKSIsIm5vZGVJZCI6Im58Q1B8QnVpbGQgSVQgU2VydmljZXxMM3xQZXJmb3JtIHNvZnR3YXJlIHNlbGVjdGlvbiJ9LHsicGciOiJDUCIsImwxIjoiQnVpbGQgSVQgU2VydmljZSIsInByb2MiOiJQZXJmb3JtIHNvZnR3YXJlIHNlbGVjdGlvbiIsImx2bCI6IkwzIiwicGhhc2UiOiJJbXBsZW1lbnRhdGlvbiBMSVMiLCJzdGFydCI6IjIwMjYtMDItMTYiLCJlbmQiOiIyMDI2LTA0LTMwIiwiYWN0dWFsIjoiRGVsYXllZCIsInBsYW5uZWQiOiJJbXBsZW1lbnRhdGlvbiBMSVMiLCJwY3QiOiIwIiwiY29uc3VsdGFudCI6IkhvZXJtYW5uIFBhdHJpY2sgKExMSSkiLCJtYW5hZ2VyIjoiUmVpbmVyIEhlaWtvIChIQVUtSVRTQSkiLCJsZWFkIjoiUHJlaXNzIE1hdHRoaWFzIChMQkMpIiwibm9kZUlkIjoibnxDUHxCdWlsZCBJVCBTZXJ2aWNlfEwzfFBlcmZvcm0gc29mdHdhcmUgc2VsZWN0aW9uIn1dfSx7ImlkIjoibnxDUHxCdWlsZCBJVCBTZXJ2aWNlfEw0fFBlcmZvcm0gdmVuZG9yIHVzZSBjYXNlIHBpdGNoIGFuZCB1c2FiaWxpdHkgdGVzdCIsInR5cGUiOiJwcm9jIiwicGciOiJDUCIsImx2bCI6Ikw0IiwibmFtZSI6IlBlcmZvcm0gdmVuZG9yIHVzZSBjYXNlIHBpdGNoIGFuZCB1c2FiaWxpdHkgdGVzdCIsImFzc29jTDEiOiJCdWlsZCBJVCBTZXJ2aWNlIiwiaW5kZW50Ijo0LCJzb3J0S2V5IjoyMDAyLCJwYXJlbnRJZCI6Im58Q1B8QnVpbGQgSVQgU2VydmljZXxMM3xQZXJmb3JtIHNvZnR3YXJlIHNlbGVjdGlvbiIsImNoaWxkcmVuIjpbXSwiaXRlbXMiOlt7InBnIjoiQ1AiLCJsMSI6IkJ1aWxkIElUIFNlcnZpY2UiLCJwcm9jIjoiUGVyZm9ybSB2ZW5kb3IgdXNlIGNhc2UgcGl0Y2ggYW5kIHVzYWJpbGl0eSB0ZXN0IiwibHZsIjoiTDQiLCJwaGFzZSI6IkVsYWJvcmF0aW9uIiwic3RhcnQiOiIyMDI1LTEwLTAxIiwiZW5kIjoiMjAyNS0xMC0wMSIsImFjdHVhbCI6IkVsYWJvcmF0aW9uIERvbmUiLCJwbGFubmVkIjoiRWxhYm9yYXRpb24gRG9uZSIsInBjdCI6IjAuMDEiLCJjb25zdWx0YW50IjoiSG9lcm1hbm4gUGF0cmljayAoTExJKSIsIm1hbmFnZXIiOiJSZWluZXIgSGVpa28gKEhBVS1JVFNBKSIsImxlYWQiOiJQcmVpc3MgTWF0dGhpYXMgKExCQykiLCJub2RlSWQiOiJufENQfEJ1aWxkIElUIFNlcnZpY2V8TDR8UGVyZm9ybSB2ZW5kb3IgdXNlIGNhc2UgcGl0Y2ggYW5kIHVzYWJpbGl0eSB0ZXN0In1dfSx7ImlkIjoibnxDUHxCdWlsZCBJVCBTZXJ2aWNlfEw0fFJlY29tbWVuZGF0aW9uIGFuZCBFQSBhcHByb3ZhbCIsInR5cGUiOiJwcm9jIiwicGciOiJDUCIsImx2bCI6Ikw0IiwibmFtZSI6IlJlY29tbWVuZGF0aW9uIGFuZCBFQSBhcHByb3ZhbCIsImFzc29jTDEiOiJCdWlsZCBJVCBTZXJ2aWNlIiwiaW5kZW50Ijo0LCJzb3J0S2V5IjoyMDAyLCJwYXJlbnRJZCI6Im58Q1B8QnVpbGQgSVQgU2VydmljZXxMM3xQZXJmb3JtIHNvZnR3YXJlIHNlbGVjdGlvbiIsImNoaWxkcmVuIjpbXSwiaXRlbXMiOlt7InBnIjoiQ1AiLCJsMSI6IkJ1aWxkIElUIFNlcnZpY2UiLCJwcm9jIjoiUmVjb21tZW5kYXRpb24gYW5kIEVBIGFwcHJvdmFsIiwibHZsIjoiTDQiLCJwaGFzZSI6IkVsYWJvcmF0aW9uIiwic3RhcnQiOiIyMDI1LTEwLTAxIiwiZW5kIjoiMjAyNS0xMC0wMSIsImFjdHVhbCI6IkVsYWJvcmF0aW9uIERvbmUiLCJwbGFubmVkIjoiRWxhYm9yYXRpb24gRG9uZSIsInBjdCI6IjAuMDEiLCJjb25zdWx0YW50IjoiSG9lcm1hbm4gUGF0cmljayAoTExJKSIsIm1hbmFnZXIiOiJSZWluZXIgSGVpa28gKEhBVS1JVFNBKSIsImxlYWQiOiJQcmVpc3MgTWF0dGhpYXMgKExCQykiLCJub2RlSWQiOiJufENQfEJ1aWxkIElUIFNlcnZpY2V8TDR8UmVjb21tZW5kYXRpb24gYW5kIEVBIGFwcHJvdmFsIn1dfSx7ImlkIjoibnxDUHxCdWlsZCBJVCBTZXJ2aWNlfEw0fFJlY29yZCBhbmQgcGxhbiBmdW5jdGlvbmFsIHJlcXVpcmVtZW50cyIsInR5cGUiOiJwcm9jIiwicGciOiJDUCIsImx2bCI6Ikw0IiwibmFtZSI6IlJlY29yZCBhbmQgcGxhbiBmdW5jdGlvbmFsIHJlcXVpcmVtZW50cyIsImFzc29jTDEiOiJCdWlsZCBJVCBTZXJ2aWNlIiwiaW5kZW50Ijo0LCJzb3J0S2V5IjoyMDAyLCJwYXJlbnRJZCI6Im58Q1B8QnVpbGQgSVQgU2VydmljZXxMM3xQZXJmb3JtIHNvZnR3YXJlIHNlbGVjdGlvbiIsImNoaWxkcmVuIjpbXSwiaXRlbXMiOlt7InBnIjoiQ1AiLCJsMSI6IkJ1aWxkIElUIFNlcnZpY2UiLCJwcm9jIjoiUmVjb3JkIGFuZCBwbGFuIGZ1bmN0aW9uYWwgcmVxdWlyZW1lbnRzIiwibHZsIjoiTDQiLCJwaGFzZSI6IkVsYWJvcmF0aW9uIiwic3RhcnQiOiIyMDI1LTEwLTAxIiwiZW5kIjoiMjAyNS0xMC0wMSIsImFjdHVhbCI6IkVsYWJvcmF0aW9uIERvbmUiLCJwbGFubmVkIjoiRWxhYm9yYXRpb24gRG9uZSIsInBjdCI6IjAuMDEiLCJjb25zdWx0YW50IjoiSG9lcm1hbm4gUGF0cmljayAoTExJKSIsIm1hbmFnZXIiOiJSZWluZXIgSGVpa28gKEhBVS1JVFNBKSIsImxlYWQiOiJQcmVpc3MgTWF0dGhpYXMgKExCQykiLCJub2RlSWQiOiJufENQfEJ1aWxkIElUIFNlcnZpY2V8TDR8UmVjb3JkIGFuZCBwbGFuIGZ1bmN0aW9uYWwgcmVxdWlyZW1lbnRzIn1dfSx7ImlkIjoibnxDUHxCdWlsZCBJVCBTZXJ2aWNlfEwyfFRlc3QgYW5kIHZhbGlkYXRlIElUIHNlcnZpY2UiLCJ0eXBlIjoicHJvYyIsInBnIjoiQ1AiLCJsdmwiOiJMMiIsIm5hbWUiOiJUZXN0IGFuZCB2YWxpZGF0ZSBJVCBzZXJ2aWNlIiwiYXNzb2NMMSI6IkJ1aWxkIElUIFNlcnZpY2UiLCJpbmRlbnQiOjIsInNvcnRLZXkiOjIwMDIsInBhcmVudElkIjoibnxDUHxCdWlsZCBJVCBTZXJ2aWNlfEwxfEJ1aWxkIElUIFNlcnZpY2UiLCJjaGlsZHJlbiI6W10sIml0ZW1zIjpbeyJwZyI6IkNQIiwibDEiOiJCdWlsZCBJVCBTZXJ2aWNlIiwicHJvYyI6IlRlc3QgYW5kIHZhbGlkYXRlIElUIHNlcnZpY2UiLCJsdmwiOiJMMiIsInBoYXNlIjoiRWxhYm9yYXRpb24iLCJzdGFydCI6IjIwMjYtMDQtMTUiLCJlbmQiOiIyMDI2LTA2LTE1IiwiYWN0dWFsIjoiRGVsYXllZCIsInBsYW5uZWQiOiJFbGFib3JhdGlvbiBpbiBwcm9ncmVzcyIsInBjdCI6IjAiLCJjb25zdWx0YW50IjoiS3VueiBDaHJpc3RpbmEgKExJUy1NSFAgTWFuYWdlbWVudC0gdW5kIElUIEJlcmF0dW5nIEdtYkgpIiwibWFuYWdlciI6IldpZWhlIEFsZXhhbmRlciAoQ09CKSIsImxlYWQiOiJEYWxlayBNYXJ0aW4gKExJUykiLCJub2RlSWQiOiJufENQfEJ1aWxkIElUIFNlcnZpY2V8TDJ8VGVzdCBhbmQgdmFsaWRhdGUgSVQgc2VydmljZSJ9LHsicGciOiJDUCIsImwxIjoiQnVpbGQgSVQgU2VydmljZSIsInByb2MiOiJUZXN0IGFuZCB2YWxpZGF0ZSBJVCBzZXJ2aWNlIiwibHZsIjoiTDIiLCJwaGFzZSI6IkltcGxlbWVudGF0aW9uIExJUyIsInN0YXJ0IjoiMjAyNi0wNy0xNSIsImVuZCI6IjIwMjYtMDgtMzEiLCJhY3R1YWwiOiIiLCJwbGFubmVkIjoiU2NoZWR1bGVkIiwicGN0IjoiMCIsImNvbnN1bHRhbnQiOiJLdW56IENocmlzdGluYSAoTElTLU1IUCBNYW5hZ2VtZW50LSB1bmQgSVQgQmVyYXR1bmcgR21iSCkiLCJtYW5hZ2VyIjoiV2llaGUgQWxleGFuZGVyIChDT0IpIiwibGVhZCI6IkRhbGVrIE1hcnRpbiAoTElTKSIsIm5vZGVJZCI6Im58Q1B8QnVpbGQgSVQgU2VydmljZXxMMnxUZXN0IGFuZCB2YWxpZGF0ZSBJVCBzZXJ2aWNlIn1dfSx7ImlkIjoibnxDUHxCdWlsZCBJVCBTZXJ2aWNlfEw0fFZhbGlkYXRlIHN0cmF0ZWdpYyBmaXQiLCJ0eXBlIjoicHJvYyIsInBnIjoiQ1AiLCJsdmwiOiJMNCIsIm5hbWUiOiJWYWxpZGF0ZSBzdHJhdGVnaWMgZml0IiwiYXNzb2NMMSI6IkJ1aWxkIElUIFNlcnZpY2UiLCJpbmRlbnQiOjQsInNvcnRLZXkiOjIwMDIsInBhcmVudElkIjoibnxDUHxCdWlsZCBJVCBTZXJ2aWNlfEwzfFBlcmZvcm0gc29mdHdhcmUgc2VsZWN0aW9uIiwiY2hpbGRyZW4iOltdLCJpdGVtcyI6W3sicGciOiJDUCIsImwxIjoiQnVpbGQgSVQgU2VydmljZSIsInByb2MiOiJWYWxpZGF0ZSBzdHJhdGVnaWMgZml0IiwibHZsIjoiTDQiLCJwaGFzZSI6IkVsYWJvcmF0aW9uIiwic3RhcnQiOiIyMDI1LTEwLTAxIiwiZW5kIjoiMjAyNS0xMC0wMSIsImFjdHVhbCI6IkVsYWJvcmF0aW9uIERvbmUiLCJwbGFubmVkIjoiRWxhYm9yYXRpb24gRG9uZSIsInBjdCI6IjAuMDEiLCJjb25zdWx0YW50IjoiSG9lcm1hbm4gUGF0cmljayAoTExJKSIsIm1hbmFnZXIiOiJSZWluZXIgSGVpa28gKEhBVS1JVFNBKSIsImxlYWQiOiJQcmVpc3MgTWF0dGhpYXMgKExCQykiLCJub2RlSWQiOiJufENQfEJ1aWxkIElUIFNlcnZpY2V8TDR8VmFsaWRhdGUgc3RyYXRlZ2ljIGZpdCJ9XX0seyJpZCI6Im58Q1B8RGVsaXZlciBJVCBzZXJ2aWNlfEwxfERlbGl2ZXIgSVQgc2VydmljZSIsInR5cGUiOiJwcm9jIiwicGciOiJDUCIsImx2bCI6IkwxIiwibmFtZSI6IkRlbGl2ZXIgSVQgc2VydmljZSIsImFzc29jTDEiOiJEZWxpdmVyIElUIHNlcnZpY2UiLCJpbmRlbnQiOjEsInNvcnRLZXkiOjIwMDMsInBhcmVudElkIjoicGd8Q1AiLCJjaGlsZHJlbiI6WyJufENQfERlbGl2ZXIgSVQgc2VydmljZXxMMnxNYW5hZ2UgSVQgc2VydmljZSBwcm92aXNpb24gcmVxdWVzdCIsIm58Q1B8RGVsaXZlciBJVCBzZXJ2aWNlfEwyfEhhbmRsZSBJVCBzZXJ2aWNlIG9yZGVyIl0sIml0ZW1zIjpbXX0seyJpZCI6Im58Q1B8RGVsaXZlciBJVCBzZXJ2aWNlfEwyfEhhbmRsZSBJVCBzZXJ2aWNlIG9yZGVyIiwidHlwZSI6InByb2MiLCJwZyI6IkNQIiwibHZsIjoiTDIiLCJuYW1lIjoiSGFuZGxlIElUIHNlcnZpY2Ugb3JkZXIiLCJhc3NvY0wxIjoiRGVsaXZlciBJVCBzZXJ2aWNlIiwiaW5kZW50IjoyLCJzb3J0S2V5IjoyMDAzLCJwYXJlbnRJZCI6Im58Q1B8RGVsaXZlciBJVCBzZXJ2aWNlfEwxfERlbGl2ZXIgSVQgc2VydmljZSIsImNoaWxkcmVuIjpbXSwiaXRlbXMiOlt7InBnIjoiQ1AiLCJsMSI6IkRlbGl2ZXIgSVQgc2VydmljZSIsInByb2MiOiJIYW5kbGUgSVQgc2VydmljZSBvcmRlciIsImx2bCI6IkwyIiwicGhhc2UiOiJFbGFib3JhdGlvbiIsInN0YXJ0IjoiMjAyNi0wNC0wMSIsImVuZCI6IjIwMjYtMDYtMTciLCJhY3R1YWwiOiJEZWxheWVkIiwicGxhbm5lZCI6IkVsYWJvcmF0aW9uIGluIHByb2dyZXNzIiwicGN0IjoiMCIsImNvbnN1bHRhbnQiOiJIb2VybWFubiBQYXRyaWNrIChMTEkpIiwibWFuYWdlciI6IlNjaG51cnJlbmJlcmdlciBDaHJpc3RvcGggKExJUy1MSU4pIiwibGVhZCI6Ikt1ZXJzY2huZXIgUGhpbGlwcCAoTElTKSIsIm5vZGVJZCI6Im58Q1B8RGVsaXZlciBJVCBzZXJ2aWNlfEwyfEhhbmRsZSBJVCBzZXJ2aWNlIG9yZGVyIn0seyJwZyI6IkNQIiwibDEiOiJEZWxpdmVyIElUIHNlcnZpY2UiLCJwcm9jIjoiSGFuZGxlIElUIHNlcnZpY2Ugb3JkZXIiLCJsdmwiOiJMMiIsInBoYXNlIjoiSW1wbGVtZW50YXRpb24gTElTIiwic3RhcnQiOiIyMDI2LTA0LTAxIiwiZW5kIjoiMjAyNi0wNi0xNSIsImFjdHVhbCI6IkRlbGF5ZWQiLCJwbGFubmVkIjoiSW1wbGVtZW50YXRpb24gTElTIiwicGN0IjoiMCIsImNvbnN1bHRhbnQiOiJIb2VybWFubiBQYXRyaWNrIChMTEkpIiwibWFuYWdlciI6IlNjaG51cnJlbmJlcmdlciBDaHJpc3RvcGggKExJUy1MSU4pIiwibGVhZCI6Ikt1ZXJzY2huZXIgUGhpbGlwcCAoTElTKSIsIm5vZGVJZCI6Im58Q1B8RGVsaXZlciBJVCBzZXJ2aWNlfEwyfEhhbmRsZSBJVCBzZXJ2aWNlIG9yZGVyIn1dfSx7ImlkIjoibnxDUHxEZWxpdmVyIElUIHNlcnZpY2V8TDJ8TWFuYWdlIElUIHNlcnZpY2UgcHJvdmlzaW9uIHJlcXVlc3QiLCJ0eXBlIjoicHJvYyIsInBnIjoiQ1AiLCJsdmwiOiJMMiIsIm5hbWUiOiJNYW5hZ2UgSVQgc2VydmljZSBwcm92aXNpb24gcmVxdWVzdCIsImFzc29jTDEiOiJEZWxpdmVyIElUIHNlcnZpY2UiLCJpbmRlbnQiOjIsInNvcnRLZXkiOjIwMDMsInBhcmVudElkIjoibnxDUHxEZWxpdmVyIElUIHNlcnZpY2V8TDF8RGVsaXZlciBJVCBzZXJ2aWNlIiwiY2hpbGRyZW4iOltdLCJpdGVtcyI6W3sicGciOiJDUCIsImwxIjoiRGVsaXZlciBJVCBzZXJ2aWNlIiwicHJvYyI6Ik1hbmFnZSBJVCBzZXJ2aWNlIHByb3Zpc2lvbiByZXF1ZXN0IiwibHZsIjoiTDIiLCJwaGFzZSI6IkVsYWJvcmF0aW9uIiwic3RhcnQiOiIyMDI2LTA0LTAxIiwiZW5kIjoiMjAyNi0wNi0xNyIsImFjdHVhbCI6IkRlbGF5ZWQiLCJwbGFubmVkIjoiRWxhYm9yYXRpb24gaW4gcHJvZ3Jlc3MiLCJwY3QiOiIwIiwiY29uc3VsdGFudCI6IkhvZXJtYW5uIFBhdHJpY2sgKExMSSkiLCJtYW5hZ2VyIjoiU2NobnVycmVuYmVyZ2VyIENocmlzdG9waCAoTElTLUxJTikiLCJsZWFkIjoiS3VlcnNjaG5lciBQaGlsaXBwIChMSVMpIiwibm9kZUlkIjoibnxDUHxEZWxpdmVyIElUIHNlcnZpY2V8TDJ8TWFuYWdlIElUIHNlcnZpY2UgcHJvdmlzaW9uIHJlcXVlc3QifSx7InBnIjoiQ1AiLCJsMSI6IkRlbGl2ZXIgSVQgc2VydmljZSIsInByb2MiOiJNYW5hZ2UgSVQgc2VydmljZSBwcm92aXNpb24gcmVxdWVzdCI</t>
  </si>
  <si>
    <t>sImx2bCI6IkwyIiwicGhhc2UiOiJJbXBsZW1lbnRhdGlvbiBMSVMiLCJzdGFydCI6IjIwMjYtMDQtMDEiLCJlbmQiOiIyMDI2LTA2LTE1IiwiYWN0dWFsIjoiRGVsYXllZCIsInBsYW5uZWQiOiJJbXBsZW1lbnRhdGlvbiBMSVMiLCJwY3QiOiIwIiwiY29uc3VsdGFudCI6IkhvZXJtYW5uIFBhdHJpY2sgKExMSSkiLCJtYW5hZ2VyIjoiU2NobnVycmVuYmVyZ2VyIENocmlzdG9waCAoTElTLUxJTikiLCJsZWFkIjoiS3VlcnNjaG5lciBQaGlsaXBwIChMSVMpIiwibm9kZUlkIjoibnxDUHxEZWxpdmVyIElUIHNlcnZpY2V8TDJ8TWFuYWdlIElUIHNlcnZpY2UgcHJvdmlzaW9uIHJlcXVlc3QifV19LHsiaWQiOiJufENQfFJ1biBJVCBzZXJ2aWNlfEwzfEhhbmRsZSBJVCBJbmNpZGVudCIsInR5cGUiOiJwcm9jIiwicGciOiJDUCIsImx2bCI6IkwzIiwibmFtZSI6IkhhbmRsZSBJVCBJbmNpZGVudCIsImFzc29jTDEiOiJSdW4gSVQgc2VydmljZSIsImluZGVudCI6Mywic29ydEtleSI6MjAwNCwicGFyZW50SWQiOiJufENQfFJ1biBJVCBzZXJ2aWNlfEwyfFByb3ZpZGUgSVQgc2VydmljZSBzdXBwb3J0IiwiY2hpbGRyZW4iOltdLCJpdGVtcyI6W3sicGciOiJDUCIsImwxIjoiUnVuIElUIHNlcnZpY2UiLCJwcm9jIjoiSGFuZGxlIElUIEluY2lkZW50IiwibHZsIjoiTDMiLCJwaGFzZSI6IkVsYWJvcmF0aW9uIiwic3RhcnQiOiIyMDI2LTAxLTEzIiwiZW5kIjoiMjAyNi0wMy0xOSIsImFjdHVhbCI6IkVsYWJvcmF0aW9uIGluIHByb2dyZXNzIiwicGxhbm5lZCI6IkVsYWJvcmF0aW9uIERvbmUiLCJwY3QiOiIwLjAwNzUiLCJjb25zdWx0YW50IjoiU2Nocm9lZGVyIE1pY2hhZWwgKExJUykiLCJtYW5hZ2VyIjoiU2ludCBSYWNoZWwgKExCSCkiLCJsZWFkIjoiS3VlcnNjaG5lciBQaGlsaXBwIChMSVMpIiwibm9kZUlkIjoibnxDUHxSdW4gSVQgc2VydmljZXxMM3xIYW5kbGUgSVQgSW5jaWRlbnQifV19LHsiaWQiOiJufENQfFJ1biBJVCBzZXJ2aWNlfEwzfEhhbmRsZSBJVCBwcm9ibGVtIiwidHlwZSI6InByb2MiLCJwZyI6IkNQIiwibHZsIjoiTDMiLCJuYW1lIjoiSGFuZGxlIElUIHByb2JsZW0iLCJhc3NvY0wxIjoiUnVuIElUIHNlcnZpY2UiLCJpbmRlbnQiOjMsInNvcnRLZXkiOjIwMDQsInBhcmVudElkIjoibnxDUHxSdW4gSVQgc2VydmljZXxMMnxQcm92aWRlIElUIHNlcnZpY2Ugc3VwcG9ydCIsImNoaWxkcmVuIjpbXSwiaXRlbXMiOlt7InBnIjoiQ1AiLCJsMSI6IlJ1biBJVCBzZXJ2aWNlIiwicHJvYyI6IkhhbmRsZSBJVCBwcm9ibGVtIiwibHZsIjoiTDMiLCJwaGFzZSI6IkVsYWJvcmF0aW9uIiwic3RhcnQiOiIyMDI2LTAxLTEzIiwiZW5kIjoiMjAyNi0wMy0xOSIsImFjdHVhbCI6IkVsYWJvcmF0aW9uIGluIHByb2dyZXNzIiwicGxhbm5lZCI6IkVsYWJvcmF0aW9uIERvbmUiLCJwY3QiOiIwLjAwNzUiLCJjb25zdWx0YW50IjoiU2Nocm9lZGVyIE1pY2hhZWwgKExJUykiLCJtYW5hZ2VyIjoiU2ludCBSYWNoZWwgKExCSCkiLCJsZWFkIjoiS3VlcnNjaG5lciBQaGlsaXBwIChMSVMpIiwibm9kZUlkIjoibnxDUHxSdW4gSVQgc2VydmljZXxMM3xIYW5kbGUgSVQgcHJvYmxlbSJ9XX0seyJpZCI6Im58Q1B8UnVuIElUIHNlcnZpY2V8TDN8SGFuZGxlIElUIHNlcnZpY2UgcmVxdWVzdCIsInR5cGUiOiJwcm9jIiwicGciOiJDUCIsImx2bCI6IkwzIiwibmFtZSI6IkhhbmRsZSBJVCBzZXJ2aWNlIHJlcXVlc3QiLCJhc3NvY0wxIjoiUnVuIElUIHNlcnZpY2UiLCJpbmRlbnQiOjMsInNvcnRLZXkiOjIwMDQsInBhcmVudElkIjoibnxDUHxSdW4gSVQgc2VydmljZXxMMnxQcm92aWRlIElUIHNlcnZpY2Ugc3VwcG9ydCIsImNoaWxkcmVuIjpbXSwiaXRlbXMiOlt7InBnIjoiQ1AiLCJsMSI6IlJ1biBJVCBzZXJ2aWNlIiwicHJvYyI6IkhhbmRsZSBJVCBzZXJ2aWNlIHJlcXVlc3QiLCJsdmwiOiJMMyIsInBoYXNlIjoiRWxhYm9yYXRpb24iLCJzdGFydCI6IjIwMjYtMDItMDIiLCJlbmQiOiIyMDI2LTAzLTE5IiwiYWN0dWFsIjoiRWxhYm9yYXRpb24gRG9uZSIsInBsYW5uZWQiOiJFbGFib3JhdGlvbiBEb25lIiwicGN0IjoiMC4wMSIsImNvbnN1bHRhbnQiOiJGcmFuayBNYXJlbiAoTElTKSIsIm1hbmFnZXIiOiJTaW50IFJhY2hlbCAoTEJIKSIsImxlYWQiOiJLdWVyc2NobmVyIFBoaWxpcHAgKExJUykiLCJub2RlSWQiOiJufENQfFJ1biBJVCBzZXJ2aWNlfEwzfEhhbmRsZSBJVCBzZXJ2aWNlIHJlcXVlc3QifV19LHsiaWQiOiJufENQfFJ1biBJVCBzZXJ2aWNlfEwzfE1haW50YWluIENNREIiLCJ0eXBlIjoicHJvYyIsInBnIjoiQ1AiLCJsdmwiOiJMMyIsIm5hbWUiOiJNYWludGFpbiBDTURCIiwiYXNzb2NMMSI6IlJ1biBJVCBzZXJ2aWNlIiwiaW5kZW50IjozLCJzb3J0S2V5IjoyMDA0LCJwYXJlbnRJZCI6Im58Q1B8UnVuIElUIHNlcnZpY2V8TDJ8T3BlcmF0ZSBhbmQgbWFpbnRhaW4gSVQgc2VydmljZSIsImNoaWxkcmVuIjpbXSwiaXRlbXMiOlt7InBnIjoiQ1AiLCJsMSI6IlJ1biBJVCBzZXJ2aWNlIiwicHJvYyI6Ik1haW50YWluIENNREIiLCJsdmwiOiJMMyIsInBoYXNlIjoiRWxhYm9yYXRpb24iLCJzdGFydCI6IjIwMjYtMDEtMTQiLCJlbmQiOiIyMDI2LTA1LTIwIiwiYWN0dWFsIjoiRWxhYm9yYXRpb24gaW4gcHJvZ3Jlc3MiLCJwbGFubmVkIjoiRWxhYm9yYXRpb24gaW4gcHJvZ3Jlc3MiLCJwY3QiOiIwLjAwNSIsImNvbnN1bHRhbnQiOiJTY2hyb2VkZXIgTWljaGFlbCAoTElTKSIsIm1hbmFnZXIiOiJTaW50IFJhY2hlbCAoTEJIKSIsImxlYWQiOiJLcmV0eiBMdWNhcyAoQ09DLUNPVC1JVCkiLCJub2RlSWQiOiJufENQfFJ1biBJVCBzZXJ2aWNlfEwzfE1haW50YWluIENNREIifV19LHsiaWQiOiJufENQfFJ1biBJVCBzZXJ2aWNlfEwyfE9wZXJhdGUgYW5kIG1haW50YWluIElUIHNlcnZpY2UiLCJ0eXBlIjoicHJvYyIsInBnIjoiQ1AiLCJsdmwiOiJMMiIsIm5hbWUiOiJPcGVyYXRlIGFuZCBtYWludGFpbiBJVCBzZXJ2aWNlIiwiYXNzb2NMMSI6IlJ1biBJVCBzZXJ2aWNlIiwiaW5kZW50IjoyLCJzb3J0S2V5IjoyMDA0LCJwYXJlbnRJZCI6Im58Q1B8UnVuIElUIHNlcnZpY2V8TDF8UnVuIElUIHNlcnZpY2UiLCJjaGlsZHJlbiI6WyJufENQfFJ1biBJVCBzZXJ2aWNlfEwzfE1haW50YWluIENNREIiXSwiaXRlbXMiOlt7InBnIjoiQ1AiLCJsMSI6IlJ1biBJVCBzZXJ2aWNlIiwicHJvYyI6Ik9wZXJhdGUgYW5kIG1haW50YWluIElUIHNlcnZpY2UiLCJsdmwiOiJMMiIsInBoYXNlIjoiRWxhYm9yYXRpb24iLCJzdGFydCI6IjIwMjYtMDEtMTIiLCJlbmQiOiIyMDI2LTA2LTMwIiwiYWN0dWFsIjoiRGVsYXllZCIsInBsYW5uZWQiOiJFbGFib3JhdGlvbiBpbiBwcm9ncmVzcyIsInBjdCI6IjAiLCJjb25zdWx0YW50IjoiU2Nocm9lZGVyIE1pY2hhZWwgKExJUykiLCJtYW5hZ2VyIjoiU2ludCBSYWNoZWwgKExCSCkiLCJsZWFkIjoiS3JldHogTHVjYXMgKENPQy1DT1QtSVQpIiwibm9kZUlkIjoibnxDUHxSdW4gSVQgc2VydmljZXxMMnxPcGVyYXRlIGFuZCBtYWludGFpbiBJVCBzZXJ2aWNlIn0seyJwZyI6IkNQIiwibDEiOiJSdW4gSVQgc2VydmljZSIsInByb2MiOiJPcGVyYXRlIGFuZCBtYWludGFpbiBJVCBzZXJ2aWNlIiwibHZsIjoiTDIiLCJwaGFzZSI6IkltcGxlbWVudGF0aW9uIExJUyIsInN0YXJ0IjoiMjAyNi0wNC0xNSIsImVuZCI6IjIwMjYtMDYtMzAiLCJhY3R1YWwiOiJEZWxheWVkIiwicGxhbm5lZCI6IkltcGxlbWVudGF0aW9uIExJUyIsInBjdCI6IjAiLCJjb25zdWx0YW50IjoiU2Nocm9lZGVyIE1pY2hhZWwgKExJUykiLCJtYW5hZ2VyIjoiU2ludCBSYWNoZWwgKExCSCkiLCJsZWFkIjoiS3JldHogTHVjYXMgKENPQy1DT1QtSVQpIiwibm9kZUlkIjoibnxDUHxSdW4gSVQgc2VydmljZXxMMnxPcGVyYXRlIGFuZCBtYWludGFpbiBJVCBzZXJ2aWNlIn1dfSx7ImlkIjoibnxDUHxSdW4gSVQgc2VydmljZXxMMnxQcm92aWRlIElUIHNlcnZpY2Ugc3VwcG9ydCIsInR5cGUiOiJwcm9jIiwicGciOiJDUCIsImx2bCI6IkwyIiwibmFtZSI6IlByb3ZpZGUgSVQgc2VydmljZSBzdXBwb3J0IiwiYXNzb2NMMSI6IlJ1biBJVCBzZXJ2aWNlIiwiaW5kZW50IjoyLCJzb3J0S2V5IjoyMDA0LCJwYXJlbnRJZCI6Im58Q1B8UnVuIElUIHNlcnZpY2V8TDF8UnVuIElUIHNlcnZpY2UiLCJjaGlsZHJlbiI6WyJufENQfFJ1biBJVCBzZXJ2aWNlfEwzfEhhbmRsZSBJVCBJbmNpZGVudCIsIm58Q1B8UnVuIElUIHNlcnZpY2V8TDN8SGFuZGxlIElUIHByb2JsZW0iLCJufENQfFJ1biBJVCBzZXJ2aWNlfEwzfEhhbmRsZSBJVCBzZXJ2aWNlIHJlcXVlc3QiXSwiaXRlbXMiOlt7InBnIjoiQ1AiLCJsMSI6IlJ1biBJVCBzZXJ2aWNlIiwicHJvYyI6IlByb3ZpZGUgSVQgc2VydmljZSBzdXBwb3J0IiwibHZsIjoiTDIiLCJwaGFzZSI6IkVsYWJvcmF0aW9uIiwic3RhcnQiOiIyMDI2LTAxLTEyIiwiZW5kIjoiMjAyNi0wMy0zMCIsImFjdHVhbCI6IkRlbGF5ZWQiLCJwbGFubmVkIjoiRWxhYm9yYXRpb24gRG9uZSIsInBjdCI6IjAiLCJjb25zdWx0YW50IjoiU2Nocm9lZGVyIE1pY2hhZWwgKExJUykiLCJtYW5hZ2VyIjoiU2ludCBSYWNoZWwgKExCSCkiLCJsZWFkIjoiS3VlcnNjaG5lciBQaGlsaXBwIChMSVMpIiwibm9kZUlkIjoibnxDUHxSdW4gSVQgc2VydmljZXxMMnxQcm92aWRlIElUIHNlcnZpY2Ugc3VwcG9ydCJ9LHsicGciOiJDUCIsImwxIjoiUnVuIElUIHNlcnZpY2UiLCJwcm9jIjoiUHJvdmlkZSBJVCBzZXJ2aWNlIHN1cHBvcnQiLCJsdmwiOiJMMiIsInBoYXNlIjoiSW1wbGVtZW50YXRpb24gTElTIiwic3RhcnQiOiIyMDI2LTA0LTAxIiwiZW5kIjoiMjAyNi0wNi0xNSIsImFjdHVhbCI6IkRlbGF5ZWQiLCJwbGFubmVkIjoiSW1wbGVtZW50YXRpb24gTElTIiwicGN0IjoiMCIsImNvbnN1bHRhbnQiOiJTY2hyb2VkZXIgTWljaGFlbCAoTElTKSIsIm1hbmFnZXIiOiJTaW50IFJhY2hlbCAoTEJIKSIsImxlYWQiOiJLdWVyc2NobmVyIFBoaWxpcHAgKExJUykiLCJub2RlSWQiOiJufENQfFJ1biBJVCBzZXJ2aWNlfEwyfFByb3ZpZGUgSVQgc2VydmljZSBzdXBwb3J0In1dfSx7ImlkIjoibnxDUHxSdW4gSVQgc2VydmljZXxMMXxSdW4gSVQgc2VydmljZSIsInR5cGUiOiJwcm9jIiwicGciOiJDUCIsImx2bCI6IkwxIiwibmFtZSI6IlJ1biBJVCBzZXJ2aWNlIiwiYXNzb2NMMSI6IlJ1biBJVCBzZXJ2aWNlIiwiaW5kZW50IjoxLCJzb3J0S2V5IjoyMDA0LCJwYXJlbnRJZCI6InBnfENQIiwiY2hpbGRyZW4iOlsibnxDUHxSdW4gSVQgc2VydmljZXxMMnxPcGVyYXRlIGFuZCBtYWludGFpbiBJVCBzZXJ2aWNlIiwibnxDUHxSdW4gSVQgc2VydmljZXxMMnxQcm92aWRlIElUIHNlcnZpY2Ugc3VwcG9ydCJdLCJpdGVtcyI6W3sicGciOiJDUCIsImwxIjoiUnVuIElUIHNlcnZpY2UiLCJwcm9jIjoiUnVuIElUIHNlcnZpY2UiLCJsdmwiOiJMMSIsInBoYXNlIjoiRWxhYm9yYXRpb24iLCJzdGFydCI6IjIwMjUtMTAtMTYiLCJlbmQiOiIyMDI2LTA2LTMwIiwiYWN0dWFsIjoiRGVsYXllZCIsInBsYW5uZWQiOiJFbGFib3JhdGlvbiBpbiBwcm9ncmVzcyIsInBjdCI6IjAiLCJjb25zdWx0YW50IjoiU2Nocm9lZGVyIE1pY2hhZWwgKExJUyk7QsO2aG1lIE1hdHRoaWFzIChleHQuKSIsIm1hbmFnZXIiOiJTaW50IFJhY2hlbCAoTEJIKSIsImxlYWQiOiJPZXkgS2FpIChMSVMpIiwibm9kZUlkIjoibnxDUHxSdW4gSVQgc2VydmljZXxMMXxSdW4gSVQgc2VydmljZSJ9XX0seyJpZCI6InBnfFNQIiwidHlwZSI6InBnIiwicGciOiJTUCIsImx2bCI6IkwwIiwibmFtZSI6IlNQIiwiYXNzb2NMMSI6IiIsImluZGVudCI6MCwic29ydEtleSI6MCwicGFyZW50SWQiOm51bGwsImNoaWxkcmVuIjpbIm58U1B8RW5zdXJlIEluZm9ybWF0aW9uIHNlY3VyaXR5fEwxfEVuc3VyZSBJbmZvcm1hdGlvbiBzZWN1cml0eSIsIm58U1B8TWFuYWdlIElUIHByb2plY3R8TDF8TWFuYWdlIElUIHByb2plY3QiLCJufFNQfE1hbmFnZSBJVCBzb3VyY2luZyBhbmQgcHJvY3VyZW1lbnR8TDF8TWFuYWdlIElUIHNvdXJjaW5nIGFuZCBwcm9jdXJlbWVudCIsIm58U1B8UHJvdmlkZSBhbmQgZGV2ZWxvcCBJVCB3b3JrZm9yY2V8TDF8UHJvdmlkZSBhbmQgZGV2ZWxvcCBJVCB3b3JrZm9yY2UiLCJufFNQfEVuc3VyZSBwZXJmb3JtYW5jZSBhbmQgY29uZm9ybWFuY2Ugb2YgSVQgc2VydmljZXN8TDF8RW5zdXJlIHBlcmZvcm1hbmNlIGFuZCBjb25mb3JtYW5jZSBvZiBJVCBzZXJ2aWNlcyIsIm58U1B8TWFuYWdlIElUIGtub3dsZWRnZXxMMXxNYW5hZ2UgSVQga25vd2xlZGdlIl0sIml0ZW1zIjpbXX0seyJpZCI6Im58U1B8RW5zdXJlIEluZm9ybWF0aW9uIHNlY3VyaXR5fEwxfEVuc3VyZSBJbmZvcm1hdGlvbiBzZWN1cml0eSIsInR5cGUiOiJwcm9jIiwicGciOiJTUCIsImx2bCI6IkwxIiwibmFtZSI6IkVuc3VyZSBJbmZvcm1hdGlvbiBzZWN1cml0eSIsImFzc29jTDEiOiJFbnN1cmUgSW5mb3JtYXRpb24gc2VjdXJpdHkiLCJpbmRlbnQiOjEsInNvcnRLZXkiOjMwMDEsInBhcmVudElkIjoicGd8U1AiLCJjaGlsZHJlbiI6WyJufFNQfEVuc3VyZSBJbmZvcm1hdGlvbiBzZWN1cml0eXxMMnxQZXJmb3JtIFNhYVMgU2VjdXJpdHkgQXNzZXNzbWVudCJdLCJpdGVtcyI6W119LHsiaWQiOiJufFNQfEVuc3VyZSBJbmZvcm1hdGlvbiBzZWN1cml0eXxMMnxQZXJmb3JtIFNhYVMgU2VjdXJpdHkgQXNzZXNzbWVudCIsInR5cGUiOiJwcm9jIiwicGciOiJTUCIsImx2bCI6IkwyIiwibmFtZSI6IlBlcmZvcm0gU2FhUyBTZWN1cml0eSBBc3Nlc3NtZW50IiwiYXNzb2NMMSI6IkVuc3VyZSBJbmZvcm1hdGlvbiBzZWN1cml0eSIsImluZGVudCI6Miwic29ydEtleSI6MzAwMSwicGFyZW50SWQiOiJufFNQfEVuc3VyZSBJbmZvcm1hdGlvbiBzZWN1cml0eXxMMXxFbnN1cmUgSW5mb3JtYXRpb24gc2VjdXJpdHkiLCJjaGlsZHJlbiI6W10sIml0ZW1zIjpbeyJwZyI6IlNQIiwibDEiOiJFbnN1cmUgSW5mb3JtYXRpb24gc2VjdXJpdHkiLCJwcm9jIjoiUGVyZm9ybSBTYWFTIFNlY3VyaXR5IEFzc2Vzc21lbnQiLCJsdmwiOiJMMiIsInBoYXNlIjoiRWxhYm9yYXRpb24iLCJzdGFydCI6IjIwMjUtMTAtMTkiLCJlbmQiOiIyMDI2LTA0LTMwIiwiYWN0dWFsIjoiRWxhYm9yYXRpb24gaW4gcHJvZ3Jlc3MiLCJwbGFubmVkIjoiRWxhYm9yYXRpb24gaW4gcHJvZ3Jlc3MiLCJwY3QiOiIwLjAwNSIsImNvbnN1bHRhbnQiOiJIb2VybWFubiBQYXRyaWNrIChMTEkpO1JvbGxpbmdlciBBbGV4YW5kZXIgKExJUykiLCJtYW5hZ2VyIjoiUmVpbmVyIEhlaWtvIChIQVUtSVRTQSkiLCJsZWFkIjoiSGVmZWxlIE1pY2hhZWwgKExJTi1MSVMpIiwibm9kZUlkIjoibnxTUHxFbnN1cmUgSW5mb3JtYXRpb24gc2VjdXJpdHl8TDJ8UGVyZm9ybSBTYWFTIFNlY3VyaXR5IEFzc2Vzc21lbnQifV19LHsiaWQiOiJufFNQfE1hbmFnZSBJVCBwcm9qZWN0fEwyfENsb3NlIElUIHByb2plY3QiLCJ0eXBlIjoicHJvYyIsInBnIjoiU1AiLCJsdmwiOiJMMiIsIm5hbWUiOiJDbG9zZSBJVCBwcm9qZWN0IiwiYXNzb2NMMSI6Ik1hbmFnZSBJVCBwcm9qZWN0IiwiaW5kZW50IjoyLCJzb3J0S2V5IjozMDAyLCJwYXJlbnRJZCI6Im58U1B8TWFuYWdlIElUIHByb2plY3R8TDF8TWFuYWdlIElUIHByb2plY3QiLCJjaGlsZHJlbiI6W10sIml0ZW1zIjpbeyJwZyI6IlNQIiwibDEiOiJNYW5hZ2UgSVQgcHJvamVjdCIsInByb2MiOiJDbG9zZSBJVCBwcm9qZWN0IiwibHZsIjoiTDIiLCJwaGFzZSI6IkVsYWJvcmF0aW9uIiwic3RhcnQiOiIyMDI1LTExLTExIiwiZW5kIjoiMjAyNS0xMi0xMCIsImFjdHVhbCI6IkVsYWJvcmF0aW9uIERvbmUiLCJwbGFubmVkIjoiRWxhYm9yYXRpb24gRG9uZSIsInBjdCI6IjAuMDEiLCJjb25zdWx0YW50IjoiRnJhbmsgTWFyZW4gKExJUykiLCJtYW5hZ2VyIjoiUm9sbGluZ2VyIEFsZXhhbmRlciAoTElTKSIsImxlYWQiOiJNw7xobGJhY2hlciBDaHJpc3RpYW4gKExJUykiLCJub2RlSWQiOiJufFNQfE1hbmFnZSBJVCBwcm9qZWN0fEwyfENsb3NlIElUIHByb2plY3QifV19LHsiaWQiOiJufFNQfE1hbmFnZSBJVCBwcm9qZWN0fEwyfEluaXRpYXRlIElUIHByb2plY3QiLCJ0eXBlIjoicHJvYyIsInBnIjoiU1AiLCJsdmwiOiJMMiIsIm5hbWUiOiJJbml0aWF0ZSBJVCBwcm9qZWN0IiwiYXNzb2NMMSI6Ik1hbmFnZSBJVCBwcm9qZWN0IiwiaW5kZW50IjoyLCJzb3J0S2V5IjozMDAyLCJwYXJlbnRJZCI6Im58U1B8TWFuYWdlIElUIHByb2plY3R8TDF8TWFuYWdlIElUIHByb2plY3QiLCJjaGlsZHJlbiI6W10sIml0ZW1zIjpbeyJwZyI6IlNQIiwibDEiOiJNYW5hZ2UgSVQgcHJvamVjdCIsInByb2MiOiJJbml0aWF0ZSBJVCBwcm9qZWN0IiwibHZsIjoiTDIiLCJwaGFzZSI6IkVsYWJvcmF0aW9uIiwic3RhcnQiOiIyMDI1LTExLTExIiwiZW5kIjoiMjAyNS0xMi0xMCIsImFjdHVhbCI6IkVsYWJvcmF0aW9uIERvbmUiLCJwbGFubmVkIjoiRWxhYm9yYXRpb24gRG9uZSIsInBjdCI6IjAuMDEiLCJjb25zdWx0YW50IjoiRnJhbmsgTWFyZW4gKExJUykiLCJtYW5hZ2VyIjoiUm9sbGluZ2VyIEFsZXhhbmRlciAoTElTKSIsImxlYWQiOiJNw7xobGJhY2hlciBDaHJpc3RpYW4gKExJUykiLCJub2RlSWQiOiJufFNQfE1hbmFnZSBJVCBwcm9qZWN0fEwyfEluaXRpYXRlIElUIHByb2plY3QifV19LHsiaWQiOiJufFNQfE1hbmFnZSBJVCBwcm9qZWN0fEwxfE1hbmFnZSBJVCBwcm9qZWN0IiwidHlwZSI6InByb2MiLCJwZyI6IlNQIiwibHZsIjoiTDEiLCJuYW1lIjoiTWFuYWdlIElUIHByb2plY3QiLCJhc3NvY0wxIjoiTWFuYWdlIElUIHByb2plY3QiLCJpbmRlbnQiOjEsInNvcnRLZXkiOjMwMDIsInBhcmVudElkIjoicGd8U1AiLCJjaGlsZHJlbiI6WyJufFNQfE1hbmFnZSBJVCBwcm9qZWN0fEwyfEluaXRpYXRlIElUIHByb2plY3QiLCJufFNQfE1hbmFnZSBJVCBwcm9qZWN0fEwyfFBsYW4gSVQgcHJvamVjdCIsIm58U1B8TWFuYWdlIElUIHByb2plY3R8TDJ8U3RlZXIgYW5kIGV4ZWN1dGUgSVQgcHJvamVjdCIsIm58U1B8TWFuYWdlIElUIHByb2plY3R8TDJ8Q2xvc2UgSVQgcHJvamVjdCIsIm58U1B8TWFuYWdlIElUIHByb2plY3R8TDJ8TWFuYWdlIElUIHByb2plY3QgY2hhbmdlIHJlcXVlc3QiLCJufFNQfE1hbmFnZSBJVCBwcm9qZWN0fEwyfFJlc3NvdXJjZW1hbmFnZW1lbnQgZm9yIElUIHByb2plY3RzIl0sIml0ZW1zIjpbeyJwZyI6IlNQIiwibDEiOiJNYW5hZ2UgSVQgcHJvamVjdCIsInByb2MiOiJNYW5hZ2UgSVQgcHJvamVjdCIsImx2bCI6IkwxIiwicGhhc2UiOiJFbGFib3JhdGlvbiIsInN0YXJ0IjoiMjAyNS0xMS0xMSIsImVuZCI6IjIwMjUtMTItMTAiLCJhY3R1YWwiOiJFbGFib3JhdGlvbiBEb25lIiwicGxhbm5lZCI6IkVsYWJvcmF0aW9uIERvbmUiLCJwY3QiOiIwLjAxIiwiY29uc3VsdGFudCI6IkZyYW5rIE1hcmVuIChMSVMpIiwibWFuYWdlciI6IlJvbGxpbmdlciBBbGV4YW5kZXIgKExJUykiLCJsZWFkIjoiTcO8aGxiYWNoZXIgQ2hyaXN0aWFuIChMSVMpIiwibm9kZUlkIjoibnxTUHxNYW5hZ2UgSVQgcHJvamVjdHxMMXxNYW5hZ2UgSVQgcHJvamVjdCJ9XX0seyJpZCI6Im58U1B8TWFuYWdlIElUIHByb2plY3R8TDJ8TWFuYWdlIElUIHByb2plY3QgY2hhbmdlIHJlcXVlc3QiLCJ0eXBlIjoicHJvYyIsInBnIjoiU1AiLCJsdmwiOiJMMiIsIm5hbWUiOiJNYW5hZ2UgSVQgcHJvamVjdCBjaGFuZ2UgcmVxdWVzdCIsImFzc29jTDEiOiJNYW5hZ2UgSVQgcHJvamVjdCIsImluZGVudCI6Miwic29ydEtleSI6MzAwMiwicGFyZW50SWQiOiJufFNQfE1hbmFnZSBJVCBwcm9qZWN0fEwxfE1hbmFnZSBJVCBwcm9qZWN0IiwiY2hpbGRyZW4iOltdLCJpdGVtcyI6W3sicGciOiJTUCIsImwxIjoiTWFuYWdlIElUIHByb2plY3QiLCJwcm9jIjoiTWFuYWdlIElUIHByb2plY3QgY2hhbmdlIHJlcXVlc3QiLCJsdmwiOiJMMiIsInBoYXNlIjoiRWxhYm9yYXRpb24iLCJzdGFydCI6IjIwMjUtMTEtMTEiLCJlbmQiOiIyMDI1LTEyLTEwIiwiYWN0dWFsIjoiRWxhYm9yYXRpb24gRG9uZSIsInBsYW5uZWQiOiJFbGFib3JhdGlvbiBEb25lIiwicGN0IjoiMC4wMSIsImNvbnN1bHRhbnQiOiJGcmFuayBNYXJlbiAoTElTKSIsIm1hbmFnZXIiOiJSb2xsaW5nZXIgQWxleGFuZGVyIChMSVMpIiwibGVhZCI6Ik3DvGhsYmFjaGVyIENocmlzdGlhbiAoTElTKSIsIm5vZGVJZCI6Im58U1B8TWFuYWdlIElUIHByb2plY3R8TDJ8TWFuYWdlIElUIHByb2plY3QgY2hhbmdlIHJlcXVlc3QifV19LHsiaWQiOiJufFNQfE1hbmFnZSBJVCBwcm9qZWN0fEwyfFBsYW4gSVQgcHJvamVjdCIsInR5cGUiOiJwcm9jIiwicGciOiJTUCIsImx2bCI6IkwyIiwibmFtZSI6IlBsYW4gSVQgcHJvamVjdCIsImFzc29jTDEiOiJNYW5hZ2UgSVQgcHJvamVjdCIsImluZGVudCI6Miwic29ydEtleSI6MzAwMiwicGFyZW50SWQiOiJufFNQfE1hbmFnZSBJVCBwcm9qZWN0fEwxfE1hbmFnZSBJVCBwcm9qZWN0IiwiY2hpbGRyZW4iOltdLCJpdGVtcyI6W3sicGciOiJTUCIsImwxIjoiTWFuYWdlIElUIHByb2plY3QiLCJwcm9jIjoiUGxhbiBJVCBwcm9qZWN0IiwibHZsIjoiTDIiLCJwaGFzZSI6IkVsYWJvcmF0aW9uIiwic3RhcnQiOiIyMDI1LTExLTExIiwiZW5kIjoiMjAyNS0xMi0xMCIsImFjdHVhbCI6IkVsYWJvcmF0aW9uIERvbmUiLCJwbGFubmVkIjoiRWxhYm9yYXRpb24gRG9uZSIsInBjdCI6IjAuMDEiLCJjb25zdWx0YW50IjoiRnJhbmsgTWFyZW4gKExJUykiLCJtYW5hZ2VyIjoiUm9sbGluZ2VyIEFsZXhhbmRlciAoTElTKSIsImxlYWQiOiJNw7xobGJhY2hlciBDaHJpc3RpYW4gKExJUykiLCJub2RlSWQiOiJufFNQfE1hbmFnZSBJVCBwcm9qZWN0fEwyfFBsYW4gSVQgcHJvamVjdCJ9XX0seyJpZCI6Im58U1B8TWFuYWdlIElUIHByb2plY3R8TDJ8UmVzc291cmNlbWFuYWdlbWVudCBmb3IgSVQgcHJvamVjdHMiLCJ0eXBlIjoicHJvYyIsInBnIjoiU1AiLCJsdmwiOiJMMiIsIm5hbWUiOiJSZXNzb3VyY2VtYW5hZ2VtZW50IGZvciBJVCBwcm9qZWN0cyIsImFzc29jTDEiOiJNYW5hZ2UgSVQgcHJvamVjdCIsImluZGVudCI6Miwic29ydEtleSI6MzAwMiwicGFyZW50SWQiOiJufFNQfE1hbmFnZSBJVCBwcm9qZWN0fEwxfE1hbmFnZSBJVCBwcm9qZWN0IiwiY2hpbGRyZW4iOltdLCJpdGVtcyI6W3sicGciOiJTUCIsImwxIjoiTWFuYWdlIElUIHByb2plY3QiLCJwcm9jIjoiUmVzc291cmNlbWFuYWdlbWVudCBmb3IgSVQgcHJvamVjdHMiLCJsdmwiOiJMMiIsInBoYXNlIjoiRWxhYm9yYXRpb24iLCJzdGFydCI6IjIwMjUtMTEtMTEiLCJlbmQiOiIyMDI1LTEyLTEwIiwiYWN0dWFsIjoiRWxhYm9yYXRpb24gRG9uZSIsInBsYW5uZWQiOiJFbGFib3JhdGlvbiBEb25lIiwicGN0IjoiMC4wMSIsImNvbnN1bHRhbnQiOiJGcmFuayBNYXJlbiAoTElTKSIsIm1hbmFnZXIiOiJSb2xsaW5nZXIgQWxleGFuZGVyIChMSVMpIiwibGVhZCI6Ik3DvGhsYmFjaGVyIENocmlzdGlhbiAoTElTKSIsIm5vZGVJZCI6Im58U1B8TWFuYWdlIElUIHByb2plY3R8TDJ8UmVzc291cmNlbWFuYWdlbWVudCBmb3IgSVQgcHJvamVjdHMifV19LHsiaWQiOiJufFNQfE1hbmFnZSBJVCBwcm9qZWN0fEwyfFN0ZWVyIGFuZCBleGVjdXRlIElUIHByb2plY3QiLCJ0eXBlIjoicHJvYyIsInBnIjoiU1AiLCJsdmwiOiJMMiIsIm5hbWUiOiJTdGVlciBhbmQgZXhlY3V0ZSBJVCBwcm9qZWN0IiwiYXNzb2NMMSI6Ik1hbmFnZSBJVCBwcm9qZWN0IiwiaW5kZW50IjoyLCJzb3J0S2V5IjozMDAyLCJwYXJlbnRJZCI6Im58U1B8TWFuYWdlIElUIHByb2plY3R8TDF8TWFuYWdlIElUIHByb2plY3QiLCJjaGlsZHJlbiI6W10sIml0ZW1zIjpbeyJwZyI6IlNQIiwibDEiOiJNYW5hZ2UgSVQgcHJvamVjdCIsInByb2MiOiJTdGVlciBhbmQgZXhlY3V0ZSBJVCBwcm9qZWN0IiwibHZsIjoiTDIiLCJwaGFzZSI6IkVsYWJvcmF0aW9uIiwic3RhcnQiOiIyMDI1LTExLTExIiwiZW5kIjoiMjAyNS0xMi0xMCIsImFjdHVhbCI6IkVsYWJvcmF0aW9uIERvbmUiLCJwbGFubmVkIjoiRWxhYm9yYXRpb24gRG9uZSIsInBjdCI6IjAuMDEiLCJjb25zdWx0YW50IjoiRnJhbmsgTWFyZW4gKExJUykiLCJtYW5hZ2VyIjoiUm9sbGluZ2VyIEFsZXhhbmRlciAoTElTKSIsImxlYWQiOiJNw7xobGJhY2hlciBDaHJpc3RpYW4gKExJUykiLCJub2RlSWQiOiJufFNQfE1hbmFnZSBJVCBwcm9qZWN0fEwyfFN0ZWVyIGFuZCBleGVjdXRlIElUIHByb2plY3QifV19LHsiaWQiOiJufFNQfE1hbmFnZSBJVCBzb3VyY2luZyBhbmQgcHJvY3VyZW1lbnR8TDF8TWFuYWdlIElUIHNvdXJjaW5nIGFuZCBwcm9jdXJlbWVudCIsInR5cGUiOiJwcm9jIiwicGciOiJTUCIsImx2bCI6IkwxIiwibmFtZSI6Ik1hbmFnZSBJVCBzb3VyY2luZyBhbmQgcHJvY3VyZW1lbnQiLCJhc3NvY0wxIjoiTWFuYWdlIElUIHNvdXJjaW5nIGFuZCBwcm9jdXJlbWVudCIsImluZGVudCI6MSwic29ydEtleSI6MzAwMywicGFyZW50SWQiOiJwZ3xTUCIsImNoaWxkcmVuIjpbXSwiaXRlbXMiOlt7InBnIjoiU1AiLCJsMSI6Ik1hbmFnZSBJVCBzb3VyY2luZyBhbmQgcHJvY3VyZW1lbnQiLCJwcm9jIjoiTWFuYWdlIElUIHNvdXJjaW5nIGFuZCBwcm9jdXJlbWVudCIsImx2bCI6IkwxIiwicGhhc2UiOiJFbGFib3JhdGlvbiIsInN0YXJ0IjoiMjAyNi0wNC0yMCIsImVuZCI6IjIwMjYtMDQtMjIiLCJhY3R1YWwiOiJFbGFib3JhdGlvbiBpbiBwcm9ncmVzcyIsInBsYW5uZWQiOiJFbGFib3JhdGlvbiBEb25lIiwicGN0IjoiMC4wMDI1IiwiY29uc3VsdGFudCI6IlNjaG9lYmVybCBMb3JlbmEgKExCSCkiLCJtYW5hZ2VyIjoiTW9ubmllciBNdXJpZWxsZSAoTEVDKSIsImxlYWQiOiJEb2xkZXJlciBXb2xmZ2FuZyAoTElTKSIsIm5vZGVJZCI6Im58U1B8TWFuYWdlIElUIHNvdXJjaW5nIGFuZCBwcm9jdXJlbWVudHxMMXxNYW5hZ2UgSVQgc291cmNpbmcgYW5kIHByb2N1cmVtZW50In1dfSx7ImlkIjoibnxTUHxQcm92aWRlIGFuZCBkZXZlbG9wIElUIHdvcmtmb3JjZXxMMnxBdHRyYWN0IGFuZCBoaXJlIGVtcGxveWVlcyIsInR5cGUiOiJwcm9jIiwicGciOiJTUCIsImx2bCI6IkwyIiwibmFtZSI6IkF0dHJhY3QgYW5kIGhpcmUgZW1wbG95ZWVzIiwiYXNzb2NMMSI6IlByb3ZpZGUgYW5kIGRldmVsb3AgSVQgd29ya2ZvcmNlIiwiaW5kZW50IjoyLCJzb3J0S2V5IjozMDA0LCJwYXJlbnRJZCI6Im58U1B8UHJvdmlkZSBhbmQgZGV2ZWxvcCBJVCB3b3JrZm9yY2V8TDF8UHJvdmlkZSBhbmQgZGV2ZWxvcCBJVCB3b3JrZm9yY2UiLCJjaGlsZHJlbiI6WyJufFNQfFByb3ZpZGUgYW5kIGRldmVsb3AgSVQgd29ya2ZvcmNlfEwzfFBlcmZvcm0gYWN0aXZlIHNvdXJjaW5nIiwibnxTUHxQcm92aWRlIGFuZCBkZXZlbG9wIElUIHdvcmtmb3JjZXxMM3xSZWNydWl0IGVtcGxveWVlcyBhbmQgbWFuYWdlcnMiXSwiaXRlbXMiOlt7InBnIjoiU1AiLCJsMSI6IlByb3ZpZGUgYW5kIGRldmVsb3AgSVQgd29ya2ZvcmNlIiwicHJvYyI6IkF0dHJhY3QgYW5kIGhpcmUgZW1wbG95ZWVzIiwibHZsIjoiTDIiLCJwaGFzZSI6IkVsYWJvcmF0aW9uIiwic3RhcnQiOiIyMDI2LTAxLTA3IiwiZW5kIjoiMjAyNi0wMy0xNiIsImFjdHVhbCI6IkVsYWJvcmF0aW9uIGluIHByb2dyZXNzIiwicGxhbm5lZCI6IkVsYWJvcmF0aW9uIERvbmUiLCJwY3QiOiIwLjAwNSIsImNvbnN1bHRhbnQiOiJDaGVuIExlaWxlaSAoZXh0Lik7SHluZWsgVG9iaWFzIChMSVMpIiwibWFuYWdlciI6Ik1pZWxlbnogVGhvbWFzIChMTVQpIiwibGVhZCI6IktpZXNld2V0dGVyIEl2YW5hIChMSVMpIiwibm9kZUlkIjoibnxTUHxQcm92aWRlIGFuZCBkZXZlbG9wIElUIHdvcmtmb3JjZXxMMnxBdHRyYWN0IGFuZCBoaXJlIGVtcGxveWVlcyJ9LHsicGciOiJTUCIsImwxIjoiUHJvdmlkZSBhbmQgZGV2ZWxvcCBJVCB3b3JrZm9yY2UiLCJwcm9jIjoiQXR0cmFjdCBhbmQgaGlyZSBlbXBsb3llZXMiLCJsdmwiOiJMMiIsInBoYXNlIjoiSW1wbGVtZW50YXRpb24gQ09UIiwic3RhcnQiOiIyMDI2LTA0LTAxIiwiZW5kIjoiMjAyNi0wNi0xNSIsImFjdHVhbCI6IkRlbGF5ZWQiLCJwbGFubmVkIjoiSW1wbGVtZW50YXRpb24gQ09UIiwicGN0IjoiMCIsImNvbnN1bHRhbnQiOiJDaGVuIExlaWxlaSAoZXh0Lik7SHluZWsgVG9iaWFzIChMSVMpIiwibWFuYWdlciI6Ik1pZWxlbnogVGhvbWFzIChMTVQpIiwibGVhZCI6IktpZXNld2V0dGVyIEl2YW5hIChMSVMpIiwibm9kZUlkIjoibnxTUHxQcm92aWRlIGFuZCBkZXZlbG9wIElUIHdvcmtmb3JjZXxMMnxBdHRyYWN0IGFuZCBoaXJlIGVtcGxveWVlcyJ9LHsicGciOiJTUCIsImwxIjoiUHJvdmlkZSBhbmQgZGV2ZWxvcCBJVCB3b3JrZm9yY2UiLCJwcm9jIjoiQXR0cmFjdCBhbmQgaGlyZSBlbXBsb3llZXMiLCJsdmwiOiJMMiIsInBoYXNlIjoiSW1wbGVtZW50YXRpb24gTElTIiwic3RhcnQiOiIyMDI2LTA0LTAxIiwiZW5kIjoiMjAyNi0wNi0xNSIsImFjdHVhbCI6IkRlbGF5ZWQiLCJwbGFubmVkIjoiSW1wbGVtZW50YXRpb24gTElTIiwicGN0IjoiMCIsImNvbnN1bHRhbnQiOiJDaGVuIExlaWxlaSAoZXh0Lik7SHluZWsgVG9iaWFzIChMSVMpIiwibWFuYWdlciI6Ik1pZWxlbnogVGhvbWFzIChMTVQpIiwibGVhZCI6IktpZXNld2V0dGVyIEl2YW5hIChMSVMpIiwibm9kZUlkIjoibnxTUHxQcm92aWRlIGFuZCBkZXZlbG9wIElUIHdvcmtmb3JjZXxMMnxBdHRyYWN0IGFuZCBoaXJlIGVtcGxveWVlcyJ9XX0seyJpZCI6Im58U1B8UHJvdmlkZSBhbmQgZGV2ZWxvcCBJVCB3b3JrZm9yY2V8TDN8Q3JlYXRlLCBhcHByb3ZlIGFuZCBwdWJsaXNoIHRyYWluaW5ncyBmb3IgSVQgd29ya2ZvcmNlIHdpdGhpbiBJVCBUcmFpbmluZyBDYXRhbG9ndWUiLCJ0eXBlIjoicHJvYyIsInBnIjoiU1AiLCJsdmwiOiJMMyIsIm5hbWUiOiJDcmVhdGUsIGFwcHJvdmUgYW5kIHB1Ymxpc2ggdHJhaW5pbmdzIGZvciBJVCB3b3JrZm9yY2Ugd2l0aGluIElUIFRyYWluaW5nIENhdGFsb2d1ZSIsImFzc29jTDEiOiJQcm92aWRlIGFuZCBkZXZlbG9wIElUIHdvcmtmb3JjZSIsImluZGVudCI6Mywic29ydEtleSI6MzAwNCwicGFyZW50SWQiOiJufFNQfFByb3ZpZGUgYW5kIGRldmVsb3AgSVQgd29ya2ZvcmNlfEwyfFBlcmZvcm0gb25ib2FyZGluZyIsImNoaWxkcmVuIjpbXSwiaXRlbXMiOlt7InBnIjoiU1AiLCJsMSI6IlByb3ZpZGUgYW5kIGRldmVsb3AgSVQgd29ya2ZvcmNlIiwicHJvYyI6IkNyZWF0ZSwgYXBwcm92ZSBhbmQgcHVibGlzaCB0cmFpbmluZ3MgZm9yIElUIHdvcmtmb3JjZSB3aXRoaW4gSVQgVHJhaW5pbmcgQ2F0YWxvZ3VlIiwibHZsIjoiTDMiLCJwaGFzZSI6IkVsYWJvcmF0aW9uIiwic3RhcnQiOiIyMDI1LTEwLTAxIiwiZW5kIjoiMjAyNi0wNC0zMCIsImFjdHVhbCI6IkVsYWJvcmF0aW9uIGluIHByb2dyZXNzIiwicGxhbm5lZCI6IkVsYWJvcmF0aW9uIGluIHByb2dyZXNzIiwicGN0IjoiMC4wMDUiLCJjb25zdWx0YW50IjoiQ2hlbiBMZWlsZWkgKGV4dC4pO0h5bmVrIFRvYmlhcyAoTElTKSIsIm1hbmFnZXIiOiJNaWVsZW56IFRob21hcyAoTE1UKSIsImxlYWQiOiJHcmFibWFpciBNZWxhbmllIChMSVMpIiwibm9kZUlkIjoibnxTUHxQcm92aWRlIGFuZCBkZXZlbG9wIElUIHdvcmtmb3JjZXxMM3xDcmVhdGUsIGFwcHJvdmUgYW5kIHB1Ymxpc2ggdHJhaW5pbmdzIGZvciBJVCB3b3JrZm9yY2Ugd2l0aGluIElUIFRyYWluaW5nIENhdGFsb2d1ZSJ9XX0seyJpZCI6Im58U1B8UHJvdmlkZSBhbmQgZGV2ZWxvcCBJVCB3b3JrZm9yY2V8TDN8SW1wbGVtZW50IGFuZCBtYWludGFpbiBJVCBqb2IgYXJjaGl0ZWN0dXJlIiwidHlwZSI6InByb2MiLCJwZyI6IlNQIiwibHZsIjoiTDMiLCJuYW1lIjoiSW1wbGVtZW50IGFuZCBtYWludGFpbiBJVCBqb2IgYXJjaGl0ZWN0dXJlIiwiYXNzb2NMMSI6IlByb3ZpZGUgYW5kIGRldmVsb3AgSVQgd29ya2ZvcmNlIiwiaW5kZW50IjozLCJzb3J0S2V5IjozMDA0LCJwYXJlbnRJZCI6Im58U1B8UHJvdmlkZSBhbmQgZGV2ZWxvcCBJVCB3b3JrZm9yY2V8TDJ8TWFuYWdlIEhSNElUIHN0cmF0ZWd5LCBnb3Zlcm5hbmUgYW5kIGZyYW1ld29yayIsImNoaWxkcmVuIjpbXSwiaXRlbXMiOlt7InBnIjoiU1AiLCJsMSI6IlByb3ZpZGUgYW5kIGRldmVsb3AgSVQgd29ya2ZvcmNlIiwicHJvYyI6IkltcGxlbWVudCBhbmQgbWFpbnRhaW4gSVQgam9iIGFyY2hpdGVjdHVyZSIsImx2bCI6IkwzIiwicGhhc2UiOiJFbGFib3JhdGlvbiIsInN0YXJ0IjoiMjAyNS0xMC0xNiIsImVuZCI6IjIwMjYtMDUtMzEiLCJhY3R1YWwiOiJEZWxheWVkIiwicGxhbm5lZCI6IkVsYWJvcmF0aW9uIGluIHByb2dyZXNzIiwicGN0IjoiMCIsImNvbnN1bHRhbnQiOiJDaGVuIExlaWxlaSAoZXh0Lik7SHluZWsgVG9iaWFzIChMSVMpIiwibWFuYWdlciI6IlJvbGxpbmdlciBBbGV4YW5kZXIgKExJUykiLCJsZWFkIjoiQW1lbGFuZyBOaWNvbGUgKExJUykiLCJub2RlSWQiOiJufFNQfFByb3ZpZGUgYW5kIGRldmVsb3AgSVQgd29ya2ZvcmNlfEwzfEltcGxlbWVudCBhbmQgbWFpbnRhaW4gSVQgam9iIGFyY2hpdGVjdHVyZSJ9XX0seyJpZCI6Im58U1B8UHJvdmlkZSBhbmQgZGV2ZWxvcCBJVCB3b3JrZm9yY2V8TDN8TWFuYWdlIEhSNElUIHNlcnZpY2UgZGVtYW5kIiwidHlwZSI6InByb2MiLCJwZyI6IlNQIiwibHZsIjoiTDMiLCJuYW1lIjoiTWFuYWdlIEhSNElUIHNlcnZpY2UgZGVtYW5kIiwiYXNzb2NMMSI6IlByb3ZpZGUgYW5kIGRldmVsb3AgSVQgd29ya2ZvcmNlIiwiaW5kZW50IjozLCJzb3J0S2V5IjozMDA0LCJwYXJlbnRJZCI6Im58U1B8UHJvdmlkZSBhbmQgZGV2ZWxvcCBJVCB3b3JrZm9yY2V8TDJ8TWFuYWdlIEhSNElUIHN0cmF0ZWd5LCBnb3Zlcm5hbmUgYW5kIGZyYW1ld29yayIsImNoaWxkcmVuIjpbXSwiaXRlbXMiOlt7InBnIjoiU1AiLCJsMSI6IlByb3ZpZGUgYW5kIGRldmVsb3AgSVQgd29ya2ZvcmNlIiwicHJvYyI6Ik1hbmFnZSBIUjRJVCBzZXJ2aWNlIGRlbWFuZCIsImx2bCI6IkwzIiwicGhhc2UiOiJFbGFib3JhdGlvbiIsInN0YXJ0IjoiMjAyNS0xMC0wMSIsImVuZCI6IjIwMjYtMDUtMzEiLCJhY3R1YWwiOiJEZWxheWVkIiwicGxhbm5lZCI6IkVsYWJvcmF0aW9uIGluIHByb2dyZXNzIiwicGN0IjoiMCIsImNvbnN1bHRhbnQiOiJDaGVuIExlaWxlaSAoZXh0Lik7SHluZWsgVG9iaWFzIChMSVMpIiwibWFuYWdlciI6IlJvbGxpbmdlciBBbGV4YW5kZXIgKExJUykiLCJsZWFkIjoiQW1lbGFuZyBOaWNvbGUgKExJUykiLCJub2RlSWQiOiJufFNQfFByb3ZpZGUgYW5kIGRldmVsb3AgSVQgd29ya2ZvcmNlfEwzfE1hbmFnZSBIUjRJVCBzZXJ2aWNlIGRlbWFuZCJ9LHsicGciOiJTUCIsImwxIjoiUHJvdmlkZSBhbmQgZGV2ZWxvcCBJVCB3b3JrZm9yY2UiLCJwcm9jIjoiTWFuYWdlIEhSNElUIHNlcnZpY2UgZGVtYW5kIiwibHZsIjoiTDMiLCJwaGFzZSI6IkltcGxlbWVudGF0aW9uIENPVCIsInN0YXJ0IjoiMjAyNi0wNi0wMSIsImVuZCI6IjIwMjYtMDYtMzAiLCJhY3R1YWwiOiIiLCJwbGFubmVkIjoiU2NoZWR1bGVkIiwicGN0IjoiMCIsImNvbnN1bHRhbnQiOiJDaGVuIExlaWxlaSAoZXh0Lik7SHluZWsgVG9iaWFzIChMSVMpIiwibWFuYWdlciI6IlJvbGxpbmdlciBBbGV4YW5kZXIgKExJUykiLCJsZWFkIjoiQW1lbGFuZyBOaWNvbGUgKExJUykiLCJub2RlSWQiOiJufFNQfFByb3ZpZGUgYW5kIGRldmVsb3AgSVQgd29ya2ZvcmNlfEwzfE1hbmFnZSBIUjRJVCBzZXJ2aWNlIGRlbWFuZCJ9LHsicGciOiJTUCIsImwxIjoiUHJvdmlkZSBhbmQgZGV2ZWxvcCBJVCB3b3JrZm9yY2UiLCJwcm9jIjoiTWFuYWdlIEhSNElUIHNlcnZpY2UgZGVtYW5kIiwibHZsIjoiTDMiLCJwaGFzZSI6IkltcGxlbWVudGF0aW9uIExJUyIsInN0YXJ0IjoiMjAyNi0wNi0wMSIsImVuZCI6IjIwMjYtMDYtMzAiLCJhY3R1YWwiOiIiLCJwbGFubmVkIjoiU2NoZWR1bGVkIiwicGN0IjoiMCIsImNvbnN1bHRhbnQiOiJDaGVuIExlaWxlaSAoZXh0Lik7SHluZWsgVG9iaWFzIChMSVMpIiwibWFuYWdlciI6IlJvbGxpbmdlciBBbGV4YW5kZXIgKExJUykiLCJsZWFkIjoiQW1lbGFuZyBOaWNvbGUgKExJUykiLCJub2RlSWQiOiJufFNQfFByb3ZpZGUgYW5kIGRldmVsb3AgSVQgd29ya2ZvcmNlfEwzfE1hbmFnZSBIUjRJVCBzZXJ2aWNlIGRlbWFuZCJ9LHsicGciOiJTUCIsImwxIjoiUHJvdmlkZSBhbmQgZGV2ZWxvcCBJVCB3b3JrZm9yY2UiLCJwcm9jIjoiTWFuYWdlIEhSNElUIHNlcnZpY2UgZGVtYW5kIiwibHZsIjoiTDMiLCJwaGFzZSI6IkltcGxlbWVudGF0aW9uIExVUyIsInN0YXJ0IjoiMjAyNi0wNi0wMSIsImVuZCI6IjIwMjYtMDYtMzAiLCJhY3R1YWwiOiIiLCJwbGFubmVkIjoiU2NoZWR1bGVkIiwicGN0IjoiMCIsImNvbnN1bHRhbnQiOiJDaGVuIExlaWxlaSAoZXh0Lik7SHluZWsgVG9iaWFzIChMSVMpIiwibWFuYWdlciI6IlJvbGxpbmdlciBBbGV4YW5kZXIgKExJUykiLCJsZWFkIjoiQW1lbGFuZyBOaWNvbGUgKExJUykiLCJub2RlSWQiOiJufFNQfFByb3ZpZGUgYW5kIGRldmVsb3AgSVQgd29ya2ZvcmNlfEwzfE1hbmFnZSBIUjRJVCBzZXJ2aWNlIGRlbWFuZCJ9XX0seyJpZCI6Im58U1B8UHJvdmlkZSBhbmQgZGV2ZWxvcCBJVCB3b3JrZm9yY2V8TDJ8TWFuYWdlIEhSNElUIHN0cmF0ZWd5LCBnb3Zlcm5hbmUgYW5kIGZyYW1ld29yayIsInR5cGUiOiJwcm9jIiwicGciOiJTUCIsImx2bCI6IkwyIiwibmFtZSI6Ik1hbmFnZSBIUjRJVCBzdHJhdGVneSwgZ292ZXJuYW5lIGFuZCBmcmFtZXdvcmsiLCJhc3NvY0wxIjoiUHJvdmlkZSBhbmQgZGV2ZWxvcCBJVCB3b3JrZm9yY2UiLCJpbmRlbnQiOjIsInNvcnRLZXkiOjMwMDQsInBhcmVudElkIjoibnxTUHxQcm92aWRlIGFuZCBkZXZlbG9wIElUIHdvcmtmb3JjZXxMMXxQcm92aWRlIGFuZCBkZXZlbG9wIElUIHdvcmtmb3JjZSIsImNoaWxkcmVuIjpbIm58U1B8UHJvdmlkZSBhbmQgZGV2ZWxvcCBJVCB3b3JrZm9yY2V8TDN8UGxhbiBJVCB3b3JrZm9yY2UiLCJufFNQfFByb3ZpZGUgYW5kIGRldmVsb3AgSVQgd29ya2ZvcmNlfEwzfEltcGxlbWVudCBhbmQgbWFpbnRhaW4gSVQgam9iIGFyY2hpdGVjdHVyZSIsIm58U1B8UHJvdmlkZSBhbmQgZGV2ZWxvcCBJVCB3b3JrZm9yY2V8TDN8TWFuYWdlIEhSNElUIHNlcnZpY2UgZGVtYW5kIl0sIml0ZW1zIjpbeyJwZyI6IlNQIiwibDEiOiJQcm92aWRlIGFuZCBkZXZlbG9wIElUIHdvcmtmb3JjZSIsInByb2MiOiJNYW5hZ2UgSFI0SVQgc3RyYXRlZ3ksIGdvdmVybmFuZSBhbmQgZnJhbWV3b3JrIiwibHZsIjoiTDIiLCJwaGFzZSI6IkVsYWJvcmF0aW9uIiwic3RhcnQiOiIyMDI1LTEwLTAxIiwiZW5kIjoiMjAyNS0xMC0wMSIsImFjdHVhbCI6IkVsYWJvcmF0aW9uIERvbmUiLCJwbGFubmVkIjoiRWxhYm9yYXRpb24gRG9uZSIsInBjdCI6IjAuMDEiLCJjb25zdWx0YW50IjoiQ2hlbiBMZWlsZWkgKGV4dC4pO0h5bmVrIFRvYmlhcyAoTElTKSIsIm1hbmFnZXIiOiJSb2xsaW5nZXIgQWxleGFuZGVyIChMSVMpIiwibGVhZCI6IkFtZWxhbmcgTmljb2xlIChMSVMpIiwibm9kZUlkIjoibnxTUHxQcm92aWRlIGFuZCBkZXZlbG9wIElUIHdvcmtmb3JjZXxMMnxNYW5hZ2UgSFI0SVQgc3RyYXRlZ3ksIGdvdmVybmFuZSBhbmQgZnJhbWV3b3JrIn1dfSx7ImlkIjoibnxTUHxQcm92aWRlIGFuZCBkZXZlbG9wIElUIHdvcmtmb3JjZXxMM3xNYW5hZ2UgSVQgZ2xvYmFsIG9yaWVudGF0aW9uIHByb2dyYW1tZSBpbmNsLiBqb2Igc2hhZG93aW5nIiwidHlwZSI6InByb2MiLCJwZyI6IlNQIiwibHZsIjoiTDMiLCJuYW1lIjoiTWFuYWdlIElUIGdsb2JhbCBvcmllbnRhdGlvbiBwcm9ncmFtbWUgaW5jbC4gam9iIHNoYWRvd2luZyIsImFzc29jTDEiOiJQcm92aWRlIGFuZCBkZXZlbG9wIElUIHdvcmtmb3JjZSIsImluZGVudCI6Mywic29ydEtleSI6MzAwNCwicGFyZW50SWQiOiJufFNQfFByb3ZpZGUgYW5kIGRldmVsb3AgSVQgd29ya2ZvcmNlfEwyfFBlcmZvcm0gb25ib2FyZGluZyIsImNoaWxkcmVuIjpbXSwiaXRlbXMiOlt7InBnIjoiU1AiLCJsMSI6IlByb3ZpZGUgYW5kIGRldmVsb3AgSVQgd29ya2ZvcmNlIiwicHJvYyI6Ik1hbmFnZSBJVCBnbG9iYWwgb3JpZW50YXRpb24gcHJvZ3JhbW1lIGluY2wuIGpvYiBzaGFkb3dpbmciLCJsdmwiOiJMMyIsInBoYXNlIjoiRWxhYm9yYXRpb24iLCJzdGFydCI6IjIwMjYtMDEtMTUiLCJlbmQiOiIyMDI2LTAzLTMxIiwiYWN0dWFsIjoiRGVsYXllZCIsInBsYW5uZWQiOiJFbGFib3JhdGlvbiBEb25lIiwicGN0IjoiMCIsImNvbnN1bHRhbnQiOiJDaGVuIExlaWxlaSAoZXh0Lik7SHluZWsgVG9iaWFzIChMSVMpIiwibWFuYWdlciI6Ik1pZWxlbnogVGhvbWFzIChMTVQpIiwibGVhZCI6IkdyYWJtYWlyIE1lbGFuaWUgKExJUykiLCJub2RlSWQiOiJufFNQfFByb3ZpZGUgYW5kIGRldmVsb3AgSVQgd29ya2ZvcmNlfEwzfE1hbmFnZSBJVCBnbG9iYWwgb3JpZW50YXRpb24gcHJvZ3JhbW1lIGluY2wuIGpvYiBzaGFkb3dpbmcifSx7InBnIjoiU1AiLCJsMSI6IlByb3ZpZGUgYW5kIGRldmVsb3AgSVQgd29ya2ZvcmNlIiwicHJvYyI6Ik1hbmFnZSBJVCBnbG9iYWwgb3JpZW50YXRpb24gcHJvZ3JhbW1lIGluY2wuIGpvYiBzaGFkb3dpbmciLCJsdmwiOiJMMyIsInBoYXNlIjoiSW1wbGVtZW50YXRpb24gQ09UIiwic3RhcnQiOiIyMDI2LTA0LTAxIiwiZW5kIjoiMjAyNi0wNy0wMSIsImFjdHVhbCI6IkRlbGF5ZWQiLCJwbGFubmVkIjoiSW1wbGVtZW50YXRpb24gQ09UIiwicGN0IjoiMCIsImNvbnN1bHRhbnQiOiJDaGVuIExlaWxlaSAoZXh0Lik7SHluZWsgVG9iaWFzIChMSVMpIiwibWFuYWdlciI6Ik1pZWxlbnogVGhvbWFzIChMTVQpIiwibGVhZCI6IkdyYWJtYWlyIE1lbGFuaWUgKExJUykiLCJub2RlSWQiOiJufFNQfFByb3ZpZGUgYW5kIGRldmVsb3AgSVQgd29ya2ZvcmNlfEwzfE1hbmFnZSBJVCBnbG9iYWwgb3JpZW50YXRpb24gcHJvZ3JhbW1lIGluY2wuIGpvYiBzaGFkb3dpbmcifSx7InBnIjoiU1AiLCJsMSI6IlByb3ZpZGUgYW5kIGRldmVsb3AgSVQgd29ya2ZvcmNlIiwicHJvYyI6Ik1hbmFnZSBJVCBnbG9iYWwgb3JpZW50YXRpb24gcHJvZ3JhbW1lIGluY2wuIGpvYiBzaGFkb3dpbmciLCJsdmwiOiJMMyIsInBoYXNlIjoiSW1wbGVtZW50YXRpb24gTElTIiwic3RhcnQiOiIyMDI2LTA0LTAxIiwiZW5kIjoiMjAyNi0wNy0wMSIsImFjdHVhbCI6IkRlbGF5ZWQiLCJwbGFubmVkIjoiSW1wbGVtZW50YXRpb24gTElTIiwicGN0IjoiMCIsImNvbnN1bHRhbnQiOiJDaGVuIExlaWxlaSAoZXh0Lik7SHluZWsgVG9iaWFzIChMSVMpIiwibWFuYWdlciI6Ik1pZWxlbnogVGhvbWFzIChMTVQpIiwibGVhZCI6IkdyYWJtYWlyIE1lbGFuaWUgKExJUykiLCJub2RlSWQiOiJufFNQfFByb3ZpZGUgYW5kIGRldmVsb3AgSVQgd29ya2ZvcmNlfEwzfE1hbmFnZSBJVCBnbG9iYWwgb3JpZW50YXRpb24gcHJvZ3JhbW1lIGluY2wuIGpvYiBzaGFkb3dpbmcifSx7InBnIjoiU1AiLCJsMSI6IlByb3ZpZGUgYW5kIGRldmVsb3AgSVQgd29ya2ZvcmNlIiwicHJvYyI6Ik1hbmFnZSBJVCBnbG9iYWwgb3JpZW50YXRpb24gcHJvZ3JhbW1lIGluY2wuIGpvYiBzaGFkb3dpbmciLCJsdmwiOiJMMyIsInBoYXNlIjoiSW1wbGVtZW50YXRpb24gTFVTIiwic3RhcnQiOiIyMDI2LTA0LTAxIiwiZW5kIjoiMjAyNi0wNy0wMSIsImFjdHVhbCI6IkRlbGF5ZWQiLCJwbGFubmVkIjoiSW1wbGVtZW50YXRpb24gTFVTIiwicGN0IjoiMCIsImNvbnN1bHRhbnQiOiJDaGVuIExlaWxlaSAoZXh0Lik7SHluZWsgVG9iaWFzIChMSVMpIiwibWFuYWdlciI6Ik1pZWxlbnogVGhvbWFzIChMTVQpIiw</t>
  </si>
  <si>
    <t>ibGVhZCI6IkdyYWJtYWlyIE1lbGFuaWUgKExJUykiLCJub2RlSWQiOiJufFNQfFByb3ZpZGUgYW5kIGRldmVsb3AgSVQgd29ya2ZvcmNlfEwzfE1hbmFnZSBJVCBnbG9iYWwgb3JpZW50YXRpb24gcHJvZ3JhbW1lIGluY2wuIGpvYiBzaGFkb3dpbmcifV19LHsiaWQiOiJufFNQfFByb3ZpZGUgYW5kIGRldmVsb3AgSVQgd29ya2ZvcmNlfEwzfE1hbmFnZSBJVCBza2lsbHMiLCJ0eXBlIjoicHJvYyIsInBnIjoiU1AiLCJsdmwiOiJMMyIsIm5hbWUiOiJNYW5hZ2UgSVQgc2tpbGxzIiwiYXNzb2NMMSI6IlByb3ZpZGUgYW5kIGRldmVsb3AgSVQgd29ya2ZvcmNlIiwiaW5kZW50IjozLCJzb3J0S2V5IjozMDA0LCJwYXJlbnRJZCI6Im58U1B8UHJvdmlkZSBhbmQgZGV2ZWxvcCBJVCB3b3JrZm9yY2V8TDJ8UGVyZm9ybSBvbmJvYXJkaW5nIiwiY2hpbGRyZW4iOltdLCJpdGVtcyI6W3sicGciOiJTUCIsImwxIjoiUHJvdmlkZSBhbmQgZGV2ZWxvcCBJVCB3b3JrZm9yY2UiLCJwcm9jIjoiTWFuYWdlIElUIHNraWxscyIsImx2bCI6IkwzIiwicGhhc2UiOiJFbGFib3JhdGlvbiIsInN0YXJ0IjoiMjAyNi0wMS0wMSIsImVuZCI6IjIwMjYtMTItMzEiLCJhY3R1YWwiOiJEZWxheWVkIiwicGxhbm5lZCI6IkVsYWJvcmF0aW9uIGluIHByb2dyZXNzIiwicGN0IjoiMCIsImNvbnN1bHRhbnQiOiJDaGVuIExlaWxlaSAoZXh0Lik7SHluZWsgVG9iaWFzIChMSVMpIiwibWFuYWdlciI6Ik1pZWxlbnogVGhvbWFzIChMTVQpIiwibGVhZCI6IkdyYWJtYWlyIE1lbGFuaWUgKExJUykiLCJub2RlSWQiOiJufFNQfFByb3ZpZGUgYW5kIGRldmVsb3AgSVQgd29ya2ZvcmNlfEwzfE1hbmFnZSBJVCBza2lsbHMifSx7InBnIjoiU1AiLCJsMSI6IlByb3ZpZGUgYW5kIGRldmVsb3AgSVQgd29ya2ZvcmNlIiwicHJvYyI6Ik1hbmFnZSBJVCBza2lsbHMiLCJsdmwiOiJMMyIsInBoYXNlIjoiSW1wbGVtZW50YXRpb24gQ09UIiwic3RhcnQiOiIyMDI3LTAxLTAxIiwiZW5kIjoiMjAyNy0wNi0zMCIsImFjdHVhbCI6IiIsInBsYW5uZWQiOiJTY2hlZHVsZWQiLCJwY3QiOiIwIiwiY29uc3VsdGFudCI6IkNoZW4gTGVpbGVpIChleHQuKTtIeW5layBUb2JpYXMgKExJUykiLCJtYW5hZ2VyIjoiTWllbGVueiBUaG9tYXMgKExNVCkiLCJsZWFkIjoiR3JhYm1haXIgTWVsYW5pZSAoTElTKSIsIm5vZGVJZCI6Im58U1B8UHJvdmlkZSBhbmQgZGV2ZWxvcCBJVCB3b3JrZm9yY2V8TDN8TWFuYWdlIElUIHNraWxscyJ9LHsicGciOiJTUCIsImwxIjoiUHJvdmlkZSBhbmQgZGV2ZWxvcCBJVCB3b3JrZm9yY2UiLCJwcm9jIjoiTWFuYWdlIElUIHNraWxscyIsImx2bCI6IkwzIiwicGhhc2UiOiJJbXBsZW1lbnRhdGlvbiBMSVMiLCJzdGFydCI6IjIwMjctMDEtMDEiLCJlbmQiOiIyMDI3LTA2LTMwIiwiYWN0dWFsIjoiIiwicGxhbm5lZCI6IlNjaGVkdWxlZCIsInBjdCI6IjAiLCJjb25zdWx0YW50IjoiQ2hlbiBMZWlsZWkgKGV4dC4pO0h5bmVrIFRvYmlhcyAoTElTKSIsIm1hbmFnZXIiOiJNaWVsZW56IFRob21hcyAoTE1UKSIsImxlYWQiOiJHcmFibWFpciBNZWxhbmllIChMSVMpIiwibm9kZUlkIjoibnxTUHxQcm92aWRlIGFuZCBkZXZlbG9wIElUIHdvcmtmb3JjZXxMM3xNYW5hZ2UgSVQgc2tpbGxzIn0seyJwZyI6IlNQIiwibDEiOiJQcm92aWRlIGFuZCBkZXZlbG9wIElUIHdvcmtmb3JjZSIsInByb2MiOiJNYW5hZ2UgSVQgc2tpbGxzIiwibHZsIjoiTDMiLCJwaGFzZSI6IkltcGxlbWVudGF0aW9uIExVUyIsInN0YXJ0IjoiMjAyNy0wMS0wMSIsImVuZCI6IjIwMjctMDYtMzAiLCJhY3R1YWwiOiIiLCJwbGFubmVkIjoiU2NoZWR1bGVkIiwicGN0IjoiMCIsImNvbnN1bHRhbnQiOiJDaGVuIExlaWxlaSAoZXh0Lik7SHluZWsgVG9iaWFzIChMSVMpIiwibWFuYWdlciI6Ik1pZWxlbnogVGhvbWFzIChMTVQpIiwibGVhZCI6IkdyYWJtYWlyIE1lbGFuaWUgKExJUykiLCJub2RlSWQiOiJufFNQfFByb3ZpZGUgYW5kIGRldmVsb3AgSVQgd29ya2ZvcmNlfEwzfE1hbmFnZSBJVCBza2lsbHMifV19LHsiaWQiOiJufFNQfFByb3ZpZGUgYW5kIGRldmVsb3AgSVQgd29ya2ZvcmNlfEwzfE1hcHBpbmcgYW5kIGV2YWx1YXRlIElUIGNhcmVlciBsZXZlbCIsInR5cGUiOiJwcm9jIiwicGciOiJTUCIsImx2bCI6IkwzIiwibmFtZSI6Ik1hcHBpbmcgYW5kIGV2YWx1YXRlIElUIGNhcmVlciBsZXZlbCIsImFzc29jTDEiOiJQcm92aWRlIGFuZCBkZXZlbG9wIElUIHdvcmtmb3JjZSIsImluZGVudCI6Mywic29ydEtleSI6MzAwNCwicGFyZW50SWQiOiJufFNQfFByb3ZpZGUgYW5kIGRldmVsb3AgSVQgd29ya2ZvcmNlfEwyfFBlcmZvcm0gb25ib2FyZGluZyIsImNoaWxkcmVuIjpbXSwiaXRlbXMiOlt7InBnIjoiU1AiLCJsMSI6IlByb3ZpZGUgYW5kIGRldmVsb3AgSVQgd29ya2ZvcmNlIiwicHJvYyI6Ik1hcHBpbmcgYW5kIGV2YWx1YXRlIElUIGNhcmVlciBsZXZlbCIsImx2bCI6IkwzIiwicGhhc2UiOiJFbGFib3JhdGlvbiIsInN0YXJ0IjoiMjAyNi0wNC0wMSIsImVuZCI6IjIwMjctMDEtMDEiLCJhY3R1YWwiOiJEZWxheWVkIiwicGxhbm5lZCI6IkVsYWJvcmF0aW9uIGluIHByb2dyZXNzIiwicGN0IjoiMCIsImNvbnN1bHRhbnQiOiJDaGVuIExlaWxlaSAoZXh0Lik7SHluZWsgVG9iaWFzIChMSVMpIiwibWFuYWdlciI6Ik1pZWxlbnogVGhvbWFzIChMTVQpIiwibGVhZCI6IkdyYWJtYWlyIE1lbGFuaWUgKExJUykiLCJub2RlSWQiOiJufFNQfFByb3ZpZGUgYW5kIGRldmVsb3AgSVQgd29ya2ZvcmNlfEwzfE1hcHBpbmcgYW5kIGV2YWx1YXRlIElUIGNhcmVlciBsZXZlbCJ9XX0seyJpZCI6Im58U1B8UHJvdmlkZSBhbmQgZGV2ZWxvcCBJVCB3b3JrZm9yY2V8TDN8T25ib2FyZCBuZXcgSVQgZW1wbG95ZWUgYW5kIG1hbmFnZXIiLCJ0eXBlIjoicHJvYyIsInBnIjoiU1AiLCJsdmwiOiJMMyIsIm5hbWUiOiJPbmJvYXJkIG5ldyBJVCBlbXBsb3llZSBhbmQgbWFuYWdlciIsImFzc29jTDEiOiJQcm92aWRlIGFuZCBkZXZlbG9wIElUIHdvcmtmb3JjZSIsImluZGVudCI6Mywic29ydEtleSI6MzAwNCwicGFyZW50SWQiOiJufFNQfFByb3ZpZGUgYW5kIGRldmVsb3AgSVQgd29ya2ZvcmNlfEwyfFBlcmZvcm0gb25ib2FyZGluZyIsImNoaWxkcmVuIjpbXSwiaXRlbXMiOlt7InBnIjoiU1AiLCJsMSI6IlByb3ZpZGUgYW5kIGRldmVsb3AgSVQgd29ya2ZvcmNlIiwicHJvYyI6Ik9uYm9hcmQgbmV3IElUIGVtcGxveWVlIGFuZCBtYW5hZ2VyIiwibHZsIjoiTDMiLCJwaGFzZSI6IkVsYWJvcmF0aW9uIiwic3RhcnQiOiIyMDI1LTEwLTE2IiwiZW5kIjoiMjAyNi0wNC0zMCIsImFjdHVhbCI6IkVsYWJvcmF0aW9uIGluIHByb2dyZXNzIiwicGxhbm5lZCI6IkVsYWJvcmF0aW9uIGluIHByb2dyZXNzIiwicGN0IjoiMC4wMDUiLCJjb25zdWx0YW50IjoiQ2hlbiBMZWlsZWkgKGV4dC4pO0h5bmVrIFRvYmlhcyAoTElTKSIsIm1hbmFnZXIiOiJNaWVsZW56IFRob21hcyAoTE1UKSIsImxlYWQiOiIiLCJub2RlSWQiOiJufFNQfFByb3ZpZGUgYW5kIGRldmVsb3AgSVQgd29ya2ZvcmNlfEwzfE9uYm9hcmQgbmV3IElUIGVtcGxveWVlIGFuZCBtYW5hZ2VyIn1dfSx7ImlkIjoibnxTUHxQcm92aWRlIGFuZCBkZXZlbG9wIElUIHdvcmtmb3JjZXxMM3xQZXJmb3JtIGFjdGl2ZSBzb3VyY2luZyIsInR5cGUiOiJwcm9jIiwicGciOiJTUCIsImx2bCI6IkwzIiwibmFtZSI6IlBlcmZvcm0gYWN0aXZlIHNvdXJjaW5nIiwiYXNzb2NMMSI6IlByb3ZpZGUgYW5kIGRldmVsb3AgSVQgd29ya2ZvcmNlIiwiaW5kZW50IjozLCJzb3J0S2V5IjozMDA0LCJwYXJlbnRJZCI6Im58U1B8UHJvdmlkZSBhbmQgZGV2ZWxvcCBJVCB3b3JrZm9yY2V8TDJ8QXR0cmFjdCBhbmQgaGlyZSBlbXBsb3llZXMiLCJjaGlsZHJlbiI6W10sIml0ZW1zIjpbeyJwZyI6IlNQIiwibDEiOiJQcm92aWRlIGFuZCBkZXZlbG9wIElUIHdvcmtmb3JjZSIsInByb2MiOiJQZXJmb3JtIGFjdGl2ZSBzb3VyY2luZyIsImx2bCI6IkwzIiwicGhhc2UiOiJFbGFib3JhdGlvbiIsInN0YXJ0IjoiMjAyNS0xMC0wMSIsImVuZCI6IjIwMjYtMDQtMzAiLCJhY3R1YWwiOiJEZWxheWVkIiwicGxhbm5lZCI6IkVsYWJvcmF0aW9uIGluIHByb2dyZXNzIiwicGN0IjoiMCIsImNvbnN1bHRhbnQiOiJDaGVuIExlaWxlaSAoZXh0Lik7SHluZWsgVG9iaWFzIChMSVMpIiwibWFuYWdlciI6Ik1pZWxlbnogVGhvbWFzIChMTVQpIiwibGVhZCI6IktpZXNld2V0dGVyIEl2YW5hIChMSVMpIiwibm9kZUlkIjoibnxTUHxQcm92aWRlIGFuZCBkZXZlbG9wIElUIHdvcmtmb3JjZXxMM3xQZXJmb3JtIGFjdGl2ZSBzb3VyY2luZyJ9LHsicGciOiJTUCIsImwxIjoiUHJvdmlkZSBhbmQgZGV2ZWxvcCBJVCB3b3JrZm9yY2UiLCJwcm9jIjoiUGVyZm9ybSBhY3RpdmUgc291cmNpbmciLCJsdmwiOiJMMyIsInBoYXNlIjoiSW1wbGVtZW50YXRpb24gTElTIiwic3RhcnQiOiIyMDI2LTAzLTAxIiwiZW5kIjoiMjAyNi0xMi0zMSIsImFjdHVhbCI6IkRlbGF5ZWQiLCJwbGFubmVkIjoiSW1wbGVtZW50YXRpb24gTElTIiwicGN0IjoiMCIsImNvbnN1bHRhbnQiOiJDaGVuIExlaWxlaSAoZXh0Lik7SHluZWsgVG9iaWFzIChMSVMpIiwibWFuYWdlciI6Ik1pZWxlbnogVGhvbWFzIChMTVQpIiwibGVhZCI6IktpZXNld2V0dGVyIEl2YW5hIChMSVMpIiwibm9kZUlkIjoibnxTUHxQcm92aWRlIGFuZCBkZXZlbG9wIElUIHdvcmtmb3JjZXxMM3xQZXJmb3JtIGFjdGl2ZSBzb3VyY2luZyJ9XX0seyJpZCI6Im58U1B8UHJvdmlkZSBhbmQgZGV2ZWxvcCBJVCB3b3JrZm9yY2V8TDJ8UGVyZm9ybSBvbmJvYXJkaW5nIiwidHlwZSI6InByb2MiLCJwZyI6IlNQIiwibHZsIjoiTDIiLCJuYW1lIjoiUGVyZm9ybSBvbmJvYXJkaW5nIiwiYXNzb2NMMSI6IlByb3ZpZGUgYW5kIGRldmVsb3AgSVQgd29ya2ZvcmNlIiwiaW5kZW50IjoyLCJzb3J0S2V5IjozMDA0LCJwYXJlbnRJZCI6Im58U1B8UHJvdmlkZSBhbmQgZGV2ZWxvcCBJVCB3b3JrZm9yY2V8TDF8UHJvdmlkZSBhbmQgZGV2ZWxvcCBJVCB3b3JrZm9yY2UiLCJjaGlsZHJlbiI6WyJufFNQfFByb3ZpZGUgYW5kIGRldmVsb3AgSVQgd29ya2ZvcmNlfEwzfFByZS1ib2FyZCBuZXcgSVQgZW1wbG95ZWUgYW5kIG1hbmFnZXIiLCJufFNQfFByb3ZpZGUgYW5kIGRldmVsb3AgSVQgd29ya2ZvcmNlfEwzfE9uYm9hcmQgbmV3IElUIGVtcGxveWVlIGFuZCBtYW5hZ2VyIiwibnxTUHxQcm92aWRlIGFuZCBkZXZlbG9wIElUIHdvcmtmb3JjZXxMM3xDcmVhdGUsIGFwcHJvdmUgYW5kIHB1Ymxpc2ggdHJhaW5pbmdzIGZvciBJVCB3b3JrZm9yY2Ugd2l0aGluIElUIFRyYWluaW5nIENhdGFsb2d1ZSIsIm58U1B8UHJvdmlkZSBhbmQgZGV2ZWxvcCBJVCB3b3JrZm9yY2V8TDN8TWFwcGluZyBhbmQgZXZhbHVhdGUgSVQgY2FyZWVyIGxldmVsIiwibnxTUHxQcm92aWRlIGFuZCBkZXZlbG9wIElUIHdvcmtmb3JjZXxMM3xNYW5hZ2UgSVQgc2tpbGxzIiwibnxTUHxQcm92aWRlIGFuZCBkZXZlbG9wIElUIHdvcmtmb3JjZXxMM3xNYW5hZ2UgSVQgZ2xvYmFsIG9yaWVudGF0aW9uIHByb2dyYW1tZSBpbmNsLiBqb2Igc2hhZG93aW5nIl0sIml0ZW1zIjpbeyJwZyI6IlNQIiwibDEiOiJQcm92aWRlIGFuZCBkZXZlbG9wIElUIHdvcmtmb3JjZSIsInByb2MiOiJQZXJmb3JtIG9uYm9hcmRpbmciLCJsdmwiOiJMMiIsInBoYXNlIjoiRWxhYm9yYXRpb24iLCJzdGFydCI6IjIwMjUtMTAtMTYiLCJlbmQiOiIyMDI2LTA0LTMwIiwiYWN0dWFsIjoiRWxhYm9yYXRpb24gaW4gcHJvZ3Jlc3MiLCJwbGFubmVkIjoiRWxhYm9yYXRpb24gaW4gcHJvZ3Jlc3MiLCJwY3QiOiIwLjAwMjUiLCJjb25zdWx0YW50IjoiQ2hlbiBMZWlsZWkgKGV4dC4pO0h5bmVrIFRvYmlhcyAoTElTKSIsIm1hbmFnZXIiOiJNaWVsZW56IFRob21hcyAoTE1UKSIsImxlYWQiOiIiLCJub2RlSWQiOiJufFNQfFByb3ZpZGUgYW5kIGRldmVsb3AgSVQgd29ya2ZvcmNlfEwyfFBlcmZvcm0gb25ib2FyZGluZyJ9XX0seyJpZCI6Im58U1B8UHJvdmlkZSBhbmQgZGV2ZWxvcCBJVCB3b3JrZm9yY2V8TDN8UGxhbiBJVCB3b3JrZm9yY2UiLCJ0eXBlIjoicHJvYyIsInBnIjoiU1AiLCJsdmwiOiJMMyIsIm5hbWUiOiJQbGFuIElUIHdvcmtmb3JjZSIsImFzc29jTDEiOiJQcm92aWRlIGFuZCBkZXZlbG9wIElUIHdvcmtmb3JjZSIsImluZGVudCI6Mywic29ydEtleSI6MzAwNCwicGFyZW50SWQiOiJufFNQfFByb3ZpZGUgYW5kIGRldmVsb3AgSVQgd29ya2ZvcmNlfEwyfE1hbmFnZSBIUjRJVCBzdHJhdGVneSwgZ292ZXJuYW5lIGFuZCBmcmFtZXdvcmsiLCJjaGlsZHJlbiI6W10sIml0ZW1zIjpbeyJwZyI6IlNQIiwibDEiOiJQcm92aWRlIGFuZCBkZXZlbG9wIElUIHdvcmtmb3JjZSIsInByb2MiOiJQbGFuIElUIHdvcmtmb3JjZSIsImx2bCI6IkwzIiwicGhhc2UiOiJFbGFib3JhdGlvbiIsInN0YXJ0IjoiMjAyNS0xMC0xNiIsImVuZCI6IjIwMjUtMTItMzEiLCJhY3R1YWwiOiJEZWxheWVkIiwicGxhbm5lZCI6IkVsYWJvcmF0aW9uIERvbmUiLCJwY3QiOiIwIiwiY29uc3VsdGFudCI6IkNoZW4gTGVpbGVpIChleHQuKTtIeW5layBUb2JpYXMgKExJUykiLCJtYW5hZ2VyIjoiUm9sbGluZ2VyIEFsZXhhbmRlciAoTElTKSIsImxlYWQiOiJBbWVsYW5nIE5pY29sZSAoTElTKSIsIm5vZGVJZCI6Im58U1B8UHJvdmlkZSBhbmQgZGV2ZWxvcCBJVCB3b3JrZm9yY2V8TDN8UGxhbiBJVCB3b3JrZm9yY2UifSx7InBnIjoiU1AiLCJsMSI6IlByb3ZpZGUgYW5kIGRldmVsb3AgSVQgd29ya2ZvcmNlIiwicHJvYyI6IlBsYW4gSVQgd29ya2ZvcmNlIiwibHZsIjoiTDMiLCJwaGFzZSI6IkltcGxlbWVudGF0aW9uIExJUyIsInN0YXJ0IjoiMjAyNi0wMS0wMSIsImVuZCI6IjIwMjYtMTItMzEiLCJhY3R1YWwiOiJEZWxheWVkIiwicGxhbm5lZCI6IkltcGxlbWVudGF0aW9uIExJUyIsInBjdCI6IjAiLCJjb25zdWx0YW50IjoiQ2hlbiBMZWlsZWkgKGV4dC4pO0h5bmVrIFRvYmlhcyAoTElTKSIsIm1hbmFnZXIiOiJSb2xsaW5nZXIgQWxleGFuZGVyIChMSVMpIiwibGVhZCI6IkFtZWxhbmcgTmljb2xlIChMSVMpIiwibm9kZUlkIjoibnxTUHxQcm92aWRlIGFuZCBkZXZlbG9wIElUIHdvcmtmb3JjZXxMM3xQbGFuIElUIHdvcmtmb3JjZSJ9XX0seyJpZCI6Im58U1B8UHJvdmlkZSBhbmQgZGV2ZWxvcCBJVCB3b3JrZm9yY2V8TDN8UHJlLWJvYXJkIG5ldyBJVCBlbXBsb3llZSBhbmQgbWFuYWdlciIsInR5cGUiOiJwcm9jIiwicGciOiJTUCIsImx2bCI6IkwzIiwibmFtZSI6IlByZS1ib2FyZCBuZXcgSVQgZW1wbG95ZWUgYW5kIG1hbmFnZXIiLCJhc3NvY0wxIjoiUHJvdmlkZSBhbmQgZGV2ZWxvcCBJVCB3b3JrZm9yY2UiLCJpbmRlbnQiOjMsInNvcnRLZXkiOjMwMDQsInBhcmVudElkIjoibnxTUHxQcm92aWRlIGFuZCBkZXZlbG9wIElUIHdvcmtmb3JjZXxMMnxQZXJmb3JtIG9uYm9hcmRpbmciLCJjaGlsZHJlbiI6W10sIml0ZW1zIjpbeyJwZyI6IlNQIiwibDEiOiJQcm92aWRlIGFuZCBkZXZlbG9wIElUIHdvcmtmb3JjZSIsInByb2MiOiJQcmUtYm9hcmQgbmV3IElUIGVtcGxveWVlIGFuZCBtYW5hZ2VyIiwibHZsIjoiTDMiLCJwaGFzZSI6IkVsYWJvcmF0aW9uIiwic3RhcnQiOiIyMDI1LTEwLTE2IiwiZW5kIjoiMjAyNi0wNC0zMCIsImFjdHVhbCI6IkVsYWJvcmF0aW9uIGluIHByb2dyZXNzIiwicGxhbm5lZCI6IkVsYWJvcmF0aW9uIGluIHByb2dyZXNzIiwicGN0IjoiMC4wMDI1IiwiY29uc3VsdGFudCI6IkNoZW4gTGVpbGVpIChleHQuKTtIeW5layBUb2JpYXMgKExJUykiLCJtYW5hZ2VyIjoiTWllbGVueiBUaG9tYXMgKExNVCkiLCJsZWFkIjoiIiwibm9kZUlkIjoibnxTUHxQcm92aWRlIGFuZCBkZXZlbG9wIElUIHdvcmtmb3JjZXxMM3xQcmUtYm9hcmQgbmV3IElUIGVtcGxveWVlIGFuZCBtYW5hZ2VyIn1dfSx7ImlkIjoibnxTUHxQcm92aWRlIGFuZCBkZXZlbG9wIElUIHdvcmtmb3JjZXxMMXxQcm92aWRlIGFuZCBkZXZlbG9wIElUIHdvcmtmb3JjZSIsInR5cGUiOiJwcm9jIiwicGciOiJTUCIsImx2bCI6IkwxIiwibmFtZSI6IlByb3ZpZGUgYW5kIGRldmVsb3AgSVQgd29ya2ZvcmNlIiwiYXNzb2NMMSI6IlByb3ZpZGUgYW5kIGRldmVsb3AgSVQgd29ya2ZvcmNlIiwiaW5kZW50IjoxLCJzb3J0S2V5IjozMDA0LCJwYXJlbnRJZCI6InBnfFNQIiwiY2hpbGRyZW4iOlsibnxTUHxQcm92aWRlIGFuZCBkZXZlbG9wIElUIHdvcmtmb3JjZXxMMnxNYW5hZ2UgSFI0SVQgc3RyYXRlZ3ksIGdvdmVybmFuZSBhbmQgZnJhbWV3b3JrIiwibnxTUHxQcm92aWRlIGFuZCBkZXZlbG9wIElUIHdvcmtmb3JjZXxMMnxBdHRyYWN0IGFuZCBoaXJlIGVtcGxveWVlcyIsIm58U1B8UHJvdmlkZSBhbmQgZGV2ZWxvcCBJVCB3b3JrZm9yY2V8TDJ8UGVyZm9ybSBvbmJvYXJkaW5nIl0sIml0ZW1zIjpbeyJwZyI6IlNQIiwibDEiOiJQcm92aWRlIGFuZCBkZXZlbG9wIElUIHdvcmtmb3JjZSIsInByb2MiOiJQcm92aWRlIGFuZCBkZXZlbG9wIElUIHdvcmtmb3JjZSIsImx2bCI6IkwxIiwicGhhc2UiOiJFbGFib3JhdGlvbiIsInN0YXJ0IjoiMjAyNS0xMC0wMSIsImVuZCI6IjIwMjUtMTAtMDEiLCJhY3R1YWwiOiJFbGFib3JhdGlvbiBEb25lIiwicGxhbm5lZCI6IkVsYWJvcmF0aW9uIERvbmUiLCJwY3QiOiIwLjAxIiwiY29uc3VsdGFudCI6IkNoZW4gTGVpbGVpIChleHQuKTtIeW5layBUb2JpYXMgKExJUykiLCJtYW5hZ2VyIjoiUm9sbGluZ2VyIEFsZXhhbmRlciAoTElTKSIsImxlYWQiOiJBbWVsYW5nIE5pY29sZSAoTElTKSIsIm5vZGVJZCI6Im58U1B8UHJvdmlkZSBhbmQgZGV2ZWxvcCBJVCB3b3JrZm9yY2V8TDF8UHJvdmlkZSBhbmQgZGV2ZWxvcCBJVCB3b3JrZm9yY2UifV19LHsiaWQiOiJufFNQfFByb3ZpZGUgYW5kIGRldmVsb3AgSVQgd29ya2ZvcmNlfEwzfFJlY3J1aXQgZW1wbG95ZWVzIGFuZCBtYW5hZ2VycyIsInR5cGUiOiJwcm9jIiwicGciOiJTUCIsImx2bCI6IkwzIiwibmFtZSI6IlJlY3J1aXQgZW1wbG95ZWVzIGFuZCBtYW5hZ2VycyIsImFzc29jTDEiOiJQcm92aWRlIGFuZCBkZXZlbG9wIElUIHdvcmtmb3JjZSIsImluZGVudCI6Mywic29ydEtleSI6MzAwNCwicGFyZW50SWQiOiJufFNQfFByb3ZpZGUgYW5kIGRldmVsb3AgSVQgd29ya2ZvcmNlfEwyfEF0dHJhY3QgYW5kIGhpcmUgZW1wbG95ZWVzIiwiY2hpbGRyZW4iOltdLCJpdGVtcyI6W3sicGciOiJTUCIsImwxIjoiUHJvdmlkZSBhbmQgZGV2ZWxvcCBJVCB3b3JrZm9yY2UiLCJwcm9jIjoiUmVjcnVpdCBlbXBsb3llZXMgYW5kIG1hbmFnZXJzIiwibHZsIjoiTDMiLCJwaGFzZSI6IkVsYWJvcmF0aW9uIiwic3RhcnQiOiIyMDI1LTEwLTAxIiwiZW5kIjoiMjAyNi0wNC0zMCIsImFjdHVhbCI6IkVsYWJvcmF0aW9uIGluIHByb2dyZXNzIiwicGxhbm5lZCI6IkVsYWJvcmF0aW9uIGluIHByb2dyZXNzIiwicGN0IjoiMC4wMDI1IiwiY29uc3VsdGFudCI6IkNoZW4gTGVpbGVpIChleHQuKTtIeW5layBUb2JpYXMgKExJUykiLCJtYW5hZ2VyIjoiTWllbGVueiBUaG9tYXMgKExNVCkiLCJsZWFkIjoiS2llc2V3ZXR0ZXIgSXZhbmEgKExJUykiLCJub2RlSWQiOiJufFNQfFByb3ZpZGUgYW5kIGRldmVsb3AgSVQgd29ya2ZvcmNlfEwzfFJlY3J1aXQgZW1wbG95ZWVzIGFuZCBtYW5hZ2VycyJ9LHsicGciOiJTUCIsImwxIjoiUHJvdmlkZSBhbmQgZGV2ZWxvcCBJVCB3b3JrZm9yY2UiLCJwcm9jIjoiUmVjcnVpdCBlbXBsb3llZXMgYW5kIG1hbmFnZXJzIiwibHZsIjoiTDMiLCJwaGFzZSI6IkltcGxlbWVudGF0aW9uIExJUyIsInN0YXJ0IjoiMjAyNi0wMy0wMSIsImVuZCI6IjIwMjYtMTItMzEiLCJhY3R1YWwiOiJEZWxheWVkIiwicGxhbm5lZCI6IkltcGxlbWVudGF0aW9uIExJUyIsInBjdCI6IjAiLCJjb25zdWx0YW50IjoiQ2hlbiBMZWlsZWkgKGV4dC4pO0h5bmVrIFRvYmlhcyAoTElTKSIsIm1hbmFnZXIiOiJNaWVsZW56IFRob21hcyAoTE1UKSIsImxlYWQiOiJLaWVzZXdldHRlciBJdmFuYSAoTElTKSIsIm5vZGVJZCI6Im58U1B8UHJvdmlkZSBhbmQgZGV2ZWxvcCBJVCB3b3JrZm9yY2V8TDN8UmVjcnVpdCBlbXBsb3llZXMgYW5kIG1hbmFnZXJzIn1dfSx7ImlkIjoibnxTUHxFbnN1cmUgcGVyZm9ybWFuY2UgYW5kIGNvbmZvcm1hbmNlIG9mIElUIHNlcnZpY2VzfEwxfEVuc3VyZSBwZXJmb3JtYW5jZSBhbmQgY29uZm9ybWFuY2Ugb2YgSVQgc2VydmljZXMiLCJ0eXBlIjoicHJvYyIsInBnIjoiU1AiLCJsdmwiOiJMMSIsIm5hbWUiOiJFbnN1cmUgcGVyZm9ybWFuY2UgYW5kIGNvbmZvcm1hbmNlIG9mIElUIHNlcnZpY2VzIiwiYXNzb2NMMSI6IkVuc3VyZSBwZXJmb3JtYW5jZSBhbmQgY29uZm9ybWFuY2Ugb2YgSVQgc2VydmljZXMiLCJpbmRlbnQiOjEsInNvcnRLZXkiOjMwMDUsInBhcmVudElkIjoicGd8U1AiLCJjaGlsZHJlbiI6W10sIml0ZW1zIjpbeyJwZyI6IlNQIiwibDEiOiJFbnN1cmUgcGVyZm9ybWFuY2UgYW5kIGNvbmZvcm1hbmNlIG9mIElUIHNlcnZpY2VzIiwicHJvYyI6IkVuc3VyZSBwZXJmb3JtYW5jZSBhbmQgY29uZm9ybWFuY2Ugb2YgSVQgc2VydmljZXMiLCJsdmwiOiJMMSIsInBoYXNlIjoiRWxhYm9yYXRpb24iLCJzdGFydCI6IjIwMjYtMDQtMTUiLCJlbmQiOiIyMDI2LTA2LTMwIiwiYWN0dWFsIjoiRGVsYXllZCIsInBsYW5uZWQiOiJFbGFib3JhdGlvbiBpbiBwcm9ncmVzcyIsInBjdCI6IjAiLCJjb25zdWx0YW50IjoiU2Nocm9lZGVyIE1pY2hhZWwgKExJUykiLCJtYW5hZ2VyIjoiU2ludCBSYWNoZWwgKExCSCkiLCJsZWFkIjoiPyIsIm5vZGVJZCI6Im58U1B8RW5zdXJlIHBlcmZvcm1hbmNlIGFuZCBjb25mb3JtYW5jZSBvZiBJVCBzZXJ2aWNlc3xMMXxFbnN1cmUgcGVyZm9ybWFuY2UgYW5kIGNvbmZvcm1hbmNlIG9mIElUIHNlcnZpY2VzIn1dfSx7ImlkIjoibnxTUHxNYW5hZ2UgSVQga25vd2xlZGdlfEwxfE1hbmFnZSBJVCBrbm93bGVkZ2UiLCJ0eXBlIjoicHJvYyIsInBnIjoiU1AiLCJsdmwiOiJMMSIsIm5hbWUiOiJNYW5hZ2UgSVQga25vd2xlZGdlIiwiYXNzb2NMMSI6Ik1hbmFnZSBJVCBrbm93bGVkZ2UiLCJpbmRlbnQiOjEsInNvcnRLZXkiOjMwMDYsInBhcmVudElkIjoicGd8U1AiLCJjaGlsZHJlbiI6W10sIml0ZW1zIjpbeyJwZyI6IlNQIiwibDEiOiJNYW5hZ2UgSVQga25vd2xlZGdlIiwicHJvYyI6Ik1hbmFnZSBJVCBrbm93bGVkZ2UiLCJsdmwiOiJMMSIsInBoYXNlIjoiRWxhYm9yYXRpb24iLCJzdGFydCI6IjIwMjYtMDEtMjAiLCJlbmQiOiIyMDI2LTAyLTI1IiwiYWN0dWFsIjoiRWxhYm9yYXRpb24gRG9uZSIsInBsYW5uZWQiOiJFbGFib3JhdGlvbiBEb25lIiwicGN0IjoiMC4wMSIsImNvbnN1bHRhbnQiOiJTY2hyb2VkZXIgTWljaGFlbCAoTElTKSIsIm1hbmFnZXIiOiJTaW50IFJhY2hlbCAoTEJIKSIsImxlYWQiOiJLdWVyc2NobmVyIFBoaWxpcHAgKExJUykiLCJub2RlSWQiOiJufFNQfE1hbmFnZSBJVCBrbm93bGVkZ2V8TDF8TWFuYWdlIElUIGtub3dsZWRnZSJ9LHsicGciOiJTUCIsImwxIjoiTWFuYWdlIElUIGtub3dsZWRnZSIsInByb2MiOiJNYW5hZ2UgSVQga25vd2xlZGdlIiwibHZsIjoiTDEiLCJwaGFzZSI6IkltcGxlbWVudGF0aW9uIExJUyIsInN0YXJ0IjoiMjAyNi0wNC0xNSIsImVuZCI6IjIwMjYtMDYtMzAiLCJhY3R1YWwiOiJEZWxheWVkIiwicGxhbm5lZCI6IkltcGxlbWVudGF0aW9uIExJUyIsInBjdCI6IjAiLCJjb25zdWx0YW50IjoiU2Nocm9lZGVyIE1pY2hhZWwgKExJUykiLCJtYW5hZ2VyIjoiU2ludCBSYWNoZWwgKExCSCkiLCJsZWFkIjoiS3VlcnNjaG5lciBQaGlsaXBwIChMSVMpIiwibm9kZUlkIjoibnxTUHxNYW5hZ2UgSVQga25vd2xlZGdlfEwxfE1hbmFnZSBJVCBrbm93bGVkZ2UifV19XX0=&lt;/textarea&gt;
&lt;script&gt;
const dataEl=document.getElementById('dataB64');
const rawB64=((dataEl&amp;&amp;(dataEl.value||dataEl.textContent))?(dataEl.value||dataEl.textContent):'').replace(/s+/g,'');
function fromBase64Utf8(b64){
  try{
    const bin=atob(b64);
    const bytes=new Uint8Array(bin.length);
    for(let i=0;i&lt;bin.length;i++) bytes[i]=bin.charCodeAt(i);
    return new TextDecoder('utf-8').decode(bytes);
  }catch(e){
    console.warn('Base64 decode failed',e);
    return '';
  }
}
let PAYLOAD={data:[],nodes:[]};
const decoded=fromBase64Utf8(rawB64);
if(decoded){ try{ PAYLOAD=JSON.parse(decoded);}catch(e){ console.warn('JSON parse failed',e);} }
let DATA=Array.isArray(PAYLOAD.data)?PAYLOAD.data:[];
let NODES=Array.isArray(PAYLOAD.nodes)?PAYLOAD.nodes:[];
const DATA_RAWLEN=rawB64.length;
const el=function(id){return document.getElementById(id);};
const fGroup=el('fGroup'), fL1=el('fL1'), fConsultant=el('fConsultant'), fManager=el('fManager'), fLead=el('fLead');
const labelsEl=el('labels'), barsEl=el('bars'), axisEl=el('axis'), legendEl=el('legend');
const detailBody=el('detailBody'), countInfo=el('countInfo');
const chipDelayed=el('chipDelayed'), chipReset=el('chipReset');
const btnExpand=el('btnExpand'), btnCollapse=el('btnCollapse');
const timeline=el('timeline');
const phaseColors={'Elaboration':'#8b5cf6','Implementation LIS':'#2563eb','Implementation LUS':'#10b981','Implementation COT':'#06b6d4'};
const phaseOrder=['Elaboration','Implementation LIS','Implementation LUS','Implementation COT'];
let selectedPhases=new Set(phaseOrder);
const expanded=new Set();
function setDefaultExpanded(){ expanded.clear(); for(var i=0;i&lt;NODES.length;i++){ var n=NODES[i]; if(n.type==='pg'||n.lvl==='L1'){ expanded.add(n.id);} } }
function isDelayed(it){ var a=(it.actual||'').toLowerCase(); var p=(it.planned||'').toLowerCase(); return a.indexOf('delayed')&gt;=0 || p.indexOf('delayed')&gt;=0; }
function phaseColor(phase){ return phaseColors[phase]||'#94a3b8'; }
function dateMs(s){ var d=new Date(s); var t=d.getTime(); return isNaN(t)?null:t; }
function rollupRange(items){ var min=null,max=null; for(var i=0;i&lt;items.length;i++){ var it=items[i]; var s=dateMs(it.start), e=dateMs(it.end); if(s===null||e===null) continue; if(min===null||s&lt;min) min=s; if(max===null||e&gt;max) max=e; } if(min===null||max===null) return null; return {start:min,end:max}; }
function escapeHtml(s){ return String(s||'').replace(/[&amp;&lt;&gt;\"']/g,function(c){return {'&amp;':'&amp;amp;','&lt;':'&amp;lt;','&gt;':'&amp;gt;','\"':'&amp;quot;',''':'&amp;#39;'}[c];}); }
function buildL1(){ var pg=fGroup.value; var set=new Set(); for(var i=0;i&lt;DATA.length;i++){ var d=DATA[i]; if(pg &amp;&amp; d.pg!==pg) continue; if(d.l1) set.add(d.l1); } var arr=Array.from(set); arr.sort(); var html='&lt;option value=""&gt;All L1 Processes&lt;/option&gt;'; for(i=0;i&lt;arr.length;i++){ html+='&lt;option value="'+escapeHtml(arr[i])+'"&gt;'+escapeHtml(arr[i])+'&lt;/option&gt;'; } fL1.innerHTML=html; }
function currentFiltered(applyPhase){ if(applyPhase===undefined) applyPhase=true; var pg=fGroup.value, l1=fL1.value; var c=fConsultant.value, m=fManager.value, l=fLead.value; var out=[]; for(var i=0;i&lt;DATA.length;i++){ var it=DATA[i]; if(pg &amp;&amp; it.pg!==pg) continue; if(l1 &amp;&amp; it.l1!==l1) continue; if(c &amp;&amp; it.consultant!==c) continue; if(m &amp;&amp; it.manager!==m) continue; if(l &amp;&amp; it.lead!==l) continue; if(chipDelayed.classList.contains('active') &amp;&amp; !isDelayed(it)) continue; if(applyPhase &amp;&amp; !selectedPhases.has(it.phase)) continue; out.push(it); } return out; }
function buildRoleFilters(){ var items=currentFiltered(false); function uniq(get){ var s=new Set(); for(var i=0;i&lt;items.length;i++){ var v=get(items[i]); if(v) s.add(v);} var a=Array.from(s); a.sort(); return a; } function fill(sel,label,arr){ var cur=sel.value; var html='&lt;option value=""&gt;'+label+'&lt;/option&gt;'; for(var i=0;i&lt;arr.length;i++){ html+='&lt;option value="'+escapeHtml(arr[i])+'"&gt;'+escapeHtml(arr[i])+'&lt;/option&gt;'; } sel.innerHTML=html; if(cur &amp;&amp; arr.indexOf(cur)!==-1){ sel.value=cur; return false; } sel.value=''; return cur!==''; } var cleared=false; cleared = fill(fConsultant,'IT Process Consultant',uniq(function(x){return x.consultant;})) || cleared; cleared = fill(fManager,'IT Process Manager',uniq(function(x){return x.manager;})) || cleared; cleared = fill(fLead,'IT Process Initiative Lead',uniq(function(x){return x.lead;})) || cleared; return cleared; }
function buildFilters(){ var order={'MP':1,'CP':2,'SP':3}; var set=new Set(); for(var i=0;i&lt;DATA.length;i++){ if(DATA[i].pg) set.add(DATA[i].pg);} var pgs=Array.from(set); pgs.sort(function(a,b){ return (order[a]||99)-(order[b]||99) || a.localeCompare(b);}); var html='&lt;option value=""&gt;All Process Groups&lt;/option&gt;'; for(i=0;i&lt;pgs.length;i++){ html+='&lt;option value="'+pgs[i]+'"&gt;'+pgs[i]+'&lt;/option&gt;'; } fGroup.innerHTML=html; buildL1(); buildRoleFilters(); }
function visibleRows(){ var byId=new Map(); for(var i=0;i&lt;NODES.length;i++){ byId.set(NODES[i].id,NODES[i]); } function getChildren(id){ var n=byId.get(id); return (n&amp;&amp;n.children)?n.children:[]; } var order={'MP':1,'CP':2,'SP':3}; var pgNodes=NODES.filter(function(n){return n.type==='pg';}).sort(function(a,b){return (order[a.pg]||99)-(order[b.pg]||99);}); var out=[]; function walk(id,indent){ var n=byId.get(id); if(!n) return; out.push({node:n,indent:indent}); if(expanded.has(id)){ var kids=getChildren(id); for(var k=0;k&lt;kids.length;k++){ walk(kids[k], Math.min(indent+1,4)); } } } for(i=0;i&lt;pgNodes.length;i++){ if(fGroup.value &amp;&amp; pgNodes[i].pg!==fGroup.value) continue; walk(pgNodes[i].id,0); } return out; }
function renderLegend(){ legendEl.innerHTML=''; for(var i=0;i&lt;phaseOrder.length;i++){ (function(ph){ var d=document.createElement('div'); d.className='legItem'+(selectedPhases.has(ph)?'':' off'); d.innerHTML='&lt;span class="sw" style="background:'+phaseColor(ph)+'"&gt;&lt;/span&gt;&lt;span&gt;'+ph+'&lt;/span&gt;'; d.addEventListener('click',function(){ if(selectedPhases.has(ph)) selectedPhases.delete(ph); else selectedPhases.add(ph); render();}); legendEl.appendChild(d); })(phaseOrder[i]); } var dd=document.createElement('div'); dd.className='legItem'; dd.innerHTML='&lt;span class="sw" style="background:#fff;border:2px dashed rgba(239,68,68,.9)"&gt;&lt;/span&gt;&lt;span&gt;Delayed&lt;/span&gt;'; legendEl.appendChild(dd); }
function renderTodayLine(domainStart,domainEnd){ var now=new Date(); var t=now.getTime(); if(t&lt;domainStart||t&gt;domainEnd) return; var span=domainEnd-domainStart; var x=((t-domainStart)/span)*100; var line=document.getElementById('todayLine'); if(!line){ line=document.createElement('div'); line.id='todayLine'; line.className='todayLine'; barsEl.appendChild(line);} line.style.left=x+'%'; }
function renderDetail(items){ detailBody.innerHTML=''; var max=Math.min(items.length,300); var html=''; for(var i=0;i&lt;max;i++){ var it=items[i]; var pct=it.pct?Math.round(parseFloat(it.pct)*100)+'%':''; var status=isDelayed(it)?'Delayed':(it.actual||it.planned||''); html+='&lt;tr&gt;&lt;td&gt;'+escapeHtml(it.proc||'')+'&lt;/td&gt;&lt;td&gt;'+escapeHtml(it.lvl||'')+'&lt;/td&gt;&lt;td&gt;'+escapeHtml(it.phase||'')+'&lt;/td&gt;&lt;td&gt;'+escapeHtml(it.start||'')+'&lt;/td&gt;&lt;td&gt;'+escapeHtml(it.end||'')+'&lt;/td&gt;&lt;td&gt;'+escapeHtml(pct)+'&lt;/td&gt;&lt;td&gt;'+escapeHtml(it.lead||'')+'&lt;/td&gt;&lt;td&gt;'+escapeHtml(it.manager||'')+'&lt;/td&gt;&lt;td&gt;'+escapeHtml(it.consultant||'')+'&lt;/td&gt;&lt;td&gt;'+escapeHtml(status)+'&lt;/td&gt;&lt;/tr&gt;'; } detailBody.innerHTML=html; }
function render(){ var items=currentFiltered(true); countInfo.textContent=items.length+' tasks (with Start/End)'; var allRange=rollupRange(items); if(!allRange){ labelsEl.innerHTML='&lt;div class="hint" style="padding:12px;"&gt;No data to display. If this is unexpected, please re-export the HTML (copy ALL chunks) and ensure it is saved as .html.&lt;/div&gt;'; barsEl.innerHTML=''; axisEl.innerHTML=''; detailBody.innerHTML=''; renderLegend(); return; } var domainStart=allRange.start, domainEnd=allRange.end, span=domainEnd-domainStart; axisEl.innerHTML=''; var startD=new Date(domainStart), endD=new Date(domainEnd); var first=new Date(startD.getFullYear(), startD.getMonth(), 1); for(var d=new Date(first); d&lt;=endD; d=new Date(d.getFullYear(), d.getMonth()+1, 1)){ var x=((d.getTime()-domainStart)/span)*100; var tick=document.createElement('div'); tick.className='tick'; tick.style.left=x+'%'; var lab=d.toLocaleDateString('en-US',{month:'short',year:'2-digit'}); tick.innerHTML='&lt;span&gt;'+lab+'&lt;/span&gt;'; axisEl.appendChild(tick);} labelsEl.innerHTML=''; barsEl.innerHTML=''; var byNode=new Map(); for(var i=0;i&lt;items.length;i++){ var it=items[i]; if(!byNode.has(it.nodeId)) byNode.set(it.nodeId,[]); byNode.get(it.nodeId).push(it);} var rows=visibleRows(); for(i=0;i&lt;rows.length;i++){ var n=rows[i].node; var hasItems=byNode.has(n.id); var hasKids=(n.children&amp;&amp;n.children.length); if(n.type!=='pg' &amp;&amp; !hasItems &amp;&amp; !hasKids) continue; var label=document.createElement('div'); var isPg=(n.type==='pg'); var isL1=(n.lvl==='L1'); var cls='labelRow '+(isPg?'pg ':'')+(isL1?'l1 ':'')+'indent-'+Math.min(rows[i].indent,4); if(isPg){ cls+=' pg-'+String(n.pg||'').toLowerCase(); } label.className=cls; var canToggle=hasKids; var tog=document.createElement('div'); tog.className='toggle'+(canToggle?'':' hidden'); tog.textContent=canToggle?(expanded.has(n.id)?'-':'+'):''; if(canToggle){ (function(id){ tog.addEventListener('click',function(ev){ ev.stopPropagation(); if(expanded.has(id)) expanded.delete(id); else expanded.add(id); render();}); })(n.id);} var name=document.createElement('div'); name.className='name'; if(isPg){ name.textContent=(n.pg==='MP'?'Management Processes':(n.pg==='CP'?'Core Processes':(n.pg==='SP'?'Support Processes':n.name))); } else { name.textContent=n.name; } label.appendChild(tog); label.appendChild(name); labelsEl.appendChild(label); var timeRow=document.createElement('div'); timeRow.className='timeRow'; var rowItems=[]; if(isPg){ for(var j=0;j&lt;items.length;j++){ if(items[j].pg===n.pg) rowItems.push(items[j]); } } else { if(hasItems) rowItems=rowItems.concat(byNode.get(n.id)); } var rr=rollupRange(rowItems); if(rr){ var left=((rr.start-domainStart)/span)*100; var width=Math.max(0.6,((rr.end-rr.start)/span)*100); var b=document.createElement('div'); b.className='bar rollup'+(rowItems.some(isDelayed)?' delayed':''); b.style.left=left+'%'; b.style.width=width+'%'; var pgCol=(n.pg==='MP')?getComputedStyle(document.documentElement).getPropertyValue('--pg-mp'):(n.pg==='CP'?getComputedStyle(document.documentElement).getPropertyValue('--pg-cp'):getComputedStyle(document.documentElement).getPropertyValue('--pg-sp')); b.style.background=isPg?pgCol:(isL1?'rgba(100,116,139,.85)':'rgba(148,163,184,.9)'); timeRow.appendChild(b);} if(hasItems){ var these=byNode.get(n.id).slice().sort(function(a,b){return phaseOrder.indexOf(a.phase)-phaseOrder.indexOf(b.phase);}); for(var j=0;j&lt;these.length;j++){ var it=these[j]; var s=dateMs(it.start), e=dateMs(it.end); var left=((s-domainStart)/span)*100; var width=Math.max(0.6,((e-s)/span)*100); var bb=document.createElement('div'); bb.className='bar'+(isDelayed(it)?' delayed':''); bb.style.left=left+'%'; bb.style.width=width+'%'; bb.style.top=(6+(j%2)*10)+'px'; bb.style.height='10px'; bb.style.background=phaseColor(it.phase); timeRow.appendChild(bb);} } barsEl.appendChild(timeRow);} renderTodayLine(domainStart,domainEnd); renderLegend(); renderDetail(items); labelsEl.scrollTop=timeline.scrollTop; }
timeline.addEventListener('scroll',function(){ labelsEl.scrollTop=timeline.scrollTop; });
labelsEl.addEventListener('wheel',function(e){ timeline.scrollTop += e.deltaY; e.preventDefault(); },{passive:false});
btnExpand.addEventListener('click',function(){ expanded.clear(); for(var i=0;i&lt;NODES.length;i++){ var n=NODES[i]; if(n.children &amp;&amp; n.children.length) expanded.add(n.id);} render();});
btnCollapse.addEventListener('click',function(){ expanded.clear(); for(var i=0;i&lt;NODES.length;i++){ var n=NODES[i]; if(n.type==='pg') expanded.add(n.id);} render();});
chipDelayed.addEventListener('click',function(){ chipDelayed.classList.toggle('active'); render();});
chipReset.addEventListener('click',function(){ fGroup.value=''; buildL1(); fL1.value=''; fConsultant.value=''; fManager.value=''; fLead.value=''; chipDelayed.classList.remove('active'); setDefaultExpanded(); buildRoleFilters(); render();});
fGroup.addEventListener('change',function(){ buildL1(); buildRoleFilters(); render();});
fL1.addEventListener('change',function(){ buildRoleFilters(); render();});
fConsultant.addEventListener('change',function(){ buildRoleFilters(); render();});
fManager.addEventListener('change',function(){ buildRoleFilters(); render();});
fLead.addEventListener('change',function(){ buildRoleFilters(); render();});
buildFilters(); setDefaultExpanded(); render();
&lt;/script&gt;
&lt;/body&gt;
&lt;/html&gt;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</si>
</sst>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363636"/>
      <name val="Segoe UI"/>
      <family val="2"/>
    </font>
    <font>
      <sz val="9"/>
      <color rgb="FF363636"/>
      <name val="Segoe UI"/>
      <family val="2"/>
    </font>
    <font>
      <b/>
      <sz val="11"/>
      <color rgb="FF000000"/>
      <name val="Calibri"/>
      <family val="2"/>
      <scheme val="minor"/>
    </font>
    <font>
      <sz val="9"/>
      <color rgb="FF363636"/>
      <name val="Segoe UI"/>
      <family val="2"/>
      <charset val="1"/>
    </font>
    <font>
      <b/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ED1C24"/>
      <name val="Calibri"/>
      <family val="2"/>
    </font>
    <font>
      <strike/>
      <sz val="11"/>
      <color rgb="FFC0C0C0"/>
      <name val="Calibri"/>
      <family val="2"/>
      <scheme val="minor"/>
    </font>
    <font>
      <sz val="11"/>
      <color rgb="FFED1C24"/>
      <name val="Calibri"/>
      <family val="2"/>
      <scheme val="minor"/>
    </font>
    <font>
      <strike/>
      <sz val="11"/>
      <color rgb="FFC0C0C0"/>
      <name val="Calibri"/>
      <family val="2"/>
      <charset val="1"/>
    </font>
    <font>
      <strike/>
      <sz val="11"/>
      <color rgb="FFC0C0C0"/>
      <name val="Calibri"/>
      <family val="2"/>
    </font>
    <font>
      <b/>
      <strike/>
      <sz val="11"/>
      <color rgb="FFC0C0C0"/>
      <name val="Calibri"/>
      <family val="2"/>
    </font>
    <font>
      <sz val="11"/>
      <color theme="1"/>
      <name val="Calibri"/>
      <family val="2"/>
    </font>
    <font>
      <sz val="11"/>
      <color rgb="FF242424"/>
      <name val="Aptos Narrow"/>
      <charset val="1"/>
    </font>
  </fonts>
  <fills count="1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FE3E8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7979"/>
        <bgColor rgb="FF000000"/>
      </patternFill>
    </fill>
    <fill>
      <patternFill patternType="solid">
        <fgColor rgb="FFFF7979"/>
        <bgColor indexed="64"/>
      </patternFill>
    </fill>
    <fill>
      <patternFill patternType="solid">
        <fgColor rgb="FFFFD965"/>
        <bgColor indexed="64"/>
      </patternFill>
    </fill>
    <fill>
      <patternFill patternType="solid">
        <fgColor rgb="FF0078D4"/>
        <bgColor indexed="64"/>
      </patternFill>
    </fill>
  </fills>
  <borders count="7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rgb="FFB1BBCC"/>
      </left>
      <right style="thin">
        <color rgb="FFB1BBCC"/>
      </right>
      <top/>
      <bottom style="thin">
        <color rgb="FFB1BBCC"/>
      </bottom>
      <diagonal/>
    </border>
    <border>
      <left/>
      <right style="thin">
        <color rgb="FFB1BBCC"/>
      </right>
      <top/>
      <bottom style="thin">
        <color rgb="FFB1BBCC"/>
      </bottom>
      <diagonal/>
    </border>
    <border>
      <left style="thin">
        <color rgb="FFB1BBCC"/>
      </left>
      <right style="thin">
        <color rgb="FFB1BBCC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4">
    <xf numFmtId="0" fontId="0" fillId="0" borderId="0" xfId="0"/>
    <xf numFmtId="9" fontId="2" fillId="0" borderId="1" xfId="1" applyFont="1" applyFill="1" applyBorder="1" applyAlignment="1">
      <alignment vertical="center" wrapText="1"/>
    </xf>
    <xf numFmtId="14" fontId="2" fillId="0" borderId="1" xfId="0" applyNumberFormat="1" applyFont="1" applyBorder="1" applyAlignment="1">
      <alignment vertical="center" wrapText="1"/>
    </xf>
    <xf numFmtId="14" fontId="2" fillId="0" borderId="0" xfId="0" applyNumberFormat="1" applyFont="1" applyAlignment="1">
      <alignment vertical="center" wrapText="1"/>
    </xf>
    <xf numFmtId="14" fontId="0" fillId="0" borderId="0" xfId="0" applyNumberFormat="1" applyAlignment="1">
      <alignment vertical="center" wrapText="1"/>
    </xf>
    <xf numFmtId="14" fontId="0" fillId="0" borderId="0" xfId="0" applyNumberFormat="1"/>
    <xf numFmtId="14" fontId="0" fillId="0" borderId="1" xfId="0" applyNumberFormat="1" applyBorder="1" applyAlignment="1">
      <alignment vertical="center" wrapText="1"/>
    </xf>
    <xf numFmtId="9" fontId="1" fillId="0" borderId="0" xfId="1" applyFont="1" applyFill="1"/>
    <xf numFmtId="0" fontId="3" fillId="2" borderId="0" xfId="0" applyFont="1" applyFill="1"/>
    <xf numFmtId="9" fontId="3" fillId="2" borderId="0" xfId="1" applyFont="1" applyFill="1"/>
    <xf numFmtId="14" fontId="4" fillId="2" borderId="1" xfId="0" applyNumberFormat="1" applyFont="1" applyFill="1" applyBorder="1" applyAlignment="1">
      <alignment vertical="center" wrapText="1"/>
    </xf>
    <xf numFmtId="14" fontId="4" fillId="2" borderId="0" xfId="0" applyNumberFormat="1" applyFont="1" applyFill="1" applyAlignment="1">
      <alignment vertical="center" wrapText="1"/>
    </xf>
    <xf numFmtId="0" fontId="5" fillId="3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9" fontId="5" fillId="3" borderId="1" xfId="0" applyNumberFormat="1" applyFont="1" applyFill="1" applyBorder="1" applyAlignment="1">
      <alignment horizontal="left" vertical="top" wrapText="1"/>
    </xf>
    <xf numFmtId="14" fontId="5" fillId="3" borderId="1" xfId="0" applyNumberFormat="1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9" fontId="6" fillId="6" borderId="1" xfId="0" applyNumberFormat="1" applyFont="1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/>
    </xf>
    <xf numFmtId="14" fontId="6" fillId="6" borderId="1" xfId="0" applyNumberFormat="1" applyFont="1" applyFill="1" applyBorder="1" applyAlignment="1">
      <alignment horizontal="left" vertical="top" wrapText="1"/>
    </xf>
    <xf numFmtId="9" fontId="2" fillId="6" borderId="1" xfId="0" applyNumberFormat="1" applyFont="1" applyFill="1" applyBorder="1" applyAlignment="1">
      <alignment horizontal="left" vertical="top" wrapText="1"/>
    </xf>
    <xf numFmtId="14" fontId="2" fillId="6" borderId="1" xfId="0" applyNumberFormat="1" applyFont="1" applyFill="1" applyBorder="1" applyAlignment="1">
      <alignment horizontal="left" vertical="top" wrapText="1"/>
    </xf>
    <xf numFmtId="14" fontId="0" fillId="6" borderId="1" xfId="0" applyNumberForma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9" fontId="6" fillId="4" borderId="1" xfId="0" applyNumberFormat="1" applyFont="1" applyFill="1" applyBorder="1" applyAlignment="1">
      <alignment horizontal="left" vertical="top" wrapText="1"/>
    </xf>
    <xf numFmtId="14" fontId="0" fillId="4" borderId="1" xfId="0" applyNumberFormat="1" applyFill="1" applyBorder="1" applyAlignment="1">
      <alignment horizontal="left" vertical="top" wrapText="1"/>
    </xf>
    <xf numFmtId="9" fontId="2" fillId="4" borderId="1" xfId="0" applyNumberFormat="1" applyFont="1" applyFill="1" applyBorder="1" applyAlignment="1">
      <alignment horizontal="left" vertical="top" wrapText="1"/>
    </xf>
    <xf numFmtId="14" fontId="2" fillId="4" borderId="1" xfId="0" applyNumberFormat="1" applyFont="1" applyFill="1" applyBorder="1" applyAlignment="1">
      <alignment horizontal="left" vertical="top" wrapText="1"/>
    </xf>
    <xf numFmtId="14" fontId="6" fillId="4" borderId="1" xfId="0" applyNumberFormat="1" applyFont="1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9" fontId="0" fillId="0" borderId="0" xfId="1" applyFont="1" applyAlignment="1">
      <alignment horizontal="left" vertical="top"/>
    </xf>
    <xf numFmtId="9" fontId="0" fillId="0" borderId="0" xfId="0" applyNumberFormat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7" borderId="0" xfId="0" applyFill="1"/>
    <xf numFmtId="0" fontId="0" fillId="8" borderId="0" xfId="0" applyFill="1"/>
    <xf numFmtId="14" fontId="0" fillId="8" borderId="0" xfId="0" applyNumberFormat="1" applyFill="1"/>
    <xf numFmtId="1" fontId="0" fillId="8" borderId="0" xfId="0" applyNumberFormat="1" applyFill="1"/>
    <xf numFmtId="9" fontId="0" fillId="8" borderId="0" xfId="1" applyFont="1" applyFill="1"/>
    <xf numFmtId="0" fontId="7" fillId="3" borderId="1" xfId="0" applyFont="1" applyFill="1" applyBorder="1"/>
    <xf numFmtId="0" fontId="8" fillId="4" borderId="1" xfId="0" applyFont="1" applyFill="1" applyBorder="1"/>
    <xf numFmtId="0" fontId="9" fillId="4" borderId="1" xfId="0" applyFont="1" applyFill="1" applyBorder="1"/>
    <xf numFmtId="0" fontId="8" fillId="5" borderId="1" xfId="0" applyFont="1" applyFill="1" applyBorder="1"/>
    <xf numFmtId="0" fontId="8" fillId="6" borderId="1" xfId="0" applyFont="1" applyFill="1" applyBorder="1"/>
    <xf numFmtId="9" fontId="8" fillId="6" borderId="1" xfId="0" applyNumberFormat="1" applyFont="1" applyFill="1" applyBorder="1"/>
    <xf numFmtId="0" fontId="9" fillId="6" borderId="1" xfId="0" applyFont="1" applyFill="1" applyBorder="1"/>
    <xf numFmtId="0" fontId="10" fillId="4" borderId="1" xfId="0" applyFont="1" applyFill="1" applyBorder="1"/>
    <xf numFmtId="0" fontId="10" fillId="6" borderId="1" xfId="0" applyFont="1" applyFill="1" applyBorder="1"/>
    <xf numFmtId="9" fontId="10" fillId="6" borderId="1" xfId="0" applyNumberFormat="1" applyFont="1" applyFill="1" applyBorder="1"/>
    <xf numFmtId="0" fontId="10" fillId="5" borderId="1" xfId="0" applyFont="1" applyFill="1" applyBorder="1"/>
    <xf numFmtId="9" fontId="8" fillId="4" borderId="1" xfId="0" applyNumberFormat="1" applyFont="1" applyFill="1" applyBorder="1"/>
    <xf numFmtId="9" fontId="10" fillId="4" borderId="1" xfId="0" applyNumberFormat="1" applyFont="1" applyFill="1" applyBorder="1"/>
    <xf numFmtId="0" fontId="9" fillId="5" borderId="1" xfId="0" applyFont="1" applyFill="1" applyBorder="1"/>
    <xf numFmtId="14" fontId="7" fillId="3" borderId="1" xfId="0" applyNumberFormat="1" applyFont="1" applyFill="1" applyBorder="1"/>
    <xf numFmtId="14" fontId="8" fillId="6" borderId="1" xfId="0" applyNumberFormat="1" applyFont="1" applyFill="1" applyBorder="1"/>
    <xf numFmtId="14" fontId="10" fillId="6" borderId="1" xfId="0" applyNumberFormat="1" applyFont="1" applyFill="1" applyBorder="1"/>
    <xf numFmtId="14" fontId="8" fillId="4" borderId="1" xfId="0" applyNumberFormat="1" applyFont="1" applyFill="1" applyBorder="1"/>
    <xf numFmtId="14" fontId="10" fillId="4" borderId="1" xfId="0" applyNumberFormat="1" applyFont="1" applyFill="1" applyBorder="1"/>
    <xf numFmtId="2" fontId="7" fillId="3" borderId="1" xfId="0" applyNumberFormat="1" applyFont="1" applyFill="1" applyBorder="1"/>
    <xf numFmtId="2" fontId="8" fillId="6" borderId="1" xfId="0" applyNumberFormat="1" applyFont="1" applyFill="1" applyBorder="1"/>
    <xf numFmtId="2" fontId="10" fillId="6" borderId="1" xfId="0" applyNumberFormat="1" applyFont="1" applyFill="1" applyBorder="1"/>
    <xf numFmtId="2" fontId="8" fillId="4" borderId="1" xfId="0" applyNumberFormat="1" applyFont="1" applyFill="1" applyBorder="1"/>
    <xf numFmtId="2" fontId="10" fillId="4" borderId="1" xfId="0" applyNumberFormat="1" applyFont="1" applyFill="1" applyBorder="1"/>
    <xf numFmtId="2" fontId="0" fillId="0" borderId="0" xfId="0" applyNumberFormat="1"/>
    <xf numFmtId="14" fontId="8" fillId="0" borderId="1" xfId="0" applyNumberFormat="1" applyFont="1" applyBorder="1"/>
    <xf numFmtId="14" fontId="10" fillId="0" borderId="1" xfId="0" applyNumberFormat="1" applyFont="1" applyBorder="1"/>
    <xf numFmtId="14" fontId="9" fillId="0" borderId="1" xfId="0" applyNumberFormat="1" applyFont="1" applyBorder="1"/>
    <xf numFmtId="0" fontId="6" fillId="9" borderId="2" xfId="0" applyFont="1" applyFill="1" applyBorder="1"/>
    <xf numFmtId="1" fontId="0" fillId="0" borderId="2" xfId="0" applyNumberFormat="1" applyBorder="1" applyAlignment="1">
      <alignment horizontal="right"/>
    </xf>
    <xf numFmtId="0" fontId="5" fillId="11" borderId="1" xfId="0" applyFont="1" applyFill="1" applyBorder="1" applyAlignment="1">
      <alignment wrapText="1"/>
    </xf>
    <xf numFmtId="0" fontId="5" fillId="11" borderId="3" xfId="0" applyFont="1" applyFill="1" applyBorder="1" applyAlignment="1">
      <alignment wrapText="1"/>
    </xf>
    <xf numFmtId="0" fontId="12" fillId="12" borderId="4" xfId="0" applyFont="1" applyFill="1" applyBorder="1" applyAlignment="1">
      <alignment wrapText="1"/>
    </xf>
    <xf numFmtId="0" fontId="12" fillId="13" borderId="5" xfId="0" applyFont="1" applyFill="1" applyBorder="1" applyAlignment="1">
      <alignment wrapText="1"/>
    </xf>
    <xf numFmtId="9" fontId="12" fillId="13" borderId="5" xfId="0" applyNumberFormat="1" applyFont="1" applyFill="1" applyBorder="1" applyAlignment="1">
      <alignment wrapText="1"/>
    </xf>
    <xf numFmtId="0" fontId="13" fillId="13" borderId="5" xfId="0" applyFont="1" applyFill="1" applyBorder="1" applyAlignment="1">
      <alignment wrapText="1"/>
    </xf>
    <xf numFmtId="0" fontId="13" fillId="14" borderId="5" xfId="0" applyFont="1" applyFill="1" applyBorder="1" applyAlignment="1">
      <alignment wrapText="1"/>
    </xf>
    <xf numFmtId="0" fontId="13" fillId="14" borderId="4" xfId="0" applyFont="1" applyFill="1" applyBorder="1" applyAlignment="1">
      <alignment wrapText="1"/>
    </xf>
    <xf numFmtId="9" fontId="13" fillId="13" borderId="5" xfId="0" applyNumberFormat="1" applyFont="1" applyFill="1" applyBorder="1" applyAlignment="1">
      <alignment wrapText="1"/>
    </xf>
    <xf numFmtId="0" fontId="13" fillId="12" borderId="4" xfId="0" applyFont="1" applyFill="1" applyBorder="1" applyAlignment="1">
      <alignment wrapText="1"/>
    </xf>
    <xf numFmtId="0" fontId="12" fillId="14" borderId="5" xfId="0" applyFont="1" applyFill="1" applyBorder="1" applyAlignment="1">
      <alignment wrapText="1"/>
    </xf>
    <xf numFmtId="9" fontId="12" fillId="14" borderId="5" xfId="0" applyNumberFormat="1" applyFont="1" applyFill="1" applyBorder="1" applyAlignment="1">
      <alignment wrapText="1"/>
    </xf>
    <xf numFmtId="9" fontId="13" fillId="14" borderId="5" xfId="0" applyNumberFormat="1" applyFont="1" applyFill="1" applyBorder="1" applyAlignment="1">
      <alignment wrapText="1"/>
    </xf>
    <xf numFmtId="0" fontId="13" fillId="15" borderId="5" xfId="0" applyFont="1" applyFill="1" applyBorder="1" applyAlignment="1">
      <alignment wrapText="1"/>
    </xf>
    <xf numFmtId="0" fontId="12" fillId="14" borderId="4" xfId="0" applyFont="1" applyFill="1" applyBorder="1" applyAlignment="1">
      <alignment wrapText="1"/>
    </xf>
    <xf numFmtId="0" fontId="14" fillId="14" borderId="5" xfId="0" applyFont="1" applyFill="1" applyBorder="1" applyAlignment="1">
      <alignment wrapText="1"/>
    </xf>
    <xf numFmtId="0" fontId="11" fillId="10" borderId="2" xfId="0" applyFont="1" applyFill="1" applyBorder="1"/>
    <xf numFmtId="0" fontId="5" fillId="3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15" fillId="5" borderId="1" xfId="0" applyFont="1" applyFill="1" applyBorder="1" applyAlignment="1">
      <alignment vertical="center" wrapText="1"/>
    </xf>
    <xf numFmtId="0" fontId="15" fillId="6" borderId="1" xfId="0" applyFont="1" applyFill="1" applyBorder="1" applyAlignment="1">
      <alignment vertical="center" wrapText="1"/>
    </xf>
    <xf numFmtId="0" fontId="0" fillId="16" borderId="1" xfId="0" applyFill="1" applyBorder="1" applyAlignment="1">
      <alignment vertical="center" wrapText="1"/>
    </xf>
    <xf numFmtId="0" fontId="2" fillId="16" borderId="1" xfId="0" applyFont="1" applyFill="1" applyBorder="1" applyAlignment="1">
      <alignment vertical="center" wrapText="1"/>
    </xf>
    <xf numFmtId="0" fontId="16" fillId="4" borderId="1" xfId="0" applyFont="1" applyFill="1" applyBorder="1" applyAlignment="1">
      <alignment vertical="center" wrapText="1"/>
    </xf>
    <xf numFmtId="14" fontId="6" fillId="6" borderId="1" xfId="0" applyNumberFormat="1" applyFont="1" applyFill="1" applyBorder="1" applyAlignment="1">
      <alignment vertical="center" wrapText="1"/>
    </xf>
    <xf numFmtId="14" fontId="2" fillId="6" borderId="1" xfId="0" applyNumberFormat="1" applyFont="1" applyFill="1" applyBorder="1" applyAlignment="1">
      <alignment vertical="center" wrapText="1"/>
    </xf>
    <xf numFmtId="14" fontId="6" fillId="4" borderId="1" xfId="0" applyNumberFormat="1" applyFont="1" applyFill="1" applyBorder="1" applyAlignment="1">
      <alignment vertical="center" wrapText="1"/>
    </xf>
    <xf numFmtId="14" fontId="2" fillId="4" borderId="1" xfId="0" applyNumberFormat="1" applyFont="1" applyFill="1" applyBorder="1" applyAlignment="1">
      <alignment vertical="center" wrapText="1"/>
    </xf>
    <xf numFmtId="14" fontId="15" fillId="6" borderId="1" xfId="0" applyNumberFormat="1" applyFont="1" applyFill="1" applyBorder="1" applyAlignment="1">
      <alignment vertical="center" wrapText="1"/>
    </xf>
    <xf numFmtId="14" fontId="5" fillId="3" borderId="1" xfId="0" applyNumberFormat="1" applyFont="1" applyFill="1" applyBorder="1" applyAlignment="1">
      <alignment vertical="center" wrapText="1"/>
    </xf>
    <xf numFmtId="14" fontId="0" fillId="4" borderId="1" xfId="0" applyNumberFormat="1" applyFill="1" applyBorder="1" applyAlignment="1">
      <alignment vertical="center" wrapText="1"/>
    </xf>
    <xf numFmtId="10" fontId="5" fillId="3" borderId="1" xfId="0" applyNumberFormat="1" applyFont="1" applyFill="1" applyBorder="1" applyAlignment="1">
      <alignment vertical="center" wrapText="1"/>
    </xf>
    <xf numFmtId="10" fontId="6" fillId="6" borderId="1" xfId="0" applyNumberFormat="1" applyFont="1" applyFill="1" applyBorder="1" applyAlignment="1">
      <alignment vertical="center" wrapText="1"/>
    </xf>
    <xf numFmtId="10" fontId="2" fillId="6" borderId="1" xfId="0" applyNumberFormat="1" applyFont="1" applyFill="1" applyBorder="1" applyAlignment="1">
      <alignment vertical="center" wrapText="1"/>
    </xf>
    <xf numFmtId="10" fontId="6" fillId="4" borderId="1" xfId="0" applyNumberFormat="1" applyFont="1" applyFill="1" applyBorder="1" applyAlignment="1">
      <alignment vertical="center" wrapText="1"/>
    </xf>
    <xf numFmtId="10" fontId="2" fillId="4" borderId="1" xfId="0" applyNumberFormat="1" applyFont="1" applyFill="1" applyBorder="1" applyAlignment="1">
      <alignment vertical="center" wrapText="1"/>
    </xf>
    <xf numFmtId="10" fontId="15" fillId="6" borderId="1" xfId="0" applyNumberFormat="1" applyFont="1" applyFill="1" applyBorder="1" applyAlignment="1">
      <alignment vertical="center" wrapText="1"/>
    </xf>
    <xf numFmtId="10" fontId="0" fillId="0" borderId="0" xfId="0" applyNumberFormat="1"/>
    <xf numFmtId="0" fontId="9" fillId="17" borderId="1" xfId="0" applyFont="1" applyFill="1" applyBorder="1"/>
    <xf numFmtId="0" fontId="8" fillId="17" borderId="1" xfId="0" applyFont="1" applyFill="1" applyBorder="1"/>
    <xf numFmtId="9" fontId="8" fillId="17" borderId="1" xfId="0" applyNumberFormat="1" applyFont="1" applyFill="1" applyBorder="1"/>
    <xf numFmtId="0" fontId="17" fillId="4" borderId="1" xfId="0" applyFont="1" applyFill="1" applyBorder="1"/>
    <xf numFmtId="0" fontId="17" fillId="5" borderId="1" xfId="0" applyFont="1" applyFill="1" applyBorder="1"/>
    <xf numFmtId="0" fontId="3" fillId="7" borderId="0" xfId="0" applyFont="1" applyFill="1" applyAlignment="1">
      <alignment horizontal="center" vertical="center" wrapText="1"/>
    </xf>
    <xf numFmtId="1" fontId="0" fillId="0" borderId="0" xfId="0" applyNumberFormat="1"/>
    <xf numFmtId="0" fontId="8" fillId="4" borderId="3" xfId="0" applyFont="1" applyFill="1" applyBorder="1"/>
    <xf numFmtId="0" fontId="10" fillId="4" borderId="3" xfId="0" applyFont="1" applyFill="1" applyBorder="1"/>
    <xf numFmtId="0" fontId="17" fillId="4" borderId="3" xfId="0" applyFont="1" applyFill="1" applyBorder="1"/>
    <xf numFmtId="0" fontId="7" fillId="3" borderId="5" xfId="0" applyFont="1" applyFill="1" applyBorder="1"/>
    <xf numFmtId="0" fontId="7" fillId="3" borderId="4" xfId="0" applyFont="1" applyFill="1" applyBorder="1"/>
    <xf numFmtId="164" fontId="0" fillId="0" borderId="0" xfId="0" applyNumberFormat="1"/>
    <xf numFmtId="0" fontId="3" fillId="7" borderId="0" xfId="0" applyFont="1" applyFill="1" applyAlignment="1">
      <alignment horizontal="center"/>
    </xf>
    <xf numFmtId="0" fontId="3" fillId="0" borderId="0" xfId="0" applyFont="1"/>
    <xf numFmtId="0" fontId="18" fillId="4" borderId="3" xfId="0" applyFont="1" applyFill="1" applyBorder="1"/>
    <xf numFmtId="0" fontId="18" fillId="4" borderId="1" xfId="0" applyFont="1" applyFill="1" applyBorder="1"/>
    <xf numFmtId="0" fontId="18" fillId="6" borderId="1" xfId="0" applyFont="1" applyFill="1" applyBorder="1"/>
    <xf numFmtId="9" fontId="18" fillId="6" borderId="1" xfId="0" applyNumberFormat="1" applyFont="1" applyFill="1" applyBorder="1"/>
    <xf numFmtId="0" fontId="20" fillId="4" borderId="1" xfId="0" applyFont="1" applyFill="1" applyBorder="1"/>
    <xf numFmtId="9" fontId="18" fillId="4" borderId="1" xfId="0" applyNumberFormat="1" applyFont="1" applyFill="1" applyBorder="1"/>
    <xf numFmtId="0" fontId="20" fillId="6" borderId="1" xfId="0" applyFont="1" applyFill="1" applyBorder="1"/>
    <xf numFmtId="0" fontId="20" fillId="17" borderId="1" xfId="0" applyFont="1" applyFill="1" applyBorder="1"/>
    <xf numFmtId="0" fontId="20" fillId="8" borderId="1" xfId="0" applyFont="1" applyFill="1" applyBorder="1"/>
    <xf numFmtId="0" fontId="20" fillId="2" borderId="1" xfId="0" applyFont="1" applyFill="1" applyBorder="1"/>
    <xf numFmtId="0" fontId="4" fillId="3" borderId="6" xfId="0" applyFont="1" applyFill="1" applyBorder="1" applyAlignment="1">
      <alignment vertical="center" wrapText="1"/>
    </xf>
    <xf numFmtId="164" fontId="8" fillId="17" borderId="1" xfId="0" applyNumberFormat="1" applyFont="1" applyFill="1" applyBorder="1"/>
    <xf numFmtId="164" fontId="18" fillId="6" borderId="1" xfId="0" applyNumberFormat="1" applyFont="1" applyFill="1" applyBorder="1"/>
    <xf numFmtId="164" fontId="18" fillId="4" borderId="1" xfId="0" applyNumberFormat="1" applyFont="1" applyFill="1" applyBorder="1"/>
    <xf numFmtId="164" fontId="9" fillId="17" borderId="1" xfId="0" applyNumberFormat="1" applyFont="1" applyFill="1" applyBorder="1"/>
    <xf numFmtId="164" fontId="19" fillId="6" borderId="1" xfId="0" applyNumberFormat="1" applyFont="1" applyFill="1" applyBorder="1"/>
    <xf numFmtId="164" fontId="19" fillId="4" borderId="1" xfId="0" applyNumberFormat="1" applyFont="1" applyFill="1" applyBorder="1"/>
    <xf numFmtId="0" fontId="0" fillId="0" borderId="0" xfId="0" applyAlignment="1">
      <alignment wrapText="1"/>
    </xf>
    <xf numFmtId="0" fontId="11" fillId="18" borderId="0" xfId="0" applyFont="1" applyFill="1" applyAlignment="1">
      <alignment wrapText="1"/>
    </xf>
    <xf numFmtId="0" fontId="11" fillId="18" borderId="0" xfId="0" applyFont="1" applyFill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9" fontId="12" fillId="2" borderId="1" xfId="0" applyNumberFormat="1" applyFont="1" applyFill="1" applyBorder="1"/>
    <xf numFmtId="0" fontId="4" fillId="0" borderId="0" xfId="0" applyFont="1"/>
    <xf numFmtId="0" fontId="12" fillId="2" borderId="1" xfId="0" applyFont="1" applyFill="1" applyBorder="1"/>
    <xf numFmtId="0" fontId="13" fillId="2" borderId="1" xfId="0" applyFont="1" applyFill="1" applyBorder="1"/>
    <xf numFmtId="164" fontId="12" fillId="2" borderId="1" xfId="0" applyNumberFormat="1" applyFont="1" applyFill="1" applyBorder="1"/>
    <xf numFmtId="0" fontId="13" fillId="8" borderId="1" xfId="0" applyFont="1" applyFill="1" applyBorder="1"/>
    <xf numFmtId="9" fontId="13" fillId="8" borderId="1" xfId="0" applyNumberFormat="1" applyFont="1" applyFill="1" applyBorder="1"/>
    <xf numFmtId="164" fontId="13" fillId="8" borderId="1" xfId="0" applyNumberFormat="1" applyFont="1" applyFill="1" applyBorder="1"/>
    <xf numFmtId="164" fontId="12" fillId="8" borderId="1" xfId="0" applyNumberFormat="1" applyFont="1" applyFill="1" applyBorder="1"/>
    <xf numFmtId="0" fontId="12" fillId="5" borderId="1" xfId="0" applyFont="1" applyFill="1" applyBorder="1"/>
    <xf numFmtId="164" fontId="13" fillId="2" borderId="1" xfId="0" applyNumberFormat="1" applyFont="1" applyFill="1" applyBorder="1"/>
    <xf numFmtId="14" fontId="12" fillId="2" borderId="1" xfId="0" applyNumberFormat="1" applyFont="1" applyFill="1" applyBorder="1"/>
    <xf numFmtId="0" fontId="13" fillId="4" borderId="1" xfId="0" applyFont="1" applyFill="1" applyBorder="1"/>
    <xf numFmtId="0" fontId="12" fillId="8" borderId="1" xfId="0" applyFont="1" applyFill="1" applyBorder="1"/>
    <xf numFmtId="14" fontId="13" fillId="8" borderId="1" xfId="0" applyNumberFormat="1" applyFont="1" applyFill="1" applyBorder="1"/>
    <xf numFmtId="0" fontId="13" fillId="4" borderId="3" xfId="0" applyFont="1" applyFill="1" applyBorder="1"/>
    <xf numFmtId="0" fontId="12" fillId="17" borderId="1" xfId="0" applyFont="1" applyFill="1" applyBorder="1"/>
    <xf numFmtId="9" fontId="12" fillId="17" borderId="1" xfId="0" applyNumberFormat="1" applyFont="1" applyFill="1" applyBorder="1"/>
    <xf numFmtId="164" fontId="12" fillId="17" borderId="1" xfId="0" applyNumberFormat="1" applyFont="1" applyFill="1" applyBorder="1"/>
    <xf numFmtId="0" fontId="12" fillId="2" borderId="1" xfId="0" applyFont="1" applyFill="1" applyBorder="1" applyAlignment="1">
      <alignment wrapText="1"/>
    </xf>
    <xf numFmtId="0" fontId="9" fillId="4" borderId="0" xfId="0" applyFont="1" applyFill="1"/>
    <xf numFmtId="0" fontId="12" fillId="2" borderId="0" xfId="0" applyFont="1" applyFill="1"/>
    <xf numFmtId="0" fontId="13" fillId="8" borderId="0" xfId="0" applyFont="1" applyFill="1"/>
    <xf numFmtId="0" fontId="20" fillId="4" borderId="0" xfId="0" applyFont="1" applyFill="1"/>
    <xf numFmtId="0" fontId="21" fillId="0" borderId="0" xfId="0" applyFont="1"/>
    <xf numFmtId="0" fontId="13" fillId="8" borderId="1" xfId="0" applyFont="1" applyFill="1" applyBorder="1" applyAlignment="1">
      <alignment wrapText="1"/>
    </xf>
    <xf numFmtId="9" fontId="7" fillId="3" borderId="4" xfId="0" applyNumberFormat="1" applyFont="1" applyFill="1" applyBorder="1"/>
    <xf numFmtId="9" fontId="0" fillId="0" borderId="0" xfId="0" applyNumberFormat="1"/>
  </cellXfs>
  <cellStyles count="2">
    <cellStyle name="Normal" xfId="0" builtinId="0"/>
    <cellStyle name="Per cent" xfId="1" builtinId="5"/>
  </cellStyles>
  <dxfs count="48">
    <dxf>
      <alignment horizontal="general" vertical="bottom" textRotation="0" wrapText="1" indent="0" justifyLastLine="0" shrinkToFit="0" readingOrder="0"/>
    </dxf>
    <dxf>
      <font>
        <b/>
      </font>
      <alignment horizontal="center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color rgb="FFFFFFFF"/>
      </font>
      <fill>
        <patternFill patternType="solid">
          <fgColor indexed="64"/>
          <bgColor rgb="FF0078D4"/>
        </patternFill>
      </fill>
      <alignment horizontal="general" vertical="bottom" textRotation="0" wrapText="1" indent="0" justifyLastLine="0" shrinkToFit="0" readingOrder="0"/>
    </dxf>
    <dxf>
      <numFmt numFmtId="1" formatCode="0"/>
    </dxf>
    <dxf>
      <numFmt numFmtId="164" formatCode="dd\.mm\.yyyy"/>
    </dxf>
    <dxf>
      <numFmt numFmtId="164" formatCode="dd\.mm\.yyyy"/>
    </dxf>
    <dxf>
      <numFmt numFmtId="1" formatCode="0"/>
    </dxf>
    <dxf>
      <font>
        <b/>
      </font>
    </dxf>
    <dxf>
      <numFmt numFmtId="1" formatCode="0"/>
    </dxf>
    <dxf>
      <numFmt numFmtId="1" formatCode="0"/>
    </dxf>
    <dxf>
      <numFmt numFmtId="164" formatCode="dd\.mm\.yyyy"/>
    </dxf>
    <dxf>
      <numFmt numFmtId="164" formatCode="dd\.mm\.yyyy"/>
    </dxf>
    <dxf>
      <numFmt numFmtId="164" formatCode="dd\.mm\.yyyy"/>
    </dxf>
    <dxf>
      <numFmt numFmtId="164" formatCode="dd\.mm\.yyyy"/>
    </dxf>
    <dxf>
      <numFmt numFmtId="1" formatCode="0"/>
    </dxf>
    <dxf>
      <numFmt numFmtId="1" formatCode="0"/>
    </dxf>
    <dxf>
      <numFmt numFmtId="1" formatCode="0"/>
    </dxf>
    <dxf>
      <font>
        <b/>
      </font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dd\.mm\.yyyy"/>
    </dxf>
    <dxf>
      <numFmt numFmtId="19" formatCode="m/d/yyyy"/>
    </dxf>
    <dxf>
      <font>
        <b/>
      </font>
      <fill>
        <patternFill patternType="solid">
          <fgColor indexed="64"/>
          <bgColor theme="0" tint="-0.249977111117893"/>
        </patternFill>
      </fill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fill>
        <patternFill patternType="solid">
          <fgColor indexed="64"/>
          <bgColor rgb="FFFFF2CC"/>
        </patternFill>
      </fill>
      <border diagonalUp="0" diagonalDown="0" outline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numFmt numFmtId="164" formatCode="dd\.mm\.yyyy"/>
      <fill>
        <patternFill patternType="solid">
          <fgColor indexed="64"/>
          <bgColor rgb="FFFFF2CC"/>
        </patternFill>
      </fill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numFmt numFmtId="0" formatCode="General"/>
      <fill>
        <patternFill patternType="solid">
          <fgColor indexed="64"/>
          <bgColor rgb="FFFFF2CC"/>
        </patternFill>
      </fill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numFmt numFmtId="164" formatCode="dd\.mm\.yyyy"/>
      <fill>
        <patternFill patternType="solid">
          <fgColor indexed="64"/>
          <bgColor rgb="FFFFF2CC"/>
        </patternFill>
      </fill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numFmt numFmtId="164" formatCode="dd\.mm\.yyyy"/>
      <fill>
        <patternFill patternType="solid">
          <fgColor indexed="64"/>
          <bgColor rgb="FFFFF2CC"/>
        </patternFill>
      </fill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numFmt numFmtId="13" formatCode="0%"/>
      <fill>
        <patternFill patternType="solid">
          <fgColor indexed="64"/>
          <bgColor rgb="FFFFF2CC"/>
        </patternFill>
      </fill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fill>
        <patternFill patternType="solid">
          <fgColor indexed="64"/>
          <bgColor rgb="FFFFFFFF"/>
        </patternFill>
      </fill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fill>
        <patternFill patternType="solid">
          <fgColor indexed="64"/>
          <bgColor rgb="FFFFFFFF"/>
        </patternFill>
      </fill>
      <border diagonalUp="0" diagonalDown="0">
        <left/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border>
        <top style="thin">
          <color rgb="FFB1BBCC"/>
        </top>
      </border>
    </dxf>
    <dxf>
      <border>
        <bottom style="thin">
          <color rgb="FFB1BBCC"/>
        </bottom>
      </border>
    </dxf>
    <dxf>
      <border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63636"/>
        <name val="Segoe UI"/>
        <family val="2"/>
        <charset val="1"/>
        <scheme val="none"/>
      </font>
      <fill>
        <patternFill patternType="solid">
          <fgColor indexed="64"/>
          <bgColor rgb="FFDFE3E8"/>
        </patternFill>
      </fill>
      <border diagonalUp="0" diagonalDown="0">
        <left style="thin">
          <color rgb="FFB1BBCC"/>
        </left>
        <right style="thin">
          <color rgb="FFB1BBCC"/>
        </right>
        <top/>
        <bottom/>
        <vertical style="thin">
          <color rgb="FFB1BBCC"/>
        </vertical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ynek Tobias (LIS)" id="{AD22C39F-3592-465B-B472-FA4EBFF2CD6F}" userId="S::tobias.hynek@liebherr.com::80511e3f-ccc9-42d7-91fe-01a299290a76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24AB13-D1B6-4139-BF05-6D25E883E104}" name="tbl_DataDraftApril26" displayName="tbl_DataDraftApril26" ref="A1:S624" totalsRowShown="0" headerRowDxfId="47" headerRowBorderDxfId="45" tableBorderDxfId="46" totalsRowBorderDxfId="44">
  <autoFilter ref="A1:S624" xr:uid="{1224AB13-D1B6-4139-BF05-6D25E883E104}"/>
  <tableColumns count="19">
    <tableColumn id="1" xr3:uid="{F151A1F7-15EC-4159-AF70-D614FCA4BB7A}" name="Vorgangsmodus" dataDxfId="43"/>
    <tableColumn id="2" xr3:uid="{67D357D9-6EA2-4F9F-9572-F2D7C6171658}" name="Initiative" dataDxfId="42"/>
    <tableColumn id="3" xr3:uid="{E3BB6030-B779-4563-BC28-E04BCB851C8B}" name="Process" dataDxfId="41"/>
    <tableColumn id="4" xr3:uid="{549C4523-A703-4581-9880-245C72C56E63}" name="Phase" dataDxfId="40"/>
    <tableColumn id="5" xr3:uid="{E2E131BA-C605-44FC-B716-5C7377F0C998}" name="Process level" dataDxfId="39"/>
    <tableColumn id="6" xr3:uid="{C251F2AA-C918-4A59-B899-3592BE97812D}" name="Process Group" dataDxfId="38"/>
    <tableColumn id="7" xr3:uid="{63F912C1-661A-470A-9079-D47E098C18DA}" name="% Work done" dataDxfId="37"/>
    <tableColumn id="8" xr3:uid="{C424161F-3F06-4386-B6B1-29963A4C1025}" name="IT Process Consultant" dataDxfId="36"/>
    <tableColumn id="9" xr3:uid="{BAEB4160-B163-41C6-B33A-EC9F17F370B7}" name="IT Process Initiative Lead" dataDxfId="35"/>
    <tableColumn id="10" xr3:uid="{870128FF-C1FB-446B-9648-43EED2861C85}" name="IT Process Manager" dataDxfId="34"/>
    <tableColumn id="11" xr3:uid="{5C794AF5-6D14-4211-AB30-5C307BA81399}" name="Start" dataDxfId="33"/>
    <tableColumn id="12" xr3:uid="{8185DB00-A5B5-4DE6-87A8-EFB12DA38336}" name="End" dataDxfId="32"/>
    <tableColumn id="13" xr3:uid="{83A976BA-82A9-4506-ACB6-54B4DB2111C2}" name="Duration in days" dataDxfId="31">
      <calculatedColumnFormula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calculatedColumnFormula>
    </tableColumn>
    <tableColumn id="14" xr3:uid="{BF00DF93-757F-4138-872C-0BB282763103}" name="Process Approval Date" dataDxfId="30"/>
    <tableColumn id="15" xr3:uid="{24C604A3-D2AE-4DBD-B464-27389545CCD9}" name="Actual Phase" dataDxfId="29"/>
    <tableColumn id="16" xr3:uid="{B046A019-C1A0-49EC-84CF-3C18C4C3DFFF}" name="Planned phase" dataDxfId="28"/>
    <tableColumn id="17" xr3:uid="{2B47F842-F3F9-4948-B239-BC55C5AC865A}" name="Associated Process on L1" dataDxfId="27"/>
    <tableColumn id="18" xr3:uid="{48DFE4AE-AF19-4EB4-8CB2-1580246112A5}" name="Comment"/>
    <tableColumn id="31" xr3:uid="{12B6848C-F837-400C-92A2-D97C3C502327}" name="Parent Process" dataDxfId="2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B59B55-99F5-46C0-9D8E-3B2062F373DB}" name="tbl_DailyPhaseCounts" displayName="tbl_DailyPhaseCounts" ref="A1:E521" totalsRowCount="1" headerRowDxfId="25">
  <autoFilter ref="A1:E520" xr:uid="{F90D00EA-C82A-4B77-B176-966AB46F982D}"/>
  <tableColumns count="5">
    <tableColumn id="1" xr3:uid="{375A2DD7-0787-4406-AAA6-5CE999E635A0}" name="Datum " dataDxfId="23" totalsRowDxfId="24"/>
    <tableColumn id="2" xr3:uid="{779B5871-4445-4CDB-912D-879CCFC7EF52}" name="Elaboration" dataDxfId="22">
      <calculatedColumnFormula array="1">SUMPRODUCT((tbl_DataDraftApril26[Phase]=B$1)*(ISNUMBER(tbl_DataDraftApril26[Start]))*(ISNUMBER(tbl_DataDraftApril26[End]))*($A2&gt;tbl_DataDraftApril26[Start])*($A2&lt;tbl_DataDraftApril26[End]))</calculatedColumnFormula>
    </tableColumn>
    <tableColumn id="3" xr3:uid="{92C0262E-70B3-43B5-89A0-AA928A05E9A2}" name="Implementation LIS" dataDxfId="21">
      <calculatedColumnFormula array="1">SUMPRODUCT((tbl_DataDraftApril26[Phase]=C$1)*(ISNUMBER(tbl_DataDraftApril26[Start]))*(ISNUMBER(tbl_DataDraftApril26[End]))*($A2&gt;tbl_DataDraftApril26[Start])*($A2&lt;tbl_DataDraftApril26[End]))</calculatedColumnFormula>
    </tableColumn>
    <tableColumn id="4" xr3:uid="{0A24EA3E-658C-48DA-A30F-36F932F206BD}" name="Implementation LUS" dataDxfId="20">
      <calculatedColumnFormula array="1">SUMPRODUCT((tbl_DataDraftApril26[Phase]=D$1)*(ISNUMBER(tbl_DataDraftApril26[Start]))*(ISNUMBER(tbl_DataDraftApril26[End]))*($A2&gt;tbl_DataDraftApril26[Start])*($A2&lt;tbl_DataDraftApril26[End]))</calculatedColumnFormula>
    </tableColumn>
    <tableColumn id="5" xr3:uid="{42DCB66E-C9BD-4870-94DE-A80C8184175C}" name="Implementation COT" dataDxfId="19">
      <calculatedColumnFormula array="1">SUMPRODUCT((tbl_DataDraftApril26[Phase]=E$1)*(ISNUMBER(tbl_DataDraftApril26[Start]))*(ISNUMBER(tbl_DataDraftApril26[End]))*($A2&gt;tbl_DataDraftApril26[Start])*($A2&lt;tbl_DataDraftApril26[End]))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F003001-35DE-4A2B-8FF6-F19ABE990A3D}" name="Dim_L1Process" displayName="Dim_L1Process" ref="A1:T20" totalsRowShown="0" headerRowDxfId="18">
  <autoFilter ref="A1:T20" xr:uid="{5F003001-35DE-4A2B-8FF6-F19ABE990A3D}"/>
  <tableColumns count="20">
    <tableColumn id="1" xr3:uid="{D7AE0767-4E4D-4689-8B5D-0D5EEBDB5F11}" name="KeyNorm"/>
    <tableColumn id="2" xr3:uid="{C72833C9-53AD-41B6-AA53-9AE52E487B63}" name="Process Group"/>
    <tableColumn id="3" xr3:uid="{F2AE486F-BD92-4BF0-87D5-D4468B326C10}" name="Associated Process on L1"/>
    <tableColumn id="4" xr3:uid="{2D882BFC-E0A6-47CA-8F1F-4DE4829E8F22}" name="ProcessGroupOrder" dataDxfId="17"/>
    <tableColumn id="5" xr3:uid="{E343F22A-6FC8-4C95-97B2-2ADE62287592}" name="L1OrderInGroup" dataDxfId="16"/>
    <tableColumn id="6" xr3:uid="{91D03BE3-8269-4AB5-9CF2-9DF1015D2498}" name="SortKey" dataDxfId="15"/>
    <tableColumn id="7" xr3:uid="{D788F3C2-C92D-4124-A628-4690AA232317}" name="Start_Total" dataDxfId="14"/>
    <tableColumn id="8" xr3:uid="{3258DB3B-325A-4F50-A77D-9CBE6CCC50DD}" name="End_Total" dataDxfId="13"/>
    <tableColumn id="9" xr3:uid="{BB5ADB4C-6668-481E-A0C9-D606DA71117C}" name="Start_PBI" dataDxfId="12"/>
    <tableColumn id="10" xr3:uid="{73DB1EA1-0BE0-4241-9ED3-0B6F3D125C1A}" name="End_PBI" dataDxfId="11"/>
    <tableColumn id="11" xr3:uid="{018DFB23-EA5F-4315-98E7-59E12D6CBCD1}" name="DummyDatesFlag" dataDxfId="10"/>
    <tableColumn id="12" xr3:uid="{814AFE83-A569-413F-898D-E62549C25376}" name="% Work done"/>
    <tableColumn id="13" xr3:uid="{7C954765-3DBB-4608-B629-6FBC4369404E}" name="Actual Phase"/>
    <tableColumn id="14" xr3:uid="{A7F5549B-7245-415E-8DAF-0820CFDA8F6C}" name="Planned phase"/>
    <tableColumn id="15" xr3:uid="{2E38FEBD-425C-41D4-9E37-690BEE2A73CA}" name="IT Process Initiative Lead"/>
    <tableColumn id="16" xr3:uid="{5733F497-D7CD-4B7B-8A5C-B0EBE96F1CDC}" name="IT Process Manager"/>
    <tableColumn id="17" xr3:uid="{A71C46A1-AAF3-4BED-9E3B-20B3B099E947}" name="IT Process Consultant"/>
    <tableColumn id="18" xr3:uid="{AC2E9D48-32C7-4598-9D99-EF0E8F335061}" name="Contact summary"/>
    <tableColumn id="19" xr3:uid="{88B497AF-C594-4119-9698-9A1C8463A6DC}" name="StatusCategory"/>
    <tableColumn id="20" xr3:uid="{3702FFD1-5B46-4B6D-A0A1-91DEA09F04F1}" name="StatusOrder" dataDxfId="9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5E0D813-C3C3-4651-8B46-9910D528AA76}" name="Fact_L1_PhaseTimeline" displayName="Fact_L1_PhaseTimeline" ref="V1:AE76" totalsRowShown="0" headerRowDxfId="8">
  <autoFilter ref="V1:AE76" xr:uid="{25E0D813-C3C3-4651-8B46-9910D528AA76}"/>
  <tableColumns count="10">
    <tableColumn id="1" xr3:uid="{6B70FBA5-32BE-4D0F-B9F7-1311EA0ADB10}" name="KeyNorm"/>
    <tableColumn id="2" xr3:uid="{6ADD3F0A-1188-4110-86D3-2BB4211417B3}" name="Process Group"/>
    <tableColumn id="3" xr3:uid="{46BA563F-34CC-4DD9-AAFE-9132856424FC}" name="Associated Process on L1"/>
    <tableColumn id="4" xr3:uid="{3EF99B4E-1105-464B-90E5-A2469DFDA98C}" name="Phase"/>
    <tableColumn id="5" xr3:uid="{454303AB-227E-4C05-AF51-DDB4FE6D34A5}" name="PhaseOrder" dataDxfId="7"/>
    <tableColumn id="6" xr3:uid="{42D6AD75-25AD-46A5-9201-BB585E48633C}" name="Start" dataDxfId="6"/>
    <tableColumn id="7" xr3:uid="{58D4AE70-167B-45CC-B726-1B6E8FE4998B}" name="End" dataDxfId="5"/>
    <tableColumn id="8" xr3:uid="{8B2FD0B2-321E-4B24-98B2-DFDE5D053E3D}" name="Duration in days" dataDxfId="4"/>
    <tableColumn id="9" xr3:uid="{3E249A51-C44C-4445-AD2E-3D64C1D11FE3}" name="Planned phase"/>
    <tableColumn id="10" xr3:uid="{A4A13B04-BD4D-4FA4-9D68-B21AC4792016}" name="Actual Phas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8EC7F7A-70FF-4260-A59C-85962265DE0C}" name="tbl_HTML_Dashboard" displayName="tbl_HTML_Dashboard" ref="A1:B8" totalsRowShown="0" headerRowDxfId="3" dataDxfId="2">
  <autoFilter ref="A1:B8" xr:uid="{A8EC7F7A-70FF-4260-A59C-85962265DE0C}"/>
  <tableColumns count="2">
    <tableColumn id="1" xr3:uid="{F02DD627-CD9E-4BC0-BEB5-394FEED88AF7}" name="Chunk#" dataDxfId="1"/>
    <tableColumn id="2" xr3:uid="{79E5928A-AA47-45EF-A757-13BE940239BC}" name="HTML (alle Chunks aus Spalte B ab Zeile 2 kopieren, zusammenfügen, als dashboard.html speichern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" dT="2026-05-28T08:31:21.64" personId="{AD22C39F-3592-465B-B472-FA4EBFF2CD6F}" id="{90619B08-60D3-453A-88F6-5A8B3338064A}">
    <text>keine % Werte mehr, sondern Status aus Initiative Record: 25%: Erster Termin oder Kickoff wurde durchgeführt, Lead-Verantwortung ist geklärt
50%: Elaboration ist im Gange
75%: Prozess wurde beim IT Process Committee zur Freigabe eingereicht
100%: IT Process Committee hat den Prozess freigegeben</text>
  </threadedComment>
  <threadedComment ref="M1" dT="2026-05-28T08:27:59.43" personId="{AD22C39F-3592-465B-B472-FA4EBFF2CD6F}" id="{6D2E080C-70D3-4384-ADC4-BA362F8EB7D7}">
    <text>spalte kann vermutlich raus</text>
  </threadedComment>
  <threadedComment ref="O1" dT="2026-05-28T08:23:26.96" personId="{AD22C39F-3592-465B-B472-FA4EBFF2CD6F}" id="{6B8C9425-29FC-4C86-BF7C-9FE5A57D7A49}">
    <text>für dashboard nicht mehr relevant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2"/>
  <sheetViews>
    <sheetView workbookViewId="0">
      <pane ySplit="1" topLeftCell="A11" activePane="bottomLeft" state="frozen"/>
      <selection pane="bottomLeft" activeCell="L5" sqref="L5"/>
    </sheetView>
  </sheetViews>
  <sheetFormatPr defaultColWidth="8.85546875" defaultRowHeight="15"/>
  <cols>
    <col min="1" max="1" width="27.5703125" customWidth="1"/>
    <col min="2" max="2" width="44.42578125" customWidth="1"/>
    <col min="3" max="3" width="26.28515625" customWidth="1"/>
    <col min="4" max="4" width="11.7109375" customWidth="1"/>
    <col min="5" max="5" width="10" customWidth="1"/>
    <col min="6" max="6" width="22.7109375" style="7" customWidth="1"/>
    <col min="7" max="7" width="31.5703125" customWidth="1"/>
    <col min="8" max="8" width="22.5703125" customWidth="1"/>
    <col min="9" max="9" width="22.85546875" customWidth="1"/>
    <col min="10" max="10" width="24.28515625" style="5" customWidth="1"/>
    <col min="11" max="11" width="19.28515625" style="5" customWidth="1"/>
    <col min="12" max="12" width="13.140625" customWidth="1"/>
    <col min="13" max="13" width="12.7109375" customWidth="1"/>
    <col min="14" max="14" width="20.140625" customWidth="1"/>
    <col min="15" max="15" width="15" customWidth="1"/>
    <col min="16" max="16" width="32.5703125" customWidth="1"/>
  </cols>
  <sheetData>
    <row r="1" spans="1:1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8" t="s">
        <v>6</v>
      </c>
      <c r="H1" s="8" t="s">
        <v>7</v>
      </c>
      <c r="I1" s="8" t="s">
        <v>8</v>
      </c>
      <c r="J1" s="10" t="s">
        <v>9</v>
      </c>
      <c r="K1" s="11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s="1">
        <v>7.0000000000000007E-2</v>
      </c>
      <c r="J2" s="2">
        <v>46029</v>
      </c>
      <c r="K2" s="3">
        <v>46203</v>
      </c>
      <c r="L2">
        <f>NETWORKDAYS(J2,K2)</f>
        <v>125</v>
      </c>
      <c r="O2" t="s">
        <v>21</v>
      </c>
      <c r="P2" t="s">
        <v>17</v>
      </c>
    </row>
    <row r="3" spans="1:16">
      <c r="A3" t="s">
        <v>16</v>
      </c>
      <c r="B3" t="s">
        <v>17</v>
      </c>
      <c r="C3" t="s">
        <v>22</v>
      </c>
      <c r="D3" t="s">
        <v>19</v>
      </c>
      <c r="E3" t="s">
        <v>20</v>
      </c>
      <c r="F3" s="1">
        <v>0.15</v>
      </c>
      <c r="G3" t="s">
        <v>23</v>
      </c>
      <c r="H3" t="s">
        <v>24</v>
      </c>
      <c r="I3" t="s">
        <v>25</v>
      </c>
      <c r="J3" s="2">
        <v>46029</v>
      </c>
      <c r="K3" s="3">
        <v>46097</v>
      </c>
      <c r="L3">
        <f t="shared" ref="L3:L66" si="0">NETWORKDAYS(J3,K3)</f>
        <v>49</v>
      </c>
      <c r="N3" t="s">
        <v>26</v>
      </c>
      <c r="O3" t="s">
        <v>27</v>
      </c>
      <c r="P3" t="s">
        <v>17</v>
      </c>
    </row>
    <row r="4" spans="1:16">
      <c r="A4" t="s">
        <v>16</v>
      </c>
      <c r="B4" t="s">
        <v>17</v>
      </c>
      <c r="C4" t="s">
        <v>28</v>
      </c>
      <c r="D4" t="s">
        <v>19</v>
      </c>
      <c r="E4" t="s">
        <v>20</v>
      </c>
      <c r="F4" s="1">
        <v>0</v>
      </c>
      <c r="J4" s="2">
        <v>46127</v>
      </c>
      <c r="K4" s="3">
        <v>46203</v>
      </c>
      <c r="L4">
        <f>NETWORKDAYS(J4,K4)</f>
        <v>55</v>
      </c>
      <c r="O4" t="s">
        <v>27</v>
      </c>
      <c r="P4" t="s">
        <v>17</v>
      </c>
    </row>
    <row r="5" spans="1:16">
      <c r="A5" t="s">
        <v>16</v>
      </c>
      <c r="B5" t="s">
        <v>17</v>
      </c>
      <c r="C5" t="s">
        <v>29</v>
      </c>
      <c r="D5" t="s">
        <v>19</v>
      </c>
      <c r="E5" t="s">
        <v>20</v>
      </c>
      <c r="F5" s="1">
        <v>0</v>
      </c>
      <c r="J5" s="6"/>
      <c r="K5" s="4"/>
      <c r="L5">
        <f t="shared" si="0"/>
        <v>0</v>
      </c>
      <c r="P5" t="s">
        <v>17</v>
      </c>
    </row>
    <row r="6" spans="1:16">
      <c r="A6" t="s">
        <v>16</v>
      </c>
      <c r="B6" t="s">
        <v>17</v>
      </c>
      <c r="C6" t="s">
        <v>30</v>
      </c>
      <c r="D6" t="s">
        <v>19</v>
      </c>
      <c r="E6" t="s">
        <v>20</v>
      </c>
      <c r="F6" s="1">
        <v>0</v>
      </c>
      <c r="J6" s="6"/>
      <c r="K6" s="4"/>
      <c r="L6">
        <f t="shared" si="0"/>
        <v>0</v>
      </c>
      <c r="P6" t="s">
        <v>17</v>
      </c>
    </row>
    <row r="7" spans="1:16">
      <c r="A7" t="s">
        <v>16</v>
      </c>
      <c r="B7" t="s">
        <v>31</v>
      </c>
      <c r="C7" t="s">
        <v>18</v>
      </c>
      <c r="D7" t="s">
        <v>19</v>
      </c>
      <c r="E7" t="s">
        <v>20</v>
      </c>
      <c r="F7" s="1">
        <v>0</v>
      </c>
      <c r="J7" s="2">
        <v>46029</v>
      </c>
      <c r="K7" s="3">
        <v>46203</v>
      </c>
      <c r="L7">
        <f t="shared" si="0"/>
        <v>125</v>
      </c>
      <c r="P7" t="s">
        <v>31</v>
      </c>
    </row>
    <row r="8" spans="1:16">
      <c r="A8" t="s">
        <v>16</v>
      </c>
      <c r="B8" t="s">
        <v>31</v>
      </c>
      <c r="C8" t="s">
        <v>22</v>
      </c>
      <c r="D8" t="s">
        <v>19</v>
      </c>
      <c r="E8" t="s">
        <v>20</v>
      </c>
      <c r="F8" s="1">
        <v>0</v>
      </c>
      <c r="G8" t="s">
        <v>23</v>
      </c>
      <c r="H8" t="s">
        <v>24</v>
      </c>
      <c r="I8" t="s">
        <v>25</v>
      </c>
      <c r="J8" s="2">
        <v>46029</v>
      </c>
      <c r="K8" s="3">
        <v>46097</v>
      </c>
      <c r="L8">
        <f t="shared" si="0"/>
        <v>49</v>
      </c>
      <c r="O8" t="s">
        <v>27</v>
      </c>
      <c r="P8" t="s">
        <v>31</v>
      </c>
    </row>
    <row r="9" spans="1:16">
      <c r="A9" t="s">
        <v>16</v>
      </c>
      <c r="B9" t="s">
        <v>31</v>
      </c>
      <c r="C9" t="s">
        <v>28</v>
      </c>
      <c r="D9" t="s">
        <v>19</v>
      </c>
      <c r="E9" t="s">
        <v>20</v>
      </c>
      <c r="F9" s="1">
        <v>0</v>
      </c>
      <c r="J9" s="2">
        <v>46127</v>
      </c>
      <c r="K9" s="3">
        <v>46203</v>
      </c>
      <c r="L9">
        <f t="shared" si="0"/>
        <v>55</v>
      </c>
      <c r="O9" t="s">
        <v>27</v>
      </c>
      <c r="P9" t="s">
        <v>31</v>
      </c>
    </row>
    <row r="10" spans="1:16">
      <c r="A10" t="s">
        <v>16</v>
      </c>
      <c r="B10" t="s">
        <v>31</v>
      </c>
      <c r="C10" t="s">
        <v>29</v>
      </c>
      <c r="D10" t="s">
        <v>19</v>
      </c>
      <c r="E10" t="s">
        <v>20</v>
      </c>
      <c r="F10" s="1">
        <v>0</v>
      </c>
      <c r="J10" s="6"/>
      <c r="K10" s="4"/>
      <c r="L10">
        <f t="shared" si="0"/>
        <v>0</v>
      </c>
      <c r="P10" t="s">
        <v>31</v>
      </c>
    </row>
    <row r="11" spans="1:16">
      <c r="A11" t="s">
        <v>16</v>
      </c>
      <c r="B11" t="s">
        <v>31</v>
      </c>
      <c r="C11" t="s">
        <v>30</v>
      </c>
      <c r="D11" t="s">
        <v>19</v>
      </c>
      <c r="E11" t="s">
        <v>20</v>
      </c>
      <c r="F11" s="1">
        <v>0</v>
      </c>
      <c r="J11" s="6"/>
      <c r="K11" s="4"/>
      <c r="L11">
        <f t="shared" si="0"/>
        <v>0</v>
      </c>
      <c r="P11" t="s">
        <v>31</v>
      </c>
    </row>
    <row r="12" spans="1:16">
      <c r="A12" t="s">
        <v>16</v>
      </c>
      <c r="B12" t="s">
        <v>32</v>
      </c>
      <c r="C12" t="s">
        <v>18</v>
      </c>
      <c r="D12" t="s">
        <v>33</v>
      </c>
      <c r="E12" t="s">
        <v>20</v>
      </c>
      <c r="F12" s="1">
        <v>0</v>
      </c>
      <c r="J12" s="6"/>
      <c r="K12" s="4"/>
      <c r="L12">
        <f t="shared" si="0"/>
        <v>0</v>
      </c>
      <c r="P12" t="s">
        <v>31</v>
      </c>
    </row>
    <row r="13" spans="1:16">
      <c r="A13" t="s">
        <v>16</v>
      </c>
      <c r="B13" t="s">
        <v>32</v>
      </c>
      <c r="C13" t="s">
        <v>22</v>
      </c>
      <c r="D13" t="s">
        <v>33</v>
      </c>
      <c r="E13" t="s">
        <v>20</v>
      </c>
      <c r="F13" s="1">
        <v>0</v>
      </c>
      <c r="G13" t="s">
        <v>23</v>
      </c>
      <c r="H13" t="s">
        <v>24</v>
      </c>
      <c r="I13" t="s">
        <v>25</v>
      </c>
      <c r="J13" s="6"/>
      <c r="K13" s="4"/>
      <c r="L13">
        <f t="shared" si="0"/>
        <v>0</v>
      </c>
      <c r="P13" t="s">
        <v>31</v>
      </c>
    </row>
    <row r="14" spans="1:16">
      <c r="A14" t="s">
        <v>16</v>
      </c>
      <c r="B14" t="s">
        <v>32</v>
      </c>
      <c r="C14" t="s">
        <v>28</v>
      </c>
      <c r="D14" t="s">
        <v>33</v>
      </c>
      <c r="E14" t="s">
        <v>20</v>
      </c>
      <c r="F14" s="1">
        <v>0</v>
      </c>
      <c r="J14" s="2">
        <v>46029</v>
      </c>
      <c r="K14" s="3">
        <v>46039</v>
      </c>
      <c r="L14">
        <f t="shared" si="0"/>
        <v>8</v>
      </c>
      <c r="O14" t="s">
        <v>27</v>
      </c>
      <c r="P14" t="s">
        <v>31</v>
      </c>
    </row>
    <row r="15" spans="1:16">
      <c r="A15" t="s">
        <v>16</v>
      </c>
      <c r="B15" t="s">
        <v>32</v>
      </c>
      <c r="C15" t="s">
        <v>29</v>
      </c>
      <c r="D15" t="s">
        <v>33</v>
      </c>
      <c r="E15" t="s">
        <v>20</v>
      </c>
      <c r="F15" s="1">
        <v>0</v>
      </c>
      <c r="J15" s="6"/>
      <c r="K15" s="4"/>
      <c r="L15">
        <f t="shared" si="0"/>
        <v>0</v>
      </c>
      <c r="P15" t="s">
        <v>31</v>
      </c>
    </row>
    <row r="16" spans="1:16">
      <c r="A16" t="s">
        <v>16</v>
      </c>
      <c r="B16" t="s">
        <v>32</v>
      </c>
      <c r="C16" t="s">
        <v>30</v>
      </c>
      <c r="D16" t="s">
        <v>33</v>
      </c>
      <c r="E16" t="s">
        <v>20</v>
      </c>
      <c r="F16" s="1">
        <v>0</v>
      </c>
      <c r="J16" s="6"/>
      <c r="K16" s="4"/>
      <c r="L16">
        <f t="shared" si="0"/>
        <v>0</v>
      </c>
      <c r="P16" t="s">
        <v>31</v>
      </c>
    </row>
    <row r="17" spans="1:16">
      <c r="A17" t="s">
        <v>16</v>
      </c>
      <c r="B17" t="s">
        <v>34</v>
      </c>
      <c r="C17" t="s">
        <v>18</v>
      </c>
      <c r="D17" t="s">
        <v>19</v>
      </c>
      <c r="E17" t="s">
        <v>20</v>
      </c>
      <c r="F17" s="1">
        <v>0</v>
      </c>
      <c r="J17" s="2">
        <v>46029</v>
      </c>
      <c r="K17" s="3">
        <v>46195</v>
      </c>
      <c r="L17">
        <f t="shared" si="0"/>
        <v>119</v>
      </c>
      <c r="P17" t="s">
        <v>34</v>
      </c>
    </row>
    <row r="18" spans="1:16">
      <c r="A18" t="s">
        <v>16</v>
      </c>
      <c r="B18" t="s">
        <v>34</v>
      </c>
      <c r="C18" t="s">
        <v>22</v>
      </c>
      <c r="D18" t="s">
        <v>19</v>
      </c>
      <c r="E18" t="s">
        <v>20</v>
      </c>
      <c r="F18" s="1">
        <v>0</v>
      </c>
      <c r="G18" t="s">
        <v>35</v>
      </c>
      <c r="H18" t="s">
        <v>36</v>
      </c>
      <c r="I18" t="s">
        <v>37</v>
      </c>
      <c r="J18" s="2">
        <v>46029</v>
      </c>
      <c r="K18" s="3">
        <v>46097</v>
      </c>
      <c r="L18">
        <f t="shared" si="0"/>
        <v>49</v>
      </c>
      <c r="O18" t="s">
        <v>27</v>
      </c>
      <c r="P18" t="s">
        <v>34</v>
      </c>
    </row>
    <row r="19" spans="1:16">
      <c r="A19" t="s">
        <v>16</v>
      </c>
      <c r="B19" t="s">
        <v>34</v>
      </c>
      <c r="C19" t="s">
        <v>28</v>
      </c>
      <c r="D19" t="s">
        <v>19</v>
      </c>
      <c r="E19" t="s">
        <v>20</v>
      </c>
      <c r="F19" s="1">
        <v>0</v>
      </c>
      <c r="J19" s="2">
        <v>46127</v>
      </c>
      <c r="K19" s="3">
        <v>46195</v>
      </c>
      <c r="L19">
        <f t="shared" si="0"/>
        <v>49</v>
      </c>
      <c r="O19" t="s">
        <v>27</v>
      </c>
      <c r="P19" t="s">
        <v>34</v>
      </c>
    </row>
    <row r="20" spans="1:16">
      <c r="A20" t="s">
        <v>16</v>
      </c>
      <c r="B20" t="s">
        <v>34</v>
      </c>
      <c r="C20" t="s">
        <v>29</v>
      </c>
      <c r="D20" t="s">
        <v>19</v>
      </c>
      <c r="E20" t="s">
        <v>20</v>
      </c>
      <c r="F20" s="1">
        <v>0</v>
      </c>
      <c r="J20" s="6"/>
      <c r="K20" s="4"/>
      <c r="L20">
        <f t="shared" si="0"/>
        <v>0</v>
      </c>
      <c r="P20" t="s">
        <v>34</v>
      </c>
    </row>
    <row r="21" spans="1:16">
      <c r="A21" t="s">
        <v>16</v>
      </c>
      <c r="B21" t="s">
        <v>34</v>
      </c>
      <c r="C21" t="s">
        <v>30</v>
      </c>
      <c r="D21" t="s">
        <v>19</v>
      </c>
      <c r="E21" t="s">
        <v>20</v>
      </c>
      <c r="F21" s="1">
        <v>0</v>
      </c>
      <c r="J21" s="2">
        <v>46142</v>
      </c>
      <c r="K21" s="3">
        <v>46142</v>
      </c>
      <c r="L21">
        <f t="shared" si="0"/>
        <v>1</v>
      </c>
      <c r="O21" t="s">
        <v>27</v>
      </c>
      <c r="P21" t="s">
        <v>34</v>
      </c>
    </row>
    <row r="22" spans="1:16">
      <c r="A22" t="s">
        <v>16</v>
      </c>
      <c r="B22" t="s">
        <v>38</v>
      </c>
      <c r="C22" t="s">
        <v>18</v>
      </c>
      <c r="D22" t="s">
        <v>33</v>
      </c>
      <c r="E22" t="s">
        <v>20</v>
      </c>
      <c r="F22" s="1">
        <v>0</v>
      </c>
      <c r="J22" s="2">
        <v>46142</v>
      </c>
      <c r="K22" s="3">
        <v>46142</v>
      </c>
      <c r="L22">
        <f t="shared" si="0"/>
        <v>1</v>
      </c>
      <c r="P22" t="s">
        <v>34</v>
      </c>
    </row>
    <row r="23" spans="1:16">
      <c r="A23" t="s">
        <v>16</v>
      </c>
      <c r="B23" t="s">
        <v>38</v>
      </c>
      <c r="C23" t="s">
        <v>22</v>
      </c>
      <c r="D23" t="s">
        <v>33</v>
      </c>
      <c r="E23" t="s">
        <v>20</v>
      </c>
      <c r="F23" s="1">
        <v>0</v>
      </c>
      <c r="G23" t="s">
        <v>35</v>
      </c>
      <c r="H23" t="s">
        <v>36</v>
      </c>
      <c r="I23" t="s">
        <v>37</v>
      </c>
      <c r="J23" s="6"/>
      <c r="K23" s="4"/>
      <c r="L23">
        <f t="shared" si="0"/>
        <v>0</v>
      </c>
      <c r="P23" t="s">
        <v>34</v>
      </c>
    </row>
    <row r="24" spans="1:16">
      <c r="A24" t="s">
        <v>16</v>
      </c>
      <c r="B24" t="s">
        <v>38</v>
      </c>
      <c r="C24" t="s">
        <v>28</v>
      </c>
      <c r="D24" t="s">
        <v>33</v>
      </c>
      <c r="E24" t="s">
        <v>20</v>
      </c>
      <c r="F24" s="1">
        <v>0</v>
      </c>
      <c r="J24" s="6"/>
      <c r="K24" s="3">
        <v>46142</v>
      </c>
      <c r="L24">
        <f t="shared" si="0"/>
        <v>32959</v>
      </c>
      <c r="P24" t="s">
        <v>34</v>
      </c>
    </row>
    <row r="25" spans="1:16">
      <c r="A25" t="s">
        <v>16</v>
      </c>
      <c r="B25" t="s">
        <v>38</v>
      </c>
      <c r="C25" t="s">
        <v>29</v>
      </c>
      <c r="D25" t="s">
        <v>33</v>
      </c>
      <c r="E25" t="s">
        <v>20</v>
      </c>
      <c r="F25" s="1">
        <v>0</v>
      </c>
      <c r="J25" s="6"/>
      <c r="K25" s="4"/>
      <c r="L25">
        <f t="shared" si="0"/>
        <v>0</v>
      </c>
      <c r="P25" t="s">
        <v>34</v>
      </c>
    </row>
    <row r="26" spans="1:16">
      <c r="A26" t="s">
        <v>16</v>
      </c>
      <c r="B26" t="s">
        <v>38</v>
      </c>
      <c r="C26" t="s">
        <v>30</v>
      </c>
      <c r="D26" t="s">
        <v>33</v>
      </c>
      <c r="E26" t="s">
        <v>20</v>
      </c>
      <c r="F26" s="1">
        <v>0</v>
      </c>
      <c r="J26" s="6"/>
      <c r="K26" s="4"/>
      <c r="L26">
        <f t="shared" si="0"/>
        <v>0</v>
      </c>
      <c r="P26" t="s">
        <v>34</v>
      </c>
    </row>
    <row r="27" spans="1:16">
      <c r="A27" t="s">
        <v>39</v>
      </c>
      <c r="B27" t="s">
        <v>40</v>
      </c>
      <c r="C27" t="s">
        <v>18</v>
      </c>
      <c r="D27" t="s">
        <v>19</v>
      </c>
      <c r="E27" t="s">
        <v>20</v>
      </c>
      <c r="F27" s="1">
        <v>0</v>
      </c>
      <c r="J27" s="2">
        <v>45971</v>
      </c>
      <c r="K27" s="3">
        <v>46157</v>
      </c>
      <c r="L27">
        <f t="shared" si="0"/>
        <v>135</v>
      </c>
      <c r="P27" t="s">
        <v>40</v>
      </c>
    </row>
    <row r="28" spans="1:16">
      <c r="A28" t="s">
        <v>39</v>
      </c>
      <c r="B28" t="s">
        <v>40</v>
      </c>
      <c r="C28" t="s">
        <v>22</v>
      </c>
      <c r="D28" t="s">
        <v>19</v>
      </c>
      <c r="E28" t="s">
        <v>20</v>
      </c>
      <c r="F28" s="1">
        <v>0</v>
      </c>
      <c r="G28" t="s">
        <v>41</v>
      </c>
      <c r="H28" t="s">
        <v>42</v>
      </c>
      <c r="J28" s="2">
        <v>45877</v>
      </c>
      <c r="K28" s="3">
        <v>46053</v>
      </c>
      <c r="L28">
        <f t="shared" si="0"/>
        <v>126</v>
      </c>
      <c r="N28" t="s">
        <v>43</v>
      </c>
      <c r="O28" t="s">
        <v>26</v>
      </c>
      <c r="P28" t="s">
        <v>40</v>
      </c>
    </row>
    <row r="29" spans="1:16">
      <c r="A29" t="s">
        <v>39</v>
      </c>
      <c r="B29" t="s">
        <v>40</v>
      </c>
      <c r="C29" t="s">
        <v>28</v>
      </c>
      <c r="D29" t="s">
        <v>19</v>
      </c>
      <c r="E29" t="s">
        <v>20</v>
      </c>
      <c r="F29" s="1">
        <v>0</v>
      </c>
      <c r="J29" s="6"/>
      <c r="K29" s="4"/>
      <c r="L29">
        <f t="shared" si="0"/>
        <v>0</v>
      </c>
      <c r="P29" t="s">
        <v>40</v>
      </c>
    </row>
    <row r="30" spans="1:16">
      <c r="A30" t="s">
        <v>39</v>
      </c>
      <c r="B30" t="s">
        <v>40</v>
      </c>
      <c r="C30" t="s">
        <v>29</v>
      </c>
      <c r="D30" t="s">
        <v>19</v>
      </c>
      <c r="E30" t="s">
        <v>20</v>
      </c>
      <c r="F30" s="1">
        <v>0</v>
      </c>
      <c r="J30" s="6"/>
      <c r="K30" s="4"/>
      <c r="L30">
        <f t="shared" si="0"/>
        <v>0</v>
      </c>
      <c r="P30" t="s">
        <v>40</v>
      </c>
    </row>
    <row r="31" spans="1:16">
      <c r="A31" t="s">
        <v>39</v>
      </c>
      <c r="B31" t="s">
        <v>40</v>
      </c>
      <c r="C31" t="s">
        <v>30</v>
      </c>
      <c r="D31" t="s">
        <v>19</v>
      </c>
      <c r="E31" t="s">
        <v>20</v>
      </c>
      <c r="F31" s="1">
        <v>0</v>
      </c>
      <c r="J31" s="2">
        <v>46013</v>
      </c>
      <c r="K31" s="3">
        <v>46025</v>
      </c>
      <c r="L31">
        <f t="shared" si="0"/>
        <v>10</v>
      </c>
      <c r="O31" t="s">
        <v>27</v>
      </c>
      <c r="P31" t="s">
        <v>40</v>
      </c>
    </row>
    <row r="32" spans="1:16">
      <c r="A32" t="s">
        <v>44</v>
      </c>
      <c r="B32" t="s">
        <v>45</v>
      </c>
      <c r="C32" t="s">
        <v>18</v>
      </c>
      <c r="D32" t="s">
        <v>33</v>
      </c>
      <c r="E32" t="s">
        <v>20</v>
      </c>
      <c r="F32" s="1">
        <v>0</v>
      </c>
      <c r="J32" s="2">
        <v>45971</v>
      </c>
      <c r="K32" s="3">
        <v>46014</v>
      </c>
      <c r="L32">
        <f t="shared" si="0"/>
        <v>32</v>
      </c>
      <c r="P32" t="s">
        <v>40</v>
      </c>
    </row>
    <row r="33" spans="1:16">
      <c r="A33" t="s">
        <v>44</v>
      </c>
      <c r="B33" t="s">
        <v>45</v>
      </c>
      <c r="C33" t="s">
        <v>22</v>
      </c>
      <c r="D33" t="s">
        <v>33</v>
      </c>
      <c r="E33" t="s">
        <v>20</v>
      </c>
      <c r="F33" s="1">
        <v>0</v>
      </c>
      <c r="G33" t="s">
        <v>46</v>
      </c>
      <c r="H33" t="s">
        <v>47</v>
      </c>
      <c r="I33" t="s">
        <v>48</v>
      </c>
      <c r="J33" s="2">
        <v>45971</v>
      </c>
      <c r="K33" s="3">
        <v>46014</v>
      </c>
      <c r="L33">
        <f t="shared" si="0"/>
        <v>32</v>
      </c>
      <c r="N33" t="s">
        <v>43</v>
      </c>
      <c r="O33" t="s">
        <v>26</v>
      </c>
      <c r="P33" t="s">
        <v>40</v>
      </c>
    </row>
    <row r="34" spans="1:16">
      <c r="A34" t="s">
        <v>44</v>
      </c>
      <c r="B34" t="s">
        <v>45</v>
      </c>
      <c r="C34" t="s">
        <v>28</v>
      </c>
      <c r="D34" t="s">
        <v>33</v>
      </c>
      <c r="E34" t="s">
        <v>20</v>
      </c>
      <c r="F34" s="1">
        <v>0</v>
      </c>
      <c r="J34" s="6"/>
      <c r="K34" s="4"/>
      <c r="L34">
        <f t="shared" si="0"/>
        <v>0</v>
      </c>
      <c r="P34" t="s">
        <v>40</v>
      </c>
    </row>
    <row r="35" spans="1:16">
      <c r="A35" t="s">
        <v>44</v>
      </c>
      <c r="B35" t="s">
        <v>45</v>
      </c>
      <c r="C35" t="s">
        <v>29</v>
      </c>
      <c r="D35" t="s">
        <v>33</v>
      </c>
      <c r="E35" t="s">
        <v>20</v>
      </c>
      <c r="F35" s="1">
        <v>0</v>
      </c>
      <c r="J35" s="6"/>
      <c r="K35" s="4"/>
      <c r="L35">
        <f t="shared" si="0"/>
        <v>0</v>
      </c>
      <c r="P35" t="s">
        <v>40</v>
      </c>
    </row>
    <row r="36" spans="1:16">
      <c r="A36" t="s">
        <v>44</v>
      </c>
      <c r="B36" t="s">
        <v>45</v>
      </c>
      <c r="C36" t="s">
        <v>30</v>
      </c>
      <c r="D36" t="s">
        <v>33</v>
      </c>
      <c r="E36" t="s">
        <v>20</v>
      </c>
      <c r="F36" s="1">
        <v>0</v>
      </c>
      <c r="J36" s="6"/>
      <c r="K36" s="4"/>
      <c r="L36">
        <f t="shared" si="0"/>
        <v>0</v>
      </c>
      <c r="P36" t="s">
        <v>40</v>
      </c>
    </row>
    <row r="37" spans="1:16">
      <c r="A37" t="s">
        <v>39</v>
      </c>
      <c r="B37" t="s">
        <v>49</v>
      </c>
      <c r="C37" t="s">
        <v>18</v>
      </c>
      <c r="D37" t="s">
        <v>33</v>
      </c>
      <c r="E37" t="s">
        <v>20</v>
      </c>
      <c r="F37" s="1">
        <v>0</v>
      </c>
      <c r="J37" s="2">
        <v>46027</v>
      </c>
      <c r="K37" s="3">
        <v>46203</v>
      </c>
      <c r="L37">
        <f t="shared" si="0"/>
        <v>127</v>
      </c>
      <c r="P37" t="s">
        <v>40</v>
      </c>
    </row>
    <row r="38" spans="1:16">
      <c r="A38" t="s">
        <v>39</v>
      </c>
      <c r="B38" t="s">
        <v>49</v>
      </c>
      <c r="C38" t="s">
        <v>22</v>
      </c>
      <c r="D38" t="s">
        <v>33</v>
      </c>
      <c r="E38" t="s">
        <v>20</v>
      </c>
      <c r="F38" s="1">
        <v>0</v>
      </c>
      <c r="G38" t="s">
        <v>41</v>
      </c>
      <c r="H38" t="s">
        <v>42</v>
      </c>
      <c r="I38" t="s">
        <v>50</v>
      </c>
      <c r="J38" s="2">
        <v>46027</v>
      </c>
      <c r="K38" s="3">
        <v>46111</v>
      </c>
      <c r="L38">
        <f t="shared" si="0"/>
        <v>61</v>
      </c>
      <c r="O38" t="s">
        <v>27</v>
      </c>
      <c r="P38" t="s">
        <v>40</v>
      </c>
    </row>
    <row r="39" spans="1:16">
      <c r="A39" t="s">
        <v>39</v>
      </c>
      <c r="B39" t="s">
        <v>49</v>
      </c>
      <c r="C39" t="s">
        <v>28</v>
      </c>
      <c r="D39" t="s">
        <v>33</v>
      </c>
      <c r="E39" t="s">
        <v>20</v>
      </c>
      <c r="F39" s="1">
        <v>0</v>
      </c>
      <c r="J39" s="2">
        <v>46118</v>
      </c>
      <c r="K39" s="3">
        <v>46203</v>
      </c>
      <c r="L39">
        <f t="shared" si="0"/>
        <v>62</v>
      </c>
      <c r="O39" t="s">
        <v>27</v>
      </c>
      <c r="P39" t="s">
        <v>40</v>
      </c>
    </row>
    <row r="40" spans="1:16">
      <c r="A40" t="s">
        <v>39</v>
      </c>
      <c r="B40" t="s">
        <v>49</v>
      </c>
      <c r="C40" t="s">
        <v>29</v>
      </c>
      <c r="D40" t="s">
        <v>33</v>
      </c>
      <c r="E40" t="s">
        <v>20</v>
      </c>
      <c r="F40" s="1">
        <v>0</v>
      </c>
      <c r="J40" s="6"/>
      <c r="K40" s="4"/>
      <c r="L40">
        <f t="shared" si="0"/>
        <v>0</v>
      </c>
      <c r="P40" t="s">
        <v>40</v>
      </c>
    </row>
    <row r="41" spans="1:16">
      <c r="A41" t="s">
        <v>39</v>
      </c>
      <c r="B41" t="s">
        <v>49</v>
      </c>
      <c r="C41" t="s">
        <v>30</v>
      </c>
      <c r="D41" t="s">
        <v>33</v>
      </c>
      <c r="E41" t="s">
        <v>20</v>
      </c>
      <c r="F41" s="1">
        <v>0</v>
      </c>
      <c r="J41" s="6"/>
      <c r="K41" s="4"/>
      <c r="L41">
        <f t="shared" si="0"/>
        <v>0</v>
      </c>
      <c r="P41" t="s">
        <v>40</v>
      </c>
    </row>
    <row r="42" spans="1:16">
      <c r="A42" t="s">
        <v>51</v>
      </c>
      <c r="B42" t="s">
        <v>52</v>
      </c>
      <c r="C42" t="s">
        <v>18</v>
      </c>
      <c r="D42" t="s">
        <v>19</v>
      </c>
      <c r="E42" t="s">
        <v>20</v>
      </c>
      <c r="F42" s="1">
        <v>0</v>
      </c>
      <c r="J42" s="2">
        <v>45945</v>
      </c>
      <c r="K42" s="3">
        <v>46295</v>
      </c>
      <c r="L42">
        <f t="shared" si="0"/>
        <v>251</v>
      </c>
      <c r="P42" t="s">
        <v>52</v>
      </c>
    </row>
    <row r="43" spans="1:16">
      <c r="A43" t="s">
        <v>51</v>
      </c>
      <c r="B43" t="s">
        <v>52</v>
      </c>
      <c r="C43" t="s">
        <v>22</v>
      </c>
      <c r="D43" t="s">
        <v>19</v>
      </c>
      <c r="E43" t="s">
        <v>20</v>
      </c>
      <c r="F43" s="1">
        <v>0</v>
      </c>
      <c r="G43" t="s">
        <v>53</v>
      </c>
      <c r="H43" t="s">
        <v>54</v>
      </c>
      <c r="I43" t="s">
        <v>55</v>
      </c>
      <c r="J43" s="6"/>
      <c r="K43" s="4"/>
      <c r="L43">
        <f t="shared" si="0"/>
        <v>0</v>
      </c>
      <c r="P43" t="s">
        <v>52</v>
      </c>
    </row>
    <row r="44" spans="1:16">
      <c r="A44" t="s">
        <v>51</v>
      </c>
      <c r="B44" t="s">
        <v>52</v>
      </c>
      <c r="C44" t="s">
        <v>28</v>
      </c>
      <c r="D44" t="s">
        <v>19</v>
      </c>
      <c r="E44" t="s">
        <v>20</v>
      </c>
      <c r="F44" s="1">
        <v>0</v>
      </c>
      <c r="J44" s="6"/>
      <c r="K44" s="4"/>
      <c r="L44">
        <f t="shared" si="0"/>
        <v>0</v>
      </c>
      <c r="P44" t="s">
        <v>52</v>
      </c>
    </row>
    <row r="45" spans="1:16">
      <c r="A45" t="s">
        <v>51</v>
      </c>
      <c r="B45" t="s">
        <v>52</v>
      </c>
      <c r="C45" t="s">
        <v>29</v>
      </c>
      <c r="D45" t="s">
        <v>33</v>
      </c>
      <c r="E45" t="s">
        <v>20</v>
      </c>
      <c r="F45" s="1">
        <v>0</v>
      </c>
      <c r="J45" s="6"/>
      <c r="K45" s="4"/>
      <c r="L45">
        <f t="shared" si="0"/>
        <v>0</v>
      </c>
      <c r="P45" t="s">
        <v>52</v>
      </c>
    </row>
    <row r="46" spans="1:16">
      <c r="A46" t="s">
        <v>51</v>
      </c>
      <c r="B46" t="s">
        <v>52</v>
      </c>
      <c r="C46" t="s">
        <v>30</v>
      </c>
      <c r="D46" t="s">
        <v>19</v>
      </c>
      <c r="E46" t="s">
        <v>20</v>
      </c>
      <c r="F46" s="1">
        <v>0</v>
      </c>
      <c r="J46" s="6"/>
      <c r="K46" s="4"/>
      <c r="L46">
        <f t="shared" si="0"/>
        <v>0</v>
      </c>
      <c r="P46" t="s">
        <v>52</v>
      </c>
    </row>
    <row r="47" spans="1:16">
      <c r="A47" t="s">
        <v>51</v>
      </c>
      <c r="B47" t="s">
        <v>56</v>
      </c>
      <c r="C47" t="s">
        <v>18</v>
      </c>
      <c r="D47" t="s">
        <v>33</v>
      </c>
      <c r="E47" t="s">
        <v>20</v>
      </c>
      <c r="F47" s="1">
        <v>0</v>
      </c>
      <c r="J47" s="2">
        <v>46029</v>
      </c>
      <c r="K47" s="3">
        <v>46202</v>
      </c>
      <c r="L47">
        <f t="shared" si="0"/>
        <v>124</v>
      </c>
      <c r="P47" t="s">
        <v>52</v>
      </c>
    </row>
    <row r="48" spans="1:16">
      <c r="A48" t="s">
        <v>51</v>
      </c>
      <c r="B48" t="s">
        <v>56</v>
      </c>
      <c r="C48" t="s">
        <v>22</v>
      </c>
      <c r="D48" t="s">
        <v>33</v>
      </c>
      <c r="E48" t="s">
        <v>20</v>
      </c>
      <c r="F48" s="1">
        <v>0</v>
      </c>
      <c r="G48" t="s">
        <v>53</v>
      </c>
      <c r="H48" t="s">
        <v>54</v>
      </c>
      <c r="I48" t="s">
        <v>25</v>
      </c>
      <c r="J48" s="2">
        <v>46029</v>
      </c>
      <c r="K48" s="3">
        <v>46104</v>
      </c>
      <c r="L48">
        <f t="shared" si="0"/>
        <v>54</v>
      </c>
      <c r="O48" t="s">
        <v>27</v>
      </c>
      <c r="P48" t="s">
        <v>52</v>
      </c>
    </row>
    <row r="49" spans="1:16">
      <c r="A49" t="s">
        <v>51</v>
      </c>
      <c r="B49" t="s">
        <v>56</v>
      </c>
      <c r="C49" t="s">
        <v>28</v>
      </c>
      <c r="D49" t="s">
        <v>33</v>
      </c>
      <c r="E49" t="s">
        <v>20</v>
      </c>
      <c r="F49" s="1">
        <v>0</v>
      </c>
      <c r="J49" s="2">
        <v>46118</v>
      </c>
      <c r="K49" s="3">
        <v>46202</v>
      </c>
      <c r="L49">
        <f t="shared" si="0"/>
        <v>61</v>
      </c>
      <c r="O49" t="s">
        <v>27</v>
      </c>
      <c r="P49" t="s">
        <v>52</v>
      </c>
    </row>
    <row r="50" spans="1:16">
      <c r="A50" t="s">
        <v>51</v>
      </c>
      <c r="B50" t="s">
        <v>56</v>
      </c>
      <c r="C50" t="s">
        <v>29</v>
      </c>
      <c r="D50" t="s">
        <v>33</v>
      </c>
      <c r="E50" t="s">
        <v>20</v>
      </c>
      <c r="F50" s="1">
        <v>0</v>
      </c>
      <c r="J50" s="6"/>
      <c r="K50" s="4"/>
      <c r="L50">
        <f t="shared" si="0"/>
        <v>0</v>
      </c>
      <c r="P50" t="s">
        <v>52</v>
      </c>
    </row>
    <row r="51" spans="1:16">
      <c r="A51" t="s">
        <v>51</v>
      </c>
      <c r="B51" t="s">
        <v>56</v>
      </c>
      <c r="C51" t="s">
        <v>30</v>
      </c>
      <c r="D51" t="s">
        <v>33</v>
      </c>
      <c r="E51" t="s">
        <v>20</v>
      </c>
      <c r="F51" s="1">
        <v>0</v>
      </c>
      <c r="J51" s="6"/>
      <c r="K51" s="4"/>
      <c r="L51">
        <f t="shared" si="0"/>
        <v>0</v>
      </c>
      <c r="P51" t="s">
        <v>52</v>
      </c>
    </row>
    <row r="52" spans="1:16">
      <c r="A52" t="s">
        <v>51</v>
      </c>
      <c r="B52" t="s">
        <v>57</v>
      </c>
      <c r="C52" t="s">
        <v>18</v>
      </c>
      <c r="D52" t="s">
        <v>58</v>
      </c>
      <c r="E52" t="s">
        <v>20</v>
      </c>
      <c r="F52" s="1">
        <v>0</v>
      </c>
      <c r="J52" s="6"/>
      <c r="K52" s="4"/>
      <c r="L52">
        <f t="shared" si="0"/>
        <v>0</v>
      </c>
      <c r="P52" t="s">
        <v>52</v>
      </c>
    </row>
    <row r="53" spans="1:16">
      <c r="A53" t="s">
        <v>51</v>
      </c>
      <c r="B53" t="s">
        <v>57</v>
      </c>
      <c r="C53" t="s">
        <v>22</v>
      </c>
      <c r="D53" t="s">
        <v>58</v>
      </c>
      <c r="E53" t="s">
        <v>20</v>
      </c>
      <c r="F53" s="1">
        <v>0</v>
      </c>
      <c r="G53" t="s">
        <v>53</v>
      </c>
      <c r="H53" t="s">
        <v>54</v>
      </c>
      <c r="I53" t="s">
        <v>25</v>
      </c>
      <c r="J53" s="6"/>
      <c r="K53" s="4"/>
      <c r="L53">
        <f t="shared" si="0"/>
        <v>0</v>
      </c>
      <c r="P53" t="s">
        <v>52</v>
      </c>
    </row>
    <row r="54" spans="1:16">
      <c r="A54" t="s">
        <v>51</v>
      </c>
      <c r="B54" t="s">
        <v>57</v>
      </c>
      <c r="C54" t="s">
        <v>28</v>
      </c>
      <c r="D54" t="s">
        <v>58</v>
      </c>
      <c r="E54" t="s">
        <v>20</v>
      </c>
      <c r="F54" s="1">
        <v>0</v>
      </c>
      <c r="J54" s="6"/>
      <c r="K54" s="4"/>
      <c r="L54">
        <f t="shared" si="0"/>
        <v>0</v>
      </c>
      <c r="P54" t="s">
        <v>52</v>
      </c>
    </row>
    <row r="55" spans="1:16">
      <c r="A55" t="s">
        <v>51</v>
      </c>
      <c r="B55" t="s">
        <v>57</v>
      </c>
      <c r="C55" t="s">
        <v>29</v>
      </c>
      <c r="D55" t="s">
        <v>58</v>
      </c>
      <c r="E55" t="s">
        <v>20</v>
      </c>
      <c r="F55" s="1">
        <v>0</v>
      </c>
      <c r="J55" s="6"/>
      <c r="K55" s="4"/>
      <c r="L55">
        <f t="shared" si="0"/>
        <v>0</v>
      </c>
      <c r="P55" t="s">
        <v>52</v>
      </c>
    </row>
    <row r="56" spans="1:16">
      <c r="A56" t="s">
        <v>51</v>
      </c>
      <c r="B56" t="s">
        <v>57</v>
      </c>
      <c r="C56" t="s">
        <v>30</v>
      </c>
      <c r="D56" t="s">
        <v>58</v>
      </c>
      <c r="E56" t="s">
        <v>20</v>
      </c>
      <c r="F56" s="1">
        <v>0</v>
      </c>
      <c r="J56" s="6"/>
      <c r="K56" s="4"/>
      <c r="L56">
        <f t="shared" si="0"/>
        <v>0</v>
      </c>
      <c r="P56" t="s">
        <v>52</v>
      </c>
    </row>
    <row r="57" spans="1:16">
      <c r="A57" t="s">
        <v>51</v>
      </c>
      <c r="B57" t="s">
        <v>59</v>
      </c>
      <c r="C57" t="s">
        <v>18</v>
      </c>
      <c r="D57" t="s">
        <v>58</v>
      </c>
      <c r="E57" t="s">
        <v>20</v>
      </c>
      <c r="F57" s="1">
        <v>0</v>
      </c>
      <c r="J57" s="6"/>
      <c r="K57" s="4"/>
      <c r="L57">
        <f t="shared" si="0"/>
        <v>0</v>
      </c>
      <c r="P57" t="s">
        <v>52</v>
      </c>
    </row>
    <row r="58" spans="1:16">
      <c r="A58" t="s">
        <v>51</v>
      </c>
      <c r="B58" t="s">
        <v>59</v>
      </c>
      <c r="C58" t="s">
        <v>22</v>
      </c>
      <c r="D58" t="s">
        <v>58</v>
      </c>
      <c r="E58" t="s">
        <v>20</v>
      </c>
      <c r="F58" s="1">
        <v>0</v>
      </c>
      <c r="G58" t="s">
        <v>53</v>
      </c>
      <c r="H58" t="s">
        <v>54</v>
      </c>
      <c r="I58" t="s">
        <v>25</v>
      </c>
      <c r="J58" s="6"/>
      <c r="K58" s="4"/>
      <c r="L58">
        <f t="shared" si="0"/>
        <v>0</v>
      </c>
      <c r="P58" t="s">
        <v>52</v>
      </c>
    </row>
    <row r="59" spans="1:16">
      <c r="A59" t="s">
        <v>51</v>
      </c>
      <c r="B59" t="s">
        <v>59</v>
      </c>
      <c r="C59" t="s">
        <v>28</v>
      </c>
      <c r="D59" t="s">
        <v>58</v>
      </c>
      <c r="E59" t="s">
        <v>20</v>
      </c>
      <c r="F59" s="1">
        <v>0</v>
      </c>
      <c r="J59" s="6"/>
      <c r="K59" s="4"/>
      <c r="L59">
        <f t="shared" si="0"/>
        <v>0</v>
      </c>
      <c r="P59" t="s">
        <v>52</v>
      </c>
    </row>
    <row r="60" spans="1:16">
      <c r="A60" t="s">
        <v>51</v>
      </c>
      <c r="B60" t="s">
        <v>59</v>
      </c>
      <c r="C60" t="s">
        <v>29</v>
      </c>
      <c r="D60" t="s">
        <v>58</v>
      </c>
      <c r="E60" t="s">
        <v>20</v>
      </c>
      <c r="F60" s="1">
        <v>0</v>
      </c>
      <c r="J60" s="6"/>
      <c r="K60" s="4"/>
      <c r="L60">
        <f t="shared" si="0"/>
        <v>0</v>
      </c>
      <c r="P60" t="s">
        <v>52</v>
      </c>
    </row>
    <row r="61" spans="1:16">
      <c r="A61" t="s">
        <v>51</v>
      </c>
      <c r="B61" t="s">
        <v>59</v>
      </c>
      <c r="C61" t="s">
        <v>30</v>
      </c>
      <c r="D61" t="s">
        <v>58</v>
      </c>
      <c r="E61" t="s">
        <v>20</v>
      </c>
      <c r="F61" s="1">
        <v>0</v>
      </c>
      <c r="J61" s="6"/>
      <c r="K61" s="4"/>
      <c r="L61">
        <f t="shared" si="0"/>
        <v>0</v>
      </c>
      <c r="P61" t="s">
        <v>52</v>
      </c>
    </row>
    <row r="62" spans="1:16">
      <c r="A62" t="s">
        <v>51</v>
      </c>
      <c r="B62" t="s">
        <v>60</v>
      </c>
      <c r="C62" t="s">
        <v>18</v>
      </c>
      <c r="D62" t="s">
        <v>58</v>
      </c>
      <c r="E62" t="s">
        <v>20</v>
      </c>
      <c r="F62" s="1">
        <v>0</v>
      </c>
      <c r="J62" s="6"/>
      <c r="K62" s="4"/>
      <c r="L62">
        <f t="shared" si="0"/>
        <v>0</v>
      </c>
      <c r="P62" t="s">
        <v>52</v>
      </c>
    </row>
    <row r="63" spans="1:16">
      <c r="A63" t="s">
        <v>51</v>
      </c>
      <c r="B63" t="s">
        <v>60</v>
      </c>
      <c r="C63" t="s">
        <v>22</v>
      </c>
      <c r="D63" t="s">
        <v>58</v>
      </c>
      <c r="E63" t="s">
        <v>20</v>
      </c>
      <c r="F63" s="1">
        <v>0</v>
      </c>
      <c r="G63" t="s">
        <v>53</v>
      </c>
      <c r="H63" t="s">
        <v>54</v>
      </c>
      <c r="I63" t="s">
        <v>25</v>
      </c>
      <c r="J63" s="6"/>
      <c r="K63" s="4"/>
      <c r="L63">
        <f t="shared" si="0"/>
        <v>0</v>
      </c>
      <c r="P63" t="s">
        <v>52</v>
      </c>
    </row>
    <row r="64" spans="1:16">
      <c r="A64" t="s">
        <v>51</v>
      </c>
      <c r="B64" t="s">
        <v>60</v>
      </c>
      <c r="C64" t="s">
        <v>28</v>
      </c>
      <c r="D64" t="s">
        <v>58</v>
      </c>
      <c r="E64" t="s">
        <v>20</v>
      </c>
      <c r="F64" s="1">
        <v>0</v>
      </c>
      <c r="J64" s="6"/>
      <c r="K64" s="4"/>
      <c r="L64">
        <f t="shared" si="0"/>
        <v>0</v>
      </c>
      <c r="P64" t="s">
        <v>52</v>
      </c>
    </row>
    <row r="65" spans="1:16">
      <c r="A65" t="s">
        <v>51</v>
      </c>
      <c r="B65" t="s">
        <v>60</v>
      </c>
      <c r="C65" t="s">
        <v>29</v>
      </c>
      <c r="D65" t="s">
        <v>58</v>
      </c>
      <c r="E65" t="s">
        <v>20</v>
      </c>
      <c r="F65" s="1">
        <v>0</v>
      </c>
      <c r="J65" s="6"/>
      <c r="K65" s="4"/>
      <c r="L65">
        <f t="shared" si="0"/>
        <v>0</v>
      </c>
      <c r="P65" t="s">
        <v>52</v>
      </c>
    </row>
    <row r="66" spans="1:16">
      <c r="A66" t="s">
        <v>51</v>
      </c>
      <c r="B66" t="s">
        <v>60</v>
      </c>
      <c r="C66" t="s">
        <v>30</v>
      </c>
      <c r="D66" t="s">
        <v>58</v>
      </c>
      <c r="E66" t="s">
        <v>20</v>
      </c>
      <c r="F66" s="1">
        <v>0</v>
      </c>
      <c r="J66" s="6"/>
      <c r="K66" s="4"/>
      <c r="L66">
        <f t="shared" si="0"/>
        <v>0</v>
      </c>
      <c r="P66" t="s">
        <v>52</v>
      </c>
    </row>
    <row r="67" spans="1:16">
      <c r="A67" t="s">
        <v>51</v>
      </c>
      <c r="B67" t="s">
        <v>61</v>
      </c>
      <c r="C67" t="s">
        <v>18</v>
      </c>
      <c r="D67" t="s">
        <v>58</v>
      </c>
      <c r="E67" t="s">
        <v>20</v>
      </c>
      <c r="F67" s="1">
        <v>0</v>
      </c>
      <c r="J67" s="6"/>
      <c r="K67" s="4"/>
      <c r="L67">
        <f t="shared" ref="L67:L130" si="1">NETWORKDAYS(J67,K67)</f>
        <v>0</v>
      </c>
      <c r="P67" t="s">
        <v>52</v>
      </c>
    </row>
    <row r="68" spans="1:16">
      <c r="A68" t="s">
        <v>51</v>
      </c>
      <c r="B68" t="s">
        <v>61</v>
      </c>
      <c r="C68" t="s">
        <v>22</v>
      </c>
      <c r="D68" t="s">
        <v>58</v>
      </c>
      <c r="E68" t="s">
        <v>20</v>
      </c>
      <c r="F68" s="1">
        <v>0</v>
      </c>
      <c r="G68" t="s">
        <v>53</v>
      </c>
      <c r="H68" t="s">
        <v>54</v>
      </c>
      <c r="I68" t="s">
        <v>25</v>
      </c>
      <c r="J68" s="6"/>
      <c r="K68" s="4"/>
      <c r="L68">
        <f t="shared" si="1"/>
        <v>0</v>
      </c>
      <c r="P68" t="s">
        <v>52</v>
      </c>
    </row>
    <row r="69" spans="1:16">
      <c r="A69" t="s">
        <v>51</v>
      </c>
      <c r="B69" t="s">
        <v>61</v>
      </c>
      <c r="C69" t="s">
        <v>28</v>
      </c>
      <c r="D69" t="s">
        <v>58</v>
      </c>
      <c r="E69" t="s">
        <v>20</v>
      </c>
      <c r="F69" s="1">
        <v>0</v>
      </c>
      <c r="J69" s="6"/>
      <c r="K69" s="4"/>
      <c r="L69">
        <f t="shared" si="1"/>
        <v>0</v>
      </c>
      <c r="P69" t="s">
        <v>52</v>
      </c>
    </row>
    <row r="70" spans="1:16">
      <c r="A70" t="s">
        <v>51</v>
      </c>
      <c r="B70" t="s">
        <v>61</v>
      </c>
      <c r="C70" t="s">
        <v>29</v>
      </c>
      <c r="D70" t="s">
        <v>58</v>
      </c>
      <c r="E70" t="s">
        <v>20</v>
      </c>
      <c r="F70" s="1">
        <v>0</v>
      </c>
      <c r="J70" s="6"/>
      <c r="K70" s="4"/>
      <c r="L70">
        <f t="shared" si="1"/>
        <v>0</v>
      </c>
      <c r="P70" t="s">
        <v>52</v>
      </c>
    </row>
    <row r="71" spans="1:16">
      <c r="A71" t="s">
        <v>51</v>
      </c>
      <c r="B71" t="s">
        <v>61</v>
      </c>
      <c r="C71" t="s">
        <v>30</v>
      </c>
      <c r="D71" t="s">
        <v>58</v>
      </c>
      <c r="E71" t="s">
        <v>20</v>
      </c>
      <c r="F71" s="1">
        <v>0</v>
      </c>
      <c r="J71" s="6"/>
      <c r="K71" s="4"/>
      <c r="L71">
        <f t="shared" si="1"/>
        <v>0</v>
      </c>
      <c r="P71" t="s">
        <v>52</v>
      </c>
    </row>
    <row r="72" spans="1:16">
      <c r="A72" t="s">
        <v>51</v>
      </c>
      <c r="B72" t="s">
        <v>62</v>
      </c>
      <c r="C72" t="s">
        <v>18</v>
      </c>
      <c r="D72" t="s">
        <v>58</v>
      </c>
      <c r="E72" t="s">
        <v>20</v>
      </c>
      <c r="F72" s="1">
        <v>0</v>
      </c>
      <c r="J72" s="6"/>
      <c r="K72" s="4"/>
      <c r="L72">
        <f t="shared" si="1"/>
        <v>0</v>
      </c>
      <c r="P72" t="s">
        <v>52</v>
      </c>
    </row>
    <row r="73" spans="1:16">
      <c r="A73" t="s">
        <v>51</v>
      </c>
      <c r="B73" t="s">
        <v>62</v>
      </c>
      <c r="C73" t="s">
        <v>22</v>
      </c>
      <c r="D73" t="s">
        <v>58</v>
      </c>
      <c r="E73" t="s">
        <v>20</v>
      </c>
      <c r="F73" s="1">
        <v>0</v>
      </c>
      <c r="G73" t="s">
        <v>53</v>
      </c>
      <c r="H73" t="s">
        <v>54</v>
      </c>
      <c r="I73" t="s">
        <v>25</v>
      </c>
      <c r="J73" s="6"/>
      <c r="K73" s="4"/>
      <c r="L73">
        <f t="shared" si="1"/>
        <v>0</v>
      </c>
      <c r="P73" t="s">
        <v>52</v>
      </c>
    </row>
    <row r="74" spans="1:16">
      <c r="A74" t="s">
        <v>51</v>
      </c>
      <c r="B74" t="s">
        <v>62</v>
      </c>
      <c r="C74" t="s">
        <v>28</v>
      </c>
      <c r="D74" t="s">
        <v>58</v>
      </c>
      <c r="E74" t="s">
        <v>20</v>
      </c>
      <c r="F74" s="1">
        <v>0</v>
      </c>
      <c r="J74" s="6"/>
      <c r="K74" s="4"/>
      <c r="L74">
        <f t="shared" si="1"/>
        <v>0</v>
      </c>
      <c r="P74" t="s">
        <v>52</v>
      </c>
    </row>
    <row r="75" spans="1:16">
      <c r="A75" t="s">
        <v>51</v>
      </c>
      <c r="B75" t="s">
        <v>62</v>
      </c>
      <c r="C75" t="s">
        <v>29</v>
      </c>
      <c r="D75" t="s">
        <v>58</v>
      </c>
      <c r="E75" t="s">
        <v>20</v>
      </c>
      <c r="F75" s="1">
        <v>0</v>
      </c>
      <c r="J75" s="6"/>
      <c r="K75" s="4"/>
      <c r="L75">
        <f t="shared" si="1"/>
        <v>0</v>
      </c>
      <c r="P75" t="s">
        <v>52</v>
      </c>
    </row>
    <row r="76" spans="1:16">
      <c r="A76" t="s">
        <v>51</v>
      </c>
      <c r="B76" t="s">
        <v>62</v>
      </c>
      <c r="C76" t="s">
        <v>30</v>
      </c>
      <c r="D76" t="s">
        <v>58</v>
      </c>
      <c r="E76" t="s">
        <v>20</v>
      </c>
      <c r="F76" s="1">
        <v>0</v>
      </c>
      <c r="J76" s="6"/>
      <c r="K76" s="4"/>
      <c r="L76">
        <f t="shared" si="1"/>
        <v>0</v>
      </c>
      <c r="P76" t="s">
        <v>52</v>
      </c>
    </row>
    <row r="77" spans="1:16">
      <c r="A77" t="s">
        <v>51</v>
      </c>
      <c r="B77" t="s">
        <v>63</v>
      </c>
      <c r="C77" t="s">
        <v>18</v>
      </c>
      <c r="D77" t="s">
        <v>58</v>
      </c>
      <c r="E77" t="s">
        <v>20</v>
      </c>
      <c r="F77" s="1">
        <v>0</v>
      </c>
      <c r="J77" s="6"/>
      <c r="K77" s="4"/>
      <c r="L77">
        <f t="shared" si="1"/>
        <v>0</v>
      </c>
      <c r="P77" t="s">
        <v>52</v>
      </c>
    </row>
    <row r="78" spans="1:16">
      <c r="A78" t="s">
        <v>51</v>
      </c>
      <c r="B78" t="s">
        <v>63</v>
      </c>
      <c r="C78" t="s">
        <v>22</v>
      </c>
      <c r="D78" t="s">
        <v>58</v>
      </c>
      <c r="E78" t="s">
        <v>20</v>
      </c>
      <c r="F78" s="1">
        <v>0</v>
      </c>
      <c r="G78" t="s">
        <v>53</v>
      </c>
      <c r="H78" t="s">
        <v>54</v>
      </c>
      <c r="I78" t="s">
        <v>25</v>
      </c>
      <c r="J78" s="6"/>
      <c r="K78" s="4"/>
      <c r="L78">
        <f t="shared" si="1"/>
        <v>0</v>
      </c>
      <c r="P78" t="s">
        <v>52</v>
      </c>
    </row>
    <row r="79" spans="1:16">
      <c r="A79" t="s">
        <v>51</v>
      </c>
      <c r="B79" t="s">
        <v>63</v>
      </c>
      <c r="C79" t="s">
        <v>28</v>
      </c>
      <c r="D79" t="s">
        <v>58</v>
      </c>
      <c r="E79" t="s">
        <v>20</v>
      </c>
      <c r="F79" s="1">
        <v>0</v>
      </c>
      <c r="J79" s="6"/>
      <c r="K79" s="4"/>
      <c r="L79">
        <f t="shared" si="1"/>
        <v>0</v>
      </c>
      <c r="P79" t="s">
        <v>52</v>
      </c>
    </row>
    <row r="80" spans="1:16">
      <c r="A80" t="s">
        <v>51</v>
      </c>
      <c r="B80" t="s">
        <v>63</v>
      </c>
      <c r="C80" t="s">
        <v>29</v>
      </c>
      <c r="D80" t="s">
        <v>58</v>
      </c>
      <c r="E80" t="s">
        <v>20</v>
      </c>
      <c r="F80" s="1">
        <v>0</v>
      </c>
      <c r="J80" s="6"/>
      <c r="K80" s="4"/>
      <c r="L80">
        <f t="shared" si="1"/>
        <v>0</v>
      </c>
      <c r="P80" t="s">
        <v>52</v>
      </c>
    </row>
    <row r="81" spans="1:16">
      <c r="A81" t="s">
        <v>51</v>
      </c>
      <c r="B81" t="s">
        <v>63</v>
      </c>
      <c r="C81" t="s">
        <v>30</v>
      </c>
      <c r="D81" t="s">
        <v>58</v>
      </c>
      <c r="E81" t="s">
        <v>20</v>
      </c>
      <c r="F81" s="1">
        <v>0</v>
      </c>
      <c r="J81" s="6"/>
      <c r="K81" s="4"/>
      <c r="L81">
        <f t="shared" si="1"/>
        <v>0</v>
      </c>
      <c r="P81" t="s">
        <v>52</v>
      </c>
    </row>
    <row r="82" spans="1:16">
      <c r="A82" t="s">
        <v>51</v>
      </c>
      <c r="B82" t="s">
        <v>64</v>
      </c>
      <c r="C82" t="s">
        <v>18</v>
      </c>
      <c r="D82" t="s">
        <v>33</v>
      </c>
      <c r="E82" t="s">
        <v>20</v>
      </c>
      <c r="F82" s="1">
        <v>0</v>
      </c>
      <c r="J82" s="2">
        <v>45945</v>
      </c>
      <c r="K82" s="3">
        <v>46104</v>
      </c>
      <c r="L82">
        <f t="shared" si="1"/>
        <v>114</v>
      </c>
      <c r="P82" t="s">
        <v>52</v>
      </c>
    </row>
    <row r="83" spans="1:16">
      <c r="A83" t="s">
        <v>51</v>
      </c>
      <c r="B83" t="s">
        <v>64</v>
      </c>
      <c r="C83" t="s">
        <v>22</v>
      </c>
      <c r="D83" t="s">
        <v>33</v>
      </c>
      <c r="E83" t="s">
        <v>20</v>
      </c>
      <c r="F83" s="1">
        <v>0</v>
      </c>
      <c r="G83" t="s">
        <v>53</v>
      </c>
      <c r="H83" t="s">
        <v>54</v>
      </c>
      <c r="I83" t="s">
        <v>55</v>
      </c>
      <c r="J83" s="2">
        <v>46029</v>
      </c>
      <c r="K83" s="3">
        <v>46104</v>
      </c>
      <c r="L83">
        <f t="shared" si="1"/>
        <v>54</v>
      </c>
      <c r="O83" t="s">
        <v>27</v>
      </c>
      <c r="P83" t="s">
        <v>52</v>
      </c>
    </row>
    <row r="84" spans="1:16">
      <c r="A84" t="s">
        <v>51</v>
      </c>
      <c r="B84" t="s">
        <v>64</v>
      </c>
      <c r="C84" t="s">
        <v>28</v>
      </c>
      <c r="D84" t="s">
        <v>33</v>
      </c>
      <c r="E84" t="s">
        <v>20</v>
      </c>
      <c r="F84" s="1">
        <v>0</v>
      </c>
      <c r="J84" s="6"/>
      <c r="K84" s="4"/>
      <c r="L84">
        <f t="shared" si="1"/>
        <v>0</v>
      </c>
      <c r="P84" t="s">
        <v>52</v>
      </c>
    </row>
    <row r="85" spans="1:16">
      <c r="A85" t="s">
        <v>51</v>
      </c>
      <c r="B85" t="s">
        <v>64</v>
      </c>
      <c r="C85" t="s">
        <v>29</v>
      </c>
      <c r="D85" t="s">
        <v>33</v>
      </c>
      <c r="E85" t="s">
        <v>20</v>
      </c>
      <c r="F85" s="1">
        <v>0</v>
      </c>
      <c r="J85" s="6"/>
      <c r="K85" s="4"/>
      <c r="L85">
        <f t="shared" si="1"/>
        <v>0</v>
      </c>
      <c r="P85" t="s">
        <v>52</v>
      </c>
    </row>
    <row r="86" spans="1:16">
      <c r="A86" t="s">
        <v>51</v>
      </c>
      <c r="B86" t="s">
        <v>64</v>
      </c>
      <c r="C86" t="s">
        <v>30</v>
      </c>
      <c r="D86" t="s">
        <v>33</v>
      </c>
      <c r="E86" t="s">
        <v>20</v>
      </c>
      <c r="F86" s="1">
        <v>0</v>
      </c>
      <c r="J86" s="6"/>
      <c r="K86" s="4"/>
      <c r="L86">
        <f t="shared" si="1"/>
        <v>0</v>
      </c>
      <c r="P86" t="s">
        <v>52</v>
      </c>
    </row>
    <row r="87" spans="1:16">
      <c r="A87" t="s">
        <v>51</v>
      </c>
      <c r="B87" t="s">
        <v>65</v>
      </c>
      <c r="C87" t="s">
        <v>18</v>
      </c>
      <c r="D87" t="s">
        <v>58</v>
      </c>
      <c r="E87" t="s">
        <v>20</v>
      </c>
      <c r="F87" s="1">
        <v>0</v>
      </c>
      <c r="J87" s="6"/>
      <c r="K87" s="4"/>
      <c r="L87">
        <f t="shared" si="1"/>
        <v>0</v>
      </c>
      <c r="P87" t="s">
        <v>52</v>
      </c>
    </row>
    <row r="88" spans="1:16">
      <c r="A88" t="s">
        <v>51</v>
      </c>
      <c r="B88" t="s">
        <v>65</v>
      </c>
      <c r="C88" t="s">
        <v>22</v>
      </c>
      <c r="D88" t="s">
        <v>58</v>
      </c>
      <c r="E88" t="s">
        <v>20</v>
      </c>
      <c r="F88" s="1">
        <v>0</v>
      </c>
      <c r="G88" t="s">
        <v>53</v>
      </c>
      <c r="H88" t="s">
        <v>54</v>
      </c>
      <c r="I88" t="s">
        <v>55</v>
      </c>
      <c r="J88" s="6"/>
      <c r="K88" s="4"/>
      <c r="L88">
        <f t="shared" si="1"/>
        <v>0</v>
      </c>
      <c r="P88" t="s">
        <v>52</v>
      </c>
    </row>
    <row r="89" spans="1:16">
      <c r="A89" t="s">
        <v>51</v>
      </c>
      <c r="B89" t="s">
        <v>65</v>
      </c>
      <c r="C89" t="s">
        <v>28</v>
      </c>
      <c r="D89" t="s">
        <v>58</v>
      </c>
      <c r="E89" t="s">
        <v>20</v>
      </c>
      <c r="F89" s="1">
        <v>0</v>
      </c>
      <c r="J89" s="6"/>
      <c r="K89" s="4"/>
      <c r="L89">
        <f t="shared" si="1"/>
        <v>0</v>
      </c>
      <c r="P89" t="s">
        <v>52</v>
      </c>
    </row>
    <row r="90" spans="1:16">
      <c r="A90" t="s">
        <v>51</v>
      </c>
      <c r="B90" t="s">
        <v>65</v>
      </c>
      <c r="C90" t="s">
        <v>29</v>
      </c>
      <c r="D90" t="s">
        <v>58</v>
      </c>
      <c r="E90" t="s">
        <v>20</v>
      </c>
      <c r="F90" s="1">
        <v>0</v>
      </c>
      <c r="J90" s="6"/>
      <c r="K90" s="4"/>
      <c r="L90">
        <f t="shared" si="1"/>
        <v>0</v>
      </c>
      <c r="P90" t="s">
        <v>52</v>
      </c>
    </row>
    <row r="91" spans="1:16">
      <c r="A91" t="s">
        <v>51</v>
      </c>
      <c r="B91" t="s">
        <v>65</v>
      </c>
      <c r="C91" t="s">
        <v>30</v>
      </c>
      <c r="D91" t="s">
        <v>58</v>
      </c>
      <c r="E91" t="s">
        <v>20</v>
      </c>
      <c r="F91" s="1">
        <v>0</v>
      </c>
      <c r="J91" s="6"/>
      <c r="K91" s="4"/>
      <c r="L91">
        <f t="shared" si="1"/>
        <v>0</v>
      </c>
      <c r="P91" t="s">
        <v>52</v>
      </c>
    </row>
    <row r="92" spans="1:16">
      <c r="A92" t="s">
        <v>51</v>
      </c>
      <c r="B92" t="s">
        <v>66</v>
      </c>
      <c r="C92" t="s">
        <v>18</v>
      </c>
      <c r="D92" t="s">
        <v>58</v>
      </c>
      <c r="E92" t="s">
        <v>20</v>
      </c>
      <c r="F92" s="1">
        <v>0</v>
      </c>
      <c r="J92" s="6"/>
      <c r="K92" s="4"/>
      <c r="P92" t="s">
        <v>52</v>
      </c>
    </row>
    <row r="93" spans="1:16">
      <c r="A93" t="s">
        <v>51</v>
      </c>
      <c r="B93" t="s">
        <v>66</v>
      </c>
      <c r="C93" t="s">
        <v>22</v>
      </c>
      <c r="D93" t="s">
        <v>58</v>
      </c>
      <c r="E93" t="s">
        <v>20</v>
      </c>
      <c r="F93" s="1">
        <v>0</v>
      </c>
      <c r="G93" t="s">
        <v>53</v>
      </c>
      <c r="H93" t="s">
        <v>54</v>
      </c>
      <c r="I93" t="s">
        <v>55</v>
      </c>
      <c r="J93" s="6"/>
      <c r="K93" s="4"/>
      <c r="L93">
        <f t="shared" si="1"/>
        <v>0</v>
      </c>
      <c r="P93" t="s">
        <v>52</v>
      </c>
    </row>
    <row r="94" spans="1:16">
      <c r="A94" t="s">
        <v>51</v>
      </c>
      <c r="B94" t="s">
        <v>66</v>
      </c>
      <c r="C94" t="s">
        <v>28</v>
      </c>
      <c r="D94" t="s">
        <v>58</v>
      </c>
      <c r="E94" t="s">
        <v>20</v>
      </c>
      <c r="F94" s="1">
        <v>0</v>
      </c>
      <c r="J94" s="6"/>
      <c r="K94" s="4"/>
      <c r="L94">
        <f t="shared" si="1"/>
        <v>0</v>
      </c>
      <c r="P94" t="s">
        <v>52</v>
      </c>
    </row>
    <row r="95" spans="1:16">
      <c r="A95" t="s">
        <v>51</v>
      </c>
      <c r="B95" t="s">
        <v>66</v>
      </c>
      <c r="C95" t="s">
        <v>29</v>
      </c>
      <c r="D95" t="s">
        <v>58</v>
      </c>
      <c r="E95" t="s">
        <v>20</v>
      </c>
      <c r="F95" s="1">
        <v>0</v>
      </c>
      <c r="J95" s="6"/>
      <c r="K95" s="4"/>
      <c r="L95">
        <f t="shared" si="1"/>
        <v>0</v>
      </c>
      <c r="P95" t="s">
        <v>52</v>
      </c>
    </row>
    <row r="96" spans="1:16">
      <c r="A96" t="s">
        <v>51</v>
      </c>
      <c r="B96" t="s">
        <v>66</v>
      </c>
      <c r="C96" t="s">
        <v>30</v>
      </c>
      <c r="D96" t="s">
        <v>58</v>
      </c>
      <c r="E96" t="s">
        <v>20</v>
      </c>
      <c r="F96" s="1">
        <v>0</v>
      </c>
      <c r="J96" s="6"/>
      <c r="K96" s="4"/>
      <c r="L96">
        <f t="shared" si="1"/>
        <v>0</v>
      </c>
      <c r="P96" t="s">
        <v>52</v>
      </c>
    </row>
    <row r="97" spans="1:16">
      <c r="A97" t="s">
        <v>51</v>
      </c>
      <c r="B97" t="s">
        <v>67</v>
      </c>
      <c r="C97" t="s">
        <v>18</v>
      </c>
      <c r="D97" t="s">
        <v>33</v>
      </c>
      <c r="E97" t="s">
        <v>20</v>
      </c>
      <c r="F97" s="1">
        <v>0</v>
      </c>
      <c r="J97" s="2">
        <v>46034</v>
      </c>
      <c r="K97" s="3">
        <v>46195</v>
      </c>
      <c r="L97">
        <f t="shared" si="1"/>
        <v>116</v>
      </c>
      <c r="P97" t="s">
        <v>52</v>
      </c>
    </row>
    <row r="98" spans="1:16">
      <c r="A98" t="s">
        <v>51</v>
      </c>
      <c r="B98" t="s">
        <v>67</v>
      </c>
      <c r="C98" t="s">
        <v>22</v>
      </c>
      <c r="D98" t="s">
        <v>33</v>
      </c>
      <c r="E98" t="s">
        <v>20</v>
      </c>
      <c r="F98" s="1">
        <v>0</v>
      </c>
      <c r="G98" t="s">
        <v>53</v>
      </c>
      <c r="H98" t="s">
        <v>54</v>
      </c>
      <c r="I98" t="s">
        <v>55</v>
      </c>
      <c r="J98" s="2">
        <v>46034</v>
      </c>
      <c r="K98" s="3">
        <v>46112</v>
      </c>
      <c r="L98">
        <f t="shared" si="1"/>
        <v>57</v>
      </c>
      <c r="O98" t="s">
        <v>27</v>
      </c>
      <c r="P98" t="s">
        <v>52</v>
      </c>
    </row>
    <row r="99" spans="1:16">
      <c r="A99" t="s">
        <v>51</v>
      </c>
      <c r="B99" t="s">
        <v>67</v>
      </c>
      <c r="C99" t="s">
        <v>28</v>
      </c>
      <c r="D99" t="s">
        <v>33</v>
      </c>
      <c r="E99" t="s">
        <v>20</v>
      </c>
      <c r="F99" s="1">
        <v>0</v>
      </c>
      <c r="J99" s="2">
        <v>46119</v>
      </c>
      <c r="K99" s="3">
        <v>46195</v>
      </c>
      <c r="L99">
        <f t="shared" si="1"/>
        <v>55</v>
      </c>
      <c r="O99" t="s">
        <v>27</v>
      </c>
      <c r="P99" t="s">
        <v>52</v>
      </c>
    </row>
    <row r="100" spans="1:16">
      <c r="A100" t="s">
        <v>51</v>
      </c>
      <c r="B100" t="s">
        <v>67</v>
      </c>
      <c r="C100" t="s">
        <v>29</v>
      </c>
      <c r="E100" t="s">
        <v>20</v>
      </c>
      <c r="F100" s="1">
        <v>0</v>
      </c>
      <c r="J100" s="6"/>
      <c r="K100" s="4"/>
      <c r="L100">
        <f t="shared" si="1"/>
        <v>0</v>
      </c>
      <c r="P100" t="s">
        <v>52</v>
      </c>
    </row>
    <row r="101" spans="1:16">
      <c r="A101" t="s">
        <v>51</v>
      </c>
      <c r="B101" t="s">
        <v>67</v>
      </c>
      <c r="C101" t="s">
        <v>30</v>
      </c>
      <c r="D101" t="s">
        <v>33</v>
      </c>
      <c r="E101" t="s">
        <v>20</v>
      </c>
      <c r="F101" s="1">
        <v>0</v>
      </c>
      <c r="J101" s="6"/>
      <c r="K101" s="4"/>
      <c r="L101">
        <f t="shared" si="1"/>
        <v>0</v>
      </c>
      <c r="P101" t="s">
        <v>52</v>
      </c>
    </row>
    <row r="102" spans="1:16">
      <c r="A102" t="s">
        <v>51</v>
      </c>
      <c r="B102" t="s">
        <v>68</v>
      </c>
      <c r="C102" t="s">
        <v>18</v>
      </c>
      <c r="D102" t="s">
        <v>58</v>
      </c>
      <c r="E102" t="s">
        <v>20</v>
      </c>
      <c r="F102" s="1">
        <v>0</v>
      </c>
      <c r="J102" s="6"/>
      <c r="K102" s="4"/>
      <c r="L102">
        <f t="shared" si="1"/>
        <v>0</v>
      </c>
      <c r="P102" t="s">
        <v>52</v>
      </c>
    </row>
    <row r="103" spans="1:16">
      <c r="A103" t="s">
        <v>51</v>
      </c>
      <c r="B103" t="s">
        <v>68</v>
      </c>
      <c r="C103" t="s">
        <v>22</v>
      </c>
      <c r="D103" t="s">
        <v>58</v>
      </c>
      <c r="E103" t="s">
        <v>20</v>
      </c>
      <c r="F103" s="1">
        <v>0</v>
      </c>
      <c r="G103" t="s">
        <v>53</v>
      </c>
      <c r="H103" t="s">
        <v>54</v>
      </c>
      <c r="I103" t="s">
        <v>55</v>
      </c>
      <c r="J103" s="6"/>
      <c r="K103" s="4"/>
      <c r="L103">
        <f t="shared" si="1"/>
        <v>0</v>
      </c>
      <c r="P103" t="s">
        <v>52</v>
      </c>
    </row>
    <row r="104" spans="1:16">
      <c r="A104" t="s">
        <v>51</v>
      </c>
      <c r="B104" t="s">
        <v>68</v>
      </c>
      <c r="C104" t="s">
        <v>28</v>
      </c>
      <c r="D104" t="s">
        <v>58</v>
      </c>
      <c r="E104" t="s">
        <v>20</v>
      </c>
      <c r="F104" s="1">
        <v>0</v>
      </c>
      <c r="J104" s="6"/>
      <c r="K104" s="4"/>
      <c r="L104">
        <f t="shared" si="1"/>
        <v>0</v>
      </c>
      <c r="P104" t="s">
        <v>52</v>
      </c>
    </row>
    <row r="105" spans="1:16">
      <c r="A105" t="s">
        <v>51</v>
      </c>
      <c r="B105" t="s">
        <v>68</v>
      </c>
      <c r="C105" t="s">
        <v>29</v>
      </c>
      <c r="D105" t="s">
        <v>58</v>
      </c>
      <c r="E105" t="s">
        <v>20</v>
      </c>
      <c r="F105" s="1">
        <v>0</v>
      </c>
      <c r="J105" s="6"/>
      <c r="K105" s="4"/>
      <c r="L105">
        <f t="shared" si="1"/>
        <v>0</v>
      </c>
      <c r="P105" t="s">
        <v>52</v>
      </c>
    </row>
    <row r="106" spans="1:16">
      <c r="A106" t="s">
        <v>51</v>
      </c>
      <c r="B106" t="s">
        <v>68</v>
      </c>
      <c r="C106" t="s">
        <v>30</v>
      </c>
      <c r="D106" t="s">
        <v>58</v>
      </c>
      <c r="E106" t="s">
        <v>20</v>
      </c>
      <c r="F106" s="1">
        <v>0</v>
      </c>
      <c r="J106" s="6"/>
      <c r="K106" s="4"/>
      <c r="L106">
        <f t="shared" si="1"/>
        <v>0</v>
      </c>
      <c r="P106" t="s">
        <v>52</v>
      </c>
    </row>
    <row r="107" spans="1:16">
      <c r="A107" t="s">
        <v>51</v>
      </c>
      <c r="B107" t="s">
        <v>69</v>
      </c>
      <c r="C107" t="s">
        <v>18</v>
      </c>
      <c r="D107" t="s">
        <v>58</v>
      </c>
      <c r="E107" t="s">
        <v>20</v>
      </c>
      <c r="F107" s="1">
        <v>0</v>
      </c>
      <c r="J107" s="6"/>
      <c r="K107" s="4"/>
      <c r="L107">
        <f t="shared" si="1"/>
        <v>0</v>
      </c>
      <c r="P107" t="s">
        <v>52</v>
      </c>
    </row>
    <row r="108" spans="1:16">
      <c r="A108" t="s">
        <v>51</v>
      </c>
      <c r="B108" t="s">
        <v>69</v>
      </c>
      <c r="C108" t="s">
        <v>22</v>
      </c>
      <c r="D108" t="s">
        <v>58</v>
      </c>
      <c r="E108" t="s">
        <v>20</v>
      </c>
      <c r="F108" s="1">
        <v>0</v>
      </c>
      <c r="G108" t="s">
        <v>53</v>
      </c>
      <c r="H108" t="s">
        <v>54</v>
      </c>
      <c r="I108" t="s">
        <v>55</v>
      </c>
      <c r="J108" s="6"/>
      <c r="K108" s="4"/>
      <c r="L108">
        <f t="shared" si="1"/>
        <v>0</v>
      </c>
      <c r="P108" t="s">
        <v>52</v>
      </c>
    </row>
    <row r="109" spans="1:16">
      <c r="A109" t="s">
        <v>51</v>
      </c>
      <c r="B109" t="s">
        <v>69</v>
      </c>
      <c r="C109" t="s">
        <v>28</v>
      </c>
      <c r="D109" t="s">
        <v>58</v>
      </c>
      <c r="E109" t="s">
        <v>20</v>
      </c>
      <c r="F109" s="1">
        <v>0</v>
      </c>
      <c r="J109" s="6"/>
      <c r="K109" s="4"/>
      <c r="L109">
        <f t="shared" si="1"/>
        <v>0</v>
      </c>
      <c r="P109" t="s">
        <v>52</v>
      </c>
    </row>
    <row r="110" spans="1:16">
      <c r="A110" t="s">
        <v>51</v>
      </c>
      <c r="B110" t="s">
        <v>69</v>
      </c>
      <c r="C110" t="s">
        <v>29</v>
      </c>
      <c r="D110" t="s">
        <v>58</v>
      </c>
      <c r="E110" t="s">
        <v>20</v>
      </c>
      <c r="F110" s="1">
        <v>0</v>
      </c>
      <c r="J110" s="6"/>
      <c r="K110" s="4"/>
      <c r="L110">
        <f t="shared" si="1"/>
        <v>0</v>
      </c>
      <c r="P110" t="s">
        <v>52</v>
      </c>
    </row>
    <row r="111" spans="1:16">
      <c r="A111" t="s">
        <v>51</v>
      </c>
      <c r="B111" t="s">
        <v>69</v>
      </c>
      <c r="C111" t="s">
        <v>30</v>
      </c>
      <c r="D111" t="s">
        <v>58</v>
      </c>
      <c r="E111" t="s">
        <v>20</v>
      </c>
      <c r="F111" s="1">
        <v>0</v>
      </c>
      <c r="J111" s="6"/>
      <c r="K111" s="4"/>
      <c r="L111">
        <f t="shared" si="1"/>
        <v>0</v>
      </c>
      <c r="P111" t="s">
        <v>52</v>
      </c>
    </row>
    <row r="112" spans="1:16">
      <c r="A112" t="s">
        <v>51</v>
      </c>
      <c r="B112" t="s">
        <v>70</v>
      </c>
      <c r="C112" t="s">
        <v>18</v>
      </c>
      <c r="D112" t="s">
        <v>58</v>
      </c>
      <c r="E112" t="s">
        <v>20</v>
      </c>
      <c r="F112" s="1">
        <v>0</v>
      </c>
      <c r="J112" s="6"/>
      <c r="K112" s="4"/>
      <c r="L112">
        <f t="shared" si="1"/>
        <v>0</v>
      </c>
      <c r="P112" t="s">
        <v>52</v>
      </c>
    </row>
    <row r="113" spans="1:16">
      <c r="A113" t="s">
        <v>51</v>
      </c>
      <c r="B113" t="s">
        <v>70</v>
      </c>
      <c r="C113" t="s">
        <v>22</v>
      </c>
      <c r="D113" t="s">
        <v>58</v>
      </c>
      <c r="E113" t="s">
        <v>20</v>
      </c>
      <c r="F113" s="1">
        <v>0</v>
      </c>
      <c r="G113" t="s">
        <v>53</v>
      </c>
      <c r="H113" t="s">
        <v>54</v>
      </c>
      <c r="I113" t="s">
        <v>55</v>
      </c>
      <c r="J113" s="6"/>
      <c r="K113" s="4"/>
      <c r="L113">
        <f t="shared" si="1"/>
        <v>0</v>
      </c>
      <c r="P113" t="s">
        <v>52</v>
      </c>
    </row>
    <row r="114" spans="1:16">
      <c r="A114" t="s">
        <v>51</v>
      </c>
      <c r="B114" t="s">
        <v>70</v>
      </c>
      <c r="C114" t="s">
        <v>28</v>
      </c>
      <c r="D114" t="s">
        <v>58</v>
      </c>
      <c r="E114" t="s">
        <v>20</v>
      </c>
      <c r="F114" s="1">
        <v>0</v>
      </c>
      <c r="J114" s="6"/>
      <c r="K114" s="4"/>
      <c r="L114">
        <f t="shared" si="1"/>
        <v>0</v>
      </c>
      <c r="P114" t="s">
        <v>52</v>
      </c>
    </row>
    <row r="115" spans="1:16">
      <c r="A115" t="s">
        <v>51</v>
      </c>
      <c r="B115" t="s">
        <v>70</v>
      </c>
      <c r="C115" t="s">
        <v>29</v>
      </c>
      <c r="D115" t="s">
        <v>58</v>
      </c>
      <c r="E115" t="s">
        <v>20</v>
      </c>
      <c r="F115" s="1">
        <v>0</v>
      </c>
      <c r="J115" s="6"/>
      <c r="K115" s="4"/>
      <c r="L115">
        <f t="shared" si="1"/>
        <v>0</v>
      </c>
      <c r="P115" t="s">
        <v>52</v>
      </c>
    </row>
    <row r="116" spans="1:16">
      <c r="A116" t="s">
        <v>51</v>
      </c>
      <c r="B116" t="s">
        <v>70</v>
      </c>
      <c r="C116" t="s">
        <v>30</v>
      </c>
      <c r="D116" t="s">
        <v>58</v>
      </c>
      <c r="E116" t="s">
        <v>20</v>
      </c>
      <c r="F116" s="1">
        <v>0</v>
      </c>
      <c r="J116" s="6"/>
      <c r="K116" s="4"/>
      <c r="L116">
        <f t="shared" si="1"/>
        <v>0</v>
      </c>
      <c r="P116" t="s">
        <v>52</v>
      </c>
    </row>
    <row r="117" spans="1:16">
      <c r="A117" t="s">
        <v>51</v>
      </c>
      <c r="B117" t="s">
        <v>71</v>
      </c>
      <c r="C117" t="s">
        <v>18</v>
      </c>
      <c r="D117" t="s">
        <v>33</v>
      </c>
      <c r="E117" t="s">
        <v>20</v>
      </c>
      <c r="F117" s="1">
        <v>0</v>
      </c>
      <c r="J117" s="2">
        <v>46034</v>
      </c>
      <c r="K117" s="3">
        <v>46295</v>
      </c>
      <c r="L117">
        <f t="shared" si="1"/>
        <v>188</v>
      </c>
      <c r="P117" t="s">
        <v>52</v>
      </c>
    </row>
    <row r="118" spans="1:16">
      <c r="A118" t="s">
        <v>51</v>
      </c>
      <c r="B118" t="s">
        <v>71</v>
      </c>
      <c r="C118" t="s">
        <v>22</v>
      </c>
      <c r="D118" t="s">
        <v>33</v>
      </c>
      <c r="E118" t="s">
        <v>20</v>
      </c>
      <c r="F118" s="1">
        <v>0</v>
      </c>
      <c r="G118" t="s">
        <v>53</v>
      </c>
      <c r="H118" t="s">
        <v>54</v>
      </c>
      <c r="I118" t="s">
        <v>55</v>
      </c>
      <c r="J118" s="2">
        <v>46034</v>
      </c>
      <c r="K118" s="3">
        <v>46112</v>
      </c>
      <c r="L118">
        <f t="shared" si="1"/>
        <v>57</v>
      </c>
      <c r="O118" t="s">
        <v>27</v>
      </c>
      <c r="P118" t="s">
        <v>52</v>
      </c>
    </row>
    <row r="119" spans="1:16">
      <c r="A119" t="s">
        <v>51</v>
      </c>
      <c r="B119" t="s">
        <v>71</v>
      </c>
      <c r="C119" t="s">
        <v>28</v>
      </c>
      <c r="D119" t="s">
        <v>33</v>
      </c>
      <c r="E119" t="s">
        <v>20</v>
      </c>
      <c r="F119" s="1">
        <v>0</v>
      </c>
      <c r="J119" s="2">
        <v>46127</v>
      </c>
      <c r="K119" s="3">
        <v>46188</v>
      </c>
      <c r="L119">
        <f t="shared" si="1"/>
        <v>44</v>
      </c>
      <c r="O119" t="s">
        <v>27</v>
      </c>
      <c r="P119" t="s">
        <v>52</v>
      </c>
    </row>
    <row r="120" spans="1:16">
      <c r="A120" t="s">
        <v>51</v>
      </c>
      <c r="B120" t="s">
        <v>71</v>
      </c>
      <c r="C120" t="s">
        <v>29</v>
      </c>
      <c r="D120" t="s">
        <v>33</v>
      </c>
      <c r="E120" t="s">
        <v>20</v>
      </c>
      <c r="F120" s="1">
        <v>0</v>
      </c>
      <c r="J120" s="2">
        <v>46055</v>
      </c>
      <c r="K120" s="3">
        <v>46295</v>
      </c>
      <c r="L120">
        <f t="shared" si="1"/>
        <v>173</v>
      </c>
      <c r="O120" t="s">
        <v>27</v>
      </c>
      <c r="P120" t="s">
        <v>52</v>
      </c>
    </row>
    <row r="121" spans="1:16">
      <c r="A121" t="s">
        <v>51</v>
      </c>
      <c r="B121" t="s">
        <v>71</v>
      </c>
      <c r="C121" t="s">
        <v>30</v>
      </c>
      <c r="D121" t="s">
        <v>33</v>
      </c>
      <c r="E121" t="s">
        <v>20</v>
      </c>
      <c r="F121" s="1">
        <v>0</v>
      </c>
      <c r="J121" s="6"/>
      <c r="K121" s="4"/>
      <c r="L121">
        <f t="shared" si="1"/>
        <v>0</v>
      </c>
      <c r="P121" t="s">
        <v>52</v>
      </c>
    </row>
    <row r="122" spans="1:16">
      <c r="A122" t="s">
        <v>51</v>
      </c>
      <c r="B122" t="s">
        <v>72</v>
      </c>
      <c r="C122" t="s">
        <v>18</v>
      </c>
      <c r="D122" t="s">
        <v>58</v>
      </c>
      <c r="E122" t="s">
        <v>20</v>
      </c>
      <c r="F122" s="1">
        <v>0</v>
      </c>
      <c r="J122" s="6"/>
      <c r="K122" s="4"/>
      <c r="L122">
        <f t="shared" si="1"/>
        <v>0</v>
      </c>
      <c r="P122" t="s">
        <v>52</v>
      </c>
    </row>
    <row r="123" spans="1:16">
      <c r="A123" t="s">
        <v>51</v>
      </c>
      <c r="B123" t="s">
        <v>72</v>
      </c>
      <c r="C123" t="s">
        <v>22</v>
      </c>
      <c r="D123" t="s">
        <v>58</v>
      </c>
      <c r="E123" t="s">
        <v>20</v>
      </c>
      <c r="F123" s="1">
        <v>0</v>
      </c>
      <c r="G123" t="s">
        <v>53</v>
      </c>
      <c r="H123" t="s">
        <v>54</v>
      </c>
      <c r="I123" t="s">
        <v>55</v>
      </c>
      <c r="J123" s="6"/>
      <c r="K123" s="4"/>
      <c r="L123">
        <f t="shared" si="1"/>
        <v>0</v>
      </c>
      <c r="P123" t="s">
        <v>52</v>
      </c>
    </row>
    <row r="124" spans="1:16">
      <c r="A124" t="s">
        <v>51</v>
      </c>
      <c r="B124" t="s">
        <v>72</v>
      </c>
      <c r="C124" t="s">
        <v>28</v>
      </c>
      <c r="D124" t="s">
        <v>58</v>
      </c>
      <c r="E124" t="s">
        <v>20</v>
      </c>
      <c r="F124" s="1">
        <v>0</v>
      </c>
      <c r="J124" s="6"/>
      <c r="K124" s="4"/>
      <c r="L124">
        <f t="shared" si="1"/>
        <v>0</v>
      </c>
      <c r="P124" t="s">
        <v>52</v>
      </c>
    </row>
    <row r="125" spans="1:16">
      <c r="A125" t="s">
        <v>51</v>
      </c>
      <c r="B125" t="s">
        <v>72</v>
      </c>
      <c r="C125" t="s">
        <v>29</v>
      </c>
      <c r="D125" t="s">
        <v>58</v>
      </c>
      <c r="E125" t="s">
        <v>20</v>
      </c>
      <c r="F125" s="1">
        <v>0</v>
      </c>
      <c r="J125" s="6"/>
      <c r="K125" s="4"/>
      <c r="L125">
        <f t="shared" si="1"/>
        <v>0</v>
      </c>
      <c r="P125" t="s">
        <v>52</v>
      </c>
    </row>
    <row r="126" spans="1:16">
      <c r="A126" t="s">
        <v>51</v>
      </c>
      <c r="B126" t="s">
        <v>72</v>
      </c>
      <c r="C126" t="s">
        <v>30</v>
      </c>
      <c r="D126" t="s">
        <v>58</v>
      </c>
      <c r="E126" t="s">
        <v>20</v>
      </c>
      <c r="F126" s="1">
        <v>0</v>
      </c>
      <c r="J126" s="6"/>
      <c r="K126" s="4"/>
      <c r="L126">
        <f t="shared" si="1"/>
        <v>0</v>
      </c>
      <c r="P126" t="s">
        <v>52</v>
      </c>
    </row>
    <row r="127" spans="1:16">
      <c r="A127" t="s">
        <v>51</v>
      </c>
      <c r="B127" t="s">
        <v>73</v>
      </c>
      <c r="C127" t="s">
        <v>18</v>
      </c>
      <c r="D127" t="s">
        <v>58</v>
      </c>
      <c r="E127" t="s">
        <v>20</v>
      </c>
      <c r="F127" s="1">
        <v>0</v>
      </c>
      <c r="J127" s="6"/>
      <c r="K127" s="4"/>
      <c r="L127">
        <f t="shared" si="1"/>
        <v>0</v>
      </c>
      <c r="P127" t="s">
        <v>52</v>
      </c>
    </row>
    <row r="128" spans="1:16">
      <c r="A128" t="s">
        <v>51</v>
      </c>
      <c r="B128" t="s">
        <v>73</v>
      </c>
      <c r="C128" t="s">
        <v>22</v>
      </c>
      <c r="D128" t="s">
        <v>58</v>
      </c>
      <c r="E128" t="s">
        <v>20</v>
      </c>
      <c r="F128" s="1">
        <v>0</v>
      </c>
      <c r="G128" t="s">
        <v>53</v>
      </c>
      <c r="H128" t="s">
        <v>54</v>
      </c>
      <c r="I128" t="s">
        <v>55</v>
      </c>
      <c r="J128" s="6"/>
      <c r="K128" s="4"/>
      <c r="L128">
        <f t="shared" si="1"/>
        <v>0</v>
      </c>
      <c r="P128" t="s">
        <v>52</v>
      </c>
    </row>
    <row r="129" spans="1:16">
      <c r="A129" t="s">
        <v>51</v>
      </c>
      <c r="B129" t="s">
        <v>73</v>
      </c>
      <c r="C129" t="s">
        <v>28</v>
      </c>
      <c r="D129" t="s">
        <v>58</v>
      </c>
      <c r="E129" t="s">
        <v>20</v>
      </c>
      <c r="F129" s="1">
        <v>0</v>
      </c>
      <c r="J129" s="6"/>
      <c r="K129" s="4"/>
      <c r="L129">
        <f t="shared" si="1"/>
        <v>0</v>
      </c>
      <c r="P129" t="s">
        <v>52</v>
      </c>
    </row>
    <row r="130" spans="1:16">
      <c r="A130" t="s">
        <v>51</v>
      </c>
      <c r="B130" t="s">
        <v>73</v>
      </c>
      <c r="C130" t="s">
        <v>29</v>
      </c>
      <c r="D130" t="s">
        <v>58</v>
      </c>
      <c r="E130" t="s">
        <v>20</v>
      </c>
      <c r="F130" s="1">
        <v>0</v>
      </c>
      <c r="J130" s="6"/>
      <c r="K130" s="4"/>
      <c r="L130">
        <f t="shared" si="1"/>
        <v>0</v>
      </c>
      <c r="P130" t="s">
        <v>52</v>
      </c>
    </row>
    <row r="131" spans="1:16">
      <c r="A131" t="s">
        <v>51</v>
      </c>
      <c r="B131" t="s">
        <v>73</v>
      </c>
      <c r="C131" t="s">
        <v>30</v>
      </c>
      <c r="D131" t="s">
        <v>58</v>
      </c>
      <c r="E131" t="s">
        <v>20</v>
      </c>
      <c r="F131" s="1">
        <v>0</v>
      </c>
      <c r="J131" s="6"/>
      <c r="K131" s="4"/>
      <c r="L131">
        <f t="shared" ref="L131:L194" si="2">NETWORKDAYS(J131,K131)</f>
        <v>0</v>
      </c>
      <c r="P131" t="s">
        <v>52</v>
      </c>
    </row>
    <row r="132" spans="1:16">
      <c r="A132" t="s">
        <v>51</v>
      </c>
      <c r="B132" t="s">
        <v>74</v>
      </c>
      <c r="C132" t="s">
        <v>18</v>
      </c>
      <c r="D132" t="s">
        <v>58</v>
      </c>
      <c r="E132" t="s">
        <v>20</v>
      </c>
      <c r="F132" s="1">
        <v>0</v>
      </c>
      <c r="J132" s="6"/>
      <c r="K132" s="4"/>
      <c r="L132">
        <f t="shared" si="2"/>
        <v>0</v>
      </c>
      <c r="P132" t="s">
        <v>52</v>
      </c>
    </row>
    <row r="133" spans="1:16">
      <c r="A133" t="s">
        <v>51</v>
      </c>
      <c r="B133" t="s">
        <v>74</v>
      </c>
      <c r="C133" t="s">
        <v>22</v>
      </c>
      <c r="D133" t="s">
        <v>58</v>
      </c>
      <c r="E133" t="s">
        <v>20</v>
      </c>
      <c r="F133" s="1">
        <v>0</v>
      </c>
      <c r="G133" t="s">
        <v>53</v>
      </c>
      <c r="H133" t="s">
        <v>54</v>
      </c>
      <c r="I133" t="s">
        <v>55</v>
      </c>
      <c r="J133" s="6"/>
      <c r="K133" s="4"/>
      <c r="L133">
        <f t="shared" si="2"/>
        <v>0</v>
      </c>
      <c r="P133" t="s">
        <v>52</v>
      </c>
    </row>
    <row r="134" spans="1:16">
      <c r="A134" t="s">
        <v>51</v>
      </c>
      <c r="B134" t="s">
        <v>74</v>
      </c>
      <c r="C134" t="s">
        <v>28</v>
      </c>
      <c r="D134" t="s">
        <v>58</v>
      </c>
      <c r="E134" t="s">
        <v>20</v>
      </c>
      <c r="F134" s="1">
        <v>0</v>
      </c>
      <c r="J134" s="6"/>
      <c r="K134" s="4"/>
      <c r="L134">
        <f t="shared" si="2"/>
        <v>0</v>
      </c>
      <c r="P134" t="s">
        <v>52</v>
      </c>
    </row>
    <row r="135" spans="1:16">
      <c r="A135" t="s">
        <v>51</v>
      </c>
      <c r="B135" t="s">
        <v>74</v>
      </c>
      <c r="C135" t="s">
        <v>29</v>
      </c>
      <c r="D135" t="s">
        <v>58</v>
      </c>
      <c r="E135" t="s">
        <v>20</v>
      </c>
      <c r="F135" s="1">
        <v>0</v>
      </c>
      <c r="J135" s="6"/>
      <c r="K135" s="4"/>
      <c r="L135">
        <f t="shared" si="2"/>
        <v>0</v>
      </c>
      <c r="P135" t="s">
        <v>52</v>
      </c>
    </row>
    <row r="136" spans="1:16">
      <c r="A136" t="s">
        <v>51</v>
      </c>
      <c r="B136" t="s">
        <v>74</v>
      </c>
      <c r="C136" t="s">
        <v>30</v>
      </c>
      <c r="D136" t="s">
        <v>58</v>
      </c>
      <c r="E136" t="s">
        <v>20</v>
      </c>
      <c r="F136" s="1">
        <v>0</v>
      </c>
      <c r="J136" s="6"/>
      <c r="K136" s="4"/>
      <c r="L136">
        <f t="shared" si="2"/>
        <v>0</v>
      </c>
      <c r="P136" t="s">
        <v>52</v>
      </c>
    </row>
    <row r="137" spans="1:16">
      <c r="A137" t="s">
        <v>51</v>
      </c>
      <c r="B137" t="s">
        <v>75</v>
      </c>
      <c r="C137" t="s">
        <v>18</v>
      </c>
      <c r="D137" t="s">
        <v>58</v>
      </c>
      <c r="E137" t="s">
        <v>20</v>
      </c>
      <c r="F137" s="1">
        <v>0</v>
      </c>
      <c r="J137" s="6"/>
      <c r="K137" s="4"/>
      <c r="L137">
        <f t="shared" si="2"/>
        <v>0</v>
      </c>
      <c r="P137" t="s">
        <v>52</v>
      </c>
    </row>
    <row r="138" spans="1:16">
      <c r="A138" t="s">
        <v>51</v>
      </c>
      <c r="B138" t="s">
        <v>75</v>
      </c>
      <c r="C138" t="s">
        <v>22</v>
      </c>
      <c r="D138" t="s">
        <v>58</v>
      </c>
      <c r="E138" t="s">
        <v>20</v>
      </c>
      <c r="F138" s="1">
        <v>0</v>
      </c>
      <c r="G138" t="s">
        <v>53</v>
      </c>
      <c r="H138" t="s">
        <v>54</v>
      </c>
      <c r="I138" t="s">
        <v>55</v>
      </c>
      <c r="J138" s="6"/>
      <c r="K138" s="4"/>
      <c r="L138">
        <f t="shared" si="2"/>
        <v>0</v>
      </c>
      <c r="P138" t="s">
        <v>52</v>
      </c>
    </row>
    <row r="139" spans="1:16">
      <c r="A139" t="s">
        <v>51</v>
      </c>
      <c r="B139" t="s">
        <v>75</v>
      </c>
      <c r="C139" t="s">
        <v>28</v>
      </c>
      <c r="D139" t="s">
        <v>58</v>
      </c>
      <c r="E139" t="s">
        <v>20</v>
      </c>
      <c r="F139" s="1">
        <v>0</v>
      </c>
      <c r="J139" s="6"/>
      <c r="K139" s="4"/>
      <c r="L139">
        <f t="shared" si="2"/>
        <v>0</v>
      </c>
      <c r="P139" t="s">
        <v>52</v>
      </c>
    </row>
    <row r="140" spans="1:16">
      <c r="A140" t="s">
        <v>51</v>
      </c>
      <c r="B140" t="s">
        <v>75</v>
      </c>
      <c r="C140" t="s">
        <v>29</v>
      </c>
      <c r="D140" t="s">
        <v>58</v>
      </c>
      <c r="E140" t="s">
        <v>20</v>
      </c>
      <c r="F140" s="1">
        <v>0</v>
      </c>
      <c r="J140" s="6"/>
      <c r="K140" s="4"/>
      <c r="L140">
        <f t="shared" si="2"/>
        <v>0</v>
      </c>
      <c r="P140" t="s">
        <v>52</v>
      </c>
    </row>
    <row r="141" spans="1:16">
      <c r="A141" t="s">
        <v>51</v>
      </c>
      <c r="B141" t="s">
        <v>75</v>
      </c>
      <c r="C141" t="s">
        <v>30</v>
      </c>
      <c r="D141" t="s">
        <v>58</v>
      </c>
      <c r="E141" t="s">
        <v>20</v>
      </c>
      <c r="F141" s="1">
        <v>0</v>
      </c>
      <c r="J141" s="6"/>
      <c r="K141" s="4"/>
      <c r="L141">
        <f t="shared" si="2"/>
        <v>0</v>
      </c>
      <c r="P141" t="s">
        <v>52</v>
      </c>
    </row>
    <row r="142" spans="1:16">
      <c r="A142" t="s">
        <v>51</v>
      </c>
      <c r="B142" t="s">
        <v>76</v>
      </c>
      <c r="C142" t="s">
        <v>18</v>
      </c>
      <c r="D142" t="s">
        <v>58</v>
      </c>
      <c r="E142" t="s">
        <v>20</v>
      </c>
      <c r="F142" s="1">
        <v>0</v>
      </c>
      <c r="J142" s="6"/>
      <c r="K142" s="4"/>
      <c r="L142">
        <f t="shared" si="2"/>
        <v>0</v>
      </c>
      <c r="P142" t="s">
        <v>52</v>
      </c>
    </row>
    <row r="143" spans="1:16">
      <c r="A143" t="s">
        <v>51</v>
      </c>
      <c r="B143" t="s">
        <v>76</v>
      </c>
      <c r="C143" t="s">
        <v>22</v>
      </c>
      <c r="D143" t="s">
        <v>58</v>
      </c>
      <c r="E143" t="s">
        <v>20</v>
      </c>
      <c r="F143" s="1">
        <v>0</v>
      </c>
      <c r="G143" t="s">
        <v>53</v>
      </c>
      <c r="H143" t="s">
        <v>54</v>
      </c>
      <c r="I143" t="s">
        <v>55</v>
      </c>
      <c r="J143" s="6"/>
      <c r="K143" s="4"/>
      <c r="L143">
        <f t="shared" si="2"/>
        <v>0</v>
      </c>
      <c r="P143" t="s">
        <v>52</v>
      </c>
    </row>
    <row r="144" spans="1:16">
      <c r="A144" t="s">
        <v>51</v>
      </c>
      <c r="B144" t="s">
        <v>76</v>
      </c>
      <c r="C144" t="s">
        <v>28</v>
      </c>
      <c r="D144" t="s">
        <v>58</v>
      </c>
      <c r="E144" t="s">
        <v>20</v>
      </c>
      <c r="F144" s="1">
        <v>0</v>
      </c>
      <c r="J144" s="6"/>
      <c r="K144" s="4"/>
      <c r="L144">
        <f t="shared" si="2"/>
        <v>0</v>
      </c>
      <c r="P144" t="s">
        <v>52</v>
      </c>
    </row>
    <row r="145" spans="1:16">
      <c r="A145" t="s">
        <v>51</v>
      </c>
      <c r="B145" t="s">
        <v>76</v>
      </c>
      <c r="C145" t="s">
        <v>29</v>
      </c>
      <c r="D145" t="s">
        <v>58</v>
      </c>
      <c r="E145" t="s">
        <v>20</v>
      </c>
      <c r="F145" s="1">
        <v>0</v>
      </c>
      <c r="J145" s="6"/>
      <c r="K145" s="4"/>
      <c r="L145">
        <f t="shared" si="2"/>
        <v>0</v>
      </c>
      <c r="P145" t="s">
        <v>52</v>
      </c>
    </row>
    <row r="146" spans="1:16">
      <c r="A146" t="s">
        <v>51</v>
      </c>
      <c r="B146" t="s">
        <v>76</v>
      </c>
      <c r="C146" t="s">
        <v>30</v>
      </c>
      <c r="D146" t="s">
        <v>58</v>
      </c>
      <c r="E146" t="s">
        <v>20</v>
      </c>
      <c r="F146" s="1">
        <v>0</v>
      </c>
      <c r="J146" s="6"/>
      <c r="K146" s="4"/>
      <c r="L146">
        <f t="shared" si="2"/>
        <v>0</v>
      </c>
      <c r="P146" t="s">
        <v>52</v>
      </c>
    </row>
    <row r="147" spans="1:16">
      <c r="A147" t="s">
        <v>16</v>
      </c>
      <c r="B147" t="s">
        <v>77</v>
      </c>
      <c r="C147" t="s">
        <v>18</v>
      </c>
      <c r="D147" t="s">
        <v>19</v>
      </c>
      <c r="E147" t="s">
        <v>20</v>
      </c>
      <c r="F147" s="1">
        <v>0</v>
      </c>
      <c r="J147" s="2">
        <v>46113</v>
      </c>
      <c r="K147" s="3">
        <v>46379</v>
      </c>
      <c r="L147">
        <f t="shared" si="2"/>
        <v>191</v>
      </c>
      <c r="P147" t="s">
        <v>77</v>
      </c>
    </row>
    <row r="148" spans="1:16">
      <c r="A148" t="s">
        <v>16</v>
      </c>
      <c r="B148" t="s">
        <v>77</v>
      </c>
      <c r="C148" t="s">
        <v>22</v>
      </c>
      <c r="D148" t="s">
        <v>19</v>
      </c>
      <c r="E148" t="s">
        <v>20</v>
      </c>
      <c r="F148" s="1">
        <v>0</v>
      </c>
      <c r="G148" t="s">
        <v>23</v>
      </c>
      <c r="H148" t="s">
        <v>24</v>
      </c>
      <c r="I148" t="s">
        <v>25</v>
      </c>
      <c r="J148" s="2">
        <v>46113</v>
      </c>
      <c r="K148" s="3">
        <v>46188</v>
      </c>
      <c r="L148">
        <f t="shared" si="2"/>
        <v>54</v>
      </c>
      <c r="O148" t="s">
        <v>27</v>
      </c>
      <c r="P148" t="s">
        <v>77</v>
      </c>
    </row>
    <row r="149" spans="1:16">
      <c r="A149" t="s">
        <v>16</v>
      </c>
      <c r="B149" t="s">
        <v>77</v>
      </c>
      <c r="C149" t="s">
        <v>28</v>
      </c>
      <c r="D149" t="s">
        <v>19</v>
      </c>
      <c r="E149" t="s">
        <v>20</v>
      </c>
      <c r="F149" s="1">
        <v>0</v>
      </c>
      <c r="J149" s="2">
        <v>46310</v>
      </c>
      <c r="K149" s="3">
        <v>46379</v>
      </c>
      <c r="L149">
        <f t="shared" si="2"/>
        <v>50</v>
      </c>
      <c r="O149" t="s">
        <v>27</v>
      </c>
      <c r="P149" t="s">
        <v>77</v>
      </c>
    </row>
    <row r="150" spans="1:16">
      <c r="A150" t="s">
        <v>16</v>
      </c>
      <c r="B150" t="s">
        <v>77</v>
      </c>
      <c r="C150" t="s">
        <v>29</v>
      </c>
      <c r="D150" t="s">
        <v>19</v>
      </c>
      <c r="E150" t="s">
        <v>20</v>
      </c>
      <c r="F150" s="1">
        <v>0</v>
      </c>
      <c r="J150" s="6"/>
      <c r="K150" s="4"/>
      <c r="L150">
        <f t="shared" si="2"/>
        <v>0</v>
      </c>
      <c r="P150" t="s">
        <v>77</v>
      </c>
    </row>
    <row r="151" spans="1:16">
      <c r="A151" t="s">
        <v>16</v>
      </c>
      <c r="B151" t="s">
        <v>77</v>
      </c>
      <c r="C151" t="s">
        <v>30</v>
      </c>
      <c r="D151" t="s">
        <v>19</v>
      </c>
      <c r="E151" t="s">
        <v>20</v>
      </c>
      <c r="F151" s="1">
        <v>0</v>
      </c>
      <c r="J151" s="6"/>
      <c r="K151" s="4"/>
      <c r="L151">
        <f t="shared" si="2"/>
        <v>0</v>
      </c>
      <c r="P151" t="s">
        <v>77</v>
      </c>
    </row>
    <row r="152" spans="1:16">
      <c r="A152" t="s">
        <v>39</v>
      </c>
      <c r="B152" t="s">
        <v>78</v>
      </c>
      <c r="C152" t="s">
        <v>18</v>
      </c>
      <c r="D152" t="s">
        <v>19</v>
      </c>
      <c r="E152" t="s">
        <v>20</v>
      </c>
      <c r="F152" s="1">
        <v>0</v>
      </c>
      <c r="J152" s="2">
        <v>45931</v>
      </c>
      <c r="K152" s="3">
        <v>46203</v>
      </c>
      <c r="L152">
        <f t="shared" si="2"/>
        <v>195</v>
      </c>
      <c r="P152" t="s">
        <v>78</v>
      </c>
    </row>
    <row r="153" spans="1:16">
      <c r="A153" t="s">
        <v>39</v>
      </c>
      <c r="B153" t="s">
        <v>78</v>
      </c>
      <c r="C153" t="s">
        <v>22</v>
      </c>
      <c r="D153" t="s">
        <v>19</v>
      </c>
      <c r="E153" t="s">
        <v>20</v>
      </c>
      <c r="F153" s="1">
        <v>0</v>
      </c>
      <c r="G153" t="s">
        <v>35</v>
      </c>
      <c r="H153" t="s">
        <v>79</v>
      </c>
      <c r="I153" t="s">
        <v>48</v>
      </c>
      <c r="J153" s="2">
        <v>46034</v>
      </c>
      <c r="K153" s="3">
        <v>46111</v>
      </c>
      <c r="L153">
        <f t="shared" si="2"/>
        <v>56</v>
      </c>
      <c r="O153" t="s">
        <v>27</v>
      </c>
      <c r="P153" t="s">
        <v>78</v>
      </c>
    </row>
    <row r="154" spans="1:16">
      <c r="A154" t="s">
        <v>39</v>
      </c>
      <c r="B154" t="s">
        <v>78</v>
      </c>
      <c r="C154" t="s">
        <v>28</v>
      </c>
      <c r="D154" t="s">
        <v>19</v>
      </c>
      <c r="E154" t="s">
        <v>20</v>
      </c>
      <c r="F154" s="1">
        <v>0</v>
      </c>
      <c r="J154" s="2">
        <v>46127</v>
      </c>
      <c r="K154" s="3">
        <v>46203</v>
      </c>
      <c r="L154">
        <f t="shared" si="2"/>
        <v>55</v>
      </c>
      <c r="O154" t="s">
        <v>27</v>
      </c>
      <c r="P154" t="s">
        <v>78</v>
      </c>
    </row>
    <row r="155" spans="1:16">
      <c r="A155" t="s">
        <v>39</v>
      </c>
      <c r="B155" t="s">
        <v>78</v>
      </c>
      <c r="C155" t="s">
        <v>29</v>
      </c>
      <c r="D155" t="s">
        <v>19</v>
      </c>
      <c r="E155" t="s">
        <v>20</v>
      </c>
      <c r="F155" s="1">
        <v>0</v>
      </c>
      <c r="J155" s="6"/>
      <c r="K155" s="4"/>
      <c r="L155">
        <f t="shared" si="2"/>
        <v>0</v>
      </c>
      <c r="P155" t="s">
        <v>78</v>
      </c>
    </row>
    <row r="156" spans="1:16">
      <c r="A156" t="s">
        <v>39</v>
      </c>
      <c r="B156" t="s">
        <v>78</v>
      </c>
      <c r="C156" t="s">
        <v>30</v>
      </c>
      <c r="D156" t="s">
        <v>19</v>
      </c>
      <c r="E156" t="s">
        <v>20</v>
      </c>
      <c r="F156" s="1">
        <v>0</v>
      </c>
      <c r="J156" s="6"/>
      <c r="K156" s="4"/>
      <c r="L156">
        <f t="shared" si="2"/>
        <v>0</v>
      </c>
      <c r="P156" t="s">
        <v>78</v>
      </c>
    </row>
    <row r="157" spans="1:16">
      <c r="A157" t="s">
        <v>39</v>
      </c>
      <c r="B157" t="s">
        <v>80</v>
      </c>
      <c r="C157" t="s">
        <v>18</v>
      </c>
      <c r="D157" t="s">
        <v>33</v>
      </c>
      <c r="E157" t="s">
        <v>20</v>
      </c>
      <c r="F157" s="1">
        <v>0</v>
      </c>
      <c r="J157" s="6"/>
      <c r="K157" s="3">
        <v>45946</v>
      </c>
      <c r="L157">
        <f t="shared" si="2"/>
        <v>32819</v>
      </c>
      <c r="M157" t="s">
        <v>81</v>
      </c>
      <c r="P157" t="s">
        <v>78</v>
      </c>
    </row>
    <row r="158" spans="1:16">
      <c r="A158" t="s">
        <v>39</v>
      </c>
      <c r="B158" t="s">
        <v>80</v>
      </c>
      <c r="C158" t="s">
        <v>22</v>
      </c>
      <c r="D158" t="s">
        <v>33</v>
      </c>
      <c r="E158" t="s">
        <v>20</v>
      </c>
      <c r="F158" s="1">
        <v>0</v>
      </c>
      <c r="G158" t="s">
        <v>48</v>
      </c>
      <c r="H158" t="s">
        <v>48</v>
      </c>
      <c r="I158" t="s">
        <v>48</v>
      </c>
      <c r="J158" s="6"/>
      <c r="K158" s="4"/>
      <c r="L158">
        <f t="shared" si="2"/>
        <v>0</v>
      </c>
      <c r="P158" t="s">
        <v>78</v>
      </c>
    </row>
    <row r="159" spans="1:16">
      <c r="A159" t="s">
        <v>39</v>
      </c>
      <c r="B159" t="s">
        <v>80</v>
      </c>
      <c r="C159" t="s">
        <v>28</v>
      </c>
      <c r="D159" t="s">
        <v>33</v>
      </c>
      <c r="E159" t="s">
        <v>20</v>
      </c>
      <c r="F159" s="1">
        <v>0</v>
      </c>
      <c r="J159" s="6"/>
      <c r="K159" s="4"/>
      <c r="L159">
        <f t="shared" si="2"/>
        <v>0</v>
      </c>
      <c r="P159" t="s">
        <v>78</v>
      </c>
    </row>
    <row r="160" spans="1:16">
      <c r="A160" t="s">
        <v>39</v>
      </c>
      <c r="B160" t="s">
        <v>80</v>
      </c>
      <c r="C160" t="s">
        <v>29</v>
      </c>
      <c r="D160" t="s">
        <v>33</v>
      </c>
      <c r="E160" t="s">
        <v>20</v>
      </c>
      <c r="F160" s="1">
        <v>0</v>
      </c>
      <c r="J160" s="6"/>
      <c r="K160" s="4"/>
      <c r="L160">
        <f t="shared" si="2"/>
        <v>0</v>
      </c>
      <c r="P160" t="s">
        <v>78</v>
      </c>
    </row>
    <row r="161" spans="1:16">
      <c r="A161" t="s">
        <v>39</v>
      </c>
      <c r="B161" t="s">
        <v>80</v>
      </c>
      <c r="C161" t="s">
        <v>30</v>
      </c>
      <c r="D161" t="s">
        <v>33</v>
      </c>
      <c r="E161" t="s">
        <v>20</v>
      </c>
      <c r="F161" s="1">
        <v>0</v>
      </c>
      <c r="J161" s="6"/>
      <c r="K161" s="4"/>
      <c r="L161">
        <f t="shared" si="2"/>
        <v>0</v>
      </c>
      <c r="P161" t="s">
        <v>78</v>
      </c>
    </row>
    <row r="162" spans="1:16">
      <c r="A162" t="s">
        <v>39</v>
      </c>
      <c r="B162" t="s">
        <v>82</v>
      </c>
      <c r="C162" t="s">
        <v>18</v>
      </c>
      <c r="D162" t="s">
        <v>33</v>
      </c>
      <c r="E162" t="s">
        <v>20</v>
      </c>
      <c r="F162" s="1">
        <v>0</v>
      </c>
      <c r="J162" s="2">
        <v>45931</v>
      </c>
      <c r="K162" s="3">
        <v>46052</v>
      </c>
      <c r="L162">
        <f t="shared" si="2"/>
        <v>88</v>
      </c>
      <c r="P162" t="s">
        <v>78</v>
      </c>
    </row>
    <row r="163" spans="1:16">
      <c r="A163" t="s">
        <v>39</v>
      </c>
      <c r="B163" t="s">
        <v>82</v>
      </c>
      <c r="C163" t="s">
        <v>22</v>
      </c>
      <c r="D163" t="s">
        <v>33</v>
      </c>
      <c r="E163" t="s">
        <v>20</v>
      </c>
      <c r="F163" s="1">
        <v>0</v>
      </c>
      <c r="G163" t="s">
        <v>35</v>
      </c>
      <c r="H163" t="s">
        <v>83</v>
      </c>
      <c r="I163" t="s">
        <v>50</v>
      </c>
      <c r="J163" s="2">
        <v>45931</v>
      </c>
      <c r="K163" s="3">
        <v>46052</v>
      </c>
      <c r="L163">
        <f t="shared" si="2"/>
        <v>88</v>
      </c>
      <c r="N163" t="s">
        <v>43</v>
      </c>
      <c r="O163" t="s">
        <v>26</v>
      </c>
      <c r="P163" t="s">
        <v>78</v>
      </c>
    </row>
    <row r="164" spans="1:16">
      <c r="A164" t="s">
        <v>39</v>
      </c>
      <c r="B164" t="s">
        <v>82</v>
      </c>
      <c r="C164" t="s">
        <v>28</v>
      </c>
      <c r="D164" t="s">
        <v>33</v>
      </c>
      <c r="E164" t="s">
        <v>20</v>
      </c>
      <c r="F164" s="1">
        <v>0</v>
      </c>
      <c r="J164" s="6"/>
      <c r="K164" s="4"/>
      <c r="L164">
        <f t="shared" si="2"/>
        <v>0</v>
      </c>
      <c r="P164" t="s">
        <v>78</v>
      </c>
    </row>
    <row r="165" spans="1:16">
      <c r="A165" t="s">
        <v>39</v>
      </c>
      <c r="B165" t="s">
        <v>82</v>
      </c>
      <c r="C165" t="s">
        <v>29</v>
      </c>
      <c r="D165" t="s">
        <v>33</v>
      </c>
      <c r="E165" t="s">
        <v>20</v>
      </c>
      <c r="F165" s="1">
        <v>0</v>
      </c>
      <c r="J165" s="6"/>
      <c r="K165" s="4"/>
      <c r="L165">
        <f t="shared" si="2"/>
        <v>0</v>
      </c>
      <c r="P165" t="s">
        <v>78</v>
      </c>
    </row>
    <row r="166" spans="1:16">
      <c r="A166" t="s">
        <v>39</v>
      </c>
      <c r="B166" t="s">
        <v>82</v>
      </c>
      <c r="C166" t="s">
        <v>30</v>
      </c>
      <c r="D166" t="s">
        <v>33</v>
      </c>
      <c r="E166" t="s">
        <v>20</v>
      </c>
      <c r="F166" s="1">
        <v>0</v>
      </c>
      <c r="J166" s="6"/>
      <c r="K166" s="4"/>
      <c r="L166">
        <f t="shared" si="2"/>
        <v>0</v>
      </c>
      <c r="P166" t="s">
        <v>78</v>
      </c>
    </row>
    <row r="167" spans="1:16">
      <c r="A167" t="s">
        <v>39</v>
      </c>
      <c r="B167" t="s">
        <v>84</v>
      </c>
      <c r="C167" t="s">
        <v>18</v>
      </c>
      <c r="D167" t="s">
        <v>58</v>
      </c>
      <c r="E167" t="s">
        <v>20</v>
      </c>
      <c r="F167" s="1">
        <v>0</v>
      </c>
      <c r="J167" s="6"/>
      <c r="K167" s="3">
        <v>45946</v>
      </c>
      <c r="L167">
        <f t="shared" si="2"/>
        <v>32819</v>
      </c>
      <c r="P167" t="s">
        <v>78</v>
      </c>
    </row>
    <row r="168" spans="1:16">
      <c r="A168" t="s">
        <v>39</v>
      </c>
      <c r="B168" t="s">
        <v>84</v>
      </c>
      <c r="C168" t="s">
        <v>22</v>
      </c>
      <c r="D168" t="s">
        <v>58</v>
      </c>
      <c r="E168" t="s">
        <v>20</v>
      </c>
      <c r="F168" s="1">
        <v>0</v>
      </c>
      <c r="G168" t="s">
        <v>35</v>
      </c>
      <c r="H168" t="s">
        <v>83</v>
      </c>
      <c r="I168" t="s">
        <v>50</v>
      </c>
      <c r="J168" s="6"/>
      <c r="K168" s="4"/>
      <c r="L168">
        <f t="shared" si="2"/>
        <v>0</v>
      </c>
      <c r="P168" t="s">
        <v>78</v>
      </c>
    </row>
    <row r="169" spans="1:16">
      <c r="A169" t="s">
        <v>39</v>
      </c>
      <c r="B169" t="s">
        <v>84</v>
      </c>
      <c r="C169" t="s">
        <v>28</v>
      </c>
      <c r="D169" t="s">
        <v>58</v>
      </c>
      <c r="E169" t="s">
        <v>20</v>
      </c>
      <c r="F169" s="1">
        <v>0</v>
      </c>
      <c r="J169" s="6"/>
      <c r="K169" s="4"/>
      <c r="L169">
        <f t="shared" si="2"/>
        <v>0</v>
      </c>
      <c r="P169" t="s">
        <v>78</v>
      </c>
    </row>
    <row r="170" spans="1:16">
      <c r="A170" t="s">
        <v>39</v>
      </c>
      <c r="B170" t="s">
        <v>84</v>
      </c>
      <c r="C170" t="s">
        <v>29</v>
      </c>
      <c r="D170" t="s">
        <v>58</v>
      </c>
      <c r="E170" t="s">
        <v>20</v>
      </c>
      <c r="F170" s="1">
        <v>0</v>
      </c>
      <c r="J170" s="6"/>
      <c r="K170" s="4"/>
      <c r="L170">
        <f t="shared" si="2"/>
        <v>0</v>
      </c>
      <c r="P170" t="s">
        <v>78</v>
      </c>
    </row>
    <row r="171" spans="1:16">
      <c r="A171" t="s">
        <v>39</v>
      </c>
      <c r="B171" t="s">
        <v>84</v>
      </c>
      <c r="C171" t="s">
        <v>30</v>
      </c>
      <c r="D171" t="s">
        <v>58</v>
      </c>
      <c r="E171" t="s">
        <v>20</v>
      </c>
      <c r="F171" s="1">
        <v>0</v>
      </c>
      <c r="J171" s="6"/>
      <c r="K171" s="4"/>
      <c r="L171">
        <f t="shared" si="2"/>
        <v>0</v>
      </c>
      <c r="P171" t="s">
        <v>78</v>
      </c>
    </row>
    <row r="172" spans="1:16">
      <c r="A172" t="s">
        <v>39</v>
      </c>
      <c r="B172" t="s">
        <v>85</v>
      </c>
      <c r="C172" t="s">
        <v>18</v>
      </c>
      <c r="D172" t="s">
        <v>58</v>
      </c>
      <c r="E172" t="s">
        <v>20</v>
      </c>
      <c r="F172" s="1">
        <v>0</v>
      </c>
      <c r="J172" s="6"/>
      <c r="K172" s="3">
        <v>45946</v>
      </c>
      <c r="L172">
        <f t="shared" si="2"/>
        <v>32819</v>
      </c>
      <c r="P172" t="s">
        <v>78</v>
      </c>
    </row>
    <row r="173" spans="1:16">
      <c r="A173" t="s">
        <v>39</v>
      </c>
      <c r="B173" t="s">
        <v>85</v>
      </c>
      <c r="C173" t="s">
        <v>22</v>
      </c>
      <c r="D173" t="s">
        <v>58</v>
      </c>
      <c r="E173" t="s">
        <v>20</v>
      </c>
      <c r="F173" s="1">
        <v>0</v>
      </c>
      <c r="G173" t="s">
        <v>35</v>
      </c>
      <c r="H173" t="s">
        <v>83</v>
      </c>
      <c r="I173" t="s">
        <v>50</v>
      </c>
      <c r="J173" s="6"/>
      <c r="K173" s="4"/>
      <c r="L173">
        <f t="shared" si="2"/>
        <v>0</v>
      </c>
      <c r="P173" t="s">
        <v>78</v>
      </c>
    </row>
    <row r="174" spans="1:16">
      <c r="A174" t="s">
        <v>39</v>
      </c>
      <c r="B174" t="s">
        <v>85</v>
      </c>
      <c r="C174" t="s">
        <v>28</v>
      </c>
      <c r="D174" t="s">
        <v>58</v>
      </c>
      <c r="E174" t="s">
        <v>20</v>
      </c>
      <c r="F174" s="1">
        <v>0</v>
      </c>
      <c r="J174" s="6"/>
      <c r="K174" s="4"/>
      <c r="L174">
        <f t="shared" si="2"/>
        <v>0</v>
      </c>
      <c r="P174" t="s">
        <v>78</v>
      </c>
    </row>
    <row r="175" spans="1:16">
      <c r="A175" t="s">
        <v>39</v>
      </c>
      <c r="B175" t="s">
        <v>85</v>
      </c>
      <c r="C175" t="s">
        <v>29</v>
      </c>
      <c r="D175" t="s">
        <v>58</v>
      </c>
      <c r="E175" t="s">
        <v>20</v>
      </c>
      <c r="F175" s="1">
        <v>0</v>
      </c>
      <c r="J175" s="6"/>
      <c r="K175" s="4"/>
      <c r="L175">
        <f t="shared" si="2"/>
        <v>0</v>
      </c>
      <c r="P175" t="s">
        <v>78</v>
      </c>
    </row>
    <row r="176" spans="1:16">
      <c r="A176" t="s">
        <v>39</v>
      </c>
      <c r="B176" t="s">
        <v>85</v>
      </c>
      <c r="C176" t="s">
        <v>30</v>
      </c>
      <c r="D176" t="s">
        <v>58</v>
      </c>
      <c r="E176" t="s">
        <v>20</v>
      </c>
      <c r="F176" s="1">
        <v>0</v>
      </c>
      <c r="J176" s="6"/>
      <c r="K176" s="4"/>
      <c r="L176">
        <f t="shared" si="2"/>
        <v>0</v>
      </c>
      <c r="P176" t="s">
        <v>78</v>
      </c>
    </row>
    <row r="177" spans="1:16">
      <c r="A177" t="s">
        <v>39</v>
      </c>
      <c r="B177" t="s">
        <v>86</v>
      </c>
      <c r="C177" t="s">
        <v>18</v>
      </c>
      <c r="D177" t="s">
        <v>33</v>
      </c>
      <c r="E177" t="s">
        <v>20</v>
      </c>
      <c r="F177" s="1">
        <v>0</v>
      </c>
      <c r="J177" s="6"/>
      <c r="K177" s="4"/>
      <c r="L177">
        <f t="shared" si="2"/>
        <v>0</v>
      </c>
      <c r="M177" t="s">
        <v>81</v>
      </c>
      <c r="P177" t="s">
        <v>78</v>
      </c>
    </row>
    <row r="178" spans="1:16">
      <c r="A178" t="s">
        <v>39</v>
      </c>
      <c r="B178" t="s">
        <v>86</v>
      </c>
      <c r="C178" t="s">
        <v>22</v>
      </c>
      <c r="D178" t="s">
        <v>33</v>
      </c>
      <c r="E178" t="s">
        <v>20</v>
      </c>
      <c r="F178" s="1">
        <v>0</v>
      </c>
      <c r="G178" t="s">
        <v>35</v>
      </c>
      <c r="H178" t="s">
        <v>48</v>
      </c>
      <c r="I178" t="s">
        <v>50</v>
      </c>
      <c r="J178" s="6"/>
      <c r="K178" s="4"/>
      <c r="L178">
        <f t="shared" si="2"/>
        <v>0</v>
      </c>
      <c r="P178" t="s">
        <v>78</v>
      </c>
    </row>
    <row r="179" spans="1:16">
      <c r="A179" t="s">
        <v>39</v>
      </c>
      <c r="B179" t="s">
        <v>86</v>
      </c>
      <c r="C179" t="s">
        <v>28</v>
      </c>
      <c r="D179" t="s">
        <v>33</v>
      </c>
      <c r="E179" t="s">
        <v>20</v>
      </c>
      <c r="F179" s="1">
        <v>0</v>
      </c>
      <c r="J179" s="6"/>
      <c r="K179" s="4"/>
      <c r="L179">
        <f t="shared" si="2"/>
        <v>0</v>
      </c>
      <c r="P179" t="s">
        <v>78</v>
      </c>
    </row>
    <row r="180" spans="1:16">
      <c r="A180" t="s">
        <v>39</v>
      </c>
      <c r="B180" t="s">
        <v>86</v>
      </c>
      <c r="C180" t="s">
        <v>29</v>
      </c>
      <c r="D180" t="s">
        <v>33</v>
      </c>
      <c r="E180" t="s">
        <v>20</v>
      </c>
      <c r="F180" s="1">
        <v>0</v>
      </c>
      <c r="J180" s="6"/>
      <c r="K180" s="4"/>
      <c r="L180">
        <f t="shared" si="2"/>
        <v>0</v>
      </c>
      <c r="P180" t="s">
        <v>78</v>
      </c>
    </row>
    <row r="181" spans="1:16">
      <c r="A181" t="s">
        <v>39</v>
      </c>
      <c r="B181" t="s">
        <v>86</v>
      </c>
      <c r="C181" t="s">
        <v>30</v>
      </c>
      <c r="D181" t="s">
        <v>33</v>
      </c>
      <c r="E181" t="s">
        <v>20</v>
      </c>
      <c r="F181" s="1">
        <v>0</v>
      </c>
      <c r="J181" s="6"/>
      <c r="K181" s="4"/>
      <c r="L181">
        <f t="shared" si="2"/>
        <v>0</v>
      </c>
      <c r="P181" t="s">
        <v>78</v>
      </c>
    </row>
    <row r="182" spans="1:16">
      <c r="A182" t="s">
        <v>39</v>
      </c>
      <c r="B182" t="s">
        <v>87</v>
      </c>
      <c r="C182" t="s">
        <v>18</v>
      </c>
      <c r="D182" t="s">
        <v>58</v>
      </c>
      <c r="E182" t="s">
        <v>20</v>
      </c>
      <c r="F182" s="1">
        <v>0</v>
      </c>
      <c r="J182" s="6"/>
      <c r="K182" s="4"/>
      <c r="L182">
        <f t="shared" si="2"/>
        <v>0</v>
      </c>
      <c r="M182" t="s">
        <v>81</v>
      </c>
      <c r="P182" t="s">
        <v>78</v>
      </c>
    </row>
    <row r="183" spans="1:16">
      <c r="A183" t="s">
        <v>39</v>
      </c>
      <c r="B183" t="s">
        <v>87</v>
      </c>
      <c r="C183" t="s">
        <v>22</v>
      </c>
      <c r="D183" t="s">
        <v>58</v>
      </c>
      <c r="E183" t="s">
        <v>20</v>
      </c>
      <c r="F183" s="1">
        <v>0</v>
      </c>
      <c r="G183" t="s">
        <v>35</v>
      </c>
      <c r="H183" t="s">
        <v>48</v>
      </c>
      <c r="I183" t="s">
        <v>50</v>
      </c>
      <c r="J183" s="6"/>
      <c r="K183" s="4"/>
      <c r="L183">
        <f t="shared" si="2"/>
        <v>0</v>
      </c>
      <c r="P183" t="s">
        <v>78</v>
      </c>
    </row>
    <row r="184" spans="1:16">
      <c r="A184" t="s">
        <v>39</v>
      </c>
      <c r="B184" t="s">
        <v>87</v>
      </c>
      <c r="C184" t="s">
        <v>28</v>
      </c>
      <c r="D184" t="s">
        <v>58</v>
      </c>
      <c r="E184" t="s">
        <v>20</v>
      </c>
      <c r="F184" s="1">
        <v>0</v>
      </c>
      <c r="J184" s="6"/>
      <c r="K184" s="4"/>
      <c r="L184">
        <f t="shared" si="2"/>
        <v>0</v>
      </c>
      <c r="P184" t="s">
        <v>78</v>
      </c>
    </row>
    <row r="185" spans="1:16">
      <c r="A185" t="s">
        <v>39</v>
      </c>
      <c r="B185" t="s">
        <v>87</v>
      </c>
      <c r="C185" t="s">
        <v>29</v>
      </c>
      <c r="D185" t="s">
        <v>58</v>
      </c>
      <c r="E185" t="s">
        <v>20</v>
      </c>
      <c r="F185" s="1">
        <v>0</v>
      </c>
      <c r="J185" s="6"/>
      <c r="K185" s="4"/>
      <c r="L185">
        <f t="shared" si="2"/>
        <v>0</v>
      </c>
      <c r="P185" t="s">
        <v>78</v>
      </c>
    </row>
    <row r="186" spans="1:16">
      <c r="A186" t="s">
        <v>39</v>
      </c>
      <c r="B186" t="s">
        <v>87</v>
      </c>
      <c r="C186" t="s">
        <v>30</v>
      </c>
      <c r="D186" t="s">
        <v>58</v>
      </c>
      <c r="E186" t="s">
        <v>20</v>
      </c>
      <c r="F186" s="1">
        <v>0</v>
      </c>
      <c r="J186" s="6"/>
      <c r="K186" s="4"/>
      <c r="L186">
        <f t="shared" si="2"/>
        <v>0</v>
      </c>
      <c r="P186" t="s">
        <v>78</v>
      </c>
    </row>
    <row r="187" spans="1:16">
      <c r="A187" t="s">
        <v>39</v>
      </c>
      <c r="B187" t="s">
        <v>88</v>
      </c>
      <c r="C187" t="s">
        <v>18</v>
      </c>
      <c r="D187" t="s">
        <v>58</v>
      </c>
      <c r="E187" t="s">
        <v>20</v>
      </c>
      <c r="F187" s="1">
        <v>0</v>
      </c>
      <c r="J187" s="6"/>
      <c r="K187" s="4"/>
      <c r="L187">
        <f t="shared" si="2"/>
        <v>0</v>
      </c>
      <c r="M187" t="s">
        <v>81</v>
      </c>
      <c r="P187" t="s">
        <v>78</v>
      </c>
    </row>
    <row r="188" spans="1:16">
      <c r="A188" t="s">
        <v>39</v>
      </c>
      <c r="B188" t="s">
        <v>88</v>
      </c>
      <c r="C188" t="s">
        <v>22</v>
      </c>
      <c r="D188" t="s">
        <v>58</v>
      </c>
      <c r="E188" t="s">
        <v>20</v>
      </c>
      <c r="F188" s="1">
        <v>0</v>
      </c>
      <c r="G188" t="s">
        <v>35</v>
      </c>
      <c r="H188" t="s">
        <v>48</v>
      </c>
      <c r="I188" t="s">
        <v>50</v>
      </c>
      <c r="J188" s="6"/>
      <c r="K188" s="4"/>
      <c r="L188">
        <f t="shared" si="2"/>
        <v>0</v>
      </c>
      <c r="P188" t="s">
        <v>78</v>
      </c>
    </row>
    <row r="189" spans="1:16">
      <c r="A189" t="s">
        <v>39</v>
      </c>
      <c r="B189" t="s">
        <v>88</v>
      </c>
      <c r="C189" t="s">
        <v>28</v>
      </c>
      <c r="D189" t="s">
        <v>58</v>
      </c>
      <c r="E189" t="s">
        <v>20</v>
      </c>
      <c r="F189" s="1">
        <v>0</v>
      </c>
      <c r="J189" s="6"/>
      <c r="K189" s="4"/>
      <c r="L189">
        <f t="shared" si="2"/>
        <v>0</v>
      </c>
      <c r="P189" t="s">
        <v>78</v>
      </c>
    </row>
    <row r="190" spans="1:16">
      <c r="A190" t="s">
        <v>39</v>
      </c>
      <c r="B190" t="s">
        <v>88</v>
      </c>
      <c r="C190" t="s">
        <v>29</v>
      </c>
      <c r="D190" t="s">
        <v>58</v>
      </c>
      <c r="E190" t="s">
        <v>20</v>
      </c>
      <c r="F190" s="1">
        <v>0</v>
      </c>
      <c r="J190" s="6"/>
      <c r="K190" s="4"/>
      <c r="L190">
        <f t="shared" si="2"/>
        <v>0</v>
      </c>
      <c r="P190" t="s">
        <v>78</v>
      </c>
    </row>
    <row r="191" spans="1:16">
      <c r="A191" t="s">
        <v>39</v>
      </c>
      <c r="B191" t="s">
        <v>88</v>
      </c>
      <c r="C191" t="s">
        <v>30</v>
      </c>
      <c r="D191" t="s">
        <v>58</v>
      </c>
      <c r="E191" t="s">
        <v>20</v>
      </c>
      <c r="F191" s="1">
        <v>0</v>
      </c>
      <c r="J191" s="6"/>
      <c r="K191" s="4"/>
      <c r="L191">
        <f t="shared" si="2"/>
        <v>0</v>
      </c>
      <c r="P191" t="s">
        <v>78</v>
      </c>
    </row>
    <row r="192" spans="1:16">
      <c r="A192" t="s">
        <v>39</v>
      </c>
      <c r="B192" t="s">
        <v>89</v>
      </c>
      <c r="C192" t="s">
        <v>18</v>
      </c>
      <c r="D192" t="s">
        <v>58</v>
      </c>
      <c r="E192" t="s">
        <v>20</v>
      </c>
      <c r="F192" s="1">
        <v>0</v>
      </c>
      <c r="J192" s="6"/>
      <c r="K192" s="4"/>
      <c r="L192">
        <f t="shared" si="2"/>
        <v>0</v>
      </c>
      <c r="M192" t="s">
        <v>81</v>
      </c>
      <c r="P192" t="s">
        <v>78</v>
      </c>
    </row>
    <row r="193" spans="1:16">
      <c r="A193" t="s">
        <v>39</v>
      </c>
      <c r="B193" t="s">
        <v>89</v>
      </c>
      <c r="C193" t="s">
        <v>22</v>
      </c>
      <c r="D193" t="s">
        <v>58</v>
      </c>
      <c r="E193" t="s">
        <v>20</v>
      </c>
      <c r="F193" s="1">
        <v>0</v>
      </c>
      <c r="G193" t="s">
        <v>35</v>
      </c>
      <c r="H193" t="s">
        <v>48</v>
      </c>
      <c r="I193" t="s">
        <v>50</v>
      </c>
      <c r="J193" s="6"/>
      <c r="K193" s="4"/>
      <c r="L193">
        <f t="shared" si="2"/>
        <v>0</v>
      </c>
      <c r="P193" t="s">
        <v>78</v>
      </c>
    </row>
    <row r="194" spans="1:16">
      <c r="A194" t="s">
        <v>39</v>
      </c>
      <c r="B194" t="s">
        <v>89</v>
      </c>
      <c r="C194" t="s">
        <v>28</v>
      </c>
      <c r="D194" t="s">
        <v>58</v>
      </c>
      <c r="E194" t="s">
        <v>20</v>
      </c>
      <c r="F194" s="1">
        <v>0</v>
      </c>
      <c r="J194" s="6"/>
      <c r="K194" s="4"/>
      <c r="L194">
        <f t="shared" si="2"/>
        <v>0</v>
      </c>
      <c r="P194" t="s">
        <v>78</v>
      </c>
    </row>
    <row r="195" spans="1:16">
      <c r="A195" t="s">
        <v>39</v>
      </c>
      <c r="B195" t="s">
        <v>89</v>
      </c>
      <c r="C195" t="s">
        <v>29</v>
      </c>
      <c r="D195" t="s">
        <v>58</v>
      </c>
      <c r="E195" t="s">
        <v>20</v>
      </c>
      <c r="F195" s="1">
        <v>0</v>
      </c>
      <c r="J195" s="6"/>
      <c r="K195" s="4"/>
      <c r="L195">
        <f t="shared" ref="L195:L257" si="3">NETWORKDAYS(J195,K195)</f>
        <v>0</v>
      </c>
      <c r="P195" t="s">
        <v>78</v>
      </c>
    </row>
    <row r="196" spans="1:16">
      <c r="A196" t="s">
        <v>39</v>
      </c>
      <c r="B196" t="s">
        <v>89</v>
      </c>
      <c r="C196" t="s">
        <v>30</v>
      </c>
      <c r="D196" t="s">
        <v>58</v>
      </c>
      <c r="E196" t="s">
        <v>20</v>
      </c>
      <c r="F196" s="1">
        <v>0</v>
      </c>
      <c r="J196" s="6"/>
      <c r="K196" s="4"/>
      <c r="L196">
        <f t="shared" si="3"/>
        <v>0</v>
      </c>
      <c r="P196" t="s">
        <v>78</v>
      </c>
    </row>
    <row r="197" spans="1:16">
      <c r="A197" t="s">
        <v>39</v>
      </c>
      <c r="B197" t="s">
        <v>90</v>
      </c>
      <c r="C197" t="s">
        <v>18</v>
      </c>
      <c r="D197" t="s">
        <v>58</v>
      </c>
      <c r="E197" t="s">
        <v>20</v>
      </c>
      <c r="F197" s="1">
        <v>0</v>
      </c>
      <c r="J197" s="6"/>
      <c r="K197" s="4"/>
      <c r="L197">
        <f t="shared" si="3"/>
        <v>0</v>
      </c>
      <c r="M197" t="s">
        <v>91</v>
      </c>
      <c r="P197" t="s">
        <v>78</v>
      </c>
    </row>
    <row r="198" spans="1:16">
      <c r="A198" t="s">
        <v>39</v>
      </c>
      <c r="B198" t="s">
        <v>90</v>
      </c>
      <c r="C198" t="s">
        <v>22</v>
      </c>
      <c r="D198" t="s">
        <v>58</v>
      </c>
      <c r="E198" t="s">
        <v>20</v>
      </c>
      <c r="F198" s="1">
        <v>0</v>
      </c>
      <c r="G198" t="s">
        <v>35</v>
      </c>
      <c r="H198" t="s">
        <v>48</v>
      </c>
      <c r="I198" t="s">
        <v>50</v>
      </c>
      <c r="J198" s="6"/>
      <c r="K198" s="4"/>
      <c r="L198">
        <f t="shared" si="3"/>
        <v>0</v>
      </c>
      <c r="P198" t="s">
        <v>78</v>
      </c>
    </row>
    <row r="199" spans="1:16">
      <c r="A199" t="s">
        <v>39</v>
      </c>
      <c r="B199" t="s">
        <v>90</v>
      </c>
      <c r="C199" t="s">
        <v>28</v>
      </c>
      <c r="D199" t="s">
        <v>58</v>
      </c>
      <c r="E199" t="s">
        <v>20</v>
      </c>
      <c r="F199" s="1">
        <v>0</v>
      </c>
      <c r="J199" s="6"/>
      <c r="K199" s="4"/>
      <c r="L199">
        <f t="shared" si="3"/>
        <v>0</v>
      </c>
      <c r="P199" t="s">
        <v>78</v>
      </c>
    </row>
    <row r="200" spans="1:16">
      <c r="A200" t="s">
        <v>39</v>
      </c>
      <c r="B200" t="s">
        <v>90</v>
      </c>
      <c r="C200" t="s">
        <v>29</v>
      </c>
      <c r="D200" t="s">
        <v>58</v>
      </c>
      <c r="E200" t="s">
        <v>20</v>
      </c>
      <c r="F200" s="1">
        <v>0</v>
      </c>
      <c r="J200" s="6"/>
      <c r="K200" s="4"/>
      <c r="L200">
        <f t="shared" si="3"/>
        <v>0</v>
      </c>
      <c r="P200" t="s">
        <v>78</v>
      </c>
    </row>
    <row r="201" spans="1:16">
      <c r="A201" t="s">
        <v>39</v>
      </c>
      <c r="B201" t="s">
        <v>90</v>
      </c>
      <c r="C201" t="s">
        <v>30</v>
      </c>
      <c r="D201" t="s">
        <v>58</v>
      </c>
      <c r="E201" t="s">
        <v>20</v>
      </c>
      <c r="F201" s="1">
        <v>0</v>
      </c>
      <c r="J201" s="6"/>
      <c r="K201" s="4"/>
      <c r="L201">
        <f t="shared" si="3"/>
        <v>0</v>
      </c>
      <c r="P201" t="s">
        <v>78</v>
      </c>
    </row>
    <row r="202" spans="1:16">
      <c r="A202" t="s">
        <v>39</v>
      </c>
      <c r="B202" t="s">
        <v>92</v>
      </c>
      <c r="C202" t="s">
        <v>18</v>
      </c>
      <c r="D202" t="s">
        <v>58</v>
      </c>
      <c r="E202" t="s">
        <v>20</v>
      </c>
      <c r="F202" s="1">
        <v>0</v>
      </c>
      <c r="J202" s="6"/>
      <c r="K202" s="4"/>
      <c r="L202">
        <f t="shared" si="3"/>
        <v>0</v>
      </c>
      <c r="M202" t="s">
        <v>81</v>
      </c>
      <c r="P202" t="s">
        <v>78</v>
      </c>
    </row>
    <row r="203" spans="1:16">
      <c r="A203" t="s">
        <v>39</v>
      </c>
      <c r="B203" t="s">
        <v>92</v>
      </c>
      <c r="C203" t="s">
        <v>22</v>
      </c>
      <c r="D203" t="s">
        <v>58</v>
      </c>
      <c r="E203" t="s">
        <v>20</v>
      </c>
      <c r="F203" s="1">
        <v>0</v>
      </c>
      <c r="G203" t="s">
        <v>35</v>
      </c>
      <c r="H203" t="s">
        <v>48</v>
      </c>
      <c r="I203" t="s">
        <v>50</v>
      </c>
      <c r="J203" s="6"/>
      <c r="K203" s="4"/>
      <c r="L203">
        <f t="shared" si="3"/>
        <v>0</v>
      </c>
      <c r="P203" t="s">
        <v>78</v>
      </c>
    </row>
    <row r="204" spans="1:16">
      <c r="A204" t="s">
        <v>39</v>
      </c>
      <c r="B204" t="s">
        <v>92</v>
      </c>
      <c r="C204" t="s">
        <v>28</v>
      </c>
      <c r="D204" t="s">
        <v>58</v>
      </c>
      <c r="E204" t="s">
        <v>20</v>
      </c>
      <c r="F204" s="1">
        <v>0</v>
      </c>
      <c r="J204" s="6"/>
      <c r="K204" s="4"/>
      <c r="L204">
        <f t="shared" si="3"/>
        <v>0</v>
      </c>
      <c r="P204" t="s">
        <v>78</v>
      </c>
    </row>
    <row r="205" spans="1:16">
      <c r="A205" t="s">
        <v>39</v>
      </c>
      <c r="B205" t="s">
        <v>92</v>
      </c>
      <c r="C205" t="s">
        <v>29</v>
      </c>
      <c r="D205" t="s">
        <v>58</v>
      </c>
      <c r="E205" t="s">
        <v>20</v>
      </c>
      <c r="F205" s="1">
        <v>0</v>
      </c>
      <c r="J205" s="6"/>
      <c r="K205" s="4"/>
      <c r="L205">
        <f t="shared" si="3"/>
        <v>0</v>
      </c>
      <c r="P205" t="s">
        <v>78</v>
      </c>
    </row>
    <row r="206" spans="1:16">
      <c r="A206" t="s">
        <v>39</v>
      </c>
      <c r="B206" t="s">
        <v>92</v>
      </c>
      <c r="C206" t="s">
        <v>30</v>
      </c>
      <c r="D206" t="s">
        <v>58</v>
      </c>
      <c r="E206" t="s">
        <v>20</v>
      </c>
      <c r="F206" s="1">
        <v>0</v>
      </c>
      <c r="J206" s="6"/>
      <c r="K206" s="4"/>
      <c r="L206">
        <f t="shared" si="3"/>
        <v>0</v>
      </c>
      <c r="P206" t="s">
        <v>78</v>
      </c>
    </row>
    <row r="207" spans="1:16">
      <c r="A207" t="s">
        <v>39</v>
      </c>
      <c r="B207" t="s">
        <v>93</v>
      </c>
      <c r="C207" t="s">
        <v>18</v>
      </c>
      <c r="D207" t="s">
        <v>58</v>
      </c>
      <c r="E207" t="s">
        <v>20</v>
      </c>
      <c r="F207" s="1">
        <v>0</v>
      </c>
      <c r="J207" s="6"/>
      <c r="K207" s="4"/>
      <c r="L207">
        <f t="shared" si="3"/>
        <v>0</v>
      </c>
      <c r="M207" t="s">
        <v>81</v>
      </c>
      <c r="P207" t="s">
        <v>78</v>
      </c>
    </row>
    <row r="208" spans="1:16">
      <c r="A208" t="s">
        <v>39</v>
      </c>
      <c r="B208" t="s">
        <v>93</v>
      </c>
      <c r="C208" t="s">
        <v>22</v>
      </c>
      <c r="D208" t="s">
        <v>58</v>
      </c>
      <c r="E208" t="s">
        <v>20</v>
      </c>
      <c r="F208" s="1">
        <v>0</v>
      </c>
      <c r="G208" t="s">
        <v>35</v>
      </c>
      <c r="H208" t="s">
        <v>48</v>
      </c>
      <c r="I208" t="s">
        <v>50</v>
      </c>
      <c r="J208" s="6"/>
      <c r="K208" s="4"/>
      <c r="L208">
        <f t="shared" si="3"/>
        <v>0</v>
      </c>
      <c r="P208" t="s">
        <v>78</v>
      </c>
    </row>
    <row r="209" spans="1:16">
      <c r="A209" t="s">
        <v>39</v>
      </c>
      <c r="B209" t="s">
        <v>93</v>
      </c>
      <c r="C209" t="s">
        <v>28</v>
      </c>
      <c r="D209" t="s">
        <v>58</v>
      </c>
      <c r="E209" t="s">
        <v>20</v>
      </c>
      <c r="F209" s="1">
        <v>0</v>
      </c>
      <c r="J209" s="6"/>
      <c r="K209" s="4"/>
      <c r="L209">
        <f t="shared" si="3"/>
        <v>0</v>
      </c>
      <c r="P209" t="s">
        <v>78</v>
      </c>
    </row>
    <row r="210" spans="1:16">
      <c r="A210" t="s">
        <v>39</v>
      </c>
      <c r="B210" t="s">
        <v>93</v>
      </c>
      <c r="C210" t="s">
        <v>29</v>
      </c>
      <c r="D210" t="s">
        <v>58</v>
      </c>
      <c r="E210" t="s">
        <v>20</v>
      </c>
      <c r="F210" s="1">
        <v>0</v>
      </c>
      <c r="J210" s="6"/>
      <c r="K210" s="4"/>
      <c r="L210">
        <f t="shared" si="3"/>
        <v>0</v>
      </c>
      <c r="P210" t="s">
        <v>78</v>
      </c>
    </row>
    <row r="211" spans="1:16">
      <c r="A211" t="s">
        <v>39</v>
      </c>
      <c r="B211" t="s">
        <v>93</v>
      </c>
      <c r="C211" t="s">
        <v>30</v>
      </c>
      <c r="D211" t="s">
        <v>58</v>
      </c>
      <c r="E211" t="s">
        <v>20</v>
      </c>
      <c r="F211" s="1">
        <v>0</v>
      </c>
      <c r="J211" s="6"/>
      <c r="K211" s="4"/>
      <c r="L211">
        <f t="shared" si="3"/>
        <v>0</v>
      </c>
      <c r="P211" t="s">
        <v>78</v>
      </c>
    </row>
    <row r="212" spans="1:16">
      <c r="A212" t="s">
        <v>94</v>
      </c>
      <c r="B212" t="s">
        <v>95</v>
      </c>
      <c r="C212" t="s">
        <v>18</v>
      </c>
      <c r="D212" t="s">
        <v>19</v>
      </c>
      <c r="E212" t="s">
        <v>20</v>
      </c>
      <c r="F212" s="1">
        <v>0</v>
      </c>
      <c r="J212" s="2">
        <v>45946</v>
      </c>
      <c r="K212" s="3">
        <v>46173</v>
      </c>
      <c r="L212">
        <f t="shared" si="3"/>
        <v>162</v>
      </c>
      <c r="P212" t="s">
        <v>95</v>
      </c>
    </row>
    <row r="213" spans="1:16">
      <c r="A213" t="s">
        <v>94</v>
      </c>
      <c r="B213" t="s">
        <v>95</v>
      </c>
      <c r="C213" t="s">
        <v>22</v>
      </c>
      <c r="D213" t="s">
        <v>19</v>
      </c>
      <c r="E213" t="s">
        <v>20</v>
      </c>
      <c r="F213" s="1">
        <v>0</v>
      </c>
      <c r="G213" t="s">
        <v>48</v>
      </c>
      <c r="H213" t="s">
        <v>96</v>
      </c>
      <c r="I213" t="s">
        <v>97</v>
      </c>
      <c r="J213" s="6"/>
      <c r="K213" s="4"/>
      <c r="L213">
        <f t="shared" si="3"/>
        <v>0</v>
      </c>
      <c r="P213" t="s">
        <v>95</v>
      </c>
    </row>
    <row r="214" spans="1:16">
      <c r="A214" t="s">
        <v>94</v>
      </c>
      <c r="B214" t="s">
        <v>95</v>
      </c>
      <c r="C214" t="s">
        <v>28</v>
      </c>
      <c r="D214" t="s">
        <v>19</v>
      </c>
      <c r="E214" t="s">
        <v>20</v>
      </c>
      <c r="F214" s="1">
        <v>0</v>
      </c>
      <c r="J214" s="6"/>
      <c r="K214" s="4"/>
      <c r="L214">
        <f t="shared" si="3"/>
        <v>0</v>
      </c>
      <c r="P214" t="s">
        <v>95</v>
      </c>
    </row>
    <row r="215" spans="1:16">
      <c r="A215" t="s">
        <v>94</v>
      </c>
      <c r="B215" t="s">
        <v>95</v>
      </c>
      <c r="C215" t="s">
        <v>29</v>
      </c>
      <c r="D215" t="s">
        <v>19</v>
      </c>
      <c r="E215" t="s">
        <v>20</v>
      </c>
      <c r="F215" s="1">
        <v>0</v>
      </c>
      <c r="J215" s="6"/>
      <c r="K215" s="4"/>
      <c r="L215">
        <f t="shared" si="3"/>
        <v>0</v>
      </c>
      <c r="P215" t="s">
        <v>95</v>
      </c>
    </row>
    <row r="216" spans="1:16">
      <c r="A216" t="s">
        <v>94</v>
      </c>
      <c r="B216" t="s">
        <v>95</v>
      </c>
      <c r="C216" t="s">
        <v>30</v>
      </c>
      <c r="D216" t="s">
        <v>19</v>
      </c>
      <c r="E216" t="s">
        <v>20</v>
      </c>
      <c r="F216" s="1">
        <v>0</v>
      </c>
      <c r="J216" s="6"/>
      <c r="K216" s="4"/>
      <c r="L216">
        <f t="shared" si="3"/>
        <v>0</v>
      </c>
      <c r="P216" t="s">
        <v>95</v>
      </c>
    </row>
    <row r="217" spans="1:16">
      <c r="A217" t="s">
        <v>94</v>
      </c>
      <c r="B217" t="s">
        <v>98</v>
      </c>
      <c r="C217" t="s">
        <v>18</v>
      </c>
      <c r="D217" t="s">
        <v>33</v>
      </c>
      <c r="E217" t="s">
        <v>20</v>
      </c>
      <c r="F217" s="1">
        <v>0</v>
      </c>
      <c r="J217" s="2">
        <v>45946</v>
      </c>
      <c r="K217" s="3">
        <v>46081</v>
      </c>
      <c r="L217">
        <f t="shared" si="3"/>
        <v>97</v>
      </c>
      <c r="P217" t="s">
        <v>95</v>
      </c>
    </row>
    <row r="218" spans="1:16">
      <c r="A218" t="s">
        <v>94</v>
      </c>
      <c r="B218" t="s">
        <v>98</v>
      </c>
      <c r="C218" t="s">
        <v>22</v>
      </c>
      <c r="D218" t="s">
        <v>33</v>
      </c>
      <c r="E218" t="s">
        <v>20</v>
      </c>
      <c r="F218" s="1">
        <v>0</v>
      </c>
      <c r="G218" t="s">
        <v>48</v>
      </c>
      <c r="H218" t="s">
        <v>96</v>
      </c>
      <c r="I218" t="s">
        <v>97</v>
      </c>
      <c r="J218" s="2">
        <v>45946</v>
      </c>
      <c r="K218" s="3">
        <v>46022</v>
      </c>
      <c r="L218">
        <f t="shared" si="3"/>
        <v>55</v>
      </c>
      <c r="N218" t="s">
        <v>43</v>
      </c>
      <c r="O218" t="s">
        <v>26</v>
      </c>
      <c r="P218" t="s">
        <v>95</v>
      </c>
    </row>
    <row r="219" spans="1:16">
      <c r="A219" t="s">
        <v>94</v>
      </c>
      <c r="B219" t="s">
        <v>98</v>
      </c>
      <c r="C219" t="s">
        <v>28</v>
      </c>
      <c r="D219" t="s">
        <v>33</v>
      </c>
      <c r="E219" t="s">
        <v>20</v>
      </c>
      <c r="F219" s="1">
        <v>0</v>
      </c>
      <c r="J219" s="6"/>
      <c r="K219" s="4"/>
      <c r="L219">
        <f t="shared" si="3"/>
        <v>0</v>
      </c>
      <c r="P219" t="s">
        <v>95</v>
      </c>
    </row>
    <row r="220" spans="1:16">
      <c r="A220" t="s">
        <v>94</v>
      </c>
      <c r="B220" t="s">
        <v>98</v>
      </c>
      <c r="C220" t="s">
        <v>29</v>
      </c>
      <c r="D220" t="s">
        <v>33</v>
      </c>
      <c r="E220" t="s">
        <v>20</v>
      </c>
      <c r="F220" s="1">
        <v>0</v>
      </c>
      <c r="J220" s="2">
        <v>46023</v>
      </c>
      <c r="K220" s="3">
        <v>46081</v>
      </c>
      <c r="L220">
        <f t="shared" si="3"/>
        <v>42</v>
      </c>
      <c r="O220" t="s">
        <v>27</v>
      </c>
      <c r="P220" t="s">
        <v>95</v>
      </c>
    </row>
    <row r="221" spans="1:16">
      <c r="A221" t="s">
        <v>94</v>
      </c>
      <c r="B221" t="s">
        <v>98</v>
      </c>
      <c r="C221" t="s">
        <v>30</v>
      </c>
      <c r="D221" t="s">
        <v>33</v>
      </c>
      <c r="E221" t="s">
        <v>20</v>
      </c>
      <c r="F221" s="1">
        <v>0</v>
      </c>
      <c r="J221" s="6"/>
      <c r="K221" s="4"/>
      <c r="L221">
        <f t="shared" si="3"/>
        <v>0</v>
      </c>
      <c r="P221" t="s">
        <v>95</v>
      </c>
    </row>
    <row r="222" spans="1:16">
      <c r="A222" t="s">
        <v>94</v>
      </c>
      <c r="B222" t="s">
        <v>99</v>
      </c>
      <c r="C222" t="s">
        <v>18</v>
      </c>
      <c r="D222" t="s">
        <v>33</v>
      </c>
      <c r="E222" t="s">
        <v>20</v>
      </c>
      <c r="F222" s="1">
        <v>0</v>
      </c>
      <c r="J222" s="2">
        <v>45946</v>
      </c>
      <c r="K222" s="3">
        <v>46142</v>
      </c>
      <c r="L222">
        <f t="shared" si="3"/>
        <v>141</v>
      </c>
      <c r="P222" t="s">
        <v>95</v>
      </c>
    </row>
    <row r="223" spans="1:16">
      <c r="A223" t="s">
        <v>94</v>
      </c>
      <c r="B223" t="s">
        <v>99</v>
      </c>
      <c r="C223" t="s">
        <v>22</v>
      </c>
      <c r="D223" t="s">
        <v>33</v>
      </c>
      <c r="E223" t="s">
        <v>20</v>
      </c>
      <c r="F223" s="1">
        <v>0</v>
      </c>
      <c r="G223" t="s">
        <v>48</v>
      </c>
      <c r="H223" t="s">
        <v>96</v>
      </c>
      <c r="I223" t="s">
        <v>97</v>
      </c>
      <c r="J223" s="2">
        <v>45946</v>
      </c>
      <c r="K223" s="3">
        <v>46053</v>
      </c>
      <c r="L223">
        <f t="shared" si="3"/>
        <v>77</v>
      </c>
      <c r="N223" t="s">
        <v>43</v>
      </c>
      <c r="O223" t="s">
        <v>26</v>
      </c>
      <c r="P223" t="s">
        <v>95</v>
      </c>
    </row>
    <row r="224" spans="1:16">
      <c r="A224" t="s">
        <v>94</v>
      </c>
      <c r="B224" t="s">
        <v>99</v>
      </c>
      <c r="C224" t="s">
        <v>28</v>
      </c>
      <c r="D224" t="s">
        <v>33</v>
      </c>
      <c r="E224" t="s">
        <v>20</v>
      </c>
      <c r="F224" s="1">
        <v>0</v>
      </c>
      <c r="J224" s="2">
        <v>46055</v>
      </c>
      <c r="K224" s="3">
        <v>46142</v>
      </c>
      <c r="L224">
        <f t="shared" si="3"/>
        <v>64</v>
      </c>
      <c r="O224" t="s">
        <v>27</v>
      </c>
      <c r="P224" t="s">
        <v>95</v>
      </c>
    </row>
    <row r="225" spans="1:16">
      <c r="A225" t="s">
        <v>94</v>
      </c>
      <c r="B225" t="s">
        <v>99</v>
      </c>
      <c r="C225" t="s">
        <v>29</v>
      </c>
      <c r="D225" t="s">
        <v>33</v>
      </c>
      <c r="E225" t="s">
        <v>20</v>
      </c>
      <c r="F225" s="1">
        <v>0</v>
      </c>
      <c r="J225" s="6"/>
      <c r="K225" s="4"/>
      <c r="L225">
        <f t="shared" si="3"/>
        <v>0</v>
      </c>
      <c r="P225" t="s">
        <v>95</v>
      </c>
    </row>
    <row r="226" spans="1:16">
      <c r="A226" t="s">
        <v>94</v>
      </c>
      <c r="B226" t="s">
        <v>99</v>
      </c>
      <c r="C226" t="s">
        <v>30</v>
      </c>
      <c r="D226" t="s">
        <v>33</v>
      </c>
      <c r="E226" t="s">
        <v>20</v>
      </c>
      <c r="F226" s="1">
        <v>0</v>
      </c>
      <c r="J226" s="6"/>
      <c r="K226" s="4"/>
      <c r="L226">
        <f t="shared" si="3"/>
        <v>0</v>
      </c>
      <c r="P226" t="s">
        <v>95</v>
      </c>
    </row>
    <row r="227" spans="1:16">
      <c r="A227" t="s">
        <v>94</v>
      </c>
      <c r="B227" t="s">
        <v>100</v>
      </c>
      <c r="C227" t="s">
        <v>18</v>
      </c>
      <c r="D227" t="s">
        <v>33</v>
      </c>
      <c r="E227" t="s">
        <v>20</v>
      </c>
      <c r="F227" s="1">
        <v>0</v>
      </c>
      <c r="J227" s="2">
        <v>45946</v>
      </c>
      <c r="K227" s="3">
        <v>46173</v>
      </c>
      <c r="L227">
        <f t="shared" si="3"/>
        <v>162</v>
      </c>
      <c r="P227" t="s">
        <v>95</v>
      </c>
    </row>
    <row r="228" spans="1:16">
      <c r="A228" t="s">
        <v>94</v>
      </c>
      <c r="B228" t="s">
        <v>100</v>
      </c>
      <c r="C228" t="s">
        <v>22</v>
      </c>
      <c r="D228" t="s">
        <v>33</v>
      </c>
      <c r="E228" t="s">
        <v>20</v>
      </c>
      <c r="F228" s="1">
        <v>0</v>
      </c>
      <c r="G228" t="s">
        <v>48</v>
      </c>
      <c r="H228" t="s">
        <v>96</v>
      </c>
      <c r="I228" t="s">
        <v>97</v>
      </c>
      <c r="J228" s="2">
        <v>45946</v>
      </c>
      <c r="K228" s="3">
        <v>46112</v>
      </c>
      <c r="L228">
        <f t="shared" si="3"/>
        <v>119</v>
      </c>
      <c r="N228" t="s">
        <v>43</v>
      </c>
      <c r="O228" t="s">
        <v>26</v>
      </c>
      <c r="P228" t="s">
        <v>95</v>
      </c>
    </row>
    <row r="229" spans="1:16">
      <c r="A229" t="s">
        <v>94</v>
      </c>
      <c r="B229" t="s">
        <v>100</v>
      </c>
      <c r="C229" t="s">
        <v>28</v>
      </c>
      <c r="D229" t="s">
        <v>33</v>
      </c>
      <c r="E229" t="s">
        <v>20</v>
      </c>
      <c r="F229" s="1">
        <v>0</v>
      </c>
      <c r="J229" s="6"/>
      <c r="K229" s="4"/>
      <c r="L229">
        <f t="shared" si="3"/>
        <v>0</v>
      </c>
      <c r="P229" t="s">
        <v>95</v>
      </c>
    </row>
    <row r="230" spans="1:16">
      <c r="A230" t="s">
        <v>94</v>
      </c>
      <c r="B230" t="s">
        <v>100</v>
      </c>
      <c r="C230" t="s">
        <v>29</v>
      </c>
      <c r="D230" t="s">
        <v>33</v>
      </c>
      <c r="E230" t="s">
        <v>20</v>
      </c>
      <c r="F230" s="1">
        <v>0</v>
      </c>
      <c r="J230" s="2">
        <v>46113</v>
      </c>
      <c r="K230" s="3">
        <v>46173</v>
      </c>
      <c r="L230">
        <f t="shared" si="3"/>
        <v>43</v>
      </c>
      <c r="O230" t="s">
        <v>27</v>
      </c>
      <c r="P230" t="s">
        <v>95</v>
      </c>
    </row>
    <row r="231" spans="1:16">
      <c r="A231" t="s">
        <v>94</v>
      </c>
      <c r="B231" t="s">
        <v>100</v>
      </c>
      <c r="C231" t="s">
        <v>30</v>
      </c>
      <c r="D231" t="s">
        <v>33</v>
      </c>
      <c r="E231" t="s">
        <v>20</v>
      </c>
      <c r="F231" s="1">
        <v>0</v>
      </c>
      <c r="J231" s="6"/>
      <c r="K231" s="4"/>
      <c r="L231">
        <f t="shared" si="3"/>
        <v>0</v>
      </c>
      <c r="P231" t="s">
        <v>95</v>
      </c>
    </row>
    <row r="232" spans="1:16">
      <c r="A232" t="s">
        <v>94</v>
      </c>
      <c r="B232" t="s">
        <v>101</v>
      </c>
      <c r="C232" t="s">
        <v>18</v>
      </c>
      <c r="D232" t="s">
        <v>33</v>
      </c>
      <c r="E232" t="s">
        <v>20</v>
      </c>
      <c r="F232" s="1">
        <v>0</v>
      </c>
      <c r="J232" s="2">
        <v>45946</v>
      </c>
      <c r="K232" s="3">
        <v>46112</v>
      </c>
      <c r="L232">
        <f t="shared" si="3"/>
        <v>119</v>
      </c>
      <c r="P232" t="s">
        <v>95</v>
      </c>
    </row>
    <row r="233" spans="1:16">
      <c r="A233" t="s">
        <v>94</v>
      </c>
      <c r="B233" t="s">
        <v>101</v>
      </c>
      <c r="C233" t="s">
        <v>22</v>
      </c>
      <c r="D233" t="s">
        <v>33</v>
      </c>
      <c r="E233" t="s">
        <v>20</v>
      </c>
      <c r="F233" s="1">
        <v>0</v>
      </c>
      <c r="G233" t="s">
        <v>48</v>
      </c>
      <c r="H233" t="s">
        <v>96</v>
      </c>
      <c r="I233" t="s">
        <v>97</v>
      </c>
      <c r="J233" s="2">
        <v>45946</v>
      </c>
      <c r="K233" s="3">
        <v>46068</v>
      </c>
      <c r="L233">
        <f t="shared" si="3"/>
        <v>87</v>
      </c>
      <c r="N233" t="s">
        <v>43</v>
      </c>
      <c r="O233" t="s">
        <v>26</v>
      </c>
      <c r="P233" t="s">
        <v>95</v>
      </c>
    </row>
    <row r="234" spans="1:16">
      <c r="A234" t="s">
        <v>94</v>
      </c>
      <c r="B234" t="s">
        <v>101</v>
      </c>
      <c r="C234" t="s">
        <v>28</v>
      </c>
      <c r="D234" t="s">
        <v>33</v>
      </c>
      <c r="E234" t="s">
        <v>20</v>
      </c>
      <c r="F234" s="1">
        <v>0</v>
      </c>
      <c r="J234" s="6"/>
      <c r="K234" s="4"/>
      <c r="L234">
        <f t="shared" si="3"/>
        <v>0</v>
      </c>
      <c r="P234" t="s">
        <v>95</v>
      </c>
    </row>
    <row r="235" spans="1:16">
      <c r="A235" t="s">
        <v>94</v>
      </c>
      <c r="B235" t="s">
        <v>101</v>
      </c>
      <c r="C235" t="s">
        <v>29</v>
      </c>
      <c r="D235" t="s">
        <v>33</v>
      </c>
      <c r="E235" t="s">
        <v>20</v>
      </c>
      <c r="F235" s="1">
        <v>0</v>
      </c>
      <c r="J235" s="2">
        <v>46069</v>
      </c>
      <c r="K235" s="3">
        <v>46112</v>
      </c>
      <c r="L235">
        <f t="shared" si="3"/>
        <v>32</v>
      </c>
      <c r="O235" t="s">
        <v>27</v>
      </c>
      <c r="P235" t="s">
        <v>95</v>
      </c>
    </row>
    <row r="236" spans="1:16">
      <c r="A236" t="s">
        <v>94</v>
      </c>
      <c r="B236" t="s">
        <v>101</v>
      </c>
      <c r="C236" t="s">
        <v>30</v>
      </c>
      <c r="D236" t="s">
        <v>33</v>
      </c>
      <c r="E236" t="s">
        <v>20</v>
      </c>
      <c r="F236" s="1">
        <v>0</v>
      </c>
      <c r="J236" s="6"/>
      <c r="K236" s="4"/>
      <c r="L236">
        <f t="shared" si="3"/>
        <v>0</v>
      </c>
      <c r="P236" t="s">
        <v>95</v>
      </c>
    </row>
    <row r="237" spans="1:16">
      <c r="A237" t="s">
        <v>94</v>
      </c>
      <c r="B237" t="s">
        <v>102</v>
      </c>
      <c r="C237" t="s">
        <v>18</v>
      </c>
      <c r="D237" t="s">
        <v>33</v>
      </c>
      <c r="E237" t="s">
        <v>20</v>
      </c>
      <c r="F237" s="1">
        <v>0</v>
      </c>
      <c r="J237" s="2">
        <v>45946</v>
      </c>
      <c r="K237" s="3">
        <v>45946</v>
      </c>
      <c r="L237">
        <f t="shared" si="3"/>
        <v>1</v>
      </c>
      <c r="P237" t="s">
        <v>95</v>
      </c>
    </row>
    <row r="238" spans="1:16">
      <c r="A238" t="s">
        <v>94</v>
      </c>
      <c r="B238" t="s">
        <v>102</v>
      </c>
      <c r="C238" t="s">
        <v>22</v>
      </c>
      <c r="D238" t="s">
        <v>33</v>
      </c>
      <c r="E238" t="s">
        <v>20</v>
      </c>
      <c r="F238" s="1">
        <v>0</v>
      </c>
      <c r="G238" t="s">
        <v>48</v>
      </c>
      <c r="H238" t="s">
        <v>96</v>
      </c>
      <c r="I238" t="s">
        <v>97</v>
      </c>
      <c r="J238" s="6"/>
      <c r="K238" s="4"/>
      <c r="L238">
        <f t="shared" si="3"/>
        <v>0</v>
      </c>
      <c r="P238" t="s">
        <v>95</v>
      </c>
    </row>
    <row r="239" spans="1:16">
      <c r="A239" t="s">
        <v>94</v>
      </c>
      <c r="B239" t="s">
        <v>102</v>
      </c>
      <c r="C239" t="s">
        <v>28</v>
      </c>
      <c r="D239" t="s">
        <v>33</v>
      </c>
      <c r="E239" t="s">
        <v>20</v>
      </c>
      <c r="F239" s="1">
        <v>0</v>
      </c>
      <c r="J239" s="6"/>
      <c r="K239" s="4"/>
      <c r="L239">
        <f t="shared" si="3"/>
        <v>0</v>
      </c>
      <c r="P239" t="s">
        <v>95</v>
      </c>
    </row>
    <row r="240" spans="1:16">
      <c r="A240" t="s">
        <v>94</v>
      </c>
      <c r="B240" t="s">
        <v>102</v>
      </c>
      <c r="C240" t="s">
        <v>29</v>
      </c>
      <c r="D240" t="s">
        <v>33</v>
      </c>
      <c r="E240" t="s">
        <v>20</v>
      </c>
      <c r="F240" s="1">
        <v>0</v>
      </c>
      <c r="J240" s="6"/>
      <c r="K240" s="4"/>
      <c r="L240">
        <f t="shared" si="3"/>
        <v>0</v>
      </c>
      <c r="P240" t="s">
        <v>95</v>
      </c>
    </row>
    <row r="241" spans="1:16">
      <c r="A241" t="s">
        <v>94</v>
      </c>
      <c r="B241" t="s">
        <v>102</v>
      </c>
      <c r="C241" t="s">
        <v>30</v>
      </c>
      <c r="D241" t="s">
        <v>33</v>
      </c>
      <c r="E241" t="s">
        <v>20</v>
      </c>
      <c r="F241" s="1">
        <v>0</v>
      </c>
      <c r="J241" s="6"/>
      <c r="K241" s="4"/>
      <c r="L241">
        <f t="shared" si="3"/>
        <v>0</v>
      </c>
      <c r="P241" t="s">
        <v>95</v>
      </c>
    </row>
    <row r="242" spans="1:16">
      <c r="A242" t="s">
        <v>94</v>
      </c>
      <c r="B242" t="s">
        <v>103</v>
      </c>
      <c r="C242" t="s">
        <v>18</v>
      </c>
      <c r="D242" t="s">
        <v>33</v>
      </c>
      <c r="E242" t="s">
        <v>20</v>
      </c>
      <c r="F242" s="1">
        <v>0</v>
      </c>
      <c r="J242" s="6"/>
      <c r="K242" s="4"/>
      <c r="L242">
        <f t="shared" si="3"/>
        <v>0</v>
      </c>
      <c r="P242" t="s">
        <v>95</v>
      </c>
    </row>
    <row r="243" spans="1:16">
      <c r="A243" t="s">
        <v>94</v>
      </c>
      <c r="B243" t="s">
        <v>103</v>
      </c>
      <c r="C243" t="s">
        <v>22</v>
      </c>
      <c r="D243" t="s">
        <v>33</v>
      </c>
      <c r="E243" t="s">
        <v>20</v>
      </c>
      <c r="F243" s="1">
        <v>0</v>
      </c>
      <c r="G243" t="s">
        <v>48</v>
      </c>
      <c r="H243" t="s">
        <v>96</v>
      </c>
      <c r="I243" t="s">
        <v>97</v>
      </c>
      <c r="J243" s="6"/>
      <c r="K243" s="4"/>
      <c r="L243">
        <f t="shared" si="3"/>
        <v>0</v>
      </c>
      <c r="P243" t="s">
        <v>95</v>
      </c>
    </row>
    <row r="244" spans="1:16">
      <c r="A244" t="s">
        <v>94</v>
      </c>
      <c r="B244" t="s">
        <v>103</v>
      </c>
      <c r="C244" t="s">
        <v>28</v>
      </c>
      <c r="D244" t="s">
        <v>33</v>
      </c>
      <c r="E244" t="s">
        <v>20</v>
      </c>
      <c r="F244" s="1">
        <v>0</v>
      </c>
      <c r="J244" s="6"/>
      <c r="K244" s="4"/>
      <c r="L244">
        <f t="shared" si="3"/>
        <v>0</v>
      </c>
      <c r="P244" t="s">
        <v>95</v>
      </c>
    </row>
    <row r="245" spans="1:16">
      <c r="A245" t="s">
        <v>94</v>
      </c>
      <c r="B245" t="s">
        <v>103</v>
      </c>
      <c r="C245" t="s">
        <v>29</v>
      </c>
      <c r="D245" t="s">
        <v>33</v>
      </c>
      <c r="E245" t="s">
        <v>20</v>
      </c>
      <c r="F245" s="1">
        <v>0</v>
      </c>
      <c r="J245" s="6"/>
      <c r="K245" s="4"/>
      <c r="L245">
        <f t="shared" si="3"/>
        <v>0</v>
      </c>
      <c r="P245" t="s">
        <v>95</v>
      </c>
    </row>
    <row r="246" spans="1:16">
      <c r="A246" t="s">
        <v>94</v>
      </c>
      <c r="B246" t="s">
        <v>103</v>
      </c>
      <c r="C246" t="s">
        <v>30</v>
      </c>
      <c r="D246" t="s">
        <v>33</v>
      </c>
      <c r="E246" t="s">
        <v>20</v>
      </c>
      <c r="F246" s="1">
        <v>0</v>
      </c>
      <c r="J246" s="6"/>
      <c r="K246" s="4"/>
      <c r="L246">
        <f t="shared" si="3"/>
        <v>0</v>
      </c>
      <c r="P246" t="s">
        <v>95</v>
      </c>
    </row>
    <row r="247" spans="1:16">
      <c r="A247" t="s">
        <v>16</v>
      </c>
      <c r="B247" t="s">
        <v>104</v>
      </c>
      <c r="C247" t="s">
        <v>18</v>
      </c>
      <c r="D247" t="s">
        <v>19</v>
      </c>
      <c r="E247" t="s">
        <v>105</v>
      </c>
      <c r="F247" s="1">
        <v>0</v>
      </c>
      <c r="J247" s="2">
        <v>45870</v>
      </c>
      <c r="K247" s="3">
        <v>46142</v>
      </c>
      <c r="L247">
        <f t="shared" si="3"/>
        <v>195</v>
      </c>
      <c r="P247" t="s">
        <v>104</v>
      </c>
    </row>
    <row r="248" spans="1:16">
      <c r="A248" t="s">
        <v>16</v>
      </c>
      <c r="B248" t="s">
        <v>104</v>
      </c>
      <c r="C248" t="s">
        <v>22</v>
      </c>
      <c r="D248" t="s">
        <v>19</v>
      </c>
      <c r="E248" t="s">
        <v>105</v>
      </c>
      <c r="F248" s="1">
        <v>0</v>
      </c>
      <c r="G248" t="s">
        <v>23</v>
      </c>
      <c r="H248" t="s">
        <v>106</v>
      </c>
      <c r="I248" t="s">
        <v>25</v>
      </c>
      <c r="J248" s="2">
        <v>45946</v>
      </c>
      <c r="K248" s="3">
        <v>45961</v>
      </c>
      <c r="L248">
        <f t="shared" si="3"/>
        <v>12</v>
      </c>
      <c r="M248" t="s">
        <v>107</v>
      </c>
      <c r="N248" t="s">
        <v>43</v>
      </c>
      <c r="O248" t="s">
        <v>108</v>
      </c>
      <c r="P248" t="s">
        <v>104</v>
      </c>
    </row>
    <row r="249" spans="1:16">
      <c r="A249" t="s">
        <v>16</v>
      </c>
      <c r="B249" t="s">
        <v>104</v>
      </c>
      <c r="C249" t="s">
        <v>28</v>
      </c>
      <c r="D249" t="s">
        <v>19</v>
      </c>
      <c r="E249" t="s">
        <v>105</v>
      </c>
      <c r="F249" s="1">
        <v>0</v>
      </c>
      <c r="J249" s="6"/>
      <c r="K249" s="4"/>
      <c r="L249">
        <f t="shared" si="3"/>
        <v>0</v>
      </c>
      <c r="P249" t="s">
        <v>104</v>
      </c>
    </row>
    <row r="250" spans="1:16">
      <c r="A250" t="s">
        <v>16</v>
      </c>
      <c r="B250" t="s">
        <v>104</v>
      </c>
      <c r="C250" t="s">
        <v>29</v>
      </c>
      <c r="D250" t="s">
        <v>19</v>
      </c>
      <c r="E250" t="s">
        <v>105</v>
      </c>
      <c r="F250" s="1">
        <v>0</v>
      </c>
      <c r="J250" s="2">
        <v>45964</v>
      </c>
      <c r="K250" s="3">
        <v>46112</v>
      </c>
      <c r="L250">
        <f t="shared" si="3"/>
        <v>107</v>
      </c>
      <c r="N250" t="s">
        <v>43</v>
      </c>
      <c r="O250" t="s">
        <v>29</v>
      </c>
      <c r="P250" t="s">
        <v>104</v>
      </c>
    </row>
    <row r="251" spans="1:16">
      <c r="A251" t="s">
        <v>16</v>
      </c>
      <c r="B251" t="s">
        <v>104</v>
      </c>
      <c r="C251" t="s">
        <v>30</v>
      </c>
      <c r="D251" t="s">
        <v>19</v>
      </c>
      <c r="E251" t="s">
        <v>105</v>
      </c>
      <c r="F251" s="1">
        <v>0</v>
      </c>
      <c r="J251" s="6"/>
      <c r="K251" s="4"/>
      <c r="L251">
        <f t="shared" si="3"/>
        <v>0</v>
      </c>
      <c r="P251" t="s">
        <v>104</v>
      </c>
    </row>
    <row r="252" spans="1:16">
      <c r="A252" t="s">
        <v>16</v>
      </c>
      <c r="B252" t="s">
        <v>109</v>
      </c>
      <c r="C252" t="s">
        <v>18</v>
      </c>
      <c r="D252" t="s">
        <v>33</v>
      </c>
      <c r="E252" t="s">
        <v>105</v>
      </c>
      <c r="F252" s="1">
        <v>0</v>
      </c>
      <c r="J252" s="6"/>
      <c r="K252" s="4"/>
      <c r="L252">
        <f t="shared" si="3"/>
        <v>0</v>
      </c>
      <c r="M252" t="s">
        <v>110</v>
      </c>
      <c r="P252" t="s">
        <v>104</v>
      </c>
    </row>
    <row r="253" spans="1:16">
      <c r="A253" t="s">
        <v>16</v>
      </c>
      <c r="B253" t="s">
        <v>109</v>
      </c>
      <c r="C253" t="s">
        <v>22</v>
      </c>
      <c r="D253" t="s">
        <v>33</v>
      </c>
      <c r="E253" t="s">
        <v>105</v>
      </c>
      <c r="F253" s="1">
        <v>0</v>
      </c>
      <c r="G253" t="s">
        <v>23</v>
      </c>
      <c r="H253" t="s">
        <v>106</v>
      </c>
      <c r="I253" t="s">
        <v>25</v>
      </c>
      <c r="J253" s="6"/>
      <c r="K253" s="4"/>
      <c r="L253">
        <f t="shared" si="3"/>
        <v>0</v>
      </c>
      <c r="P253" t="s">
        <v>104</v>
      </c>
    </row>
    <row r="254" spans="1:16">
      <c r="A254" t="s">
        <v>16</v>
      </c>
      <c r="B254" t="s">
        <v>109</v>
      </c>
      <c r="C254" t="s">
        <v>28</v>
      </c>
      <c r="D254" t="s">
        <v>33</v>
      </c>
      <c r="E254" t="s">
        <v>105</v>
      </c>
      <c r="F254" s="1">
        <v>0</v>
      </c>
      <c r="J254" s="6"/>
      <c r="K254" s="4"/>
      <c r="L254">
        <f t="shared" si="3"/>
        <v>0</v>
      </c>
      <c r="P254" t="s">
        <v>104</v>
      </c>
    </row>
    <row r="255" spans="1:16">
      <c r="A255" t="s">
        <v>16</v>
      </c>
      <c r="B255" t="s">
        <v>109</v>
      </c>
      <c r="C255" t="s">
        <v>29</v>
      </c>
      <c r="D255" t="s">
        <v>33</v>
      </c>
      <c r="E255" t="s">
        <v>105</v>
      </c>
      <c r="F255" s="1">
        <v>0</v>
      </c>
      <c r="J255" s="6"/>
      <c r="K255" s="4"/>
      <c r="L255">
        <f t="shared" si="3"/>
        <v>0</v>
      </c>
      <c r="P255" t="s">
        <v>104</v>
      </c>
    </row>
    <row r="256" spans="1:16">
      <c r="A256" t="s">
        <v>16</v>
      </c>
      <c r="B256" t="s">
        <v>109</v>
      </c>
      <c r="C256" t="s">
        <v>30</v>
      </c>
      <c r="D256" t="s">
        <v>33</v>
      </c>
      <c r="E256" t="s">
        <v>105</v>
      </c>
      <c r="F256" s="1">
        <v>0</v>
      </c>
      <c r="J256" s="6"/>
      <c r="K256" s="4"/>
      <c r="L256">
        <f t="shared" si="3"/>
        <v>0</v>
      </c>
      <c r="P256" t="s">
        <v>104</v>
      </c>
    </row>
    <row r="257" spans="1:16">
      <c r="A257" t="s">
        <v>16</v>
      </c>
      <c r="B257" t="s">
        <v>111</v>
      </c>
      <c r="C257" t="s">
        <v>18</v>
      </c>
      <c r="D257" t="s">
        <v>33</v>
      </c>
      <c r="E257" t="s">
        <v>105</v>
      </c>
      <c r="F257" s="1">
        <v>0</v>
      </c>
      <c r="J257" s="2">
        <v>45870</v>
      </c>
      <c r="K257" s="3">
        <v>46142</v>
      </c>
      <c r="L257">
        <f t="shared" si="3"/>
        <v>195</v>
      </c>
      <c r="M257" t="s">
        <v>107</v>
      </c>
      <c r="P257" t="s">
        <v>104</v>
      </c>
    </row>
    <row r="258" spans="1:16">
      <c r="A258" t="s">
        <v>16</v>
      </c>
      <c r="B258" t="s">
        <v>111</v>
      </c>
      <c r="C258" t="s">
        <v>22</v>
      </c>
      <c r="D258" t="s">
        <v>33</v>
      </c>
      <c r="E258" t="s">
        <v>105</v>
      </c>
      <c r="F258" s="1">
        <v>0</v>
      </c>
      <c r="G258" t="s">
        <v>23</v>
      </c>
      <c r="H258" t="s">
        <v>106</v>
      </c>
      <c r="I258" t="s">
        <v>25</v>
      </c>
      <c r="J258" s="6"/>
      <c r="K258" s="4"/>
      <c r="L258">
        <f t="shared" ref="L258:L321" si="4">NETWORKDAYS(J258,K258)</f>
        <v>0</v>
      </c>
      <c r="P258" t="s">
        <v>104</v>
      </c>
    </row>
    <row r="259" spans="1:16">
      <c r="A259" t="s">
        <v>16</v>
      </c>
      <c r="B259" t="s">
        <v>111</v>
      </c>
      <c r="C259" t="s">
        <v>28</v>
      </c>
      <c r="D259" t="s">
        <v>33</v>
      </c>
      <c r="E259" t="s">
        <v>105</v>
      </c>
      <c r="F259" s="1">
        <v>0</v>
      </c>
      <c r="J259" s="6"/>
      <c r="K259" s="4"/>
      <c r="L259">
        <f t="shared" si="4"/>
        <v>0</v>
      </c>
      <c r="P259" t="s">
        <v>104</v>
      </c>
    </row>
    <row r="260" spans="1:16">
      <c r="A260" t="s">
        <v>16</v>
      </c>
      <c r="B260" t="s">
        <v>111</v>
      </c>
      <c r="C260" t="s">
        <v>29</v>
      </c>
      <c r="D260" t="s">
        <v>33</v>
      </c>
      <c r="E260" t="s">
        <v>105</v>
      </c>
      <c r="F260" s="1">
        <v>0</v>
      </c>
      <c r="J260" s="6"/>
      <c r="K260" s="4"/>
      <c r="L260">
        <f t="shared" si="4"/>
        <v>0</v>
      </c>
      <c r="P260" t="s">
        <v>104</v>
      </c>
    </row>
    <row r="261" spans="1:16">
      <c r="A261" t="s">
        <v>16</v>
      </c>
      <c r="B261" t="s">
        <v>111</v>
      </c>
      <c r="C261" t="s">
        <v>30</v>
      </c>
      <c r="D261" t="s">
        <v>33</v>
      </c>
      <c r="E261" t="s">
        <v>105</v>
      </c>
      <c r="F261" s="1">
        <v>0</v>
      </c>
      <c r="J261" s="6"/>
      <c r="K261" s="4"/>
      <c r="L261">
        <f t="shared" si="4"/>
        <v>0</v>
      </c>
      <c r="P261" t="s">
        <v>104</v>
      </c>
    </row>
    <row r="262" spans="1:16">
      <c r="A262" t="s">
        <v>16</v>
      </c>
      <c r="B262" t="s">
        <v>112</v>
      </c>
      <c r="C262" t="s">
        <v>18</v>
      </c>
      <c r="D262" t="s">
        <v>58</v>
      </c>
      <c r="E262" t="s">
        <v>105</v>
      </c>
      <c r="F262" s="1">
        <v>0</v>
      </c>
      <c r="J262" s="2">
        <v>45870</v>
      </c>
      <c r="K262" s="3">
        <v>46142</v>
      </c>
      <c r="L262">
        <f t="shared" si="4"/>
        <v>195</v>
      </c>
      <c r="P262" t="s">
        <v>104</v>
      </c>
    </row>
    <row r="263" spans="1:16">
      <c r="A263" t="s">
        <v>16</v>
      </c>
      <c r="B263" t="s">
        <v>112</v>
      </c>
      <c r="C263" t="s">
        <v>22</v>
      </c>
      <c r="D263" t="s">
        <v>58</v>
      </c>
      <c r="E263" t="s">
        <v>105</v>
      </c>
      <c r="F263" s="1">
        <v>0</v>
      </c>
      <c r="G263" t="s">
        <v>23</v>
      </c>
      <c r="H263" t="s">
        <v>113</v>
      </c>
      <c r="I263" t="s">
        <v>25</v>
      </c>
      <c r="J263" s="2">
        <v>45870</v>
      </c>
      <c r="K263" s="3">
        <v>45945</v>
      </c>
      <c r="L263">
        <f t="shared" si="4"/>
        <v>54</v>
      </c>
      <c r="N263" t="s">
        <v>43</v>
      </c>
      <c r="O263" t="s">
        <v>108</v>
      </c>
      <c r="P263" t="s">
        <v>104</v>
      </c>
    </row>
    <row r="264" spans="1:16">
      <c r="A264" t="s">
        <v>16</v>
      </c>
      <c r="B264" t="s">
        <v>112</v>
      </c>
      <c r="C264" t="s">
        <v>28</v>
      </c>
      <c r="D264" t="s">
        <v>58</v>
      </c>
      <c r="E264" t="s">
        <v>105</v>
      </c>
      <c r="F264" s="1">
        <v>0</v>
      </c>
      <c r="J264" s="6"/>
      <c r="K264" s="4"/>
      <c r="L264">
        <f t="shared" si="4"/>
        <v>0</v>
      </c>
      <c r="P264" t="s">
        <v>104</v>
      </c>
    </row>
    <row r="265" spans="1:16">
      <c r="A265" t="s">
        <v>16</v>
      </c>
      <c r="B265" t="s">
        <v>112</v>
      </c>
      <c r="C265" t="s">
        <v>29</v>
      </c>
      <c r="D265" t="s">
        <v>58</v>
      </c>
      <c r="E265" t="s">
        <v>105</v>
      </c>
      <c r="F265" s="1">
        <v>0</v>
      </c>
      <c r="J265" s="2">
        <v>45946</v>
      </c>
      <c r="K265" s="3">
        <v>46142</v>
      </c>
      <c r="L265">
        <f t="shared" si="4"/>
        <v>141</v>
      </c>
      <c r="N265" t="s">
        <v>43</v>
      </c>
      <c r="O265" t="s">
        <v>29</v>
      </c>
      <c r="P265" t="s">
        <v>104</v>
      </c>
    </row>
    <row r="266" spans="1:16">
      <c r="A266" t="s">
        <v>16</v>
      </c>
      <c r="B266" t="s">
        <v>112</v>
      </c>
      <c r="C266" t="s">
        <v>30</v>
      </c>
      <c r="D266" t="s">
        <v>58</v>
      </c>
      <c r="E266" t="s">
        <v>105</v>
      </c>
      <c r="F266" s="1">
        <v>0</v>
      </c>
      <c r="J266" s="6"/>
      <c r="K266" s="4"/>
      <c r="L266">
        <f t="shared" si="4"/>
        <v>0</v>
      </c>
      <c r="P266" t="s">
        <v>104</v>
      </c>
    </row>
    <row r="267" spans="1:16">
      <c r="A267" t="s">
        <v>16</v>
      </c>
      <c r="B267" t="s">
        <v>114</v>
      </c>
      <c r="C267" t="s">
        <v>18</v>
      </c>
      <c r="D267" t="s">
        <v>33</v>
      </c>
      <c r="E267" t="s">
        <v>105</v>
      </c>
      <c r="F267" s="1">
        <v>0</v>
      </c>
      <c r="J267" s="6"/>
      <c r="K267" s="4"/>
      <c r="L267">
        <f t="shared" si="4"/>
        <v>0</v>
      </c>
      <c r="M267" t="s">
        <v>110</v>
      </c>
      <c r="P267" t="s">
        <v>104</v>
      </c>
    </row>
    <row r="268" spans="1:16">
      <c r="A268" t="s">
        <v>16</v>
      </c>
      <c r="B268" t="s">
        <v>114</v>
      </c>
      <c r="C268" t="s">
        <v>22</v>
      </c>
      <c r="D268" t="s">
        <v>33</v>
      </c>
      <c r="E268" t="s">
        <v>105</v>
      </c>
      <c r="F268" s="1">
        <v>0</v>
      </c>
      <c r="G268" t="s">
        <v>23</v>
      </c>
      <c r="H268" t="s">
        <v>106</v>
      </c>
      <c r="I268" t="s">
        <v>25</v>
      </c>
      <c r="J268" s="6"/>
      <c r="K268" s="4"/>
      <c r="L268">
        <f t="shared" si="4"/>
        <v>0</v>
      </c>
      <c r="P268" t="s">
        <v>104</v>
      </c>
    </row>
    <row r="269" spans="1:16">
      <c r="A269" t="s">
        <v>16</v>
      </c>
      <c r="B269" t="s">
        <v>114</v>
      </c>
      <c r="C269" t="s">
        <v>28</v>
      </c>
      <c r="D269" t="s">
        <v>33</v>
      </c>
      <c r="E269" t="s">
        <v>105</v>
      </c>
      <c r="F269" s="1">
        <v>0</v>
      </c>
      <c r="J269" s="6"/>
      <c r="K269" s="4"/>
      <c r="L269">
        <f t="shared" si="4"/>
        <v>0</v>
      </c>
      <c r="P269" t="s">
        <v>104</v>
      </c>
    </row>
    <row r="270" spans="1:16">
      <c r="A270" t="s">
        <v>16</v>
      </c>
      <c r="B270" t="s">
        <v>114</v>
      </c>
      <c r="C270" t="s">
        <v>29</v>
      </c>
      <c r="D270" t="s">
        <v>33</v>
      </c>
      <c r="E270" t="s">
        <v>105</v>
      </c>
      <c r="F270" s="1">
        <v>0</v>
      </c>
      <c r="J270" s="6"/>
      <c r="K270" s="4"/>
      <c r="L270">
        <f t="shared" si="4"/>
        <v>0</v>
      </c>
      <c r="P270" t="s">
        <v>104</v>
      </c>
    </row>
    <row r="271" spans="1:16">
      <c r="A271" t="s">
        <v>16</v>
      </c>
      <c r="B271" t="s">
        <v>114</v>
      </c>
      <c r="C271" t="s">
        <v>30</v>
      </c>
      <c r="D271" t="s">
        <v>33</v>
      </c>
      <c r="E271" t="s">
        <v>105</v>
      </c>
      <c r="F271" s="1">
        <v>0</v>
      </c>
      <c r="J271" s="6"/>
      <c r="K271" s="4"/>
      <c r="L271">
        <f t="shared" si="4"/>
        <v>0</v>
      </c>
      <c r="P271" t="s">
        <v>104</v>
      </c>
    </row>
    <row r="272" spans="1:16">
      <c r="A272" t="s">
        <v>39</v>
      </c>
      <c r="B272" t="s">
        <v>115</v>
      </c>
      <c r="C272" t="s">
        <v>18</v>
      </c>
      <c r="D272" t="s">
        <v>19</v>
      </c>
      <c r="E272" t="s">
        <v>105</v>
      </c>
      <c r="F272" s="1">
        <v>0</v>
      </c>
      <c r="J272" s="2">
        <v>45748</v>
      </c>
      <c r="K272" s="3">
        <v>46265</v>
      </c>
      <c r="L272">
        <f t="shared" si="4"/>
        <v>370</v>
      </c>
      <c r="P272" t="s">
        <v>115</v>
      </c>
    </row>
    <row r="273" spans="1:16">
      <c r="A273" t="s">
        <v>39</v>
      </c>
      <c r="B273" t="s">
        <v>115</v>
      </c>
      <c r="C273" t="s">
        <v>22</v>
      </c>
      <c r="D273" t="s">
        <v>19</v>
      </c>
      <c r="E273" t="s">
        <v>105</v>
      </c>
      <c r="F273" s="1">
        <v>0</v>
      </c>
      <c r="G273" t="s">
        <v>23</v>
      </c>
      <c r="H273" t="s">
        <v>116</v>
      </c>
      <c r="I273" t="s">
        <v>117</v>
      </c>
      <c r="J273" s="6"/>
      <c r="K273" s="4"/>
      <c r="L273">
        <f t="shared" si="4"/>
        <v>0</v>
      </c>
      <c r="P273" t="s">
        <v>115</v>
      </c>
    </row>
    <row r="274" spans="1:16">
      <c r="A274" t="s">
        <v>39</v>
      </c>
      <c r="B274" t="s">
        <v>115</v>
      </c>
      <c r="C274" t="s">
        <v>28</v>
      </c>
      <c r="D274" t="s">
        <v>19</v>
      </c>
      <c r="E274" t="s">
        <v>105</v>
      </c>
      <c r="F274" s="1">
        <v>0</v>
      </c>
      <c r="J274" s="6"/>
      <c r="K274" s="4"/>
      <c r="L274">
        <f t="shared" si="4"/>
        <v>0</v>
      </c>
      <c r="P274" t="s">
        <v>115</v>
      </c>
    </row>
    <row r="275" spans="1:16">
      <c r="A275" t="s">
        <v>39</v>
      </c>
      <c r="B275" t="s">
        <v>115</v>
      </c>
      <c r="C275" t="s">
        <v>29</v>
      </c>
      <c r="D275" t="s">
        <v>19</v>
      </c>
      <c r="E275" t="s">
        <v>105</v>
      </c>
      <c r="F275" s="1">
        <v>0</v>
      </c>
      <c r="J275" s="6"/>
      <c r="K275" s="4"/>
      <c r="L275">
        <f t="shared" si="4"/>
        <v>0</v>
      </c>
      <c r="P275" t="s">
        <v>115</v>
      </c>
    </row>
    <row r="276" spans="1:16">
      <c r="A276" t="s">
        <v>39</v>
      </c>
      <c r="B276" t="s">
        <v>115</v>
      </c>
      <c r="C276" t="s">
        <v>30</v>
      </c>
      <c r="D276" t="s">
        <v>19</v>
      </c>
      <c r="E276" t="s">
        <v>105</v>
      </c>
      <c r="F276" s="1">
        <v>0</v>
      </c>
      <c r="J276" s="6"/>
      <c r="K276" s="4"/>
      <c r="L276">
        <f t="shared" si="4"/>
        <v>0</v>
      </c>
      <c r="P276" t="s">
        <v>115</v>
      </c>
    </row>
    <row r="277" spans="1:16">
      <c r="A277" t="s">
        <v>39</v>
      </c>
      <c r="B277" t="s">
        <v>118</v>
      </c>
      <c r="C277" t="s">
        <v>18</v>
      </c>
      <c r="D277" t="s">
        <v>33</v>
      </c>
      <c r="E277" t="s">
        <v>105</v>
      </c>
      <c r="F277" s="1">
        <v>0</v>
      </c>
      <c r="J277" s="2">
        <v>45931</v>
      </c>
      <c r="K277" s="3">
        <v>46248</v>
      </c>
      <c r="L277">
        <f t="shared" si="4"/>
        <v>228</v>
      </c>
      <c r="P277" t="s">
        <v>115</v>
      </c>
    </row>
    <row r="278" spans="1:16">
      <c r="A278" t="s">
        <v>39</v>
      </c>
      <c r="B278" t="s">
        <v>118</v>
      </c>
      <c r="C278" t="s">
        <v>22</v>
      </c>
      <c r="D278" t="s">
        <v>33</v>
      </c>
      <c r="E278" t="s">
        <v>105</v>
      </c>
      <c r="F278" s="1">
        <v>0</v>
      </c>
      <c r="G278" t="s">
        <v>23</v>
      </c>
      <c r="H278" t="s">
        <v>116</v>
      </c>
      <c r="I278" t="s">
        <v>117</v>
      </c>
      <c r="J278" s="2">
        <v>46069</v>
      </c>
      <c r="K278" s="3">
        <v>46157</v>
      </c>
      <c r="L278">
        <f t="shared" si="4"/>
        <v>65</v>
      </c>
      <c r="O278" t="s">
        <v>27</v>
      </c>
      <c r="P278" t="s">
        <v>115</v>
      </c>
    </row>
    <row r="279" spans="1:16">
      <c r="A279" t="s">
        <v>39</v>
      </c>
      <c r="B279" t="s">
        <v>118</v>
      </c>
      <c r="C279" t="s">
        <v>28</v>
      </c>
      <c r="D279" t="s">
        <v>33</v>
      </c>
      <c r="E279" t="s">
        <v>105</v>
      </c>
      <c r="F279" s="1">
        <v>0</v>
      </c>
      <c r="J279" s="2">
        <v>46160</v>
      </c>
      <c r="K279" s="3">
        <v>46248</v>
      </c>
      <c r="L279">
        <f t="shared" si="4"/>
        <v>65</v>
      </c>
      <c r="O279" t="s">
        <v>27</v>
      </c>
      <c r="P279" t="s">
        <v>115</v>
      </c>
    </row>
    <row r="280" spans="1:16">
      <c r="A280" t="s">
        <v>39</v>
      </c>
      <c r="B280" t="s">
        <v>118</v>
      </c>
      <c r="C280" t="s">
        <v>29</v>
      </c>
      <c r="D280" t="s">
        <v>33</v>
      </c>
      <c r="E280" t="s">
        <v>105</v>
      </c>
      <c r="F280" s="1">
        <v>0</v>
      </c>
      <c r="J280" s="6"/>
      <c r="K280" s="4"/>
      <c r="L280">
        <f t="shared" si="4"/>
        <v>0</v>
      </c>
      <c r="P280" t="s">
        <v>115</v>
      </c>
    </row>
    <row r="281" spans="1:16">
      <c r="A281" t="s">
        <v>39</v>
      </c>
      <c r="B281" t="s">
        <v>118</v>
      </c>
      <c r="C281" t="s">
        <v>30</v>
      </c>
      <c r="D281" t="s">
        <v>33</v>
      </c>
      <c r="E281" t="s">
        <v>105</v>
      </c>
      <c r="F281" s="1">
        <v>0</v>
      </c>
      <c r="J281" s="6"/>
      <c r="K281" s="4"/>
      <c r="L281">
        <f t="shared" si="4"/>
        <v>0</v>
      </c>
      <c r="P281" t="s">
        <v>115</v>
      </c>
    </row>
    <row r="282" spans="1:16">
      <c r="A282" t="s">
        <v>119</v>
      </c>
      <c r="B282" t="s">
        <v>120</v>
      </c>
      <c r="C282" t="s">
        <v>18</v>
      </c>
      <c r="D282" t="s">
        <v>58</v>
      </c>
      <c r="E282" t="s">
        <v>105</v>
      </c>
      <c r="F282" s="1">
        <v>0</v>
      </c>
      <c r="J282" s="2">
        <v>46036</v>
      </c>
      <c r="K282" s="3">
        <v>46203</v>
      </c>
      <c r="L282">
        <f t="shared" si="4"/>
        <v>120</v>
      </c>
      <c r="P282" t="s">
        <v>115</v>
      </c>
    </row>
    <row r="283" spans="1:16">
      <c r="A283" t="s">
        <v>119</v>
      </c>
      <c r="B283" t="s">
        <v>120</v>
      </c>
      <c r="C283" t="s">
        <v>22</v>
      </c>
      <c r="D283" t="s">
        <v>58</v>
      </c>
      <c r="E283" t="s">
        <v>105</v>
      </c>
      <c r="F283" s="1">
        <v>0</v>
      </c>
      <c r="G283" t="s">
        <v>35</v>
      </c>
      <c r="H283" t="s">
        <v>121</v>
      </c>
      <c r="I283" t="s">
        <v>37</v>
      </c>
      <c r="J283" s="2">
        <v>46037</v>
      </c>
      <c r="K283" s="3">
        <v>46112</v>
      </c>
      <c r="L283">
        <f t="shared" si="4"/>
        <v>54</v>
      </c>
      <c r="O283" t="s">
        <v>27</v>
      </c>
      <c r="P283" t="s">
        <v>115</v>
      </c>
    </row>
    <row r="284" spans="1:16">
      <c r="A284" t="s">
        <v>119</v>
      </c>
      <c r="B284" t="s">
        <v>120</v>
      </c>
      <c r="C284" t="s">
        <v>28</v>
      </c>
      <c r="D284" t="s">
        <v>58</v>
      </c>
      <c r="E284" t="s">
        <v>105</v>
      </c>
      <c r="F284" s="1">
        <v>0</v>
      </c>
      <c r="J284" s="2">
        <v>46127</v>
      </c>
      <c r="K284" s="3">
        <v>46188</v>
      </c>
      <c r="L284">
        <f t="shared" si="4"/>
        <v>44</v>
      </c>
      <c r="O284" t="s">
        <v>27</v>
      </c>
      <c r="P284" t="s">
        <v>115</v>
      </c>
    </row>
    <row r="285" spans="1:16">
      <c r="A285" t="s">
        <v>119</v>
      </c>
      <c r="B285" t="s">
        <v>120</v>
      </c>
      <c r="C285" t="s">
        <v>29</v>
      </c>
      <c r="D285" t="s">
        <v>58</v>
      </c>
      <c r="E285" t="s">
        <v>105</v>
      </c>
      <c r="F285" s="1">
        <v>0</v>
      </c>
      <c r="J285" s="6"/>
      <c r="K285" s="3">
        <v>46203</v>
      </c>
      <c r="L285">
        <f t="shared" si="4"/>
        <v>33002</v>
      </c>
      <c r="P285" t="s">
        <v>115</v>
      </c>
    </row>
    <row r="286" spans="1:16">
      <c r="A286" t="s">
        <v>119</v>
      </c>
      <c r="B286" t="s">
        <v>120</v>
      </c>
      <c r="C286" t="s">
        <v>30</v>
      </c>
      <c r="D286" t="s">
        <v>58</v>
      </c>
      <c r="E286" t="s">
        <v>105</v>
      </c>
      <c r="F286" s="1">
        <v>0</v>
      </c>
      <c r="J286" s="2">
        <v>46036</v>
      </c>
      <c r="K286" s="3">
        <v>46036</v>
      </c>
      <c r="L286">
        <f t="shared" si="4"/>
        <v>1</v>
      </c>
      <c r="O286" t="s">
        <v>27</v>
      </c>
      <c r="P286" t="s">
        <v>115</v>
      </c>
    </row>
    <row r="287" spans="1:16">
      <c r="A287" t="s">
        <v>119</v>
      </c>
      <c r="B287" t="s">
        <v>122</v>
      </c>
      <c r="C287" t="s">
        <v>18</v>
      </c>
      <c r="D287" t="s">
        <v>58</v>
      </c>
      <c r="E287" t="s">
        <v>105</v>
      </c>
      <c r="F287" s="1">
        <v>0</v>
      </c>
      <c r="J287" s="2">
        <v>45931</v>
      </c>
      <c r="K287" s="3">
        <v>46142</v>
      </c>
      <c r="L287">
        <f t="shared" si="4"/>
        <v>152</v>
      </c>
      <c r="M287" t="s">
        <v>123</v>
      </c>
      <c r="P287" t="s">
        <v>115</v>
      </c>
    </row>
    <row r="288" spans="1:16">
      <c r="A288" t="s">
        <v>119</v>
      </c>
      <c r="B288" t="s">
        <v>122</v>
      </c>
      <c r="C288" t="s">
        <v>22</v>
      </c>
      <c r="D288" t="s">
        <v>58</v>
      </c>
      <c r="E288" t="s">
        <v>105</v>
      </c>
      <c r="F288" s="1">
        <v>0</v>
      </c>
      <c r="G288" t="s">
        <v>35</v>
      </c>
      <c r="H288" t="s">
        <v>124</v>
      </c>
      <c r="I288" t="s">
        <v>50</v>
      </c>
      <c r="J288" s="2">
        <v>45931</v>
      </c>
      <c r="K288" s="3">
        <v>46014</v>
      </c>
      <c r="L288">
        <f t="shared" si="4"/>
        <v>60</v>
      </c>
      <c r="N288" t="s">
        <v>43</v>
      </c>
      <c r="O288" t="s">
        <v>26</v>
      </c>
      <c r="P288" t="s">
        <v>115</v>
      </c>
    </row>
    <row r="289" spans="1:16">
      <c r="A289" t="s">
        <v>119</v>
      </c>
      <c r="B289" t="s">
        <v>122</v>
      </c>
      <c r="C289" t="s">
        <v>28</v>
      </c>
      <c r="D289" t="s">
        <v>58</v>
      </c>
      <c r="E289" t="s">
        <v>105</v>
      </c>
      <c r="F289" s="1">
        <v>0</v>
      </c>
      <c r="J289" s="2">
        <v>46069</v>
      </c>
      <c r="K289" s="3">
        <v>46142</v>
      </c>
      <c r="L289">
        <f t="shared" si="4"/>
        <v>54</v>
      </c>
      <c r="O289" t="s">
        <v>27</v>
      </c>
      <c r="P289" t="s">
        <v>115</v>
      </c>
    </row>
    <row r="290" spans="1:16">
      <c r="A290" t="s">
        <v>119</v>
      </c>
      <c r="B290" t="s">
        <v>122</v>
      </c>
      <c r="C290" t="s">
        <v>29</v>
      </c>
      <c r="D290" t="s">
        <v>58</v>
      </c>
      <c r="E290" t="s">
        <v>105</v>
      </c>
      <c r="F290" s="1">
        <v>0</v>
      </c>
      <c r="J290" s="2">
        <v>45946</v>
      </c>
      <c r="K290" s="3">
        <v>46022</v>
      </c>
      <c r="L290">
        <f t="shared" si="4"/>
        <v>55</v>
      </c>
      <c r="N290" t="s">
        <v>43</v>
      </c>
      <c r="O290" t="s">
        <v>29</v>
      </c>
      <c r="P290" t="s">
        <v>115</v>
      </c>
    </row>
    <row r="291" spans="1:16">
      <c r="A291" t="s">
        <v>119</v>
      </c>
      <c r="B291" t="s">
        <v>122</v>
      </c>
      <c r="C291" t="s">
        <v>30</v>
      </c>
      <c r="D291" t="s">
        <v>58</v>
      </c>
      <c r="E291" t="s">
        <v>105</v>
      </c>
      <c r="F291" s="1">
        <v>0</v>
      </c>
      <c r="J291" s="6"/>
      <c r="K291" s="4"/>
      <c r="L291">
        <f t="shared" si="4"/>
        <v>0</v>
      </c>
      <c r="P291" t="s">
        <v>115</v>
      </c>
    </row>
    <row r="292" spans="1:16">
      <c r="A292" t="s">
        <v>119</v>
      </c>
      <c r="B292" t="s">
        <v>125</v>
      </c>
      <c r="C292" t="s">
        <v>18</v>
      </c>
      <c r="D292" t="s">
        <v>126</v>
      </c>
      <c r="E292" t="s">
        <v>105</v>
      </c>
      <c r="F292" s="1">
        <v>0</v>
      </c>
      <c r="J292" s="6"/>
      <c r="K292" s="4"/>
      <c r="L292">
        <f t="shared" si="4"/>
        <v>0</v>
      </c>
      <c r="M292" t="s">
        <v>123</v>
      </c>
      <c r="P292" t="s">
        <v>115</v>
      </c>
    </row>
    <row r="293" spans="1:16">
      <c r="A293" t="s">
        <v>119</v>
      </c>
      <c r="B293" t="s">
        <v>125</v>
      </c>
      <c r="C293" t="s">
        <v>22</v>
      </c>
      <c r="D293" t="s">
        <v>126</v>
      </c>
      <c r="E293" t="s">
        <v>105</v>
      </c>
      <c r="F293" s="1">
        <v>0</v>
      </c>
      <c r="G293" t="s">
        <v>35</v>
      </c>
      <c r="H293" t="s">
        <v>124</v>
      </c>
      <c r="I293" t="s">
        <v>50</v>
      </c>
      <c r="J293" s="6"/>
      <c r="K293" s="4"/>
      <c r="L293">
        <f t="shared" si="4"/>
        <v>0</v>
      </c>
      <c r="P293" t="s">
        <v>115</v>
      </c>
    </row>
    <row r="294" spans="1:16">
      <c r="A294" t="s">
        <v>119</v>
      </c>
      <c r="B294" t="s">
        <v>125</v>
      </c>
      <c r="C294" t="s">
        <v>28</v>
      </c>
      <c r="D294" t="s">
        <v>126</v>
      </c>
      <c r="E294" t="s">
        <v>105</v>
      </c>
      <c r="F294" s="1">
        <v>0</v>
      </c>
      <c r="J294" s="6"/>
      <c r="K294" s="4"/>
      <c r="L294">
        <f t="shared" si="4"/>
        <v>0</v>
      </c>
      <c r="P294" t="s">
        <v>115</v>
      </c>
    </row>
    <row r="295" spans="1:16">
      <c r="A295" t="s">
        <v>119</v>
      </c>
      <c r="B295" t="s">
        <v>125</v>
      </c>
      <c r="C295" t="s">
        <v>29</v>
      </c>
      <c r="D295" t="s">
        <v>126</v>
      </c>
      <c r="E295" t="s">
        <v>105</v>
      </c>
      <c r="F295" s="1">
        <v>0</v>
      </c>
      <c r="J295" s="6"/>
      <c r="K295" s="4"/>
      <c r="L295">
        <f t="shared" si="4"/>
        <v>0</v>
      </c>
      <c r="P295" t="s">
        <v>115</v>
      </c>
    </row>
    <row r="296" spans="1:16">
      <c r="A296" t="s">
        <v>119</v>
      </c>
      <c r="B296" t="s">
        <v>125</v>
      </c>
      <c r="C296" t="s">
        <v>30</v>
      </c>
      <c r="D296" t="s">
        <v>126</v>
      </c>
      <c r="E296" t="s">
        <v>105</v>
      </c>
      <c r="F296" s="1">
        <v>0</v>
      </c>
      <c r="J296" s="6"/>
      <c r="K296" s="4"/>
      <c r="L296">
        <f t="shared" si="4"/>
        <v>0</v>
      </c>
      <c r="P296" t="s">
        <v>115</v>
      </c>
    </row>
    <row r="297" spans="1:16">
      <c r="A297" t="s">
        <v>119</v>
      </c>
      <c r="B297" t="s">
        <v>127</v>
      </c>
      <c r="C297" t="s">
        <v>18</v>
      </c>
      <c r="D297" t="s">
        <v>126</v>
      </c>
      <c r="E297" t="s">
        <v>105</v>
      </c>
      <c r="F297" s="1">
        <v>0</v>
      </c>
      <c r="J297" s="6"/>
      <c r="K297" s="4"/>
      <c r="L297">
        <f t="shared" si="4"/>
        <v>0</v>
      </c>
      <c r="M297" t="s">
        <v>123</v>
      </c>
      <c r="P297" t="s">
        <v>115</v>
      </c>
    </row>
    <row r="298" spans="1:16">
      <c r="A298" t="s">
        <v>119</v>
      </c>
      <c r="B298" t="s">
        <v>127</v>
      </c>
      <c r="C298" t="s">
        <v>22</v>
      </c>
      <c r="D298" t="s">
        <v>126</v>
      </c>
      <c r="E298" t="s">
        <v>105</v>
      </c>
      <c r="F298" s="1">
        <v>0</v>
      </c>
      <c r="G298" t="s">
        <v>35</v>
      </c>
      <c r="H298" t="s">
        <v>124</v>
      </c>
      <c r="I298" t="s">
        <v>50</v>
      </c>
      <c r="J298" s="6"/>
      <c r="K298" s="4"/>
      <c r="L298">
        <f t="shared" si="4"/>
        <v>0</v>
      </c>
      <c r="P298" t="s">
        <v>115</v>
      </c>
    </row>
    <row r="299" spans="1:16">
      <c r="A299" t="s">
        <v>119</v>
      </c>
      <c r="B299" t="s">
        <v>127</v>
      </c>
      <c r="C299" t="s">
        <v>28</v>
      </c>
      <c r="D299" t="s">
        <v>126</v>
      </c>
      <c r="E299" t="s">
        <v>105</v>
      </c>
      <c r="F299" s="1">
        <v>0</v>
      </c>
      <c r="J299" s="6"/>
      <c r="K299" s="4"/>
      <c r="L299">
        <f t="shared" si="4"/>
        <v>0</v>
      </c>
      <c r="P299" t="s">
        <v>115</v>
      </c>
    </row>
    <row r="300" spans="1:16">
      <c r="A300" t="s">
        <v>119</v>
      </c>
      <c r="B300" t="s">
        <v>127</v>
      </c>
      <c r="C300" t="s">
        <v>29</v>
      </c>
      <c r="D300" t="s">
        <v>126</v>
      </c>
      <c r="E300" t="s">
        <v>105</v>
      </c>
      <c r="F300" s="1">
        <v>0</v>
      </c>
      <c r="J300" s="6"/>
      <c r="K300" s="4"/>
      <c r="L300">
        <f t="shared" si="4"/>
        <v>0</v>
      </c>
      <c r="P300" t="s">
        <v>115</v>
      </c>
    </row>
    <row r="301" spans="1:16">
      <c r="A301" t="s">
        <v>119</v>
      </c>
      <c r="B301" t="s">
        <v>127</v>
      </c>
      <c r="C301" t="s">
        <v>30</v>
      </c>
      <c r="D301" t="s">
        <v>126</v>
      </c>
      <c r="E301" t="s">
        <v>105</v>
      </c>
      <c r="F301" s="1">
        <v>0</v>
      </c>
      <c r="J301" s="6"/>
      <c r="K301" s="4"/>
      <c r="L301">
        <f t="shared" si="4"/>
        <v>0</v>
      </c>
      <c r="P301" t="s">
        <v>115</v>
      </c>
    </row>
    <row r="302" spans="1:16">
      <c r="A302" t="s">
        <v>119</v>
      </c>
      <c r="B302" t="s">
        <v>128</v>
      </c>
      <c r="C302" t="s">
        <v>18</v>
      </c>
      <c r="D302" t="s">
        <v>126</v>
      </c>
      <c r="E302" t="s">
        <v>105</v>
      </c>
      <c r="F302" s="1">
        <v>0</v>
      </c>
      <c r="J302" s="6"/>
      <c r="K302" s="4"/>
      <c r="L302">
        <f t="shared" si="4"/>
        <v>0</v>
      </c>
      <c r="M302" t="s">
        <v>123</v>
      </c>
      <c r="P302" t="s">
        <v>115</v>
      </c>
    </row>
    <row r="303" spans="1:16">
      <c r="A303" t="s">
        <v>119</v>
      </c>
      <c r="B303" t="s">
        <v>128</v>
      </c>
      <c r="C303" t="s">
        <v>22</v>
      </c>
      <c r="D303" t="s">
        <v>126</v>
      </c>
      <c r="E303" t="s">
        <v>105</v>
      </c>
      <c r="F303" s="1">
        <v>0</v>
      </c>
      <c r="G303" t="s">
        <v>35</v>
      </c>
      <c r="H303" t="s">
        <v>124</v>
      </c>
      <c r="I303" t="s">
        <v>50</v>
      </c>
      <c r="J303" s="6"/>
      <c r="K303" s="4"/>
      <c r="L303">
        <f t="shared" si="4"/>
        <v>0</v>
      </c>
      <c r="P303" t="s">
        <v>115</v>
      </c>
    </row>
    <row r="304" spans="1:16">
      <c r="A304" t="s">
        <v>119</v>
      </c>
      <c r="B304" t="s">
        <v>128</v>
      </c>
      <c r="C304" t="s">
        <v>28</v>
      </c>
      <c r="D304" t="s">
        <v>126</v>
      </c>
      <c r="E304" t="s">
        <v>105</v>
      </c>
      <c r="F304" s="1">
        <v>0</v>
      </c>
      <c r="J304" s="6"/>
      <c r="K304" s="4"/>
      <c r="L304">
        <f t="shared" si="4"/>
        <v>0</v>
      </c>
      <c r="P304" t="s">
        <v>115</v>
      </c>
    </row>
    <row r="305" spans="1:16">
      <c r="A305" t="s">
        <v>119</v>
      </c>
      <c r="B305" t="s">
        <v>128</v>
      </c>
      <c r="C305" t="s">
        <v>29</v>
      </c>
      <c r="D305" t="s">
        <v>126</v>
      </c>
      <c r="E305" t="s">
        <v>105</v>
      </c>
      <c r="F305" s="1">
        <v>0</v>
      </c>
      <c r="J305" s="6"/>
      <c r="K305" s="4"/>
      <c r="L305">
        <f t="shared" si="4"/>
        <v>0</v>
      </c>
      <c r="P305" t="s">
        <v>115</v>
      </c>
    </row>
    <row r="306" spans="1:16">
      <c r="A306" t="s">
        <v>119</v>
      </c>
      <c r="B306" t="s">
        <v>128</v>
      </c>
      <c r="C306" t="s">
        <v>30</v>
      </c>
      <c r="D306" t="s">
        <v>126</v>
      </c>
      <c r="E306" t="s">
        <v>105</v>
      </c>
      <c r="F306" s="1">
        <v>0</v>
      </c>
      <c r="J306" s="6"/>
      <c r="K306" s="4"/>
      <c r="L306">
        <f t="shared" si="4"/>
        <v>0</v>
      </c>
      <c r="P306" t="s">
        <v>115</v>
      </c>
    </row>
    <row r="307" spans="1:16">
      <c r="A307" t="s">
        <v>119</v>
      </c>
      <c r="B307" t="s">
        <v>129</v>
      </c>
      <c r="C307" t="s">
        <v>18</v>
      </c>
      <c r="D307" t="s">
        <v>126</v>
      </c>
      <c r="E307" t="s">
        <v>105</v>
      </c>
      <c r="F307" s="1">
        <v>0</v>
      </c>
      <c r="J307" s="6"/>
      <c r="K307" s="4"/>
      <c r="L307">
        <f t="shared" si="4"/>
        <v>0</v>
      </c>
      <c r="M307" t="s">
        <v>123</v>
      </c>
      <c r="P307" t="s">
        <v>115</v>
      </c>
    </row>
    <row r="308" spans="1:16">
      <c r="A308" t="s">
        <v>119</v>
      </c>
      <c r="B308" t="s">
        <v>129</v>
      </c>
      <c r="C308" t="s">
        <v>22</v>
      </c>
      <c r="D308" t="s">
        <v>126</v>
      </c>
      <c r="E308" t="s">
        <v>105</v>
      </c>
      <c r="F308" s="1">
        <v>0</v>
      </c>
      <c r="G308" t="s">
        <v>35</v>
      </c>
      <c r="H308" t="s">
        <v>124</v>
      </c>
      <c r="I308" t="s">
        <v>50</v>
      </c>
      <c r="J308" s="6"/>
      <c r="K308" s="4"/>
      <c r="L308">
        <f t="shared" si="4"/>
        <v>0</v>
      </c>
      <c r="P308" t="s">
        <v>115</v>
      </c>
    </row>
    <row r="309" spans="1:16">
      <c r="A309" t="s">
        <v>119</v>
      </c>
      <c r="B309" t="s">
        <v>129</v>
      </c>
      <c r="C309" t="s">
        <v>28</v>
      </c>
      <c r="D309" t="s">
        <v>126</v>
      </c>
      <c r="E309" t="s">
        <v>105</v>
      </c>
      <c r="F309" s="1">
        <v>0</v>
      </c>
      <c r="J309" s="6"/>
      <c r="K309" s="4"/>
      <c r="L309">
        <f t="shared" si="4"/>
        <v>0</v>
      </c>
      <c r="P309" t="s">
        <v>115</v>
      </c>
    </row>
    <row r="310" spans="1:16">
      <c r="A310" t="s">
        <v>119</v>
      </c>
      <c r="B310" t="s">
        <v>129</v>
      </c>
      <c r="C310" t="s">
        <v>29</v>
      </c>
      <c r="D310" t="s">
        <v>126</v>
      </c>
      <c r="E310" t="s">
        <v>105</v>
      </c>
      <c r="F310" s="1">
        <v>0</v>
      </c>
      <c r="J310" s="6"/>
      <c r="K310" s="4"/>
      <c r="L310">
        <f t="shared" si="4"/>
        <v>0</v>
      </c>
      <c r="P310" t="s">
        <v>115</v>
      </c>
    </row>
    <row r="311" spans="1:16">
      <c r="A311" t="s">
        <v>119</v>
      </c>
      <c r="B311" t="s">
        <v>129</v>
      </c>
      <c r="C311" t="s">
        <v>30</v>
      </c>
      <c r="D311" t="s">
        <v>126</v>
      </c>
      <c r="E311" t="s">
        <v>105</v>
      </c>
      <c r="F311" s="1">
        <v>0</v>
      </c>
      <c r="J311" s="6"/>
      <c r="K311" s="4"/>
      <c r="L311">
        <f t="shared" si="4"/>
        <v>0</v>
      </c>
      <c r="P311" t="s">
        <v>115</v>
      </c>
    </row>
    <row r="312" spans="1:16">
      <c r="A312" t="s">
        <v>119</v>
      </c>
      <c r="B312" t="s">
        <v>130</v>
      </c>
      <c r="C312" t="s">
        <v>18</v>
      </c>
      <c r="D312" t="s">
        <v>126</v>
      </c>
      <c r="E312" t="s">
        <v>105</v>
      </c>
      <c r="F312" s="1">
        <v>0</v>
      </c>
      <c r="J312" s="6"/>
      <c r="K312" s="4"/>
      <c r="L312">
        <f t="shared" si="4"/>
        <v>0</v>
      </c>
      <c r="M312" t="s">
        <v>123</v>
      </c>
      <c r="P312" t="s">
        <v>115</v>
      </c>
    </row>
    <row r="313" spans="1:16">
      <c r="A313" t="s">
        <v>119</v>
      </c>
      <c r="B313" t="s">
        <v>130</v>
      </c>
      <c r="C313" t="s">
        <v>22</v>
      </c>
      <c r="D313" t="s">
        <v>126</v>
      </c>
      <c r="E313" t="s">
        <v>105</v>
      </c>
      <c r="F313" s="1">
        <v>0</v>
      </c>
      <c r="G313" t="s">
        <v>35</v>
      </c>
      <c r="H313" t="s">
        <v>124</v>
      </c>
      <c r="I313" t="s">
        <v>50</v>
      </c>
      <c r="J313" s="6"/>
      <c r="K313" s="4"/>
      <c r="L313">
        <f t="shared" si="4"/>
        <v>0</v>
      </c>
      <c r="P313" t="s">
        <v>115</v>
      </c>
    </row>
    <row r="314" spans="1:16">
      <c r="A314" t="s">
        <v>119</v>
      </c>
      <c r="B314" t="s">
        <v>130</v>
      </c>
      <c r="C314" t="s">
        <v>28</v>
      </c>
      <c r="D314" t="s">
        <v>126</v>
      </c>
      <c r="E314" t="s">
        <v>105</v>
      </c>
      <c r="F314" s="1">
        <v>0</v>
      </c>
      <c r="J314" s="6"/>
      <c r="K314" s="4"/>
      <c r="L314">
        <f t="shared" si="4"/>
        <v>0</v>
      </c>
      <c r="P314" t="s">
        <v>115</v>
      </c>
    </row>
    <row r="315" spans="1:16">
      <c r="A315" t="s">
        <v>119</v>
      </c>
      <c r="B315" t="s">
        <v>130</v>
      </c>
      <c r="C315" t="s">
        <v>29</v>
      </c>
      <c r="D315" t="s">
        <v>126</v>
      </c>
      <c r="E315" t="s">
        <v>105</v>
      </c>
      <c r="F315" s="1">
        <v>0</v>
      </c>
      <c r="J315" s="6"/>
      <c r="K315" s="4"/>
      <c r="L315">
        <f t="shared" si="4"/>
        <v>0</v>
      </c>
      <c r="P315" t="s">
        <v>115</v>
      </c>
    </row>
    <row r="316" spans="1:16">
      <c r="A316" t="s">
        <v>119</v>
      </c>
      <c r="B316" t="s">
        <v>130</v>
      </c>
      <c r="C316" t="s">
        <v>30</v>
      </c>
      <c r="D316" t="s">
        <v>126</v>
      </c>
      <c r="E316" t="s">
        <v>105</v>
      </c>
      <c r="F316" s="1">
        <v>0</v>
      </c>
      <c r="J316" s="6"/>
      <c r="K316" s="4"/>
      <c r="L316">
        <f t="shared" si="4"/>
        <v>0</v>
      </c>
      <c r="P316" t="s">
        <v>115</v>
      </c>
    </row>
    <row r="317" spans="1:16">
      <c r="A317" t="s">
        <v>39</v>
      </c>
      <c r="B317" t="s">
        <v>131</v>
      </c>
      <c r="C317" t="s">
        <v>18</v>
      </c>
      <c r="D317" t="s">
        <v>33</v>
      </c>
      <c r="E317" t="s">
        <v>105</v>
      </c>
      <c r="F317" s="1">
        <v>0</v>
      </c>
      <c r="J317" s="2">
        <v>45803</v>
      </c>
      <c r="K317" s="3">
        <v>46157</v>
      </c>
      <c r="L317">
        <f t="shared" si="4"/>
        <v>255</v>
      </c>
      <c r="P317" t="s">
        <v>115</v>
      </c>
    </row>
    <row r="318" spans="1:16">
      <c r="A318" t="s">
        <v>39</v>
      </c>
      <c r="B318" t="s">
        <v>131</v>
      </c>
      <c r="C318" t="s">
        <v>22</v>
      </c>
      <c r="D318" t="s">
        <v>33</v>
      </c>
      <c r="E318" t="s">
        <v>105</v>
      </c>
      <c r="F318" s="1">
        <v>0</v>
      </c>
      <c r="G318" t="s">
        <v>23</v>
      </c>
      <c r="H318" t="s">
        <v>116</v>
      </c>
      <c r="J318" s="2">
        <v>46069</v>
      </c>
      <c r="K318" s="3">
        <v>46157</v>
      </c>
      <c r="L318">
        <f t="shared" si="4"/>
        <v>65</v>
      </c>
      <c r="O318" t="s">
        <v>27</v>
      </c>
      <c r="P318" t="s">
        <v>115</v>
      </c>
    </row>
    <row r="319" spans="1:16">
      <c r="A319" t="s">
        <v>39</v>
      </c>
      <c r="B319" t="s">
        <v>131</v>
      </c>
      <c r="C319" t="s">
        <v>28</v>
      </c>
      <c r="D319" t="s">
        <v>33</v>
      </c>
      <c r="E319" t="s">
        <v>105</v>
      </c>
      <c r="F319" s="1">
        <v>0</v>
      </c>
      <c r="J319" s="2">
        <v>45803</v>
      </c>
      <c r="K319" s="3">
        <v>45884</v>
      </c>
      <c r="L319">
        <f t="shared" si="4"/>
        <v>60</v>
      </c>
      <c r="N319" t="s">
        <v>43</v>
      </c>
      <c r="O319" t="s">
        <v>132</v>
      </c>
      <c r="P319" t="s">
        <v>115</v>
      </c>
    </row>
    <row r="320" spans="1:16">
      <c r="A320" t="s">
        <v>39</v>
      </c>
      <c r="B320" t="s">
        <v>131</v>
      </c>
      <c r="C320" t="s">
        <v>29</v>
      </c>
      <c r="D320" t="s">
        <v>33</v>
      </c>
      <c r="E320" t="s">
        <v>105</v>
      </c>
      <c r="F320" s="1">
        <v>0</v>
      </c>
      <c r="J320" s="6"/>
      <c r="K320" s="4"/>
      <c r="L320">
        <f t="shared" si="4"/>
        <v>0</v>
      </c>
      <c r="P320" t="s">
        <v>115</v>
      </c>
    </row>
    <row r="321" spans="1:16">
      <c r="A321" t="s">
        <v>39</v>
      </c>
      <c r="B321" t="s">
        <v>131</v>
      </c>
      <c r="C321" t="s">
        <v>30</v>
      </c>
      <c r="D321" t="s">
        <v>33</v>
      </c>
      <c r="E321" t="s">
        <v>105</v>
      </c>
      <c r="F321" s="1">
        <v>0</v>
      </c>
      <c r="J321" s="6"/>
      <c r="K321" s="4"/>
      <c r="L321">
        <f t="shared" si="4"/>
        <v>0</v>
      </c>
      <c r="P321" t="s">
        <v>115</v>
      </c>
    </row>
    <row r="322" spans="1:16">
      <c r="A322" t="s">
        <v>39</v>
      </c>
      <c r="B322" t="s">
        <v>133</v>
      </c>
      <c r="C322" t="s">
        <v>18</v>
      </c>
      <c r="D322" t="s">
        <v>33</v>
      </c>
      <c r="E322" t="s">
        <v>105</v>
      </c>
      <c r="F322" s="1">
        <v>0</v>
      </c>
      <c r="J322" s="2">
        <v>46127</v>
      </c>
      <c r="K322" s="3">
        <v>46265</v>
      </c>
      <c r="L322">
        <f t="shared" ref="L322:L385" si="5">NETWORKDAYS(J322,K322)</f>
        <v>99</v>
      </c>
      <c r="P322" t="s">
        <v>115</v>
      </c>
    </row>
    <row r="323" spans="1:16">
      <c r="A323" t="s">
        <v>39</v>
      </c>
      <c r="B323" t="s">
        <v>133</v>
      </c>
      <c r="C323" t="s">
        <v>22</v>
      </c>
      <c r="D323" t="s">
        <v>33</v>
      </c>
      <c r="E323" t="s">
        <v>105</v>
      </c>
      <c r="F323" s="1">
        <v>0</v>
      </c>
      <c r="G323" t="s">
        <v>23</v>
      </c>
      <c r="H323" t="s">
        <v>116</v>
      </c>
      <c r="I323" t="s">
        <v>117</v>
      </c>
      <c r="J323" s="2">
        <v>46127</v>
      </c>
      <c r="K323" s="3">
        <v>46188</v>
      </c>
      <c r="L323">
        <f t="shared" si="5"/>
        <v>44</v>
      </c>
      <c r="O323" t="s">
        <v>27</v>
      </c>
      <c r="P323" t="s">
        <v>115</v>
      </c>
    </row>
    <row r="324" spans="1:16">
      <c r="A324" t="s">
        <v>39</v>
      </c>
      <c r="B324" t="s">
        <v>133</v>
      </c>
      <c r="C324" t="s">
        <v>28</v>
      </c>
      <c r="D324" t="s">
        <v>33</v>
      </c>
      <c r="E324" t="s">
        <v>105</v>
      </c>
      <c r="F324" s="1">
        <v>0</v>
      </c>
      <c r="J324" s="2">
        <v>46218</v>
      </c>
      <c r="K324" s="3">
        <v>46265</v>
      </c>
      <c r="L324">
        <f t="shared" si="5"/>
        <v>34</v>
      </c>
      <c r="O324" t="s">
        <v>27</v>
      </c>
      <c r="P324" t="s">
        <v>115</v>
      </c>
    </row>
    <row r="325" spans="1:16">
      <c r="A325" t="s">
        <v>39</v>
      </c>
      <c r="B325" t="s">
        <v>133</v>
      </c>
      <c r="C325" t="s">
        <v>29</v>
      </c>
      <c r="D325" t="s">
        <v>33</v>
      </c>
      <c r="E325" t="s">
        <v>105</v>
      </c>
      <c r="F325" s="1">
        <v>0</v>
      </c>
      <c r="J325" s="6"/>
      <c r="K325" s="4"/>
      <c r="L325">
        <f t="shared" si="5"/>
        <v>0</v>
      </c>
      <c r="P325" t="s">
        <v>115</v>
      </c>
    </row>
    <row r="326" spans="1:16">
      <c r="A326" t="s">
        <v>39</v>
      </c>
      <c r="B326" t="s">
        <v>133</v>
      </c>
      <c r="C326" t="s">
        <v>30</v>
      </c>
      <c r="D326" t="s">
        <v>33</v>
      </c>
      <c r="E326" t="s">
        <v>105</v>
      </c>
      <c r="F326" s="1">
        <v>0</v>
      </c>
      <c r="J326" s="6"/>
      <c r="K326" s="4"/>
      <c r="L326">
        <f t="shared" si="5"/>
        <v>0</v>
      </c>
      <c r="P326" t="s">
        <v>115</v>
      </c>
    </row>
    <row r="327" spans="1:16">
      <c r="B327" t="s">
        <v>134</v>
      </c>
      <c r="C327" t="s">
        <v>18</v>
      </c>
      <c r="D327" t="s">
        <v>33</v>
      </c>
      <c r="E327" t="s">
        <v>105</v>
      </c>
      <c r="F327" s="1">
        <v>0</v>
      </c>
      <c r="J327" s="2">
        <v>46127</v>
      </c>
      <c r="K327" s="3">
        <v>46265</v>
      </c>
      <c r="L327">
        <f t="shared" si="5"/>
        <v>99</v>
      </c>
      <c r="P327" t="s">
        <v>115</v>
      </c>
    </row>
    <row r="328" spans="1:16">
      <c r="A328" t="s">
        <v>39</v>
      </c>
      <c r="B328" t="s">
        <v>134</v>
      </c>
      <c r="C328" t="s">
        <v>22</v>
      </c>
      <c r="D328" t="s">
        <v>33</v>
      </c>
      <c r="E328" t="s">
        <v>105</v>
      </c>
      <c r="F328" s="1">
        <v>0</v>
      </c>
      <c r="G328" t="s">
        <v>23</v>
      </c>
      <c r="H328" t="s">
        <v>116</v>
      </c>
      <c r="I328" t="s">
        <v>117</v>
      </c>
      <c r="J328" s="2">
        <v>46127</v>
      </c>
      <c r="K328" s="3">
        <v>46188</v>
      </c>
      <c r="L328">
        <f t="shared" si="5"/>
        <v>44</v>
      </c>
      <c r="O328" t="s">
        <v>27</v>
      </c>
      <c r="P328" t="s">
        <v>115</v>
      </c>
    </row>
    <row r="329" spans="1:16">
      <c r="A329" t="s">
        <v>39</v>
      </c>
      <c r="B329" t="s">
        <v>134</v>
      </c>
      <c r="C329" t="s">
        <v>28</v>
      </c>
      <c r="D329" t="s">
        <v>33</v>
      </c>
      <c r="E329" t="s">
        <v>105</v>
      </c>
      <c r="F329" s="1">
        <v>0</v>
      </c>
      <c r="J329" s="2">
        <v>46218</v>
      </c>
      <c r="K329" s="3">
        <v>46265</v>
      </c>
      <c r="L329">
        <f t="shared" si="5"/>
        <v>34</v>
      </c>
      <c r="O329" t="s">
        <v>27</v>
      </c>
      <c r="P329" t="s">
        <v>115</v>
      </c>
    </row>
    <row r="330" spans="1:16">
      <c r="A330" t="s">
        <v>39</v>
      </c>
      <c r="B330" t="s">
        <v>134</v>
      </c>
      <c r="C330" t="s">
        <v>29</v>
      </c>
      <c r="D330" t="s">
        <v>33</v>
      </c>
      <c r="E330" t="s">
        <v>105</v>
      </c>
      <c r="F330" s="1">
        <v>0</v>
      </c>
      <c r="J330" s="6"/>
      <c r="K330" s="4"/>
      <c r="L330">
        <f t="shared" si="5"/>
        <v>0</v>
      </c>
      <c r="P330" t="s">
        <v>115</v>
      </c>
    </row>
    <row r="331" spans="1:16">
      <c r="A331" t="s">
        <v>39</v>
      </c>
      <c r="B331" t="s">
        <v>134</v>
      </c>
      <c r="C331" t="s">
        <v>30</v>
      </c>
      <c r="D331" t="s">
        <v>33</v>
      </c>
      <c r="E331" t="s">
        <v>105</v>
      </c>
      <c r="F331" s="1">
        <v>0</v>
      </c>
      <c r="J331" s="6"/>
      <c r="K331" s="4"/>
      <c r="L331">
        <f t="shared" si="5"/>
        <v>0</v>
      </c>
      <c r="P331" t="s">
        <v>115</v>
      </c>
    </row>
    <row r="332" spans="1:16">
      <c r="A332" t="s">
        <v>39</v>
      </c>
      <c r="B332" t="s">
        <v>135</v>
      </c>
      <c r="C332" t="s">
        <v>18</v>
      </c>
      <c r="D332" t="s">
        <v>33</v>
      </c>
      <c r="E332" t="s">
        <v>105</v>
      </c>
      <c r="F332" s="1">
        <v>0</v>
      </c>
      <c r="J332" s="6"/>
      <c r="K332" s="4"/>
      <c r="L332">
        <f t="shared" si="5"/>
        <v>0</v>
      </c>
      <c r="P332" t="s">
        <v>115</v>
      </c>
    </row>
    <row r="333" spans="1:16">
      <c r="A333" t="s">
        <v>39</v>
      </c>
      <c r="B333" t="s">
        <v>135</v>
      </c>
      <c r="C333" t="s">
        <v>22</v>
      </c>
      <c r="D333" t="s">
        <v>33</v>
      </c>
      <c r="E333" t="s">
        <v>105</v>
      </c>
      <c r="F333" s="1">
        <v>0</v>
      </c>
      <c r="G333" t="s">
        <v>23</v>
      </c>
      <c r="H333" t="s">
        <v>116</v>
      </c>
      <c r="I333" t="s">
        <v>117</v>
      </c>
      <c r="J333" s="6"/>
      <c r="K333" s="4"/>
      <c r="L333">
        <f t="shared" si="5"/>
        <v>0</v>
      </c>
      <c r="P333" t="s">
        <v>115</v>
      </c>
    </row>
    <row r="334" spans="1:16">
      <c r="A334" t="s">
        <v>39</v>
      </c>
      <c r="B334" t="s">
        <v>135</v>
      </c>
      <c r="C334" t="s">
        <v>28</v>
      </c>
      <c r="D334" t="s">
        <v>33</v>
      </c>
      <c r="E334" t="s">
        <v>105</v>
      </c>
      <c r="F334" s="1">
        <v>0</v>
      </c>
      <c r="J334" s="6"/>
      <c r="K334" s="4"/>
      <c r="L334">
        <f t="shared" si="5"/>
        <v>0</v>
      </c>
      <c r="P334" t="s">
        <v>115</v>
      </c>
    </row>
    <row r="335" spans="1:16">
      <c r="A335" t="s">
        <v>39</v>
      </c>
      <c r="B335" t="s">
        <v>135</v>
      </c>
      <c r="C335" t="s">
        <v>29</v>
      </c>
      <c r="D335" t="s">
        <v>33</v>
      </c>
      <c r="E335" t="s">
        <v>105</v>
      </c>
      <c r="F335" s="1">
        <v>0</v>
      </c>
      <c r="J335" s="6"/>
      <c r="K335" s="4"/>
      <c r="L335">
        <f t="shared" si="5"/>
        <v>0</v>
      </c>
      <c r="P335" t="s">
        <v>115</v>
      </c>
    </row>
    <row r="336" spans="1:16">
      <c r="A336" t="s">
        <v>39</v>
      </c>
      <c r="B336" t="s">
        <v>135</v>
      </c>
      <c r="C336" t="s">
        <v>30</v>
      </c>
      <c r="D336" t="s">
        <v>33</v>
      </c>
      <c r="E336" t="s">
        <v>105</v>
      </c>
      <c r="F336" s="1">
        <v>0</v>
      </c>
      <c r="J336" s="6"/>
      <c r="K336" s="4"/>
      <c r="L336">
        <f t="shared" si="5"/>
        <v>0</v>
      </c>
      <c r="P336" t="s">
        <v>115</v>
      </c>
    </row>
    <row r="337" spans="1:16">
      <c r="A337" t="s">
        <v>39</v>
      </c>
      <c r="B337" t="s">
        <v>136</v>
      </c>
      <c r="C337" t="s">
        <v>18</v>
      </c>
      <c r="D337" t="s">
        <v>33</v>
      </c>
      <c r="E337" t="s">
        <v>105</v>
      </c>
      <c r="F337" s="1">
        <v>0</v>
      </c>
      <c r="J337" s="2">
        <v>46034</v>
      </c>
      <c r="K337" s="3">
        <v>46203</v>
      </c>
      <c r="L337">
        <f t="shared" si="5"/>
        <v>122</v>
      </c>
      <c r="P337" t="s">
        <v>115</v>
      </c>
    </row>
    <row r="338" spans="1:16">
      <c r="A338" t="s">
        <v>39</v>
      </c>
      <c r="B338" t="s">
        <v>137</v>
      </c>
      <c r="C338" t="s">
        <v>22</v>
      </c>
      <c r="D338" t="s">
        <v>33</v>
      </c>
      <c r="E338" t="s">
        <v>105</v>
      </c>
      <c r="F338" s="1">
        <v>0</v>
      </c>
      <c r="G338" t="s">
        <v>138</v>
      </c>
      <c r="H338" t="s">
        <v>139</v>
      </c>
      <c r="I338" t="s">
        <v>117</v>
      </c>
      <c r="J338" s="2">
        <v>46034</v>
      </c>
      <c r="K338" s="3">
        <v>46111</v>
      </c>
      <c r="L338">
        <f t="shared" si="5"/>
        <v>56</v>
      </c>
      <c r="O338" t="s">
        <v>27</v>
      </c>
      <c r="P338" t="s">
        <v>115</v>
      </c>
    </row>
    <row r="339" spans="1:16">
      <c r="A339" t="s">
        <v>39</v>
      </c>
      <c r="B339" t="s">
        <v>137</v>
      </c>
      <c r="C339" t="s">
        <v>28</v>
      </c>
      <c r="D339" t="s">
        <v>33</v>
      </c>
      <c r="E339" t="s">
        <v>105</v>
      </c>
      <c r="F339" s="1">
        <v>0</v>
      </c>
      <c r="J339" s="2">
        <v>46127</v>
      </c>
      <c r="K339" s="3">
        <v>46203</v>
      </c>
      <c r="L339">
        <f t="shared" si="5"/>
        <v>55</v>
      </c>
      <c r="O339" t="s">
        <v>27</v>
      </c>
      <c r="P339" t="s">
        <v>115</v>
      </c>
    </row>
    <row r="340" spans="1:16">
      <c r="A340" t="s">
        <v>39</v>
      </c>
      <c r="B340" t="s">
        <v>137</v>
      </c>
      <c r="C340" t="s">
        <v>29</v>
      </c>
      <c r="D340" t="s">
        <v>33</v>
      </c>
      <c r="E340" t="s">
        <v>105</v>
      </c>
      <c r="F340" s="1">
        <v>0</v>
      </c>
      <c r="J340" s="6"/>
      <c r="K340" s="4"/>
      <c r="L340">
        <f t="shared" si="5"/>
        <v>0</v>
      </c>
      <c r="P340" t="s">
        <v>115</v>
      </c>
    </row>
    <row r="341" spans="1:16">
      <c r="A341" t="s">
        <v>39</v>
      </c>
      <c r="B341" t="s">
        <v>137</v>
      </c>
      <c r="C341" t="s">
        <v>30</v>
      </c>
      <c r="D341" t="s">
        <v>33</v>
      </c>
      <c r="E341" t="s">
        <v>105</v>
      </c>
      <c r="F341" s="1">
        <v>0</v>
      </c>
      <c r="J341" s="6"/>
      <c r="K341" s="4"/>
      <c r="L341">
        <f t="shared" si="5"/>
        <v>0</v>
      </c>
      <c r="P341" t="s">
        <v>115</v>
      </c>
    </row>
    <row r="342" spans="1:16">
      <c r="A342" t="s">
        <v>39</v>
      </c>
      <c r="B342" t="s">
        <v>140</v>
      </c>
      <c r="C342" t="s">
        <v>18</v>
      </c>
      <c r="D342" t="s">
        <v>33</v>
      </c>
      <c r="E342" t="s">
        <v>105</v>
      </c>
      <c r="F342" s="1">
        <v>0</v>
      </c>
      <c r="J342" s="2">
        <v>46034</v>
      </c>
      <c r="K342" s="3">
        <v>46203</v>
      </c>
      <c r="L342">
        <f t="shared" si="5"/>
        <v>122</v>
      </c>
      <c r="P342" t="s">
        <v>115</v>
      </c>
    </row>
    <row r="343" spans="1:16">
      <c r="A343" t="s">
        <v>39</v>
      </c>
      <c r="B343" t="s">
        <v>140</v>
      </c>
      <c r="C343" t="s">
        <v>22</v>
      </c>
      <c r="D343" t="s">
        <v>33</v>
      </c>
      <c r="E343" t="s">
        <v>105</v>
      </c>
      <c r="F343" s="1">
        <v>0</v>
      </c>
      <c r="G343" t="s">
        <v>138</v>
      </c>
      <c r="H343" t="s">
        <v>139</v>
      </c>
      <c r="I343" t="s">
        <v>117</v>
      </c>
      <c r="J343" s="2">
        <v>46034</v>
      </c>
      <c r="K343" s="3">
        <v>46111</v>
      </c>
      <c r="L343">
        <f t="shared" si="5"/>
        <v>56</v>
      </c>
      <c r="O343" t="s">
        <v>27</v>
      </c>
      <c r="P343" t="s">
        <v>115</v>
      </c>
    </row>
    <row r="344" spans="1:16">
      <c r="A344" t="s">
        <v>39</v>
      </c>
      <c r="B344" t="s">
        <v>140</v>
      </c>
      <c r="C344" t="s">
        <v>28</v>
      </c>
      <c r="D344" t="s">
        <v>33</v>
      </c>
      <c r="E344" t="s">
        <v>105</v>
      </c>
      <c r="F344" s="1">
        <v>0</v>
      </c>
      <c r="J344" s="2">
        <v>46127</v>
      </c>
      <c r="K344" s="3">
        <v>46203</v>
      </c>
      <c r="L344">
        <f t="shared" si="5"/>
        <v>55</v>
      </c>
      <c r="O344" t="s">
        <v>27</v>
      </c>
      <c r="P344" t="s">
        <v>115</v>
      </c>
    </row>
    <row r="345" spans="1:16">
      <c r="A345" t="s">
        <v>39</v>
      </c>
      <c r="B345" t="s">
        <v>140</v>
      </c>
      <c r="C345" t="s">
        <v>29</v>
      </c>
      <c r="D345" t="s">
        <v>33</v>
      </c>
      <c r="E345" t="s">
        <v>105</v>
      </c>
      <c r="F345" s="1">
        <v>0</v>
      </c>
      <c r="J345" s="6"/>
      <c r="K345" s="4"/>
      <c r="L345">
        <f t="shared" si="5"/>
        <v>0</v>
      </c>
      <c r="P345" t="s">
        <v>115</v>
      </c>
    </row>
    <row r="346" spans="1:16">
      <c r="A346" t="s">
        <v>39</v>
      </c>
      <c r="B346" t="s">
        <v>140</v>
      </c>
      <c r="C346" t="s">
        <v>30</v>
      </c>
      <c r="D346" t="s">
        <v>33</v>
      </c>
      <c r="E346" t="s">
        <v>105</v>
      </c>
      <c r="F346" s="1">
        <v>0</v>
      </c>
      <c r="J346" s="6"/>
      <c r="K346" s="4"/>
      <c r="L346">
        <f t="shared" si="5"/>
        <v>0</v>
      </c>
      <c r="P346" t="s">
        <v>115</v>
      </c>
    </row>
    <row r="347" spans="1:16">
      <c r="A347" t="s">
        <v>39</v>
      </c>
      <c r="B347" t="s">
        <v>141</v>
      </c>
      <c r="C347" t="s">
        <v>18</v>
      </c>
      <c r="D347" t="s">
        <v>19</v>
      </c>
      <c r="E347" t="s">
        <v>105</v>
      </c>
      <c r="F347" s="1">
        <v>0</v>
      </c>
      <c r="J347" s="2">
        <v>46034</v>
      </c>
      <c r="K347" s="3">
        <v>46188</v>
      </c>
      <c r="L347">
        <f t="shared" si="5"/>
        <v>111</v>
      </c>
      <c r="P347" t="s">
        <v>141</v>
      </c>
    </row>
    <row r="348" spans="1:16">
      <c r="A348" t="s">
        <v>39</v>
      </c>
      <c r="B348" t="s">
        <v>141</v>
      </c>
      <c r="C348" t="s">
        <v>22</v>
      </c>
      <c r="D348" t="s">
        <v>19</v>
      </c>
      <c r="E348" t="s">
        <v>105</v>
      </c>
      <c r="F348" s="1">
        <v>0</v>
      </c>
      <c r="G348" t="s">
        <v>35</v>
      </c>
      <c r="H348" t="s">
        <v>142</v>
      </c>
      <c r="I348" t="s">
        <v>143</v>
      </c>
      <c r="J348" s="6"/>
      <c r="K348" s="4"/>
      <c r="L348">
        <f t="shared" si="5"/>
        <v>0</v>
      </c>
      <c r="P348" t="s">
        <v>141</v>
      </c>
    </row>
    <row r="349" spans="1:16">
      <c r="A349" t="s">
        <v>39</v>
      </c>
      <c r="B349" t="s">
        <v>141</v>
      </c>
      <c r="C349" t="s">
        <v>28</v>
      </c>
      <c r="D349" t="s">
        <v>19</v>
      </c>
      <c r="E349" t="s">
        <v>105</v>
      </c>
      <c r="F349" s="1">
        <v>0</v>
      </c>
      <c r="J349" s="6"/>
      <c r="K349" s="4"/>
      <c r="L349">
        <f t="shared" si="5"/>
        <v>0</v>
      </c>
      <c r="P349" t="s">
        <v>141</v>
      </c>
    </row>
    <row r="350" spans="1:16">
      <c r="A350" t="s">
        <v>39</v>
      </c>
      <c r="B350" t="s">
        <v>141</v>
      </c>
      <c r="C350" t="s">
        <v>29</v>
      </c>
      <c r="D350" t="s">
        <v>19</v>
      </c>
      <c r="E350" t="s">
        <v>105</v>
      </c>
      <c r="F350" s="1">
        <v>0</v>
      </c>
      <c r="J350" s="6"/>
      <c r="K350" s="4"/>
      <c r="L350">
        <f t="shared" si="5"/>
        <v>0</v>
      </c>
      <c r="P350" t="s">
        <v>141</v>
      </c>
    </row>
    <row r="351" spans="1:16">
      <c r="A351" t="s">
        <v>39</v>
      </c>
      <c r="B351" t="s">
        <v>141</v>
      </c>
      <c r="C351" t="s">
        <v>30</v>
      </c>
      <c r="D351" t="s">
        <v>19</v>
      </c>
      <c r="E351" t="s">
        <v>105</v>
      </c>
      <c r="F351" s="1">
        <v>0</v>
      </c>
      <c r="J351" s="6"/>
      <c r="K351" s="4"/>
      <c r="L351">
        <f t="shared" si="5"/>
        <v>0</v>
      </c>
      <c r="P351" t="s">
        <v>141</v>
      </c>
    </row>
    <row r="352" spans="1:16">
      <c r="A352" t="s">
        <v>39</v>
      </c>
      <c r="B352" t="s">
        <v>144</v>
      </c>
      <c r="C352" t="s">
        <v>18</v>
      </c>
      <c r="D352" t="s">
        <v>33</v>
      </c>
      <c r="E352" t="s">
        <v>105</v>
      </c>
      <c r="F352" s="1">
        <v>0</v>
      </c>
      <c r="J352" s="2">
        <v>46034</v>
      </c>
      <c r="K352" s="3">
        <v>46188</v>
      </c>
      <c r="L352">
        <f t="shared" si="5"/>
        <v>111</v>
      </c>
      <c r="P352" t="s">
        <v>141</v>
      </c>
    </row>
    <row r="353" spans="1:16">
      <c r="A353" t="s">
        <v>39</v>
      </c>
      <c r="B353" t="s">
        <v>144</v>
      </c>
      <c r="C353" t="s">
        <v>22</v>
      </c>
      <c r="D353" t="s">
        <v>33</v>
      </c>
      <c r="E353" t="s">
        <v>105</v>
      </c>
      <c r="F353" s="1">
        <v>0</v>
      </c>
      <c r="G353" t="s">
        <v>35</v>
      </c>
      <c r="H353" t="s">
        <v>142</v>
      </c>
      <c r="I353" t="s">
        <v>143</v>
      </c>
      <c r="J353" s="2">
        <v>46034</v>
      </c>
      <c r="K353" s="3">
        <v>46111</v>
      </c>
      <c r="L353">
        <f t="shared" si="5"/>
        <v>56</v>
      </c>
      <c r="O353" t="s">
        <v>27</v>
      </c>
      <c r="P353" t="s">
        <v>141</v>
      </c>
    </row>
    <row r="354" spans="1:16">
      <c r="A354" t="s">
        <v>39</v>
      </c>
      <c r="B354" t="s">
        <v>144</v>
      </c>
      <c r="C354" t="s">
        <v>28</v>
      </c>
      <c r="D354" t="s">
        <v>33</v>
      </c>
      <c r="E354" t="s">
        <v>105</v>
      </c>
      <c r="F354" s="1">
        <v>0</v>
      </c>
      <c r="J354" s="2">
        <v>46113</v>
      </c>
      <c r="K354" s="3">
        <v>46188</v>
      </c>
      <c r="L354">
        <f t="shared" si="5"/>
        <v>54</v>
      </c>
      <c r="O354" t="s">
        <v>27</v>
      </c>
      <c r="P354" t="s">
        <v>141</v>
      </c>
    </row>
    <row r="355" spans="1:16">
      <c r="A355" t="s">
        <v>39</v>
      </c>
      <c r="B355" t="s">
        <v>144</v>
      </c>
      <c r="C355" t="s">
        <v>29</v>
      </c>
      <c r="D355" t="s">
        <v>33</v>
      </c>
      <c r="E355" t="s">
        <v>105</v>
      </c>
      <c r="F355" s="1">
        <v>0</v>
      </c>
      <c r="J355" s="6"/>
      <c r="K355" s="4"/>
      <c r="L355">
        <f t="shared" si="5"/>
        <v>0</v>
      </c>
      <c r="P355" t="s">
        <v>141</v>
      </c>
    </row>
    <row r="356" spans="1:16">
      <c r="A356" t="s">
        <v>39</v>
      </c>
      <c r="B356" t="s">
        <v>144</v>
      </c>
      <c r="C356" t="s">
        <v>30</v>
      </c>
      <c r="D356" t="s">
        <v>33</v>
      </c>
      <c r="E356" t="s">
        <v>105</v>
      </c>
      <c r="F356" s="1">
        <v>0</v>
      </c>
      <c r="J356" s="6"/>
      <c r="K356" s="4"/>
      <c r="L356">
        <f t="shared" si="5"/>
        <v>0</v>
      </c>
      <c r="P356" t="s">
        <v>141</v>
      </c>
    </row>
    <row r="357" spans="1:16">
      <c r="A357" t="s">
        <v>39</v>
      </c>
      <c r="B357" t="s">
        <v>145</v>
      </c>
      <c r="C357" t="s">
        <v>18</v>
      </c>
      <c r="D357" t="s">
        <v>33</v>
      </c>
      <c r="E357" t="s">
        <v>105</v>
      </c>
      <c r="F357" s="1">
        <v>0</v>
      </c>
      <c r="J357" s="2">
        <v>46034</v>
      </c>
      <c r="K357" s="3">
        <v>46188</v>
      </c>
      <c r="L357">
        <f t="shared" si="5"/>
        <v>111</v>
      </c>
      <c r="P357" t="s">
        <v>141</v>
      </c>
    </row>
    <row r="358" spans="1:16">
      <c r="A358" t="s">
        <v>39</v>
      </c>
      <c r="B358" t="s">
        <v>145</v>
      </c>
      <c r="C358" t="s">
        <v>22</v>
      </c>
      <c r="D358" t="s">
        <v>33</v>
      </c>
      <c r="E358" t="s">
        <v>105</v>
      </c>
      <c r="F358" s="1">
        <v>0</v>
      </c>
      <c r="G358" t="s">
        <v>35</v>
      </c>
      <c r="H358" t="s">
        <v>142</v>
      </c>
      <c r="I358" t="s">
        <v>143</v>
      </c>
      <c r="J358" s="2">
        <v>46034</v>
      </c>
      <c r="K358" s="3">
        <v>46111</v>
      </c>
      <c r="L358">
        <f t="shared" si="5"/>
        <v>56</v>
      </c>
      <c r="O358" t="s">
        <v>27</v>
      </c>
      <c r="P358" t="s">
        <v>141</v>
      </c>
    </row>
    <row r="359" spans="1:16">
      <c r="A359" t="s">
        <v>39</v>
      </c>
      <c r="B359" t="s">
        <v>145</v>
      </c>
      <c r="C359" t="s">
        <v>28</v>
      </c>
      <c r="D359" t="s">
        <v>33</v>
      </c>
      <c r="E359" t="s">
        <v>105</v>
      </c>
      <c r="F359" s="1">
        <v>0</v>
      </c>
      <c r="J359" s="2">
        <v>46113</v>
      </c>
      <c r="K359" s="3">
        <v>46188</v>
      </c>
      <c r="L359">
        <f t="shared" si="5"/>
        <v>54</v>
      </c>
      <c r="O359" t="s">
        <v>27</v>
      </c>
      <c r="P359" t="s">
        <v>141</v>
      </c>
    </row>
    <row r="360" spans="1:16">
      <c r="A360" t="s">
        <v>39</v>
      </c>
      <c r="B360" t="s">
        <v>145</v>
      </c>
      <c r="C360" t="s">
        <v>29</v>
      </c>
      <c r="D360" t="s">
        <v>33</v>
      </c>
      <c r="E360" t="s">
        <v>105</v>
      </c>
      <c r="F360" s="1">
        <v>0</v>
      </c>
      <c r="J360" s="6"/>
      <c r="K360" s="4"/>
      <c r="L360">
        <f t="shared" si="5"/>
        <v>0</v>
      </c>
      <c r="P360" t="s">
        <v>141</v>
      </c>
    </row>
    <row r="361" spans="1:16">
      <c r="A361" t="s">
        <v>39</v>
      </c>
      <c r="B361" t="s">
        <v>145</v>
      </c>
      <c r="C361" t="s">
        <v>30</v>
      </c>
      <c r="D361" t="s">
        <v>33</v>
      </c>
      <c r="E361" t="s">
        <v>105</v>
      </c>
      <c r="F361" s="1">
        <v>0</v>
      </c>
      <c r="J361" s="6"/>
      <c r="K361" s="4"/>
      <c r="L361">
        <f t="shared" si="5"/>
        <v>0</v>
      </c>
      <c r="P361" t="s">
        <v>141</v>
      </c>
    </row>
    <row r="362" spans="1:16">
      <c r="A362" t="s">
        <v>39</v>
      </c>
      <c r="B362" t="s">
        <v>146</v>
      </c>
      <c r="C362" t="s">
        <v>18</v>
      </c>
      <c r="D362" t="s">
        <v>19</v>
      </c>
      <c r="E362" t="s">
        <v>105</v>
      </c>
      <c r="F362" s="1">
        <v>0</v>
      </c>
      <c r="J362" s="2">
        <v>45945</v>
      </c>
      <c r="K362" s="3">
        <v>46203</v>
      </c>
      <c r="L362">
        <f t="shared" si="5"/>
        <v>185</v>
      </c>
      <c r="P362" t="s">
        <v>146</v>
      </c>
    </row>
    <row r="363" spans="1:16">
      <c r="A363" t="s">
        <v>39</v>
      </c>
      <c r="B363" t="s">
        <v>146</v>
      </c>
      <c r="C363" t="s">
        <v>22</v>
      </c>
      <c r="D363" t="s">
        <v>19</v>
      </c>
      <c r="E363" t="s">
        <v>105</v>
      </c>
      <c r="F363" s="1">
        <v>0</v>
      </c>
      <c r="G363" t="s">
        <v>147</v>
      </c>
      <c r="J363" s="6"/>
      <c r="K363" s="4"/>
      <c r="L363">
        <f t="shared" si="5"/>
        <v>0</v>
      </c>
      <c r="P363" t="s">
        <v>146</v>
      </c>
    </row>
    <row r="364" spans="1:16">
      <c r="A364" t="s">
        <v>39</v>
      </c>
      <c r="B364" t="s">
        <v>146</v>
      </c>
      <c r="C364" t="s">
        <v>28</v>
      </c>
      <c r="D364" t="s">
        <v>19</v>
      </c>
      <c r="E364" t="s">
        <v>105</v>
      </c>
      <c r="F364" s="1">
        <v>0</v>
      </c>
      <c r="J364" s="6"/>
      <c r="K364" s="4"/>
      <c r="L364">
        <f t="shared" si="5"/>
        <v>0</v>
      </c>
      <c r="P364" t="s">
        <v>146</v>
      </c>
    </row>
    <row r="365" spans="1:16">
      <c r="A365" t="s">
        <v>39</v>
      </c>
      <c r="B365" t="s">
        <v>146</v>
      </c>
      <c r="C365" t="s">
        <v>29</v>
      </c>
      <c r="D365" t="s">
        <v>19</v>
      </c>
      <c r="E365" t="s">
        <v>105</v>
      </c>
      <c r="F365" s="1">
        <v>0</v>
      </c>
      <c r="J365" s="6"/>
      <c r="K365" s="4"/>
      <c r="L365">
        <f t="shared" si="5"/>
        <v>0</v>
      </c>
      <c r="P365" t="s">
        <v>146</v>
      </c>
    </row>
    <row r="366" spans="1:16">
      <c r="A366" t="s">
        <v>39</v>
      </c>
      <c r="B366" t="s">
        <v>146</v>
      </c>
      <c r="C366" t="s">
        <v>30</v>
      </c>
      <c r="D366" t="s">
        <v>19</v>
      </c>
      <c r="E366" t="s">
        <v>105</v>
      </c>
      <c r="F366" s="1">
        <v>0</v>
      </c>
      <c r="J366" s="6"/>
      <c r="K366" s="4"/>
      <c r="L366">
        <f t="shared" si="5"/>
        <v>0</v>
      </c>
      <c r="P366" t="s">
        <v>146</v>
      </c>
    </row>
    <row r="367" spans="1:16">
      <c r="A367" t="s">
        <v>39</v>
      </c>
      <c r="B367" t="s">
        <v>148</v>
      </c>
      <c r="C367" t="s">
        <v>18</v>
      </c>
      <c r="D367" t="s">
        <v>33</v>
      </c>
      <c r="E367" t="s">
        <v>105</v>
      </c>
      <c r="F367" s="1">
        <v>0</v>
      </c>
      <c r="J367" s="2">
        <v>45945</v>
      </c>
      <c r="K367" s="3">
        <v>46203</v>
      </c>
      <c r="L367">
        <f t="shared" si="5"/>
        <v>185</v>
      </c>
      <c r="P367" t="s">
        <v>146</v>
      </c>
    </row>
    <row r="368" spans="1:16">
      <c r="A368" t="s">
        <v>39</v>
      </c>
      <c r="B368" t="s">
        <v>148</v>
      </c>
      <c r="C368" t="s">
        <v>22</v>
      </c>
      <c r="D368" t="s">
        <v>33</v>
      </c>
      <c r="E368" t="s">
        <v>105</v>
      </c>
      <c r="F368" s="1">
        <v>0</v>
      </c>
      <c r="G368" t="s">
        <v>147</v>
      </c>
      <c r="H368" t="s">
        <v>149</v>
      </c>
      <c r="I368" t="s">
        <v>139</v>
      </c>
      <c r="J368" s="2">
        <v>46037</v>
      </c>
      <c r="K368" s="3">
        <v>46097</v>
      </c>
      <c r="L368">
        <f t="shared" si="5"/>
        <v>43</v>
      </c>
      <c r="O368" t="s">
        <v>27</v>
      </c>
      <c r="P368" t="s">
        <v>146</v>
      </c>
    </row>
    <row r="369" spans="1:16">
      <c r="A369" t="s">
        <v>39</v>
      </c>
      <c r="B369" t="s">
        <v>148</v>
      </c>
      <c r="C369" t="s">
        <v>28</v>
      </c>
      <c r="D369" t="s">
        <v>33</v>
      </c>
      <c r="E369" t="s">
        <v>105</v>
      </c>
      <c r="F369" s="1">
        <v>0</v>
      </c>
      <c r="J369" s="2">
        <v>46127</v>
      </c>
      <c r="K369" s="3">
        <v>46203</v>
      </c>
      <c r="L369">
        <f t="shared" si="5"/>
        <v>55</v>
      </c>
      <c r="O369" t="s">
        <v>27</v>
      </c>
      <c r="P369" t="s">
        <v>146</v>
      </c>
    </row>
    <row r="370" spans="1:16">
      <c r="A370" t="s">
        <v>39</v>
      </c>
      <c r="B370" t="s">
        <v>148</v>
      </c>
      <c r="C370" t="s">
        <v>29</v>
      </c>
      <c r="D370" t="s">
        <v>33</v>
      </c>
      <c r="E370" t="s">
        <v>105</v>
      </c>
      <c r="F370" s="1">
        <v>0</v>
      </c>
      <c r="J370" s="6"/>
      <c r="K370" s="4"/>
      <c r="L370">
        <f t="shared" si="5"/>
        <v>0</v>
      </c>
      <c r="P370" t="s">
        <v>146</v>
      </c>
    </row>
    <row r="371" spans="1:16">
      <c r="A371" t="s">
        <v>39</v>
      </c>
      <c r="B371" t="s">
        <v>148</v>
      </c>
      <c r="C371" t="s">
        <v>30</v>
      </c>
      <c r="D371" t="s">
        <v>33</v>
      </c>
      <c r="E371" t="s">
        <v>105</v>
      </c>
      <c r="F371" s="1">
        <v>0</v>
      </c>
      <c r="J371" s="6"/>
      <c r="K371" s="4"/>
      <c r="L371">
        <f t="shared" si="5"/>
        <v>0</v>
      </c>
      <c r="P371" t="s">
        <v>146</v>
      </c>
    </row>
    <row r="372" spans="1:16">
      <c r="A372" t="s">
        <v>39</v>
      </c>
      <c r="B372" t="s">
        <v>150</v>
      </c>
      <c r="C372" t="s">
        <v>18</v>
      </c>
      <c r="D372" t="s">
        <v>58</v>
      </c>
      <c r="E372" t="s">
        <v>105</v>
      </c>
      <c r="F372" s="1">
        <v>0</v>
      </c>
      <c r="J372" s="6"/>
      <c r="K372" s="3"/>
      <c r="L372">
        <v>0</v>
      </c>
      <c r="P372" t="s">
        <v>146</v>
      </c>
    </row>
    <row r="373" spans="1:16">
      <c r="A373" t="s">
        <v>39</v>
      </c>
      <c r="B373" t="s">
        <v>150</v>
      </c>
      <c r="C373" t="s">
        <v>22</v>
      </c>
      <c r="D373" t="s">
        <v>58</v>
      </c>
      <c r="E373" t="s">
        <v>105</v>
      </c>
      <c r="F373" s="1">
        <v>0</v>
      </c>
      <c r="G373" t="s">
        <v>147</v>
      </c>
      <c r="H373" t="s">
        <v>149</v>
      </c>
      <c r="J373" s="6"/>
      <c r="K373" s="4"/>
      <c r="L373">
        <f t="shared" si="5"/>
        <v>0</v>
      </c>
      <c r="P373" t="s">
        <v>146</v>
      </c>
    </row>
    <row r="374" spans="1:16">
      <c r="A374" t="s">
        <v>39</v>
      </c>
      <c r="B374" t="s">
        <v>150</v>
      </c>
      <c r="C374" t="s">
        <v>28</v>
      </c>
      <c r="D374" t="s">
        <v>58</v>
      </c>
      <c r="E374" t="s">
        <v>105</v>
      </c>
      <c r="F374" s="1">
        <v>0</v>
      </c>
      <c r="J374" s="6"/>
      <c r="K374" s="4"/>
      <c r="L374">
        <f t="shared" si="5"/>
        <v>0</v>
      </c>
      <c r="P374" t="s">
        <v>146</v>
      </c>
    </row>
    <row r="375" spans="1:16">
      <c r="A375" t="s">
        <v>39</v>
      </c>
      <c r="B375" t="s">
        <v>150</v>
      </c>
      <c r="C375" t="s">
        <v>29</v>
      </c>
      <c r="D375" t="s">
        <v>58</v>
      </c>
      <c r="E375" t="s">
        <v>105</v>
      </c>
      <c r="F375" s="1">
        <v>0</v>
      </c>
      <c r="J375" s="6"/>
      <c r="K375" s="4"/>
      <c r="L375">
        <f t="shared" si="5"/>
        <v>0</v>
      </c>
      <c r="P375" t="s">
        <v>146</v>
      </c>
    </row>
    <row r="376" spans="1:16">
      <c r="A376" t="s">
        <v>39</v>
      </c>
      <c r="B376" t="s">
        <v>150</v>
      </c>
      <c r="C376" t="s">
        <v>30</v>
      </c>
      <c r="D376" t="s">
        <v>58</v>
      </c>
      <c r="E376" t="s">
        <v>105</v>
      </c>
      <c r="F376" s="1">
        <v>0</v>
      </c>
      <c r="J376" s="6"/>
      <c r="K376" s="4"/>
      <c r="L376">
        <f t="shared" si="5"/>
        <v>0</v>
      </c>
      <c r="P376" t="s">
        <v>146</v>
      </c>
    </row>
    <row r="377" spans="1:16">
      <c r="A377" t="s">
        <v>39</v>
      </c>
      <c r="B377" t="s">
        <v>151</v>
      </c>
      <c r="C377" t="s">
        <v>18</v>
      </c>
      <c r="D377" t="s">
        <v>58</v>
      </c>
      <c r="E377" t="s">
        <v>105</v>
      </c>
      <c r="F377" s="1">
        <v>0</v>
      </c>
      <c r="J377" s="6"/>
      <c r="K377" s="4"/>
      <c r="L377">
        <f t="shared" si="5"/>
        <v>0</v>
      </c>
      <c r="P377" t="s">
        <v>146</v>
      </c>
    </row>
    <row r="378" spans="1:16">
      <c r="A378" t="s">
        <v>39</v>
      </c>
      <c r="B378" t="s">
        <v>151</v>
      </c>
      <c r="C378" t="s">
        <v>22</v>
      </c>
      <c r="D378" t="s">
        <v>58</v>
      </c>
      <c r="E378" t="s">
        <v>105</v>
      </c>
      <c r="F378" s="1">
        <v>0</v>
      </c>
      <c r="G378" t="s">
        <v>147</v>
      </c>
      <c r="H378" t="s">
        <v>149</v>
      </c>
      <c r="J378" s="6"/>
      <c r="K378" s="4"/>
      <c r="L378">
        <f t="shared" si="5"/>
        <v>0</v>
      </c>
      <c r="P378" t="s">
        <v>146</v>
      </c>
    </row>
    <row r="379" spans="1:16">
      <c r="A379" t="s">
        <v>39</v>
      </c>
      <c r="B379" t="s">
        <v>151</v>
      </c>
      <c r="C379" t="s">
        <v>28</v>
      </c>
      <c r="D379" t="s">
        <v>58</v>
      </c>
      <c r="E379" t="s">
        <v>105</v>
      </c>
      <c r="F379" s="1">
        <v>0</v>
      </c>
      <c r="J379" s="6"/>
      <c r="K379" s="4"/>
      <c r="L379">
        <f t="shared" si="5"/>
        <v>0</v>
      </c>
      <c r="P379" t="s">
        <v>146</v>
      </c>
    </row>
    <row r="380" spans="1:16">
      <c r="A380" t="s">
        <v>39</v>
      </c>
      <c r="B380" t="s">
        <v>151</v>
      </c>
      <c r="C380" t="s">
        <v>29</v>
      </c>
      <c r="D380" t="s">
        <v>58</v>
      </c>
      <c r="E380" t="s">
        <v>105</v>
      </c>
      <c r="F380" s="1">
        <v>0</v>
      </c>
      <c r="J380" s="6"/>
      <c r="K380" s="4"/>
      <c r="L380">
        <f t="shared" si="5"/>
        <v>0</v>
      </c>
      <c r="P380" t="s">
        <v>146</v>
      </c>
    </row>
    <row r="381" spans="1:16">
      <c r="A381" t="s">
        <v>39</v>
      </c>
      <c r="B381" t="s">
        <v>151</v>
      </c>
      <c r="C381" t="s">
        <v>30</v>
      </c>
      <c r="D381" t="s">
        <v>58</v>
      </c>
      <c r="E381" t="s">
        <v>105</v>
      </c>
      <c r="F381" s="1">
        <v>0</v>
      </c>
      <c r="J381" s="6"/>
      <c r="K381" s="4"/>
      <c r="L381">
        <f t="shared" si="5"/>
        <v>0</v>
      </c>
      <c r="P381" t="s">
        <v>146</v>
      </c>
    </row>
    <row r="382" spans="1:16">
      <c r="A382" t="s">
        <v>39</v>
      </c>
      <c r="B382" t="s">
        <v>152</v>
      </c>
      <c r="C382" t="s">
        <v>18</v>
      </c>
      <c r="D382" t="s">
        <v>33</v>
      </c>
      <c r="E382" t="s">
        <v>105</v>
      </c>
      <c r="F382" s="1">
        <v>0</v>
      </c>
      <c r="J382" s="2">
        <v>45945</v>
      </c>
      <c r="K382" s="3">
        <v>46111</v>
      </c>
      <c r="L382">
        <f t="shared" si="5"/>
        <v>119</v>
      </c>
      <c r="P382" t="s">
        <v>146</v>
      </c>
    </row>
    <row r="383" spans="1:16">
      <c r="A383" t="s">
        <v>39</v>
      </c>
      <c r="B383" t="s">
        <v>152</v>
      </c>
      <c r="C383" t="s">
        <v>22</v>
      </c>
      <c r="D383" t="s">
        <v>33</v>
      </c>
      <c r="E383" t="s">
        <v>105</v>
      </c>
      <c r="F383" s="1">
        <v>0</v>
      </c>
      <c r="G383" t="s">
        <v>147</v>
      </c>
      <c r="H383" t="s">
        <v>153</v>
      </c>
      <c r="I383" t="s">
        <v>139</v>
      </c>
      <c r="J383" s="2">
        <v>46034</v>
      </c>
      <c r="K383" s="3">
        <v>46111</v>
      </c>
      <c r="L383">
        <f t="shared" si="5"/>
        <v>56</v>
      </c>
      <c r="O383" t="s">
        <v>27</v>
      </c>
      <c r="P383" t="s">
        <v>146</v>
      </c>
    </row>
    <row r="384" spans="1:16">
      <c r="A384" t="s">
        <v>39</v>
      </c>
      <c r="B384" t="s">
        <v>152</v>
      </c>
      <c r="C384" t="s">
        <v>28</v>
      </c>
      <c r="D384" t="s">
        <v>33</v>
      </c>
      <c r="E384" t="s">
        <v>105</v>
      </c>
      <c r="F384" s="1">
        <v>0</v>
      </c>
      <c r="J384" s="6"/>
      <c r="K384" s="4"/>
      <c r="L384">
        <f t="shared" si="5"/>
        <v>0</v>
      </c>
      <c r="P384" t="s">
        <v>146</v>
      </c>
    </row>
    <row r="385" spans="1:16">
      <c r="A385" t="s">
        <v>39</v>
      </c>
      <c r="B385" t="s">
        <v>152</v>
      </c>
      <c r="C385" t="s">
        <v>29</v>
      </c>
      <c r="D385" t="s">
        <v>33</v>
      </c>
      <c r="E385" t="s">
        <v>105</v>
      </c>
      <c r="F385" s="1">
        <v>0</v>
      </c>
      <c r="J385" s="6"/>
      <c r="K385" s="4"/>
      <c r="L385">
        <f t="shared" si="5"/>
        <v>0</v>
      </c>
      <c r="P385" t="s">
        <v>146</v>
      </c>
    </row>
    <row r="386" spans="1:16">
      <c r="A386" t="s">
        <v>39</v>
      </c>
      <c r="B386" t="s">
        <v>152</v>
      </c>
      <c r="C386" t="s">
        <v>30</v>
      </c>
      <c r="D386" t="s">
        <v>33</v>
      </c>
      <c r="E386" t="s">
        <v>105</v>
      </c>
      <c r="F386" s="1">
        <v>0</v>
      </c>
      <c r="J386" s="6"/>
      <c r="K386" s="4"/>
      <c r="L386">
        <f t="shared" ref="L386:L448" si="6">NETWORKDAYS(J386,K386)</f>
        <v>0</v>
      </c>
      <c r="P386" t="s">
        <v>146</v>
      </c>
    </row>
    <row r="387" spans="1:16">
      <c r="A387" t="s">
        <v>39</v>
      </c>
      <c r="B387" t="s">
        <v>154</v>
      </c>
      <c r="C387" t="s">
        <v>18</v>
      </c>
      <c r="D387" t="s">
        <v>58</v>
      </c>
      <c r="E387" t="s">
        <v>105</v>
      </c>
      <c r="F387" s="1">
        <v>0</v>
      </c>
      <c r="J387" s="6"/>
      <c r="K387" s="4"/>
      <c r="L387">
        <f t="shared" si="6"/>
        <v>0</v>
      </c>
      <c r="P387" t="s">
        <v>146</v>
      </c>
    </row>
    <row r="388" spans="1:16">
      <c r="A388" t="s">
        <v>39</v>
      </c>
      <c r="B388" t="s">
        <v>154</v>
      </c>
      <c r="C388" t="s">
        <v>22</v>
      </c>
      <c r="D388" t="s">
        <v>58</v>
      </c>
      <c r="E388" t="s">
        <v>105</v>
      </c>
      <c r="F388" s="1">
        <v>0</v>
      </c>
      <c r="G388" t="s">
        <v>147</v>
      </c>
      <c r="H388" t="s">
        <v>149</v>
      </c>
      <c r="J388" s="6"/>
      <c r="K388" s="4"/>
      <c r="L388">
        <f t="shared" si="6"/>
        <v>0</v>
      </c>
      <c r="P388" t="s">
        <v>146</v>
      </c>
    </row>
    <row r="389" spans="1:16">
      <c r="A389" t="s">
        <v>39</v>
      </c>
      <c r="B389" t="s">
        <v>154</v>
      </c>
      <c r="C389" t="s">
        <v>28</v>
      </c>
      <c r="D389" t="s">
        <v>58</v>
      </c>
      <c r="E389" t="s">
        <v>105</v>
      </c>
      <c r="F389" s="1">
        <v>0</v>
      </c>
      <c r="J389" s="6"/>
      <c r="K389" s="4"/>
      <c r="L389">
        <f t="shared" si="6"/>
        <v>0</v>
      </c>
      <c r="P389" t="s">
        <v>146</v>
      </c>
    </row>
    <row r="390" spans="1:16">
      <c r="A390" t="s">
        <v>39</v>
      </c>
      <c r="B390" t="s">
        <v>154</v>
      </c>
      <c r="C390" t="s">
        <v>29</v>
      </c>
      <c r="D390" t="s">
        <v>58</v>
      </c>
      <c r="E390" t="s">
        <v>105</v>
      </c>
      <c r="F390" s="1">
        <v>0</v>
      </c>
      <c r="J390" s="6"/>
      <c r="K390" s="4"/>
      <c r="L390">
        <f t="shared" si="6"/>
        <v>0</v>
      </c>
      <c r="P390" t="s">
        <v>146</v>
      </c>
    </row>
    <row r="391" spans="1:16">
      <c r="A391" t="s">
        <v>39</v>
      </c>
      <c r="B391" t="s">
        <v>154</v>
      </c>
      <c r="C391" t="s">
        <v>30</v>
      </c>
      <c r="D391" t="s">
        <v>58</v>
      </c>
      <c r="E391" t="s">
        <v>105</v>
      </c>
      <c r="F391" s="1">
        <v>0</v>
      </c>
      <c r="J391" s="6"/>
      <c r="K391" s="4"/>
      <c r="L391">
        <f t="shared" si="6"/>
        <v>0</v>
      </c>
      <c r="P391" t="s">
        <v>146</v>
      </c>
    </row>
    <row r="392" spans="1:16">
      <c r="A392" t="s">
        <v>39</v>
      </c>
      <c r="B392" t="s">
        <v>155</v>
      </c>
      <c r="C392" t="s">
        <v>18</v>
      </c>
      <c r="D392" t="s">
        <v>58</v>
      </c>
      <c r="E392" t="s">
        <v>105</v>
      </c>
      <c r="F392" s="1">
        <v>0</v>
      </c>
      <c r="J392" s="6"/>
      <c r="K392" s="4"/>
      <c r="L392">
        <f t="shared" si="6"/>
        <v>0</v>
      </c>
      <c r="P392" t="s">
        <v>146</v>
      </c>
    </row>
    <row r="393" spans="1:16">
      <c r="A393" t="s">
        <v>39</v>
      </c>
      <c r="B393" t="s">
        <v>155</v>
      </c>
      <c r="C393" t="s">
        <v>22</v>
      </c>
      <c r="D393" t="s">
        <v>58</v>
      </c>
      <c r="E393" t="s">
        <v>105</v>
      </c>
      <c r="F393" s="1">
        <v>0</v>
      </c>
      <c r="G393" t="s">
        <v>147</v>
      </c>
      <c r="H393" t="s">
        <v>149</v>
      </c>
      <c r="J393" s="6"/>
      <c r="K393" s="4"/>
      <c r="L393">
        <f t="shared" si="6"/>
        <v>0</v>
      </c>
      <c r="P393" t="s">
        <v>146</v>
      </c>
    </row>
    <row r="394" spans="1:16">
      <c r="A394" t="s">
        <v>39</v>
      </c>
      <c r="B394" t="s">
        <v>155</v>
      </c>
      <c r="C394" t="s">
        <v>28</v>
      </c>
      <c r="D394" t="s">
        <v>58</v>
      </c>
      <c r="E394" t="s">
        <v>105</v>
      </c>
      <c r="F394" s="1">
        <v>0</v>
      </c>
      <c r="J394" s="6"/>
      <c r="K394" s="4"/>
      <c r="L394">
        <f t="shared" si="6"/>
        <v>0</v>
      </c>
      <c r="P394" t="s">
        <v>146</v>
      </c>
    </row>
    <row r="395" spans="1:16">
      <c r="A395" t="s">
        <v>39</v>
      </c>
      <c r="B395" t="s">
        <v>155</v>
      </c>
      <c r="C395" t="s">
        <v>29</v>
      </c>
      <c r="D395" t="s">
        <v>58</v>
      </c>
      <c r="E395" t="s">
        <v>105</v>
      </c>
      <c r="F395" s="1">
        <v>0</v>
      </c>
      <c r="J395" s="6"/>
      <c r="K395" s="4"/>
      <c r="L395">
        <f t="shared" si="6"/>
        <v>0</v>
      </c>
      <c r="P395" t="s">
        <v>146</v>
      </c>
    </row>
    <row r="396" spans="1:16">
      <c r="A396" t="s">
        <v>39</v>
      </c>
      <c r="B396" t="s">
        <v>155</v>
      </c>
      <c r="C396" t="s">
        <v>30</v>
      </c>
      <c r="D396" t="s">
        <v>58</v>
      </c>
      <c r="E396" t="s">
        <v>105</v>
      </c>
      <c r="F396" s="1">
        <v>0</v>
      </c>
      <c r="J396" s="6"/>
      <c r="K396" s="4"/>
      <c r="L396">
        <f t="shared" si="6"/>
        <v>0</v>
      </c>
      <c r="P396" t="s">
        <v>146</v>
      </c>
    </row>
    <row r="397" spans="1:16">
      <c r="A397" t="s">
        <v>39</v>
      </c>
      <c r="B397" t="s">
        <v>156</v>
      </c>
      <c r="C397" t="s">
        <v>18</v>
      </c>
      <c r="D397" t="s">
        <v>58</v>
      </c>
      <c r="E397" t="s">
        <v>105</v>
      </c>
      <c r="F397" s="1">
        <v>0</v>
      </c>
      <c r="J397" s="6"/>
      <c r="K397" s="4"/>
      <c r="L397">
        <f t="shared" si="6"/>
        <v>0</v>
      </c>
      <c r="P397" t="s">
        <v>146</v>
      </c>
    </row>
    <row r="398" spans="1:16">
      <c r="A398" t="s">
        <v>39</v>
      </c>
      <c r="B398" t="s">
        <v>156</v>
      </c>
      <c r="C398" t="s">
        <v>22</v>
      </c>
      <c r="D398" t="s">
        <v>58</v>
      </c>
      <c r="E398" t="s">
        <v>105</v>
      </c>
      <c r="F398" s="1">
        <v>0</v>
      </c>
      <c r="G398" t="s">
        <v>147</v>
      </c>
      <c r="H398" t="s">
        <v>149</v>
      </c>
      <c r="J398" s="6"/>
      <c r="K398" s="4"/>
      <c r="L398">
        <f t="shared" si="6"/>
        <v>0</v>
      </c>
      <c r="P398" t="s">
        <v>146</v>
      </c>
    </row>
    <row r="399" spans="1:16">
      <c r="A399" t="s">
        <v>39</v>
      </c>
      <c r="B399" t="s">
        <v>156</v>
      </c>
      <c r="C399" t="s">
        <v>28</v>
      </c>
      <c r="D399" t="s">
        <v>58</v>
      </c>
      <c r="E399" t="s">
        <v>105</v>
      </c>
      <c r="F399" s="1">
        <v>0</v>
      </c>
      <c r="J399" s="6"/>
      <c r="K399" s="4"/>
      <c r="L399">
        <f t="shared" si="6"/>
        <v>0</v>
      </c>
      <c r="P399" t="s">
        <v>146</v>
      </c>
    </row>
    <row r="400" spans="1:16">
      <c r="A400" t="s">
        <v>39</v>
      </c>
      <c r="B400" t="s">
        <v>156</v>
      </c>
      <c r="C400" t="s">
        <v>29</v>
      </c>
      <c r="D400" t="s">
        <v>58</v>
      </c>
      <c r="E400" t="s">
        <v>105</v>
      </c>
      <c r="F400" s="1">
        <v>0</v>
      </c>
      <c r="J400" s="6"/>
      <c r="K400" s="4"/>
      <c r="L400">
        <f t="shared" si="6"/>
        <v>0</v>
      </c>
      <c r="P400" t="s">
        <v>146</v>
      </c>
    </row>
    <row r="401" spans="1:16">
      <c r="A401" t="s">
        <v>39</v>
      </c>
      <c r="B401" t="s">
        <v>156</v>
      </c>
      <c r="C401" t="s">
        <v>30</v>
      </c>
      <c r="D401" t="s">
        <v>58</v>
      </c>
      <c r="E401" t="s">
        <v>105</v>
      </c>
      <c r="F401" s="1">
        <v>0</v>
      </c>
      <c r="J401" s="6"/>
      <c r="K401" s="4"/>
      <c r="L401">
        <f t="shared" si="6"/>
        <v>0</v>
      </c>
      <c r="P401" t="s">
        <v>146</v>
      </c>
    </row>
    <row r="402" spans="1:16">
      <c r="A402" t="s">
        <v>39</v>
      </c>
      <c r="B402" t="s">
        <v>157</v>
      </c>
      <c r="C402" t="s">
        <v>18</v>
      </c>
      <c r="D402" t="s">
        <v>33</v>
      </c>
      <c r="E402" t="s">
        <v>105</v>
      </c>
      <c r="F402" s="1">
        <v>0</v>
      </c>
      <c r="J402" s="2">
        <v>45945</v>
      </c>
      <c r="K402" s="3">
        <v>46203</v>
      </c>
      <c r="L402">
        <f t="shared" si="6"/>
        <v>185</v>
      </c>
      <c r="P402" t="s">
        <v>146</v>
      </c>
    </row>
    <row r="403" spans="1:16">
      <c r="A403" t="s">
        <v>39</v>
      </c>
      <c r="B403" t="s">
        <v>157</v>
      </c>
      <c r="C403" t="s">
        <v>22</v>
      </c>
      <c r="D403" t="s">
        <v>33</v>
      </c>
      <c r="E403" t="s">
        <v>105</v>
      </c>
      <c r="F403" s="1">
        <v>0</v>
      </c>
      <c r="G403" t="s">
        <v>147</v>
      </c>
      <c r="H403" t="s">
        <v>158</v>
      </c>
      <c r="I403" t="s">
        <v>139</v>
      </c>
      <c r="J403" s="2">
        <v>46034</v>
      </c>
      <c r="K403" s="3">
        <v>46111</v>
      </c>
      <c r="L403">
        <f t="shared" si="6"/>
        <v>56</v>
      </c>
      <c r="O403" t="s">
        <v>27</v>
      </c>
      <c r="P403" t="s">
        <v>146</v>
      </c>
    </row>
    <row r="404" spans="1:16">
      <c r="A404" t="s">
        <v>39</v>
      </c>
      <c r="B404" t="s">
        <v>157</v>
      </c>
      <c r="C404" t="s">
        <v>28</v>
      </c>
      <c r="D404" t="s">
        <v>33</v>
      </c>
      <c r="E404" t="s">
        <v>105</v>
      </c>
      <c r="F404" s="1">
        <v>0</v>
      </c>
      <c r="J404" s="2">
        <v>46127</v>
      </c>
      <c r="K404" s="3">
        <v>46203</v>
      </c>
      <c r="L404">
        <f t="shared" si="6"/>
        <v>55</v>
      </c>
      <c r="O404" t="s">
        <v>27</v>
      </c>
      <c r="P404" t="s">
        <v>146</v>
      </c>
    </row>
    <row r="405" spans="1:16">
      <c r="A405" t="s">
        <v>39</v>
      </c>
      <c r="B405" t="s">
        <v>157</v>
      </c>
      <c r="C405" t="s">
        <v>29</v>
      </c>
      <c r="D405" t="s">
        <v>33</v>
      </c>
      <c r="E405" t="s">
        <v>105</v>
      </c>
      <c r="F405" s="1">
        <v>0</v>
      </c>
      <c r="J405" s="6"/>
      <c r="K405" s="4"/>
      <c r="L405">
        <f t="shared" si="6"/>
        <v>0</v>
      </c>
      <c r="P405" t="s">
        <v>146</v>
      </c>
    </row>
    <row r="406" spans="1:16">
      <c r="A406" t="s">
        <v>39</v>
      </c>
      <c r="B406" t="s">
        <v>157</v>
      </c>
      <c r="C406" t="s">
        <v>30</v>
      </c>
      <c r="D406" t="s">
        <v>33</v>
      </c>
      <c r="E406" t="s">
        <v>105</v>
      </c>
      <c r="F406" s="1">
        <v>0</v>
      </c>
      <c r="J406" s="6"/>
      <c r="K406" s="4"/>
      <c r="L406">
        <f t="shared" si="6"/>
        <v>0</v>
      </c>
      <c r="P406" t="s">
        <v>146</v>
      </c>
    </row>
    <row r="407" spans="1:16">
      <c r="A407" t="s">
        <v>39</v>
      </c>
      <c r="B407" t="s">
        <v>159</v>
      </c>
      <c r="C407" t="s">
        <v>18</v>
      </c>
      <c r="D407" t="s">
        <v>58</v>
      </c>
      <c r="E407" t="s">
        <v>105</v>
      </c>
      <c r="F407" s="1">
        <v>0</v>
      </c>
      <c r="J407" s="6"/>
      <c r="K407" s="4"/>
      <c r="L407">
        <f t="shared" si="6"/>
        <v>0</v>
      </c>
      <c r="P407" t="s">
        <v>146</v>
      </c>
    </row>
    <row r="408" spans="1:16">
      <c r="A408" t="s">
        <v>39</v>
      </c>
      <c r="B408" t="s">
        <v>159</v>
      </c>
      <c r="C408" t="s">
        <v>22</v>
      </c>
      <c r="D408" t="s">
        <v>58</v>
      </c>
      <c r="E408" t="s">
        <v>105</v>
      </c>
      <c r="F408" s="1">
        <v>0</v>
      </c>
      <c r="G408" t="s">
        <v>147</v>
      </c>
      <c r="H408" t="s">
        <v>160</v>
      </c>
      <c r="J408" s="6"/>
      <c r="K408" s="4"/>
      <c r="L408">
        <f t="shared" si="6"/>
        <v>0</v>
      </c>
      <c r="P408" t="s">
        <v>146</v>
      </c>
    </row>
    <row r="409" spans="1:16">
      <c r="A409" t="s">
        <v>39</v>
      </c>
      <c r="B409" t="s">
        <v>159</v>
      </c>
      <c r="C409" t="s">
        <v>28</v>
      </c>
      <c r="D409" t="s">
        <v>58</v>
      </c>
      <c r="E409" t="s">
        <v>105</v>
      </c>
      <c r="F409" s="1">
        <v>0</v>
      </c>
      <c r="J409" s="6"/>
      <c r="K409" s="4"/>
      <c r="L409">
        <f t="shared" si="6"/>
        <v>0</v>
      </c>
      <c r="P409" t="s">
        <v>146</v>
      </c>
    </row>
    <row r="410" spans="1:16">
      <c r="A410" t="s">
        <v>39</v>
      </c>
      <c r="B410" t="s">
        <v>159</v>
      </c>
      <c r="C410" t="s">
        <v>29</v>
      </c>
      <c r="D410" t="s">
        <v>58</v>
      </c>
      <c r="E410" t="s">
        <v>105</v>
      </c>
      <c r="F410" s="1">
        <v>0</v>
      </c>
      <c r="J410" s="6"/>
      <c r="K410" s="4"/>
      <c r="L410">
        <f t="shared" si="6"/>
        <v>0</v>
      </c>
      <c r="P410" t="s">
        <v>146</v>
      </c>
    </row>
    <row r="411" spans="1:16">
      <c r="A411" t="s">
        <v>39</v>
      </c>
      <c r="B411" t="s">
        <v>159</v>
      </c>
      <c r="C411" t="s">
        <v>30</v>
      </c>
      <c r="D411" t="s">
        <v>58</v>
      </c>
      <c r="E411" t="s">
        <v>105</v>
      </c>
      <c r="F411" s="1">
        <v>0</v>
      </c>
      <c r="J411" s="6"/>
      <c r="K411" s="4"/>
      <c r="L411">
        <f t="shared" si="6"/>
        <v>0</v>
      </c>
      <c r="P411" t="s">
        <v>146</v>
      </c>
    </row>
    <row r="412" spans="1:16">
      <c r="A412" t="s">
        <v>39</v>
      </c>
      <c r="B412" t="s">
        <v>161</v>
      </c>
      <c r="C412" t="s">
        <v>18</v>
      </c>
      <c r="D412" t="s">
        <v>58</v>
      </c>
      <c r="E412" t="s">
        <v>105</v>
      </c>
      <c r="F412" s="1">
        <v>0</v>
      </c>
      <c r="J412" s="6"/>
      <c r="K412" s="4"/>
      <c r="L412">
        <f t="shared" si="6"/>
        <v>0</v>
      </c>
      <c r="P412" t="s">
        <v>146</v>
      </c>
    </row>
    <row r="413" spans="1:16">
      <c r="A413" t="s">
        <v>39</v>
      </c>
      <c r="B413" t="s">
        <v>161</v>
      </c>
      <c r="C413" t="s">
        <v>22</v>
      </c>
      <c r="D413" t="s">
        <v>58</v>
      </c>
      <c r="E413" t="s">
        <v>105</v>
      </c>
      <c r="F413" s="1">
        <v>0</v>
      </c>
      <c r="G413" t="s">
        <v>147</v>
      </c>
      <c r="H413" t="s">
        <v>160</v>
      </c>
      <c r="J413" s="6"/>
      <c r="K413" s="4"/>
      <c r="L413">
        <f t="shared" si="6"/>
        <v>0</v>
      </c>
      <c r="P413" t="s">
        <v>146</v>
      </c>
    </row>
    <row r="414" spans="1:16">
      <c r="A414" t="s">
        <v>39</v>
      </c>
      <c r="B414" t="s">
        <v>161</v>
      </c>
      <c r="C414" t="s">
        <v>28</v>
      </c>
      <c r="D414" t="s">
        <v>58</v>
      </c>
      <c r="E414" t="s">
        <v>105</v>
      </c>
      <c r="F414" s="1">
        <v>0</v>
      </c>
      <c r="J414" s="6"/>
      <c r="K414" s="4"/>
      <c r="L414">
        <f t="shared" si="6"/>
        <v>0</v>
      </c>
      <c r="P414" t="s">
        <v>146</v>
      </c>
    </row>
    <row r="415" spans="1:16">
      <c r="A415" t="s">
        <v>39</v>
      </c>
      <c r="B415" t="s">
        <v>161</v>
      </c>
      <c r="C415" t="s">
        <v>29</v>
      </c>
      <c r="D415" t="s">
        <v>58</v>
      </c>
      <c r="E415" t="s">
        <v>105</v>
      </c>
      <c r="F415" s="1">
        <v>0</v>
      </c>
      <c r="J415" s="6"/>
      <c r="K415" s="4"/>
      <c r="L415">
        <f t="shared" si="6"/>
        <v>0</v>
      </c>
      <c r="P415" t="s">
        <v>146</v>
      </c>
    </row>
    <row r="416" spans="1:16">
      <c r="A416" t="s">
        <v>39</v>
      </c>
      <c r="B416" t="s">
        <v>161</v>
      </c>
      <c r="C416" t="s">
        <v>30</v>
      </c>
      <c r="D416" t="s">
        <v>58</v>
      </c>
      <c r="E416" t="s">
        <v>105</v>
      </c>
      <c r="F416" s="1">
        <v>0</v>
      </c>
      <c r="J416" s="6"/>
      <c r="K416" s="4"/>
      <c r="L416">
        <f t="shared" si="6"/>
        <v>0</v>
      </c>
      <c r="P416" t="s">
        <v>146</v>
      </c>
    </row>
    <row r="417" spans="1:16">
      <c r="A417" t="s">
        <v>39</v>
      </c>
      <c r="B417" t="s">
        <v>162</v>
      </c>
      <c r="C417" t="s">
        <v>18</v>
      </c>
      <c r="D417" t="s">
        <v>58</v>
      </c>
      <c r="E417" t="s">
        <v>105</v>
      </c>
      <c r="F417" s="1">
        <v>0</v>
      </c>
      <c r="J417" s="6"/>
      <c r="K417" s="4"/>
      <c r="L417">
        <f t="shared" si="6"/>
        <v>0</v>
      </c>
      <c r="P417" t="s">
        <v>146</v>
      </c>
    </row>
    <row r="418" spans="1:16">
      <c r="A418" t="s">
        <v>39</v>
      </c>
      <c r="B418" t="s">
        <v>162</v>
      </c>
      <c r="C418" t="s">
        <v>22</v>
      </c>
      <c r="D418" t="s">
        <v>58</v>
      </c>
      <c r="E418" t="s">
        <v>105</v>
      </c>
      <c r="F418" s="1">
        <v>0</v>
      </c>
      <c r="G418" t="s">
        <v>147</v>
      </c>
      <c r="H418" t="s">
        <v>160</v>
      </c>
      <c r="J418" s="6"/>
      <c r="K418" s="4"/>
      <c r="L418">
        <f t="shared" si="6"/>
        <v>0</v>
      </c>
      <c r="P418" t="s">
        <v>146</v>
      </c>
    </row>
    <row r="419" spans="1:16">
      <c r="A419" t="s">
        <v>39</v>
      </c>
      <c r="B419" t="s">
        <v>162</v>
      </c>
      <c r="C419" t="s">
        <v>28</v>
      </c>
      <c r="D419" t="s">
        <v>58</v>
      </c>
      <c r="E419" t="s">
        <v>105</v>
      </c>
      <c r="F419" s="1">
        <v>0</v>
      </c>
      <c r="J419" s="6"/>
      <c r="K419" s="4"/>
      <c r="L419">
        <f t="shared" si="6"/>
        <v>0</v>
      </c>
      <c r="P419" t="s">
        <v>146</v>
      </c>
    </row>
    <row r="420" spans="1:16">
      <c r="A420" t="s">
        <v>39</v>
      </c>
      <c r="B420" t="s">
        <v>162</v>
      </c>
      <c r="C420" t="s">
        <v>29</v>
      </c>
      <c r="D420" t="s">
        <v>58</v>
      </c>
      <c r="E420" t="s">
        <v>105</v>
      </c>
      <c r="F420" s="1">
        <v>0</v>
      </c>
      <c r="J420" s="6"/>
      <c r="K420" s="4"/>
      <c r="L420">
        <f t="shared" si="6"/>
        <v>0</v>
      </c>
      <c r="P420" t="s">
        <v>146</v>
      </c>
    </row>
    <row r="421" spans="1:16">
      <c r="A421" t="s">
        <v>39</v>
      </c>
      <c r="B421" t="s">
        <v>162</v>
      </c>
      <c r="C421" t="s">
        <v>30</v>
      </c>
      <c r="D421" t="s">
        <v>58</v>
      </c>
      <c r="E421" t="s">
        <v>105</v>
      </c>
      <c r="F421" s="1">
        <v>0</v>
      </c>
      <c r="J421" s="6"/>
      <c r="K421" s="4"/>
      <c r="L421">
        <f t="shared" si="6"/>
        <v>0</v>
      </c>
      <c r="P421" t="s">
        <v>146</v>
      </c>
    </row>
    <row r="422" spans="1:16">
      <c r="A422" t="s">
        <v>39</v>
      </c>
      <c r="B422" t="s">
        <v>163</v>
      </c>
      <c r="C422" t="s">
        <v>18</v>
      </c>
      <c r="D422" t="s">
        <v>33</v>
      </c>
      <c r="E422" t="s">
        <v>105</v>
      </c>
      <c r="F422" s="1">
        <v>0</v>
      </c>
      <c r="J422" s="2">
        <v>45945</v>
      </c>
      <c r="K422" s="3">
        <v>46188</v>
      </c>
      <c r="L422">
        <f t="shared" si="6"/>
        <v>174</v>
      </c>
      <c r="P422" t="s">
        <v>146</v>
      </c>
    </row>
    <row r="423" spans="1:16">
      <c r="A423" t="s">
        <v>39</v>
      </c>
      <c r="B423" t="s">
        <v>163</v>
      </c>
      <c r="C423" t="s">
        <v>22</v>
      </c>
      <c r="D423" t="s">
        <v>33</v>
      </c>
      <c r="E423" t="s">
        <v>105</v>
      </c>
      <c r="F423" s="1">
        <v>0</v>
      </c>
      <c r="G423" t="s">
        <v>147</v>
      </c>
      <c r="H423" t="s">
        <v>42</v>
      </c>
      <c r="I423" t="s">
        <v>139</v>
      </c>
      <c r="J423" s="2">
        <v>46034</v>
      </c>
      <c r="K423" s="3">
        <v>46111</v>
      </c>
      <c r="L423">
        <f t="shared" si="6"/>
        <v>56</v>
      </c>
      <c r="O423" t="s">
        <v>27</v>
      </c>
      <c r="P423" t="s">
        <v>146</v>
      </c>
    </row>
    <row r="424" spans="1:16">
      <c r="A424" t="s">
        <v>39</v>
      </c>
      <c r="B424" t="s">
        <v>163</v>
      </c>
      <c r="C424" t="s">
        <v>28</v>
      </c>
      <c r="D424" t="s">
        <v>33</v>
      </c>
      <c r="E424" t="s">
        <v>105</v>
      </c>
      <c r="F424" s="1">
        <v>0</v>
      </c>
      <c r="J424" s="2">
        <v>46113</v>
      </c>
      <c r="K424" s="3">
        <v>46188</v>
      </c>
      <c r="L424">
        <f t="shared" si="6"/>
        <v>54</v>
      </c>
      <c r="O424" t="s">
        <v>27</v>
      </c>
      <c r="P424" t="s">
        <v>146</v>
      </c>
    </row>
    <row r="425" spans="1:16">
      <c r="A425" t="s">
        <v>39</v>
      </c>
      <c r="B425" t="s">
        <v>163</v>
      </c>
      <c r="C425" t="s">
        <v>29</v>
      </c>
      <c r="D425" t="s">
        <v>33</v>
      </c>
      <c r="E425" t="s">
        <v>105</v>
      </c>
      <c r="F425" s="1">
        <v>0</v>
      </c>
      <c r="J425" s="6"/>
      <c r="K425" s="4"/>
      <c r="L425">
        <f t="shared" si="6"/>
        <v>0</v>
      </c>
      <c r="P425" t="s">
        <v>146</v>
      </c>
    </row>
    <row r="426" spans="1:16">
      <c r="A426" t="s">
        <v>39</v>
      </c>
      <c r="B426" t="s">
        <v>163</v>
      </c>
      <c r="C426" t="s">
        <v>30</v>
      </c>
      <c r="D426" t="s">
        <v>33</v>
      </c>
      <c r="E426" t="s">
        <v>105</v>
      </c>
      <c r="F426" s="1">
        <v>0</v>
      </c>
      <c r="J426" s="6"/>
      <c r="K426" s="4"/>
      <c r="L426">
        <f t="shared" si="6"/>
        <v>0</v>
      </c>
      <c r="P426" t="s">
        <v>146</v>
      </c>
    </row>
    <row r="427" spans="1:16">
      <c r="A427" t="s">
        <v>39</v>
      </c>
      <c r="B427" t="s">
        <v>164</v>
      </c>
      <c r="C427" t="s">
        <v>18</v>
      </c>
      <c r="D427" t="s">
        <v>58</v>
      </c>
      <c r="E427" t="s">
        <v>105</v>
      </c>
      <c r="F427" s="1">
        <v>0</v>
      </c>
      <c r="J427" s="6"/>
      <c r="K427" s="4"/>
      <c r="L427">
        <f t="shared" si="6"/>
        <v>0</v>
      </c>
      <c r="P427" t="s">
        <v>146</v>
      </c>
    </row>
    <row r="428" spans="1:16">
      <c r="A428" t="s">
        <v>39</v>
      </c>
      <c r="B428" t="s">
        <v>164</v>
      </c>
      <c r="C428" t="s">
        <v>22</v>
      </c>
      <c r="D428" t="s">
        <v>58</v>
      </c>
      <c r="E428" t="s">
        <v>105</v>
      </c>
      <c r="F428" s="1">
        <v>0</v>
      </c>
      <c r="G428" t="s">
        <v>147</v>
      </c>
      <c r="H428" t="s">
        <v>160</v>
      </c>
      <c r="J428" s="6"/>
      <c r="K428" s="4"/>
      <c r="L428">
        <f t="shared" si="6"/>
        <v>0</v>
      </c>
      <c r="P428" t="s">
        <v>146</v>
      </c>
    </row>
    <row r="429" spans="1:16">
      <c r="A429" t="s">
        <v>39</v>
      </c>
      <c r="B429" t="s">
        <v>164</v>
      </c>
      <c r="C429" t="s">
        <v>28</v>
      </c>
      <c r="D429" t="s">
        <v>58</v>
      </c>
      <c r="E429" t="s">
        <v>105</v>
      </c>
      <c r="F429" s="1">
        <v>0</v>
      </c>
      <c r="J429" s="6"/>
      <c r="K429" s="4"/>
      <c r="L429">
        <f t="shared" si="6"/>
        <v>0</v>
      </c>
      <c r="P429" t="s">
        <v>146</v>
      </c>
    </row>
    <row r="430" spans="1:16">
      <c r="A430" t="s">
        <v>39</v>
      </c>
      <c r="B430" t="s">
        <v>164</v>
      </c>
      <c r="C430" t="s">
        <v>29</v>
      </c>
      <c r="D430" t="s">
        <v>58</v>
      </c>
      <c r="E430" t="s">
        <v>105</v>
      </c>
      <c r="F430" s="1">
        <v>0</v>
      </c>
      <c r="J430" s="6"/>
      <c r="K430" s="4"/>
      <c r="L430">
        <f t="shared" si="6"/>
        <v>0</v>
      </c>
      <c r="P430" t="s">
        <v>146</v>
      </c>
    </row>
    <row r="431" spans="1:16">
      <c r="A431" t="s">
        <v>39</v>
      </c>
      <c r="B431" t="s">
        <v>164</v>
      </c>
      <c r="C431" t="s">
        <v>30</v>
      </c>
      <c r="D431" t="s">
        <v>58</v>
      </c>
      <c r="E431" t="s">
        <v>105</v>
      </c>
      <c r="F431" s="1">
        <v>0</v>
      </c>
      <c r="J431" s="6"/>
      <c r="K431" s="4"/>
      <c r="L431">
        <f t="shared" si="6"/>
        <v>0</v>
      </c>
      <c r="P431" t="s">
        <v>146</v>
      </c>
    </row>
    <row r="432" spans="1:16">
      <c r="A432" t="s">
        <v>39</v>
      </c>
      <c r="B432" t="s">
        <v>165</v>
      </c>
      <c r="C432" t="s">
        <v>18</v>
      </c>
      <c r="D432" t="s">
        <v>58</v>
      </c>
      <c r="E432" t="s">
        <v>105</v>
      </c>
      <c r="F432" s="1">
        <v>0</v>
      </c>
      <c r="J432" s="6"/>
      <c r="K432" s="4"/>
      <c r="L432">
        <f t="shared" si="6"/>
        <v>0</v>
      </c>
      <c r="P432" t="s">
        <v>146</v>
      </c>
    </row>
    <row r="433" spans="1:16">
      <c r="A433" t="s">
        <v>39</v>
      </c>
      <c r="B433" t="s">
        <v>165</v>
      </c>
      <c r="C433" t="s">
        <v>22</v>
      </c>
      <c r="D433" t="s">
        <v>58</v>
      </c>
      <c r="E433" t="s">
        <v>105</v>
      </c>
      <c r="F433" s="1">
        <v>0</v>
      </c>
      <c r="G433" t="s">
        <v>147</v>
      </c>
      <c r="H433" t="s">
        <v>160</v>
      </c>
      <c r="J433" s="6"/>
      <c r="K433" s="4"/>
      <c r="L433">
        <f t="shared" si="6"/>
        <v>0</v>
      </c>
      <c r="P433" t="s">
        <v>146</v>
      </c>
    </row>
    <row r="434" spans="1:16">
      <c r="A434" t="s">
        <v>39</v>
      </c>
      <c r="B434" t="s">
        <v>165</v>
      </c>
      <c r="C434" t="s">
        <v>28</v>
      </c>
      <c r="D434" t="s">
        <v>58</v>
      </c>
      <c r="E434" t="s">
        <v>105</v>
      </c>
      <c r="F434" s="1">
        <v>0</v>
      </c>
      <c r="J434" s="6"/>
      <c r="K434" s="4"/>
      <c r="L434">
        <f t="shared" si="6"/>
        <v>0</v>
      </c>
      <c r="P434" t="s">
        <v>146</v>
      </c>
    </row>
    <row r="435" spans="1:16">
      <c r="A435" t="s">
        <v>39</v>
      </c>
      <c r="B435" t="s">
        <v>165</v>
      </c>
      <c r="C435" t="s">
        <v>29</v>
      </c>
      <c r="D435" t="s">
        <v>58</v>
      </c>
      <c r="E435" t="s">
        <v>105</v>
      </c>
      <c r="F435" s="1">
        <v>0</v>
      </c>
      <c r="J435" s="6"/>
      <c r="K435" s="4"/>
      <c r="L435">
        <f t="shared" si="6"/>
        <v>0</v>
      </c>
      <c r="P435" t="s">
        <v>146</v>
      </c>
    </row>
    <row r="436" spans="1:16">
      <c r="A436" t="s">
        <v>39</v>
      </c>
      <c r="B436" t="s">
        <v>165</v>
      </c>
      <c r="C436" t="s">
        <v>30</v>
      </c>
      <c r="D436" t="s">
        <v>58</v>
      </c>
      <c r="E436" t="s">
        <v>105</v>
      </c>
      <c r="F436" s="1">
        <v>0</v>
      </c>
      <c r="J436" s="6"/>
      <c r="K436" s="4"/>
      <c r="L436">
        <f t="shared" si="6"/>
        <v>0</v>
      </c>
      <c r="P436" t="s">
        <v>146</v>
      </c>
    </row>
    <row r="437" spans="1:16">
      <c r="A437" t="s">
        <v>39</v>
      </c>
      <c r="B437" t="s">
        <v>166</v>
      </c>
      <c r="C437" t="s">
        <v>18</v>
      </c>
      <c r="D437" t="s">
        <v>58</v>
      </c>
      <c r="E437" t="s">
        <v>105</v>
      </c>
      <c r="F437" s="1">
        <v>0</v>
      </c>
      <c r="J437" s="6"/>
      <c r="K437" s="4"/>
      <c r="L437">
        <f t="shared" si="6"/>
        <v>0</v>
      </c>
      <c r="P437" t="s">
        <v>146</v>
      </c>
    </row>
    <row r="438" spans="1:16">
      <c r="A438" t="s">
        <v>39</v>
      </c>
      <c r="B438" t="s">
        <v>166</v>
      </c>
      <c r="C438" t="s">
        <v>22</v>
      </c>
      <c r="D438" t="s">
        <v>58</v>
      </c>
      <c r="E438" t="s">
        <v>105</v>
      </c>
      <c r="F438" s="1">
        <v>0</v>
      </c>
      <c r="G438" t="s">
        <v>147</v>
      </c>
      <c r="H438" t="s">
        <v>160</v>
      </c>
      <c r="J438" s="6"/>
      <c r="K438" s="4"/>
      <c r="L438">
        <f t="shared" si="6"/>
        <v>0</v>
      </c>
      <c r="P438" t="s">
        <v>146</v>
      </c>
    </row>
    <row r="439" spans="1:16">
      <c r="A439" t="s">
        <v>39</v>
      </c>
      <c r="B439" t="s">
        <v>166</v>
      </c>
      <c r="C439" t="s">
        <v>28</v>
      </c>
      <c r="D439" t="s">
        <v>58</v>
      </c>
      <c r="E439" t="s">
        <v>105</v>
      </c>
      <c r="F439" s="1">
        <v>0</v>
      </c>
      <c r="J439" s="6"/>
      <c r="K439" s="4"/>
      <c r="L439">
        <f t="shared" si="6"/>
        <v>0</v>
      </c>
      <c r="P439" t="s">
        <v>146</v>
      </c>
    </row>
    <row r="440" spans="1:16">
      <c r="A440" t="s">
        <v>39</v>
      </c>
      <c r="B440" t="s">
        <v>166</v>
      </c>
      <c r="C440" t="s">
        <v>29</v>
      </c>
      <c r="D440" t="s">
        <v>58</v>
      </c>
      <c r="E440" t="s">
        <v>105</v>
      </c>
      <c r="F440" s="1">
        <v>0</v>
      </c>
      <c r="J440" s="6"/>
      <c r="K440" s="4"/>
      <c r="L440">
        <f t="shared" si="6"/>
        <v>0</v>
      </c>
      <c r="P440" t="s">
        <v>146</v>
      </c>
    </row>
    <row r="441" spans="1:16">
      <c r="A441" t="s">
        <v>39</v>
      </c>
      <c r="B441" t="s">
        <v>166</v>
      </c>
      <c r="C441" t="s">
        <v>30</v>
      </c>
      <c r="D441" t="s">
        <v>58</v>
      </c>
      <c r="E441" t="s">
        <v>105</v>
      </c>
      <c r="F441" s="1">
        <v>0</v>
      </c>
      <c r="J441" s="6"/>
      <c r="K441" s="4"/>
      <c r="L441">
        <f t="shared" si="6"/>
        <v>0</v>
      </c>
      <c r="P441" t="s">
        <v>146</v>
      </c>
    </row>
    <row r="442" spans="1:16">
      <c r="A442" t="s">
        <v>39</v>
      </c>
      <c r="B442" t="s">
        <v>167</v>
      </c>
      <c r="C442" t="s">
        <v>18</v>
      </c>
      <c r="D442" t="s">
        <v>58</v>
      </c>
      <c r="E442" t="s">
        <v>105</v>
      </c>
      <c r="F442" s="1">
        <v>0</v>
      </c>
      <c r="J442" s="6"/>
      <c r="K442" s="4"/>
      <c r="L442">
        <f t="shared" si="6"/>
        <v>0</v>
      </c>
      <c r="P442" t="s">
        <v>146</v>
      </c>
    </row>
    <row r="443" spans="1:16">
      <c r="A443" t="s">
        <v>39</v>
      </c>
      <c r="B443" t="s">
        <v>167</v>
      </c>
      <c r="C443" t="s">
        <v>22</v>
      </c>
      <c r="D443" t="s">
        <v>58</v>
      </c>
      <c r="E443" t="s">
        <v>105</v>
      </c>
      <c r="F443" s="1">
        <v>0</v>
      </c>
      <c r="G443" t="s">
        <v>147</v>
      </c>
      <c r="H443" t="s">
        <v>160</v>
      </c>
      <c r="J443" s="6"/>
      <c r="K443" s="4"/>
      <c r="L443">
        <f t="shared" si="6"/>
        <v>0</v>
      </c>
      <c r="P443" t="s">
        <v>146</v>
      </c>
    </row>
    <row r="444" spans="1:16">
      <c r="A444" t="s">
        <v>39</v>
      </c>
      <c r="B444" t="s">
        <v>167</v>
      </c>
      <c r="C444" t="s">
        <v>28</v>
      </c>
      <c r="D444" t="s">
        <v>58</v>
      </c>
      <c r="E444" t="s">
        <v>105</v>
      </c>
      <c r="F444" s="1">
        <v>0</v>
      </c>
      <c r="J444" s="6"/>
      <c r="K444" s="4"/>
      <c r="L444">
        <f t="shared" si="6"/>
        <v>0</v>
      </c>
      <c r="P444" t="s">
        <v>146</v>
      </c>
    </row>
    <row r="445" spans="1:16">
      <c r="A445" t="s">
        <v>39</v>
      </c>
      <c r="B445" t="s">
        <v>167</v>
      </c>
      <c r="C445" t="s">
        <v>29</v>
      </c>
      <c r="D445" t="s">
        <v>58</v>
      </c>
      <c r="E445" t="s">
        <v>105</v>
      </c>
      <c r="F445" s="1">
        <v>0</v>
      </c>
      <c r="J445" s="6"/>
      <c r="K445" s="4"/>
      <c r="L445">
        <f t="shared" si="6"/>
        <v>0</v>
      </c>
      <c r="P445" t="s">
        <v>146</v>
      </c>
    </row>
    <row r="446" spans="1:16">
      <c r="A446" t="s">
        <v>39</v>
      </c>
      <c r="B446" t="s">
        <v>167</v>
      </c>
      <c r="C446" t="s">
        <v>30</v>
      </c>
      <c r="D446" t="s">
        <v>58</v>
      </c>
      <c r="E446" t="s">
        <v>105</v>
      </c>
      <c r="F446" s="1">
        <v>0</v>
      </c>
      <c r="J446" s="6"/>
      <c r="K446" s="4"/>
      <c r="L446">
        <f t="shared" si="6"/>
        <v>0</v>
      </c>
      <c r="P446" t="s">
        <v>146</v>
      </c>
    </row>
    <row r="447" spans="1:16">
      <c r="A447" t="s">
        <v>168</v>
      </c>
      <c r="B447" t="s">
        <v>169</v>
      </c>
      <c r="C447" t="s">
        <v>18</v>
      </c>
      <c r="D447" t="s">
        <v>19</v>
      </c>
      <c r="E447" t="s">
        <v>170</v>
      </c>
      <c r="F447" s="1">
        <v>0</v>
      </c>
      <c r="J447" s="6"/>
      <c r="K447" s="4"/>
      <c r="L447">
        <f t="shared" si="6"/>
        <v>0</v>
      </c>
      <c r="P447" t="s">
        <v>169</v>
      </c>
    </row>
    <row r="448" spans="1:16">
      <c r="A448" t="s">
        <v>168</v>
      </c>
      <c r="B448" t="s">
        <v>169</v>
      </c>
      <c r="C448" t="s">
        <v>22</v>
      </c>
      <c r="D448" t="s">
        <v>19</v>
      </c>
      <c r="E448" t="s">
        <v>170</v>
      </c>
      <c r="F448" s="1">
        <v>0</v>
      </c>
      <c r="G448" t="s">
        <v>48</v>
      </c>
      <c r="H448" t="s">
        <v>171</v>
      </c>
      <c r="I448" t="s">
        <v>97</v>
      </c>
      <c r="J448" s="6"/>
      <c r="K448" s="4"/>
      <c r="L448">
        <f t="shared" si="6"/>
        <v>0</v>
      </c>
      <c r="P448" t="s">
        <v>169</v>
      </c>
    </row>
    <row r="449" spans="1:16">
      <c r="A449" t="s">
        <v>168</v>
      </c>
      <c r="B449" t="s">
        <v>169</v>
      </c>
      <c r="C449" t="s">
        <v>28</v>
      </c>
      <c r="D449" t="s">
        <v>19</v>
      </c>
      <c r="E449" t="s">
        <v>170</v>
      </c>
      <c r="F449" s="1">
        <v>0</v>
      </c>
      <c r="J449" s="6"/>
      <c r="K449" s="4"/>
      <c r="L449">
        <f t="shared" ref="L449:L512" si="7">NETWORKDAYS(J449,K449)</f>
        <v>0</v>
      </c>
      <c r="P449" t="s">
        <v>169</v>
      </c>
    </row>
    <row r="450" spans="1:16">
      <c r="A450" t="s">
        <v>168</v>
      </c>
      <c r="B450" t="s">
        <v>169</v>
      </c>
      <c r="C450" t="s">
        <v>29</v>
      </c>
      <c r="D450" t="s">
        <v>19</v>
      </c>
      <c r="E450" t="s">
        <v>170</v>
      </c>
      <c r="F450" s="1">
        <v>0</v>
      </c>
      <c r="J450" s="6"/>
      <c r="K450" s="4"/>
      <c r="L450">
        <f t="shared" si="7"/>
        <v>0</v>
      </c>
      <c r="P450" t="s">
        <v>169</v>
      </c>
    </row>
    <row r="451" spans="1:16">
      <c r="A451" t="s">
        <v>168</v>
      </c>
      <c r="B451" t="s">
        <v>169</v>
      </c>
      <c r="C451" t="s">
        <v>30</v>
      </c>
      <c r="D451" t="s">
        <v>19</v>
      </c>
      <c r="E451" t="s">
        <v>170</v>
      </c>
      <c r="F451" s="1">
        <v>0</v>
      </c>
      <c r="J451" s="6"/>
      <c r="K451" s="4"/>
      <c r="L451">
        <f t="shared" si="7"/>
        <v>0</v>
      </c>
      <c r="P451" t="s">
        <v>169</v>
      </c>
    </row>
    <row r="452" spans="1:16">
      <c r="A452" t="s">
        <v>168</v>
      </c>
      <c r="B452" t="s">
        <v>172</v>
      </c>
      <c r="C452" t="s">
        <v>18</v>
      </c>
      <c r="D452" t="s">
        <v>33</v>
      </c>
      <c r="E452" t="s">
        <v>170</v>
      </c>
      <c r="F452" s="1">
        <v>0</v>
      </c>
      <c r="J452" s="6"/>
      <c r="K452" s="4"/>
      <c r="L452">
        <f t="shared" si="7"/>
        <v>0</v>
      </c>
      <c r="P452" t="s">
        <v>169</v>
      </c>
    </row>
    <row r="453" spans="1:16">
      <c r="A453" t="s">
        <v>168</v>
      </c>
      <c r="B453" t="s">
        <v>172</v>
      </c>
      <c r="C453" t="s">
        <v>22</v>
      </c>
      <c r="D453" t="s">
        <v>33</v>
      </c>
      <c r="E453" t="s">
        <v>170</v>
      </c>
      <c r="F453" s="1">
        <v>0</v>
      </c>
      <c r="G453" t="s">
        <v>35</v>
      </c>
      <c r="H453" t="s">
        <v>173</v>
      </c>
      <c r="I453" t="s">
        <v>50</v>
      </c>
      <c r="J453" s="6"/>
      <c r="K453" s="4"/>
      <c r="L453">
        <f t="shared" si="7"/>
        <v>0</v>
      </c>
      <c r="P453" t="s">
        <v>169</v>
      </c>
    </row>
    <row r="454" spans="1:16">
      <c r="A454" t="s">
        <v>168</v>
      </c>
      <c r="B454" t="s">
        <v>172</v>
      </c>
      <c r="C454" t="s">
        <v>28</v>
      </c>
      <c r="D454" t="s">
        <v>33</v>
      </c>
      <c r="E454" t="s">
        <v>170</v>
      </c>
      <c r="F454" s="1">
        <v>0</v>
      </c>
      <c r="J454" s="6"/>
      <c r="K454" s="4"/>
      <c r="L454">
        <f t="shared" si="7"/>
        <v>0</v>
      </c>
      <c r="P454" t="s">
        <v>169</v>
      </c>
    </row>
    <row r="455" spans="1:16">
      <c r="A455" t="s">
        <v>168</v>
      </c>
      <c r="B455" t="s">
        <v>172</v>
      </c>
      <c r="C455" t="s">
        <v>29</v>
      </c>
      <c r="D455" t="s">
        <v>33</v>
      </c>
      <c r="E455" t="s">
        <v>170</v>
      </c>
      <c r="F455" s="1">
        <v>0</v>
      </c>
      <c r="J455" s="6"/>
      <c r="K455" s="4"/>
      <c r="L455">
        <f t="shared" si="7"/>
        <v>0</v>
      </c>
      <c r="P455" t="s">
        <v>169</v>
      </c>
    </row>
    <row r="456" spans="1:16">
      <c r="A456" t="s">
        <v>168</v>
      </c>
      <c r="B456" t="s">
        <v>172</v>
      </c>
      <c r="C456" t="s">
        <v>30</v>
      </c>
      <c r="D456" t="s">
        <v>33</v>
      </c>
      <c r="E456" t="s">
        <v>170</v>
      </c>
      <c r="F456" s="1">
        <v>0</v>
      </c>
      <c r="J456" s="6"/>
      <c r="K456" s="4"/>
      <c r="L456">
        <f t="shared" si="7"/>
        <v>0</v>
      </c>
      <c r="P456" t="s">
        <v>169</v>
      </c>
    </row>
    <row r="457" spans="1:16">
      <c r="A457" t="s">
        <v>44</v>
      </c>
      <c r="B457" t="s">
        <v>174</v>
      </c>
      <c r="C457" t="s">
        <v>18</v>
      </c>
      <c r="D457" t="s">
        <v>19</v>
      </c>
      <c r="E457" t="s">
        <v>170</v>
      </c>
      <c r="F457" s="1">
        <v>0</v>
      </c>
      <c r="J457" s="2">
        <v>45852</v>
      </c>
      <c r="K457" s="3">
        <v>46202</v>
      </c>
      <c r="L457">
        <f t="shared" si="7"/>
        <v>251</v>
      </c>
      <c r="M457" t="s">
        <v>81</v>
      </c>
      <c r="P457" t="s">
        <v>174</v>
      </c>
    </row>
    <row r="458" spans="1:16">
      <c r="A458" t="s">
        <v>44</v>
      </c>
      <c r="B458" t="s">
        <v>174</v>
      </c>
      <c r="C458" t="s">
        <v>22</v>
      </c>
      <c r="D458" t="s">
        <v>19</v>
      </c>
      <c r="E458" t="s">
        <v>170</v>
      </c>
      <c r="F458" s="1">
        <v>0</v>
      </c>
      <c r="G458" t="s">
        <v>46</v>
      </c>
      <c r="H458" t="s">
        <v>47</v>
      </c>
      <c r="I458" t="s">
        <v>48</v>
      </c>
      <c r="J458" s="2">
        <v>45852</v>
      </c>
      <c r="K458" s="3">
        <v>45930</v>
      </c>
      <c r="L458">
        <f t="shared" si="7"/>
        <v>57</v>
      </c>
      <c r="N458" t="s">
        <v>43</v>
      </c>
      <c r="O458" t="s">
        <v>108</v>
      </c>
      <c r="P458" t="s">
        <v>174</v>
      </c>
    </row>
    <row r="459" spans="1:16">
      <c r="A459" t="s">
        <v>44</v>
      </c>
      <c r="B459" t="s">
        <v>174</v>
      </c>
      <c r="C459" t="s">
        <v>28</v>
      </c>
      <c r="D459" t="s">
        <v>19</v>
      </c>
      <c r="E459" t="s">
        <v>170</v>
      </c>
      <c r="F459" s="1">
        <v>0</v>
      </c>
      <c r="J459" s="2">
        <v>46113</v>
      </c>
      <c r="K459" s="3">
        <v>46202</v>
      </c>
      <c r="L459">
        <f t="shared" si="7"/>
        <v>64</v>
      </c>
      <c r="O459" t="s">
        <v>27</v>
      </c>
      <c r="P459" t="s">
        <v>174</v>
      </c>
    </row>
    <row r="460" spans="1:16">
      <c r="A460" t="s">
        <v>44</v>
      </c>
      <c r="B460" t="s">
        <v>174</v>
      </c>
      <c r="C460" t="s">
        <v>29</v>
      </c>
      <c r="D460" t="s">
        <v>19</v>
      </c>
      <c r="E460" t="s">
        <v>170</v>
      </c>
      <c r="F460" s="1">
        <v>0</v>
      </c>
      <c r="J460" s="6"/>
      <c r="K460" s="4"/>
      <c r="L460">
        <f t="shared" si="7"/>
        <v>0</v>
      </c>
      <c r="P460" t="s">
        <v>174</v>
      </c>
    </row>
    <row r="461" spans="1:16">
      <c r="A461" t="s">
        <v>44</v>
      </c>
      <c r="B461" t="s">
        <v>174</v>
      </c>
      <c r="C461" t="s">
        <v>30</v>
      </c>
      <c r="D461" t="s">
        <v>19</v>
      </c>
      <c r="E461" t="s">
        <v>170</v>
      </c>
      <c r="F461" s="1">
        <v>0</v>
      </c>
      <c r="J461" s="6"/>
      <c r="K461" s="4"/>
      <c r="L461">
        <f t="shared" si="7"/>
        <v>0</v>
      </c>
      <c r="P461" t="s">
        <v>174</v>
      </c>
    </row>
    <row r="462" spans="1:16">
      <c r="A462" t="s">
        <v>44</v>
      </c>
      <c r="B462" t="s">
        <v>175</v>
      </c>
      <c r="C462" t="s">
        <v>18</v>
      </c>
      <c r="D462" t="s">
        <v>33</v>
      </c>
      <c r="E462" t="s">
        <v>170</v>
      </c>
      <c r="F462" s="1">
        <v>0</v>
      </c>
      <c r="J462" s="6"/>
      <c r="K462" s="4"/>
      <c r="L462">
        <f t="shared" si="7"/>
        <v>0</v>
      </c>
      <c r="M462" t="s">
        <v>81</v>
      </c>
      <c r="P462" t="s">
        <v>174</v>
      </c>
    </row>
    <row r="463" spans="1:16">
      <c r="A463" t="s">
        <v>44</v>
      </c>
      <c r="B463" t="s">
        <v>175</v>
      </c>
      <c r="C463" t="s">
        <v>22</v>
      </c>
      <c r="D463" t="s">
        <v>33</v>
      </c>
      <c r="E463" t="s">
        <v>170</v>
      </c>
      <c r="F463" s="1">
        <v>0</v>
      </c>
      <c r="G463" t="s">
        <v>46</v>
      </c>
      <c r="H463" t="s">
        <v>47</v>
      </c>
      <c r="I463" t="s">
        <v>48</v>
      </c>
      <c r="J463" s="6"/>
      <c r="K463" s="4"/>
      <c r="L463">
        <f t="shared" si="7"/>
        <v>0</v>
      </c>
      <c r="P463" t="s">
        <v>174</v>
      </c>
    </row>
    <row r="464" spans="1:16">
      <c r="A464" t="s">
        <v>44</v>
      </c>
      <c r="B464" t="s">
        <v>175</v>
      </c>
      <c r="C464" t="s">
        <v>28</v>
      </c>
      <c r="D464" t="s">
        <v>33</v>
      </c>
      <c r="E464" t="s">
        <v>170</v>
      </c>
      <c r="F464" s="1">
        <v>0</v>
      </c>
      <c r="J464" s="6"/>
      <c r="K464" s="4"/>
      <c r="L464">
        <f t="shared" si="7"/>
        <v>0</v>
      </c>
      <c r="P464" t="s">
        <v>174</v>
      </c>
    </row>
    <row r="465" spans="1:16">
      <c r="A465" t="s">
        <v>44</v>
      </c>
      <c r="B465" t="s">
        <v>175</v>
      </c>
      <c r="C465" t="s">
        <v>29</v>
      </c>
      <c r="D465" t="s">
        <v>33</v>
      </c>
      <c r="E465" t="s">
        <v>170</v>
      </c>
      <c r="F465" s="1">
        <v>0</v>
      </c>
      <c r="J465" s="6"/>
      <c r="K465" s="4"/>
      <c r="L465">
        <f t="shared" si="7"/>
        <v>0</v>
      </c>
      <c r="P465" t="s">
        <v>174</v>
      </c>
    </row>
    <row r="466" spans="1:16">
      <c r="A466" t="s">
        <v>44</v>
      </c>
      <c r="B466" t="s">
        <v>175</v>
      </c>
      <c r="C466" t="s">
        <v>30</v>
      </c>
      <c r="D466" t="s">
        <v>33</v>
      </c>
      <c r="E466" t="s">
        <v>170</v>
      </c>
      <c r="F466" s="1">
        <v>0</v>
      </c>
      <c r="J466" s="6"/>
      <c r="K466" s="4"/>
      <c r="L466">
        <f t="shared" si="7"/>
        <v>0</v>
      </c>
      <c r="P466" t="s">
        <v>174</v>
      </c>
    </row>
    <row r="467" spans="1:16">
      <c r="A467" t="s">
        <v>44</v>
      </c>
      <c r="B467" t="s">
        <v>176</v>
      </c>
      <c r="C467" t="s">
        <v>18</v>
      </c>
      <c r="D467" t="s">
        <v>33</v>
      </c>
      <c r="E467" t="s">
        <v>170</v>
      </c>
      <c r="F467" s="1">
        <v>0</v>
      </c>
      <c r="J467" s="6"/>
      <c r="K467" s="4"/>
      <c r="L467">
        <f t="shared" si="7"/>
        <v>0</v>
      </c>
      <c r="M467" t="s">
        <v>81</v>
      </c>
      <c r="P467" t="s">
        <v>174</v>
      </c>
    </row>
    <row r="468" spans="1:16">
      <c r="A468" t="s">
        <v>44</v>
      </c>
      <c r="B468" t="s">
        <v>176</v>
      </c>
      <c r="C468" t="s">
        <v>22</v>
      </c>
      <c r="D468" t="s">
        <v>33</v>
      </c>
      <c r="E468" t="s">
        <v>170</v>
      </c>
      <c r="F468" s="1">
        <v>0</v>
      </c>
      <c r="G468" t="s">
        <v>46</v>
      </c>
      <c r="H468" t="s">
        <v>47</v>
      </c>
      <c r="I468" t="s">
        <v>48</v>
      </c>
      <c r="J468" s="6"/>
      <c r="K468" s="4"/>
      <c r="L468">
        <f t="shared" si="7"/>
        <v>0</v>
      </c>
      <c r="P468" t="s">
        <v>174</v>
      </c>
    </row>
    <row r="469" spans="1:16">
      <c r="A469" t="s">
        <v>44</v>
      </c>
      <c r="B469" t="s">
        <v>176</v>
      </c>
      <c r="C469" t="s">
        <v>28</v>
      </c>
      <c r="D469" t="s">
        <v>33</v>
      </c>
      <c r="E469" t="s">
        <v>170</v>
      </c>
      <c r="F469" s="1">
        <v>0</v>
      </c>
      <c r="J469" s="6"/>
      <c r="K469" s="4"/>
      <c r="L469">
        <f t="shared" si="7"/>
        <v>0</v>
      </c>
      <c r="P469" t="s">
        <v>174</v>
      </c>
    </row>
    <row r="470" spans="1:16">
      <c r="A470" t="s">
        <v>44</v>
      </c>
      <c r="B470" t="s">
        <v>176</v>
      </c>
      <c r="C470" t="s">
        <v>29</v>
      </c>
      <c r="D470" t="s">
        <v>33</v>
      </c>
      <c r="E470" t="s">
        <v>170</v>
      </c>
      <c r="F470" s="1">
        <v>0</v>
      </c>
      <c r="J470" s="6"/>
      <c r="K470" s="4"/>
      <c r="L470">
        <f t="shared" si="7"/>
        <v>0</v>
      </c>
      <c r="P470" t="s">
        <v>174</v>
      </c>
    </row>
    <row r="471" spans="1:16">
      <c r="A471" t="s">
        <v>44</v>
      </c>
      <c r="B471" t="s">
        <v>176</v>
      </c>
      <c r="C471" t="s">
        <v>30</v>
      </c>
      <c r="D471" t="s">
        <v>33</v>
      </c>
      <c r="E471" t="s">
        <v>170</v>
      </c>
      <c r="F471" s="1">
        <v>0</v>
      </c>
      <c r="J471" s="6"/>
      <c r="K471" s="4"/>
      <c r="L471">
        <f t="shared" si="7"/>
        <v>0</v>
      </c>
      <c r="P471" t="s">
        <v>174</v>
      </c>
    </row>
    <row r="472" spans="1:16">
      <c r="A472" t="s">
        <v>44</v>
      </c>
      <c r="B472" t="s">
        <v>177</v>
      </c>
      <c r="C472" t="s">
        <v>18</v>
      </c>
      <c r="D472" t="s">
        <v>33</v>
      </c>
      <c r="E472" t="s">
        <v>170</v>
      </c>
      <c r="F472" s="1">
        <v>0</v>
      </c>
      <c r="J472" s="6"/>
      <c r="K472" s="4"/>
      <c r="L472">
        <f t="shared" si="7"/>
        <v>0</v>
      </c>
      <c r="M472" t="s">
        <v>81</v>
      </c>
      <c r="P472" t="s">
        <v>174</v>
      </c>
    </row>
    <row r="473" spans="1:16">
      <c r="A473" t="s">
        <v>44</v>
      </c>
      <c r="B473" t="s">
        <v>177</v>
      </c>
      <c r="C473" t="s">
        <v>22</v>
      </c>
      <c r="D473" t="s">
        <v>33</v>
      </c>
      <c r="E473" t="s">
        <v>170</v>
      </c>
      <c r="F473" s="1">
        <v>0</v>
      </c>
      <c r="G473" t="s">
        <v>46</v>
      </c>
      <c r="H473" t="s">
        <v>47</v>
      </c>
      <c r="I473" t="s">
        <v>48</v>
      </c>
      <c r="J473" s="6"/>
      <c r="K473" s="4"/>
      <c r="L473">
        <f t="shared" si="7"/>
        <v>0</v>
      </c>
      <c r="P473" t="s">
        <v>174</v>
      </c>
    </row>
    <row r="474" spans="1:16">
      <c r="A474" t="s">
        <v>44</v>
      </c>
      <c r="B474" t="s">
        <v>177</v>
      </c>
      <c r="C474" t="s">
        <v>28</v>
      </c>
      <c r="D474" t="s">
        <v>33</v>
      </c>
      <c r="E474" t="s">
        <v>170</v>
      </c>
      <c r="F474" s="1">
        <v>0</v>
      </c>
      <c r="J474" s="6"/>
      <c r="K474" s="4"/>
      <c r="L474">
        <f t="shared" si="7"/>
        <v>0</v>
      </c>
      <c r="P474" t="s">
        <v>174</v>
      </c>
    </row>
    <row r="475" spans="1:16">
      <c r="A475" t="s">
        <v>44</v>
      </c>
      <c r="B475" t="s">
        <v>177</v>
      </c>
      <c r="C475" t="s">
        <v>29</v>
      </c>
      <c r="D475" t="s">
        <v>33</v>
      </c>
      <c r="E475" t="s">
        <v>170</v>
      </c>
      <c r="F475" s="1">
        <v>0</v>
      </c>
      <c r="J475" s="6"/>
      <c r="K475" s="4"/>
      <c r="L475">
        <f t="shared" si="7"/>
        <v>0</v>
      </c>
      <c r="P475" t="s">
        <v>174</v>
      </c>
    </row>
    <row r="476" spans="1:16">
      <c r="A476" t="s">
        <v>44</v>
      </c>
      <c r="B476" t="s">
        <v>177</v>
      </c>
      <c r="C476" t="s">
        <v>30</v>
      </c>
      <c r="D476" t="s">
        <v>33</v>
      </c>
      <c r="E476" t="s">
        <v>170</v>
      </c>
      <c r="F476" s="1">
        <v>0</v>
      </c>
      <c r="J476" s="6"/>
      <c r="K476" s="4"/>
      <c r="L476">
        <f t="shared" si="7"/>
        <v>0</v>
      </c>
      <c r="P476" t="s">
        <v>174</v>
      </c>
    </row>
    <row r="477" spans="1:16">
      <c r="A477" t="s">
        <v>44</v>
      </c>
      <c r="B477" t="s">
        <v>178</v>
      </c>
      <c r="C477" t="s">
        <v>18</v>
      </c>
      <c r="D477" t="s">
        <v>33</v>
      </c>
      <c r="E477" t="s">
        <v>170</v>
      </c>
      <c r="F477" s="1">
        <v>0</v>
      </c>
      <c r="J477" s="6"/>
      <c r="K477" s="4"/>
      <c r="L477">
        <f t="shared" si="7"/>
        <v>0</v>
      </c>
      <c r="M477" t="s">
        <v>81</v>
      </c>
      <c r="P477" t="s">
        <v>174</v>
      </c>
    </row>
    <row r="478" spans="1:16">
      <c r="A478" t="s">
        <v>44</v>
      </c>
      <c r="B478" t="s">
        <v>178</v>
      </c>
      <c r="C478" t="s">
        <v>22</v>
      </c>
      <c r="D478" t="s">
        <v>33</v>
      </c>
      <c r="E478" t="s">
        <v>170</v>
      </c>
      <c r="F478" s="1">
        <v>0</v>
      </c>
      <c r="G478" t="s">
        <v>46</v>
      </c>
      <c r="H478" t="s">
        <v>47</v>
      </c>
      <c r="I478" t="s">
        <v>48</v>
      </c>
      <c r="J478" s="6"/>
      <c r="K478" s="4"/>
      <c r="L478">
        <f t="shared" si="7"/>
        <v>0</v>
      </c>
      <c r="P478" t="s">
        <v>174</v>
      </c>
    </row>
    <row r="479" spans="1:16">
      <c r="A479" t="s">
        <v>44</v>
      </c>
      <c r="B479" t="s">
        <v>178</v>
      </c>
      <c r="C479" t="s">
        <v>28</v>
      </c>
      <c r="D479" t="s">
        <v>33</v>
      </c>
      <c r="E479" t="s">
        <v>170</v>
      </c>
      <c r="F479" s="1">
        <v>0</v>
      </c>
      <c r="J479" s="6"/>
      <c r="K479" s="4"/>
      <c r="L479">
        <f t="shared" si="7"/>
        <v>0</v>
      </c>
      <c r="P479" t="s">
        <v>174</v>
      </c>
    </row>
    <row r="480" spans="1:16">
      <c r="A480" t="s">
        <v>44</v>
      </c>
      <c r="B480" t="s">
        <v>178</v>
      </c>
      <c r="C480" t="s">
        <v>29</v>
      </c>
      <c r="D480" t="s">
        <v>33</v>
      </c>
      <c r="E480" t="s">
        <v>170</v>
      </c>
      <c r="F480" s="1">
        <v>0</v>
      </c>
      <c r="J480" s="6"/>
      <c r="K480" s="4"/>
      <c r="L480">
        <f t="shared" si="7"/>
        <v>0</v>
      </c>
      <c r="P480" t="s">
        <v>174</v>
      </c>
    </row>
    <row r="481" spans="1:16">
      <c r="A481" t="s">
        <v>44</v>
      </c>
      <c r="B481" t="s">
        <v>178</v>
      </c>
      <c r="C481" t="s">
        <v>30</v>
      </c>
      <c r="D481" t="s">
        <v>33</v>
      </c>
      <c r="E481" t="s">
        <v>170</v>
      </c>
      <c r="F481" s="1">
        <v>0</v>
      </c>
      <c r="J481" s="6"/>
      <c r="K481" s="4"/>
      <c r="L481">
        <f t="shared" si="7"/>
        <v>0</v>
      </c>
      <c r="P481" t="s">
        <v>174</v>
      </c>
    </row>
    <row r="482" spans="1:16">
      <c r="A482" t="s">
        <v>44</v>
      </c>
      <c r="B482" t="s">
        <v>179</v>
      </c>
      <c r="C482" t="s">
        <v>18</v>
      </c>
      <c r="D482" t="s">
        <v>33</v>
      </c>
      <c r="E482" t="s">
        <v>170</v>
      </c>
      <c r="F482" s="1">
        <v>0</v>
      </c>
      <c r="J482" s="6"/>
      <c r="K482" s="4"/>
      <c r="L482">
        <f t="shared" si="7"/>
        <v>0</v>
      </c>
      <c r="M482" t="s">
        <v>81</v>
      </c>
      <c r="P482" t="s">
        <v>174</v>
      </c>
    </row>
    <row r="483" spans="1:16">
      <c r="A483" t="s">
        <v>44</v>
      </c>
      <c r="B483" t="s">
        <v>179</v>
      </c>
      <c r="C483" t="s">
        <v>22</v>
      </c>
      <c r="D483" t="s">
        <v>33</v>
      </c>
      <c r="E483" t="s">
        <v>170</v>
      </c>
      <c r="F483" s="1">
        <v>0</v>
      </c>
      <c r="G483" t="s">
        <v>46</v>
      </c>
      <c r="H483" t="s">
        <v>47</v>
      </c>
      <c r="I483" t="s">
        <v>48</v>
      </c>
      <c r="J483" s="6"/>
      <c r="K483" s="4"/>
      <c r="L483">
        <f t="shared" si="7"/>
        <v>0</v>
      </c>
      <c r="P483" t="s">
        <v>174</v>
      </c>
    </row>
    <row r="484" spans="1:16">
      <c r="A484" t="s">
        <v>44</v>
      </c>
      <c r="B484" t="s">
        <v>179</v>
      </c>
      <c r="C484" t="s">
        <v>28</v>
      </c>
      <c r="D484" t="s">
        <v>33</v>
      </c>
      <c r="E484" t="s">
        <v>170</v>
      </c>
      <c r="F484" s="1">
        <v>0</v>
      </c>
      <c r="J484" s="6"/>
      <c r="K484" s="4"/>
      <c r="L484">
        <f t="shared" si="7"/>
        <v>0</v>
      </c>
      <c r="P484" t="s">
        <v>174</v>
      </c>
    </row>
    <row r="485" spans="1:16">
      <c r="A485" t="s">
        <v>44</v>
      </c>
      <c r="B485" t="s">
        <v>179</v>
      </c>
      <c r="C485" t="s">
        <v>29</v>
      </c>
      <c r="D485" t="s">
        <v>33</v>
      </c>
      <c r="E485" t="s">
        <v>170</v>
      </c>
      <c r="F485" s="1">
        <v>0</v>
      </c>
      <c r="J485" s="6"/>
      <c r="K485" s="4"/>
      <c r="L485">
        <f t="shared" si="7"/>
        <v>0</v>
      </c>
      <c r="P485" t="s">
        <v>174</v>
      </c>
    </row>
    <row r="486" spans="1:16">
      <c r="A486" t="s">
        <v>44</v>
      </c>
      <c r="B486" t="s">
        <v>179</v>
      </c>
      <c r="C486" t="s">
        <v>30</v>
      </c>
      <c r="D486" t="s">
        <v>33</v>
      </c>
      <c r="E486" t="s">
        <v>170</v>
      </c>
      <c r="F486" s="1">
        <v>0</v>
      </c>
      <c r="J486" s="6"/>
      <c r="K486" s="4"/>
      <c r="L486">
        <f t="shared" si="7"/>
        <v>0</v>
      </c>
      <c r="P486" t="s">
        <v>174</v>
      </c>
    </row>
    <row r="487" spans="1:16">
      <c r="A487" t="s">
        <v>44</v>
      </c>
      <c r="B487" t="s">
        <v>180</v>
      </c>
      <c r="C487" t="s">
        <v>18</v>
      </c>
      <c r="D487" t="s">
        <v>33</v>
      </c>
      <c r="E487" t="s">
        <v>170</v>
      </c>
      <c r="F487" s="1">
        <v>0</v>
      </c>
      <c r="J487" s="6"/>
      <c r="K487" s="4"/>
      <c r="L487">
        <f t="shared" si="7"/>
        <v>0</v>
      </c>
      <c r="P487" t="s">
        <v>174</v>
      </c>
    </row>
    <row r="488" spans="1:16">
      <c r="A488" t="s">
        <v>44</v>
      </c>
      <c r="B488" t="s">
        <v>181</v>
      </c>
      <c r="C488" t="s">
        <v>22</v>
      </c>
      <c r="D488" t="s">
        <v>33</v>
      </c>
      <c r="E488" t="s">
        <v>170</v>
      </c>
      <c r="F488" s="1">
        <v>0</v>
      </c>
      <c r="G488" t="s">
        <v>46</v>
      </c>
      <c r="H488" t="s">
        <v>47</v>
      </c>
      <c r="I488" t="s">
        <v>48</v>
      </c>
      <c r="J488" s="6"/>
      <c r="K488" s="4"/>
      <c r="L488">
        <f t="shared" si="7"/>
        <v>0</v>
      </c>
      <c r="P488" t="s">
        <v>174</v>
      </c>
    </row>
    <row r="489" spans="1:16">
      <c r="A489" t="s">
        <v>44</v>
      </c>
      <c r="B489" t="s">
        <v>181</v>
      </c>
      <c r="C489" t="s">
        <v>28</v>
      </c>
      <c r="D489" t="s">
        <v>33</v>
      </c>
      <c r="E489" t="s">
        <v>170</v>
      </c>
      <c r="F489" s="1">
        <v>0</v>
      </c>
      <c r="J489" s="6"/>
      <c r="K489" s="4"/>
      <c r="L489">
        <f t="shared" si="7"/>
        <v>0</v>
      </c>
      <c r="P489" t="s">
        <v>174</v>
      </c>
    </row>
    <row r="490" spans="1:16">
      <c r="A490" t="s">
        <v>44</v>
      </c>
      <c r="B490" t="s">
        <v>181</v>
      </c>
      <c r="C490" t="s">
        <v>29</v>
      </c>
      <c r="D490" t="s">
        <v>33</v>
      </c>
      <c r="E490" t="s">
        <v>170</v>
      </c>
      <c r="F490" s="1">
        <v>0</v>
      </c>
      <c r="J490" s="6"/>
      <c r="K490" s="4"/>
      <c r="L490">
        <f t="shared" si="7"/>
        <v>0</v>
      </c>
      <c r="P490" t="s">
        <v>174</v>
      </c>
    </row>
    <row r="491" spans="1:16">
      <c r="A491" t="s">
        <v>44</v>
      </c>
      <c r="B491" t="s">
        <v>181</v>
      </c>
      <c r="C491" t="s">
        <v>30</v>
      </c>
      <c r="D491" t="s">
        <v>33</v>
      </c>
      <c r="E491" t="s">
        <v>170</v>
      </c>
      <c r="F491" s="1">
        <v>0</v>
      </c>
      <c r="J491" s="6"/>
      <c r="K491" s="4"/>
      <c r="L491">
        <f t="shared" si="7"/>
        <v>0</v>
      </c>
      <c r="P491" t="s">
        <v>174</v>
      </c>
    </row>
    <row r="492" spans="1:16">
      <c r="A492" t="s">
        <v>39</v>
      </c>
      <c r="B492" t="s">
        <v>182</v>
      </c>
      <c r="C492" t="s">
        <v>18</v>
      </c>
      <c r="D492" t="s">
        <v>19</v>
      </c>
      <c r="E492" t="s">
        <v>170</v>
      </c>
      <c r="F492" s="1">
        <v>0</v>
      </c>
      <c r="J492" s="2">
        <v>46132</v>
      </c>
      <c r="K492" s="3">
        <v>46295</v>
      </c>
      <c r="L492">
        <f t="shared" si="7"/>
        <v>118</v>
      </c>
      <c r="P492" t="s">
        <v>182</v>
      </c>
    </row>
    <row r="493" spans="1:16">
      <c r="A493" t="s">
        <v>39</v>
      </c>
      <c r="B493" t="s">
        <v>182</v>
      </c>
      <c r="C493" t="s">
        <v>22</v>
      </c>
      <c r="D493" t="s">
        <v>19</v>
      </c>
      <c r="E493" t="s">
        <v>170</v>
      </c>
      <c r="F493" s="1">
        <v>0</v>
      </c>
      <c r="G493" t="s">
        <v>183</v>
      </c>
      <c r="H493" t="s">
        <v>116</v>
      </c>
      <c r="I493" t="s">
        <v>97</v>
      </c>
      <c r="J493" s="2">
        <v>46132</v>
      </c>
      <c r="K493" s="3">
        <v>46203</v>
      </c>
      <c r="L493">
        <f t="shared" si="7"/>
        <v>52</v>
      </c>
      <c r="O493" t="s">
        <v>27</v>
      </c>
      <c r="P493" t="s">
        <v>182</v>
      </c>
    </row>
    <row r="494" spans="1:16">
      <c r="A494" t="s">
        <v>39</v>
      </c>
      <c r="B494" t="s">
        <v>182</v>
      </c>
      <c r="C494" t="s">
        <v>28</v>
      </c>
      <c r="D494" t="s">
        <v>19</v>
      </c>
      <c r="E494" t="s">
        <v>170</v>
      </c>
      <c r="F494" s="1">
        <v>0</v>
      </c>
      <c r="J494" s="2">
        <v>46216</v>
      </c>
      <c r="K494" s="3">
        <v>46295</v>
      </c>
      <c r="L494">
        <f t="shared" si="7"/>
        <v>58</v>
      </c>
      <c r="O494" t="s">
        <v>27</v>
      </c>
      <c r="P494" t="s">
        <v>182</v>
      </c>
    </row>
    <row r="495" spans="1:16">
      <c r="A495" t="s">
        <v>39</v>
      </c>
      <c r="B495" t="s">
        <v>182</v>
      </c>
      <c r="C495" t="s">
        <v>29</v>
      </c>
      <c r="D495" t="s">
        <v>19</v>
      </c>
      <c r="E495" t="s">
        <v>170</v>
      </c>
      <c r="F495" s="1">
        <v>0</v>
      </c>
      <c r="J495" s="6"/>
      <c r="K495" s="4"/>
      <c r="L495">
        <f t="shared" si="7"/>
        <v>0</v>
      </c>
      <c r="P495" t="s">
        <v>182</v>
      </c>
    </row>
    <row r="496" spans="1:16">
      <c r="A496" t="s">
        <v>39</v>
      </c>
      <c r="B496" t="s">
        <v>182</v>
      </c>
      <c r="C496" t="s">
        <v>30</v>
      </c>
      <c r="D496" t="s">
        <v>19</v>
      </c>
      <c r="E496" t="s">
        <v>170</v>
      </c>
      <c r="F496" s="1">
        <v>0</v>
      </c>
      <c r="J496" s="6"/>
      <c r="K496" s="4"/>
      <c r="L496">
        <f t="shared" si="7"/>
        <v>0</v>
      </c>
      <c r="P496" t="s">
        <v>182</v>
      </c>
    </row>
    <row r="497" spans="1:16">
      <c r="A497" t="s">
        <v>184</v>
      </c>
      <c r="B497" t="s">
        <v>185</v>
      </c>
      <c r="C497" t="s">
        <v>18</v>
      </c>
      <c r="D497" t="s">
        <v>19</v>
      </c>
      <c r="E497" t="s">
        <v>170</v>
      </c>
      <c r="F497" s="1">
        <v>0</v>
      </c>
      <c r="J497" s="2">
        <v>45946</v>
      </c>
      <c r="K497" s="3">
        <v>46553</v>
      </c>
      <c r="L497">
        <f t="shared" si="7"/>
        <v>434</v>
      </c>
      <c r="P497" t="s">
        <v>185</v>
      </c>
    </row>
    <row r="498" spans="1:16">
      <c r="A498" t="s">
        <v>184</v>
      </c>
      <c r="B498" t="s">
        <v>185</v>
      </c>
      <c r="C498" t="s">
        <v>22</v>
      </c>
      <c r="D498" t="s">
        <v>19</v>
      </c>
      <c r="E498" t="s">
        <v>170</v>
      </c>
      <c r="F498" s="1">
        <v>0</v>
      </c>
      <c r="G498" t="s">
        <v>55</v>
      </c>
      <c r="H498" t="s">
        <v>186</v>
      </c>
      <c r="I498" t="s">
        <v>48</v>
      </c>
      <c r="J498" s="6"/>
      <c r="K498" s="4"/>
      <c r="L498">
        <f t="shared" si="7"/>
        <v>0</v>
      </c>
      <c r="P498" t="s">
        <v>185</v>
      </c>
    </row>
    <row r="499" spans="1:16">
      <c r="A499" t="s">
        <v>184</v>
      </c>
      <c r="B499" t="s">
        <v>185</v>
      </c>
      <c r="C499" t="s">
        <v>28</v>
      </c>
      <c r="D499" t="s">
        <v>19</v>
      </c>
      <c r="E499" t="s">
        <v>170</v>
      </c>
      <c r="F499" s="1">
        <v>0</v>
      </c>
      <c r="J499" s="6"/>
      <c r="K499" s="4"/>
      <c r="L499">
        <f t="shared" si="7"/>
        <v>0</v>
      </c>
      <c r="P499" t="s">
        <v>185</v>
      </c>
    </row>
    <row r="500" spans="1:16">
      <c r="A500" t="s">
        <v>184</v>
      </c>
      <c r="B500" t="s">
        <v>185</v>
      </c>
      <c r="C500" t="s">
        <v>29</v>
      </c>
      <c r="D500" t="s">
        <v>19</v>
      </c>
      <c r="E500" t="s">
        <v>170</v>
      </c>
      <c r="F500" s="1">
        <v>0</v>
      </c>
      <c r="J500" s="6"/>
      <c r="K500" s="4"/>
      <c r="L500">
        <f t="shared" si="7"/>
        <v>0</v>
      </c>
      <c r="P500" t="s">
        <v>185</v>
      </c>
    </row>
    <row r="501" spans="1:16">
      <c r="A501" t="s">
        <v>184</v>
      </c>
      <c r="B501" t="s">
        <v>185</v>
      </c>
      <c r="C501" t="s">
        <v>30</v>
      </c>
      <c r="D501" t="s">
        <v>19</v>
      </c>
      <c r="E501" t="s">
        <v>170</v>
      </c>
      <c r="F501" s="1">
        <v>0</v>
      </c>
      <c r="J501" s="6"/>
      <c r="K501" s="4"/>
      <c r="L501">
        <f t="shared" si="7"/>
        <v>0</v>
      </c>
      <c r="P501" t="s">
        <v>185</v>
      </c>
    </row>
    <row r="502" spans="1:16">
      <c r="A502" t="s">
        <v>184</v>
      </c>
      <c r="B502" t="s">
        <v>187</v>
      </c>
      <c r="C502" t="s">
        <v>18</v>
      </c>
      <c r="D502" t="s">
        <v>33</v>
      </c>
      <c r="E502" t="s">
        <v>170</v>
      </c>
      <c r="F502" s="1">
        <v>0</v>
      </c>
      <c r="J502" s="2">
        <v>45946</v>
      </c>
      <c r="K502" s="3">
        <v>46387</v>
      </c>
      <c r="L502">
        <f t="shared" si="7"/>
        <v>316</v>
      </c>
      <c r="P502" t="s">
        <v>185</v>
      </c>
    </row>
    <row r="503" spans="1:16">
      <c r="A503" t="s">
        <v>184</v>
      </c>
      <c r="B503" t="s">
        <v>187</v>
      </c>
      <c r="C503" t="s">
        <v>22</v>
      </c>
      <c r="D503" t="s">
        <v>33</v>
      </c>
      <c r="E503" t="s">
        <v>170</v>
      </c>
      <c r="F503" s="1">
        <v>0</v>
      </c>
      <c r="G503" t="s">
        <v>55</v>
      </c>
      <c r="H503" t="s">
        <v>186</v>
      </c>
      <c r="I503" t="s">
        <v>48</v>
      </c>
      <c r="J503" s="2">
        <v>45946</v>
      </c>
      <c r="K503" s="3">
        <v>46022</v>
      </c>
      <c r="L503">
        <f t="shared" si="7"/>
        <v>55</v>
      </c>
      <c r="N503" t="s">
        <v>43</v>
      </c>
      <c r="O503" t="s">
        <v>26</v>
      </c>
      <c r="P503" t="s">
        <v>185</v>
      </c>
    </row>
    <row r="504" spans="1:16">
      <c r="A504" t="s">
        <v>184</v>
      </c>
      <c r="B504" t="s">
        <v>187</v>
      </c>
      <c r="C504" t="s">
        <v>28</v>
      </c>
      <c r="D504" t="s">
        <v>33</v>
      </c>
      <c r="E504" t="s">
        <v>170</v>
      </c>
      <c r="F504" s="1">
        <v>0</v>
      </c>
      <c r="J504" s="6"/>
      <c r="K504" s="4"/>
      <c r="L504">
        <f t="shared" si="7"/>
        <v>0</v>
      </c>
      <c r="P504" t="s">
        <v>185</v>
      </c>
    </row>
    <row r="505" spans="1:16">
      <c r="A505" t="s">
        <v>184</v>
      </c>
      <c r="B505" t="s">
        <v>187</v>
      </c>
      <c r="C505" t="s">
        <v>29</v>
      </c>
      <c r="D505" t="s">
        <v>33</v>
      </c>
      <c r="E505" t="s">
        <v>170</v>
      </c>
      <c r="F505" s="1">
        <v>0</v>
      </c>
      <c r="J505" s="2">
        <v>46023</v>
      </c>
      <c r="K505" s="3">
        <v>46387</v>
      </c>
      <c r="L505">
        <f t="shared" si="7"/>
        <v>261</v>
      </c>
      <c r="O505" t="s">
        <v>27</v>
      </c>
      <c r="P505" t="s">
        <v>185</v>
      </c>
    </row>
    <row r="506" spans="1:16">
      <c r="A506" t="s">
        <v>184</v>
      </c>
      <c r="B506" t="s">
        <v>187</v>
      </c>
      <c r="C506" t="s">
        <v>30</v>
      </c>
      <c r="D506" t="s">
        <v>33</v>
      </c>
      <c r="E506" t="s">
        <v>170</v>
      </c>
      <c r="F506" s="1">
        <v>0</v>
      </c>
      <c r="J506" s="6"/>
      <c r="K506" s="4"/>
      <c r="L506">
        <f t="shared" si="7"/>
        <v>0</v>
      </c>
      <c r="P506" t="s">
        <v>185</v>
      </c>
    </row>
    <row r="507" spans="1:16">
      <c r="A507" t="s">
        <v>184</v>
      </c>
      <c r="B507" t="s">
        <v>188</v>
      </c>
      <c r="C507" t="s">
        <v>18</v>
      </c>
      <c r="D507" t="s">
        <v>33</v>
      </c>
      <c r="E507" t="s">
        <v>170</v>
      </c>
      <c r="F507" s="1">
        <v>0</v>
      </c>
      <c r="J507" s="2">
        <v>46029</v>
      </c>
      <c r="K507" s="3">
        <v>46188</v>
      </c>
      <c r="L507">
        <f t="shared" si="7"/>
        <v>114</v>
      </c>
      <c r="P507" t="s">
        <v>185</v>
      </c>
    </row>
    <row r="508" spans="1:16">
      <c r="A508" t="s">
        <v>184</v>
      </c>
      <c r="B508" t="s">
        <v>188</v>
      </c>
      <c r="C508" t="s">
        <v>22</v>
      </c>
      <c r="D508" t="s">
        <v>33</v>
      </c>
      <c r="E508" t="s">
        <v>170</v>
      </c>
      <c r="F508" s="1">
        <v>0</v>
      </c>
      <c r="G508" t="s">
        <v>55</v>
      </c>
      <c r="H508" t="s">
        <v>189</v>
      </c>
      <c r="I508" t="s">
        <v>48</v>
      </c>
      <c r="J508" s="2">
        <v>46029</v>
      </c>
      <c r="K508" s="3">
        <v>46097</v>
      </c>
      <c r="L508">
        <f t="shared" si="7"/>
        <v>49</v>
      </c>
      <c r="O508" t="s">
        <v>27</v>
      </c>
      <c r="P508" t="s">
        <v>185</v>
      </c>
    </row>
    <row r="509" spans="1:16">
      <c r="A509" t="s">
        <v>184</v>
      </c>
      <c r="B509" t="s">
        <v>188</v>
      </c>
      <c r="C509" t="s">
        <v>28</v>
      </c>
      <c r="D509" t="s">
        <v>33</v>
      </c>
      <c r="E509" t="s">
        <v>170</v>
      </c>
      <c r="F509" s="1">
        <v>0</v>
      </c>
      <c r="J509" s="2">
        <v>46113</v>
      </c>
      <c r="K509" s="3">
        <v>46188</v>
      </c>
      <c r="L509">
        <f t="shared" si="7"/>
        <v>54</v>
      </c>
      <c r="O509" t="s">
        <v>27</v>
      </c>
      <c r="P509" t="s">
        <v>185</v>
      </c>
    </row>
    <row r="510" spans="1:16">
      <c r="A510" t="s">
        <v>184</v>
      </c>
      <c r="B510" t="s">
        <v>188</v>
      </c>
      <c r="C510" t="s">
        <v>29</v>
      </c>
      <c r="D510" t="s">
        <v>33</v>
      </c>
      <c r="E510" t="s">
        <v>170</v>
      </c>
      <c r="F510" s="1">
        <v>0</v>
      </c>
      <c r="J510" s="2">
        <v>46113</v>
      </c>
      <c r="K510" s="3">
        <v>46188</v>
      </c>
      <c r="L510">
        <f t="shared" si="7"/>
        <v>54</v>
      </c>
      <c r="O510" t="s">
        <v>27</v>
      </c>
      <c r="P510" t="s">
        <v>185</v>
      </c>
    </row>
    <row r="511" spans="1:16">
      <c r="A511" t="s">
        <v>184</v>
      </c>
      <c r="B511" t="s">
        <v>188</v>
      </c>
      <c r="C511" t="s">
        <v>30</v>
      </c>
      <c r="D511" t="s">
        <v>33</v>
      </c>
      <c r="E511" t="s">
        <v>170</v>
      </c>
      <c r="F511" s="1">
        <v>0</v>
      </c>
      <c r="J511" s="6"/>
      <c r="K511" s="4"/>
      <c r="L511">
        <f t="shared" si="7"/>
        <v>0</v>
      </c>
      <c r="P511" t="s">
        <v>185</v>
      </c>
    </row>
    <row r="512" spans="1:16">
      <c r="A512" t="s">
        <v>184</v>
      </c>
      <c r="B512" t="s">
        <v>190</v>
      </c>
      <c r="C512" t="s">
        <v>18</v>
      </c>
      <c r="D512" t="s">
        <v>33</v>
      </c>
      <c r="E512" t="s">
        <v>170</v>
      </c>
      <c r="F512" s="1">
        <v>0</v>
      </c>
      <c r="J512" s="2">
        <v>46029</v>
      </c>
      <c r="K512" s="3">
        <v>46188</v>
      </c>
      <c r="L512">
        <f t="shared" si="7"/>
        <v>114</v>
      </c>
      <c r="P512" t="s">
        <v>185</v>
      </c>
    </row>
    <row r="513" spans="1:16">
      <c r="A513" t="s">
        <v>184</v>
      </c>
      <c r="B513" t="s">
        <v>190</v>
      </c>
      <c r="C513" t="s">
        <v>22</v>
      </c>
      <c r="D513" t="s">
        <v>33</v>
      </c>
      <c r="E513" t="s">
        <v>170</v>
      </c>
      <c r="F513" s="1">
        <v>0</v>
      </c>
      <c r="G513" t="s">
        <v>55</v>
      </c>
      <c r="H513" t="s">
        <v>189</v>
      </c>
      <c r="I513" t="s">
        <v>48</v>
      </c>
      <c r="J513" s="2">
        <v>46029</v>
      </c>
      <c r="K513" s="3">
        <v>46097</v>
      </c>
      <c r="L513">
        <f t="shared" ref="L513:L571" si="8">NETWORKDAYS(J513,K513)</f>
        <v>49</v>
      </c>
      <c r="O513" t="s">
        <v>27</v>
      </c>
      <c r="P513" t="s">
        <v>185</v>
      </c>
    </row>
    <row r="514" spans="1:16">
      <c r="A514" t="s">
        <v>184</v>
      </c>
      <c r="B514" t="s">
        <v>190</v>
      </c>
      <c r="C514" t="s">
        <v>28</v>
      </c>
      <c r="D514" t="s">
        <v>33</v>
      </c>
      <c r="E514" t="s">
        <v>170</v>
      </c>
      <c r="F514" s="1">
        <v>0</v>
      </c>
      <c r="J514" s="2">
        <v>46113</v>
      </c>
      <c r="K514" s="3">
        <v>46188</v>
      </c>
      <c r="L514">
        <f t="shared" si="8"/>
        <v>54</v>
      </c>
      <c r="O514" t="s">
        <v>27</v>
      </c>
      <c r="P514" t="s">
        <v>185</v>
      </c>
    </row>
    <row r="515" spans="1:16">
      <c r="A515" t="s">
        <v>184</v>
      </c>
      <c r="B515" t="s">
        <v>190</v>
      </c>
      <c r="C515" t="s">
        <v>29</v>
      </c>
      <c r="D515" t="s">
        <v>33</v>
      </c>
      <c r="E515" t="s">
        <v>170</v>
      </c>
      <c r="F515" s="1">
        <v>0</v>
      </c>
      <c r="J515" s="2">
        <v>46113</v>
      </c>
      <c r="K515" s="3">
        <v>46188</v>
      </c>
      <c r="L515">
        <f t="shared" si="8"/>
        <v>54</v>
      </c>
      <c r="O515" t="s">
        <v>27</v>
      </c>
      <c r="P515" t="s">
        <v>185</v>
      </c>
    </row>
    <row r="516" spans="1:16">
      <c r="A516" t="s">
        <v>184</v>
      </c>
      <c r="B516" t="s">
        <v>190</v>
      </c>
      <c r="C516" t="s">
        <v>30</v>
      </c>
      <c r="D516" t="s">
        <v>33</v>
      </c>
      <c r="E516" t="s">
        <v>170</v>
      </c>
      <c r="F516" s="1">
        <v>0</v>
      </c>
      <c r="J516" s="6"/>
      <c r="K516" s="4"/>
      <c r="L516">
        <f t="shared" si="8"/>
        <v>0</v>
      </c>
      <c r="P516" t="s">
        <v>185</v>
      </c>
    </row>
    <row r="517" spans="1:16">
      <c r="A517" t="s">
        <v>184</v>
      </c>
      <c r="B517" t="s">
        <v>191</v>
      </c>
      <c r="C517" t="s">
        <v>18</v>
      </c>
      <c r="D517" t="s">
        <v>33</v>
      </c>
      <c r="E517" t="s">
        <v>170</v>
      </c>
      <c r="F517" s="1">
        <v>0</v>
      </c>
      <c r="J517" s="2">
        <v>45946</v>
      </c>
      <c r="K517" s="3">
        <v>46055</v>
      </c>
      <c r="L517">
        <f t="shared" si="8"/>
        <v>78</v>
      </c>
      <c r="P517" t="s">
        <v>185</v>
      </c>
    </row>
    <row r="518" spans="1:16">
      <c r="A518" t="s">
        <v>184</v>
      </c>
      <c r="B518" t="s">
        <v>191</v>
      </c>
      <c r="C518" t="s">
        <v>22</v>
      </c>
      <c r="D518" t="s">
        <v>33</v>
      </c>
      <c r="E518" t="s">
        <v>170</v>
      </c>
      <c r="F518" s="1">
        <v>0</v>
      </c>
      <c r="G518" t="s">
        <v>55</v>
      </c>
      <c r="H518" t="s">
        <v>192</v>
      </c>
      <c r="I518" t="s">
        <v>48</v>
      </c>
      <c r="J518" s="2">
        <v>45946</v>
      </c>
      <c r="K518" s="3">
        <v>45991</v>
      </c>
      <c r="L518">
        <f t="shared" si="8"/>
        <v>32</v>
      </c>
      <c r="N518" t="s">
        <v>43</v>
      </c>
      <c r="O518" t="s">
        <v>108</v>
      </c>
      <c r="P518" t="s">
        <v>185</v>
      </c>
    </row>
    <row r="519" spans="1:16">
      <c r="A519" t="s">
        <v>184</v>
      </c>
      <c r="B519" t="s">
        <v>191</v>
      </c>
      <c r="C519" t="s">
        <v>28</v>
      </c>
      <c r="D519" t="s">
        <v>33</v>
      </c>
      <c r="E519" t="s">
        <v>170</v>
      </c>
      <c r="F519" s="1">
        <v>0</v>
      </c>
      <c r="J519" s="6"/>
      <c r="K519" s="4"/>
      <c r="L519">
        <f t="shared" si="8"/>
        <v>0</v>
      </c>
      <c r="P519" t="s">
        <v>185</v>
      </c>
    </row>
    <row r="520" spans="1:16">
      <c r="A520" t="s">
        <v>184</v>
      </c>
      <c r="B520" t="s">
        <v>191</v>
      </c>
      <c r="C520" t="s">
        <v>29</v>
      </c>
      <c r="D520" t="s">
        <v>33</v>
      </c>
      <c r="E520" t="s">
        <v>170</v>
      </c>
      <c r="F520" s="1">
        <v>0</v>
      </c>
      <c r="J520" s="2">
        <v>45992</v>
      </c>
      <c r="K520" s="3">
        <v>46055</v>
      </c>
      <c r="L520">
        <f t="shared" si="8"/>
        <v>46</v>
      </c>
      <c r="N520" t="s">
        <v>43</v>
      </c>
      <c r="O520" t="s">
        <v>29</v>
      </c>
      <c r="P520" t="s">
        <v>185</v>
      </c>
    </row>
    <row r="521" spans="1:16">
      <c r="A521" t="s">
        <v>184</v>
      </c>
      <c r="B521" t="s">
        <v>191</v>
      </c>
      <c r="C521" t="s">
        <v>30</v>
      </c>
      <c r="D521" t="s">
        <v>33</v>
      </c>
      <c r="E521" t="s">
        <v>170</v>
      </c>
      <c r="F521" s="1">
        <v>0</v>
      </c>
      <c r="J521" s="6"/>
      <c r="K521" s="4"/>
      <c r="L521">
        <f t="shared" si="8"/>
        <v>0</v>
      </c>
      <c r="P521" t="s">
        <v>185</v>
      </c>
    </row>
    <row r="522" spans="1:16">
      <c r="A522" t="s">
        <v>184</v>
      </c>
      <c r="B522" t="s">
        <v>193</v>
      </c>
      <c r="C522" t="s">
        <v>18</v>
      </c>
      <c r="D522" t="s">
        <v>33</v>
      </c>
      <c r="E522" t="s">
        <v>170</v>
      </c>
      <c r="F522" s="1">
        <v>0</v>
      </c>
      <c r="J522" s="2">
        <v>46127</v>
      </c>
      <c r="K522" s="3">
        <v>46295</v>
      </c>
      <c r="L522">
        <f t="shared" si="8"/>
        <v>121</v>
      </c>
      <c r="P522" t="s">
        <v>185</v>
      </c>
    </row>
    <row r="523" spans="1:16">
      <c r="A523" t="s">
        <v>184</v>
      </c>
      <c r="B523" t="s">
        <v>193</v>
      </c>
      <c r="C523" t="s">
        <v>22</v>
      </c>
      <c r="D523" t="s">
        <v>33</v>
      </c>
      <c r="E523" t="s">
        <v>170</v>
      </c>
      <c r="F523" s="1">
        <v>0</v>
      </c>
      <c r="G523" t="s">
        <v>55</v>
      </c>
      <c r="H523" t="s">
        <v>192</v>
      </c>
      <c r="I523" t="s">
        <v>25</v>
      </c>
      <c r="J523" s="2">
        <v>46127</v>
      </c>
      <c r="K523" s="3">
        <v>46203</v>
      </c>
      <c r="L523">
        <f t="shared" si="8"/>
        <v>55</v>
      </c>
      <c r="O523" t="s">
        <v>27</v>
      </c>
      <c r="P523" t="s">
        <v>185</v>
      </c>
    </row>
    <row r="524" spans="1:16">
      <c r="A524" t="s">
        <v>184</v>
      </c>
      <c r="B524" t="s">
        <v>193</v>
      </c>
      <c r="C524" t="s">
        <v>28</v>
      </c>
      <c r="D524" t="s">
        <v>33</v>
      </c>
      <c r="E524" t="s">
        <v>170</v>
      </c>
      <c r="F524" s="1">
        <v>0</v>
      </c>
      <c r="J524" s="2">
        <v>46218</v>
      </c>
      <c r="K524" s="3">
        <v>46295</v>
      </c>
      <c r="L524">
        <f t="shared" si="8"/>
        <v>56</v>
      </c>
      <c r="O524" t="s">
        <v>27</v>
      </c>
      <c r="P524" t="s">
        <v>185</v>
      </c>
    </row>
    <row r="525" spans="1:16">
      <c r="A525" t="s">
        <v>184</v>
      </c>
      <c r="B525" t="s">
        <v>193</v>
      </c>
      <c r="C525" t="s">
        <v>29</v>
      </c>
      <c r="D525" t="s">
        <v>33</v>
      </c>
      <c r="E525" t="s">
        <v>170</v>
      </c>
      <c r="F525" s="1">
        <v>0</v>
      </c>
      <c r="J525" s="2">
        <v>46204</v>
      </c>
      <c r="K525" s="3">
        <v>46295</v>
      </c>
      <c r="L525">
        <f t="shared" si="8"/>
        <v>66</v>
      </c>
      <c r="O525" t="s">
        <v>27</v>
      </c>
      <c r="P525" t="s">
        <v>185</v>
      </c>
    </row>
    <row r="526" spans="1:16">
      <c r="A526" t="s">
        <v>184</v>
      </c>
      <c r="B526" t="s">
        <v>193</v>
      </c>
      <c r="C526" t="s">
        <v>30</v>
      </c>
      <c r="D526" t="s">
        <v>33</v>
      </c>
      <c r="E526" t="s">
        <v>170</v>
      </c>
      <c r="F526" s="1">
        <v>0</v>
      </c>
      <c r="J526" s="6"/>
      <c r="K526" s="4"/>
      <c r="L526">
        <f t="shared" si="8"/>
        <v>0</v>
      </c>
      <c r="P526" t="s">
        <v>185</v>
      </c>
    </row>
    <row r="527" spans="1:16">
      <c r="A527" t="s">
        <v>184</v>
      </c>
      <c r="B527" t="s">
        <v>194</v>
      </c>
      <c r="C527" t="s">
        <v>18</v>
      </c>
      <c r="D527" t="s">
        <v>33</v>
      </c>
      <c r="E527" t="s">
        <v>170</v>
      </c>
      <c r="F527" s="1">
        <v>0</v>
      </c>
      <c r="J527" s="2">
        <v>45946</v>
      </c>
      <c r="K527" s="3">
        <v>46387</v>
      </c>
      <c r="L527">
        <f t="shared" si="8"/>
        <v>316</v>
      </c>
      <c r="P527" t="s">
        <v>185</v>
      </c>
    </row>
    <row r="528" spans="1:16">
      <c r="A528" t="s">
        <v>184</v>
      </c>
      <c r="B528" t="s">
        <v>194</v>
      </c>
      <c r="C528" t="s">
        <v>22</v>
      </c>
      <c r="D528" t="s">
        <v>33</v>
      </c>
      <c r="E528" t="s">
        <v>170</v>
      </c>
      <c r="F528" s="1">
        <v>0</v>
      </c>
      <c r="G528" t="s">
        <v>55</v>
      </c>
      <c r="H528" t="s">
        <v>186</v>
      </c>
      <c r="I528" t="s">
        <v>48</v>
      </c>
      <c r="J528" s="2">
        <v>45946</v>
      </c>
      <c r="K528" s="3">
        <v>46142</v>
      </c>
      <c r="L528">
        <f t="shared" si="8"/>
        <v>141</v>
      </c>
      <c r="N528" t="s">
        <v>43</v>
      </c>
      <c r="O528" t="s">
        <v>26</v>
      </c>
      <c r="P528" t="s">
        <v>185</v>
      </c>
    </row>
    <row r="529" spans="1:16">
      <c r="A529" t="s">
        <v>184</v>
      </c>
      <c r="B529" t="s">
        <v>194</v>
      </c>
      <c r="C529" t="s">
        <v>28</v>
      </c>
      <c r="D529" t="s">
        <v>33</v>
      </c>
      <c r="E529" t="s">
        <v>170</v>
      </c>
      <c r="F529" s="1">
        <v>0</v>
      </c>
      <c r="J529" s="6"/>
      <c r="K529" s="4"/>
      <c r="L529">
        <f t="shared" si="8"/>
        <v>0</v>
      </c>
      <c r="P529" t="s">
        <v>185</v>
      </c>
    </row>
    <row r="530" spans="1:16">
      <c r="A530" t="s">
        <v>184</v>
      </c>
      <c r="B530" t="s">
        <v>194</v>
      </c>
      <c r="C530" t="s">
        <v>29</v>
      </c>
      <c r="D530" t="s">
        <v>33</v>
      </c>
      <c r="E530" t="s">
        <v>170</v>
      </c>
      <c r="F530" s="1">
        <v>0</v>
      </c>
      <c r="J530" s="2">
        <v>46146</v>
      </c>
      <c r="K530" s="3">
        <v>46387</v>
      </c>
      <c r="L530">
        <f t="shared" si="8"/>
        <v>174</v>
      </c>
      <c r="O530" t="s">
        <v>27</v>
      </c>
      <c r="P530" t="s">
        <v>185</v>
      </c>
    </row>
    <row r="531" spans="1:16">
      <c r="A531" t="s">
        <v>184</v>
      </c>
      <c r="B531" t="s">
        <v>194</v>
      </c>
      <c r="C531" t="s">
        <v>30</v>
      </c>
      <c r="D531" t="s">
        <v>33</v>
      </c>
      <c r="E531" t="s">
        <v>170</v>
      </c>
      <c r="F531" s="1">
        <v>0</v>
      </c>
      <c r="J531" s="6"/>
      <c r="K531" s="4"/>
      <c r="L531">
        <f t="shared" si="8"/>
        <v>0</v>
      </c>
      <c r="P531" t="s">
        <v>185</v>
      </c>
    </row>
    <row r="532" spans="1:16">
      <c r="A532" t="s">
        <v>184</v>
      </c>
      <c r="B532" t="s">
        <v>195</v>
      </c>
      <c r="C532" t="s">
        <v>18</v>
      </c>
      <c r="D532" t="s">
        <v>33</v>
      </c>
      <c r="E532" t="s">
        <v>170</v>
      </c>
      <c r="F532" s="1">
        <v>0</v>
      </c>
      <c r="J532" s="2">
        <v>46023</v>
      </c>
      <c r="K532" s="3">
        <v>46356</v>
      </c>
      <c r="L532">
        <f t="shared" si="8"/>
        <v>238</v>
      </c>
      <c r="P532" t="s">
        <v>185</v>
      </c>
    </row>
    <row r="533" spans="1:16">
      <c r="A533" t="s">
        <v>184</v>
      </c>
      <c r="B533" t="s">
        <v>195</v>
      </c>
      <c r="C533" t="s">
        <v>22</v>
      </c>
      <c r="D533" t="s">
        <v>33</v>
      </c>
      <c r="E533" t="s">
        <v>170</v>
      </c>
      <c r="F533" s="1">
        <v>0</v>
      </c>
      <c r="G533" t="s">
        <v>55</v>
      </c>
      <c r="H533" t="s">
        <v>186</v>
      </c>
      <c r="I533" t="s">
        <v>25</v>
      </c>
      <c r="J533" s="2">
        <v>46029</v>
      </c>
      <c r="K533" s="3">
        <v>46097</v>
      </c>
      <c r="L533">
        <f t="shared" si="8"/>
        <v>49</v>
      </c>
      <c r="O533" t="s">
        <v>27</v>
      </c>
      <c r="P533" t="s">
        <v>185</v>
      </c>
    </row>
    <row r="534" spans="1:16">
      <c r="A534" t="s">
        <v>184</v>
      </c>
      <c r="B534" t="s">
        <v>195</v>
      </c>
      <c r="C534" t="s">
        <v>28</v>
      </c>
      <c r="D534" t="s">
        <v>33</v>
      </c>
      <c r="E534" t="s">
        <v>170</v>
      </c>
      <c r="F534" s="1">
        <v>0</v>
      </c>
      <c r="J534" s="2">
        <v>46113</v>
      </c>
      <c r="K534" s="3">
        <v>46188</v>
      </c>
      <c r="L534">
        <f t="shared" si="8"/>
        <v>54</v>
      </c>
      <c r="O534" t="s">
        <v>27</v>
      </c>
      <c r="P534" t="s">
        <v>185</v>
      </c>
    </row>
    <row r="535" spans="1:16">
      <c r="A535" t="s">
        <v>184</v>
      </c>
      <c r="B535" t="s">
        <v>195</v>
      </c>
      <c r="C535" t="s">
        <v>29</v>
      </c>
      <c r="D535" t="s">
        <v>33</v>
      </c>
      <c r="E535" t="s">
        <v>170</v>
      </c>
      <c r="F535" s="1">
        <v>0</v>
      </c>
      <c r="J535" s="2">
        <v>46023</v>
      </c>
      <c r="K535" s="3">
        <v>46356</v>
      </c>
      <c r="L535">
        <f t="shared" si="8"/>
        <v>238</v>
      </c>
      <c r="O535" t="s">
        <v>27</v>
      </c>
      <c r="P535" t="s">
        <v>185</v>
      </c>
    </row>
    <row r="536" spans="1:16">
      <c r="A536" t="s">
        <v>184</v>
      </c>
      <c r="B536" t="s">
        <v>195</v>
      </c>
      <c r="C536" t="s">
        <v>30</v>
      </c>
      <c r="D536" t="s">
        <v>33</v>
      </c>
      <c r="E536" t="s">
        <v>170</v>
      </c>
      <c r="F536" s="1">
        <v>0</v>
      </c>
      <c r="J536" s="6"/>
      <c r="K536" s="4"/>
      <c r="L536">
        <f t="shared" si="8"/>
        <v>0</v>
      </c>
      <c r="P536" t="s">
        <v>185</v>
      </c>
    </row>
    <row r="537" spans="1:16">
      <c r="A537" t="s">
        <v>184</v>
      </c>
      <c r="B537" t="s">
        <v>196</v>
      </c>
      <c r="C537" t="s">
        <v>18</v>
      </c>
      <c r="D537" t="s">
        <v>33</v>
      </c>
      <c r="E537" t="s">
        <v>170</v>
      </c>
      <c r="F537" s="1">
        <v>0</v>
      </c>
      <c r="J537" s="2">
        <v>46037</v>
      </c>
      <c r="K537" s="3">
        <v>46379</v>
      </c>
      <c r="L537">
        <f t="shared" si="8"/>
        <v>245</v>
      </c>
      <c r="P537" t="s">
        <v>185</v>
      </c>
    </row>
    <row r="538" spans="1:16">
      <c r="A538" t="s">
        <v>184</v>
      </c>
      <c r="B538" t="s">
        <v>196</v>
      </c>
      <c r="C538" t="s">
        <v>22</v>
      </c>
      <c r="D538" t="s">
        <v>33</v>
      </c>
      <c r="E538" t="s">
        <v>170</v>
      </c>
      <c r="F538" s="1">
        <v>0</v>
      </c>
      <c r="G538" t="s">
        <v>55</v>
      </c>
      <c r="H538" t="s">
        <v>186</v>
      </c>
      <c r="I538" t="s">
        <v>25</v>
      </c>
      <c r="J538" s="2">
        <v>46037</v>
      </c>
      <c r="K538" s="3">
        <v>46146</v>
      </c>
      <c r="L538">
        <f t="shared" si="8"/>
        <v>78</v>
      </c>
      <c r="O538" t="s">
        <v>27</v>
      </c>
      <c r="P538" t="s">
        <v>185</v>
      </c>
    </row>
    <row r="539" spans="1:16">
      <c r="A539" t="s">
        <v>184</v>
      </c>
      <c r="B539" t="s">
        <v>196</v>
      </c>
      <c r="C539" t="s">
        <v>28</v>
      </c>
      <c r="D539" t="s">
        <v>33</v>
      </c>
      <c r="E539" t="s">
        <v>170</v>
      </c>
      <c r="F539" s="1">
        <v>0</v>
      </c>
      <c r="J539" s="2">
        <v>46310</v>
      </c>
      <c r="K539" s="3">
        <v>46379</v>
      </c>
      <c r="L539">
        <f t="shared" si="8"/>
        <v>50</v>
      </c>
      <c r="O539" t="s">
        <v>27</v>
      </c>
      <c r="P539" t="s">
        <v>185</v>
      </c>
    </row>
    <row r="540" spans="1:16">
      <c r="A540" t="s">
        <v>184</v>
      </c>
      <c r="B540" t="s">
        <v>196</v>
      </c>
      <c r="C540" t="s">
        <v>29</v>
      </c>
      <c r="D540" t="s">
        <v>33</v>
      </c>
      <c r="E540" t="s">
        <v>170</v>
      </c>
      <c r="F540" s="1">
        <v>0</v>
      </c>
      <c r="J540" s="2">
        <v>46055</v>
      </c>
      <c r="K540" s="3">
        <v>46356</v>
      </c>
      <c r="L540">
        <f t="shared" si="8"/>
        <v>216</v>
      </c>
      <c r="O540" t="s">
        <v>27</v>
      </c>
      <c r="P540" t="s">
        <v>185</v>
      </c>
    </row>
    <row r="541" spans="1:16">
      <c r="A541" t="s">
        <v>184</v>
      </c>
      <c r="B541" t="s">
        <v>196</v>
      </c>
      <c r="C541" t="s">
        <v>30</v>
      </c>
      <c r="D541" t="s">
        <v>33</v>
      </c>
      <c r="E541" t="s">
        <v>170</v>
      </c>
      <c r="F541" s="1">
        <v>0</v>
      </c>
      <c r="J541" s="6"/>
      <c r="K541" s="4"/>
      <c r="L541">
        <f t="shared" si="8"/>
        <v>0</v>
      </c>
      <c r="P541" t="s">
        <v>185</v>
      </c>
    </row>
    <row r="542" spans="1:16">
      <c r="A542" t="s">
        <v>184</v>
      </c>
      <c r="B542" t="s">
        <v>197</v>
      </c>
      <c r="C542" t="s">
        <v>18</v>
      </c>
      <c r="D542" t="s">
        <v>33</v>
      </c>
      <c r="E542" t="s">
        <v>170</v>
      </c>
      <c r="F542" s="1">
        <v>0</v>
      </c>
      <c r="J542" s="2">
        <v>46113</v>
      </c>
      <c r="K542" s="3">
        <v>46553</v>
      </c>
      <c r="L542">
        <f t="shared" si="8"/>
        <v>315</v>
      </c>
      <c r="P542" t="s">
        <v>185</v>
      </c>
    </row>
    <row r="543" spans="1:16">
      <c r="A543" t="s">
        <v>184</v>
      </c>
      <c r="B543" t="s">
        <v>197</v>
      </c>
      <c r="C543" t="s">
        <v>22</v>
      </c>
      <c r="D543" t="s">
        <v>33</v>
      </c>
      <c r="E543" t="s">
        <v>170</v>
      </c>
      <c r="F543" s="1">
        <v>0</v>
      </c>
      <c r="G543" t="s">
        <v>55</v>
      </c>
      <c r="H543" t="s">
        <v>186</v>
      </c>
      <c r="I543" t="s">
        <v>25</v>
      </c>
      <c r="J543" s="2">
        <v>46113</v>
      </c>
      <c r="K543" s="3">
        <v>46553</v>
      </c>
      <c r="L543">
        <f t="shared" si="8"/>
        <v>315</v>
      </c>
      <c r="O543" t="s">
        <v>27</v>
      </c>
      <c r="P543" t="s">
        <v>185</v>
      </c>
    </row>
    <row r="544" spans="1:16">
      <c r="A544" t="s">
        <v>184</v>
      </c>
      <c r="B544" t="s">
        <v>197</v>
      </c>
      <c r="C544" t="s">
        <v>28</v>
      </c>
      <c r="D544" t="s">
        <v>33</v>
      </c>
      <c r="E544" t="s">
        <v>170</v>
      </c>
      <c r="F544" s="1">
        <v>0</v>
      </c>
      <c r="J544" s="2">
        <v>46310</v>
      </c>
      <c r="K544" s="3">
        <v>46379</v>
      </c>
      <c r="L544">
        <f t="shared" si="8"/>
        <v>50</v>
      </c>
      <c r="O544" t="s">
        <v>27</v>
      </c>
      <c r="P544" t="s">
        <v>185</v>
      </c>
    </row>
    <row r="545" spans="1:16">
      <c r="A545" t="s">
        <v>184</v>
      </c>
      <c r="B545" t="s">
        <v>197</v>
      </c>
      <c r="C545" t="s">
        <v>29</v>
      </c>
      <c r="D545" t="s">
        <v>33</v>
      </c>
      <c r="E545" t="s">
        <v>170</v>
      </c>
      <c r="F545" s="1">
        <v>0</v>
      </c>
      <c r="J545" s="2">
        <v>46146</v>
      </c>
      <c r="K545" s="3">
        <v>46387</v>
      </c>
      <c r="L545">
        <f t="shared" si="8"/>
        <v>174</v>
      </c>
      <c r="O545" t="s">
        <v>27</v>
      </c>
      <c r="P545" t="s">
        <v>185</v>
      </c>
    </row>
    <row r="546" spans="1:16">
      <c r="A546" t="s">
        <v>184</v>
      </c>
      <c r="B546" t="s">
        <v>197</v>
      </c>
      <c r="C546" t="s">
        <v>30</v>
      </c>
      <c r="D546" t="s">
        <v>33</v>
      </c>
      <c r="E546" t="s">
        <v>170</v>
      </c>
      <c r="F546" s="1">
        <v>0</v>
      </c>
      <c r="J546" s="6"/>
      <c r="K546" s="4"/>
      <c r="L546">
        <f t="shared" si="8"/>
        <v>0</v>
      </c>
      <c r="P546" t="s">
        <v>185</v>
      </c>
    </row>
    <row r="547" spans="1:16">
      <c r="A547" t="s">
        <v>184</v>
      </c>
      <c r="B547" t="s">
        <v>198</v>
      </c>
      <c r="C547" t="s">
        <v>18</v>
      </c>
      <c r="D547" t="s">
        <v>33</v>
      </c>
      <c r="E547" t="s">
        <v>170</v>
      </c>
      <c r="F547" s="1">
        <v>0</v>
      </c>
      <c r="J547" s="2">
        <v>46037</v>
      </c>
      <c r="K547" s="3">
        <v>46112</v>
      </c>
      <c r="L547">
        <f t="shared" si="8"/>
        <v>54</v>
      </c>
      <c r="P547" t="s">
        <v>185</v>
      </c>
    </row>
    <row r="548" spans="1:16">
      <c r="A548" t="s">
        <v>184</v>
      </c>
      <c r="B548" t="s">
        <v>198</v>
      </c>
      <c r="C548" t="s">
        <v>22</v>
      </c>
      <c r="D548" t="s">
        <v>33</v>
      </c>
      <c r="E548" t="s">
        <v>170</v>
      </c>
      <c r="F548" s="1">
        <v>0</v>
      </c>
      <c r="G548" t="s">
        <v>55</v>
      </c>
      <c r="H548" t="s">
        <v>186</v>
      </c>
      <c r="I548" t="s">
        <v>25</v>
      </c>
      <c r="J548" s="2">
        <v>46037</v>
      </c>
      <c r="K548" s="3">
        <v>46112</v>
      </c>
      <c r="L548">
        <f t="shared" si="8"/>
        <v>54</v>
      </c>
      <c r="O548" t="s">
        <v>27</v>
      </c>
      <c r="P548" t="s">
        <v>185</v>
      </c>
    </row>
    <row r="549" spans="1:16">
      <c r="A549" t="s">
        <v>184</v>
      </c>
      <c r="B549" t="s">
        <v>198</v>
      </c>
      <c r="C549" t="s">
        <v>28</v>
      </c>
      <c r="D549" t="s">
        <v>33</v>
      </c>
      <c r="E549" t="s">
        <v>170</v>
      </c>
      <c r="F549" s="1">
        <v>0</v>
      </c>
      <c r="J549" s="2">
        <v>46218</v>
      </c>
      <c r="K549" s="3">
        <v>46295</v>
      </c>
      <c r="L549">
        <f t="shared" si="8"/>
        <v>56</v>
      </c>
      <c r="O549" t="s">
        <v>27</v>
      </c>
      <c r="P549" t="s">
        <v>185</v>
      </c>
    </row>
    <row r="550" spans="1:16">
      <c r="A550" t="s">
        <v>184</v>
      </c>
      <c r="B550" t="s">
        <v>198</v>
      </c>
      <c r="C550" t="s">
        <v>29</v>
      </c>
      <c r="D550" t="s">
        <v>33</v>
      </c>
      <c r="E550" t="s">
        <v>170</v>
      </c>
      <c r="F550" s="1">
        <v>0</v>
      </c>
      <c r="J550" s="2">
        <v>46113</v>
      </c>
      <c r="K550" s="3">
        <v>46204</v>
      </c>
      <c r="L550">
        <f t="shared" si="8"/>
        <v>66</v>
      </c>
      <c r="O550" t="s">
        <v>27</v>
      </c>
      <c r="P550" t="s">
        <v>185</v>
      </c>
    </row>
    <row r="551" spans="1:16">
      <c r="A551" t="s">
        <v>184</v>
      </c>
      <c r="B551" t="s">
        <v>198</v>
      </c>
      <c r="C551" t="s">
        <v>30</v>
      </c>
      <c r="D551" t="s">
        <v>33</v>
      </c>
      <c r="E551" t="s">
        <v>170</v>
      </c>
      <c r="F551" s="1">
        <v>0</v>
      </c>
      <c r="J551" s="6"/>
      <c r="K551" s="4"/>
      <c r="L551">
        <f t="shared" si="8"/>
        <v>0</v>
      </c>
      <c r="P551" t="s">
        <v>185</v>
      </c>
    </row>
    <row r="552" spans="1:16">
      <c r="A552" t="s">
        <v>184</v>
      </c>
      <c r="B552" t="s">
        <v>199</v>
      </c>
      <c r="C552" t="s">
        <v>18</v>
      </c>
      <c r="D552" t="s">
        <v>33</v>
      </c>
      <c r="E552" t="s">
        <v>170</v>
      </c>
      <c r="F552" s="1">
        <v>0</v>
      </c>
      <c r="J552" s="2">
        <v>46127</v>
      </c>
      <c r="K552" s="3">
        <v>46295</v>
      </c>
      <c r="L552">
        <f t="shared" si="8"/>
        <v>121</v>
      </c>
      <c r="P552" t="s">
        <v>185</v>
      </c>
    </row>
    <row r="553" spans="1:16">
      <c r="A553" t="s">
        <v>184</v>
      </c>
      <c r="B553" t="s">
        <v>199</v>
      </c>
      <c r="C553" t="s">
        <v>22</v>
      </c>
      <c r="D553" t="s">
        <v>33</v>
      </c>
      <c r="E553" t="s">
        <v>170</v>
      </c>
      <c r="F553" s="1">
        <v>0</v>
      </c>
      <c r="G553" t="s">
        <v>55</v>
      </c>
      <c r="H553" t="s">
        <v>192</v>
      </c>
      <c r="I553" t="s">
        <v>25</v>
      </c>
      <c r="J553" s="2">
        <v>46127</v>
      </c>
      <c r="K553" s="3">
        <v>46188</v>
      </c>
      <c r="L553">
        <f t="shared" si="8"/>
        <v>44</v>
      </c>
      <c r="O553" t="s">
        <v>27</v>
      </c>
      <c r="P553" t="s">
        <v>185</v>
      </c>
    </row>
    <row r="554" spans="1:16">
      <c r="A554" t="s">
        <v>184</v>
      </c>
      <c r="B554" t="s">
        <v>199</v>
      </c>
      <c r="C554" t="s">
        <v>28</v>
      </c>
      <c r="D554" t="s">
        <v>33</v>
      </c>
      <c r="E554" t="s">
        <v>170</v>
      </c>
      <c r="F554" s="1">
        <v>0</v>
      </c>
      <c r="J554" s="2">
        <v>46218</v>
      </c>
      <c r="K554" s="3">
        <v>46295</v>
      </c>
      <c r="L554">
        <f t="shared" si="8"/>
        <v>56</v>
      </c>
      <c r="O554" t="s">
        <v>27</v>
      </c>
      <c r="P554" t="s">
        <v>185</v>
      </c>
    </row>
    <row r="555" spans="1:16">
      <c r="A555" t="s">
        <v>184</v>
      </c>
      <c r="B555" t="s">
        <v>199</v>
      </c>
      <c r="C555" t="s">
        <v>29</v>
      </c>
      <c r="D555" t="s">
        <v>33</v>
      </c>
      <c r="E555" t="s">
        <v>170</v>
      </c>
      <c r="F555" s="1">
        <v>0</v>
      </c>
      <c r="J555" s="2">
        <v>46160</v>
      </c>
      <c r="K555" s="3">
        <v>46295</v>
      </c>
      <c r="L555">
        <f t="shared" si="8"/>
        <v>98</v>
      </c>
      <c r="O555" t="s">
        <v>27</v>
      </c>
      <c r="P555" t="s">
        <v>185</v>
      </c>
    </row>
    <row r="556" spans="1:16">
      <c r="A556" t="s">
        <v>184</v>
      </c>
      <c r="B556" t="s">
        <v>199</v>
      </c>
      <c r="C556" t="s">
        <v>30</v>
      </c>
      <c r="D556" t="s">
        <v>33</v>
      </c>
      <c r="E556" t="s">
        <v>170</v>
      </c>
      <c r="F556" s="1">
        <v>0</v>
      </c>
      <c r="J556" s="6"/>
      <c r="K556" s="4"/>
      <c r="L556">
        <f t="shared" si="8"/>
        <v>0</v>
      </c>
      <c r="P556" t="s">
        <v>185</v>
      </c>
    </row>
    <row r="557" spans="1:16">
      <c r="A557" t="s">
        <v>39</v>
      </c>
      <c r="B557" t="s">
        <v>200</v>
      </c>
      <c r="C557" t="s">
        <v>18</v>
      </c>
      <c r="D557" t="s">
        <v>19</v>
      </c>
      <c r="E557" t="s">
        <v>170</v>
      </c>
      <c r="F557" s="1">
        <v>0</v>
      </c>
      <c r="J557" s="2">
        <v>46127</v>
      </c>
      <c r="K557" s="3">
        <v>46295</v>
      </c>
      <c r="L557">
        <f t="shared" si="8"/>
        <v>121</v>
      </c>
      <c r="P557" t="s">
        <v>200</v>
      </c>
    </row>
    <row r="558" spans="1:16">
      <c r="A558" t="s">
        <v>39</v>
      </c>
      <c r="B558" t="s">
        <v>200</v>
      </c>
      <c r="C558" t="s">
        <v>22</v>
      </c>
      <c r="D558" t="s">
        <v>19</v>
      </c>
      <c r="E558" t="s">
        <v>170</v>
      </c>
      <c r="F558" s="1">
        <v>0</v>
      </c>
      <c r="G558" t="s">
        <v>147</v>
      </c>
      <c r="H558" t="s">
        <v>201</v>
      </c>
      <c r="I558" t="s">
        <v>139</v>
      </c>
      <c r="J558" s="2">
        <v>46127</v>
      </c>
      <c r="K558" s="3">
        <v>46203</v>
      </c>
      <c r="L558">
        <f t="shared" si="8"/>
        <v>55</v>
      </c>
      <c r="O558" t="s">
        <v>27</v>
      </c>
      <c r="P558" t="s">
        <v>200</v>
      </c>
    </row>
    <row r="559" spans="1:16">
      <c r="A559" t="s">
        <v>39</v>
      </c>
      <c r="B559" t="s">
        <v>200</v>
      </c>
      <c r="C559" t="s">
        <v>28</v>
      </c>
      <c r="D559" t="s">
        <v>19</v>
      </c>
      <c r="E559" t="s">
        <v>170</v>
      </c>
      <c r="F559" s="1">
        <v>0</v>
      </c>
      <c r="J559" s="2">
        <v>46218</v>
      </c>
      <c r="K559" s="3">
        <v>46295</v>
      </c>
      <c r="L559">
        <f t="shared" si="8"/>
        <v>56</v>
      </c>
      <c r="O559" t="s">
        <v>27</v>
      </c>
      <c r="P559" t="s">
        <v>200</v>
      </c>
    </row>
    <row r="560" spans="1:16">
      <c r="A560" t="s">
        <v>39</v>
      </c>
      <c r="B560" t="s">
        <v>200</v>
      </c>
      <c r="C560" t="s">
        <v>29</v>
      </c>
      <c r="D560" t="s">
        <v>19</v>
      </c>
      <c r="E560" t="s">
        <v>170</v>
      </c>
      <c r="F560" s="1">
        <v>0</v>
      </c>
      <c r="J560" s="6"/>
      <c r="K560" s="4"/>
      <c r="L560">
        <f t="shared" si="8"/>
        <v>0</v>
      </c>
      <c r="P560" t="s">
        <v>200</v>
      </c>
    </row>
    <row r="561" spans="1:16">
      <c r="A561" t="s">
        <v>39</v>
      </c>
      <c r="B561" t="s">
        <v>200</v>
      </c>
      <c r="C561" t="s">
        <v>30</v>
      </c>
      <c r="D561" t="s">
        <v>19</v>
      </c>
      <c r="E561" t="s">
        <v>170</v>
      </c>
      <c r="F561" s="1">
        <v>0</v>
      </c>
      <c r="J561" s="6"/>
      <c r="K561" s="4"/>
      <c r="L561">
        <f t="shared" si="8"/>
        <v>0</v>
      </c>
      <c r="P561" t="s">
        <v>200</v>
      </c>
    </row>
    <row r="562" spans="1:16">
      <c r="A562" t="s">
        <v>39</v>
      </c>
      <c r="B562" t="s">
        <v>202</v>
      </c>
      <c r="C562" t="s">
        <v>18</v>
      </c>
      <c r="D562" t="s">
        <v>19</v>
      </c>
      <c r="E562" t="s">
        <v>170</v>
      </c>
      <c r="F562" s="1">
        <v>0</v>
      </c>
      <c r="J562" s="2">
        <v>46037</v>
      </c>
      <c r="K562" s="3">
        <v>46203</v>
      </c>
      <c r="L562">
        <f t="shared" si="8"/>
        <v>119</v>
      </c>
      <c r="P562" t="s">
        <v>202</v>
      </c>
    </row>
    <row r="563" spans="1:16">
      <c r="A563" t="s">
        <v>39</v>
      </c>
      <c r="B563" t="s">
        <v>202</v>
      </c>
      <c r="C563" t="s">
        <v>22</v>
      </c>
      <c r="D563" t="s">
        <v>19</v>
      </c>
      <c r="E563" t="s">
        <v>170</v>
      </c>
      <c r="F563" s="1">
        <v>0</v>
      </c>
      <c r="G563" t="s">
        <v>147</v>
      </c>
      <c r="H563" t="s">
        <v>42</v>
      </c>
      <c r="I563" t="s">
        <v>139</v>
      </c>
      <c r="J563" s="2">
        <v>46037</v>
      </c>
      <c r="K563" s="3">
        <v>46112</v>
      </c>
      <c r="L563">
        <f t="shared" si="8"/>
        <v>54</v>
      </c>
      <c r="O563" t="s">
        <v>27</v>
      </c>
      <c r="P563" t="s">
        <v>202</v>
      </c>
    </row>
    <row r="564" spans="1:16">
      <c r="A564" t="s">
        <v>39</v>
      </c>
      <c r="B564" t="s">
        <v>202</v>
      </c>
      <c r="C564" t="s">
        <v>28</v>
      </c>
      <c r="D564" t="s">
        <v>19</v>
      </c>
      <c r="E564" t="s">
        <v>170</v>
      </c>
      <c r="F564" s="1">
        <v>0</v>
      </c>
      <c r="J564" s="2">
        <v>46127</v>
      </c>
      <c r="K564" s="3">
        <v>46203</v>
      </c>
      <c r="L564">
        <f t="shared" si="8"/>
        <v>55</v>
      </c>
      <c r="O564" t="s">
        <v>27</v>
      </c>
      <c r="P564" t="s">
        <v>202</v>
      </c>
    </row>
    <row r="565" spans="1:16">
      <c r="A565" t="s">
        <v>39</v>
      </c>
      <c r="B565" t="s">
        <v>202</v>
      </c>
      <c r="C565" t="s">
        <v>29</v>
      </c>
      <c r="D565" t="s">
        <v>19</v>
      </c>
      <c r="E565" t="s">
        <v>170</v>
      </c>
      <c r="F565" s="1">
        <v>0</v>
      </c>
      <c r="J565" s="6"/>
      <c r="K565" s="4"/>
      <c r="L565">
        <f t="shared" si="8"/>
        <v>0</v>
      </c>
      <c r="P565" t="s">
        <v>202</v>
      </c>
    </row>
    <row r="566" spans="1:16">
      <c r="A566" t="s">
        <v>39</v>
      </c>
      <c r="B566" t="s">
        <v>202</v>
      </c>
      <c r="C566" t="s">
        <v>30</v>
      </c>
      <c r="D566" t="s">
        <v>19</v>
      </c>
      <c r="E566" t="s">
        <v>170</v>
      </c>
      <c r="F566" s="1">
        <v>0</v>
      </c>
      <c r="J566" s="6"/>
      <c r="K566" s="4"/>
      <c r="L566">
        <f t="shared" si="8"/>
        <v>0</v>
      </c>
      <c r="P566" t="s">
        <v>202</v>
      </c>
    </row>
    <row r="567" spans="1:16">
      <c r="A567" t="s">
        <v>39</v>
      </c>
      <c r="B567" t="s">
        <v>203</v>
      </c>
      <c r="C567" t="s">
        <v>18</v>
      </c>
      <c r="D567" t="s">
        <v>19</v>
      </c>
      <c r="E567" t="s">
        <v>170</v>
      </c>
      <c r="F567" s="1">
        <v>0</v>
      </c>
      <c r="J567" s="2">
        <v>46127</v>
      </c>
      <c r="K567" s="3">
        <v>46295</v>
      </c>
      <c r="L567">
        <f t="shared" si="8"/>
        <v>121</v>
      </c>
      <c r="P567" t="s">
        <v>203</v>
      </c>
    </row>
    <row r="568" spans="1:16">
      <c r="A568" t="s">
        <v>39</v>
      </c>
      <c r="B568" t="s">
        <v>203</v>
      </c>
      <c r="C568" t="s">
        <v>22</v>
      </c>
      <c r="D568" t="s">
        <v>19</v>
      </c>
      <c r="E568" t="s">
        <v>170</v>
      </c>
      <c r="F568" s="1">
        <v>0</v>
      </c>
      <c r="G568" t="s">
        <v>48</v>
      </c>
      <c r="H568" t="s">
        <v>116</v>
      </c>
      <c r="I568" t="s">
        <v>139</v>
      </c>
      <c r="J568" s="2">
        <v>46127</v>
      </c>
      <c r="K568" s="3">
        <v>46203</v>
      </c>
      <c r="L568">
        <f t="shared" si="8"/>
        <v>55</v>
      </c>
      <c r="O568" t="s">
        <v>27</v>
      </c>
      <c r="P568" t="s">
        <v>203</v>
      </c>
    </row>
    <row r="569" spans="1:16">
      <c r="A569" t="s">
        <v>39</v>
      </c>
      <c r="B569" t="s">
        <v>203</v>
      </c>
      <c r="C569" t="s">
        <v>28</v>
      </c>
      <c r="D569" t="s">
        <v>19</v>
      </c>
      <c r="E569" t="s">
        <v>170</v>
      </c>
      <c r="F569" s="1">
        <v>0</v>
      </c>
      <c r="J569" s="2">
        <v>46218</v>
      </c>
      <c r="K569" s="3">
        <v>46295</v>
      </c>
      <c r="L569">
        <f t="shared" si="8"/>
        <v>56</v>
      </c>
      <c r="O569" t="s">
        <v>27</v>
      </c>
      <c r="P569" t="s">
        <v>203</v>
      </c>
    </row>
    <row r="570" spans="1:16">
      <c r="A570" t="s">
        <v>39</v>
      </c>
      <c r="B570" t="s">
        <v>203</v>
      </c>
      <c r="C570" t="s">
        <v>29</v>
      </c>
      <c r="D570" t="s">
        <v>19</v>
      </c>
      <c r="E570" t="s">
        <v>170</v>
      </c>
      <c r="F570" s="1">
        <v>0</v>
      </c>
      <c r="J570" s="6"/>
      <c r="K570" s="4"/>
      <c r="L570">
        <f t="shared" si="8"/>
        <v>0</v>
      </c>
      <c r="P570" t="s">
        <v>203</v>
      </c>
    </row>
    <row r="571" spans="1:16">
      <c r="A571" t="s">
        <v>39</v>
      </c>
      <c r="B571" t="s">
        <v>203</v>
      </c>
      <c r="C571" t="s">
        <v>30</v>
      </c>
      <c r="D571" t="s">
        <v>19</v>
      </c>
      <c r="E571" t="s">
        <v>170</v>
      </c>
      <c r="F571" s="1">
        <v>0</v>
      </c>
      <c r="J571" s="6"/>
      <c r="K571" s="4"/>
      <c r="L571">
        <f t="shared" si="8"/>
        <v>0</v>
      </c>
      <c r="P571" t="s">
        <v>203</v>
      </c>
    </row>
    <row r="572" spans="1:16">
      <c r="J572" s="6"/>
      <c r="K572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A0260-F1B0-49F2-961C-8935FD105933}">
  <dimension ref="A1:E1431"/>
  <sheetViews>
    <sheetView workbookViewId="0">
      <selection activeCell="B2" sqref="B2"/>
    </sheetView>
  </sheetViews>
  <sheetFormatPr defaultColWidth="11.42578125" defaultRowHeight="15"/>
  <cols>
    <col min="1" max="1" width="16.5703125" customWidth="1"/>
    <col min="3" max="3" width="26.5703125" customWidth="1"/>
    <col min="4" max="4" width="18.5703125" customWidth="1"/>
    <col min="5" max="5" width="17.5703125" customWidth="1"/>
    <col min="6" max="6" width="16.7109375" customWidth="1"/>
  </cols>
  <sheetData>
    <row r="1" spans="1:5">
      <c r="A1" t="s">
        <v>204</v>
      </c>
      <c r="B1" t="s">
        <v>22</v>
      </c>
      <c r="C1" t="s">
        <v>28</v>
      </c>
      <c r="D1" t="s">
        <v>30</v>
      </c>
      <c r="E1" t="s">
        <v>29</v>
      </c>
    </row>
    <row r="2" spans="1:5">
      <c r="A2" s="5">
        <v>45870</v>
      </c>
      <c r="B2" cm="1">
        <f t="array" ref="B2">SUMPRODUCT((Task_Table1!$C$2:$C$571=$B$1)*(A2&gt;Task_Table1!$J$2:$J$571)*(A2&lt;Task_Table1!$K$2:$K$571))</f>
        <v>1</v>
      </c>
      <c r="C2" cm="1">
        <f t="array" ref="C2">SUMPRODUCT((Task_Table1!$C$2:$C$571=$C$1)*(A2&gt;Task_Table1!$J$2:$J$571)*(A2&lt;Task_Table1!$K$2:$K$571))</f>
        <v>2</v>
      </c>
      <c r="D2" cm="1">
        <f t="array" ref="D2">SUMPRODUCT((Task_Table1!$C$2:$C$571=$D$1)*(A2&gt;Task_Table1!$J$2:$J$571)*(A2&lt;Task_Table1!$K$2:$K$571))</f>
        <v>0</v>
      </c>
      <c r="E2" cm="1">
        <f t="array" ref="E2">SUMPRODUCT((Task_Table1!$C$2:$C$571=$E$1)*(A2&gt;Task_Table1!$J$2:$J$571)*(A2&lt;Task_Table1!$K$2:$K$571))</f>
        <v>1</v>
      </c>
    </row>
    <row r="3" spans="1:5">
      <c r="A3" s="5">
        <v>45871</v>
      </c>
      <c r="B3" cm="1">
        <f t="array" ref="B3">SUMPRODUCT((Task_Table1!$C$2:$C$571=$B$1)*(A3&gt;Task_Table1!$J$2:$J$571)*(A3&lt;Task_Table1!$K$2:$K$571))</f>
        <v>2</v>
      </c>
      <c r="C3" cm="1">
        <f t="array" ref="C3">SUMPRODUCT((Task_Table1!$C$2:$C$568=$C$1)*(A3&gt;Task_Table1!$J$2:$J$568)*(A3&lt;Task_Table1!$K$2:$K$568))</f>
        <v>2</v>
      </c>
      <c r="D3" cm="1">
        <f t="array" ref="D3">SUMPRODUCT((Task_Table1!$C$2:$C$571=$D$1)*(A3&gt;Task_Table1!$J$2:$J$571)*(A3&lt;Task_Table1!$K$2:$K$571))</f>
        <v>0</v>
      </c>
      <c r="E3" cm="1">
        <f t="array" ref="E3">SUMPRODUCT((Task_Table1!$C$2:$C$571=$E$1)*(A3&gt;Task_Table1!$J$2:$J$571)*(A3&lt;Task_Table1!$K$2:$K$571))</f>
        <v>1</v>
      </c>
    </row>
    <row r="4" spans="1:5">
      <c r="A4" s="5">
        <v>45872</v>
      </c>
      <c r="B4" cm="1">
        <f t="array" ref="B4">SUMPRODUCT((Task_Table1!$C$2:$C$571=$B$1)*(A4&gt;Task_Table1!$J$2:$J$571)*(A4&lt;Task_Table1!$K$2:$K$571))</f>
        <v>2</v>
      </c>
      <c r="C4" cm="1">
        <f t="array" ref="C4">SUMPRODUCT((Task_Table1!$C$2:$C$568=$C$1)*(A4&gt;Task_Table1!$J$2:$J$568)*(A4&lt;Task_Table1!$K$2:$K$568))</f>
        <v>2</v>
      </c>
      <c r="D4" cm="1">
        <f t="array" ref="D4">SUMPRODUCT((Task_Table1!$C$2:$C$571=$D$1)*(A4&gt;Task_Table1!$J$2:$J$571)*(A4&lt;Task_Table1!$K$2:$K$571))</f>
        <v>0</v>
      </c>
      <c r="E4" cm="1">
        <f t="array" ref="E4">SUMPRODUCT((Task_Table1!$C$2:$C$571=$E$1)*(A4&gt;Task_Table1!$J$2:$J$571)*(A4&lt;Task_Table1!$K$2:$K$571))</f>
        <v>1</v>
      </c>
    </row>
    <row r="5" spans="1:5">
      <c r="A5" s="5">
        <v>45873</v>
      </c>
      <c r="B5" cm="1">
        <f t="array" ref="B5">SUMPRODUCT((Task_Table1!$C$2:$C$571=$B$1)*(A5&gt;Task_Table1!$J$2:$J$571)*(A5&lt;Task_Table1!$K$2:$K$571))</f>
        <v>2</v>
      </c>
      <c r="C5" cm="1">
        <f t="array" ref="C5">SUMPRODUCT((Task_Table1!$C$2:$C$568=$C$1)*(A5&gt;Task_Table1!$J$2:$J$568)*(A5&lt;Task_Table1!$K$2:$K$568))</f>
        <v>2</v>
      </c>
      <c r="D5" cm="1">
        <f t="array" ref="D5">SUMPRODUCT((Task_Table1!$C$2:$C$571=$D$1)*(A5&gt;Task_Table1!$J$2:$J$571)*(A5&lt;Task_Table1!$K$2:$K$571))</f>
        <v>0</v>
      </c>
      <c r="E5" cm="1">
        <f t="array" ref="E5">SUMPRODUCT((Task_Table1!$C$2:$C$571=$E$1)*(A5&gt;Task_Table1!$J$2:$J$571)*(A5&lt;Task_Table1!$K$2:$K$571))</f>
        <v>1</v>
      </c>
    </row>
    <row r="6" spans="1:5">
      <c r="A6" s="5">
        <v>45874</v>
      </c>
      <c r="B6" cm="1">
        <f t="array" ref="B6">SUMPRODUCT((Task_Table1!$C$2:$C$571=$B$1)*(A6&gt;Task_Table1!$J$2:$J$571)*(A6&lt;Task_Table1!$K$2:$K$571))</f>
        <v>2</v>
      </c>
      <c r="C6" cm="1">
        <f t="array" ref="C6">SUMPRODUCT((Task_Table1!$C$2:$C$568=$C$1)*(A6&gt;Task_Table1!$J$2:$J$568)*(A6&lt;Task_Table1!$K$2:$K$568))</f>
        <v>2</v>
      </c>
      <c r="D6" cm="1">
        <f t="array" ref="D6">SUMPRODUCT((Task_Table1!$C$2:$C$571=$D$1)*(A6&gt;Task_Table1!$J$2:$J$571)*(A6&lt;Task_Table1!$K$2:$K$571))</f>
        <v>0</v>
      </c>
      <c r="E6" cm="1">
        <f t="array" ref="E6">SUMPRODUCT((Task_Table1!$C$2:$C$571=$E$1)*(A6&gt;Task_Table1!$J$2:$J$571)*(A6&lt;Task_Table1!$K$2:$K$571))</f>
        <v>1</v>
      </c>
    </row>
    <row r="7" spans="1:5">
      <c r="A7" s="5">
        <v>45875</v>
      </c>
      <c r="B7" cm="1">
        <f t="array" ref="B7">SUMPRODUCT((Task_Table1!$C$2:$C$571=$B$1)*(A7&gt;Task_Table1!$J$2:$J$571)*(A7&lt;Task_Table1!$K$2:$K$571))</f>
        <v>2</v>
      </c>
      <c r="C7" cm="1">
        <f t="array" ref="C7">SUMPRODUCT((Task_Table1!$C$2:$C$568=$C$1)*(A7&gt;Task_Table1!$J$2:$J$568)*(A7&lt;Task_Table1!$K$2:$K$568))</f>
        <v>2</v>
      </c>
      <c r="D7" cm="1">
        <f t="array" ref="D7">SUMPRODUCT((Task_Table1!$C$2:$C$571=$D$1)*(A7&gt;Task_Table1!$J$2:$J$571)*(A7&lt;Task_Table1!$K$2:$K$571))</f>
        <v>0</v>
      </c>
      <c r="E7" cm="1">
        <f t="array" ref="E7">SUMPRODUCT((Task_Table1!$C$2:$C$571=$E$1)*(A7&gt;Task_Table1!$J$2:$J$571)*(A7&lt;Task_Table1!$K$2:$K$571))</f>
        <v>1</v>
      </c>
    </row>
    <row r="8" spans="1:5">
      <c r="A8" s="5">
        <v>45876</v>
      </c>
      <c r="B8" cm="1">
        <f t="array" ref="B8">SUMPRODUCT((Task_Table1!$C$2:$C$571=$B$1)*(A8&gt;Task_Table1!$J$2:$J$571)*(A8&lt;Task_Table1!$K$2:$K$571))</f>
        <v>2</v>
      </c>
      <c r="C8" cm="1">
        <f t="array" ref="C8">SUMPRODUCT((Task_Table1!$C$2:$C$568=$C$1)*(A8&gt;Task_Table1!$J$2:$J$568)*(A8&lt;Task_Table1!$K$2:$K$568))</f>
        <v>2</v>
      </c>
      <c r="D8" cm="1">
        <f t="array" ref="D8">SUMPRODUCT((Task_Table1!$C$2:$C$571=$D$1)*(A8&gt;Task_Table1!$J$2:$J$571)*(A8&lt;Task_Table1!$K$2:$K$571))</f>
        <v>0</v>
      </c>
      <c r="E8" cm="1">
        <f t="array" ref="E8">SUMPRODUCT((Task_Table1!$C$2:$C$571=$E$1)*(A8&gt;Task_Table1!$J$2:$J$571)*(A8&lt;Task_Table1!$K$2:$K$571))</f>
        <v>1</v>
      </c>
    </row>
    <row r="9" spans="1:5">
      <c r="A9" s="5">
        <v>45877</v>
      </c>
      <c r="B9" cm="1">
        <f t="array" ref="B9">SUMPRODUCT((Task_Table1!$C$2:$C$571=$B$1)*(A9&gt;Task_Table1!$J$2:$J$571)*(A9&lt;Task_Table1!$K$2:$K$571))</f>
        <v>2</v>
      </c>
      <c r="C9" cm="1">
        <f t="array" ref="C9">SUMPRODUCT((Task_Table1!$C$2:$C$568=$C$1)*(A9&gt;Task_Table1!$J$2:$J$568)*(A9&lt;Task_Table1!$K$2:$K$568))</f>
        <v>2</v>
      </c>
      <c r="D9" cm="1">
        <f t="array" ref="D9">SUMPRODUCT((Task_Table1!$C$2:$C$571=$D$1)*(A9&gt;Task_Table1!$J$2:$J$571)*(A9&lt;Task_Table1!$K$2:$K$571))</f>
        <v>0</v>
      </c>
      <c r="E9" cm="1">
        <f t="array" ref="E9">SUMPRODUCT((Task_Table1!$C$2:$C$571=$E$1)*(A9&gt;Task_Table1!$J$2:$J$571)*(A9&lt;Task_Table1!$K$2:$K$571))</f>
        <v>1</v>
      </c>
    </row>
    <row r="10" spans="1:5">
      <c r="A10" s="5">
        <v>45878</v>
      </c>
      <c r="B10" cm="1">
        <f t="array" ref="B10">SUMPRODUCT((Task_Table1!$C$2:$C$571=$B$1)*(A10&gt;Task_Table1!$J$2:$J$571)*(A10&lt;Task_Table1!$K$2:$K$571))</f>
        <v>3</v>
      </c>
      <c r="C10" cm="1">
        <f t="array" ref="C10">SUMPRODUCT((Task_Table1!$C$2:$C$568=$C$1)*(A10&gt;Task_Table1!$J$2:$J$568)*(A10&lt;Task_Table1!$K$2:$K$568))</f>
        <v>2</v>
      </c>
      <c r="D10" cm="1">
        <f t="array" ref="D10">SUMPRODUCT((Task_Table1!$C$2:$C$571=$D$1)*(A10&gt;Task_Table1!$J$2:$J$571)*(A10&lt;Task_Table1!$K$2:$K$571))</f>
        <v>0</v>
      </c>
      <c r="E10" cm="1">
        <f t="array" ref="E10">SUMPRODUCT((Task_Table1!$C$2:$C$571=$E$1)*(A10&gt;Task_Table1!$J$2:$J$571)*(A10&lt;Task_Table1!$K$2:$K$571))</f>
        <v>1</v>
      </c>
    </row>
    <row r="11" spans="1:5">
      <c r="A11" s="5">
        <v>45879</v>
      </c>
      <c r="B11" cm="1">
        <f t="array" ref="B11">SUMPRODUCT((Task_Table1!$C$2:$C$571=$B$1)*(A11&gt;Task_Table1!$J$2:$J$571)*(A11&lt;Task_Table1!$K$2:$K$571))</f>
        <v>3</v>
      </c>
      <c r="C11" cm="1">
        <f t="array" ref="C11">SUMPRODUCT((Task_Table1!$C$2:$C$568=$C$1)*(A11&gt;Task_Table1!$J$2:$J$568)*(A11&lt;Task_Table1!$K$2:$K$568))</f>
        <v>2</v>
      </c>
      <c r="D11" cm="1">
        <f t="array" ref="D11">SUMPRODUCT((Task_Table1!$C$2:$C$571=$D$1)*(A11&gt;Task_Table1!$J$2:$J$571)*(A11&lt;Task_Table1!$K$2:$K$571))</f>
        <v>0</v>
      </c>
      <c r="E11" cm="1">
        <f t="array" ref="E11">SUMPRODUCT((Task_Table1!$C$2:$C$571=$E$1)*(A11&gt;Task_Table1!$J$2:$J$571)*(A11&lt;Task_Table1!$K$2:$K$571))</f>
        <v>1</v>
      </c>
    </row>
    <row r="12" spans="1:5">
      <c r="A12" s="5">
        <v>45880</v>
      </c>
      <c r="B12" cm="1">
        <f t="array" ref="B12">SUMPRODUCT((Task_Table1!$C$2:$C$571=$B$1)*(A12&gt;Task_Table1!$J$2:$J$571)*(A12&lt;Task_Table1!$K$2:$K$571))</f>
        <v>3</v>
      </c>
      <c r="C12" cm="1">
        <f t="array" ref="C12">SUMPRODUCT((Task_Table1!$C$2:$C$568=$C$1)*(A12&gt;Task_Table1!$J$2:$J$568)*(A12&lt;Task_Table1!$K$2:$K$568))</f>
        <v>2</v>
      </c>
      <c r="D12" cm="1">
        <f t="array" ref="D12">SUMPRODUCT((Task_Table1!$C$2:$C$571=$D$1)*(A12&gt;Task_Table1!$J$2:$J$571)*(A12&lt;Task_Table1!$K$2:$K$571))</f>
        <v>0</v>
      </c>
      <c r="E12" cm="1">
        <f t="array" ref="E12">SUMPRODUCT((Task_Table1!$C$2:$C$571=$E$1)*(A12&gt;Task_Table1!$J$2:$J$571)*(A12&lt;Task_Table1!$K$2:$K$571))</f>
        <v>1</v>
      </c>
    </row>
    <row r="13" spans="1:5">
      <c r="A13" s="5">
        <v>45881</v>
      </c>
      <c r="B13" cm="1">
        <f t="array" ref="B13">SUMPRODUCT((Task_Table1!$C$2:$C$571=$B$1)*(A13&gt;Task_Table1!$J$2:$J$571)*(A13&lt;Task_Table1!$K$2:$K$571))</f>
        <v>3</v>
      </c>
      <c r="C13" cm="1">
        <f t="array" ref="C13">SUMPRODUCT((Task_Table1!$C$2:$C$568=$C$1)*(A13&gt;Task_Table1!$J$2:$J$568)*(A13&lt;Task_Table1!$K$2:$K$568))</f>
        <v>2</v>
      </c>
      <c r="D13" cm="1">
        <f t="array" ref="D13">SUMPRODUCT((Task_Table1!$C$2:$C$571=$D$1)*(A13&gt;Task_Table1!$J$2:$J$571)*(A13&lt;Task_Table1!$K$2:$K$571))</f>
        <v>0</v>
      </c>
      <c r="E13" cm="1">
        <f t="array" ref="E13">SUMPRODUCT((Task_Table1!$C$2:$C$571=$E$1)*(A13&gt;Task_Table1!$J$2:$J$571)*(A13&lt;Task_Table1!$K$2:$K$571))</f>
        <v>1</v>
      </c>
    </row>
    <row r="14" spans="1:5">
      <c r="A14" s="5">
        <v>45882</v>
      </c>
      <c r="B14" cm="1">
        <f t="array" ref="B14">SUMPRODUCT((Task_Table1!$C$2:$C$571=$B$1)*(A14&gt;Task_Table1!$J$2:$J$571)*(A14&lt;Task_Table1!$K$2:$K$571))</f>
        <v>3</v>
      </c>
      <c r="C14" cm="1">
        <f t="array" ref="C14">SUMPRODUCT((Task_Table1!$C$2:$C$568=$C$1)*(A14&gt;Task_Table1!$J$2:$J$568)*(A14&lt;Task_Table1!$K$2:$K$568))</f>
        <v>2</v>
      </c>
      <c r="D14" cm="1">
        <f t="array" ref="D14">SUMPRODUCT((Task_Table1!$C$2:$C$571=$D$1)*(A14&gt;Task_Table1!$J$2:$J$571)*(A14&lt;Task_Table1!$K$2:$K$571))</f>
        <v>0</v>
      </c>
      <c r="E14" cm="1">
        <f t="array" ref="E14">SUMPRODUCT((Task_Table1!$C$2:$C$571=$E$1)*(A14&gt;Task_Table1!$J$2:$J$571)*(A14&lt;Task_Table1!$K$2:$K$571))</f>
        <v>1</v>
      </c>
    </row>
    <row r="15" spans="1:5">
      <c r="A15" s="5">
        <v>45883</v>
      </c>
      <c r="B15" cm="1">
        <f t="array" ref="B15">SUMPRODUCT((Task_Table1!$C$2:$C$571=$B$1)*(A15&gt;Task_Table1!$J$2:$J$571)*(A15&lt;Task_Table1!$K$2:$K$571))</f>
        <v>3</v>
      </c>
      <c r="C15" cm="1">
        <f t="array" ref="C15">SUMPRODUCT((Task_Table1!$C$2:$C$568=$C$1)*(A15&gt;Task_Table1!$J$2:$J$568)*(A15&lt;Task_Table1!$K$2:$K$568))</f>
        <v>2</v>
      </c>
      <c r="D15" cm="1">
        <f t="array" ref="D15">SUMPRODUCT((Task_Table1!$C$2:$C$571=$D$1)*(A15&gt;Task_Table1!$J$2:$J$571)*(A15&lt;Task_Table1!$K$2:$K$571))</f>
        <v>0</v>
      </c>
      <c r="E15" cm="1">
        <f t="array" ref="E15">SUMPRODUCT((Task_Table1!$C$2:$C$571=$E$1)*(A15&gt;Task_Table1!$J$2:$J$571)*(A15&lt;Task_Table1!$K$2:$K$571))</f>
        <v>1</v>
      </c>
    </row>
    <row r="16" spans="1:5">
      <c r="A16" s="5">
        <v>45884</v>
      </c>
      <c r="B16" cm="1">
        <f t="array" ref="B16">SUMPRODUCT((Task_Table1!$C$2:$C$571=$B$1)*(A16&gt;Task_Table1!$J$2:$J$571)*(A16&lt;Task_Table1!$K$2:$K$571))</f>
        <v>3</v>
      </c>
      <c r="C16" cm="1">
        <f t="array" ref="C16">SUMPRODUCT((Task_Table1!$C$2:$C$568=$C$1)*(A16&gt;Task_Table1!$J$2:$J$568)*(A16&lt;Task_Table1!$K$2:$K$568))</f>
        <v>1</v>
      </c>
      <c r="D16" cm="1">
        <f t="array" ref="D16">SUMPRODUCT((Task_Table1!$C$2:$C$571=$D$1)*(A16&gt;Task_Table1!$J$2:$J$571)*(A16&lt;Task_Table1!$K$2:$K$571))</f>
        <v>0</v>
      </c>
      <c r="E16" cm="1">
        <f t="array" ref="E16">SUMPRODUCT((Task_Table1!$C$2:$C$571=$E$1)*(A16&gt;Task_Table1!$J$2:$J$571)*(A16&lt;Task_Table1!$K$2:$K$571))</f>
        <v>1</v>
      </c>
    </row>
    <row r="17" spans="1:5">
      <c r="A17" s="5">
        <v>45885</v>
      </c>
      <c r="B17" cm="1">
        <f t="array" ref="B17">SUMPRODUCT((Task_Table1!$C$2:$C$571=$B$1)*(A17&gt;Task_Table1!$J$2:$J$571)*(A17&lt;Task_Table1!$K$2:$K$571))</f>
        <v>3</v>
      </c>
      <c r="C17" cm="1">
        <f t="array" ref="C17">SUMPRODUCT((Task_Table1!$C$2:$C$568=$C$1)*(A17&gt;Task_Table1!$J$2:$J$568)*(A17&lt;Task_Table1!$K$2:$K$568))</f>
        <v>1</v>
      </c>
      <c r="D17" cm="1">
        <f t="array" ref="D17">SUMPRODUCT((Task_Table1!$C$2:$C$571=$D$1)*(A17&gt;Task_Table1!$J$2:$J$571)*(A17&lt;Task_Table1!$K$2:$K$571))</f>
        <v>0</v>
      </c>
      <c r="E17" cm="1">
        <f t="array" ref="E17">SUMPRODUCT((Task_Table1!$C$2:$C$571=$E$1)*(A17&gt;Task_Table1!$J$2:$J$571)*(A17&lt;Task_Table1!$K$2:$K$571))</f>
        <v>1</v>
      </c>
    </row>
    <row r="18" spans="1:5">
      <c r="A18" s="5">
        <v>45886</v>
      </c>
      <c r="B18" cm="1">
        <f t="array" ref="B18">SUMPRODUCT((Task_Table1!$C$2:$C$571=$B$1)*(A18&gt;Task_Table1!$J$2:$J$571)*(A18&lt;Task_Table1!$K$2:$K$571))</f>
        <v>3</v>
      </c>
      <c r="C18" cm="1">
        <f t="array" ref="C18">SUMPRODUCT((Task_Table1!$C$2:$C$568=$C$1)*(A18&gt;Task_Table1!$J$2:$J$568)*(A18&lt;Task_Table1!$K$2:$K$568))</f>
        <v>1</v>
      </c>
      <c r="D18" cm="1">
        <f t="array" ref="D18">SUMPRODUCT((Task_Table1!$C$2:$C$571=$D$1)*(A18&gt;Task_Table1!$J$2:$J$571)*(A18&lt;Task_Table1!$K$2:$K$571))</f>
        <v>0</v>
      </c>
      <c r="E18" cm="1">
        <f t="array" ref="E18">SUMPRODUCT((Task_Table1!$C$2:$C$571=$E$1)*(A18&gt;Task_Table1!$J$2:$J$571)*(A18&lt;Task_Table1!$K$2:$K$571))</f>
        <v>1</v>
      </c>
    </row>
    <row r="19" spans="1:5">
      <c r="A19" s="5">
        <v>45887</v>
      </c>
      <c r="B19" cm="1">
        <f t="array" ref="B19">SUMPRODUCT((Task_Table1!$C$2:$C$571=$B$1)*(A19&gt;Task_Table1!$J$2:$J$571)*(A19&lt;Task_Table1!$K$2:$K$571))</f>
        <v>3</v>
      </c>
      <c r="C19" cm="1">
        <f t="array" ref="C19">SUMPRODUCT((Task_Table1!$C$2:$C$568=$C$1)*(A19&gt;Task_Table1!$J$2:$J$568)*(A19&lt;Task_Table1!$K$2:$K$568))</f>
        <v>1</v>
      </c>
      <c r="D19" cm="1">
        <f t="array" ref="D19">SUMPRODUCT((Task_Table1!$C$2:$C$571=$D$1)*(A19&gt;Task_Table1!$J$2:$J$571)*(A19&lt;Task_Table1!$K$2:$K$571))</f>
        <v>0</v>
      </c>
      <c r="E19" cm="1">
        <f t="array" ref="E19">SUMPRODUCT((Task_Table1!$C$2:$C$571=$E$1)*(A19&gt;Task_Table1!$J$2:$J$571)*(A19&lt;Task_Table1!$K$2:$K$571))</f>
        <v>1</v>
      </c>
    </row>
    <row r="20" spans="1:5">
      <c r="A20" s="5">
        <v>45888</v>
      </c>
      <c r="B20" cm="1">
        <f t="array" ref="B20">SUMPRODUCT((Task_Table1!$C$2:$C$571=$B$1)*(A20&gt;Task_Table1!$J$2:$J$571)*(A20&lt;Task_Table1!$K$2:$K$571))</f>
        <v>3</v>
      </c>
      <c r="C20" cm="1">
        <f t="array" ref="C20">SUMPRODUCT((Task_Table1!$C$2:$C$568=$C$1)*(A20&gt;Task_Table1!$J$2:$J$568)*(A20&lt;Task_Table1!$K$2:$K$568))</f>
        <v>1</v>
      </c>
      <c r="D20" cm="1">
        <f t="array" ref="D20">SUMPRODUCT((Task_Table1!$C$2:$C$571=$D$1)*(A20&gt;Task_Table1!$J$2:$J$571)*(A20&lt;Task_Table1!$K$2:$K$571))</f>
        <v>0</v>
      </c>
      <c r="E20" cm="1">
        <f t="array" ref="E20">SUMPRODUCT((Task_Table1!$C$2:$C$571=$E$1)*(A20&gt;Task_Table1!$J$2:$J$571)*(A20&lt;Task_Table1!$K$2:$K$571))</f>
        <v>1</v>
      </c>
    </row>
    <row r="21" spans="1:5">
      <c r="A21" s="5">
        <v>45889</v>
      </c>
      <c r="B21" cm="1">
        <f t="array" ref="B21">SUMPRODUCT((Task_Table1!$C$2:$C$571=$B$1)*(A21&gt;Task_Table1!$J$2:$J$571)*(A21&lt;Task_Table1!$K$2:$K$571))</f>
        <v>3</v>
      </c>
      <c r="C21" cm="1">
        <f t="array" ref="C21">SUMPRODUCT((Task_Table1!$C$2:$C$568=$C$1)*(A21&gt;Task_Table1!$J$2:$J$568)*(A21&lt;Task_Table1!$K$2:$K$568))</f>
        <v>1</v>
      </c>
      <c r="D21" cm="1">
        <f t="array" ref="D21">SUMPRODUCT((Task_Table1!$C$2:$C$571=$D$1)*(A21&gt;Task_Table1!$J$2:$J$571)*(A21&lt;Task_Table1!$K$2:$K$571))</f>
        <v>0</v>
      </c>
      <c r="E21" cm="1">
        <f t="array" ref="E21">SUMPRODUCT((Task_Table1!$C$2:$C$571=$E$1)*(A21&gt;Task_Table1!$J$2:$J$571)*(A21&lt;Task_Table1!$K$2:$K$571))</f>
        <v>1</v>
      </c>
    </row>
    <row r="22" spans="1:5">
      <c r="A22" s="5">
        <v>45890</v>
      </c>
      <c r="B22" cm="1">
        <f t="array" ref="B22">SUMPRODUCT((Task_Table1!$C$2:$C$571=$B$1)*(A22&gt;Task_Table1!$J$2:$J$571)*(A22&lt;Task_Table1!$K$2:$K$571))</f>
        <v>3</v>
      </c>
      <c r="C22" cm="1">
        <f t="array" ref="C22">SUMPRODUCT((Task_Table1!$C$2:$C$568=$C$1)*(A22&gt;Task_Table1!$J$2:$J$568)*(A22&lt;Task_Table1!$K$2:$K$568))</f>
        <v>1</v>
      </c>
      <c r="D22" cm="1">
        <f t="array" ref="D22">SUMPRODUCT((Task_Table1!$C$2:$C$571=$D$1)*(A22&gt;Task_Table1!$J$2:$J$571)*(A22&lt;Task_Table1!$K$2:$K$571))</f>
        <v>0</v>
      </c>
      <c r="E22" cm="1">
        <f t="array" ref="E22">SUMPRODUCT((Task_Table1!$C$2:$C$571=$E$1)*(A22&gt;Task_Table1!$J$2:$J$571)*(A22&lt;Task_Table1!$K$2:$K$571))</f>
        <v>1</v>
      </c>
    </row>
    <row r="23" spans="1:5">
      <c r="A23" s="5">
        <v>45891</v>
      </c>
      <c r="B23" cm="1">
        <f t="array" ref="B23">SUMPRODUCT((Task_Table1!$C$2:$C$571=$B$1)*(A23&gt;Task_Table1!$J$2:$J$571)*(A23&lt;Task_Table1!$K$2:$K$571))</f>
        <v>3</v>
      </c>
      <c r="C23" cm="1">
        <f t="array" ref="C23">SUMPRODUCT((Task_Table1!$C$2:$C$568=$C$1)*(A23&gt;Task_Table1!$J$2:$J$568)*(A23&lt;Task_Table1!$K$2:$K$568))</f>
        <v>1</v>
      </c>
      <c r="D23" cm="1">
        <f t="array" ref="D23">SUMPRODUCT((Task_Table1!$C$2:$C$571=$D$1)*(A23&gt;Task_Table1!$J$2:$J$571)*(A23&lt;Task_Table1!$K$2:$K$571))</f>
        <v>0</v>
      </c>
      <c r="E23" cm="1">
        <f t="array" ref="E23">SUMPRODUCT((Task_Table1!$C$2:$C$571=$E$1)*(A23&gt;Task_Table1!$J$2:$J$571)*(A23&lt;Task_Table1!$K$2:$K$571))</f>
        <v>1</v>
      </c>
    </row>
    <row r="24" spans="1:5">
      <c r="A24" s="5">
        <v>45892</v>
      </c>
      <c r="B24" cm="1">
        <f t="array" ref="B24">SUMPRODUCT((Task_Table1!$C$2:$C$571=$B$1)*(A24&gt;Task_Table1!$J$2:$J$571)*(A24&lt;Task_Table1!$K$2:$K$571))</f>
        <v>3</v>
      </c>
      <c r="C24" cm="1">
        <f t="array" ref="C24">SUMPRODUCT((Task_Table1!$C$2:$C$568=$C$1)*(A24&gt;Task_Table1!$J$2:$J$568)*(A24&lt;Task_Table1!$K$2:$K$568))</f>
        <v>1</v>
      </c>
      <c r="D24" cm="1">
        <f t="array" ref="D24">SUMPRODUCT((Task_Table1!$C$2:$C$571=$D$1)*(A24&gt;Task_Table1!$J$2:$J$571)*(A24&lt;Task_Table1!$K$2:$K$571))</f>
        <v>0</v>
      </c>
      <c r="E24" cm="1">
        <f t="array" ref="E24">SUMPRODUCT((Task_Table1!$C$2:$C$571=$E$1)*(A24&gt;Task_Table1!$J$2:$J$571)*(A24&lt;Task_Table1!$K$2:$K$571))</f>
        <v>1</v>
      </c>
    </row>
    <row r="25" spans="1:5">
      <c r="A25" s="5">
        <v>45893</v>
      </c>
      <c r="B25" cm="1">
        <f t="array" ref="B25">SUMPRODUCT((Task_Table1!$C$2:$C$571=$B$1)*(A25&gt;Task_Table1!$J$2:$J$571)*(A25&lt;Task_Table1!$K$2:$K$571))</f>
        <v>3</v>
      </c>
      <c r="C25" cm="1">
        <f t="array" ref="C25">SUMPRODUCT((Task_Table1!$C$2:$C$568=$C$1)*(A25&gt;Task_Table1!$J$2:$J$568)*(A25&lt;Task_Table1!$K$2:$K$568))</f>
        <v>1</v>
      </c>
      <c r="D25" cm="1">
        <f t="array" ref="D25">SUMPRODUCT((Task_Table1!$C$2:$C$571=$D$1)*(A25&gt;Task_Table1!$J$2:$J$571)*(A25&lt;Task_Table1!$K$2:$K$571))</f>
        <v>0</v>
      </c>
      <c r="E25" cm="1">
        <f t="array" ref="E25">SUMPRODUCT((Task_Table1!$C$2:$C$571=$E$1)*(A25&gt;Task_Table1!$J$2:$J$571)*(A25&lt;Task_Table1!$K$2:$K$571))</f>
        <v>1</v>
      </c>
    </row>
    <row r="26" spans="1:5">
      <c r="A26" s="5">
        <v>45894</v>
      </c>
      <c r="B26" cm="1">
        <f t="array" ref="B26">SUMPRODUCT((Task_Table1!$C$2:$C$571=$B$1)*(A26&gt;Task_Table1!$J$2:$J$571)*(A26&lt;Task_Table1!$K$2:$K$571))</f>
        <v>3</v>
      </c>
      <c r="C26" cm="1">
        <f t="array" ref="C26">SUMPRODUCT((Task_Table1!$C$2:$C$568=$C$1)*(A26&gt;Task_Table1!$J$2:$J$568)*(A26&lt;Task_Table1!$K$2:$K$568))</f>
        <v>1</v>
      </c>
      <c r="D26" cm="1">
        <f t="array" ref="D26">SUMPRODUCT((Task_Table1!$C$2:$C$571=$D$1)*(A26&gt;Task_Table1!$J$2:$J$571)*(A26&lt;Task_Table1!$K$2:$K$571))</f>
        <v>0</v>
      </c>
      <c r="E26" cm="1">
        <f t="array" ref="E26">SUMPRODUCT((Task_Table1!$C$2:$C$571=$E$1)*(A26&gt;Task_Table1!$J$2:$J$571)*(A26&lt;Task_Table1!$K$2:$K$571))</f>
        <v>1</v>
      </c>
    </row>
    <row r="27" spans="1:5">
      <c r="A27" s="5">
        <v>45895</v>
      </c>
      <c r="B27" cm="1">
        <f t="array" ref="B27">SUMPRODUCT((Task_Table1!$C$2:$C$571=$B$1)*(A27&gt;Task_Table1!$J$2:$J$571)*(A27&lt;Task_Table1!$K$2:$K$571))</f>
        <v>3</v>
      </c>
      <c r="C27" cm="1">
        <f t="array" ref="C27">SUMPRODUCT((Task_Table1!$C$2:$C$568=$C$1)*(A27&gt;Task_Table1!$J$2:$J$568)*(A27&lt;Task_Table1!$K$2:$K$568))</f>
        <v>1</v>
      </c>
      <c r="D27" cm="1">
        <f t="array" ref="D27">SUMPRODUCT((Task_Table1!$C$2:$C$571=$D$1)*(A27&gt;Task_Table1!$J$2:$J$571)*(A27&lt;Task_Table1!$K$2:$K$571))</f>
        <v>0</v>
      </c>
      <c r="E27" cm="1">
        <f t="array" ref="E27">SUMPRODUCT((Task_Table1!$C$2:$C$571=$E$1)*(A27&gt;Task_Table1!$J$2:$J$571)*(A27&lt;Task_Table1!$K$2:$K$571))</f>
        <v>1</v>
      </c>
    </row>
    <row r="28" spans="1:5">
      <c r="A28" s="5">
        <v>45896</v>
      </c>
      <c r="B28" cm="1">
        <f t="array" ref="B28">SUMPRODUCT((Task_Table1!$C$2:$C$571=$B$1)*(A28&gt;Task_Table1!$J$2:$J$571)*(A28&lt;Task_Table1!$K$2:$K$571))</f>
        <v>3</v>
      </c>
      <c r="C28" cm="1">
        <f t="array" ref="C28">SUMPRODUCT((Task_Table1!$C$2:$C$568=$C$1)*(A28&gt;Task_Table1!$J$2:$J$568)*(A28&lt;Task_Table1!$K$2:$K$568))</f>
        <v>1</v>
      </c>
      <c r="D28" cm="1">
        <f t="array" ref="D28">SUMPRODUCT((Task_Table1!$C$2:$C$571=$D$1)*(A28&gt;Task_Table1!$J$2:$J$571)*(A28&lt;Task_Table1!$K$2:$K$571))</f>
        <v>0</v>
      </c>
      <c r="E28" cm="1">
        <f t="array" ref="E28">SUMPRODUCT((Task_Table1!$C$2:$C$571=$E$1)*(A28&gt;Task_Table1!$J$2:$J$571)*(A28&lt;Task_Table1!$K$2:$K$571))</f>
        <v>1</v>
      </c>
    </row>
    <row r="29" spans="1:5">
      <c r="A29" s="5">
        <v>45897</v>
      </c>
      <c r="B29" cm="1">
        <f t="array" ref="B29">SUMPRODUCT((Task_Table1!$C$2:$C$571=$B$1)*(A29&gt;Task_Table1!$J$2:$J$571)*(A29&lt;Task_Table1!$K$2:$K$571))</f>
        <v>3</v>
      </c>
      <c r="C29" cm="1">
        <f t="array" ref="C29">SUMPRODUCT((Task_Table1!$C$2:$C$568=$C$1)*(A29&gt;Task_Table1!$J$2:$J$568)*(A29&lt;Task_Table1!$K$2:$K$568))</f>
        <v>1</v>
      </c>
      <c r="D29" cm="1">
        <f t="array" ref="D29">SUMPRODUCT((Task_Table1!$C$2:$C$571=$D$1)*(A29&gt;Task_Table1!$J$2:$J$571)*(A29&lt;Task_Table1!$K$2:$K$571))</f>
        <v>0</v>
      </c>
      <c r="E29" cm="1">
        <f t="array" ref="E29">SUMPRODUCT((Task_Table1!$C$2:$C$571=$E$1)*(A29&gt;Task_Table1!$J$2:$J$571)*(A29&lt;Task_Table1!$K$2:$K$571))</f>
        <v>1</v>
      </c>
    </row>
    <row r="30" spans="1:5">
      <c r="A30" s="5">
        <v>45898</v>
      </c>
      <c r="B30" cm="1">
        <f t="array" ref="B30">SUMPRODUCT((Task_Table1!$C$2:$C$571=$B$1)*(A30&gt;Task_Table1!$J$2:$J$571)*(A30&lt;Task_Table1!$K$2:$K$571))</f>
        <v>3</v>
      </c>
      <c r="C30" cm="1">
        <f t="array" ref="C30">SUMPRODUCT((Task_Table1!$C$2:$C$568=$C$1)*(A30&gt;Task_Table1!$J$2:$J$568)*(A30&lt;Task_Table1!$K$2:$K$568))</f>
        <v>1</v>
      </c>
      <c r="D30" cm="1">
        <f t="array" ref="D30">SUMPRODUCT((Task_Table1!$C$2:$C$571=$D$1)*(A30&gt;Task_Table1!$J$2:$J$571)*(A30&lt;Task_Table1!$K$2:$K$571))</f>
        <v>0</v>
      </c>
      <c r="E30" cm="1">
        <f t="array" ref="E30">SUMPRODUCT((Task_Table1!$C$2:$C$571=$E$1)*(A30&gt;Task_Table1!$J$2:$J$571)*(A30&lt;Task_Table1!$K$2:$K$571))</f>
        <v>1</v>
      </c>
    </row>
    <row r="31" spans="1:5">
      <c r="A31" s="5">
        <v>45899</v>
      </c>
      <c r="B31" cm="1">
        <f t="array" ref="B31">SUMPRODUCT((Task_Table1!$C$2:$C$571=$B$1)*(A31&gt;Task_Table1!$J$2:$J$571)*(A31&lt;Task_Table1!$K$2:$K$571))</f>
        <v>3</v>
      </c>
      <c r="C31" cm="1">
        <f t="array" ref="C31">SUMPRODUCT((Task_Table1!$C$2:$C$568=$C$1)*(A31&gt;Task_Table1!$J$2:$J$568)*(A31&lt;Task_Table1!$K$2:$K$568))</f>
        <v>1</v>
      </c>
      <c r="D31" cm="1">
        <f t="array" ref="D31">SUMPRODUCT((Task_Table1!$C$2:$C$571=$D$1)*(A31&gt;Task_Table1!$J$2:$J$571)*(A31&lt;Task_Table1!$K$2:$K$571))</f>
        <v>0</v>
      </c>
      <c r="E31" cm="1">
        <f t="array" ref="E31">SUMPRODUCT((Task_Table1!$C$2:$C$571=$E$1)*(A31&gt;Task_Table1!$J$2:$J$571)*(A31&lt;Task_Table1!$K$2:$K$571))</f>
        <v>1</v>
      </c>
    </row>
    <row r="32" spans="1:5">
      <c r="A32" s="5">
        <v>45900</v>
      </c>
      <c r="B32" cm="1">
        <f t="array" ref="B32">SUMPRODUCT((Task_Table1!$C$2:$C$571=$B$1)*(A32&gt;Task_Table1!$J$2:$J$571)*(A32&lt;Task_Table1!$K$2:$K$571))</f>
        <v>3</v>
      </c>
      <c r="C32" cm="1">
        <f t="array" ref="C32">SUMPRODUCT((Task_Table1!$C$2:$C$568=$C$1)*(A32&gt;Task_Table1!$J$2:$J$568)*(A32&lt;Task_Table1!$K$2:$K$568))</f>
        <v>1</v>
      </c>
      <c r="D32" cm="1">
        <f t="array" ref="D32">SUMPRODUCT((Task_Table1!$C$2:$C$571=$D$1)*(A32&gt;Task_Table1!$J$2:$J$571)*(A32&lt;Task_Table1!$K$2:$K$571))</f>
        <v>0</v>
      </c>
      <c r="E32" cm="1">
        <f t="array" ref="E32">SUMPRODUCT((Task_Table1!$C$2:$C$571=$E$1)*(A32&gt;Task_Table1!$J$2:$J$571)*(A32&lt;Task_Table1!$K$2:$K$571))</f>
        <v>1</v>
      </c>
    </row>
    <row r="33" spans="1:5">
      <c r="A33" s="5">
        <v>45901</v>
      </c>
      <c r="B33" cm="1">
        <f t="array" ref="B33">SUMPRODUCT((Task_Table1!$C$2:$C$571=$B$1)*(A33&gt;Task_Table1!$J$2:$J$571)*(A33&lt;Task_Table1!$K$2:$K$571))</f>
        <v>3</v>
      </c>
      <c r="C33" cm="1">
        <f t="array" ref="C33">SUMPRODUCT((Task_Table1!$C$2:$C$568=$C$1)*(A33&gt;Task_Table1!$J$2:$J$568)*(A33&lt;Task_Table1!$K$2:$K$568))</f>
        <v>1</v>
      </c>
      <c r="D33" cm="1">
        <f t="array" ref="D33">SUMPRODUCT((Task_Table1!$C$2:$C$571=$D$1)*(A33&gt;Task_Table1!$J$2:$J$571)*(A33&lt;Task_Table1!$K$2:$K$571))</f>
        <v>0</v>
      </c>
      <c r="E33" cm="1">
        <f t="array" ref="E33">SUMPRODUCT((Task_Table1!$C$2:$C$571=$E$1)*(A33&gt;Task_Table1!$J$2:$J$571)*(A33&lt;Task_Table1!$K$2:$K$571))</f>
        <v>1</v>
      </c>
    </row>
    <row r="34" spans="1:5">
      <c r="A34" s="5">
        <v>45902</v>
      </c>
      <c r="B34" cm="1">
        <f t="array" ref="B34">SUMPRODUCT((Task_Table1!$C$2:$C$571=$B$1)*(A34&gt;Task_Table1!$J$2:$J$571)*(A34&lt;Task_Table1!$K$2:$K$571))</f>
        <v>3</v>
      </c>
      <c r="C34" cm="1">
        <f t="array" ref="C34">SUMPRODUCT((Task_Table1!$C$2:$C$568=$C$1)*(A34&gt;Task_Table1!$J$2:$J$568)*(A34&lt;Task_Table1!$K$2:$K$568))</f>
        <v>1</v>
      </c>
      <c r="D34" cm="1">
        <f t="array" ref="D34">SUMPRODUCT((Task_Table1!$C$2:$C$571=$D$1)*(A34&gt;Task_Table1!$J$2:$J$571)*(A34&lt;Task_Table1!$K$2:$K$571))</f>
        <v>0</v>
      </c>
      <c r="E34" cm="1">
        <f t="array" ref="E34">SUMPRODUCT((Task_Table1!$C$2:$C$571=$E$1)*(A34&gt;Task_Table1!$J$2:$J$571)*(A34&lt;Task_Table1!$K$2:$K$571))</f>
        <v>1</v>
      </c>
    </row>
    <row r="35" spans="1:5">
      <c r="A35" s="5">
        <v>45903</v>
      </c>
      <c r="B35" cm="1">
        <f t="array" ref="B35">SUMPRODUCT((Task_Table1!$C$2:$C$571=$B$1)*(A35&gt;Task_Table1!$J$2:$J$571)*(A35&lt;Task_Table1!$K$2:$K$571))</f>
        <v>3</v>
      </c>
      <c r="C35" cm="1">
        <f t="array" ref="C35">SUMPRODUCT((Task_Table1!$C$2:$C$568=$C$1)*(A35&gt;Task_Table1!$J$2:$J$568)*(A35&lt;Task_Table1!$K$2:$K$568))</f>
        <v>1</v>
      </c>
      <c r="D35" cm="1">
        <f t="array" ref="D35">SUMPRODUCT((Task_Table1!$C$2:$C$571=$D$1)*(A35&gt;Task_Table1!$J$2:$J$571)*(A35&lt;Task_Table1!$K$2:$K$571))</f>
        <v>0</v>
      </c>
      <c r="E35" cm="1">
        <f t="array" ref="E35">SUMPRODUCT((Task_Table1!$C$2:$C$571=$E$1)*(A35&gt;Task_Table1!$J$2:$J$571)*(A35&lt;Task_Table1!$K$2:$K$571))</f>
        <v>1</v>
      </c>
    </row>
    <row r="36" spans="1:5">
      <c r="A36" s="5">
        <v>45904</v>
      </c>
      <c r="B36" cm="1">
        <f t="array" ref="B36">SUMPRODUCT((Task_Table1!$C$2:$C$571=$B$1)*(A36&gt;Task_Table1!$J$2:$J$571)*(A36&lt;Task_Table1!$K$2:$K$571))</f>
        <v>3</v>
      </c>
      <c r="C36" cm="1">
        <f t="array" ref="C36">SUMPRODUCT((Task_Table1!$C$2:$C$568=$C$1)*(A36&gt;Task_Table1!$J$2:$J$568)*(A36&lt;Task_Table1!$K$2:$K$568))</f>
        <v>1</v>
      </c>
      <c r="D36" cm="1">
        <f t="array" ref="D36">SUMPRODUCT((Task_Table1!$C$2:$C$571=$D$1)*(A36&gt;Task_Table1!$J$2:$J$571)*(A36&lt;Task_Table1!$K$2:$K$571))</f>
        <v>0</v>
      </c>
      <c r="E36" cm="1">
        <f t="array" ref="E36">SUMPRODUCT((Task_Table1!$C$2:$C$571=$E$1)*(A36&gt;Task_Table1!$J$2:$J$571)*(A36&lt;Task_Table1!$K$2:$K$571))</f>
        <v>1</v>
      </c>
    </row>
    <row r="37" spans="1:5">
      <c r="A37" s="5">
        <v>45905</v>
      </c>
      <c r="B37" cm="1">
        <f t="array" ref="B37">SUMPRODUCT((Task_Table1!$C$2:$C$571=$B$1)*(A37&gt;Task_Table1!$J$2:$J$571)*(A37&lt;Task_Table1!$K$2:$K$571))</f>
        <v>3</v>
      </c>
      <c r="C37" cm="1">
        <f t="array" ref="C37">SUMPRODUCT((Task_Table1!$C$2:$C$568=$C$1)*(A37&gt;Task_Table1!$J$2:$J$568)*(A37&lt;Task_Table1!$K$2:$K$568))</f>
        <v>1</v>
      </c>
      <c r="D37" cm="1">
        <f t="array" ref="D37">SUMPRODUCT((Task_Table1!$C$2:$C$571=$D$1)*(A37&gt;Task_Table1!$J$2:$J$571)*(A37&lt;Task_Table1!$K$2:$K$571))</f>
        <v>0</v>
      </c>
      <c r="E37" cm="1">
        <f t="array" ref="E37">SUMPRODUCT((Task_Table1!$C$2:$C$571=$E$1)*(A37&gt;Task_Table1!$J$2:$J$571)*(A37&lt;Task_Table1!$K$2:$K$571))</f>
        <v>1</v>
      </c>
    </row>
    <row r="38" spans="1:5">
      <c r="A38" s="5">
        <v>45906</v>
      </c>
      <c r="B38" cm="1">
        <f t="array" ref="B38">SUMPRODUCT((Task_Table1!$C$2:$C$571=$B$1)*(A38&gt;Task_Table1!$J$2:$J$571)*(A38&lt;Task_Table1!$K$2:$K$571))</f>
        <v>3</v>
      </c>
      <c r="C38" cm="1">
        <f t="array" ref="C38">SUMPRODUCT((Task_Table1!$C$2:$C$568=$C$1)*(A38&gt;Task_Table1!$J$2:$J$568)*(A38&lt;Task_Table1!$K$2:$K$568))</f>
        <v>1</v>
      </c>
      <c r="D38" cm="1">
        <f t="array" ref="D38">SUMPRODUCT((Task_Table1!$C$2:$C$571=$D$1)*(A38&gt;Task_Table1!$J$2:$J$571)*(A38&lt;Task_Table1!$K$2:$K$571))</f>
        <v>0</v>
      </c>
      <c r="E38" cm="1">
        <f t="array" ref="E38">SUMPRODUCT((Task_Table1!$C$2:$C$571=$E$1)*(A38&gt;Task_Table1!$J$2:$J$571)*(A38&lt;Task_Table1!$K$2:$K$571))</f>
        <v>1</v>
      </c>
    </row>
    <row r="39" spans="1:5">
      <c r="A39" s="5">
        <v>45907</v>
      </c>
      <c r="B39" cm="1">
        <f t="array" ref="B39">SUMPRODUCT((Task_Table1!$C$2:$C$571=$B$1)*(A39&gt;Task_Table1!$J$2:$J$571)*(A39&lt;Task_Table1!$K$2:$K$571))</f>
        <v>3</v>
      </c>
      <c r="C39" cm="1">
        <f t="array" ref="C39">SUMPRODUCT((Task_Table1!$C$2:$C$568=$C$1)*(A39&gt;Task_Table1!$J$2:$J$568)*(A39&lt;Task_Table1!$K$2:$K$568))</f>
        <v>1</v>
      </c>
      <c r="D39" cm="1">
        <f t="array" ref="D39">SUMPRODUCT((Task_Table1!$C$2:$C$571=$D$1)*(A39&gt;Task_Table1!$J$2:$J$571)*(A39&lt;Task_Table1!$K$2:$K$571))</f>
        <v>0</v>
      </c>
      <c r="E39" cm="1">
        <f t="array" ref="E39">SUMPRODUCT((Task_Table1!$C$2:$C$571=$E$1)*(A39&gt;Task_Table1!$J$2:$J$571)*(A39&lt;Task_Table1!$K$2:$K$571))</f>
        <v>1</v>
      </c>
    </row>
    <row r="40" spans="1:5">
      <c r="A40" s="5">
        <v>45908</v>
      </c>
      <c r="B40" cm="1">
        <f t="array" ref="B40">SUMPRODUCT((Task_Table1!$C$2:$C$571=$B$1)*(A40&gt;Task_Table1!$J$2:$J$571)*(A40&lt;Task_Table1!$K$2:$K$571))</f>
        <v>3</v>
      </c>
      <c r="C40" cm="1">
        <f t="array" ref="C40">SUMPRODUCT((Task_Table1!$C$2:$C$568=$C$1)*(A40&gt;Task_Table1!$J$2:$J$568)*(A40&lt;Task_Table1!$K$2:$K$568))</f>
        <v>1</v>
      </c>
      <c r="D40" cm="1">
        <f t="array" ref="D40">SUMPRODUCT((Task_Table1!$C$2:$C$571=$D$1)*(A40&gt;Task_Table1!$J$2:$J$571)*(A40&lt;Task_Table1!$K$2:$K$571))</f>
        <v>0</v>
      </c>
      <c r="E40" cm="1">
        <f t="array" ref="E40">SUMPRODUCT((Task_Table1!$C$2:$C$571=$E$1)*(A40&gt;Task_Table1!$J$2:$J$571)*(A40&lt;Task_Table1!$K$2:$K$571))</f>
        <v>1</v>
      </c>
    </row>
    <row r="41" spans="1:5">
      <c r="A41" s="5">
        <v>45909</v>
      </c>
      <c r="B41" cm="1">
        <f t="array" ref="B41">SUMPRODUCT((Task_Table1!$C$2:$C$571=$B$1)*(A41&gt;Task_Table1!$J$2:$J$571)*(A41&lt;Task_Table1!$K$2:$K$571))</f>
        <v>3</v>
      </c>
      <c r="C41" cm="1">
        <f t="array" ref="C41">SUMPRODUCT((Task_Table1!$C$2:$C$568=$C$1)*(A41&gt;Task_Table1!$J$2:$J$568)*(A41&lt;Task_Table1!$K$2:$K$568))</f>
        <v>1</v>
      </c>
      <c r="D41" cm="1">
        <f t="array" ref="D41">SUMPRODUCT((Task_Table1!$C$2:$C$571=$D$1)*(A41&gt;Task_Table1!$J$2:$J$571)*(A41&lt;Task_Table1!$K$2:$K$571))</f>
        <v>0</v>
      </c>
      <c r="E41" cm="1">
        <f t="array" ref="E41">SUMPRODUCT((Task_Table1!$C$2:$C$571=$E$1)*(A41&gt;Task_Table1!$J$2:$J$571)*(A41&lt;Task_Table1!$K$2:$K$571))</f>
        <v>1</v>
      </c>
    </row>
    <row r="42" spans="1:5">
      <c r="A42" s="5">
        <v>45910</v>
      </c>
      <c r="B42" cm="1">
        <f t="array" ref="B42">SUMPRODUCT((Task_Table1!$C$2:$C$571=$B$1)*(A42&gt;Task_Table1!$J$2:$J$571)*(A42&lt;Task_Table1!$K$2:$K$571))</f>
        <v>3</v>
      </c>
      <c r="C42" cm="1">
        <f t="array" ref="C42">SUMPRODUCT((Task_Table1!$C$2:$C$568=$C$1)*(A42&gt;Task_Table1!$J$2:$J$568)*(A42&lt;Task_Table1!$K$2:$K$568))</f>
        <v>1</v>
      </c>
      <c r="D42" cm="1">
        <f t="array" ref="D42">SUMPRODUCT((Task_Table1!$C$2:$C$571=$D$1)*(A42&gt;Task_Table1!$J$2:$J$571)*(A42&lt;Task_Table1!$K$2:$K$571))</f>
        <v>0</v>
      </c>
      <c r="E42" cm="1">
        <f t="array" ref="E42">SUMPRODUCT((Task_Table1!$C$2:$C$571=$E$1)*(A42&gt;Task_Table1!$J$2:$J$571)*(A42&lt;Task_Table1!$K$2:$K$571))</f>
        <v>1</v>
      </c>
    </row>
    <row r="43" spans="1:5">
      <c r="A43" s="5">
        <v>45911</v>
      </c>
      <c r="B43" cm="1">
        <f t="array" ref="B43">SUMPRODUCT((Task_Table1!$C$2:$C$571=$B$1)*(A43&gt;Task_Table1!$J$2:$J$571)*(A43&lt;Task_Table1!$K$2:$K$571))</f>
        <v>3</v>
      </c>
      <c r="C43" cm="1">
        <f t="array" ref="C43">SUMPRODUCT((Task_Table1!$C$2:$C$568=$C$1)*(A43&gt;Task_Table1!$J$2:$J$568)*(A43&lt;Task_Table1!$K$2:$K$568))</f>
        <v>1</v>
      </c>
      <c r="D43" cm="1">
        <f t="array" ref="D43">SUMPRODUCT((Task_Table1!$C$2:$C$571=$D$1)*(A43&gt;Task_Table1!$J$2:$J$571)*(A43&lt;Task_Table1!$K$2:$K$571))</f>
        <v>0</v>
      </c>
      <c r="E43" cm="1">
        <f t="array" ref="E43">SUMPRODUCT((Task_Table1!$C$2:$C$571=$E$1)*(A43&gt;Task_Table1!$J$2:$J$571)*(A43&lt;Task_Table1!$K$2:$K$571))</f>
        <v>1</v>
      </c>
    </row>
    <row r="44" spans="1:5">
      <c r="A44" s="5">
        <v>45912</v>
      </c>
      <c r="B44" cm="1">
        <f t="array" ref="B44">SUMPRODUCT((Task_Table1!$C$2:$C$571=$B$1)*(A44&gt;Task_Table1!$J$2:$J$571)*(A44&lt;Task_Table1!$K$2:$K$571))</f>
        <v>3</v>
      </c>
      <c r="C44" cm="1">
        <f t="array" ref="C44">SUMPRODUCT((Task_Table1!$C$2:$C$568=$C$1)*(A44&gt;Task_Table1!$J$2:$J$568)*(A44&lt;Task_Table1!$K$2:$K$568))</f>
        <v>1</v>
      </c>
      <c r="D44" cm="1">
        <f t="array" ref="D44">SUMPRODUCT((Task_Table1!$C$2:$C$571=$D$1)*(A44&gt;Task_Table1!$J$2:$J$571)*(A44&lt;Task_Table1!$K$2:$K$571))</f>
        <v>0</v>
      </c>
      <c r="E44" cm="1">
        <f t="array" ref="E44">SUMPRODUCT((Task_Table1!$C$2:$C$571=$E$1)*(A44&gt;Task_Table1!$J$2:$J$571)*(A44&lt;Task_Table1!$K$2:$K$571))</f>
        <v>1</v>
      </c>
    </row>
    <row r="45" spans="1:5">
      <c r="A45" s="5">
        <v>45913</v>
      </c>
      <c r="B45" cm="1">
        <f t="array" ref="B45">SUMPRODUCT((Task_Table1!$C$2:$C$571=$B$1)*(A45&gt;Task_Table1!$J$2:$J$571)*(A45&lt;Task_Table1!$K$2:$K$571))</f>
        <v>3</v>
      </c>
      <c r="C45" cm="1">
        <f t="array" ref="C45">SUMPRODUCT((Task_Table1!$C$2:$C$568=$C$1)*(A45&gt;Task_Table1!$J$2:$J$568)*(A45&lt;Task_Table1!$K$2:$K$568))</f>
        <v>1</v>
      </c>
      <c r="D45" cm="1">
        <f t="array" ref="D45">SUMPRODUCT((Task_Table1!$C$2:$C$571=$D$1)*(A45&gt;Task_Table1!$J$2:$J$571)*(A45&lt;Task_Table1!$K$2:$K$571))</f>
        <v>0</v>
      </c>
      <c r="E45" cm="1">
        <f t="array" ref="E45">SUMPRODUCT((Task_Table1!$C$2:$C$571=$E$1)*(A45&gt;Task_Table1!$J$2:$J$571)*(A45&lt;Task_Table1!$K$2:$K$571))</f>
        <v>1</v>
      </c>
    </row>
    <row r="46" spans="1:5">
      <c r="A46" s="5">
        <v>45914</v>
      </c>
      <c r="B46" cm="1">
        <f t="array" ref="B46">SUMPRODUCT((Task_Table1!$C$2:$C$571=$B$1)*(A46&gt;Task_Table1!$J$2:$J$571)*(A46&lt;Task_Table1!$K$2:$K$571))</f>
        <v>3</v>
      </c>
      <c r="C46" cm="1">
        <f t="array" ref="C46">SUMPRODUCT((Task_Table1!$C$2:$C$568=$C$1)*(A46&gt;Task_Table1!$J$2:$J$568)*(A46&lt;Task_Table1!$K$2:$K$568))</f>
        <v>1</v>
      </c>
      <c r="D46" cm="1">
        <f t="array" ref="D46">SUMPRODUCT((Task_Table1!$C$2:$C$571=$D$1)*(A46&gt;Task_Table1!$J$2:$J$571)*(A46&lt;Task_Table1!$K$2:$K$571))</f>
        <v>0</v>
      </c>
      <c r="E46" cm="1">
        <f t="array" ref="E46">SUMPRODUCT((Task_Table1!$C$2:$C$571=$E$1)*(A46&gt;Task_Table1!$J$2:$J$571)*(A46&lt;Task_Table1!$K$2:$K$571))</f>
        <v>1</v>
      </c>
    </row>
    <row r="47" spans="1:5">
      <c r="A47" s="5">
        <v>45915</v>
      </c>
      <c r="B47" cm="1">
        <f t="array" ref="B47">SUMPRODUCT((Task_Table1!$C$2:$C$571=$B$1)*(A47&gt;Task_Table1!$J$2:$J$571)*(A47&lt;Task_Table1!$K$2:$K$571))</f>
        <v>3</v>
      </c>
      <c r="C47" cm="1">
        <f t="array" ref="C47">SUMPRODUCT((Task_Table1!$C$2:$C$568=$C$1)*(A47&gt;Task_Table1!$J$2:$J$568)*(A47&lt;Task_Table1!$K$2:$K$568))</f>
        <v>1</v>
      </c>
      <c r="D47" cm="1">
        <f t="array" ref="D47">SUMPRODUCT((Task_Table1!$C$2:$C$571=$D$1)*(A47&gt;Task_Table1!$J$2:$J$571)*(A47&lt;Task_Table1!$K$2:$K$571))</f>
        <v>0</v>
      </c>
      <c r="E47" cm="1">
        <f t="array" ref="E47">SUMPRODUCT((Task_Table1!$C$2:$C$571=$E$1)*(A47&gt;Task_Table1!$J$2:$J$571)*(A47&lt;Task_Table1!$K$2:$K$571))</f>
        <v>1</v>
      </c>
    </row>
    <row r="48" spans="1:5">
      <c r="A48" s="5">
        <v>45916</v>
      </c>
      <c r="B48" cm="1">
        <f t="array" ref="B48">SUMPRODUCT((Task_Table1!$C$2:$C$571=$B$1)*(A48&gt;Task_Table1!$J$2:$J$571)*(A48&lt;Task_Table1!$K$2:$K$571))</f>
        <v>3</v>
      </c>
      <c r="C48" cm="1">
        <f t="array" ref="C48">SUMPRODUCT((Task_Table1!$C$2:$C$568=$C$1)*(A48&gt;Task_Table1!$J$2:$J$568)*(A48&lt;Task_Table1!$K$2:$K$568))</f>
        <v>1</v>
      </c>
      <c r="D48" cm="1">
        <f t="array" ref="D48">SUMPRODUCT((Task_Table1!$C$2:$C$571=$D$1)*(A48&gt;Task_Table1!$J$2:$J$571)*(A48&lt;Task_Table1!$K$2:$K$571))</f>
        <v>0</v>
      </c>
      <c r="E48" cm="1">
        <f t="array" ref="E48">SUMPRODUCT((Task_Table1!$C$2:$C$571=$E$1)*(A48&gt;Task_Table1!$J$2:$J$571)*(A48&lt;Task_Table1!$K$2:$K$571))</f>
        <v>1</v>
      </c>
    </row>
    <row r="49" spans="1:5">
      <c r="A49" s="5">
        <v>45917</v>
      </c>
      <c r="B49" cm="1">
        <f t="array" ref="B49">SUMPRODUCT((Task_Table1!$C$2:$C$571=$B$1)*(A49&gt;Task_Table1!$J$2:$J$571)*(A49&lt;Task_Table1!$K$2:$K$571))</f>
        <v>3</v>
      </c>
      <c r="C49" cm="1">
        <f t="array" ref="C49">SUMPRODUCT((Task_Table1!$C$2:$C$568=$C$1)*(A49&gt;Task_Table1!$J$2:$J$568)*(A49&lt;Task_Table1!$K$2:$K$568))</f>
        <v>1</v>
      </c>
      <c r="D49" cm="1">
        <f t="array" ref="D49">SUMPRODUCT((Task_Table1!$C$2:$C$571=$D$1)*(A49&gt;Task_Table1!$J$2:$J$571)*(A49&lt;Task_Table1!$K$2:$K$571))</f>
        <v>0</v>
      </c>
      <c r="E49" cm="1">
        <f t="array" ref="E49">SUMPRODUCT((Task_Table1!$C$2:$C$571=$E$1)*(A49&gt;Task_Table1!$J$2:$J$571)*(A49&lt;Task_Table1!$K$2:$K$571))</f>
        <v>1</v>
      </c>
    </row>
    <row r="50" spans="1:5">
      <c r="A50" s="5">
        <v>45918</v>
      </c>
      <c r="B50" cm="1">
        <f t="array" ref="B50">SUMPRODUCT((Task_Table1!$C$2:$C$571=$B$1)*(A50&gt;Task_Table1!$J$2:$J$571)*(A50&lt;Task_Table1!$K$2:$K$571))</f>
        <v>3</v>
      </c>
      <c r="C50" cm="1">
        <f t="array" ref="C50">SUMPRODUCT((Task_Table1!$C$2:$C$568=$C$1)*(A50&gt;Task_Table1!$J$2:$J$568)*(A50&lt;Task_Table1!$K$2:$K$568))</f>
        <v>1</v>
      </c>
      <c r="D50" cm="1">
        <f t="array" ref="D50">SUMPRODUCT((Task_Table1!$C$2:$C$571=$D$1)*(A50&gt;Task_Table1!$J$2:$J$571)*(A50&lt;Task_Table1!$K$2:$K$571))</f>
        <v>0</v>
      </c>
      <c r="E50" cm="1">
        <f t="array" ref="E50">SUMPRODUCT((Task_Table1!$C$2:$C$571=$E$1)*(A50&gt;Task_Table1!$J$2:$J$571)*(A50&lt;Task_Table1!$K$2:$K$571))</f>
        <v>1</v>
      </c>
    </row>
    <row r="51" spans="1:5">
      <c r="A51" s="5">
        <v>45919</v>
      </c>
      <c r="B51" cm="1">
        <f t="array" ref="B51">SUMPRODUCT((Task_Table1!$C$2:$C$571=$B$1)*(A51&gt;Task_Table1!$J$2:$J$571)*(A51&lt;Task_Table1!$K$2:$K$571))</f>
        <v>3</v>
      </c>
      <c r="C51" cm="1">
        <f t="array" ref="C51">SUMPRODUCT((Task_Table1!$C$2:$C$568=$C$1)*(A51&gt;Task_Table1!$J$2:$J$568)*(A51&lt;Task_Table1!$K$2:$K$568))</f>
        <v>1</v>
      </c>
      <c r="D51" cm="1">
        <f t="array" ref="D51">SUMPRODUCT((Task_Table1!$C$2:$C$571=$D$1)*(A51&gt;Task_Table1!$J$2:$J$571)*(A51&lt;Task_Table1!$K$2:$K$571))</f>
        <v>0</v>
      </c>
      <c r="E51" cm="1">
        <f t="array" ref="E51">SUMPRODUCT((Task_Table1!$C$2:$C$571=$E$1)*(A51&gt;Task_Table1!$J$2:$J$571)*(A51&lt;Task_Table1!$K$2:$K$571))</f>
        <v>1</v>
      </c>
    </row>
    <row r="52" spans="1:5">
      <c r="A52" s="5">
        <v>45920</v>
      </c>
      <c r="B52" cm="1">
        <f t="array" ref="B52">SUMPRODUCT((Task_Table1!$C$2:$C$571=$B$1)*(A52&gt;Task_Table1!$J$2:$J$571)*(A52&lt;Task_Table1!$K$2:$K$571))</f>
        <v>3</v>
      </c>
      <c r="C52" cm="1">
        <f t="array" ref="C52">SUMPRODUCT((Task_Table1!$C$2:$C$568=$C$1)*(A52&gt;Task_Table1!$J$2:$J$568)*(A52&lt;Task_Table1!$K$2:$K$568))</f>
        <v>1</v>
      </c>
      <c r="D52" cm="1">
        <f t="array" ref="D52">SUMPRODUCT((Task_Table1!$C$2:$C$571=$D$1)*(A52&gt;Task_Table1!$J$2:$J$571)*(A52&lt;Task_Table1!$K$2:$K$571))</f>
        <v>0</v>
      </c>
      <c r="E52" cm="1">
        <f t="array" ref="E52">SUMPRODUCT((Task_Table1!$C$2:$C$571=$E$1)*(A52&gt;Task_Table1!$J$2:$J$571)*(A52&lt;Task_Table1!$K$2:$K$571))</f>
        <v>1</v>
      </c>
    </row>
    <row r="53" spans="1:5">
      <c r="A53" s="5">
        <v>45921</v>
      </c>
      <c r="B53" cm="1">
        <f t="array" ref="B53">SUMPRODUCT((Task_Table1!$C$2:$C$571=$B$1)*(A53&gt;Task_Table1!$J$2:$J$571)*(A53&lt;Task_Table1!$K$2:$K$571))</f>
        <v>3</v>
      </c>
      <c r="C53" cm="1">
        <f t="array" ref="C53">SUMPRODUCT((Task_Table1!$C$2:$C$568=$C$1)*(A53&gt;Task_Table1!$J$2:$J$568)*(A53&lt;Task_Table1!$K$2:$K$568))</f>
        <v>1</v>
      </c>
      <c r="D53" cm="1">
        <f t="array" ref="D53">SUMPRODUCT((Task_Table1!$C$2:$C$571=$D$1)*(A53&gt;Task_Table1!$J$2:$J$571)*(A53&lt;Task_Table1!$K$2:$K$571))</f>
        <v>0</v>
      </c>
      <c r="E53" cm="1">
        <f t="array" ref="E53">SUMPRODUCT((Task_Table1!$C$2:$C$571=$E$1)*(A53&gt;Task_Table1!$J$2:$J$571)*(A53&lt;Task_Table1!$K$2:$K$571))</f>
        <v>1</v>
      </c>
    </row>
    <row r="54" spans="1:5">
      <c r="A54" s="5">
        <v>45922</v>
      </c>
      <c r="B54" cm="1">
        <f t="array" ref="B54">SUMPRODUCT((Task_Table1!$C$2:$C$571=$B$1)*(A54&gt;Task_Table1!$J$2:$J$571)*(A54&lt;Task_Table1!$K$2:$K$571))</f>
        <v>3</v>
      </c>
      <c r="C54" cm="1">
        <f t="array" ref="C54">SUMPRODUCT((Task_Table1!$C$2:$C$568=$C$1)*(A54&gt;Task_Table1!$J$2:$J$568)*(A54&lt;Task_Table1!$K$2:$K$568))</f>
        <v>1</v>
      </c>
      <c r="D54" cm="1">
        <f t="array" ref="D54">SUMPRODUCT((Task_Table1!$C$2:$C$571=$D$1)*(A54&gt;Task_Table1!$J$2:$J$571)*(A54&lt;Task_Table1!$K$2:$K$571))</f>
        <v>0</v>
      </c>
      <c r="E54" cm="1">
        <f t="array" ref="E54">SUMPRODUCT((Task_Table1!$C$2:$C$571=$E$1)*(A54&gt;Task_Table1!$J$2:$J$571)*(A54&lt;Task_Table1!$K$2:$K$571))</f>
        <v>1</v>
      </c>
    </row>
    <row r="55" spans="1:5">
      <c r="A55" s="5">
        <v>45923</v>
      </c>
      <c r="B55" cm="1">
        <f t="array" ref="B55">SUMPRODUCT((Task_Table1!$C$2:$C$571=$B$1)*(A55&gt;Task_Table1!$J$2:$J$571)*(A55&lt;Task_Table1!$K$2:$K$571))</f>
        <v>3</v>
      </c>
      <c r="C55" cm="1">
        <f t="array" ref="C55">SUMPRODUCT((Task_Table1!$C$2:$C$568=$C$1)*(A55&gt;Task_Table1!$J$2:$J$568)*(A55&lt;Task_Table1!$K$2:$K$568))</f>
        <v>1</v>
      </c>
      <c r="D55" cm="1">
        <f t="array" ref="D55">SUMPRODUCT((Task_Table1!$C$2:$C$571=$D$1)*(A55&gt;Task_Table1!$J$2:$J$571)*(A55&lt;Task_Table1!$K$2:$K$571))</f>
        <v>0</v>
      </c>
      <c r="E55" cm="1">
        <f t="array" ref="E55">SUMPRODUCT((Task_Table1!$C$2:$C$571=$E$1)*(A55&gt;Task_Table1!$J$2:$J$571)*(A55&lt;Task_Table1!$K$2:$K$571))</f>
        <v>1</v>
      </c>
    </row>
    <row r="56" spans="1:5">
      <c r="A56" s="5">
        <v>45924</v>
      </c>
      <c r="B56" cm="1">
        <f t="array" ref="B56">SUMPRODUCT((Task_Table1!$C$2:$C$571=$B$1)*(A56&gt;Task_Table1!$J$2:$J$571)*(A56&lt;Task_Table1!$K$2:$K$571))</f>
        <v>3</v>
      </c>
      <c r="C56" cm="1">
        <f t="array" ref="C56">SUMPRODUCT((Task_Table1!$C$2:$C$568=$C$1)*(A56&gt;Task_Table1!$J$2:$J$568)*(A56&lt;Task_Table1!$K$2:$K$568))</f>
        <v>1</v>
      </c>
      <c r="D56" cm="1">
        <f t="array" ref="D56">SUMPRODUCT((Task_Table1!$C$2:$C$571=$D$1)*(A56&gt;Task_Table1!$J$2:$J$571)*(A56&lt;Task_Table1!$K$2:$K$571))</f>
        <v>0</v>
      </c>
      <c r="E56" cm="1">
        <f t="array" ref="E56">SUMPRODUCT((Task_Table1!$C$2:$C$571=$E$1)*(A56&gt;Task_Table1!$J$2:$J$571)*(A56&lt;Task_Table1!$K$2:$K$571))</f>
        <v>1</v>
      </c>
    </row>
    <row r="57" spans="1:5">
      <c r="A57" s="5">
        <v>45925</v>
      </c>
      <c r="B57" cm="1">
        <f t="array" ref="B57">SUMPRODUCT((Task_Table1!$C$2:$C$571=$B$1)*(A57&gt;Task_Table1!$J$2:$J$571)*(A57&lt;Task_Table1!$K$2:$K$571))</f>
        <v>3</v>
      </c>
      <c r="C57" cm="1">
        <f t="array" ref="C57">SUMPRODUCT((Task_Table1!$C$2:$C$568=$C$1)*(A57&gt;Task_Table1!$J$2:$J$568)*(A57&lt;Task_Table1!$K$2:$K$568))</f>
        <v>1</v>
      </c>
      <c r="D57" cm="1">
        <f t="array" ref="D57">SUMPRODUCT((Task_Table1!$C$2:$C$571=$D$1)*(A57&gt;Task_Table1!$J$2:$J$571)*(A57&lt;Task_Table1!$K$2:$K$571))</f>
        <v>0</v>
      </c>
      <c r="E57" cm="1">
        <f t="array" ref="E57">SUMPRODUCT((Task_Table1!$C$2:$C$571=$E$1)*(A57&gt;Task_Table1!$J$2:$J$571)*(A57&lt;Task_Table1!$K$2:$K$571))</f>
        <v>1</v>
      </c>
    </row>
    <row r="58" spans="1:5">
      <c r="A58" s="5">
        <v>45926</v>
      </c>
      <c r="B58" cm="1">
        <f t="array" ref="B58">SUMPRODUCT((Task_Table1!$C$2:$C$571=$B$1)*(A58&gt;Task_Table1!$J$2:$J$571)*(A58&lt;Task_Table1!$K$2:$K$571))</f>
        <v>3</v>
      </c>
      <c r="C58" cm="1">
        <f t="array" ref="C58">SUMPRODUCT((Task_Table1!$C$2:$C$568=$C$1)*(A58&gt;Task_Table1!$J$2:$J$568)*(A58&lt;Task_Table1!$K$2:$K$568))</f>
        <v>1</v>
      </c>
      <c r="D58" cm="1">
        <f t="array" ref="D58">SUMPRODUCT((Task_Table1!$C$2:$C$571=$D$1)*(A58&gt;Task_Table1!$J$2:$J$571)*(A58&lt;Task_Table1!$K$2:$K$571))</f>
        <v>0</v>
      </c>
      <c r="E58" cm="1">
        <f t="array" ref="E58">SUMPRODUCT((Task_Table1!$C$2:$C$571=$E$1)*(A58&gt;Task_Table1!$J$2:$J$571)*(A58&lt;Task_Table1!$K$2:$K$571))</f>
        <v>1</v>
      </c>
    </row>
    <row r="59" spans="1:5">
      <c r="A59" s="5">
        <v>45927</v>
      </c>
      <c r="B59" cm="1">
        <f t="array" ref="B59">SUMPRODUCT((Task_Table1!$C$2:$C$571=$B$1)*(A59&gt;Task_Table1!$J$2:$J$571)*(A59&lt;Task_Table1!$K$2:$K$571))</f>
        <v>3</v>
      </c>
      <c r="C59" cm="1">
        <f t="array" ref="C59">SUMPRODUCT((Task_Table1!$C$2:$C$568=$C$1)*(A59&gt;Task_Table1!$J$2:$J$568)*(A59&lt;Task_Table1!$K$2:$K$568))</f>
        <v>1</v>
      </c>
      <c r="D59" cm="1">
        <f t="array" ref="D59">SUMPRODUCT((Task_Table1!$C$2:$C$571=$D$1)*(A59&gt;Task_Table1!$J$2:$J$571)*(A59&lt;Task_Table1!$K$2:$K$571))</f>
        <v>0</v>
      </c>
      <c r="E59" cm="1">
        <f t="array" ref="E59">SUMPRODUCT((Task_Table1!$C$2:$C$571=$E$1)*(A59&gt;Task_Table1!$J$2:$J$571)*(A59&lt;Task_Table1!$K$2:$K$571))</f>
        <v>1</v>
      </c>
    </row>
    <row r="60" spans="1:5">
      <c r="A60" s="5">
        <v>45928</v>
      </c>
      <c r="B60" cm="1">
        <f t="array" ref="B60">SUMPRODUCT((Task_Table1!$C$2:$C$571=$B$1)*(A60&gt;Task_Table1!$J$2:$J$571)*(A60&lt;Task_Table1!$K$2:$K$571))</f>
        <v>3</v>
      </c>
      <c r="C60" cm="1">
        <f t="array" ref="C60">SUMPRODUCT((Task_Table1!$C$2:$C$568=$C$1)*(A60&gt;Task_Table1!$J$2:$J$568)*(A60&lt;Task_Table1!$K$2:$K$568))</f>
        <v>1</v>
      </c>
      <c r="D60" cm="1">
        <f t="array" ref="D60">SUMPRODUCT((Task_Table1!$C$2:$C$571=$D$1)*(A60&gt;Task_Table1!$J$2:$J$571)*(A60&lt;Task_Table1!$K$2:$K$571))</f>
        <v>0</v>
      </c>
      <c r="E60" cm="1">
        <f t="array" ref="E60">SUMPRODUCT((Task_Table1!$C$2:$C$571=$E$1)*(A60&gt;Task_Table1!$J$2:$J$571)*(A60&lt;Task_Table1!$K$2:$K$571))</f>
        <v>1</v>
      </c>
    </row>
    <row r="61" spans="1:5">
      <c r="A61" s="5">
        <v>45929</v>
      </c>
      <c r="B61" cm="1">
        <f t="array" ref="B61">SUMPRODUCT((Task_Table1!$C$2:$C$571=$B$1)*(A61&gt;Task_Table1!$J$2:$J$571)*(A61&lt;Task_Table1!$K$2:$K$571))</f>
        <v>3</v>
      </c>
      <c r="C61" cm="1">
        <f t="array" ref="C61">SUMPRODUCT((Task_Table1!$C$2:$C$568=$C$1)*(A61&gt;Task_Table1!$J$2:$J$568)*(A61&lt;Task_Table1!$K$2:$K$568))</f>
        <v>1</v>
      </c>
      <c r="D61" cm="1">
        <f t="array" ref="D61">SUMPRODUCT((Task_Table1!$C$2:$C$571=$D$1)*(A61&gt;Task_Table1!$J$2:$J$571)*(A61&lt;Task_Table1!$K$2:$K$571))</f>
        <v>0</v>
      </c>
      <c r="E61" cm="1">
        <f t="array" ref="E61">SUMPRODUCT((Task_Table1!$C$2:$C$571=$E$1)*(A61&gt;Task_Table1!$J$2:$J$571)*(A61&lt;Task_Table1!$K$2:$K$571))</f>
        <v>1</v>
      </c>
    </row>
    <row r="62" spans="1:5">
      <c r="A62" s="5">
        <v>45930</v>
      </c>
      <c r="B62" cm="1">
        <f t="array" ref="B62">SUMPRODUCT((Task_Table1!$C$2:$C$571=$B$1)*(A62&gt;Task_Table1!$J$2:$J$571)*(A62&lt;Task_Table1!$K$2:$K$571))</f>
        <v>2</v>
      </c>
      <c r="C62" cm="1">
        <f t="array" ref="C62">SUMPRODUCT((Task_Table1!$C$2:$C$568=$C$1)*(A62&gt;Task_Table1!$J$2:$J$568)*(A62&lt;Task_Table1!$K$2:$K$568))</f>
        <v>1</v>
      </c>
      <c r="D62" cm="1">
        <f t="array" ref="D62">SUMPRODUCT((Task_Table1!$C$2:$C$571=$D$1)*(A62&gt;Task_Table1!$J$2:$J$571)*(A62&lt;Task_Table1!$K$2:$K$571))</f>
        <v>0</v>
      </c>
      <c r="E62" cm="1">
        <f t="array" ref="E62">SUMPRODUCT((Task_Table1!$C$2:$C$571=$E$1)*(A62&gt;Task_Table1!$J$2:$J$571)*(A62&lt;Task_Table1!$K$2:$K$571))</f>
        <v>1</v>
      </c>
    </row>
    <row r="63" spans="1:5">
      <c r="A63" s="5">
        <v>45931</v>
      </c>
      <c r="B63" cm="1">
        <f t="array" ref="B63">SUMPRODUCT((Task_Table1!$C$2:$C$571=$B$1)*(A63&gt;Task_Table1!$J$2:$J$571)*(A63&lt;Task_Table1!$K$2:$K$571))</f>
        <v>2</v>
      </c>
      <c r="C63" cm="1">
        <f t="array" ref="C63">SUMPRODUCT((Task_Table1!$C$2:$C$568=$C$1)*(A63&gt;Task_Table1!$J$2:$J$568)*(A63&lt;Task_Table1!$K$2:$K$568))</f>
        <v>1</v>
      </c>
      <c r="D63" cm="1">
        <f t="array" ref="D63">SUMPRODUCT((Task_Table1!$C$2:$C$571=$D$1)*(A63&gt;Task_Table1!$J$2:$J$571)*(A63&lt;Task_Table1!$K$2:$K$571))</f>
        <v>0</v>
      </c>
      <c r="E63" cm="1">
        <f t="array" ref="E63">SUMPRODUCT((Task_Table1!$C$2:$C$571=$E$1)*(A63&gt;Task_Table1!$J$2:$J$571)*(A63&lt;Task_Table1!$K$2:$K$571))</f>
        <v>1</v>
      </c>
    </row>
    <row r="64" spans="1:5">
      <c r="A64" s="5">
        <v>45932</v>
      </c>
      <c r="B64" cm="1">
        <f t="array" ref="B64">SUMPRODUCT((Task_Table1!$C$2:$C$571=$B$1)*(A64&gt;Task_Table1!$J$2:$J$571)*(A64&lt;Task_Table1!$K$2:$K$571))</f>
        <v>4</v>
      </c>
      <c r="C64" cm="1">
        <f t="array" ref="C64">SUMPRODUCT((Task_Table1!$C$2:$C$568=$C$1)*(A64&gt;Task_Table1!$J$2:$J$568)*(A64&lt;Task_Table1!$K$2:$K$568))</f>
        <v>1</v>
      </c>
      <c r="D64" cm="1">
        <f t="array" ref="D64">SUMPRODUCT((Task_Table1!$C$2:$C$571=$D$1)*(A64&gt;Task_Table1!$J$2:$J$571)*(A64&lt;Task_Table1!$K$2:$K$571))</f>
        <v>0</v>
      </c>
      <c r="E64" cm="1">
        <f t="array" ref="E64">SUMPRODUCT((Task_Table1!$C$2:$C$571=$E$1)*(A64&gt;Task_Table1!$J$2:$J$571)*(A64&lt;Task_Table1!$K$2:$K$571))</f>
        <v>1</v>
      </c>
    </row>
    <row r="65" spans="1:5">
      <c r="A65" s="5">
        <v>45933</v>
      </c>
      <c r="B65" cm="1">
        <f t="array" ref="B65">SUMPRODUCT((Task_Table1!$C$2:$C$571=$B$1)*(A65&gt;Task_Table1!$J$2:$J$571)*(A65&lt;Task_Table1!$K$2:$K$571))</f>
        <v>4</v>
      </c>
      <c r="C65" cm="1">
        <f t="array" ref="C65">SUMPRODUCT((Task_Table1!$C$2:$C$568=$C$1)*(A65&gt;Task_Table1!$J$2:$J$568)*(A65&lt;Task_Table1!$K$2:$K$568))</f>
        <v>1</v>
      </c>
      <c r="D65" cm="1">
        <f t="array" ref="D65">SUMPRODUCT((Task_Table1!$C$2:$C$571=$D$1)*(A65&gt;Task_Table1!$J$2:$J$571)*(A65&lt;Task_Table1!$K$2:$K$571))</f>
        <v>0</v>
      </c>
      <c r="E65" cm="1">
        <f t="array" ref="E65">SUMPRODUCT((Task_Table1!$C$2:$C$571=$E$1)*(A65&gt;Task_Table1!$J$2:$J$571)*(A65&lt;Task_Table1!$K$2:$K$571))</f>
        <v>1</v>
      </c>
    </row>
    <row r="66" spans="1:5">
      <c r="A66" s="5">
        <v>45934</v>
      </c>
      <c r="B66" cm="1">
        <f t="array" ref="B66">SUMPRODUCT((Task_Table1!$C$2:$C$571=$B$1)*(A66&gt;Task_Table1!$J$2:$J$571)*(A66&lt;Task_Table1!$K$2:$K$571))</f>
        <v>4</v>
      </c>
      <c r="C66" cm="1">
        <f t="array" ref="C66">SUMPRODUCT((Task_Table1!$C$2:$C$568=$C$1)*(A66&gt;Task_Table1!$J$2:$J$568)*(A66&lt;Task_Table1!$K$2:$K$568))</f>
        <v>1</v>
      </c>
      <c r="D66" cm="1">
        <f t="array" ref="D66">SUMPRODUCT((Task_Table1!$C$2:$C$571=$D$1)*(A66&gt;Task_Table1!$J$2:$J$571)*(A66&lt;Task_Table1!$K$2:$K$571))</f>
        <v>0</v>
      </c>
      <c r="E66" cm="1">
        <f t="array" ref="E66">SUMPRODUCT((Task_Table1!$C$2:$C$571=$E$1)*(A66&gt;Task_Table1!$J$2:$J$571)*(A66&lt;Task_Table1!$K$2:$K$571))</f>
        <v>1</v>
      </c>
    </row>
    <row r="67" spans="1:5">
      <c r="A67" s="5">
        <v>45935</v>
      </c>
      <c r="B67" cm="1">
        <f t="array" ref="B67">SUMPRODUCT((Task_Table1!$C$2:$C$571=$B$1)*(A67&gt;Task_Table1!$J$2:$J$571)*(A67&lt;Task_Table1!$K$2:$K$571))</f>
        <v>4</v>
      </c>
      <c r="C67" cm="1">
        <f t="array" ref="C67">SUMPRODUCT((Task_Table1!$C$2:$C$568=$C$1)*(A67&gt;Task_Table1!$J$2:$J$568)*(A67&lt;Task_Table1!$K$2:$K$568))</f>
        <v>1</v>
      </c>
      <c r="D67" cm="1">
        <f t="array" ref="D67">SUMPRODUCT((Task_Table1!$C$2:$C$571=$D$1)*(A67&gt;Task_Table1!$J$2:$J$571)*(A67&lt;Task_Table1!$K$2:$K$571))</f>
        <v>0</v>
      </c>
      <c r="E67" cm="1">
        <f t="array" ref="E67">SUMPRODUCT((Task_Table1!$C$2:$C$571=$E$1)*(A67&gt;Task_Table1!$J$2:$J$571)*(A67&lt;Task_Table1!$K$2:$K$571))</f>
        <v>1</v>
      </c>
    </row>
    <row r="68" spans="1:5">
      <c r="A68" s="5">
        <v>45936</v>
      </c>
      <c r="B68" cm="1">
        <f t="array" ref="B68">SUMPRODUCT((Task_Table1!$C$2:$C$571=$B$1)*(A68&gt;Task_Table1!$J$2:$J$571)*(A68&lt;Task_Table1!$K$2:$K$571))</f>
        <v>4</v>
      </c>
      <c r="C68" cm="1">
        <f t="array" ref="C68">SUMPRODUCT((Task_Table1!$C$2:$C$568=$C$1)*(A68&gt;Task_Table1!$J$2:$J$568)*(A68&lt;Task_Table1!$K$2:$K$568))</f>
        <v>1</v>
      </c>
      <c r="D68" cm="1">
        <f t="array" ref="D68">SUMPRODUCT((Task_Table1!$C$2:$C$571=$D$1)*(A68&gt;Task_Table1!$J$2:$J$571)*(A68&lt;Task_Table1!$K$2:$K$571))</f>
        <v>0</v>
      </c>
      <c r="E68" cm="1">
        <f t="array" ref="E68">SUMPRODUCT((Task_Table1!$C$2:$C$571=$E$1)*(A68&gt;Task_Table1!$J$2:$J$571)*(A68&lt;Task_Table1!$K$2:$K$571))</f>
        <v>1</v>
      </c>
    </row>
    <row r="69" spans="1:5">
      <c r="A69" s="5">
        <v>45937</v>
      </c>
      <c r="B69" cm="1">
        <f t="array" ref="B69">SUMPRODUCT((Task_Table1!$C$2:$C$571=$B$1)*(A69&gt;Task_Table1!$J$2:$J$571)*(A69&lt;Task_Table1!$K$2:$K$571))</f>
        <v>4</v>
      </c>
      <c r="C69" cm="1">
        <f t="array" ref="C69">SUMPRODUCT((Task_Table1!$C$2:$C$568=$C$1)*(A69&gt;Task_Table1!$J$2:$J$568)*(A69&lt;Task_Table1!$K$2:$K$568))</f>
        <v>1</v>
      </c>
      <c r="D69" cm="1">
        <f t="array" ref="D69">SUMPRODUCT((Task_Table1!$C$2:$C$571=$D$1)*(A69&gt;Task_Table1!$J$2:$J$571)*(A69&lt;Task_Table1!$K$2:$K$571))</f>
        <v>0</v>
      </c>
      <c r="E69" cm="1">
        <f t="array" ref="E69">SUMPRODUCT((Task_Table1!$C$2:$C$571=$E$1)*(A69&gt;Task_Table1!$J$2:$J$571)*(A69&lt;Task_Table1!$K$2:$K$571))</f>
        <v>1</v>
      </c>
    </row>
    <row r="70" spans="1:5">
      <c r="A70" s="5">
        <v>45938</v>
      </c>
      <c r="B70" cm="1">
        <f t="array" ref="B70">SUMPRODUCT((Task_Table1!$C$2:$C$571=$B$1)*(A70&gt;Task_Table1!$J$2:$J$571)*(A70&lt;Task_Table1!$K$2:$K$571))</f>
        <v>4</v>
      </c>
      <c r="C70" cm="1">
        <f t="array" ref="C70">SUMPRODUCT((Task_Table1!$C$2:$C$568=$C$1)*(A70&gt;Task_Table1!$J$2:$J$568)*(A70&lt;Task_Table1!$K$2:$K$568))</f>
        <v>1</v>
      </c>
      <c r="D70" cm="1">
        <f t="array" ref="D70">SUMPRODUCT((Task_Table1!$C$2:$C$571=$D$1)*(A70&gt;Task_Table1!$J$2:$J$571)*(A70&lt;Task_Table1!$K$2:$K$571))</f>
        <v>0</v>
      </c>
      <c r="E70" cm="1">
        <f t="array" ref="E70">SUMPRODUCT((Task_Table1!$C$2:$C$571=$E$1)*(A70&gt;Task_Table1!$J$2:$J$571)*(A70&lt;Task_Table1!$K$2:$K$571))</f>
        <v>1</v>
      </c>
    </row>
    <row r="71" spans="1:5">
      <c r="A71" s="5">
        <v>45939</v>
      </c>
      <c r="B71" cm="1">
        <f t="array" ref="B71">SUMPRODUCT((Task_Table1!$C$2:$C$571=$B$1)*(A71&gt;Task_Table1!$J$2:$J$571)*(A71&lt;Task_Table1!$K$2:$K$571))</f>
        <v>4</v>
      </c>
      <c r="C71" cm="1">
        <f t="array" ref="C71">SUMPRODUCT((Task_Table1!$C$2:$C$568=$C$1)*(A71&gt;Task_Table1!$J$2:$J$568)*(A71&lt;Task_Table1!$K$2:$K$568))</f>
        <v>1</v>
      </c>
      <c r="D71" cm="1">
        <f t="array" ref="D71">SUMPRODUCT((Task_Table1!$C$2:$C$571=$D$1)*(A71&gt;Task_Table1!$J$2:$J$571)*(A71&lt;Task_Table1!$K$2:$K$571))</f>
        <v>0</v>
      </c>
      <c r="E71" cm="1">
        <f t="array" ref="E71">SUMPRODUCT((Task_Table1!$C$2:$C$571=$E$1)*(A71&gt;Task_Table1!$J$2:$J$571)*(A71&lt;Task_Table1!$K$2:$K$571))</f>
        <v>1</v>
      </c>
    </row>
    <row r="72" spans="1:5">
      <c r="A72" s="5">
        <v>45940</v>
      </c>
      <c r="B72" cm="1">
        <f t="array" ref="B72">SUMPRODUCT((Task_Table1!$C$2:$C$571=$B$1)*(A72&gt;Task_Table1!$J$2:$J$571)*(A72&lt;Task_Table1!$K$2:$K$571))</f>
        <v>4</v>
      </c>
      <c r="C72" cm="1">
        <f t="array" ref="C72">SUMPRODUCT((Task_Table1!$C$2:$C$568=$C$1)*(A72&gt;Task_Table1!$J$2:$J$568)*(A72&lt;Task_Table1!$K$2:$K$568))</f>
        <v>1</v>
      </c>
      <c r="D72" cm="1">
        <f t="array" ref="D72">SUMPRODUCT((Task_Table1!$C$2:$C$571=$D$1)*(A72&gt;Task_Table1!$J$2:$J$571)*(A72&lt;Task_Table1!$K$2:$K$571))</f>
        <v>0</v>
      </c>
      <c r="E72" cm="1">
        <f t="array" ref="E72">SUMPRODUCT((Task_Table1!$C$2:$C$571=$E$1)*(A72&gt;Task_Table1!$J$2:$J$571)*(A72&lt;Task_Table1!$K$2:$K$571))</f>
        <v>1</v>
      </c>
    </row>
    <row r="73" spans="1:5">
      <c r="A73" s="5">
        <v>45941</v>
      </c>
      <c r="B73" cm="1">
        <f t="array" ref="B73">SUMPRODUCT((Task_Table1!$C$2:$C$571=$B$1)*(A73&gt;Task_Table1!$J$2:$J$571)*(A73&lt;Task_Table1!$K$2:$K$571))</f>
        <v>4</v>
      </c>
      <c r="C73" cm="1">
        <f t="array" ref="C73">SUMPRODUCT((Task_Table1!$C$2:$C$568=$C$1)*(A73&gt;Task_Table1!$J$2:$J$568)*(A73&lt;Task_Table1!$K$2:$K$568))</f>
        <v>1</v>
      </c>
      <c r="D73" cm="1">
        <f t="array" ref="D73">SUMPRODUCT((Task_Table1!$C$2:$C$571=$D$1)*(A73&gt;Task_Table1!$J$2:$J$571)*(A73&lt;Task_Table1!$K$2:$K$571))</f>
        <v>0</v>
      </c>
      <c r="E73" cm="1">
        <f t="array" ref="E73">SUMPRODUCT((Task_Table1!$C$2:$C$571=$E$1)*(A73&gt;Task_Table1!$J$2:$J$571)*(A73&lt;Task_Table1!$K$2:$K$571))</f>
        <v>1</v>
      </c>
    </row>
    <row r="74" spans="1:5">
      <c r="A74" s="5">
        <v>45942</v>
      </c>
      <c r="B74" cm="1">
        <f t="array" ref="B74">SUMPRODUCT((Task_Table1!$C$2:$C$571=$B$1)*(A74&gt;Task_Table1!$J$2:$J$571)*(A74&lt;Task_Table1!$K$2:$K$571))</f>
        <v>4</v>
      </c>
      <c r="C74" cm="1">
        <f t="array" ref="C74">SUMPRODUCT((Task_Table1!$C$2:$C$568=$C$1)*(A74&gt;Task_Table1!$J$2:$J$568)*(A74&lt;Task_Table1!$K$2:$K$568))</f>
        <v>1</v>
      </c>
      <c r="D74" cm="1">
        <f t="array" ref="D74">SUMPRODUCT((Task_Table1!$C$2:$C$571=$D$1)*(A74&gt;Task_Table1!$J$2:$J$571)*(A74&lt;Task_Table1!$K$2:$K$571))</f>
        <v>0</v>
      </c>
      <c r="E74" cm="1">
        <f t="array" ref="E74">SUMPRODUCT((Task_Table1!$C$2:$C$571=$E$1)*(A74&gt;Task_Table1!$J$2:$J$571)*(A74&lt;Task_Table1!$K$2:$K$571))</f>
        <v>1</v>
      </c>
    </row>
    <row r="75" spans="1:5">
      <c r="A75" s="5">
        <v>45943</v>
      </c>
      <c r="B75" cm="1">
        <f t="array" ref="B75">SUMPRODUCT((Task_Table1!$C$2:$C$571=$B$1)*(A75&gt;Task_Table1!$J$2:$J$571)*(A75&lt;Task_Table1!$K$2:$K$571))</f>
        <v>4</v>
      </c>
      <c r="C75" cm="1">
        <f t="array" ref="C75">SUMPRODUCT((Task_Table1!$C$2:$C$568=$C$1)*(A75&gt;Task_Table1!$J$2:$J$568)*(A75&lt;Task_Table1!$K$2:$K$568))</f>
        <v>1</v>
      </c>
      <c r="D75" cm="1">
        <f t="array" ref="D75">SUMPRODUCT((Task_Table1!$C$2:$C$571=$D$1)*(A75&gt;Task_Table1!$J$2:$J$571)*(A75&lt;Task_Table1!$K$2:$K$571))</f>
        <v>0</v>
      </c>
      <c r="E75" cm="1">
        <f t="array" ref="E75">SUMPRODUCT((Task_Table1!$C$2:$C$571=$E$1)*(A75&gt;Task_Table1!$J$2:$J$571)*(A75&lt;Task_Table1!$K$2:$K$571))</f>
        <v>1</v>
      </c>
    </row>
    <row r="76" spans="1:5">
      <c r="A76" s="5">
        <v>45944</v>
      </c>
      <c r="B76" cm="1">
        <f t="array" ref="B76">SUMPRODUCT((Task_Table1!$C$2:$C$571=$B$1)*(A76&gt;Task_Table1!$J$2:$J$571)*(A76&lt;Task_Table1!$K$2:$K$571))</f>
        <v>4</v>
      </c>
      <c r="C76" cm="1">
        <f t="array" ref="C76">SUMPRODUCT((Task_Table1!$C$2:$C$568=$C$1)*(A76&gt;Task_Table1!$J$2:$J$568)*(A76&lt;Task_Table1!$K$2:$K$568))</f>
        <v>1</v>
      </c>
      <c r="D76" cm="1">
        <f t="array" ref="D76">SUMPRODUCT((Task_Table1!$C$2:$C$571=$D$1)*(A76&gt;Task_Table1!$J$2:$J$571)*(A76&lt;Task_Table1!$K$2:$K$571))</f>
        <v>0</v>
      </c>
      <c r="E76" cm="1">
        <f t="array" ref="E76">SUMPRODUCT((Task_Table1!$C$2:$C$571=$E$1)*(A76&gt;Task_Table1!$J$2:$J$571)*(A76&lt;Task_Table1!$K$2:$K$571))</f>
        <v>1</v>
      </c>
    </row>
    <row r="77" spans="1:5">
      <c r="A77" s="5">
        <v>45945</v>
      </c>
      <c r="B77" cm="1">
        <f t="array" ref="B77">SUMPRODUCT((Task_Table1!$C$2:$C$571=$B$1)*(A77&gt;Task_Table1!$J$2:$J$571)*(A77&lt;Task_Table1!$K$2:$K$571))</f>
        <v>3</v>
      </c>
      <c r="C77" cm="1">
        <f t="array" ref="C77">SUMPRODUCT((Task_Table1!$C$2:$C$568=$C$1)*(A77&gt;Task_Table1!$J$2:$J$568)*(A77&lt;Task_Table1!$K$2:$K$568))</f>
        <v>1</v>
      </c>
      <c r="D77" cm="1">
        <f t="array" ref="D77">SUMPRODUCT((Task_Table1!$C$2:$C$571=$D$1)*(A77&gt;Task_Table1!$J$2:$J$571)*(A77&lt;Task_Table1!$K$2:$K$571))</f>
        <v>0</v>
      </c>
      <c r="E77" cm="1">
        <f t="array" ref="E77">SUMPRODUCT((Task_Table1!$C$2:$C$571=$E$1)*(A77&gt;Task_Table1!$J$2:$J$571)*(A77&lt;Task_Table1!$K$2:$K$571))</f>
        <v>1</v>
      </c>
    </row>
    <row r="78" spans="1:5">
      <c r="A78" s="5">
        <v>45946</v>
      </c>
      <c r="B78" cm="1">
        <f t="array" ref="B78">SUMPRODUCT((Task_Table1!$C$2:$C$571=$B$1)*(A78&gt;Task_Table1!$J$2:$J$571)*(A78&lt;Task_Table1!$K$2:$K$571))</f>
        <v>3</v>
      </c>
      <c r="C78" cm="1">
        <f t="array" ref="C78">SUMPRODUCT((Task_Table1!$C$2:$C$568=$C$1)*(A78&gt;Task_Table1!$J$2:$J$568)*(A78&lt;Task_Table1!$K$2:$K$568))</f>
        <v>1</v>
      </c>
      <c r="D78" cm="1">
        <f t="array" ref="D78">SUMPRODUCT((Task_Table1!$C$2:$C$571=$D$1)*(A78&gt;Task_Table1!$J$2:$J$571)*(A78&lt;Task_Table1!$K$2:$K$571))</f>
        <v>0</v>
      </c>
      <c r="E78" cm="1">
        <f t="array" ref="E78">SUMPRODUCT((Task_Table1!$C$2:$C$571=$E$1)*(A78&gt;Task_Table1!$J$2:$J$571)*(A78&lt;Task_Table1!$K$2:$K$571))</f>
        <v>1</v>
      </c>
    </row>
    <row r="79" spans="1:5">
      <c r="A79" s="5">
        <v>45947</v>
      </c>
      <c r="B79" cm="1">
        <f t="array" ref="B79">SUMPRODUCT((Task_Table1!$C$2:$C$571=$B$1)*(A79&gt;Task_Table1!$J$2:$J$571)*(A79&lt;Task_Table1!$K$2:$K$571))</f>
        <v>11</v>
      </c>
      <c r="C79" cm="1">
        <f t="array" ref="C79">SUMPRODUCT((Task_Table1!$C$2:$C$568=$C$1)*(A79&gt;Task_Table1!$J$2:$J$568)*(A79&lt;Task_Table1!$K$2:$K$568))</f>
        <v>1</v>
      </c>
      <c r="D79" cm="1">
        <f t="array" ref="D79">SUMPRODUCT((Task_Table1!$C$2:$C$571=$D$1)*(A79&gt;Task_Table1!$J$2:$J$571)*(A79&lt;Task_Table1!$K$2:$K$571))</f>
        <v>0</v>
      </c>
      <c r="E79" cm="1">
        <f t="array" ref="E79">SUMPRODUCT((Task_Table1!$C$2:$C$571=$E$1)*(A79&gt;Task_Table1!$J$2:$J$571)*(A79&lt;Task_Table1!$K$2:$K$571))</f>
        <v>3</v>
      </c>
    </row>
    <row r="80" spans="1:5">
      <c r="A80" s="5">
        <v>45948</v>
      </c>
      <c r="B80" cm="1">
        <f t="array" ref="B80">SUMPRODUCT((Task_Table1!$C$2:$C$571=$B$1)*(A80&gt;Task_Table1!$J$2:$J$571)*(A80&lt;Task_Table1!$K$2:$K$571))</f>
        <v>11</v>
      </c>
      <c r="C80" cm="1">
        <f t="array" ref="C80">SUMPRODUCT((Task_Table1!$C$2:$C$568=$C$1)*(A80&gt;Task_Table1!$J$2:$J$568)*(A80&lt;Task_Table1!$K$2:$K$568))</f>
        <v>1</v>
      </c>
      <c r="D80" cm="1">
        <f t="array" ref="D80">SUMPRODUCT((Task_Table1!$C$2:$C$571=$D$1)*(A80&gt;Task_Table1!$J$2:$J$571)*(A80&lt;Task_Table1!$K$2:$K$571))</f>
        <v>0</v>
      </c>
      <c r="E80" cm="1">
        <f t="array" ref="E80">SUMPRODUCT((Task_Table1!$C$2:$C$571=$E$1)*(A80&gt;Task_Table1!$J$2:$J$571)*(A80&lt;Task_Table1!$K$2:$K$571))</f>
        <v>3</v>
      </c>
    </row>
    <row r="81" spans="1:5">
      <c r="A81" s="5">
        <v>45949</v>
      </c>
      <c r="B81" cm="1">
        <f t="array" ref="B81">SUMPRODUCT((Task_Table1!$C$2:$C$571=$B$1)*(A81&gt;Task_Table1!$J$2:$J$571)*(A81&lt;Task_Table1!$K$2:$K$571))</f>
        <v>11</v>
      </c>
      <c r="C81" cm="1">
        <f t="array" ref="C81">SUMPRODUCT((Task_Table1!$C$2:$C$568=$C$1)*(A81&gt;Task_Table1!$J$2:$J$568)*(A81&lt;Task_Table1!$K$2:$K$568))</f>
        <v>1</v>
      </c>
      <c r="D81" cm="1">
        <f t="array" ref="D81">SUMPRODUCT((Task_Table1!$C$2:$C$571=$D$1)*(A81&gt;Task_Table1!$J$2:$J$571)*(A81&lt;Task_Table1!$K$2:$K$571))</f>
        <v>0</v>
      </c>
      <c r="E81" cm="1">
        <f t="array" ref="E81">SUMPRODUCT((Task_Table1!$C$2:$C$571=$E$1)*(A81&gt;Task_Table1!$J$2:$J$571)*(A81&lt;Task_Table1!$K$2:$K$571))</f>
        <v>3</v>
      </c>
    </row>
    <row r="82" spans="1:5">
      <c r="A82" s="5">
        <v>45950</v>
      </c>
      <c r="B82" cm="1">
        <f t="array" ref="B82">SUMPRODUCT((Task_Table1!$C$2:$C$571=$B$1)*(A82&gt;Task_Table1!$J$2:$J$571)*(A82&lt;Task_Table1!$K$2:$K$571))</f>
        <v>11</v>
      </c>
      <c r="C82" cm="1">
        <f t="array" ref="C82">SUMPRODUCT((Task_Table1!$C$2:$C$568=$C$1)*(A82&gt;Task_Table1!$J$2:$J$568)*(A82&lt;Task_Table1!$K$2:$K$568))</f>
        <v>1</v>
      </c>
      <c r="D82" cm="1">
        <f t="array" ref="D82">SUMPRODUCT((Task_Table1!$C$2:$C$571=$D$1)*(A82&gt;Task_Table1!$J$2:$J$571)*(A82&lt;Task_Table1!$K$2:$K$571))</f>
        <v>0</v>
      </c>
      <c r="E82" cm="1">
        <f t="array" ref="E82">SUMPRODUCT((Task_Table1!$C$2:$C$571=$E$1)*(A82&gt;Task_Table1!$J$2:$J$571)*(A82&lt;Task_Table1!$K$2:$K$571))</f>
        <v>3</v>
      </c>
    </row>
    <row r="83" spans="1:5">
      <c r="A83" s="5">
        <v>45951</v>
      </c>
      <c r="B83" cm="1">
        <f t="array" ref="B83">SUMPRODUCT((Task_Table1!$C$2:$C$571=$B$1)*(A83&gt;Task_Table1!$J$2:$J$571)*(A83&lt;Task_Table1!$K$2:$K$571))</f>
        <v>11</v>
      </c>
      <c r="C83" cm="1">
        <f t="array" ref="C83">SUMPRODUCT((Task_Table1!$C$2:$C$568=$C$1)*(A83&gt;Task_Table1!$J$2:$J$568)*(A83&lt;Task_Table1!$K$2:$K$568))</f>
        <v>1</v>
      </c>
      <c r="D83" cm="1">
        <f t="array" ref="D83">SUMPRODUCT((Task_Table1!$C$2:$C$571=$D$1)*(A83&gt;Task_Table1!$J$2:$J$571)*(A83&lt;Task_Table1!$K$2:$K$571))</f>
        <v>0</v>
      </c>
      <c r="E83" cm="1">
        <f t="array" ref="E83">SUMPRODUCT((Task_Table1!$C$2:$C$571=$E$1)*(A83&gt;Task_Table1!$J$2:$J$571)*(A83&lt;Task_Table1!$K$2:$K$571))</f>
        <v>3</v>
      </c>
    </row>
    <row r="84" spans="1:5">
      <c r="A84" s="5">
        <v>45952</v>
      </c>
      <c r="B84" cm="1">
        <f t="array" ref="B84">SUMPRODUCT((Task_Table1!$C$2:$C$571=$B$1)*(A84&gt;Task_Table1!$J$2:$J$571)*(A84&lt;Task_Table1!$K$2:$K$571))</f>
        <v>11</v>
      </c>
      <c r="C84" cm="1">
        <f t="array" ref="C84">SUMPRODUCT((Task_Table1!$C$2:$C$568=$C$1)*(A84&gt;Task_Table1!$J$2:$J$568)*(A84&lt;Task_Table1!$K$2:$K$568))</f>
        <v>1</v>
      </c>
      <c r="D84" cm="1">
        <f t="array" ref="D84">SUMPRODUCT((Task_Table1!$C$2:$C$571=$D$1)*(A84&gt;Task_Table1!$J$2:$J$571)*(A84&lt;Task_Table1!$K$2:$K$571))</f>
        <v>0</v>
      </c>
      <c r="E84" cm="1">
        <f t="array" ref="E84">SUMPRODUCT((Task_Table1!$C$2:$C$571=$E$1)*(A84&gt;Task_Table1!$J$2:$J$571)*(A84&lt;Task_Table1!$K$2:$K$571))</f>
        <v>3</v>
      </c>
    </row>
    <row r="85" spans="1:5">
      <c r="A85" s="5">
        <v>45953</v>
      </c>
      <c r="B85" cm="1">
        <f t="array" ref="B85">SUMPRODUCT((Task_Table1!$C$2:$C$571=$B$1)*(A85&gt;Task_Table1!$J$2:$J$571)*(A85&lt;Task_Table1!$K$2:$K$571))</f>
        <v>11</v>
      </c>
      <c r="C85" cm="1">
        <f t="array" ref="C85">SUMPRODUCT((Task_Table1!$C$2:$C$568=$C$1)*(A85&gt;Task_Table1!$J$2:$J$568)*(A85&lt;Task_Table1!$K$2:$K$568))</f>
        <v>1</v>
      </c>
      <c r="D85" cm="1">
        <f t="array" ref="D85">SUMPRODUCT((Task_Table1!$C$2:$C$571=$D$1)*(A85&gt;Task_Table1!$J$2:$J$571)*(A85&lt;Task_Table1!$K$2:$K$571))</f>
        <v>0</v>
      </c>
      <c r="E85" cm="1">
        <f t="array" ref="E85">SUMPRODUCT((Task_Table1!$C$2:$C$571=$E$1)*(A85&gt;Task_Table1!$J$2:$J$571)*(A85&lt;Task_Table1!$K$2:$K$571))</f>
        <v>3</v>
      </c>
    </row>
    <row r="86" spans="1:5">
      <c r="A86" s="5">
        <v>45954</v>
      </c>
      <c r="B86" cm="1">
        <f t="array" ref="B86">SUMPRODUCT((Task_Table1!$C$2:$C$571=$B$1)*(A86&gt;Task_Table1!$J$2:$J$571)*(A86&lt;Task_Table1!$K$2:$K$571))</f>
        <v>11</v>
      </c>
      <c r="C86" cm="1">
        <f t="array" ref="C86">SUMPRODUCT((Task_Table1!$C$2:$C$568=$C$1)*(A86&gt;Task_Table1!$J$2:$J$568)*(A86&lt;Task_Table1!$K$2:$K$568))</f>
        <v>1</v>
      </c>
      <c r="D86" cm="1">
        <f t="array" ref="D86">SUMPRODUCT((Task_Table1!$C$2:$C$571=$D$1)*(A86&gt;Task_Table1!$J$2:$J$571)*(A86&lt;Task_Table1!$K$2:$K$571))</f>
        <v>0</v>
      </c>
      <c r="E86" cm="1">
        <f t="array" ref="E86">SUMPRODUCT((Task_Table1!$C$2:$C$571=$E$1)*(A86&gt;Task_Table1!$J$2:$J$571)*(A86&lt;Task_Table1!$K$2:$K$571))</f>
        <v>3</v>
      </c>
    </row>
    <row r="87" spans="1:5">
      <c r="A87" s="5">
        <v>45955</v>
      </c>
      <c r="B87" cm="1">
        <f t="array" ref="B87">SUMPRODUCT((Task_Table1!$C$2:$C$571=$B$1)*(A87&gt;Task_Table1!$J$2:$J$571)*(A87&lt;Task_Table1!$K$2:$K$571))</f>
        <v>11</v>
      </c>
      <c r="C87" cm="1">
        <f t="array" ref="C87">SUMPRODUCT((Task_Table1!$C$2:$C$568=$C$1)*(A87&gt;Task_Table1!$J$2:$J$568)*(A87&lt;Task_Table1!$K$2:$K$568))</f>
        <v>1</v>
      </c>
      <c r="D87" cm="1">
        <f t="array" ref="D87">SUMPRODUCT((Task_Table1!$C$2:$C$571=$D$1)*(A87&gt;Task_Table1!$J$2:$J$571)*(A87&lt;Task_Table1!$K$2:$K$571))</f>
        <v>0</v>
      </c>
      <c r="E87" cm="1">
        <f t="array" ref="E87">SUMPRODUCT((Task_Table1!$C$2:$C$571=$E$1)*(A87&gt;Task_Table1!$J$2:$J$571)*(A87&lt;Task_Table1!$K$2:$K$571))</f>
        <v>3</v>
      </c>
    </row>
    <row r="88" spans="1:5">
      <c r="A88" s="5">
        <v>45956</v>
      </c>
      <c r="B88" cm="1">
        <f t="array" ref="B88">SUMPRODUCT((Task_Table1!$C$2:$C$571=$B$1)*(A88&gt;Task_Table1!$J$2:$J$571)*(A88&lt;Task_Table1!$K$2:$K$571))</f>
        <v>11</v>
      </c>
      <c r="C88" cm="1">
        <f t="array" ref="C88">SUMPRODUCT((Task_Table1!$C$2:$C$568=$C$1)*(A88&gt;Task_Table1!$J$2:$J$568)*(A88&lt;Task_Table1!$K$2:$K$568))</f>
        <v>1</v>
      </c>
      <c r="D88" cm="1">
        <f t="array" ref="D88">SUMPRODUCT((Task_Table1!$C$2:$C$571=$D$1)*(A88&gt;Task_Table1!$J$2:$J$571)*(A88&lt;Task_Table1!$K$2:$K$571))</f>
        <v>0</v>
      </c>
      <c r="E88" cm="1">
        <f t="array" ref="E88">SUMPRODUCT((Task_Table1!$C$2:$C$571=$E$1)*(A88&gt;Task_Table1!$J$2:$J$571)*(A88&lt;Task_Table1!$K$2:$K$571))</f>
        <v>3</v>
      </c>
    </row>
    <row r="89" spans="1:5">
      <c r="A89" s="5">
        <v>45957</v>
      </c>
      <c r="B89" cm="1">
        <f t="array" ref="B89">SUMPRODUCT((Task_Table1!$C$2:$C$571=$B$1)*(A89&gt;Task_Table1!$J$2:$J$571)*(A89&lt;Task_Table1!$K$2:$K$571))</f>
        <v>11</v>
      </c>
      <c r="C89" cm="1">
        <f t="array" ref="C89">SUMPRODUCT((Task_Table1!$C$2:$C$568=$C$1)*(A89&gt;Task_Table1!$J$2:$J$568)*(A89&lt;Task_Table1!$K$2:$K$568))</f>
        <v>1</v>
      </c>
      <c r="D89" cm="1">
        <f t="array" ref="D89">SUMPRODUCT((Task_Table1!$C$2:$C$571=$D$1)*(A89&gt;Task_Table1!$J$2:$J$571)*(A89&lt;Task_Table1!$K$2:$K$571))</f>
        <v>0</v>
      </c>
      <c r="E89" cm="1">
        <f t="array" ref="E89">SUMPRODUCT((Task_Table1!$C$2:$C$571=$E$1)*(A89&gt;Task_Table1!$J$2:$J$571)*(A89&lt;Task_Table1!$K$2:$K$571))</f>
        <v>3</v>
      </c>
    </row>
    <row r="90" spans="1:5">
      <c r="A90" s="5">
        <v>45958</v>
      </c>
      <c r="B90" cm="1">
        <f t="array" ref="B90">SUMPRODUCT((Task_Table1!$C$2:$C$571=$B$1)*(A90&gt;Task_Table1!$J$2:$J$571)*(A90&lt;Task_Table1!$K$2:$K$571))</f>
        <v>11</v>
      </c>
      <c r="C90" cm="1">
        <f t="array" ref="C90">SUMPRODUCT((Task_Table1!$C$2:$C$568=$C$1)*(A90&gt;Task_Table1!$J$2:$J$568)*(A90&lt;Task_Table1!$K$2:$K$568))</f>
        <v>1</v>
      </c>
      <c r="D90" cm="1">
        <f t="array" ref="D90">SUMPRODUCT((Task_Table1!$C$2:$C$571=$D$1)*(A90&gt;Task_Table1!$J$2:$J$571)*(A90&lt;Task_Table1!$K$2:$K$571))</f>
        <v>0</v>
      </c>
      <c r="E90" cm="1">
        <f t="array" ref="E90">SUMPRODUCT((Task_Table1!$C$2:$C$571=$E$1)*(A90&gt;Task_Table1!$J$2:$J$571)*(A90&lt;Task_Table1!$K$2:$K$571))</f>
        <v>3</v>
      </c>
    </row>
    <row r="91" spans="1:5">
      <c r="A91" s="5">
        <v>45959</v>
      </c>
      <c r="B91" cm="1">
        <f t="array" ref="B91">SUMPRODUCT((Task_Table1!$C$2:$C$571=$B$1)*(A91&gt;Task_Table1!$J$2:$J$571)*(A91&lt;Task_Table1!$K$2:$K$571))</f>
        <v>11</v>
      </c>
      <c r="C91" cm="1">
        <f t="array" ref="C91">SUMPRODUCT((Task_Table1!$C$2:$C$568=$C$1)*(A91&gt;Task_Table1!$J$2:$J$568)*(A91&lt;Task_Table1!$K$2:$K$568))</f>
        <v>1</v>
      </c>
      <c r="D91" cm="1">
        <f t="array" ref="D91">SUMPRODUCT((Task_Table1!$C$2:$C$571=$D$1)*(A91&gt;Task_Table1!$J$2:$J$571)*(A91&lt;Task_Table1!$K$2:$K$571))</f>
        <v>0</v>
      </c>
      <c r="E91" cm="1">
        <f t="array" ref="E91">SUMPRODUCT((Task_Table1!$C$2:$C$571=$E$1)*(A91&gt;Task_Table1!$J$2:$J$571)*(A91&lt;Task_Table1!$K$2:$K$571))</f>
        <v>3</v>
      </c>
    </row>
    <row r="92" spans="1:5">
      <c r="A92" s="5">
        <v>45960</v>
      </c>
      <c r="B92" cm="1">
        <f t="array" ref="B92">SUMPRODUCT((Task_Table1!$C$2:$C$571=$B$1)*(A92&gt;Task_Table1!$J$2:$J$571)*(A92&lt;Task_Table1!$K$2:$K$571))</f>
        <v>11</v>
      </c>
      <c r="C92" cm="1">
        <f t="array" ref="C92">SUMPRODUCT((Task_Table1!$C$2:$C$568=$C$1)*(A92&gt;Task_Table1!$J$2:$J$568)*(A92&lt;Task_Table1!$K$2:$K$568))</f>
        <v>1</v>
      </c>
      <c r="D92" cm="1">
        <f t="array" ref="D92">SUMPRODUCT((Task_Table1!$C$2:$C$571=$D$1)*(A92&gt;Task_Table1!$J$2:$J$571)*(A92&lt;Task_Table1!$K$2:$K$571))</f>
        <v>0</v>
      </c>
      <c r="E92" cm="1">
        <f t="array" ref="E92">SUMPRODUCT((Task_Table1!$C$2:$C$571=$E$1)*(A92&gt;Task_Table1!$J$2:$J$571)*(A92&lt;Task_Table1!$K$2:$K$571))</f>
        <v>3</v>
      </c>
    </row>
    <row r="93" spans="1:5">
      <c r="A93" s="5">
        <v>45961</v>
      </c>
      <c r="B93" cm="1">
        <f t="array" ref="B93">SUMPRODUCT((Task_Table1!$C$2:$C$571=$B$1)*(A93&gt;Task_Table1!$J$2:$J$571)*(A93&lt;Task_Table1!$K$2:$K$571))</f>
        <v>10</v>
      </c>
      <c r="C93" cm="1">
        <f t="array" ref="C93">SUMPRODUCT((Task_Table1!$C$2:$C$568=$C$1)*(A93&gt;Task_Table1!$J$2:$J$568)*(A93&lt;Task_Table1!$K$2:$K$568))</f>
        <v>1</v>
      </c>
      <c r="D93" cm="1">
        <f t="array" ref="D93">SUMPRODUCT((Task_Table1!$C$2:$C$571=$D$1)*(A93&gt;Task_Table1!$J$2:$J$571)*(A93&lt;Task_Table1!$K$2:$K$571))</f>
        <v>0</v>
      </c>
      <c r="E93" cm="1">
        <f t="array" ref="E93">SUMPRODUCT((Task_Table1!$C$2:$C$571=$E$1)*(A93&gt;Task_Table1!$J$2:$J$571)*(A93&lt;Task_Table1!$K$2:$K$571))</f>
        <v>3</v>
      </c>
    </row>
    <row r="94" spans="1:5">
      <c r="A94" s="5">
        <v>45962</v>
      </c>
      <c r="B94" cm="1">
        <f t="array" ref="B94">SUMPRODUCT((Task_Table1!$C$2:$C$571=$B$1)*(A94&gt;Task_Table1!$J$2:$J$571)*(A94&lt;Task_Table1!$K$2:$K$571))</f>
        <v>10</v>
      </c>
      <c r="C94" cm="1">
        <f t="array" ref="C94">SUMPRODUCT((Task_Table1!$C$2:$C$568=$C$1)*(A94&gt;Task_Table1!$J$2:$J$568)*(A94&lt;Task_Table1!$K$2:$K$568))</f>
        <v>1</v>
      </c>
      <c r="D94" cm="1">
        <f t="array" ref="D94">SUMPRODUCT((Task_Table1!$C$2:$C$571=$D$1)*(A94&gt;Task_Table1!$J$2:$J$571)*(A94&lt;Task_Table1!$K$2:$K$571))</f>
        <v>0</v>
      </c>
      <c r="E94" cm="1">
        <f t="array" ref="E94">SUMPRODUCT((Task_Table1!$C$2:$C$571=$E$1)*(A94&gt;Task_Table1!$J$2:$J$571)*(A94&lt;Task_Table1!$K$2:$K$571))</f>
        <v>3</v>
      </c>
    </row>
    <row r="95" spans="1:5">
      <c r="A95" s="5">
        <v>45963</v>
      </c>
      <c r="B95" cm="1">
        <f t="array" ref="B95">SUMPRODUCT((Task_Table1!$C$2:$C$571=$B$1)*(A95&gt;Task_Table1!$J$2:$J$571)*(A95&lt;Task_Table1!$K$2:$K$571))</f>
        <v>10</v>
      </c>
      <c r="C95" cm="1">
        <f t="array" ref="C95">SUMPRODUCT((Task_Table1!$C$2:$C$568=$C$1)*(A95&gt;Task_Table1!$J$2:$J$568)*(A95&lt;Task_Table1!$K$2:$K$568))</f>
        <v>1</v>
      </c>
      <c r="D95" cm="1">
        <f t="array" ref="D95">SUMPRODUCT((Task_Table1!$C$2:$C$571=$D$1)*(A95&gt;Task_Table1!$J$2:$J$571)*(A95&lt;Task_Table1!$K$2:$K$571))</f>
        <v>0</v>
      </c>
      <c r="E95" cm="1">
        <f t="array" ref="E95">SUMPRODUCT((Task_Table1!$C$2:$C$571=$E$1)*(A95&gt;Task_Table1!$J$2:$J$571)*(A95&lt;Task_Table1!$K$2:$K$571))</f>
        <v>3</v>
      </c>
    </row>
    <row r="96" spans="1:5">
      <c r="A96" s="5">
        <v>45964</v>
      </c>
      <c r="B96" cm="1">
        <f t="array" ref="B96">SUMPRODUCT((Task_Table1!$C$2:$C$571=$B$1)*(A96&gt;Task_Table1!$J$2:$J$571)*(A96&lt;Task_Table1!$K$2:$K$571))</f>
        <v>10</v>
      </c>
      <c r="C96" cm="1">
        <f t="array" ref="C96">SUMPRODUCT((Task_Table1!$C$2:$C$568=$C$1)*(A96&gt;Task_Table1!$J$2:$J$568)*(A96&lt;Task_Table1!$K$2:$K$568))</f>
        <v>1</v>
      </c>
      <c r="D96" cm="1">
        <f t="array" ref="D96">SUMPRODUCT((Task_Table1!$C$2:$C$571=$D$1)*(A96&gt;Task_Table1!$J$2:$J$571)*(A96&lt;Task_Table1!$K$2:$K$571))</f>
        <v>0</v>
      </c>
      <c r="E96" cm="1">
        <f t="array" ref="E96">SUMPRODUCT((Task_Table1!$C$2:$C$571=$E$1)*(A96&gt;Task_Table1!$J$2:$J$571)*(A96&lt;Task_Table1!$K$2:$K$571))</f>
        <v>3</v>
      </c>
    </row>
    <row r="97" spans="1:5">
      <c r="A97" s="5">
        <v>45965</v>
      </c>
      <c r="B97" cm="1">
        <f t="array" ref="B97">SUMPRODUCT((Task_Table1!$C$2:$C$571=$B$1)*(A97&gt;Task_Table1!$J$2:$J$571)*(A97&lt;Task_Table1!$K$2:$K$571))</f>
        <v>10</v>
      </c>
      <c r="C97" cm="1">
        <f t="array" ref="C97">SUMPRODUCT((Task_Table1!$C$2:$C$568=$C$1)*(A97&gt;Task_Table1!$J$2:$J$568)*(A97&lt;Task_Table1!$K$2:$K$568))</f>
        <v>1</v>
      </c>
      <c r="D97" cm="1">
        <f t="array" ref="D97">SUMPRODUCT((Task_Table1!$C$2:$C$571=$D$1)*(A97&gt;Task_Table1!$J$2:$J$571)*(A97&lt;Task_Table1!$K$2:$K$571))</f>
        <v>0</v>
      </c>
      <c r="E97" cm="1">
        <f t="array" ref="E97">SUMPRODUCT((Task_Table1!$C$2:$C$571=$E$1)*(A97&gt;Task_Table1!$J$2:$J$571)*(A97&lt;Task_Table1!$K$2:$K$571))</f>
        <v>4</v>
      </c>
    </row>
    <row r="98" spans="1:5">
      <c r="A98" s="5">
        <v>45966</v>
      </c>
      <c r="B98" cm="1">
        <f t="array" ref="B98">SUMPRODUCT((Task_Table1!$C$2:$C$571=$B$1)*(A98&gt;Task_Table1!$J$2:$J$571)*(A98&lt;Task_Table1!$K$2:$K$571))</f>
        <v>10</v>
      </c>
      <c r="C98" cm="1">
        <f t="array" ref="C98">SUMPRODUCT((Task_Table1!$C$2:$C$568=$C$1)*(A98&gt;Task_Table1!$J$2:$J$568)*(A98&lt;Task_Table1!$K$2:$K$568))</f>
        <v>1</v>
      </c>
      <c r="D98" cm="1">
        <f t="array" ref="D98">SUMPRODUCT((Task_Table1!$C$2:$C$571=$D$1)*(A98&gt;Task_Table1!$J$2:$J$571)*(A98&lt;Task_Table1!$K$2:$K$571))</f>
        <v>0</v>
      </c>
      <c r="E98" cm="1">
        <f t="array" ref="E98">SUMPRODUCT((Task_Table1!$C$2:$C$571=$E$1)*(A98&gt;Task_Table1!$J$2:$J$571)*(A98&lt;Task_Table1!$K$2:$K$571))</f>
        <v>4</v>
      </c>
    </row>
    <row r="99" spans="1:5">
      <c r="A99" s="5">
        <v>45967</v>
      </c>
      <c r="B99" cm="1">
        <f t="array" ref="B99">SUMPRODUCT((Task_Table1!$C$2:$C$571=$B$1)*(A99&gt;Task_Table1!$J$2:$J$571)*(A99&lt;Task_Table1!$K$2:$K$571))</f>
        <v>10</v>
      </c>
      <c r="C99" cm="1">
        <f t="array" ref="C99">SUMPRODUCT((Task_Table1!$C$2:$C$568=$C$1)*(A99&gt;Task_Table1!$J$2:$J$568)*(A99&lt;Task_Table1!$K$2:$K$568))</f>
        <v>1</v>
      </c>
      <c r="D99" cm="1">
        <f t="array" ref="D99">SUMPRODUCT((Task_Table1!$C$2:$C$571=$D$1)*(A99&gt;Task_Table1!$J$2:$J$571)*(A99&lt;Task_Table1!$K$2:$K$571))</f>
        <v>0</v>
      </c>
      <c r="E99" cm="1">
        <f t="array" ref="E99">SUMPRODUCT((Task_Table1!$C$2:$C$571=$E$1)*(A99&gt;Task_Table1!$J$2:$J$571)*(A99&lt;Task_Table1!$K$2:$K$571))</f>
        <v>4</v>
      </c>
    </row>
    <row r="100" spans="1:5">
      <c r="A100" s="5">
        <v>45968</v>
      </c>
      <c r="B100" cm="1">
        <f t="array" ref="B100">SUMPRODUCT((Task_Table1!$C$2:$C$571=$B$1)*(A100&gt;Task_Table1!$J$2:$J$571)*(A100&lt;Task_Table1!$K$2:$K$571))</f>
        <v>10</v>
      </c>
      <c r="C100" cm="1">
        <f t="array" ref="C100">SUMPRODUCT((Task_Table1!$C$2:$C$568=$C$1)*(A100&gt;Task_Table1!$J$2:$J$568)*(A100&lt;Task_Table1!$K$2:$K$568))</f>
        <v>1</v>
      </c>
      <c r="D100" cm="1">
        <f t="array" ref="D100">SUMPRODUCT((Task_Table1!$C$2:$C$571=$D$1)*(A100&gt;Task_Table1!$J$2:$J$571)*(A100&lt;Task_Table1!$K$2:$K$571))</f>
        <v>0</v>
      </c>
      <c r="E100" cm="1">
        <f t="array" ref="E100">SUMPRODUCT((Task_Table1!$C$2:$C$571=$E$1)*(A100&gt;Task_Table1!$J$2:$J$571)*(A100&lt;Task_Table1!$K$2:$K$571))</f>
        <v>4</v>
      </c>
    </row>
    <row r="101" spans="1:5">
      <c r="A101" s="5">
        <v>45969</v>
      </c>
      <c r="B101" cm="1">
        <f t="array" ref="B101">SUMPRODUCT((Task_Table1!$C$2:$C$571=$B$1)*(A101&gt;Task_Table1!$J$2:$J$571)*(A101&lt;Task_Table1!$K$2:$K$571))</f>
        <v>10</v>
      </c>
      <c r="C101" cm="1">
        <f t="array" ref="C101">SUMPRODUCT((Task_Table1!$C$2:$C$568=$C$1)*(A101&gt;Task_Table1!$J$2:$J$568)*(A101&lt;Task_Table1!$K$2:$K$568))</f>
        <v>1</v>
      </c>
      <c r="D101" cm="1">
        <f t="array" ref="D101">SUMPRODUCT((Task_Table1!$C$2:$C$571=$D$1)*(A101&gt;Task_Table1!$J$2:$J$571)*(A101&lt;Task_Table1!$K$2:$K$571))</f>
        <v>0</v>
      </c>
      <c r="E101" cm="1">
        <f t="array" ref="E101">SUMPRODUCT((Task_Table1!$C$2:$C$571=$E$1)*(A101&gt;Task_Table1!$J$2:$J$571)*(A101&lt;Task_Table1!$K$2:$K$571))</f>
        <v>4</v>
      </c>
    </row>
    <row r="102" spans="1:5">
      <c r="A102" s="5">
        <v>45970</v>
      </c>
      <c r="B102" cm="1">
        <f t="array" ref="B102">SUMPRODUCT((Task_Table1!$C$2:$C$571=$B$1)*(A102&gt;Task_Table1!$J$2:$J$571)*(A102&lt;Task_Table1!$K$2:$K$571))</f>
        <v>10</v>
      </c>
      <c r="C102" cm="1">
        <f t="array" ref="C102">SUMPRODUCT((Task_Table1!$C$2:$C$568=$C$1)*(A102&gt;Task_Table1!$J$2:$J$568)*(A102&lt;Task_Table1!$K$2:$K$568))</f>
        <v>1</v>
      </c>
      <c r="D102" cm="1">
        <f t="array" ref="D102">SUMPRODUCT((Task_Table1!$C$2:$C$571=$D$1)*(A102&gt;Task_Table1!$J$2:$J$571)*(A102&lt;Task_Table1!$K$2:$K$571))</f>
        <v>0</v>
      </c>
      <c r="E102" cm="1">
        <f t="array" ref="E102">SUMPRODUCT((Task_Table1!$C$2:$C$571=$E$1)*(A102&gt;Task_Table1!$J$2:$J$571)*(A102&lt;Task_Table1!$K$2:$K$571))</f>
        <v>4</v>
      </c>
    </row>
    <row r="103" spans="1:5">
      <c r="A103" s="5">
        <v>45971</v>
      </c>
      <c r="B103" cm="1">
        <f t="array" ref="B103">SUMPRODUCT((Task_Table1!$C$2:$C$571=$B$1)*(A103&gt;Task_Table1!$J$2:$J$571)*(A103&lt;Task_Table1!$K$2:$K$571))</f>
        <v>10</v>
      </c>
      <c r="C103" cm="1">
        <f t="array" ref="C103">SUMPRODUCT((Task_Table1!$C$2:$C$568=$C$1)*(A103&gt;Task_Table1!$J$2:$J$568)*(A103&lt;Task_Table1!$K$2:$K$568))</f>
        <v>1</v>
      </c>
      <c r="D103" cm="1">
        <f t="array" ref="D103">SUMPRODUCT((Task_Table1!$C$2:$C$571=$D$1)*(A103&gt;Task_Table1!$J$2:$J$571)*(A103&lt;Task_Table1!$K$2:$K$571))</f>
        <v>0</v>
      </c>
      <c r="E103" cm="1">
        <f t="array" ref="E103">SUMPRODUCT((Task_Table1!$C$2:$C$571=$E$1)*(A103&gt;Task_Table1!$J$2:$J$571)*(A103&lt;Task_Table1!$K$2:$K$571))</f>
        <v>4</v>
      </c>
    </row>
    <row r="104" spans="1:5">
      <c r="A104" s="5">
        <v>45972</v>
      </c>
      <c r="B104" cm="1">
        <f t="array" ref="B104">SUMPRODUCT((Task_Table1!$C$2:$C$571=$B$1)*(A104&gt;Task_Table1!$J$2:$J$571)*(A104&lt;Task_Table1!$K$2:$K$571))</f>
        <v>11</v>
      </c>
      <c r="C104" cm="1">
        <f t="array" ref="C104">SUMPRODUCT((Task_Table1!$C$2:$C$568=$C$1)*(A104&gt;Task_Table1!$J$2:$J$568)*(A104&lt;Task_Table1!$K$2:$K$568))</f>
        <v>1</v>
      </c>
      <c r="D104" cm="1">
        <f t="array" ref="D104">SUMPRODUCT((Task_Table1!$C$2:$C$571=$D$1)*(A104&gt;Task_Table1!$J$2:$J$571)*(A104&lt;Task_Table1!$K$2:$K$571))</f>
        <v>0</v>
      </c>
      <c r="E104" cm="1">
        <f t="array" ref="E104">SUMPRODUCT((Task_Table1!$C$2:$C$571=$E$1)*(A104&gt;Task_Table1!$J$2:$J$571)*(A104&lt;Task_Table1!$K$2:$K$571))</f>
        <v>4</v>
      </c>
    </row>
    <row r="105" spans="1:5">
      <c r="A105" s="5">
        <v>45973</v>
      </c>
      <c r="B105" cm="1">
        <f t="array" ref="B105">SUMPRODUCT((Task_Table1!$C$2:$C$571=$B$1)*(A105&gt;Task_Table1!$J$2:$J$571)*(A105&lt;Task_Table1!$K$2:$K$571))</f>
        <v>11</v>
      </c>
      <c r="C105" cm="1">
        <f t="array" ref="C105">SUMPRODUCT((Task_Table1!$C$2:$C$568=$C$1)*(A105&gt;Task_Table1!$J$2:$J$568)*(A105&lt;Task_Table1!$K$2:$K$568))</f>
        <v>1</v>
      </c>
      <c r="D105" cm="1">
        <f t="array" ref="D105">SUMPRODUCT((Task_Table1!$C$2:$C$571=$D$1)*(A105&gt;Task_Table1!$J$2:$J$571)*(A105&lt;Task_Table1!$K$2:$K$571))</f>
        <v>0</v>
      </c>
      <c r="E105" cm="1">
        <f t="array" ref="E105">SUMPRODUCT((Task_Table1!$C$2:$C$571=$E$1)*(A105&gt;Task_Table1!$J$2:$J$571)*(A105&lt;Task_Table1!$K$2:$K$571))</f>
        <v>4</v>
      </c>
    </row>
    <row r="106" spans="1:5">
      <c r="A106" s="5">
        <v>45974</v>
      </c>
      <c r="B106" cm="1">
        <f t="array" ref="B106">SUMPRODUCT((Task_Table1!$C$2:$C$571=$B$1)*(A106&gt;Task_Table1!$J$2:$J$571)*(A106&lt;Task_Table1!$K$2:$K$571))</f>
        <v>11</v>
      </c>
      <c r="C106" cm="1">
        <f t="array" ref="C106">SUMPRODUCT((Task_Table1!$C$2:$C$568=$C$1)*(A106&gt;Task_Table1!$J$2:$J$568)*(A106&lt;Task_Table1!$K$2:$K$568))</f>
        <v>1</v>
      </c>
      <c r="D106" cm="1">
        <f t="array" ref="D106">SUMPRODUCT((Task_Table1!$C$2:$C$571=$D$1)*(A106&gt;Task_Table1!$J$2:$J$571)*(A106&lt;Task_Table1!$K$2:$K$571))</f>
        <v>0</v>
      </c>
      <c r="E106" cm="1">
        <f t="array" ref="E106">SUMPRODUCT((Task_Table1!$C$2:$C$571=$E$1)*(A106&gt;Task_Table1!$J$2:$J$571)*(A106&lt;Task_Table1!$K$2:$K$571))</f>
        <v>4</v>
      </c>
    </row>
    <row r="107" spans="1:5">
      <c r="A107" s="5">
        <v>45975</v>
      </c>
      <c r="B107" cm="1">
        <f t="array" ref="B107">SUMPRODUCT((Task_Table1!$C$2:$C$571=$B$1)*(A107&gt;Task_Table1!$J$2:$J$571)*(A107&lt;Task_Table1!$K$2:$K$571))</f>
        <v>11</v>
      </c>
      <c r="C107" cm="1">
        <f t="array" ref="C107">SUMPRODUCT((Task_Table1!$C$2:$C$568=$C$1)*(A107&gt;Task_Table1!$J$2:$J$568)*(A107&lt;Task_Table1!$K$2:$K$568))</f>
        <v>1</v>
      </c>
      <c r="D107" cm="1">
        <f t="array" ref="D107">SUMPRODUCT((Task_Table1!$C$2:$C$571=$D$1)*(A107&gt;Task_Table1!$J$2:$J$571)*(A107&lt;Task_Table1!$K$2:$K$571))</f>
        <v>0</v>
      </c>
      <c r="E107" cm="1">
        <f t="array" ref="E107">SUMPRODUCT((Task_Table1!$C$2:$C$571=$E$1)*(A107&gt;Task_Table1!$J$2:$J$571)*(A107&lt;Task_Table1!$K$2:$K$571))</f>
        <v>4</v>
      </c>
    </row>
    <row r="108" spans="1:5">
      <c r="A108" s="5">
        <v>45976</v>
      </c>
      <c r="B108" cm="1">
        <f t="array" ref="B108">SUMPRODUCT((Task_Table1!$C$2:$C$571=$B$1)*(A108&gt;Task_Table1!$J$2:$J$571)*(A108&lt;Task_Table1!$K$2:$K$571))</f>
        <v>11</v>
      </c>
      <c r="C108" cm="1">
        <f t="array" ref="C108">SUMPRODUCT((Task_Table1!$C$2:$C$568=$C$1)*(A108&gt;Task_Table1!$J$2:$J$568)*(A108&lt;Task_Table1!$K$2:$K$568))</f>
        <v>1</v>
      </c>
      <c r="D108" cm="1">
        <f t="array" ref="D108">SUMPRODUCT((Task_Table1!$C$2:$C$571=$D$1)*(A108&gt;Task_Table1!$J$2:$J$571)*(A108&lt;Task_Table1!$K$2:$K$571))</f>
        <v>0</v>
      </c>
      <c r="E108" cm="1">
        <f t="array" ref="E108">SUMPRODUCT((Task_Table1!$C$2:$C$571=$E$1)*(A108&gt;Task_Table1!$J$2:$J$571)*(A108&lt;Task_Table1!$K$2:$K$571))</f>
        <v>4</v>
      </c>
    </row>
    <row r="109" spans="1:5">
      <c r="A109" s="5">
        <v>45977</v>
      </c>
      <c r="B109" cm="1">
        <f t="array" ref="B109">SUMPRODUCT((Task_Table1!$C$2:$C$571=$B$1)*(A109&gt;Task_Table1!$J$2:$J$571)*(A109&lt;Task_Table1!$K$2:$K$571))</f>
        <v>11</v>
      </c>
      <c r="C109" cm="1">
        <f t="array" ref="C109">SUMPRODUCT((Task_Table1!$C$2:$C$568=$C$1)*(A109&gt;Task_Table1!$J$2:$J$568)*(A109&lt;Task_Table1!$K$2:$K$568))</f>
        <v>1</v>
      </c>
      <c r="D109" cm="1">
        <f t="array" ref="D109">SUMPRODUCT((Task_Table1!$C$2:$C$571=$D$1)*(A109&gt;Task_Table1!$J$2:$J$571)*(A109&lt;Task_Table1!$K$2:$K$571))</f>
        <v>0</v>
      </c>
      <c r="E109" cm="1">
        <f t="array" ref="E109">SUMPRODUCT((Task_Table1!$C$2:$C$571=$E$1)*(A109&gt;Task_Table1!$J$2:$J$571)*(A109&lt;Task_Table1!$K$2:$K$571))</f>
        <v>4</v>
      </c>
    </row>
    <row r="110" spans="1:5">
      <c r="A110" s="5">
        <v>45978</v>
      </c>
      <c r="B110" cm="1">
        <f t="array" ref="B110">SUMPRODUCT((Task_Table1!$C$2:$C$571=$B$1)*(A110&gt;Task_Table1!$J$2:$J$571)*(A110&lt;Task_Table1!$K$2:$K$571))</f>
        <v>11</v>
      </c>
      <c r="C110" cm="1">
        <f t="array" ref="C110">SUMPRODUCT((Task_Table1!$C$2:$C$568=$C$1)*(A110&gt;Task_Table1!$J$2:$J$568)*(A110&lt;Task_Table1!$K$2:$K$568))</f>
        <v>1</v>
      </c>
      <c r="D110" cm="1">
        <f t="array" ref="D110">SUMPRODUCT((Task_Table1!$C$2:$C$571=$D$1)*(A110&gt;Task_Table1!$J$2:$J$571)*(A110&lt;Task_Table1!$K$2:$K$571))</f>
        <v>0</v>
      </c>
      <c r="E110" cm="1">
        <f t="array" ref="E110">SUMPRODUCT((Task_Table1!$C$2:$C$571=$E$1)*(A110&gt;Task_Table1!$J$2:$J$571)*(A110&lt;Task_Table1!$K$2:$K$571))</f>
        <v>4</v>
      </c>
    </row>
    <row r="111" spans="1:5">
      <c r="A111" s="5">
        <v>45979</v>
      </c>
      <c r="B111" cm="1">
        <f t="array" ref="B111">SUMPRODUCT((Task_Table1!$C$2:$C$571=$B$1)*(A111&gt;Task_Table1!$J$2:$J$571)*(A111&lt;Task_Table1!$K$2:$K$571))</f>
        <v>11</v>
      </c>
      <c r="C111" cm="1">
        <f t="array" ref="C111">SUMPRODUCT((Task_Table1!$C$2:$C$568=$C$1)*(A111&gt;Task_Table1!$J$2:$J$568)*(A111&lt;Task_Table1!$K$2:$K$568))</f>
        <v>1</v>
      </c>
      <c r="D111" cm="1">
        <f t="array" ref="D111">SUMPRODUCT((Task_Table1!$C$2:$C$571=$D$1)*(A111&gt;Task_Table1!$J$2:$J$571)*(A111&lt;Task_Table1!$K$2:$K$571))</f>
        <v>0</v>
      </c>
      <c r="E111" cm="1">
        <f t="array" ref="E111">SUMPRODUCT((Task_Table1!$C$2:$C$571=$E$1)*(A111&gt;Task_Table1!$J$2:$J$571)*(A111&lt;Task_Table1!$K$2:$K$571))</f>
        <v>4</v>
      </c>
    </row>
    <row r="112" spans="1:5">
      <c r="A112" s="5">
        <v>45980</v>
      </c>
      <c r="B112" cm="1">
        <f t="array" ref="B112">SUMPRODUCT((Task_Table1!$C$2:$C$571=$B$1)*(A112&gt;Task_Table1!$J$2:$J$571)*(A112&lt;Task_Table1!$K$2:$K$571))</f>
        <v>11</v>
      </c>
      <c r="C112" cm="1">
        <f t="array" ref="C112">SUMPRODUCT((Task_Table1!$C$2:$C$568=$C$1)*(A112&gt;Task_Table1!$J$2:$J$568)*(A112&lt;Task_Table1!$K$2:$K$568))</f>
        <v>1</v>
      </c>
      <c r="D112" cm="1">
        <f t="array" ref="D112">SUMPRODUCT((Task_Table1!$C$2:$C$571=$D$1)*(A112&gt;Task_Table1!$J$2:$J$571)*(A112&lt;Task_Table1!$K$2:$K$571))</f>
        <v>0</v>
      </c>
      <c r="E112" cm="1">
        <f t="array" ref="E112">SUMPRODUCT((Task_Table1!$C$2:$C$571=$E$1)*(A112&gt;Task_Table1!$J$2:$J$571)*(A112&lt;Task_Table1!$K$2:$K$571))</f>
        <v>4</v>
      </c>
    </row>
    <row r="113" spans="1:5">
      <c r="A113" s="5">
        <v>45981</v>
      </c>
      <c r="B113" cm="1">
        <f t="array" ref="B113">SUMPRODUCT((Task_Table1!$C$2:$C$571=$B$1)*(A113&gt;Task_Table1!$J$2:$J$571)*(A113&lt;Task_Table1!$K$2:$K$571))</f>
        <v>11</v>
      </c>
      <c r="C113" cm="1">
        <f t="array" ref="C113">SUMPRODUCT((Task_Table1!$C$2:$C$568=$C$1)*(A113&gt;Task_Table1!$J$2:$J$568)*(A113&lt;Task_Table1!$K$2:$K$568))</f>
        <v>1</v>
      </c>
      <c r="D113" cm="1">
        <f t="array" ref="D113">SUMPRODUCT((Task_Table1!$C$2:$C$571=$D$1)*(A113&gt;Task_Table1!$J$2:$J$571)*(A113&lt;Task_Table1!$K$2:$K$571))</f>
        <v>0</v>
      </c>
      <c r="E113" cm="1">
        <f t="array" ref="E113">SUMPRODUCT((Task_Table1!$C$2:$C$571=$E$1)*(A113&gt;Task_Table1!$J$2:$J$571)*(A113&lt;Task_Table1!$K$2:$K$571))</f>
        <v>4</v>
      </c>
    </row>
    <row r="114" spans="1:5">
      <c r="A114" s="5">
        <v>45982</v>
      </c>
      <c r="B114" cm="1">
        <f t="array" ref="B114">SUMPRODUCT((Task_Table1!$C$2:$C$571=$B$1)*(A114&gt;Task_Table1!$J$2:$J$571)*(A114&lt;Task_Table1!$K$2:$K$571))</f>
        <v>11</v>
      </c>
      <c r="C114" cm="1">
        <f t="array" ref="C114">SUMPRODUCT((Task_Table1!$C$2:$C$568=$C$1)*(A114&gt;Task_Table1!$J$2:$J$568)*(A114&lt;Task_Table1!$K$2:$K$568))</f>
        <v>1</v>
      </c>
      <c r="D114" cm="1">
        <f t="array" ref="D114">SUMPRODUCT((Task_Table1!$C$2:$C$571=$D$1)*(A114&gt;Task_Table1!$J$2:$J$571)*(A114&lt;Task_Table1!$K$2:$K$571))</f>
        <v>0</v>
      </c>
      <c r="E114" cm="1">
        <f t="array" ref="E114">SUMPRODUCT((Task_Table1!$C$2:$C$571=$E$1)*(A114&gt;Task_Table1!$J$2:$J$571)*(A114&lt;Task_Table1!$K$2:$K$571))</f>
        <v>4</v>
      </c>
    </row>
    <row r="115" spans="1:5">
      <c r="A115" s="5">
        <v>45983</v>
      </c>
      <c r="B115" cm="1">
        <f t="array" ref="B115">SUMPRODUCT((Task_Table1!$C$2:$C$571=$B$1)*(A115&gt;Task_Table1!$J$2:$J$571)*(A115&lt;Task_Table1!$K$2:$K$571))</f>
        <v>11</v>
      </c>
      <c r="C115" cm="1">
        <f t="array" ref="C115">SUMPRODUCT((Task_Table1!$C$2:$C$568=$C$1)*(A115&gt;Task_Table1!$J$2:$J$568)*(A115&lt;Task_Table1!$K$2:$K$568))</f>
        <v>1</v>
      </c>
      <c r="D115" cm="1">
        <f t="array" ref="D115">SUMPRODUCT((Task_Table1!$C$2:$C$571=$D$1)*(A115&gt;Task_Table1!$J$2:$J$571)*(A115&lt;Task_Table1!$K$2:$K$571))</f>
        <v>0</v>
      </c>
      <c r="E115" cm="1">
        <f t="array" ref="E115">SUMPRODUCT((Task_Table1!$C$2:$C$571=$E$1)*(A115&gt;Task_Table1!$J$2:$J$571)*(A115&lt;Task_Table1!$K$2:$K$571))</f>
        <v>4</v>
      </c>
    </row>
    <row r="116" spans="1:5">
      <c r="A116" s="5">
        <v>45984</v>
      </c>
      <c r="B116" cm="1">
        <f t="array" ref="B116">SUMPRODUCT((Task_Table1!$C$2:$C$571=$B$1)*(A116&gt;Task_Table1!$J$2:$J$571)*(A116&lt;Task_Table1!$K$2:$K$571))</f>
        <v>11</v>
      </c>
      <c r="C116" cm="1">
        <f t="array" ref="C116">SUMPRODUCT((Task_Table1!$C$2:$C$568=$C$1)*(A116&gt;Task_Table1!$J$2:$J$568)*(A116&lt;Task_Table1!$K$2:$K$568))</f>
        <v>1</v>
      </c>
      <c r="D116" cm="1">
        <f t="array" ref="D116">SUMPRODUCT((Task_Table1!$C$2:$C$571=$D$1)*(A116&gt;Task_Table1!$J$2:$J$571)*(A116&lt;Task_Table1!$K$2:$K$571))</f>
        <v>0</v>
      </c>
      <c r="E116" cm="1">
        <f t="array" ref="E116">SUMPRODUCT((Task_Table1!$C$2:$C$571=$E$1)*(A116&gt;Task_Table1!$J$2:$J$571)*(A116&lt;Task_Table1!$K$2:$K$571))</f>
        <v>4</v>
      </c>
    </row>
    <row r="117" spans="1:5">
      <c r="A117" s="5">
        <v>45985</v>
      </c>
      <c r="B117" cm="1">
        <f t="array" ref="B117">SUMPRODUCT((Task_Table1!$C$2:$C$571=$B$1)*(A117&gt;Task_Table1!$J$2:$J$571)*(A117&lt;Task_Table1!$K$2:$K$571))</f>
        <v>11</v>
      </c>
      <c r="C117" cm="1">
        <f t="array" ref="C117">SUMPRODUCT((Task_Table1!$C$2:$C$568=$C$1)*(A117&gt;Task_Table1!$J$2:$J$568)*(A117&lt;Task_Table1!$K$2:$K$568))</f>
        <v>1</v>
      </c>
      <c r="D117" cm="1">
        <f t="array" ref="D117">SUMPRODUCT((Task_Table1!$C$2:$C$571=$D$1)*(A117&gt;Task_Table1!$J$2:$J$571)*(A117&lt;Task_Table1!$K$2:$K$571))</f>
        <v>0</v>
      </c>
      <c r="E117" cm="1">
        <f t="array" ref="E117">SUMPRODUCT((Task_Table1!$C$2:$C$571=$E$1)*(A117&gt;Task_Table1!$J$2:$J$571)*(A117&lt;Task_Table1!$K$2:$K$571))</f>
        <v>4</v>
      </c>
    </row>
    <row r="118" spans="1:5">
      <c r="A118" s="5">
        <v>45986</v>
      </c>
      <c r="B118" cm="1">
        <f t="array" ref="B118">SUMPRODUCT((Task_Table1!$C$2:$C$571=$B$1)*(A118&gt;Task_Table1!$J$2:$J$571)*(A118&lt;Task_Table1!$K$2:$K$571))</f>
        <v>11</v>
      </c>
      <c r="C118" cm="1">
        <f t="array" ref="C118">SUMPRODUCT((Task_Table1!$C$2:$C$568=$C$1)*(A118&gt;Task_Table1!$J$2:$J$568)*(A118&lt;Task_Table1!$K$2:$K$568))</f>
        <v>1</v>
      </c>
      <c r="D118" cm="1">
        <f t="array" ref="D118">SUMPRODUCT((Task_Table1!$C$2:$C$571=$D$1)*(A118&gt;Task_Table1!$J$2:$J$571)*(A118&lt;Task_Table1!$K$2:$K$571))</f>
        <v>0</v>
      </c>
      <c r="E118" cm="1">
        <f t="array" ref="E118">SUMPRODUCT((Task_Table1!$C$2:$C$571=$E$1)*(A118&gt;Task_Table1!$J$2:$J$571)*(A118&lt;Task_Table1!$K$2:$K$571))</f>
        <v>4</v>
      </c>
    </row>
    <row r="119" spans="1:5">
      <c r="A119" s="5">
        <v>45987</v>
      </c>
      <c r="B119" cm="1">
        <f t="array" ref="B119">SUMPRODUCT((Task_Table1!$C$2:$C$571=$B$1)*(A119&gt;Task_Table1!$J$2:$J$571)*(A119&lt;Task_Table1!$K$2:$K$571))</f>
        <v>11</v>
      </c>
      <c r="C119" cm="1">
        <f t="array" ref="C119">SUMPRODUCT((Task_Table1!$C$2:$C$568=$C$1)*(A119&gt;Task_Table1!$J$2:$J$568)*(A119&lt;Task_Table1!$K$2:$K$568))</f>
        <v>1</v>
      </c>
      <c r="D119" cm="1">
        <f t="array" ref="D119">SUMPRODUCT((Task_Table1!$C$2:$C$571=$D$1)*(A119&gt;Task_Table1!$J$2:$J$571)*(A119&lt;Task_Table1!$K$2:$K$571))</f>
        <v>0</v>
      </c>
      <c r="E119" cm="1">
        <f t="array" ref="E119">SUMPRODUCT((Task_Table1!$C$2:$C$571=$E$1)*(A119&gt;Task_Table1!$J$2:$J$571)*(A119&lt;Task_Table1!$K$2:$K$571))</f>
        <v>4</v>
      </c>
    </row>
    <row r="120" spans="1:5">
      <c r="A120" s="5">
        <v>45988</v>
      </c>
      <c r="B120" cm="1">
        <f t="array" ref="B120">SUMPRODUCT((Task_Table1!$C$2:$C$571=$B$1)*(A120&gt;Task_Table1!$J$2:$J$571)*(A120&lt;Task_Table1!$K$2:$K$571))</f>
        <v>11</v>
      </c>
      <c r="C120" cm="1">
        <f t="array" ref="C120">SUMPRODUCT((Task_Table1!$C$2:$C$568=$C$1)*(A120&gt;Task_Table1!$J$2:$J$568)*(A120&lt;Task_Table1!$K$2:$K$568))</f>
        <v>1</v>
      </c>
      <c r="D120" cm="1">
        <f t="array" ref="D120">SUMPRODUCT((Task_Table1!$C$2:$C$571=$D$1)*(A120&gt;Task_Table1!$J$2:$J$571)*(A120&lt;Task_Table1!$K$2:$K$571))</f>
        <v>0</v>
      </c>
      <c r="E120" cm="1">
        <f t="array" ref="E120">SUMPRODUCT((Task_Table1!$C$2:$C$571=$E$1)*(A120&gt;Task_Table1!$J$2:$J$571)*(A120&lt;Task_Table1!$K$2:$K$571))</f>
        <v>4</v>
      </c>
    </row>
    <row r="121" spans="1:5">
      <c r="A121" s="5">
        <v>45989</v>
      </c>
      <c r="B121" cm="1">
        <f t="array" ref="B121">SUMPRODUCT((Task_Table1!$C$2:$C$571=$B$1)*(A121&gt;Task_Table1!$J$2:$J$571)*(A121&lt;Task_Table1!$K$2:$K$571))</f>
        <v>11</v>
      </c>
      <c r="C121" cm="1">
        <f t="array" ref="C121">SUMPRODUCT((Task_Table1!$C$2:$C$568=$C$1)*(A121&gt;Task_Table1!$J$2:$J$568)*(A121&lt;Task_Table1!$K$2:$K$568))</f>
        <v>1</v>
      </c>
      <c r="D121" cm="1">
        <f t="array" ref="D121">SUMPRODUCT((Task_Table1!$C$2:$C$571=$D$1)*(A121&gt;Task_Table1!$J$2:$J$571)*(A121&lt;Task_Table1!$K$2:$K$571))</f>
        <v>0</v>
      </c>
      <c r="E121" cm="1">
        <f t="array" ref="E121">SUMPRODUCT((Task_Table1!$C$2:$C$571=$E$1)*(A121&gt;Task_Table1!$J$2:$J$571)*(A121&lt;Task_Table1!$K$2:$K$571))</f>
        <v>4</v>
      </c>
    </row>
    <row r="122" spans="1:5">
      <c r="A122" s="5">
        <v>45990</v>
      </c>
      <c r="B122" cm="1">
        <f t="array" ref="B122">SUMPRODUCT((Task_Table1!$C$2:$C$571=$B$1)*(A122&gt;Task_Table1!$J$2:$J$571)*(A122&lt;Task_Table1!$K$2:$K$571))</f>
        <v>11</v>
      </c>
      <c r="C122" cm="1">
        <f t="array" ref="C122">SUMPRODUCT((Task_Table1!$C$2:$C$568=$C$1)*(A122&gt;Task_Table1!$J$2:$J$568)*(A122&lt;Task_Table1!$K$2:$K$568))</f>
        <v>1</v>
      </c>
      <c r="D122" cm="1">
        <f t="array" ref="D122">SUMPRODUCT((Task_Table1!$C$2:$C$571=$D$1)*(A122&gt;Task_Table1!$J$2:$J$571)*(A122&lt;Task_Table1!$K$2:$K$571))</f>
        <v>0</v>
      </c>
      <c r="E122" cm="1">
        <f t="array" ref="E122">SUMPRODUCT((Task_Table1!$C$2:$C$571=$E$1)*(A122&gt;Task_Table1!$J$2:$J$571)*(A122&lt;Task_Table1!$K$2:$K$571))</f>
        <v>4</v>
      </c>
    </row>
    <row r="123" spans="1:5">
      <c r="A123" s="5">
        <v>45991</v>
      </c>
      <c r="B123" cm="1">
        <f t="array" ref="B123">SUMPRODUCT((Task_Table1!$C$2:$C$571=$B$1)*(A123&gt;Task_Table1!$J$2:$J$571)*(A123&lt;Task_Table1!$K$2:$K$571))</f>
        <v>10</v>
      </c>
      <c r="C123" cm="1">
        <f t="array" ref="C123">SUMPRODUCT((Task_Table1!$C$2:$C$568=$C$1)*(A123&gt;Task_Table1!$J$2:$J$568)*(A123&lt;Task_Table1!$K$2:$K$568))</f>
        <v>1</v>
      </c>
      <c r="D123" cm="1">
        <f t="array" ref="D123">SUMPRODUCT((Task_Table1!$C$2:$C$571=$D$1)*(A123&gt;Task_Table1!$J$2:$J$571)*(A123&lt;Task_Table1!$K$2:$K$571))</f>
        <v>0</v>
      </c>
      <c r="E123" cm="1">
        <f t="array" ref="E123">SUMPRODUCT((Task_Table1!$C$2:$C$571=$E$1)*(A123&gt;Task_Table1!$J$2:$J$571)*(A123&lt;Task_Table1!$K$2:$K$571))</f>
        <v>4</v>
      </c>
    </row>
    <row r="124" spans="1:5">
      <c r="A124" s="5">
        <v>45992</v>
      </c>
      <c r="B124" cm="1">
        <f t="array" ref="B124">SUMPRODUCT((Task_Table1!$C$2:$C$571=$B$1)*(A124&gt;Task_Table1!$J$2:$J$571)*(A124&lt;Task_Table1!$K$2:$K$571))</f>
        <v>10</v>
      </c>
      <c r="C124" cm="1">
        <f t="array" ref="C124">SUMPRODUCT((Task_Table1!$C$2:$C$568=$C$1)*(A124&gt;Task_Table1!$J$2:$J$568)*(A124&lt;Task_Table1!$K$2:$K$568))</f>
        <v>1</v>
      </c>
      <c r="D124" cm="1">
        <f t="array" ref="D124">SUMPRODUCT((Task_Table1!$C$2:$C$571=$D$1)*(A124&gt;Task_Table1!$J$2:$J$571)*(A124&lt;Task_Table1!$K$2:$K$571))</f>
        <v>0</v>
      </c>
      <c r="E124" cm="1">
        <f t="array" ref="E124">SUMPRODUCT((Task_Table1!$C$2:$C$571=$E$1)*(A124&gt;Task_Table1!$J$2:$J$571)*(A124&lt;Task_Table1!$K$2:$K$571))</f>
        <v>4</v>
      </c>
    </row>
    <row r="125" spans="1:5">
      <c r="A125" s="5">
        <v>45993</v>
      </c>
      <c r="B125" cm="1">
        <f t="array" ref="B125">SUMPRODUCT((Task_Table1!$C$2:$C$571=$B$1)*(A125&gt;Task_Table1!$J$2:$J$571)*(A125&lt;Task_Table1!$K$2:$K$571))</f>
        <v>10</v>
      </c>
      <c r="C125" cm="1">
        <f t="array" ref="C125">SUMPRODUCT((Task_Table1!$C$2:$C$568=$C$1)*(A125&gt;Task_Table1!$J$2:$J$568)*(A125&lt;Task_Table1!$K$2:$K$568))</f>
        <v>1</v>
      </c>
      <c r="D125" cm="1">
        <f t="array" ref="D125">SUMPRODUCT((Task_Table1!$C$2:$C$571=$D$1)*(A125&gt;Task_Table1!$J$2:$J$571)*(A125&lt;Task_Table1!$K$2:$K$571))</f>
        <v>0</v>
      </c>
      <c r="E125" cm="1">
        <f t="array" ref="E125">SUMPRODUCT((Task_Table1!$C$2:$C$571=$E$1)*(A125&gt;Task_Table1!$J$2:$J$571)*(A125&lt;Task_Table1!$K$2:$K$571))</f>
        <v>5</v>
      </c>
    </row>
    <row r="126" spans="1:5">
      <c r="A126" s="5">
        <v>45994</v>
      </c>
      <c r="B126" cm="1">
        <f t="array" ref="B126">SUMPRODUCT((Task_Table1!$C$2:$C$571=$B$1)*(A126&gt;Task_Table1!$J$2:$J$571)*(A126&lt;Task_Table1!$K$2:$K$571))</f>
        <v>10</v>
      </c>
      <c r="C126" cm="1">
        <f t="array" ref="C126">SUMPRODUCT((Task_Table1!$C$2:$C$568=$C$1)*(A126&gt;Task_Table1!$J$2:$J$568)*(A126&lt;Task_Table1!$K$2:$K$568))</f>
        <v>1</v>
      </c>
      <c r="D126" cm="1">
        <f t="array" ref="D126">SUMPRODUCT((Task_Table1!$C$2:$C$571=$D$1)*(A126&gt;Task_Table1!$J$2:$J$571)*(A126&lt;Task_Table1!$K$2:$K$571))</f>
        <v>0</v>
      </c>
      <c r="E126" cm="1">
        <f t="array" ref="E126">SUMPRODUCT((Task_Table1!$C$2:$C$571=$E$1)*(A126&gt;Task_Table1!$J$2:$J$571)*(A126&lt;Task_Table1!$K$2:$K$571))</f>
        <v>5</v>
      </c>
    </row>
    <row r="127" spans="1:5">
      <c r="A127" s="5">
        <v>45995</v>
      </c>
      <c r="B127" cm="1">
        <f t="array" ref="B127">SUMPRODUCT((Task_Table1!$C$2:$C$571=$B$1)*(A127&gt;Task_Table1!$J$2:$J$571)*(A127&lt;Task_Table1!$K$2:$K$571))</f>
        <v>10</v>
      </c>
      <c r="C127" cm="1">
        <f t="array" ref="C127">SUMPRODUCT((Task_Table1!$C$2:$C$568=$C$1)*(A127&gt;Task_Table1!$J$2:$J$568)*(A127&lt;Task_Table1!$K$2:$K$568))</f>
        <v>1</v>
      </c>
      <c r="D127" cm="1">
        <f t="array" ref="D127">SUMPRODUCT((Task_Table1!$C$2:$C$571=$D$1)*(A127&gt;Task_Table1!$J$2:$J$571)*(A127&lt;Task_Table1!$K$2:$K$571))</f>
        <v>0</v>
      </c>
      <c r="E127" cm="1">
        <f t="array" ref="E127">SUMPRODUCT((Task_Table1!$C$2:$C$571=$E$1)*(A127&gt;Task_Table1!$J$2:$J$571)*(A127&lt;Task_Table1!$K$2:$K$571))</f>
        <v>5</v>
      </c>
    </row>
    <row r="128" spans="1:5">
      <c r="A128" s="5">
        <v>45996</v>
      </c>
      <c r="B128" cm="1">
        <f t="array" ref="B128">SUMPRODUCT((Task_Table1!$C$2:$C$571=$B$1)*(A128&gt;Task_Table1!$J$2:$J$571)*(A128&lt;Task_Table1!$K$2:$K$571))</f>
        <v>10</v>
      </c>
      <c r="C128" cm="1">
        <f t="array" ref="C128">SUMPRODUCT((Task_Table1!$C$2:$C$568=$C$1)*(A128&gt;Task_Table1!$J$2:$J$568)*(A128&lt;Task_Table1!$K$2:$K$568))</f>
        <v>1</v>
      </c>
      <c r="D128" cm="1">
        <f t="array" ref="D128">SUMPRODUCT((Task_Table1!$C$2:$C$571=$D$1)*(A128&gt;Task_Table1!$J$2:$J$571)*(A128&lt;Task_Table1!$K$2:$K$571))</f>
        <v>0</v>
      </c>
      <c r="E128" cm="1">
        <f t="array" ref="E128">SUMPRODUCT((Task_Table1!$C$2:$C$571=$E$1)*(A128&gt;Task_Table1!$J$2:$J$571)*(A128&lt;Task_Table1!$K$2:$K$571))</f>
        <v>5</v>
      </c>
    </row>
    <row r="129" spans="1:5">
      <c r="A129" s="5">
        <v>45997</v>
      </c>
      <c r="B129" cm="1">
        <f t="array" ref="B129">SUMPRODUCT((Task_Table1!$C$2:$C$571=$B$1)*(A129&gt;Task_Table1!$J$2:$J$571)*(A129&lt;Task_Table1!$K$2:$K$571))</f>
        <v>10</v>
      </c>
      <c r="C129" cm="1">
        <f t="array" ref="C129">SUMPRODUCT((Task_Table1!$C$2:$C$568=$C$1)*(A129&gt;Task_Table1!$J$2:$J$568)*(A129&lt;Task_Table1!$K$2:$K$568))</f>
        <v>1</v>
      </c>
      <c r="D129" cm="1">
        <f t="array" ref="D129">SUMPRODUCT((Task_Table1!$C$2:$C$571=$D$1)*(A129&gt;Task_Table1!$J$2:$J$571)*(A129&lt;Task_Table1!$K$2:$K$571))</f>
        <v>0</v>
      </c>
      <c r="E129" cm="1">
        <f t="array" ref="E129">SUMPRODUCT((Task_Table1!$C$2:$C$571=$E$1)*(A129&gt;Task_Table1!$J$2:$J$571)*(A129&lt;Task_Table1!$K$2:$K$571))</f>
        <v>5</v>
      </c>
    </row>
    <row r="130" spans="1:5">
      <c r="A130" s="5">
        <v>45998</v>
      </c>
      <c r="B130" cm="1">
        <f t="array" ref="B130">SUMPRODUCT((Task_Table1!$C$2:$C$571=$B$1)*(A130&gt;Task_Table1!$J$2:$J$571)*(A130&lt;Task_Table1!$K$2:$K$571))</f>
        <v>10</v>
      </c>
      <c r="C130" cm="1">
        <f t="array" ref="C130">SUMPRODUCT((Task_Table1!$C$2:$C$568=$C$1)*(A130&gt;Task_Table1!$J$2:$J$568)*(A130&lt;Task_Table1!$K$2:$K$568))</f>
        <v>1</v>
      </c>
      <c r="D130" cm="1">
        <f t="array" ref="D130">SUMPRODUCT((Task_Table1!$C$2:$C$571=$D$1)*(A130&gt;Task_Table1!$J$2:$J$571)*(A130&lt;Task_Table1!$K$2:$K$571))</f>
        <v>0</v>
      </c>
      <c r="E130" cm="1">
        <f t="array" ref="E130">SUMPRODUCT((Task_Table1!$C$2:$C$571=$E$1)*(A130&gt;Task_Table1!$J$2:$J$571)*(A130&lt;Task_Table1!$K$2:$K$571))</f>
        <v>5</v>
      </c>
    </row>
    <row r="131" spans="1:5">
      <c r="A131" s="5">
        <v>45999</v>
      </c>
      <c r="B131" cm="1">
        <f t="array" ref="B131">SUMPRODUCT((Task_Table1!$C$2:$C$571=$B$1)*(A131&gt;Task_Table1!$J$2:$J$571)*(A131&lt;Task_Table1!$K$2:$K$571))</f>
        <v>10</v>
      </c>
      <c r="C131" cm="1">
        <f t="array" ref="C131">SUMPRODUCT((Task_Table1!$C$2:$C$568=$C$1)*(A131&gt;Task_Table1!$J$2:$J$568)*(A131&lt;Task_Table1!$K$2:$K$568))</f>
        <v>1</v>
      </c>
      <c r="D131" cm="1">
        <f t="array" ref="D131">SUMPRODUCT((Task_Table1!$C$2:$C$571=$D$1)*(A131&gt;Task_Table1!$J$2:$J$571)*(A131&lt;Task_Table1!$K$2:$K$571))</f>
        <v>0</v>
      </c>
      <c r="E131" cm="1">
        <f t="array" ref="E131">SUMPRODUCT((Task_Table1!$C$2:$C$571=$E$1)*(A131&gt;Task_Table1!$J$2:$J$571)*(A131&lt;Task_Table1!$K$2:$K$571))</f>
        <v>5</v>
      </c>
    </row>
    <row r="132" spans="1:5">
      <c r="A132" s="5">
        <v>46000</v>
      </c>
      <c r="B132" cm="1">
        <f t="array" ref="B132">SUMPRODUCT((Task_Table1!$C$2:$C$571=$B$1)*(A132&gt;Task_Table1!$J$2:$J$571)*(A132&lt;Task_Table1!$K$2:$K$571))</f>
        <v>10</v>
      </c>
      <c r="C132" cm="1">
        <f t="array" ref="C132">SUMPRODUCT((Task_Table1!$C$2:$C$568=$C$1)*(A132&gt;Task_Table1!$J$2:$J$568)*(A132&lt;Task_Table1!$K$2:$K$568))</f>
        <v>1</v>
      </c>
      <c r="D132" cm="1">
        <f t="array" ref="D132">SUMPRODUCT((Task_Table1!$C$2:$C$571=$D$1)*(A132&gt;Task_Table1!$J$2:$J$571)*(A132&lt;Task_Table1!$K$2:$K$571))</f>
        <v>0</v>
      </c>
      <c r="E132" cm="1">
        <f t="array" ref="E132">SUMPRODUCT((Task_Table1!$C$2:$C$571=$E$1)*(A132&gt;Task_Table1!$J$2:$J$571)*(A132&lt;Task_Table1!$K$2:$K$571))</f>
        <v>5</v>
      </c>
    </row>
    <row r="133" spans="1:5">
      <c r="A133" s="5">
        <v>46001</v>
      </c>
      <c r="B133" cm="1">
        <f t="array" ref="B133">SUMPRODUCT((Task_Table1!$C$2:$C$571=$B$1)*(A133&gt;Task_Table1!$J$2:$J$571)*(A133&lt;Task_Table1!$K$2:$K$571))</f>
        <v>10</v>
      </c>
      <c r="C133" cm="1">
        <f t="array" ref="C133">SUMPRODUCT((Task_Table1!$C$2:$C$568=$C$1)*(A133&gt;Task_Table1!$J$2:$J$568)*(A133&lt;Task_Table1!$K$2:$K$568))</f>
        <v>1</v>
      </c>
      <c r="D133" cm="1">
        <f t="array" ref="D133">SUMPRODUCT((Task_Table1!$C$2:$C$571=$D$1)*(A133&gt;Task_Table1!$J$2:$J$571)*(A133&lt;Task_Table1!$K$2:$K$571))</f>
        <v>0</v>
      </c>
      <c r="E133" cm="1">
        <f t="array" ref="E133">SUMPRODUCT((Task_Table1!$C$2:$C$571=$E$1)*(A133&gt;Task_Table1!$J$2:$J$571)*(A133&lt;Task_Table1!$K$2:$K$571))</f>
        <v>5</v>
      </c>
    </row>
    <row r="134" spans="1:5">
      <c r="A134" s="5">
        <v>46002</v>
      </c>
      <c r="B134" cm="1">
        <f t="array" ref="B134">SUMPRODUCT((Task_Table1!$C$2:$C$571=$B$1)*(A134&gt;Task_Table1!$J$2:$J$571)*(A134&lt;Task_Table1!$K$2:$K$571))</f>
        <v>10</v>
      </c>
      <c r="C134" cm="1">
        <f t="array" ref="C134">SUMPRODUCT((Task_Table1!$C$2:$C$568=$C$1)*(A134&gt;Task_Table1!$J$2:$J$568)*(A134&lt;Task_Table1!$K$2:$K$568))</f>
        <v>1</v>
      </c>
      <c r="D134" cm="1">
        <f t="array" ref="D134">SUMPRODUCT((Task_Table1!$C$2:$C$571=$D$1)*(A134&gt;Task_Table1!$J$2:$J$571)*(A134&lt;Task_Table1!$K$2:$K$571))</f>
        <v>0</v>
      </c>
      <c r="E134" cm="1">
        <f t="array" ref="E134">SUMPRODUCT((Task_Table1!$C$2:$C$571=$E$1)*(A134&gt;Task_Table1!$J$2:$J$571)*(A134&lt;Task_Table1!$K$2:$K$571))</f>
        <v>5</v>
      </c>
    </row>
    <row r="135" spans="1:5">
      <c r="A135" s="5">
        <v>46003</v>
      </c>
      <c r="B135" cm="1">
        <f t="array" ref="B135">SUMPRODUCT((Task_Table1!$C$2:$C$571=$B$1)*(A135&gt;Task_Table1!$J$2:$J$571)*(A135&lt;Task_Table1!$K$2:$K$571))</f>
        <v>10</v>
      </c>
      <c r="C135" cm="1">
        <f t="array" ref="C135">SUMPRODUCT((Task_Table1!$C$2:$C$568=$C$1)*(A135&gt;Task_Table1!$J$2:$J$568)*(A135&lt;Task_Table1!$K$2:$K$568))</f>
        <v>1</v>
      </c>
      <c r="D135" cm="1">
        <f t="array" ref="D135">SUMPRODUCT((Task_Table1!$C$2:$C$571=$D$1)*(A135&gt;Task_Table1!$J$2:$J$571)*(A135&lt;Task_Table1!$K$2:$K$571))</f>
        <v>0</v>
      </c>
      <c r="E135" cm="1">
        <f t="array" ref="E135">SUMPRODUCT((Task_Table1!$C$2:$C$571=$E$1)*(A135&gt;Task_Table1!$J$2:$J$571)*(A135&lt;Task_Table1!$K$2:$K$571))</f>
        <v>5</v>
      </c>
    </row>
    <row r="136" spans="1:5">
      <c r="A136" s="5">
        <v>46004</v>
      </c>
      <c r="B136" cm="1">
        <f t="array" ref="B136">SUMPRODUCT((Task_Table1!$C$2:$C$571=$B$1)*(A136&gt;Task_Table1!$J$2:$J$571)*(A136&lt;Task_Table1!$K$2:$K$571))</f>
        <v>10</v>
      </c>
      <c r="C136" cm="1">
        <f t="array" ref="C136">SUMPRODUCT((Task_Table1!$C$2:$C$568=$C$1)*(A136&gt;Task_Table1!$J$2:$J$568)*(A136&lt;Task_Table1!$K$2:$K$568))</f>
        <v>1</v>
      </c>
      <c r="D136" cm="1">
        <f t="array" ref="D136">SUMPRODUCT((Task_Table1!$C$2:$C$571=$D$1)*(A136&gt;Task_Table1!$J$2:$J$571)*(A136&lt;Task_Table1!$K$2:$K$571))</f>
        <v>0</v>
      </c>
      <c r="E136" cm="1">
        <f t="array" ref="E136">SUMPRODUCT((Task_Table1!$C$2:$C$571=$E$1)*(A136&gt;Task_Table1!$J$2:$J$571)*(A136&lt;Task_Table1!$K$2:$K$571))</f>
        <v>5</v>
      </c>
    </row>
    <row r="137" spans="1:5">
      <c r="A137" s="5">
        <v>46005</v>
      </c>
      <c r="B137" cm="1">
        <f t="array" ref="B137">SUMPRODUCT((Task_Table1!$C$2:$C$571=$B$1)*(A137&gt;Task_Table1!$J$2:$J$571)*(A137&lt;Task_Table1!$K$2:$K$571))</f>
        <v>10</v>
      </c>
      <c r="C137" cm="1">
        <f t="array" ref="C137">SUMPRODUCT((Task_Table1!$C$2:$C$568=$C$1)*(A137&gt;Task_Table1!$J$2:$J$568)*(A137&lt;Task_Table1!$K$2:$K$568))</f>
        <v>1</v>
      </c>
      <c r="D137" cm="1">
        <f t="array" ref="D137">SUMPRODUCT((Task_Table1!$C$2:$C$571=$D$1)*(A137&gt;Task_Table1!$J$2:$J$571)*(A137&lt;Task_Table1!$K$2:$K$571))</f>
        <v>0</v>
      </c>
      <c r="E137" cm="1">
        <f t="array" ref="E137">SUMPRODUCT((Task_Table1!$C$2:$C$571=$E$1)*(A137&gt;Task_Table1!$J$2:$J$571)*(A137&lt;Task_Table1!$K$2:$K$571))</f>
        <v>5</v>
      </c>
    </row>
    <row r="138" spans="1:5">
      <c r="A138" s="5">
        <v>46006</v>
      </c>
      <c r="B138" cm="1">
        <f t="array" ref="B138">SUMPRODUCT((Task_Table1!$C$2:$C$571=$B$1)*(A138&gt;Task_Table1!$J$2:$J$571)*(A138&lt;Task_Table1!$K$2:$K$571))</f>
        <v>10</v>
      </c>
      <c r="C138" cm="1">
        <f t="array" ref="C138">SUMPRODUCT((Task_Table1!$C$2:$C$568=$C$1)*(A138&gt;Task_Table1!$J$2:$J$568)*(A138&lt;Task_Table1!$K$2:$K$568))</f>
        <v>1</v>
      </c>
      <c r="D138" cm="1">
        <f t="array" ref="D138">SUMPRODUCT((Task_Table1!$C$2:$C$571=$D$1)*(A138&gt;Task_Table1!$J$2:$J$571)*(A138&lt;Task_Table1!$K$2:$K$571))</f>
        <v>0</v>
      </c>
      <c r="E138" cm="1">
        <f t="array" ref="E138">SUMPRODUCT((Task_Table1!$C$2:$C$571=$E$1)*(A138&gt;Task_Table1!$J$2:$J$571)*(A138&lt;Task_Table1!$K$2:$K$571))</f>
        <v>5</v>
      </c>
    </row>
    <row r="139" spans="1:5">
      <c r="A139" s="5">
        <v>46007</v>
      </c>
      <c r="B139" cm="1">
        <f t="array" ref="B139">SUMPRODUCT((Task_Table1!$C$2:$C$571=$B$1)*(A139&gt;Task_Table1!$J$2:$J$571)*(A139&lt;Task_Table1!$K$2:$K$571))</f>
        <v>10</v>
      </c>
      <c r="C139" cm="1">
        <f t="array" ref="C139">SUMPRODUCT((Task_Table1!$C$2:$C$568=$C$1)*(A139&gt;Task_Table1!$J$2:$J$568)*(A139&lt;Task_Table1!$K$2:$K$568))</f>
        <v>1</v>
      </c>
      <c r="D139" cm="1">
        <f t="array" ref="D139">SUMPRODUCT((Task_Table1!$C$2:$C$571=$D$1)*(A139&gt;Task_Table1!$J$2:$J$571)*(A139&lt;Task_Table1!$K$2:$K$571))</f>
        <v>0</v>
      </c>
      <c r="E139" cm="1">
        <f t="array" ref="E139">SUMPRODUCT((Task_Table1!$C$2:$C$571=$E$1)*(A139&gt;Task_Table1!$J$2:$J$571)*(A139&lt;Task_Table1!$K$2:$K$571))</f>
        <v>5</v>
      </c>
    </row>
    <row r="140" spans="1:5">
      <c r="A140" s="5">
        <v>46008</v>
      </c>
      <c r="B140" cm="1">
        <f t="array" ref="B140">SUMPRODUCT((Task_Table1!$C$2:$C$571=$B$1)*(A140&gt;Task_Table1!$J$2:$J$571)*(A140&lt;Task_Table1!$K$2:$K$571))</f>
        <v>10</v>
      </c>
      <c r="C140" cm="1">
        <f t="array" ref="C140">SUMPRODUCT((Task_Table1!$C$2:$C$568=$C$1)*(A140&gt;Task_Table1!$J$2:$J$568)*(A140&lt;Task_Table1!$K$2:$K$568))</f>
        <v>1</v>
      </c>
      <c r="D140" cm="1">
        <f t="array" ref="D140">SUMPRODUCT((Task_Table1!$C$2:$C$571=$D$1)*(A140&gt;Task_Table1!$J$2:$J$571)*(A140&lt;Task_Table1!$K$2:$K$571))</f>
        <v>0</v>
      </c>
      <c r="E140" cm="1">
        <f t="array" ref="E140">SUMPRODUCT((Task_Table1!$C$2:$C$571=$E$1)*(A140&gt;Task_Table1!$J$2:$J$571)*(A140&lt;Task_Table1!$K$2:$K$571))</f>
        <v>5</v>
      </c>
    </row>
    <row r="141" spans="1:5">
      <c r="A141" s="5">
        <v>46009</v>
      </c>
      <c r="B141" cm="1">
        <f t="array" ref="B141">SUMPRODUCT((Task_Table1!$C$2:$C$571=$B$1)*(A141&gt;Task_Table1!$J$2:$J$571)*(A141&lt;Task_Table1!$K$2:$K$571))</f>
        <v>10</v>
      </c>
      <c r="C141" cm="1">
        <f t="array" ref="C141">SUMPRODUCT((Task_Table1!$C$2:$C$568=$C$1)*(A141&gt;Task_Table1!$J$2:$J$568)*(A141&lt;Task_Table1!$K$2:$K$568))</f>
        <v>1</v>
      </c>
      <c r="D141" cm="1">
        <f t="array" ref="D141">SUMPRODUCT((Task_Table1!$C$2:$C$571=$D$1)*(A141&gt;Task_Table1!$J$2:$J$571)*(A141&lt;Task_Table1!$K$2:$K$571))</f>
        <v>0</v>
      </c>
      <c r="E141" cm="1">
        <f t="array" ref="E141">SUMPRODUCT((Task_Table1!$C$2:$C$571=$E$1)*(A141&gt;Task_Table1!$J$2:$J$571)*(A141&lt;Task_Table1!$K$2:$K$571))</f>
        <v>5</v>
      </c>
    </row>
    <row r="142" spans="1:5">
      <c r="A142" s="5">
        <v>46010</v>
      </c>
      <c r="B142" cm="1">
        <f t="array" ref="B142">SUMPRODUCT((Task_Table1!$C$2:$C$571=$B$1)*(A142&gt;Task_Table1!$J$2:$J$571)*(A142&lt;Task_Table1!$K$2:$K$571))</f>
        <v>10</v>
      </c>
      <c r="C142" cm="1">
        <f t="array" ref="C142">SUMPRODUCT((Task_Table1!$C$2:$C$568=$C$1)*(A142&gt;Task_Table1!$J$2:$J$568)*(A142&lt;Task_Table1!$K$2:$K$568))</f>
        <v>1</v>
      </c>
      <c r="D142" cm="1">
        <f t="array" ref="D142">SUMPRODUCT((Task_Table1!$C$2:$C$571=$D$1)*(A142&gt;Task_Table1!$J$2:$J$571)*(A142&lt;Task_Table1!$K$2:$K$571))</f>
        <v>0</v>
      </c>
      <c r="E142" cm="1">
        <f t="array" ref="E142">SUMPRODUCT((Task_Table1!$C$2:$C$571=$E$1)*(A142&gt;Task_Table1!$J$2:$J$571)*(A142&lt;Task_Table1!$K$2:$K$571))</f>
        <v>5</v>
      </c>
    </row>
    <row r="143" spans="1:5">
      <c r="A143" s="5">
        <v>46011</v>
      </c>
      <c r="B143" cm="1">
        <f t="array" ref="B143">SUMPRODUCT((Task_Table1!$C$2:$C$571=$B$1)*(A143&gt;Task_Table1!$J$2:$J$571)*(A143&lt;Task_Table1!$K$2:$K$571))</f>
        <v>10</v>
      </c>
      <c r="C143" cm="1">
        <f t="array" ref="C143">SUMPRODUCT((Task_Table1!$C$2:$C$568=$C$1)*(A143&gt;Task_Table1!$J$2:$J$568)*(A143&lt;Task_Table1!$K$2:$K$568))</f>
        <v>1</v>
      </c>
      <c r="D143" cm="1">
        <f t="array" ref="D143">SUMPRODUCT((Task_Table1!$C$2:$C$571=$D$1)*(A143&gt;Task_Table1!$J$2:$J$571)*(A143&lt;Task_Table1!$K$2:$K$571))</f>
        <v>0</v>
      </c>
      <c r="E143" cm="1">
        <f t="array" ref="E143">SUMPRODUCT((Task_Table1!$C$2:$C$571=$E$1)*(A143&gt;Task_Table1!$J$2:$J$571)*(A143&lt;Task_Table1!$K$2:$K$571))</f>
        <v>5</v>
      </c>
    </row>
    <row r="144" spans="1:5">
      <c r="A144" s="5">
        <v>46012</v>
      </c>
      <c r="B144" cm="1">
        <f t="array" ref="B144">SUMPRODUCT((Task_Table1!$C$2:$C$571=$B$1)*(A144&gt;Task_Table1!$J$2:$J$571)*(A144&lt;Task_Table1!$K$2:$K$571))</f>
        <v>10</v>
      </c>
      <c r="C144" cm="1">
        <f t="array" ref="C144">SUMPRODUCT((Task_Table1!$C$2:$C$568=$C$1)*(A144&gt;Task_Table1!$J$2:$J$568)*(A144&lt;Task_Table1!$K$2:$K$568))</f>
        <v>1</v>
      </c>
      <c r="D144" cm="1">
        <f t="array" ref="D144">SUMPRODUCT((Task_Table1!$C$2:$C$571=$D$1)*(A144&gt;Task_Table1!$J$2:$J$571)*(A144&lt;Task_Table1!$K$2:$K$571))</f>
        <v>0</v>
      </c>
      <c r="E144" cm="1">
        <f t="array" ref="E144">SUMPRODUCT((Task_Table1!$C$2:$C$571=$E$1)*(A144&gt;Task_Table1!$J$2:$J$571)*(A144&lt;Task_Table1!$K$2:$K$571))</f>
        <v>5</v>
      </c>
    </row>
    <row r="145" spans="1:5">
      <c r="A145" s="5">
        <v>46013</v>
      </c>
      <c r="B145" cm="1">
        <f t="array" ref="B145">SUMPRODUCT((Task_Table1!$C$2:$C$571=$B$1)*(A145&gt;Task_Table1!$J$2:$J$571)*(A145&lt;Task_Table1!$K$2:$K$571))</f>
        <v>10</v>
      </c>
      <c r="C145" cm="1">
        <f t="array" ref="C145">SUMPRODUCT((Task_Table1!$C$2:$C$568=$C$1)*(A145&gt;Task_Table1!$J$2:$J$568)*(A145&lt;Task_Table1!$K$2:$K$568))</f>
        <v>1</v>
      </c>
      <c r="D145" cm="1">
        <f t="array" ref="D145">SUMPRODUCT((Task_Table1!$C$2:$C$571=$D$1)*(A145&gt;Task_Table1!$J$2:$J$571)*(A145&lt;Task_Table1!$K$2:$K$571))</f>
        <v>0</v>
      </c>
      <c r="E145" cm="1">
        <f t="array" ref="E145">SUMPRODUCT((Task_Table1!$C$2:$C$571=$E$1)*(A145&gt;Task_Table1!$J$2:$J$571)*(A145&lt;Task_Table1!$K$2:$K$571))</f>
        <v>5</v>
      </c>
    </row>
    <row r="146" spans="1:5">
      <c r="A146" s="5">
        <v>46014</v>
      </c>
      <c r="B146" cm="1">
        <f t="array" ref="B146">SUMPRODUCT((Task_Table1!$C$2:$C$571=$B$1)*(A146&gt;Task_Table1!$J$2:$J$571)*(A146&lt;Task_Table1!$K$2:$K$571))</f>
        <v>8</v>
      </c>
      <c r="C146" cm="1">
        <f t="array" ref="C146">SUMPRODUCT((Task_Table1!$C$2:$C$568=$C$1)*(A146&gt;Task_Table1!$J$2:$J$568)*(A146&lt;Task_Table1!$K$2:$K$568))</f>
        <v>1</v>
      </c>
      <c r="D146" cm="1">
        <f t="array" ref="D146">SUMPRODUCT((Task_Table1!$C$2:$C$571=$D$1)*(A146&gt;Task_Table1!$J$2:$J$571)*(A146&lt;Task_Table1!$K$2:$K$571))</f>
        <v>1</v>
      </c>
      <c r="E146" cm="1">
        <f t="array" ref="E146">SUMPRODUCT((Task_Table1!$C$2:$C$571=$E$1)*(A146&gt;Task_Table1!$J$2:$J$571)*(A146&lt;Task_Table1!$K$2:$K$571))</f>
        <v>5</v>
      </c>
    </row>
    <row r="147" spans="1:5">
      <c r="A147" s="5">
        <v>46015</v>
      </c>
      <c r="B147" cm="1">
        <f t="array" ref="B147">SUMPRODUCT((Task_Table1!$C$2:$C$571=$B$1)*(A147&gt;Task_Table1!$J$2:$J$571)*(A147&lt;Task_Table1!$K$2:$K$571))</f>
        <v>8</v>
      </c>
      <c r="C147" cm="1">
        <f t="array" ref="C147">SUMPRODUCT((Task_Table1!$C$2:$C$568=$C$1)*(A147&gt;Task_Table1!$J$2:$J$568)*(A147&lt;Task_Table1!$K$2:$K$568))</f>
        <v>1</v>
      </c>
      <c r="D147" cm="1">
        <f t="array" ref="D147">SUMPRODUCT((Task_Table1!$C$2:$C$571=$D$1)*(A147&gt;Task_Table1!$J$2:$J$571)*(A147&lt;Task_Table1!$K$2:$K$571))</f>
        <v>1</v>
      </c>
      <c r="E147" cm="1">
        <f t="array" ref="E147">SUMPRODUCT((Task_Table1!$C$2:$C$571=$E$1)*(A147&gt;Task_Table1!$J$2:$J$571)*(A147&lt;Task_Table1!$K$2:$K$571))</f>
        <v>5</v>
      </c>
    </row>
    <row r="148" spans="1:5">
      <c r="A148" s="5">
        <v>46016</v>
      </c>
      <c r="B148" cm="1">
        <f t="array" ref="B148">SUMPRODUCT((Task_Table1!$C$2:$C$571=$B$1)*(A148&gt;Task_Table1!$J$2:$J$571)*(A148&lt;Task_Table1!$K$2:$K$571))</f>
        <v>8</v>
      </c>
      <c r="C148" cm="1">
        <f t="array" ref="C148">SUMPRODUCT((Task_Table1!$C$2:$C$568=$C$1)*(A148&gt;Task_Table1!$J$2:$J$568)*(A148&lt;Task_Table1!$K$2:$K$568))</f>
        <v>1</v>
      </c>
      <c r="D148" cm="1">
        <f t="array" ref="D148">SUMPRODUCT((Task_Table1!$C$2:$C$571=$D$1)*(A148&gt;Task_Table1!$J$2:$J$571)*(A148&lt;Task_Table1!$K$2:$K$571))</f>
        <v>1</v>
      </c>
      <c r="E148" cm="1">
        <f t="array" ref="E148">SUMPRODUCT((Task_Table1!$C$2:$C$571=$E$1)*(A148&gt;Task_Table1!$J$2:$J$571)*(A148&lt;Task_Table1!$K$2:$K$571))</f>
        <v>5</v>
      </c>
    </row>
    <row r="149" spans="1:5">
      <c r="A149" s="5">
        <v>46017</v>
      </c>
      <c r="B149" cm="1">
        <f t="array" ref="B149">SUMPRODUCT((Task_Table1!$C$2:$C$571=$B$1)*(A149&gt;Task_Table1!$J$2:$J$571)*(A149&lt;Task_Table1!$K$2:$K$571))</f>
        <v>8</v>
      </c>
      <c r="C149" cm="1">
        <f t="array" ref="C149">SUMPRODUCT((Task_Table1!$C$2:$C$568=$C$1)*(A149&gt;Task_Table1!$J$2:$J$568)*(A149&lt;Task_Table1!$K$2:$K$568))</f>
        <v>1</v>
      </c>
      <c r="D149" cm="1">
        <f t="array" ref="D149">SUMPRODUCT((Task_Table1!$C$2:$C$571=$D$1)*(A149&gt;Task_Table1!$J$2:$J$571)*(A149&lt;Task_Table1!$K$2:$K$571))</f>
        <v>1</v>
      </c>
      <c r="E149" cm="1">
        <f t="array" ref="E149">SUMPRODUCT((Task_Table1!$C$2:$C$571=$E$1)*(A149&gt;Task_Table1!$J$2:$J$571)*(A149&lt;Task_Table1!$K$2:$K$571))</f>
        <v>5</v>
      </c>
    </row>
    <row r="150" spans="1:5">
      <c r="A150" s="5">
        <v>46018</v>
      </c>
      <c r="B150" cm="1">
        <f t="array" ref="B150">SUMPRODUCT((Task_Table1!$C$2:$C$571=$B$1)*(A150&gt;Task_Table1!$J$2:$J$571)*(A150&lt;Task_Table1!$K$2:$K$571))</f>
        <v>8</v>
      </c>
      <c r="C150" cm="1">
        <f t="array" ref="C150">SUMPRODUCT((Task_Table1!$C$2:$C$568=$C$1)*(A150&gt;Task_Table1!$J$2:$J$568)*(A150&lt;Task_Table1!$K$2:$K$568))</f>
        <v>1</v>
      </c>
      <c r="D150" cm="1">
        <f t="array" ref="D150">SUMPRODUCT((Task_Table1!$C$2:$C$571=$D$1)*(A150&gt;Task_Table1!$J$2:$J$571)*(A150&lt;Task_Table1!$K$2:$K$571))</f>
        <v>1</v>
      </c>
      <c r="E150" cm="1">
        <f t="array" ref="E150">SUMPRODUCT((Task_Table1!$C$2:$C$571=$E$1)*(A150&gt;Task_Table1!$J$2:$J$571)*(A150&lt;Task_Table1!$K$2:$K$571))</f>
        <v>5</v>
      </c>
    </row>
    <row r="151" spans="1:5">
      <c r="A151" s="5">
        <v>46019</v>
      </c>
      <c r="B151" cm="1">
        <f t="array" ref="B151">SUMPRODUCT((Task_Table1!$C$2:$C$571=$B$1)*(A151&gt;Task_Table1!$J$2:$J$571)*(A151&lt;Task_Table1!$K$2:$K$571))</f>
        <v>8</v>
      </c>
      <c r="C151" cm="1">
        <f t="array" ref="C151">SUMPRODUCT((Task_Table1!$C$2:$C$568=$C$1)*(A151&gt;Task_Table1!$J$2:$J$568)*(A151&lt;Task_Table1!$K$2:$K$568))</f>
        <v>1</v>
      </c>
      <c r="D151" cm="1">
        <f t="array" ref="D151">SUMPRODUCT((Task_Table1!$C$2:$C$571=$D$1)*(A151&gt;Task_Table1!$J$2:$J$571)*(A151&lt;Task_Table1!$K$2:$K$571))</f>
        <v>1</v>
      </c>
      <c r="E151" cm="1">
        <f t="array" ref="E151">SUMPRODUCT((Task_Table1!$C$2:$C$571=$E$1)*(A151&gt;Task_Table1!$J$2:$J$571)*(A151&lt;Task_Table1!$K$2:$K$571))</f>
        <v>5</v>
      </c>
    </row>
    <row r="152" spans="1:5">
      <c r="A152" s="5">
        <v>46020</v>
      </c>
      <c r="B152" cm="1">
        <f t="array" ref="B152">SUMPRODUCT((Task_Table1!$C$2:$C$571=$B$1)*(A152&gt;Task_Table1!$J$2:$J$571)*(A152&lt;Task_Table1!$K$2:$K$571))</f>
        <v>8</v>
      </c>
      <c r="C152" cm="1">
        <f t="array" ref="C152">SUMPRODUCT((Task_Table1!$C$2:$C$568=$C$1)*(A152&gt;Task_Table1!$J$2:$J$568)*(A152&lt;Task_Table1!$K$2:$K$568))</f>
        <v>1</v>
      </c>
      <c r="D152" cm="1">
        <f t="array" ref="D152">SUMPRODUCT((Task_Table1!$C$2:$C$571=$D$1)*(A152&gt;Task_Table1!$J$2:$J$571)*(A152&lt;Task_Table1!$K$2:$K$571))</f>
        <v>1</v>
      </c>
      <c r="E152" cm="1">
        <f t="array" ref="E152">SUMPRODUCT((Task_Table1!$C$2:$C$571=$E$1)*(A152&gt;Task_Table1!$J$2:$J$571)*(A152&lt;Task_Table1!$K$2:$K$571))</f>
        <v>5</v>
      </c>
    </row>
    <row r="153" spans="1:5">
      <c r="A153" s="5">
        <v>46021</v>
      </c>
      <c r="B153" cm="1">
        <f t="array" ref="B153">SUMPRODUCT((Task_Table1!$C$2:$C$571=$B$1)*(A153&gt;Task_Table1!$J$2:$J$571)*(A153&lt;Task_Table1!$K$2:$K$571))</f>
        <v>8</v>
      </c>
      <c r="C153" cm="1">
        <f t="array" ref="C153">SUMPRODUCT((Task_Table1!$C$2:$C$568=$C$1)*(A153&gt;Task_Table1!$J$2:$J$568)*(A153&lt;Task_Table1!$K$2:$K$568))</f>
        <v>1</v>
      </c>
      <c r="D153" cm="1">
        <f t="array" ref="D153">SUMPRODUCT((Task_Table1!$C$2:$C$571=$D$1)*(A153&gt;Task_Table1!$J$2:$J$571)*(A153&lt;Task_Table1!$K$2:$K$571))</f>
        <v>1</v>
      </c>
      <c r="E153" cm="1">
        <f t="array" ref="E153">SUMPRODUCT((Task_Table1!$C$2:$C$571=$E$1)*(A153&gt;Task_Table1!$J$2:$J$571)*(A153&lt;Task_Table1!$K$2:$K$571))</f>
        <v>5</v>
      </c>
    </row>
    <row r="154" spans="1:5">
      <c r="A154" s="5">
        <v>46022</v>
      </c>
      <c r="B154" cm="1">
        <f t="array" ref="B154">SUMPRODUCT((Task_Table1!$C$2:$C$571=$B$1)*(A154&gt;Task_Table1!$J$2:$J$571)*(A154&lt;Task_Table1!$K$2:$K$571))</f>
        <v>6</v>
      </c>
      <c r="C154" cm="1">
        <f t="array" ref="C154">SUMPRODUCT((Task_Table1!$C$2:$C$568=$C$1)*(A154&gt;Task_Table1!$J$2:$J$568)*(A154&lt;Task_Table1!$K$2:$K$568))</f>
        <v>1</v>
      </c>
      <c r="D154" cm="1">
        <f t="array" ref="D154">SUMPRODUCT((Task_Table1!$C$2:$C$571=$D$1)*(A154&gt;Task_Table1!$J$2:$J$571)*(A154&lt;Task_Table1!$K$2:$K$571))</f>
        <v>1</v>
      </c>
      <c r="E154" cm="1">
        <f t="array" ref="E154">SUMPRODUCT((Task_Table1!$C$2:$C$571=$E$1)*(A154&gt;Task_Table1!$J$2:$J$571)*(A154&lt;Task_Table1!$K$2:$K$571))</f>
        <v>4</v>
      </c>
    </row>
    <row r="155" spans="1:5">
      <c r="A155" s="5">
        <v>46023</v>
      </c>
      <c r="B155" cm="1">
        <f t="array" ref="B155">SUMPRODUCT((Task_Table1!$C$2:$C$571=$B$1)*(A155&gt;Task_Table1!$J$2:$J$571)*(A155&lt;Task_Table1!$K$2:$K$571))</f>
        <v>6</v>
      </c>
      <c r="C155" cm="1">
        <f t="array" ref="C155">SUMPRODUCT((Task_Table1!$C$2:$C$568=$C$1)*(A155&gt;Task_Table1!$J$2:$J$568)*(A155&lt;Task_Table1!$K$2:$K$568))</f>
        <v>1</v>
      </c>
      <c r="D155" cm="1">
        <f t="array" ref="D155">SUMPRODUCT((Task_Table1!$C$2:$C$571=$D$1)*(A155&gt;Task_Table1!$J$2:$J$571)*(A155&lt;Task_Table1!$K$2:$K$571))</f>
        <v>1</v>
      </c>
      <c r="E155" cm="1">
        <f t="array" ref="E155">SUMPRODUCT((Task_Table1!$C$2:$C$571=$E$1)*(A155&gt;Task_Table1!$J$2:$J$571)*(A155&lt;Task_Table1!$K$2:$K$571))</f>
        <v>4</v>
      </c>
    </row>
    <row r="156" spans="1:5">
      <c r="A156" s="5">
        <v>46024</v>
      </c>
      <c r="B156" cm="1">
        <f t="array" ref="B156">SUMPRODUCT((Task_Table1!$C$2:$C$571=$B$1)*(A156&gt;Task_Table1!$J$2:$J$571)*(A156&lt;Task_Table1!$K$2:$K$571))</f>
        <v>6</v>
      </c>
      <c r="C156" cm="1">
        <f t="array" ref="C156">SUMPRODUCT((Task_Table1!$C$2:$C$568=$C$1)*(A156&gt;Task_Table1!$J$2:$J$568)*(A156&lt;Task_Table1!$K$2:$K$568))</f>
        <v>1</v>
      </c>
      <c r="D156" cm="1">
        <f t="array" ref="D156">SUMPRODUCT((Task_Table1!$C$2:$C$571=$D$1)*(A156&gt;Task_Table1!$J$2:$J$571)*(A156&lt;Task_Table1!$K$2:$K$571))</f>
        <v>1</v>
      </c>
      <c r="E156" cm="1">
        <f t="array" ref="E156">SUMPRODUCT((Task_Table1!$C$2:$C$571=$E$1)*(A156&gt;Task_Table1!$J$2:$J$571)*(A156&lt;Task_Table1!$K$2:$K$571))</f>
        <v>7</v>
      </c>
    </row>
    <row r="157" spans="1:5">
      <c r="A157" s="5">
        <v>46025</v>
      </c>
      <c r="B157" cm="1">
        <f t="array" ref="B157">SUMPRODUCT((Task_Table1!$C$2:$C$571=$B$1)*(A157&gt;Task_Table1!$J$2:$J$571)*(A157&lt;Task_Table1!$K$2:$K$571))</f>
        <v>6</v>
      </c>
      <c r="C157" cm="1">
        <f t="array" ref="C157">SUMPRODUCT((Task_Table1!$C$2:$C$568=$C$1)*(A157&gt;Task_Table1!$J$2:$J$568)*(A157&lt;Task_Table1!$K$2:$K$568))</f>
        <v>1</v>
      </c>
      <c r="D157" cm="1">
        <f t="array" ref="D157">SUMPRODUCT((Task_Table1!$C$2:$C$571=$D$1)*(A157&gt;Task_Table1!$J$2:$J$571)*(A157&lt;Task_Table1!$K$2:$K$571))</f>
        <v>0</v>
      </c>
      <c r="E157" cm="1">
        <f t="array" ref="E157">SUMPRODUCT((Task_Table1!$C$2:$C$571=$E$1)*(A157&gt;Task_Table1!$J$2:$J$571)*(A157&lt;Task_Table1!$K$2:$K$571))</f>
        <v>7</v>
      </c>
    </row>
    <row r="158" spans="1:5">
      <c r="A158" s="5">
        <v>46026</v>
      </c>
      <c r="B158" cm="1">
        <f t="array" ref="B158">SUMPRODUCT((Task_Table1!$C$2:$C$571=$B$1)*(A158&gt;Task_Table1!$J$2:$J$571)*(A158&lt;Task_Table1!$K$2:$K$571))</f>
        <v>6</v>
      </c>
      <c r="C158" cm="1">
        <f t="array" ref="C158">SUMPRODUCT((Task_Table1!$C$2:$C$568=$C$1)*(A158&gt;Task_Table1!$J$2:$J$568)*(A158&lt;Task_Table1!$K$2:$K$568))</f>
        <v>1</v>
      </c>
      <c r="D158" cm="1">
        <f t="array" ref="D158">SUMPRODUCT((Task_Table1!$C$2:$C$571=$D$1)*(A158&gt;Task_Table1!$J$2:$J$571)*(A158&lt;Task_Table1!$K$2:$K$571))</f>
        <v>0</v>
      </c>
      <c r="E158" cm="1">
        <f t="array" ref="E158">SUMPRODUCT((Task_Table1!$C$2:$C$571=$E$1)*(A158&gt;Task_Table1!$J$2:$J$571)*(A158&lt;Task_Table1!$K$2:$K$571))</f>
        <v>7</v>
      </c>
    </row>
    <row r="159" spans="1:5">
      <c r="A159" s="5">
        <v>46027</v>
      </c>
      <c r="B159" cm="1">
        <f t="array" ref="B159">SUMPRODUCT((Task_Table1!$C$2:$C$571=$B$1)*(A159&gt;Task_Table1!$J$2:$J$571)*(A159&lt;Task_Table1!$K$2:$K$571))</f>
        <v>6</v>
      </c>
      <c r="C159" cm="1">
        <f t="array" ref="C159">SUMPRODUCT((Task_Table1!$C$2:$C$568=$C$1)*(A159&gt;Task_Table1!$J$2:$J$568)*(A159&lt;Task_Table1!$K$2:$K$568))</f>
        <v>1</v>
      </c>
      <c r="D159" cm="1">
        <f t="array" ref="D159">SUMPRODUCT((Task_Table1!$C$2:$C$571=$D$1)*(A159&gt;Task_Table1!$J$2:$J$571)*(A159&lt;Task_Table1!$K$2:$K$571))</f>
        <v>0</v>
      </c>
      <c r="E159" cm="1">
        <f t="array" ref="E159">SUMPRODUCT((Task_Table1!$C$2:$C$571=$E$1)*(A159&gt;Task_Table1!$J$2:$J$571)*(A159&lt;Task_Table1!$K$2:$K$571))</f>
        <v>7</v>
      </c>
    </row>
    <row r="160" spans="1:5">
      <c r="A160" s="5">
        <v>46028</v>
      </c>
      <c r="B160" cm="1">
        <f t="array" ref="B160">SUMPRODUCT((Task_Table1!$C$2:$C$571=$B$1)*(A160&gt;Task_Table1!$J$2:$J$571)*(A160&lt;Task_Table1!$K$2:$K$571))</f>
        <v>7</v>
      </c>
      <c r="C160" cm="1">
        <f t="array" ref="C160">SUMPRODUCT((Task_Table1!$C$2:$C$568=$C$1)*(A160&gt;Task_Table1!$J$2:$J$568)*(A160&lt;Task_Table1!$K$2:$K$568))</f>
        <v>1</v>
      </c>
      <c r="D160" cm="1">
        <f t="array" ref="D160">SUMPRODUCT((Task_Table1!$C$2:$C$571=$D$1)*(A160&gt;Task_Table1!$J$2:$J$571)*(A160&lt;Task_Table1!$K$2:$K$571))</f>
        <v>0</v>
      </c>
      <c r="E160" cm="1">
        <f t="array" ref="E160">SUMPRODUCT((Task_Table1!$C$2:$C$571=$E$1)*(A160&gt;Task_Table1!$J$2:$J$571)*(A160&lt;Task_Table1!$K$2:$K$571))</f>
        <v>7</v>
      </c>
    </row>
    <row r="161" spans="1:5">
      <c r="A161" s="5">
        <v>46029</v>
      </c>
      <c r="B161" cm="1">
        <f t="array" ref="B161">SUMPRODUCT((Task_Table1!$C$2:$C$571=$B$1)*(A161&gt;Task_Table1!$J$2:$J$571)*(A161&lt;Task_Table1!$K$2:$K$571))</f>
        <v>7</v>
      </c>
      <c r="C161" cm="1">
        <f t="array" ref="C161">SUMPRODUCT((Task_Table1!$C$2:$C$568=$C$1)*(A161&gt;Task_Table1!$J$2:$J$568)*(A161&lt;Task_Table1!$K$2:$K$568))</f>
        <v>1</v>
      </c>
      <c r="D161" cm="1">
        <f t="array" ref="D161">SUMPRODUCT((Task_Table1!$C$2:$C$571=$D$1)*(A161&gt;Task_Table1!$J$2:$J$571)*(A161&lt;Task_Table1!$K$2:$K$571))</f>
        <v>0</v>
      </c>
      <c r="E161" cm="1">
        <f t="array" ref="E161">SUMPRODUCT((Task_Table1!$C$2:$C$571=$E$1)*(A161&gt;Task_Table1!$J$2:$J$571)*(A161&lt;Task_Table1!$K$2:$K$571))</f>
        <v>7</v>
      </c>
    </row>
    <row r="162" spans="1:5">
      <c r="A162" s="5">
        <v>46030</v>
      </c>
      <c r="B162" cm="1">
        <f t="array" ref="B162">SUMPRODUCT((Task_Table1!$C$2:$C$571=$B$1)*(A162&gt;Task_Table1!$J$2:$J$571)*(A162&lt;Task_Table1!$K$2:$K$571))</f>
        <v>15</v>
      </c>
      <c r="C162" cm="1">
        <f t="array" ref="C162">SUMPRODUCT((Task_Table1!$C$2:$C$568=$C$1)*(A162&gt;Task_Table1!$J$2:$J$568)*(A162&lt;Task_Table1!$K$2:$K$568))</f>
        <v>2</v>
      </c>
      <c r="D162" cm="1">
        <f t="array" ref="D162">SUMPRODUCT((Task_Table1!$C$2:$C$571=$D$1)*(A162&gt;Task_Table1!$J$2:$J$571)*(A162&lt;Task_Table1!$K$2:$K$571))</f>
        <v>0</v>
      </c>
      <c r="E162" cm="1">
        <f t="array" ref="E162">SUMPRODUCT((Task_Table1!$C$2:$C$571=$E$1)*(A162&gt;Task_Table1!$J$2:$J$571)*(A162&lt;Task_Table1!$K$2:$K$571))</f>
        <v>7</v>
      </c>
    </row>
    <row r="163" spans="1:5">
      <c r="A163" s="5">
        <v>46031</v>
      </c>
      <c r="B163" cm="1">
        <f t="array" ref="B163">SUMPRODUCT((Task_Table1!$C$2:$C$571=$B$1)*(A163&gt;Task_Table1!$J$2:$J$571)*(A163&lt;Task_Table1!$K$2:$K$571))</f>
        <v>15</v>
      </c>
      <c r="C163" cm="1">
        <f t="array" ref="C163">SUMPRODUCT((Task_Table1!$C$2:$C$568=$C$1)*(A163&gt;Task_Table1!$J$2:$J$568)*(A163&lt;Task_Table1!$K$2:$K$568))</f>
        <v>2</v>
      </c>
      <c r="D163" cm="1">
        <f t="array" ref="D163">SUMPRODUCT((Task_Table1!$C$2:$C$571=$D$1)*(A163&gt;Task_Table1!$J$2:$J$571)*(A163&lt;Task_Table1!$K$2:$K$571))</f>
        <v>0</v>
      </c>
      <c r="E163" cm="1">
        <f t="array" ref="E163">SUMPRODUCT((Task_Table1!$C$2:$C$571=$E$1)*(A163&gt;Task_Table1!$J$2:$J$571)*(A163&lt;Task_Table1!$K$2:$K$571))</f>
        <v>7</v>
      </c>
    </row>
    <row r="164" spans="1:5">
      <c r="A164" s="5">
        <v>46032</v>
      </c>
      <c r="B164" cm="1">
        <f t="array" ref="B164">SUMPRODUCT((Task_Table1!$C$2:$C$571=$B$1)*(A164&gt;Task_Table1!$J$2:$J$571)*(A164&lt;Task_Table1!$K$2:$K$571))</f>
        <v>15</v>
      </c>
      <c r="C164" cm="1">
        <f t="array" ref="C164">SUMPRODUCT((Task_Table1!$C$2:$C$568=$C$1)*(A164&gt;Task_Table1!$J$2:$J$568)*(A164&lt;Task_Table1!$K$2:$K$568))</f>
        <v>2</v>
      </c>
      <c r="D164" cm="1">
        <f t="array" ref="D164">SUMPRODUCT((Task_Table1!$C$2:$C$571=$D$1)*(A164&gt;Task_Table1!$J$2:$J$571)*(A164&lt;Task_Table1!$K$2:$K$571))</f>
        <v>0</v>
      </c>
      <c r="E164" cm="1">
        <f t="array" ref="E164">SUMPRODUCT((Task_Table1!$C$2:$C$571=$E$1)*(A164&gt;Task_Table1!$J$2:$J$571)*(A164&lt;Task_Table1!$K$2:$K$571))</f>
        <v>7</v>
      </c>
    </row>
    <row r="165" spans="1:5">
      <c r="A165" s="5">
        <v>46033</v>
      </c>
      <c r="B165" cm="1">
        <f t="array" ref="B165">SUMPRODUCT((Task_Table1!$C$2:$C$571=$B$1)*(A165&gt;Task_Table1!$J$2:$J$571)*(A165&lt;Task_Table1!$K$2:$K$571))</f>
        <v>15</v>
      </c>
      <c r="C165" cm="1">
        <f t="array" ref="C165">SUMPRODUCT((Task_Table1!$C$2:$C$568=$C$1)*(A165&gt;Task_Table1!$J$2:$J$568)*(A165&lt;Task_Table1!$K$2:$K$568))</f>
        <v>2</v>
      </c>
      <c r="D165" cm="1">
        <f t="array" ref="D165">SUMPRODUCT((Task_Table1!$C$2:$C$571=$D$1)*(A165&gt;Task_Table1!$J$2:$J$571)*(A165&lt;Task_Table1!$K$2:$K$571))</f>
        <v>0</v>
      </c>
      <c r="E165" cm="1">
        <f t="array" ref="E165">SUMPRODUCT((Task_Table1!$C$2:$C$571=$E$1)*(A165&gt;Task_Table1!$J$2:$J$571)*(A165&lt;Task_Table1!$K$2:$K$571))</f>
        <v>7</v>
      </c>
    </row>
    <row r="166" spans="1:5">
      <c r="A166" s="5">
        <v>46034</v>
      </c>
      <c r="B166" cm="1">
        <f t="array" ref="B166">SUMPRODUCT((Task_Table1!$C$2:$C$571=$B$1)*(A166&gt;Task_Table1!$J$2:$J$571)*(A166&lt;Task_Table1!$K$2:$K$571))</f>
        <v>15</v>
      </c>
      <c r="C166" cm="1">
        <f t="array" ref="C166">SUMPRODUCT((Task_Table1!$C$2:$C$568=$C$1)*(A166&gt;Task_Table1!$J$2:$J$568)*(A166&lt;Task_Table1!$K$2:$K$568))</f>
        <v>2</v>
      </c>
      <c r="D166" cm="1">
        <f t="array" ref="D166">SUMPRODUCT((Task_Table1!$C$2:$C$571=$D$1)*(A166&gt;Task_Table1!$J$2:$J$571)*(A166&lt;Task_Table1!$K$2:$K$571))</f>
        <v>0</v>
      </c>
      <c r="E166" cm="1">
        <f t="array" ref="E166">SUMPRODUCT((Task_Table1!$C$2:$C$571=$E$1)*(A166&gt;Task_Table1!$J$2:$J$571)*(A166&lt;Task_Table1!$K$2:$K$571))</f>
        <v>7</v>
      </c>
    </row>
    <row r="167" spans="1:5">
      <c r="A167" s="5">
        <v>46035</v>
      </c>
      <c r="B167" cm="1">
        <f t="array" ref="B167">SUMPRODUCT((Task_Table1!$C$2:$C$571=$B$1)*(A167&gt;Task_Table1!$J$2:$J$571)*(A167&lt;Task_Table1!$K$2:$K$571))</f>
        <v>25</v>
      </c>
      <c r="C167" cm="1">
        <f t="array" ref="C167">SUMPRODUCT((Task_Table1!$C$2:$C$568=$C$1)*(A167&gt;Task_Table1!$J$2:$J$568)*(A167&lt;Task_Table1!$K$2:$K$568))</f>
        <v>2</v>
      </c>
      <c r="D167" cm="1">
        <f t="array" ref="D167">SUMPRODUCT((Task_Table1!$C$2:$C$571=$D$1)*(A167&gt;Task_Table1!$J$2:$J$571)*(A167&lt;Task_Table1!$K$2:$K$571))</f>
        <v>0</v>
      </c>
      <c r="E167" cm="1">
        <f t="array" ref="E167">SUMPRODUCT((Task_Table1!$C$2:$C$571=$E$1)*(A167&gt;Task_Table1!$J$2:$J$571)*(A167&lt;Task_Table1!$K$2:$K$571))</f>
        <v>7</v>
      </c>
    </row>
    <row r="168" spans="1:5">
      <c r="A168" s="5">
        <v>46036</v>
      </c>
      <c r="B168" cm="1">
        <f t="array" ref="B168">SUMPRODUCT((Task_Table1!$C$2:$C$571=$B$1)*(A168&gt;Task_Table1!$J$2:$J$571)*(A168&lt;Task_Table1!$K$2:$K$571))</f>
        <v>25</v>
      </c>
      <c r="C168" cm="1">
        <f t="array" ref="C168">SUMPRODUCT((Task_Table1!$C$2:$C$568=$C$1)*(A168&gt;Task_Table1!$J$2:$J$568)*(A168&lt;Task_Table1!$K$2:$K$568))</f>
        <v>2</v>
      </c>
      <c r="D168" cm="1">
        <f t="array" ref="D168">SUMPRODUCT((Task_Table1!$C$2:$C$571=$D$1)*(A168&gt;Task_Table1!$J$2:$J$571)*(A168&lt;Task_Table1!$K$2:$K$571))</f>
        <v>0</v>
      </c>
      <c r="E168" cm="1">
        <f t="array" ref="E168">SUMPRODUCT((Task_Table1!$C$2:$C$571=$E$1)*(A168&gt;Task_Table1!$J$2:$J$571)*(A168&lt;Task_Table1!$K$2:$K$571))</f>
        <v>7</v>
      </c>
    </row>
    <row r="169" spans="1:5">
      <c r="A169" s="5">
        <v>46037</v>
      </c>
      <c r="B169" cm="1">
        <f t="array" ref="B169">SUMPRODUCT((Task_Table1!$C$2:$C$571=$B$1)*(A169&gt;Task_Table1!$J$2:$J$571)*(A169&lt;Task_Table1!$K$2:$K$571))</f>
        <v>25</v>
      </c>
      <c r="C169" cm="1">
        <f t="array" ref="C169">SUMPRODUCT((Task_Table1!$C$2:$C$568=$C$1)*(A169&gt;Task_Table1!$J$2:$J$568)*(A169&lt;Task_Table1!$K$2:$K$568))</f>
        <v>2</v>
      </c>
      <c r="D169" cm="1">
        <f t="array" ref="D169">SUMPRODUCT((Task_Table1!$C$2:$C$571=$D$1)*(A169&gt;Task_Table1!$J$2:$J$571)*(A169&lt;Task_Table1!$K$2:$K$571))</f>
        <v>0</v>
      </c>
      <c r="E169" cm="1">
        <f t="array" ref="E169">SUMPRODUCT((Task_Table1!$C$2:$C$571=$E$1)*(A169&gt;Task_Table1!$J$2:$J$571)*(A169&lt;Task_Table1!$K$2:$K$571))</f>
        <v>7</v>
      </c>
    </row>
    <row r="170" spans="1:5">
      <c r="A170" s="5">
        <v>46038</v>
      </c>
      <c r="B170" cm="1">
        <f t="array" ref="B170">SUMPRODUCT((Task_Table1!$C$2:$C$571=$B$1)*(A170&gt;Task_Table1!$J$2:$J$571)*(A170&lt;Task_Table1!$K$2:$K$571))</f>
        <v>30</v>
      </c>
      <c r="C170" cm="1">
        <f t="array" ref="C170">SUMPRODUCT((Task_Table1!$C$2:$C$568=$C$1)*(A170&gt;Task_Table1!$J$2:$J$568)*(A170&lt;Task_Table1!$K$2:$K$568))</f>
        <v>2</v>
      </c>
      <c r="D170" cm="1">
        <f t="array" ref="D170">SUMPRODUCT((Task_Table1!$C$2:$C$571=$D$1)*(A170&gt;Task_Table1!$J$2:$J$571)*(A170&lt;Task_Table1!$K$2:$K$571))</f>
        <v>0</v>
      </c>
      <c r="E170" cm="1">
        <f t="array" ref="E170">SUMPRODUCT((Task_Table1!$C$2:$C$571=$E$1)*(A170&gt;Task_Table1!$J$2:$J$571)*(A170&lt;Task_Table1!$K$2:$K$571))</f>
        <v>7</v>
      </c>
    </row>
    <row r="171" spans="1:5">
      <c r="A171" s="5">
        <v>46039</v>
      </c>
      <c r="B171" cm="1">
        <f t="array" ref="B171">SUMPRODUCT((Task_Table1!$C$2:$C$571=$B$1)*(A171&gt;Task_Table1!$J$2:$J$571)*(A171&lt;Task_Table1!$K$2:$K$571))</f>
        <v>30</v>
      </c>
      <c r="C171" cm="1">
        <f t="array" ref="C171">SUMPRODUCT((Task_Table1!$C$2:$C$568=$C$1)*(A171&gt;Task_Table1!$J$2:$J$568)*(A171&lt;Task_Table1!$K$2:$K$568))</f>
        <v>1</v>
      </c>
      <c r="D171" cm="1">
        <f t="array" ref="D171">SUMPRODUCT((Task_Table1!$C$2:$C$571=$D$1)*(A171&gt;Task_Table1!$J$2:$J$571)*(A171&lt;Task_Table1!$K$2:$K$571))</f>
        <v>0</v>
      </c>
      <c r="E171" cm="1">
        <f t="array" ref="E171">SUMPRODUCT((Task_Table1!$C$2:$C$571=$E$1)*(A171&gt;Task_Table1!$J$2:$J$571)*(A171&lt;Task_Table1!$K$2:$K$571))</f>
        <v>7</v>
      </c>
    </row>
    <row r="172" spans="1:5">
      <c r="A172" s="5">
        <v>46040</v>
      </c>
      <c r="B172" cm="1">
        <f t="array" ref="B172">SUMPRODUCT((Task_Table1!$C$2:$C$571=$B$1)*(A172&gt;Task_Table1!$J$2:$J$571)*(A172&lt;Task_Table1!$K$2:$K$571))</f>
        <v>30</v>
      </c>
      <c r="C172" cm="1">
        <f t="array" ref="C172">SUMPRODUCT((Task_Table1!$C$2:$C$568=$C$1)*(A172&gt;Task_Table1!$J$2:$J$568)*(A172&lt;Task_Table1!$K$2:$K$568))</f>
        <v>1</v>
      </c>
      <c r="D172" cm="1">
        <f t="array" ref="D172">SUMPRODUCT((Task_Table1!$C$2:$C$571=$D$1)*(A172&gt;Task_Table1!$J$2:$J$571)*(A172&lt;Task_Table1!$K$2:$K$571))</f>
        <v>0</v>
      </c>
      <c r="E172" cm="1">
        <f t="array" ref="E172">SUMPRODUCT((Task_Table1!$C$2:$C$571=$E$1)*(A172&gt;Task_Table1!$J$2:$J$571)*(A172&lt;Task_Table1!$K$2:$K$571))</f>
        <v>7</v>
      </c>
    </row>
    <row r="173" spans="1:5">
      <c r="A173" s="5">
        <v>46041</v>
      </c>
      <c r="B173" cm="1">
        <f t="array" ref="B173">SUMPRODUCT((Task_Table1!$C$2:$C$571=$B$1)*(A173&gt;Task_Table1!$J$2:$J$571)*(A173&lt;Task_Table1!$K$2:$K$571))</f>
        <v>30</v>
      </c>
      <c r="C173" cm="1">
        <f t="array" ref="C173">SUMPRODUCT((Task_Table1!$C$2:$C$568=$C$1)*(A173&gt;Task_Table1!$J$2:$J$568)*(A173&lt;Task_Table1!$K$2:$K$568))</f>
        <v>1</v>
      </c>
      <c r="D173" cm="1">
        <f t="array" ref="D173">SUMPRODUCT((Task_Table1!$C$2:$C$571=$D$1)*(A173&gt;Task_Table1!$J$2:$J$571)*(A173&lt;Task_Table1!$K$2:$K$571))</f>
        <v>0</v>
      </c>
      <c r="E173" cm="1">
        <f t="array" ref="E173">SUMPRODUCT((Task_Table1!$C$2:$C$571=$E$1)*(A173&gt;Task_Table1!$J$2:$J$571)*(A173&lt;Task_Table1!$K$2:$K$571))</f>
        <v>7</v>
      </c>
    </row>
    <row r="174" spans="1:5">
      <c r="A174" s="5">
        <v>46042</v>
      </c>
      <c r="B174" cm="1">
        <f t="array" ref="B174">SUMPRODUCT((Task_Table1!$C$2:$C$571=$B$1)*(A174&gt;Task_Table1!$J$2:$J$571)*(A174&lt;Task_Table1!$K$2:$K$571))</f>
        <v>30</v>
      </c>
      <c r="C174" cm="1">
        <f t="array" ref="C174">SUMPRODUCT((Task_Table1!$C$2:$C$568=$C$1)*(A174&gt;Task_Table1!$J$2:$J$568)*(A174&lt;Task_Table1!$K$2:$K$568))</f>
        <v>1</v>
      </c>
      <c r="D174" cm="1">
        <f t="array" ref="D174">SUMPRODUCT((Task_Table1!$C$2:$C$571=$D$1)*(A174&gt;Task_Table1!$J$2:$J$571)*(A174&lt;Task_Table1!$K$2:$K$571))</f>
        <v>0</v>
      </c>
      <c r="E174" cm="1">
        <f t="array" ref="E174">SUMPRODUCT((Task_Table1!$C$2:$C$571=$E$1)*(A174&gt;Task_Table1!$J$2:$J$571)*(A174&lt;Task_Table1!$K$2:$K$571))</f>
        <v>7</v>
      </c>
    </row>
    <row r="175" spans="1:5">
      <c r="A175" s="5">
        <v>46043</v>
      </c>
      <c r="B175" cm="1">
        <f t="array" ref="B175">SUMPRODUCT((Task_Table1!$C$2:$C$571=$B$1)*(A175&gt;Task_Table1!$J$2:$J$571)*(A175&lt;Task_Table1!$K$2:$K$571))</f>
        <v>30</v>
      </c>
      <c r="C175" cm="1">
        <f t="array" ref="C175">SUMPRODUCT((Task_Table1!$C$2:$C$568=$C$1)*(A175&gt;Task_Table1!$J$2:$J$568)*(A175&lt;Task_Table1!$K$2:$K$568))</f>
        <v>1</v>
      </c>
      <c r="D175" cm="1">
        <f t="array" ref="D175">SUMPRODUCT((Task_Table1!$C$2:$C$571=$D$1)*(A175&gt;Task_Table1!$J$2:$J$571)*(A175&lt;Task_Table1!$K$2:$K$571))</f>
        <v>0</v>
      </c>
      <c r="E175" cm="1">
        <f t="array" ref="E175">SUMPRODUCT((Task_Table1!$C$2:$C$571=$E$1)*(A175&gt;Task_Table1!$J$2:$J$571)*(A175&lt;Task_Table1!$K$2:$K$571))</f>
        <v>7</v>
      </c>
    </row>
    <row r="176" spans="1:5">
      <c r="A176" s="5">
        <v>46044</v>
      </c>
      <c r="B176" cm="1">
        <f t="array" ref="B176">SUMPRODUCT((Task_Table1!$C$2:$C$571=$B$1)*(A176&gt;Task_Table1!$J$2:$J$571)*(A176&lt;Task_Table1!$K$2:$K$571))</f>
        <v>30</v>
      </c>
      <c r="C176" cm="1">
        <f t="array" ref="C176">SUMPRODUCT((Task_Table1!$C$2:$C$568=$C$1)*(A176&gt;Task_Table1!$J$2:$J$568)*(A176&lt;Task_Table1!$K$2:$K$568))</f>
        <v>1</v>
      </c>
      <c r="D176" cm="1">
        <f t="array" ref="D176">SUMPRODUCT((Task_Table1!$C$2:$C$571=$D$1)*(A176&gt;Task_Table1!$J$2:$J$571)*(A176&lt;Task_Table1!$K$2:$K$571))</f>
        <v>0</v>
      </c>
      <c r="E176" cm="1">
        <f t="array" ref="E176">SUMPRODUCT((Task_Table1!$C$2:$C$571=$E$1)*(A176&gt;Task_Table1!$J$2:$J$571)*(A176&lt;Task_Table1!$K$2:$K$571))</f>
        <v>7</v>
      </c>
    </row>
    <row r="177" spans="1:5">
      <c r="A177" s="5">
        <v>46045</v>
      </c>
      <c r="B177" cm="1">
        <f t="array" ref="B177">SUMPRODUCT((Task_Table1!$C$2:$C$571=$B$1)*(A177&gt;Task_Table1!$J$2:$J$571)*(A177&lt;Task_Table1!$K$2:$K$571))</f>
        <v>30</v>
      </c>
      <c r="C177" cm="1">
        <f t="array" ref="C177">SUMPRODUCT((Task_Table1!$C$2:$C$568=$C$1)*(A177&gt;Task_Table1!$J$2:$J$568)*(A177&lt;Task_Table1!$K$2:$K$568))</f>
        <v>1</v>
      </c>
      <c r="D177" cm="1">
        <f t="array" ref="D177">SUMPRODUCT((Task_Table1!$C$2:$C$571=$D$1)*(A177&gt;Task_Table1!$J$2:$J$571)*(A177&lt;Task_Table1!$K$2:$K$571))</f>
        <v>0</v>
      </c>
      <c r="E177" cm="1">
        <f t="array" ref="E177">SUMPRODUCT((Task_Table1!$C$2:$C$571=$E$1)*(A177&gt;Task_Table1!$J$2:$J$571)*(A177&lt;Task_Table1!$K$2:$K$571))</f>
        <v>7</v>
      </c>
    </row>
    <row r="178" spans="1:5">
      <c r="A178" s="5">
        <v>46046</v>
      </c>
      <c r="B178" cm="1">
        <f t="array" ref="B178">SUMPRODUCT((Task_Table1!$C$2:$C$571=$B$1)*(A178&gt;Task_Table1!$J$2:$J$571)*(A178&lt;Task_Table1!$K$2:$K$571))</f>
        <v>30</v>
      </c>
      <c r="C178" cm="1">
        <f t="array" ref="C178">SUMPRODUCT((Task_Table1!$C$2:$C$568=$C$1)*(A178&gt;Task_Table1!$J$2:$J$568)*(A178&lt;Task_Table1!$K$2:$K$568))</f>
        <v>1</v>
      </c>
      <c r="D178" cm="1">
        <f t="array" ref="D178">SUMPRODUCT((Task_Table1!$C$2:$C$571=$D$1)*(A178&gt;Task_Table1!$J$2:$J$571)*(A178&lt;Task_Table1!$K$2:$K$571))</f>
        <v>0</v>
      </c>
      <c r="E178" cm="1">
        <f t="array" ref="E178">SUMPRODUCT((Task_Table1!$C$2:$C$571=$E$1)*(A178&gt;Task_Table1!$J$2:$J$571)*(A178&lt;Task_Table1!$K$2:$K$571))</f>
        <v>7</v>
      </c>
    </row>
    <row r="179" spans="1:5">
      <c r="A179" s="5">
        <v>46047</v>
      </c>
      <c r="B179" cm="1">
        <f t="array" ref="B179">SUMPRODUCT((Task_Table1!$C$2:$C$571=$B$1)*(A179&gt;Task_Table1!$J$2:$J$571)*(A179&lt;Task_Table1!$K$2:$K$571))</f>
        <v>30</v>
      </c>
      <c r="C179" cm="1">
        <f t="array" ref="C179">SUMPRODUCT((Task_Table1!$C$2:$C$568=$C$1)*(A179&gt;Task_Table1!$J$2:$J$568)*(A179&lt;Task_Table1!$K$2:$K$568))</f>
        <v>1</v>
      </c>
      <c r="D179" cm="1">
        <f t="array" ref="D179">SUMPRODUCT((Task_Table1!$C$2:$C$571=$D$1)*(A179&gt;Task_Table1!$J$2:$J$571)*(A179&lt;Task_Table1!$K$2:$K$571))</f>
        <v>0</v>
      </c>
      <c r="E179" cm="1">
        <f t="array" ref="E179">SUMPRODUCT((Task_Table1!$C$2:$C$571=$E$1)*(A179&gt;Task_Table1!$J$2:$J$571)*(A179&lt;Task_Table1!$K$2:$K$571))</f>
        <v>7</v>
      </c>
    </row>
    <row r="180" spans="1:5">
      <c r="A180" s="5">
        <v>46048</v>
      </c>
      <c r="B180" cm="1">
        <f t="array" ref="B180">SUMPRODUCT((Task_Table1!$C$2:$C$571=$B$1)*(A180&gt;Task_Table1!$J$2:$J$571)*(A180&lt;Task_Table1!$K$2:$K$571))</f>
        <v>30</v>
      </c>
      <c r="C180" cm="1">
        <f t="array" ref="C180">SUMPRODUCT((Task_Table1!$C$2:$C$568=$C$1)*(A180&gt;Task_Table1!$J$2:$J$568)*(A180&lt;Task_Table1!$K$2:$K$568))</f>
        <v>1</v>
      </c>
      <c r="D180" cm="1">
        <f t="array" ref="D180">SUMPRODUCT((Task_Table1!$C$2:$C$571=$D$1)*(A180&gt;Task_Table1!$J$2:$J$571)*(A180&lt;Task_Table1!$K$2:$K$571))</f>
        <v>0</v>
      </c>
      <c r="E180" cm="1">
        <f t="array" ref="E180">SUMPRODUCT((Task_Table1!$C$2:$C$571=$E$1)*(A180&gt;Task_Table1!$J$2:$J$571)*(A180&lt;Task_Table1!$K$2:$K$571))</f>
        <v>7</v>
      </c>
    </row>
    <row r="181" spans="1:5">
      <c r="A181" s="5">
        <v>46049</v>
      </c>
      <c r="B181" cm="1">
        <f t="array" ref="B181">SUMPRODUCT((Task_Table1!$C$2:$C$571=$B$1)*(A181&gt;Task_Table1!$J$2:$J$571)*(A181&lt;Task_Table1!$K$2:$K$571))</f>
        <v>30</v>
      </c>
      <c r="C181" cm="1">
        <f t="array" ref="C181">SUMPRODUCT((Task_Table1!$C$2:$C$568=$C$1)*(A181&gt;Task_Table1!$J$2:$J$568)*(A181&lt;Task_Table1!$K$2:$K$568))</f>
        <v>1</v>
      </c>
      <c r="D181" cm="1">
        <f t="array" ref="D181">SUMPRODUCT((Task_Table1!$C$2:$C$571=$D$1)*(A181&gt;Task_Table1!$J$2:$J$571)*(A181&lt;Task_Table1!$K$2:$K$571))</f>
        <v>0</v>
      </c>
      <c r="E181" cm="1">
        <f t="array" ref="E181">SUMPRODUCT((Task_Table1!$C$2:$C$571=$E$1)*(A181&gt;Task_Table1!$J$2:$J$571)*(A181&lt;Task_Table1!$K$2:$K$571))</f>
        <v>7</v>
      </c>
    </row>
    <row r="182" spans="1:5">
      <c r="A182" s="5">
        <v>46050</v>
      </c>
      <c r="B182" cm="1">
        <f t="array" ref="B182">SUMPRODUCT((Task_Table1!$C$2:$C$571=$B$1)*(A182&gt;Task_Table1!$J$2:$J$571)*(A182&lt;Task_Table1!$K$2:$K$571))</f>
        <v>30</v>
      </c>
      <c r="C182" cm="1">
        <f t="array" ref="C182">SUMPRODUCT((Task_Table1!$C$2:$C$568=$C$1)*(A182&gt;Task_Table1!$J$2:$J$568)*(A182&lt;Task_Table1!$K$2:$K$568))</f>
        <v>1</v>
      </c>
      <c r="D182" cm="1">
        <f t="array" ref="D182">SUMPRODUCT((Task_Table1!$C$2:$C$571=$D$1)*(A182&gt;Task_Table1!$J$2:$J$571)*(A182&lt;Task_Table1!$K$2:$K$571))</f>
        <v>0</v>
      </c>
      <c r="E182" cm="1">
        <f t="array" ref="E182">SUMPRODUCT((Task_Table1!$C$2:$C$571=$E$1)*(A182&gt;Task_Table1!$J$2:$J$571)*(A182&lt;Task_Table1!$K$2:$K$571))</f>
        <v>7</v>
      </c>
    </row>
    <row r="183" spans="1:5">
      <c r="A183" s="5">
        <v>46051</v>
      </c>
      <c r="B183" cm="1">
        <f t="array" ref="B183">SUMPRODUCT((Task_Table1!$C$2:$C$571=$B$1)*(A183&gt;Task_Table1!$J$2:$J$571)*(A183&lt;Task_Table1!$K$2:$K$571))</f>
        <v>30</v>
      </c>
      <c r="C183" cm="1">
        <f t="array" ref="C183">SUMPRODUCT((Task_Table1!$C$2:$C$568=$C$1)*(A183&gt;Task_Table1!$J$2:$J$568)*(A183&lt;Task_Table1!$K$2:$K$568))</f>
        <v>1</v>
      </c>
      <c r="D183" cm="1">
        <f t="array" ref="D183">SUMPRODUCT((Task_Table1!$C$2:$C$571=$D$1)*(A183&gt;Task_Table1!$J$2:$J$571)*(A183&lt;Task_Table1!$K$2:$K$571))</f>
        <v>0</v>
      </c>
      <c r="E183" cm="1">
        <f t="array" ref="E183">SUMPRODUCT((Task_Table1!$C$2:$C$571=$E$1)*(A183&gt;Task_Table1!$J$2:$J$571)*(A183&lt;Task_Table1!$K$2:$K$571))</f>
        <v>7</v>
      </c>
    </row>
    <row r="184" spans="1:5">
      <c r="A184" s="5">
        <v>46052</v>
      </c>
      <c r="B184" cm="1">
        <f t="array" ref="B184">SUMPRODUCT((Task_Table1!$C$2:$C$571=$B$1)*(A184&gt;Task_Table1!$J$2:$J$571)*(A184&lt;Task_Table1!$K$2:$K$571))</f>
        <v>29</v>
      </c>
      <c r="C184" cm="1">
        <f t="array" ref="C184">SUMPRODUCT((Task_Table1!$C$2:$C$568=$C$1)*(A184&gt;Task_Table1!$J$2:$J$568)*(A184&lt;Task_Table1!$K$2:$K$568))</f>
        <v>1</v>
      </c>
      <c r="D184" cm="1">
        <f t="array" ref="D184">SUMPRODUCT((Task_Table1!$C$2:$C$571=$D$1)*(A184&gt;Task_Table1!$J$2:$J$571)*(A184&lt;Task_Table1!$K$2:$K$571))</f>
        <v>0</v>
      </c>
      <c r="E184" cm="1">
        <f t="array" ref="E184">SUMPRODUCT((Task_Table1!$C$2:$C$571=$E$1)*(A184&gt;Task_Table1!$J$2:$J$571)*(A184&lt;Task_Table1!$K$2:$K$571))</f>
        <v>7</v>
      </c>
    </row>
    <row r="185" spans="1:5">
      <c r="A185" s="5">
        <v>46053</v>
      </c>
      <c r="B185" cm="1">
        <f t="array" ref="B185">SUMPRODUCT((Task_Table1!$C$2:$C$571=$B$1)*(A185&gt;Task_Table1!$J$2:$J$571)*(A185&lt;Task_Table1!$K$2:$K$571))</f>
        <v>27</v>
      </c>
      <c r="C185" cm="1">
        <f t="array" ref="C185">SUMPRODUCT((Task_Table1!$C$2:$C$568=$C$1)*(A185&gt;Task_Table1!$J$2:$J$568)*(A185&lt;Task_Table1!$K$2:$K$568))</f>
        <v>1</v>
      </c>
      <c r="D185" cm="1">
        <f t="array" ref="D185">SUMPRODUCT((Task_Table1!$C$2:$C$571=$D$1)*(A185&gt;Task_Table1!$J$2:$J$571)*(A185&lt;Task_Table1!$K$2:$K$571))</f>
        <v>0</v>
      </c>
      <c r="E185" cm="1">
        <f t="array" ref="E185">SUMPRODUCT((Task_Table1!$C$2:$C$571=$E$1)*(A185&gt;Task_Table1!$J$2:$J$571)*(A185&lt;Task_Table1!$K$2:$K$571))</f>
        <v>7</v>
      </c>
    </row>
    <row r="186" spans="1:5">
      <c r="A186" s="5">
        <v>46054</v>
      </c>
      <c r="B186" cm="1">
        <f t="array" ref="B186">SUMPRODUCT((Task_Table1!$C$2:$C$571=$B$1)*(A186&gt;Task_Table1!$J$2:$J$571)*(A186&lt;Task_Table1!$K$2:$K$571))</f>
        <v>27</v>
      </c>
      <c r="C186" cm="1">
        <f t="array" ref="C186">SUMPRODUCT((Task_Table1!$C$2:$C$568=$C$1)*(A186&gt;Task_Table1!$J$2:$J$568)*(A186&lt;Task_Table1!$K$2:$K$568))</f>
        <v>1</v>
      </c>
      <c r="D186" cm="1">
        <f t="array" ref="D186">SUMPRODUCT((Task_Table1!$C$2:$C$571=$D$1)*(A186&gt;Task_Table1!$J$2:$J$571)*(A186&lt;Task_Table1!$K$2:$K$571))</f>
        <v>0</v>
      </c>
      <c r="E186" cm="1">
        <f t="array" ref="E186">SUMPRODUCT((Task_Table1!$C$2:$C$571=$E$1)*(A186&gt;Task_Table1!$J$2:$J$571)*(A186&lt;Task_Table1!$K$2:$K$571))</f>
        <v>7</v>
      </c>
    </row>
    <row r="187" spans="1:5">
      <c r="A187" s="5">
        <v>46055</v>
      </c>
      <c r="B187" cm="1">
        <f t="array" ref="B187">SUMPRODUCT((Task_Table1!$C$2:$C$571=$B$1)*(A187&gt;Task_Table1!$J$2:$J$571)*(A187&lt;Task_Table1!$K$2:$K$571))</f>
        <v>27</v>
      </c>
      <c r="C187" cm="1">
        <f t="array" ref="C187">SUMPRODUCT((Task_Table1!$C$2:$C$568=$C$1)*(A187&gt;Task_Table1!$J$2:$J$568)*(A187&lt;Task_Table1!$K$2:$K$568))</f>
        <v>1</v>
      </c>
      <c r="D187" cm="1">
        <f t="array" ref="D187">SUMPRODUCT((Task_Table1!$C$2:$C$571=$D$1)*(A187&gt;Task_Table1!$J$2:$J$571)*(A187&lt;Task_Table1!$K$2:$K$571))</f>
        <v>0</v>
      </c>
      <c r="E187" cm="1">
        <f t="array" ref="E187">SUMPRODUCT((Task_Table1!$C$2:$C$571=$E$1)*(A187&gt;Task_Table1!$J$2:$J$571)*(A187&lt;Task_Table1!$K$2:$K$571))</f>
        <v>6</v>
      </c>
    </row>
    <row r="188" spans="1:5">
      <c r="A188" s="5">
        <v>46056</v>
      </c>
      <c r="B188" cm="1">
        <f t="array" ref="B188">SUMPRODUCT((Task_Table1!$C$2:$C$571=$B$1)*(A188&gt;Task_Table1!$J$2:$J$571)*(A188&lt;Task_Table1!$K$2:$K$571))</f>
        <v>27</v>
      </c>
      <c r="C188" cm="1">
        <f t="array" ref="C188">SUMPRODUCT((Task_Table1!$C$2:$C$568=$C$1)*(A188&gt;Task_Table1!$J$2:$J$568)*(A188&lt;Task_Table1!$K$2:$K$568))</f>
        <v>2</v>
      </c>
      <c r="D188" cm="1">
        <f t="array" ref="D188">SUMPRODUCT((Task_Table1!$C$2:$C$571=$D$1)*(A188&gt;Task_Table1!$J$2:$J$571)*(A188&lt;Task_Table1!$K$2:$K$571))</f>
        <v>0</v>
      </c>
      <c r="E188" cm="1">
        <f t="array" ref="E188">SUMPRODUCT((Task_Table1!$C$2:$C$571=$E$1)*(A188&gt;Task_Table1!$J$2:$J$571)*(A188&lt;Task_Table1!$K$2:$K$571))</f>
        <v>8</v>
      </c>
    </row>
    <row r="189" spans="1:5">
      <c r="A189" s="5">
        <v>46057</v>
      </c>
      <c r="B189" cm="1">
        <f t="array" ref="B189">SUMPRODUCT((Task_Table1!$C$2:$C$571=$B$1)*(A189&gt;Task_Table1!$J$2:$J$571)*(A189&lt;Task_Table1!$K$2:$K$571))</f>
        <v>27</v>
      </c>
      <c r="C189" cm="1">
        <f t="array" ref="C189">SUMPRODUCT((Task_Table1!$C$2:$C$568=$C$1)*(A189&gt;Task_Table1!$J$2:$J$568)*(A189&lt;Task_Table1!$K$2:$K$568))</f>
        <v>2</v>
      </c>
      <c r="D189" cm="1">
        <f t="array" ref="D189">SUMPRODUCT((Task_Table1!$C$2:$C$571=$D$1)*(A189&gt;Task_Table1!$J$2:$J$571)*(A189&lt;Task_Table1!$K$2:$K$571))</f>
        <v>0</v>
      </c>
      <c r="E189" cm="1">
        <f t="array" ref="E189">SUMPRODUCT((Task_Table1!$C$2:$C$571=$E$1)*(A189&gt;Task_Table1!$J$2:$J$571)*(A189&lt;Task_Table1!$K$2:$K$571))</f>
        <v>8</v>
      </c>
    </row>
    <row r="190" spans="1:5">
      <c r="A190" s="5">
        <v>46058</v>
      </c>
      <c r="B190" cm="1">
        <f t="array" ref="B190">SUMPRODUCT((Task_Table1!$C$2:$C$571=$B$1)*(A190&gt;Task_Table1!$J$2:$J$571)*(A190&lt;Task_Table1!$K$2:$K$571))</f>
        <v>27</v>
      </c>
      <c r="C190" cm="1">
        <f t="array" ref="C190">SUMPRODUCT((Task_Table1!$C$2:$C$568=$C$1)*(A190&gt;Task_Table1!$J$2:$J$568)*(A190&lt;Task_Table1!$K$2:$K$568))</f>
        <v>2</v>
      </c>
      <c r="D190" cm="1">
        <f t="array" ref="D190">SUMPRODUCT((Task_Table1!$C$2:$C$571=$D$1)*(A190&gt;Task_Table1!$J$2:$J$571)*(A190&lt;Task_Table1!$K$2:$K$571))</f>
        <v>0</v>
      </c>
      <c r="E190" cm="1">
        <f t="array" ref="E190">SUMPRODUCT((Task_Table1!$C$2:$C$571=$E$1)*(A190&gt;Task_Table1!$J$2:$J$571)*(A190&lt;Task_Table1!$K$2:$K$571))</f>
        <v>8</v>
      </c>
    </row>
    <row r="191" spans="1:5">
      <c r="A191" s="5">
        <v>46059</v>
      </c>
      <c r="B191" cm="1">
        <f t="array" ref="B191">SUMPRODUCT((Task_Table1!$C$2:$C$571=$B$1)*(A191&gt;Task_Table1!$J$2:$J$571)*(A191&lt;Task_Table1!$K$2:$K$571))</f>
        <v>27</v>
      </c>
      <c r="C191" cm="1">
        <f t="array" ref="C191">SUMPRODUCT((Task_Table1!$C$2:$C$568=$C$1)*(A191&gt;Task_Table1!$J$2:$J$568)*(A191&lt;Task_Table1!$K$2:$K$568))</f>
        <v>2</v>
      </c>
      <c r="D191" cm="1">
        <f t="array" ref="D191">SUMPRODUCT((Task_Table1!$C$2:$C$571=$D$1)*(A191&gt;Task_Table1!$J$2:$J$571)*(A191&lt;Task_Table1!$K$2:$K$571))</f>
        <v>0</v>
      </c>
      <c r="E191" cm="1">
        <f t="array" ref="E191">SUMPRODUCT((Task_Table1!$C$2:$C$571=$E$1)*(A191&gt;Task_Table1!$J$2:$J$571)*(A191&lt;Task_Table1!$K$2:$K$571))</f>
        <v>8</v>
      </c>
    </row>
    <row r="192" spans="1:5">
      <c r="A192" s="5">
        <v>46060</v>
      </c>
      <c r="B192" cm="1">
        <f t="array" ref="B192">SUMPRODUCT((Task_Table1!$C$2:$C$571=$B$1)*(A192&gt;Task_Table1!$J$2:$J$571)*(A192&lt;Task_Table1!$K$2:$K$571))</f>
        <v>27</v>
      </c>
      <c r="C192" cm="1">
        <f t="array" ref="C192">SUMPRODUCT((Task_Table1!$C$2:$C$568=$C$1)*(A192&gt;Task_Table1!$J$2:$J$568)*(A192&lt;Task_Table1!$K$2:$K$568))</f>
        <v>2</v>
      </c>
      <c r="D192" cm="1">
        <f t="array" ref="D192">SUMPRODUCT((Task_Table1!$C$2:$C$571=$D$1)*(A192&gt;Task_Table1!$J$2:$J$571)*(A192&lt;Task_Table1!$K$2:$K$571))</f>
        <v>0</v>
      </c>
      <c r="E192" cm="1">
        <f t="array" ref="E192">SUMPRODUCT((Task_Table1!$C$2:$C$571=$E$1)*(A192&gt;Task_Table1!$J$2:$J$571)*(A192&lt;Task_Table1!$K$2:$K$571))</f>
        <v>8</v>
      </c>
    </row>
    <row r="193" spans="1:5">
      <c r="A193" s="5">
        <v>46061</v>
      </c>
      <c r="B193" cm="1">
        <f t="array" ref="B193">SUMPRODUCT((Task_Table1!$C$2:$C$571=$B$1)*(A193&gt;Task_Table1!$J$2:$J$571)*(A193&lt;Task_Table1!$K$2:$K$571))</f>
        <v>27</v>
      </c>
      <c r="C193" cm="1">
        <f t="array" ref="C193">SUMPRODUCT((Task_Table1!$C$2:$C$568=$C$1)*(A193&gt;Task_Table1!$J$2:$J$568)*(A193&lt;Task_Table1!$K$2:$K$568))</f>
        <v>2</v>
      </c>
      <c r="D193" cm="1">
        <f t="array" ref="D193">SUMPRODUCT((Task_Table1!$C$2:$C$571=$D$1)*(A193&gt;Task_Table1!$J$2:$J$571)*(A193&lt;Task_Table1!$K$2:$K$571))</f>
        <v>0</v>
      </c>
      <c r="E193" cm="1">
        <f t="array" ref="E193">SUMPRODUCT((Task_Table1!$C$2:$C$571=$E$1)*(A193&gt;Task_Table1!$J$2:$J$571)*(A193&lt;Task_Table1!$K$2:$K$571))</f>
        <v>8</v>
      </c>
    </row>
    <row r="194" spans="1:5">
      <c r="A194" s="5">
        <v>46062</v>
      </c>
      <c r="B194" cm="1">
        <f t="array" ref="B194">SUMPRODUCT((Task_Table1!$C$2:$C$571=$B$1)*(A194&gt;Task_Table1!$J$2:$J$571)*(A194&lt;Task_Table1!$K$2:$K$571))</f>
        <v>27</v>
      </c>
      <c r="C194" cm="1">
        <f t="array" ref="C194">SUMPRODUCT((Task_Table1!$C$2:$C$568=$C$1)*(A194&gt;Task_Table1!$J$2:$J$568)*(A194&lt;Task_Table1!$K$2:$K$568))</f>
        <v>2</v>
      </c>
      <c r="D194" cm="1">
        <f t="array" ref="D194">SUMPRODUCT((Task_Table1!$C$2:$C$571=$D$1)*(A194&gt;Task_Table1!$J$2:$J$571)*(A194&lt;Task_Table1!$K$2:$K$571))</f>
        <v>0</v>
      </c>
      <c r="E194" cm="1">
        <f t="array" ref="E194">SUMPRODUCT((Task_Table1!$C$2:$C$571=$E$1)*(A194&gt;Task_Table1!$J$2:$J$571)*(A194&lt;Task_Table1!$K$2:$K$571))</f>
        <v>8</v>
      </c>
    </row>
    <row r="195" spans="1:5">
      <c r="A195" s="5">
        <v>46063</v>
      </c>
      <c r="B195" cm="1">
        <f t="array" ref="B195">SUMPRODUCT((Task_Table1!$C$2:$C$571=$B$1)*(A195&gt;Task_Table1!$J$2:$J$571)*(A195&lt;Task_Table1!$K$2:$K$571))</f>
        <v>27</v>
      </c>
      <c r="C195" cm="1">
        <f t="array" ref="C195">SUMPRODUCT((Task_Table1!$C$2:$C$568=$C$1)*(A195&gt;Task_Table1!$J$2:$J$568)*(A195&lt;Task_Table1!$K$2:$K$568))</f>
        <v>2</v>
      </c>
      <c r="D195" cm="1">
        <f t="array" ref="D195">SUMPRODUCT((Task_Table1!$C$2:$C$571=$D$1)*(A195&gt;Task_Table1!$J$2:$J$571)*(A195&lt;Task_Table1!$K$2:$K$571))</f>
        <v>0</v>
      </c>
      <c r="E195" cm="1">
        <f t="array" ref="E195">SUMPRODUCT((Task_Table1!$C$2:$C$571=$E$1)*(A195&gt;Task_Table1!$J$2:$J$571)*(A195&lt;Task_Table1!$K$2:$K$571))</f>
        <v>8</v>
      </c>
    </row>
    <row r="196" spans="1:5">
      <c r="A196" s="5">
        <v>46064</v>
      </c>
      <c r="B196" cm="1">
        <f t="array" ref="B196">SUMPRODUCT((Task_Table1!$C$2:$C$571=$B$1)*(A196&gt;Task_Table1!$J$2:$J$571)*(A196&lt;Task_Table1!$K$2:$K$571))</f>
        <v>27</v>
      </c>
      <c r="C196" cm="1">
        <f t="array" ref="C196">SUMPRODUCT((Task_Table1!$C$2:$C$568=$C$1)*(A196&gt;Task_Table1!$J$2:$J$568)*(A196&lt;Task_Table1!$K$2:$K$568))</f>
        <v>2</v>
      </c>
      <c r="D196" cm="1">
        <f t="array" ref="D196">SUMPRODUCT((Task_Table1!$C$2:$C$571=$D$1)*(A196&gt;Task_Table1!$J$2:$J$571)*(A196&lt;Task_Table1!$K$2:$K$571))</f>
        <v>0</v>
      </c>
      <c r="E196" cm="1">
        <f t="array" ref="E196">SUMPRODUCT((Task_Table1!$C$2:$C$571=$E$1)*(A196&gt;Task_Table1!$J$2:$J$571)*(A196&lt;Task_Table1!$K$2:$K$571))</f>
        <v>8</v>
      </c>
    </row>
    <row r="197" spans="1:5">
      <c r="A197" s="5">
        <v>46065</v>
      </c>
      <c r="B197" cm="1">
        <f t="array" ref="B197">SUMPRODUCT((Task_Table1!$C$2:$C$571=$B$1)*(A197&gt;Task_Table1!$J$2:$J$571)*(A197&lt;Task_Table1!$K$2:$K$571))</f>
        <v>27</v>
      </c>
      <c r="C197" cm="1">
        <f t="array" ref="C197">SUMPRODUCT((Task_Table1!$C$2:$C$568=$C$1)*(A197&gt;Task_Table1!$J$2:$J$568)*(A197&lt;Task_Table1!$K$2:$K$568))</f>
        <v>2</v>
      </c>
      <c r="D197" cm="1">
        <f t="array" ref="D197">SUMPRODUCT((Task_Table1!$C$2:$C$571=$D$1)*(A197&gt;Task_Table1!$J$2:$J$571)*(A197&lt;Task_Table1!$K$2:$K$571))</f>
        <v>0</v>
      </c>
      <c r="E197" cm="1">
        <f t="array" ref="E197">SUMPRODUCT((Task_Table1!$C$2:$C$571=$E$1)*(A197&gt;Task_Table1!$J$2:$J$571)*(A197&lt;Task_Table1!$K$2:$K$571))</f>
        <v>8</v>
      </c>
    </row>
    <row r="198" spans="1:5">
      <c r="A198" s="5">
        <v>46066</v>
      </c>
      <c r="B198" cm="1">
        <f t="array" ref="B198">SUMPRODUCT((Task_Table1!$C$2:$C$571=$B$1)*(A198&gt;Task_Table1!$J$2:$J$571)*(A198&lt;Task_Table1!$K$2:$K$571))</f>
        <v>27</v>
      </c>
      <c r="C198" cm="1">
        <f t="array" ref="C198">SUMPRODUCT((Task_Table1!$C$2:$C$568=$C$1)*(A198&gt;Task_Table1!$J$2:$J$568)*(A198&lt;Task_Table1!$K$2:$K$568))</f>
        <v>2</v>
      </c>
      <c r="D198" cm="1">
        <f t="array" ref="D198">SUMPRODUCT((Task_Table1!$C$2:$C$571=$D$1)*(A198&gt;Task_Table1!$J$2:$J$571)*(A198&lt;Task_Table1!$K$2:$K$571))</f>
        <v>0</v>
      </c>
      <c r="E198" cm="1">
        <f t="array" ref="E198">SUMPRODUCT((Task_Table1!$C$2:$C$571=$E$1)*(A198&gt;Task_Table1!$J$2:$J$571)*(A198&lt;Task_Table1!$K$2:$K$571))</f>
        <v>8</v>
      </c>
    </row>
    <row r="199" spans="1:5">
      <c r="A199" s="5">
        <v>46067</v>
      </c>
      <c r="B199" cm="1">
        <f t="array" ref="B199">SUMPRODUCT((Task_Table1!$C$2:$C$571=$B$1)*(A199&gt;Task_Table1!$J$2:$J$571)*(A199&lt;Task_Table1!$K$2:$K$571))</f>
        <v>27</v>
      </c>
      <c r="C199" cm="1">
        <f t="array" ref="C199">SUMPRODUCT((Task_Table1!$C$2:$C$568=$C$1)*(A199&gt;Task_Table1!$J$2:$J$568)*(A199&lt;Task_Table1!$K$2:$K$568))</f>
        <v>2</v>
      </c>
      <c r="D199" cm="1">
        <f t="array" ref="D199">SUMPRODUCT((Task_Table1!$C$2:$C$571=$D$1)*(A199&gt;Task_Table1!$J$2:$J$571)*(A199&lt;Task_Table1!$K$2:$K$571))</f>
        <v>0</v>
      </c>
      <c r="E199" cm="1">
        <f t="array" ref="E199">SUMPRODUCT((Task_Table1!$C$2:$C$571=$E$1)*(A199&gt;Task_Table1!$J$2:$J$571)*(A199&lt;Task_Table1!$K$2:$K$571))</f>
        <v>8</v>
      </c>
    </row>
    <row r="200" spans="1:5">
      <c r="A200" s="5">
        <v>46068</v>
      </c>
      <c r="B200" cm="1">
        <f t="array" ref="B200">SUMPRODUCT((Task_Table1!$C$2:$C$571=$B$1)*(A200&gt;Task_Table1!$J$2:$J$571)*(A200&lt;Task_Table1!$K$2:$K$571))</f>
        <v>26</v>
      </c>
      <c r="C200" cm="1">
        <f t="array" ref="C200">SUMPRODUCT((Task_Table1!$C$2:$C$568=$C$1)*(A200&gt;Task_Table1!$J$2:$J$568)*(A200&lt;Task_Table1!$K$2:$K$568))</f>
        <v>2</v>
      </c>
      <c r="D200" cm="1">
        <f t="array" ref="D200">SUMPRODUCT((Task_Table1!$C$2:$C$571=$D$1)*(A200&gt;Task_Table1!$J$2:$J$571)*(A200&lt;Task_Table1!$K$2:$K$571))</f>
        <v>0</v>
      </c>
      <c r="E200" cm="1">
        <f t="array" ref="E200">SUMPRODUCT((Task_Table1!$C$2:$C$571=$E$1)*(A200&gt;Task_Table1!$J$2:$J$571)*(A200&lt;Task_Table1!$K$2:$K$571))</f>
        <v>8</v>
      </c>
    </row>
    <row r="201" spans="1:5">
      <c r="A201" s="5">
        <v>46069</v>
      </c>
      <c r="B201" cm="1">
        <f t="array" ref="B201">SUMPRODUCT((Task_Table1!$C$2:$C$571=$B$1)*(A201&gt;Task_Table1!$J$2:$J$571)*(A201&lt;Task_Table1!$K$2:$K$571))</f>
        <v>26</v>
      </c>
      <c r="C201" cm="1">
        <f t="array" ref="C201">SUMPRODUCT((Task_Table1!$C$2:$C$568=$C$1)*(A201&gt;Task_Table1!$J$2:$J$568)*(A201&lt;Task_Table1!$K$2:$K$568))</f>
        <v>2</v>
      </c>
      <c r="D201" cm="1">
        <f t="array" ref="D201">SUMPRODUCT((Task_Table1!$C$2:$C$571=$D$1)*(A201&gt;Task_Table1!$J$2:$J$571)*(A201&lt;Task_Table1!$K$2:$K$571))</f>
        <v>0</v>
      </c>
      <c r="E201" cm="1">
        <f t="array" ref="E201">SUMPRODUCT((Task_Table1!$C$2:$C$571=$E$1)*(A201&gt;Task_Table1!$J$2:$J$571)*(A201&lt;Task_Table1!$K$2:$K$571))</f>
        <v>8</v>
      </c>
    </row>
    <row r="202" spans="1:5">
      <c r="A202" s="5">
        <v>46070</v>
      </c>
      <c r="B202" cm="1">
        <f t="array" ref="B202">SUMPRODUCT((Task_Table1!$C$2:$C$571=$B$1)*(A202&gt;Task_Table1!$J$2:$J$571)*(A202&lt;Task_Table1!$K$2:$K$571))</f>
        <v>28</v>
      </c>
      <c r="C202" cm="1">
        <f t="array" ref="C202">SUMPRODUCT((Task_Table1!$C$2:$C$568=$C$1)*(A202&gt;Task_Table1!$J$2:$J$568)*(A202&lt;Task_Table1!$K$2:$K$568))</f>
        <v>3</v>
      </c>
      <c r="D202" cm="1">
        <f t="array" ref="D202">SUMPRODUCT((Task_Table1!$C$2:$C$571=$D$1)*(A202&gt;Task_Table1!$J$2:$J$571)*(A202&lt;Task_Table1!$K$2:$K$571))</f>
        <v>0</v>
      </c>
      <c r="E202" cm="1">
        <f t="array" ref="E202">SUMPRODUCT((Task_Table1!$C$2:$C$571=$E$1)*(A202&gt;Task_Table1!$J$2:$J$571)*(A202&lt;Task_Table1!$K$2:$K$571))</f>
        <v>9</v>
      </c>
    </row>
    <row r="203" spans="1:5">
      <c r="A203" s="5">
        <v>46071</v>
      </c>
      <c r="B203" cm="1">
        <f t="array" ref="B203">SUMPRODUCT((Task_Table1!$C$2:$C$571=$B$1)*(A203&gt;Task_Table1!$J$2:$J$571)*(A203&lt;Task_Table1!$K$2:$K$571))</f>
        <v>28</v>
      </c>
      <c r="C203" cm="1">
        <f t="array" ref="C203">SUMPRODUCT((Task_Table1!$C$2:$C$568=$C$1)*(A203&gt;Task_Table1!$J$2:$J$568)*(A203&lt;Task_Table1!$K$2:$K$568))</f>
        <v>3</v>
      </c>
      <c r="D203" cm="1">
        <f t="array" ref="D203">SUMPRODUCT((Task_Table1!$C$2:$C$571=$D$1)*(A203&gt;Task_Table1!$J$2:$J$571)*(A203&lt;Task_Table1!$K$2:$K$571))</f>
        <v>0</v>
      </c>
      <c r="E203" cm="1">
        <f t="array" ref="E203">SUMPRODUCT((Task_Table1!$C$2:$C$571=$E$1)*(A203&gt;Task_Table1!$J$2:$J$571)*(A203&lt;Task_Table1!$K$2:$K$571))</f>
        <v>9</v>
      </c>
    </row>
    <row r="204" spans="1:5">
      <c r="A204" s="5">
        <v>46072</v>
      </c>
      <c r="B204" cm="1">
        <f t="array" ref="B204">SUMPRODUCT((Task_Table1!$C$2:$C$571=$B$1)*(A204&gt;Task_Table1!$J$2:$J$571)*(A204&lt;Task_Table1!$K$2:$K$571))</f>
        <v>28</v>
      </c>
      <c r="C204" cm="1">
        <f t="array" ref="C204">SUMPRODUCT((Task_Table1!$C$2:$C$568=$C$1)*(A204&gt;Task_Table1!$J$2:$J$568)*(A204&lt;Task_Table1!$K$2:$K$568))</f>
        <v>3</v>
      </c>
      <c r="D204" cm="1">
        <f t="array" ref="D204">SUMPRODUCT((Task_Table1!$C$2:$C$571=$D$1)*(A204&gt;Task_Table1!$J$2:$J$571)*(A204&lt;Task_Table1!$K$2:$K$571))</f>
        <v>0</v>
      </c>
      <c r="E204" cm="1">
        <f t="array" ref="E204">SUMPRODUCT((Task_Table1!$C$2:$C$571=$E$1)*(A204&gt;Task_Table1!$J$2:$J$571)*(A204&lt;Task_Table1!$K$2:$K$571))</f>
        <v>9</v>
      </c>
    </row>
    <row r="205" spans="1:5">
      <c r="A205" s="5">
        <v>46073</v>
      </c>
      <c r="B205" cm="1">
        <f t="array" ref="B205">SUMPRODUCT((Task_Table1!$C$2:$C$571=$B$1)*(A205&gt;Task_Table1!$J$2:$J$571)*(A205&lt;Task_Table1!$K$2:$K$571))</f>
        <v>28</v>
      </c>
      <c r="C205" cm="1">
        <f t="array" ref="C205">SUMPRODUCT((Task_Table1!$C$2:$C$568=$C$1)*(A205&gt;Task_Table1!$J$2:$J$568)*(A205&lt;Task_Table1!$K$2:$K$568))</f>
        <v>3</v>
      </c>
      <c r="D205" cm="1">
        <f t="array" ref="D205">SUMPRODUCT((Task_Table1!$C$2:$C$571=$D$1)*(A205&gt;Task_Table1!$J$2:$J$571)*(A205&lt;Task_Table1!$K$2:$K$571))</f>
        <v>0</v>
      </c>
      <c r="E205" cm="1">
        <f t="array" ref="E205">SUMPRODUCT((Task_Table1!$C$2:$C$571=$E$1)*(A205&gt;Task_Table1!$J$2:$J$571)*(A205&lt;Task_Table1!$K$2:$K$571))</f>
        <v>9</v>
      </c>
    </row>
    <row r="206" spans="1:5">
      <c r="A206" s="5">
        <v>46074</v>
      </c>
      <c r="B206" cm="1">
        <f t="array" ref="B206">SUMPRODUCT((Task_Table1!$C$2:$C$571=$B$1)*(A206&gt;Task_Table1!$J$2:$J$571)*(A206&lt;Task_Table1!$K$2:$K$571))</f>
        <v>28</v>
      </c>
      <c r="C206" cm="1">
        <f t="array" ref="C206">SUMPRODUCT((Task_Table1!$C$2:$C$568=$C$1)*(A206&gt;Task_Table1!$J$2:$J$568)*(A206&lt;Task_Table1!$K$2:$K$568))</f>
        <v>3</v>
      </c>
      <c r="D206" cm="1">
        <f t="array" ref="D206">SUMPRODUCT((Task_Table1!$C$2:$C$571=$D$1)*(A206&gt;Task_Table1!$J$2:$J$571)*(A206&lt;Task_Table1!$K$2:$K$571))</f>
        <v>0</v>
      </c>
      <c r="E206" cm="1">
        <f t="array" ref="E206">SUMPRODUCT((Task_Table1!$C$2:$C$571=$E$1)*(A206&gt;Task_Table1!$J$2:$J$571)*(A206&lt;Task_Table1!$K$2:$K$571))</f>
        <v>9</v>
      </c>
    </row>
    <row r="207" spans="1:5">
      <c r="A207" s="5">
        <v>46075</v>
      </c>
      <c r="B207" cm="1">
        <f t="array" ref="B207">SUMPRODUCT((Task_Table1!$C$2:$C$571=$B$1)*(A207&gt;Task_Table1!$J$2:$J$571)*(A207&lt;Task_Table1!$K$2:$K$571))</f>
        <v>28</v>
      </c>
      <c r="C207" cm="1">
        <f t="array" ref="C207">SUMPRODUCT((Task_Table1!$C$2:$C$568=$C$1)*(A207&gt;Task_Table1!$J$2:$J$568)*(A207&lt;Task_Table1!$K$2:$K$568))</f>
        <v>3</v>
      </c>
      <c r="D207" cm="1">
        <f t="array" ref="D207">SUMPRODUCT((Task_Table1!$C$2:$C$571=$D$1)*(A207&gt;Task_Table1!$J$2:$J$571)*(A207&lt;Task_Table1!$K$2:$K$571))</f>
        <v>0</v>
      </c>
      <c r="E207" cm="1">
        <f t="array" ref="E207">SUMPRODUCT((Task_Table1!$C$2:$C$571=$E$1)*(A207&gt;Task_Table1!$J$2:$J$571)*(A207&lt;Task_Table1!$K$2:$K$571))</f>
        <v>9</v>
      </c>
    </row>
    <row r="208" spans="1:5">
      <c r="A208" s="5">
        <v>46076</v>
      </c>
      <c r="B208" cm="1">
        <f t="array" ref="B208">SUMPRODUCT((Task_Table1!$C$2:$C$571=$B$1)*(A208&gt;Task_Table1!$J$2:$J$571)*(A208&lt;Task_Table1!$K$2:$K$571))</f>
        <v>28</v>
      </c>
      <c r="C208" cm="1">
        <f t="array" ref="C208">SUMPRODUCT((Task_Table1!$C$2:$C$568=$C$1)*(A208&gt;Task_Table1!$J$2:$J$568)*(A208&lt;Task_Table1!$K$2:$K$568))</f>
        <v>3</v>
      </c>
      <c r="D208" cm="1">
        <f t="array" ref="D208">SUMPRODUCT((Task_Table1!$C$2:$C$571=$D$1)*(A208&gt;Task_Table1!$J$2:$J$571)*(A208&lt;Task_Table1!$K$2:$K$571))</f>
        <v>0</v>
      </c>
      <c r="E208" cm="1">
        <f t="array" ref="E208">SUMPRODUCT((Task_Table1!$C$2:$C$571=$E$1)*(A208&gt;Task_Table1!$J$2:$J$571)*(A208&lt;Task_Table1!$K$2:$K$571))</f>
        <v>9</v>
      </c>
    </row>
    <row r="209" spans="1:5">
      <c r="A209" s="5">
        <v>46077</v>
      </c>
      <c r="B209" cm="1">
        <f t="array" ref="B209">SUMPRODUCT((Task_Table1!$C$2:$C$571=$B$1)*(A209&gt;Task_Table1!$J$2:$J$571)*(A209&lt;Task_Table1!$K$2:$K$571))</f>
        <v>28</v>
      </c>
      <c r="C209" cm="1">
        <f t="array" ref="C209">SUMPRODUCT((Task_Table1!$C$2:$C$568=$C$1)*(A209&gt;Task_Table1!$J$2:$J$568)*(A209&lt;Task_Table1!$K$2:$K$568))</f>
        <v>3</v>
      </c>
      <c r="D209" cm="1">
        <f t="array" ref="D209">SUMPRODUCT((Task_Table1!$C$2:$C$571=$D$1)*(A209&gt;Task_Table1!$J$2:$J$571)*(A209&lt;Task_Table1!$K$2:$K$571))</f>
        <v>0</v>
      </c>
      <c r="E209" cm="1">
        <f t="array" ref="E209">SUMPRODUCT((Task_Table1!$C$2:$C$571=$E$1)*(A209&gt;Task_Table1!$J$2:$J$571)*(A209&lt;Task_Table1!$K$2:$K$571))</f>
        <v>9</v>
      </c>
    </row>
    <row r="210" spans="1:5">
      <c r="A210" s="5">
        <v>46078</v>
      </c>
      <c r="B210" cm="1">
        <f t="array" ref="B210">SUMPRODUCT((Task_Table1!$C$2:$C$571=$B$1)*(A210&gt;Task_Table1!$J$2:$J$571)*(A210&lt;Task_Table1!$K$2:$K$571))</f>
        <v>28</v>
      </c>
      <c r="C210" cm="1">
        <f t="array" ref="C210">SUMPRODUCT((Task_Table1!$C$2:$C$568=$C$1)*(A210&gt;Task_Table1!$J$2:$J$568)*(A210&lt;Task_Table1!$K$2:$K$568))</f>
        <v>3</v>
      </c>
      <c r="D210" cm="1">
        <f t="array" ref="D210">SUMPRODUCT((Task_Table1!$C$2:$C$571=$D$1)*(A210&gt;Task_Table1!$J$2:$J$571)*(A210&lt;Task_Table1!$K$2:$K$571))</f>
        <v>0</v>
      </c>
      <c r="E210" cm="1">
        <f t="array" ref="E210">SUMPRODUCT((Task_Table1!$C$2:$C$571=$E$1)*(A210&gt;Task_Table1!$J$2:$J$571)*(A210&lt;Task_Table1!$K$2:$K$571))</f>
        <v>9</v>
      </c>
    </row>
    <row r="211" spans="1:5">
      <c r="A211" s="5">
        <v>46079</v>
      </c>
      <c r="B211" cm="1">
        <f t="array" ref="B211">SUMPRODUCT((Task_Table1!$C$2:$C$571=$B$1)*(A211&gt;Task_Table1!$J$2:$J$571)*(A211&lt;Task_Table1!$K$2:$K$571))</f>
        <v>28</v>
      </c>
      <c r="C211" cm="1">
        <f t="array" ref="C211">SUMPRODUCT((Task_Table1!$C$2:$C$568=$C$1)*(A211&gt;Task_Table1!$J$2:$J$568)*(A211&lt;Task_Table1!$K$2:$K$568))</f>
        <v>3</v>
      </c>
      <c r="D211" cm="1">
        <f t="array" ref="D211">SUMPRODUCT((Task_Table1!$C$2:$C$571=$D$1)*(A211&gt;Task_Table1!$J$2:$J$571)*(A211&lt;Task_Table1!$K$2:$K$571))</f>
        <v>0</v>
      </c>
      <c r="E211" cm="1">
        <f t="array" ref="E211">SUMPRODUCT((Task_Table1!$C$2:$C$571=$E$1)*(A211&gt;Task_Table1!$J$2:$J$571)*(A211&lt;Task_Table1!$K$2:$K$571))</f>
        <v>9</v>
      </c>
    </row>
    <row r="212" spans="1:5">
      <c r="A212" s="5">
        <v>46080</v>
      </c>
      <c r="B212" cm="1">
        <f t="array" ref="B212">SUMPRODUCT((Task_Table1!$C$2:$C$571=$B$1)*(A212&gt;Task_Table1!$J$2:$J$571)*(A212&lt;Task_Table1!$K$2:$K$571))</f>
        <v>28</v>
      </c>
      <c r="C212" cm="1">
        <f t="array" ref="C212">SUMPRODUCT((Task_Table1!$C$2:$C$568=$C$1)*(A212&gt;Task_Table1!$J$2:$J$568)*(A212&lt;Task_Table1!$K$2:$K$568))</f>
        <v>3</v>
      </c>
      <c r="D212" cm="1">
        <f t="array" ref="D212">SUMPRODUCT((Task_Table1!$C$2:$C$571=$D$1)*(A212&gt;Task_Table1!$J$2:$J$571)*(A212&lt;Task_Table1!$K$2:$K$571))</f>
        <v>0</v>
      </c>
      <c r="E212" cm="1">
        <f t="array" ref="E212">SUMPRODUCT((Task_Table1!$C$2:$C$571=$E$1)*(A212&gt;Task_Table1!$J$2:$J$571)*(A212&lt;Task_Table1!$K$2:$K$571))</f>
        <v>9</v>
      </c>
    </row>
    <row r="213" spans="1:5">
      <c r="A213" s="5">
        <v>46081</v>
      </c>
      <c r="B213" cm="1">
        <f t="array" ref="B213">SUMPRODUCT((Task_Table1!$C$2:$C$571=$B$1)*(A213&gt;Task_Table1!$J$2:$J$571)*(A213&lt;Task_Table1!$K$2:$K$571))</f>
        <v>28</v>
      </c>
      <c r="C213" cm="1">
        <f t="array" ref="C213">SUMPRODUCT((Task_Table1!$C$2:$C$568=$C$1)*(A213&gt;Task_Table1!$J$2:$J$568)*(A213&lt;Task_Table1!$K$2:$K$568))</f>
        <v>3</v>
      </c>
      <c r="D213" cm="1">
        <f t="array" ref="D213">SUMPRODUCT((Task_Table1!$C$2:$C$571=$D$1)*(A213&gt;Task_Table1!$J$2:$J$571)*(A213&lt;Task_Table1!$K$2:$K$571))</f>
        <v>0</v>
      </c>
      <c r="E213" cm="1">
        <f t="array" ref="E213">SUMPRODUCT((Task_Table1!$C$2:$C$571=$E$1)*(A213&gt;Task_Table1!$J$2:$J$571)*(A213&lt;Task_Table1!$K$2:$K$571))</f>
        <v>8</v>
      </c>
    </row>
    <row r="214" spans="1:5">
      <c r="A214" s="5">
        <v>46082</v>
      </c>
      <c r="B214" cm="1">
        <f t="array" ref="B214">SUMPRODUCT((Task_Table1!$C$2:$C$571=$B$1)*(A214&gt;Task_Table1!$J$2:$J$571)*(A214&lt;Task_Table1!$K$2:$K$571))</f>
        <v>28</v>
      </c>
      <c r="C214" cm="1">
        <f t="array" ref="C214">SUMPRODUCT((Task_Table1!$C$2:$C$568=$C$1)*(A214&gt;Task_Table1!$J$2:$J$568)*(A214&lt;Task_Table1!$K$2:$K$568))</f>
        <v>3</v>
      </c>
      <c r="D214" cm="1">
        <f t="array" ref="D214">SUMPRODUCT((Task_Table1!$C$2:$C$571=$D$1)*(A214&gt;Task_Table1!$J$2:$J$571)*(A214&lt;Task_Table1!$K$2:$K$571))</f>
        <v>0</v>
      </c>
      <c r="E214" cm="1">
        <f t="array" ref="E214">SUMPRODUCT((Task_Table1!$C$2:$C$571=$E$1)*(A214&gt;Task_Table1!$J$2:$J$571)*(A214&lt;Task_Table1!$K$2:$K$571))</f>
        <v>8</v>
      </c>
    </row>
    <row r="215" spans="1:5">
      <c r="A215" s="5">
        <v>46083</v>
      </c>
      <c r="B215" cm="1">
        <f t="array" ref="B215">SUMPRODUCT((Task_Table1!$C$2:$C$571=$B$1)*(A215&gt;Task_Table1!$J$2:$J$571)*(A215&lt;Task_Table1!$K$2:$K$571))</f>
        <v>28</v>
      </c>
      <c r="C215" cm="1">
        <f t="array" ref="C215">SUMPRODUCT((Task_Table1!$C$2:$C$568=$C$1)*(A215&gt;Task_Table1!$J$2:$J$568)*(A215&lt;Task_Table1!$K$2:$K$568))</f>
        <v>3</v>
      </c>
      <c r="D215" cm="1">
        <f t="array" ref="D215">SUMPRODUCT((Task_Table1!$C$2:$C$571=$D$1)*(A215&gt;Task_Table1!$J$2:$J$571)*(A215&lt;Task_Table1!$K$2:$K$571))</f>
        <v>0</v>
      </c>
      <c r="E215" cm="1">
        <f t="array" ref="E215">SUMPRODUCT((Task_Table1!$C$2:$C$571=$E$1)*(A215&gt;Task_Table1!$J$2:$J$571)*(A215&lt;Task_Table1!$K$2:$K$571))</f>
        <v>8</v>
      </c>
    </row>
    <row r="216" spans="1:5">
      <c r="A216" s="5">
        <v>46084</v>
      </c>
      <c r="B216" cm="1">
        <f t="array" ref="B216">SUMPRODUCT((Task_Table1!$C$2:$C$571=$B$1)*(A216&gt;Task_Table1!$J$2:$J$571)*(A216&lt;Task_Table1!$K$2:$K$571))</f>
        <v>28</v>
      </c>
      <c r="C216" cm="1">
        <f t="array" ref="C216">SUMPRODUCT((Task_Table1!$C$2:$C$568=$C$1)*(A216&gt;Task_Table1!$J$2:$J$568)*(A216&lt;Task_Table1!$K$2:$K$568))</f>
        <v>3</v>
      </c>
      <c r="D216" cm="1">
        <f t="array" ref="D216">SUMPRODUCT((Task_Table1!$C$2:$C$571=$D$1)*(A216&gt;Task_Table1!$J$2:$J$571)*(A216&lt;Task_Table1!$K$2:$K$571))</f>
        <v>0</v>
      </c>
      <c r="E216" cm="1">
        <f t="array" ref="E216">SUMPRODUCT((Task_Table1!$C$2:$C$571=$E$1)*(A216&gt;Task_Table1!$J$2:$J$571)*(A216&lt;Task_Table1!$K$2:$K$571))</f>
        <v>8</v>
      </c>
    </row>
    <row r="217" spans="1:5">
      <c r="A217" s="5">
        <v>46085</v>
      </c>
      <c r="B217" cm="1">
        <f t="array" ref="B217">SUMPRODUCT((Task_Table1!$C$2:$C$571=$B$1)*(A217&gt;Task_Table1!$J$2:$J$571)*(A217&lt;Task_Table1!$K$2:$K$571))</f>
        <v>28</v>
      </c>
      <c r="C217" cm="1">
        <f t="array" ref="C217">SUMPRODUCT((Task_Table1!$C$2:$C$568=$C$1)*(A217&gt;Task_Table1!$J$2:$J$568)*(A217&lt;Task_Table1!$K$2:$K$568))</f>
        <v>3</v>
      </c>
      <c r="D217" cm="1">
        <f t="array" ref="D217">SUMPRODUCT((Task_Table1!$C$2:$C$571=$D$1)*(A217&gt;Task_Table1!$J$2:$J$571)*(A217&lt;Task_Table1!$K$2:$K$571))</f>
        <v>0</v>
      </c>
      <c r="E217" cm="1">
        <f t="array" ref="E217">SUMPRODUCT((Task_Table1!$C$2:$C$571=$E$1)*(A217&gt;Task_Table1!$J$2:$J$571)*(A217&lt;Task_Table1!$K$2:$K$571))</f>
        <v>8</v>
      </c>
    </row>
    <row r="218" spans="1:5">
      <c r="A218" s="5">
        <v>46086</v>
      </c>
      <c r="B218" cm="1">
        <f t="array" ref="B218">SUMPRODUCT((Task_Table1!$C$2:$C$571=$B$1)*(A218&gt;Task_Table1!$J$2:$J$571)*(A218&lt;Task_Table1!$K$2:$K$571))</f>
        <v>28</v>
      </c>
      <c r="C218" cm="1">
        <f t="array" ref="C218">SUMPRODUCT((Task_Table1!$C$2:$C$568=$C$1)*(A218&gt;Task_Table1!$J$2:$J$568)*(A218&lt;Task_Table1!$K$2:$K$568))</f>
        <v>3</v>
      </c>
      <c r="D218" cm="1">
        <f t="array" ref="D218">SUMPRODUCT((Task_Table1!$C$2:$C$571=$D$1)*(A218&gt;Task_Table1!$J$2:$J$571)*(A218&lt;Task_Table1!$K$2:$K$571))</f>
        <v>0</v>
      </c>
      <c r="E218" cm="1">
        <f t="array" ref="E218">SUMPRODUCT((Task_Table1!$C$2:$C$571=$E$1)*(A218&gt;Task_Table1!$J$2:$J$571)*(A218&lt;Task_Table1!$K$2:$K$571))</f>
        <v>8</v>
      </c>
    </row>
    <row r="219" spans="1:5">
      <c r="A219" s="5">
        <v>46087</v>
      </c>
      <c r="B219" cm="1">
        <f t="array" ref="B219">SUMPRODUCT((Task_Table1!$C$2:$C$571=$B$1)*(A219&gt;Task_Table1!$J$2:$J$571)*(A219&lt;Task_Table1!$K$2:$K$571))</f>
        <v>28</v>
      </c>
      <c r="C219" cm="1">
        <f t="array" ref="C219">SUMPRODUCT((Task_Table1!$C$2:$C$568=$C$1)*(A219&gt;Task_Table1!$J$2:$J$568)*(A219&lt;Task_Table1!$K$2:$K$568))</f>
        <v>3</v>
      </c>
      <c r="D219" cm="1">
        <f t="array" ref="D219">SUMPRODUCT((Task_Table1!$C$2:$C$571=$D$1)*(A219&gt;Task_Table1!$J$2:$J$571)*(A219&lt;Task_Table1!$K$2:$K$571))</f>
        <v>0</v>
      </c>
      <c r="E219" cm="1">
        <f t="array" ref="E219">SUMPRODUCT((Task_Table1!$C$2:$C$571=$E$1)*(A219&gt;Task_Table1!$J$2:$J$571)*(A219&lt;Task_Table1!$K$2:$K$571))</f>
        <v>8</v>
      </c>
    </row>
    <row r="220" spans="1:5">
      <c r="A220" s="5">
        <v>46088</v>
      </c>
      <c r="B220" cm="1">
        <f t="array" ref="B220">SUMPRODUCT((Task_Table1!$C$2:$C$571=$B$1)*(A220&gt;Task_Table1!$J$2:$J$571)*(A220&lt;Task_Table1!$K$2:$K$571))</f>
        <v>28</v>
      </c>
      <c r="C220" cm="1">
        <f t="array" ref="C220">SUMPRODUCT((Task_Table1!$C$2:$C$568=$C$1)*(A220&gt;Task_Table1!$J$2:$J$568)*(A220&lt;Task_Table1!$K$2:$K$568))</f>
        <v>3</v>
      </c>
      <c r="D220" cm="1">
        <f t="array" ref="D220">SUMPRODUCT((Task_Table1!$C$2:$C$571=$D$1)*(A220&gt;Task_Table1!$J$2:$J$571)*(A220&lt;Task_Table1!$K$2:$K$571))</f>
        <v>0</v>
      </c>
      <c r="E220" cm="1">
        <f t="array" ref="E220">SUMPRODUCT((Task_Table1!$C$2:$C$571=$E$1)*(A220&gt;Task_Table1!$J$2:$J$571)*(A220&lt;Task_Table1!$K$2:$K$571))</f>
        <v>8</v>
      </c>
    </row>
    <row r="221" spans="1:5">
      <c r="A221" s="5">
        <v>46089</v>
      </c>
      <c r="B221" cm="1">
        <f t="array" ref="B221">SUMPRODUCT((Task_Table1!$C$2:$C$571=$B$1)*(A221&gt;Task_Table1!$J$2:$J$571)*(A221&lt;Task_Table1!$K$2:$K$571))</f>
        <v>28</v>
      </c>
      <c r="C221" cm="1">
        <f t="array" ref="C221">SUMPRODUCT((Task_Table1!$C$2:$C$568=$C$1)*(A221&gt;Task_Table1!$J$2:$J$568)*(A221&lt;Task_Table1!$K$2:$K$568))</f>
        <v>3</v>
      </c>
      <c r="D221" cm="1">
        <f t="array" ref="D221">SUMPRODUCT((Task_Table1!$C$2:$C$571=$D$1)*(A221&gt;Task_Table1!$J$2:$J$571)*(A221&lt;Task_Table1!$K$2:$K$571))</f>
        <v>0</v>
      </c>
      <c r="E221" cm="1">
        <f t="array" ref="E221">SUMPRODUCT((Task_Table1!$C$2:$C$571=$E$1)*(A221&gt;Task_Table1!$J$2:$J$571)*(A221&lt;Task_Table1!$K$2:$K$571))</f>
        <v>8</v>
      </c>
    </row>
    <row r="222" spans="1:5">
      <c r="A222" s="5">
        <v>46090</v>
      </c>
      <c r="B222" cm="1">
        <f t="array" ref="B222">SUMPRODUCT((Task_Table1!$C$2:$C$571=$B$1)*(A222&gt;Task_Table1!$J$2:$J$571)*(A222&lt;Task_Table1!$K$2:$K$571))</f>
        <v>28</v>
      </c>
      <c r="C222" cm="1">
        <f t="array" ref="C222">SUMPRODUCT((Task_Table1!$C$2:$C$568=$C$1)*(A222&gt;Task_Table1!$J$2:$J$568)*(A222&lt;Task_Table1!$K$2:$K$568))</f>
        <v>3</v>
      </c>
      <c r="D222" cm="1">
        <f t="array" ref="D222">SUMPRODUCT((Task_Table1!$C$2:$C$571=$D$1)*(A222&gt;Task_Table1!$J$2:$J$571)*(A222&lt;Task_Table1!$K$2:$K$571))</f>
        <v>0</v>
      </c>
      <c r="E222" cm="1">
        <f t="array" ref="E222">SUMPRODUCT((Task_Table1!$C$2:$C$571=$E$1)*(A222&gt;Task_Table1!$J$2:$J$571)*(A222&lt;Task_Table1!$K$2:$K$571))</f>
        <v>8</v>
      </c>
    </row>
    <row r="223" spans="1:5">
      <c r="A223" s="5">
        <v>46091</v>
      </c>
      <c r="B223" cm="1">
        <f t="array" ref="B223">SUMPRODUCT((Task_Table1!$C$2:$C$571=$B$1)*(A223&gt;Task_Table1!$J$2:$J$571)*(A223&lt;Task_Table1!$K$2:$K$571))</f>
        <v>28</v>
      </c>
      <c r="C223" cm="1">
        <f t="array" ref="C223">SUMPRODUCT((Task_Table1!$C$2:$C$568=$C$1)*(A223&gt;Task_Table1!$J$2:$J$568)*(A223&lt;Task_Table1!$K$2:$K$568))</f>
        <v>3</v>
      </c>
      <c r="D223" cm="1">
        <f t="array" ref="D223">SUMPRODUCT((Task_Table1!$C$2:$C$571=$D$1)*(A223&gt;Task_Table1!$J$2:$J$571)*(A223&lt;Task_Table1!$K$2:$K$571))</f>
        <v>0</v>
      </c>
      <c r="E223" cm="1">
        <f t="array" ref="E223">SUMPRODUCT((Task_Table1!$C$2:$C$571=$E$1)*(A223&gt;Task_Table1!$J$2:$J$571)*(A223&lt;Task_Table1!$K$2:$K$571))</f>
        <v>8</v>
      </c>
    </row>
    <row r="224" spans="1:5">
      <c r="A224" s="5">
        <v>46092</v>
      </c>
      <c r="B224" cm="1">
        <f t="array" ref="B224">SUMPRODUCT((Task_Table1!$C$2:$C$571=$B$1)*(A224&gt;Task_Table1!$J$2:$J$571)*(A224&lt;Task_Table1!$K$2:$K$571))</f>
        <v>28</v>
      </c>
      <c r="C224" cm="1">
        <f t="array" ref="C224">SUMPRODUCT((Task_Table1!$C$2:$C$568=$C$1)*(A224&gt;Task_Table1!$J$2:$J$568)*(A224&lt;Task_Table1!$K$2:$K$568))</f>
        <v>3</v>
      </c>
      <c r="D224" cm="1">
        <f t="array" ref="D224">SUMPRODUCT((Task_Table1!$C$2:$C$571=$D$1)*(A224&gt;Task_Table1!$J$2:$J$571)*(A224&lt;Task_Table1!$K$2:$K$571))</f>
        <v>0</v>
      </c>
      <c r="E224" cm="1">
        <f t="array" ref="E224">SUMPRODUCT((Task_Table1!$C$2:$C$571=$E$1)*(A224&gt;Task_Table1!$J$2:$J$571)*(A224&lt;Task_Table1!$K$2:$K$571))</f>
        <v>8</v>
      </c>
    </row>
    <row r="225" spans="1:5">
      <c r="A225" s="5">
        <v>46093</v>
      </c>
      <c r="B225" cm="1">
        <f t="array" ref="B225">SUMPRODUCT((Task_Table1!$C$2:$C$571=$B$1)*(A225&gt;Task_Table1!$J$2:$J$571)*(A225&lt;Task_Table1!$K$2:$K$571))</f>
        <v>28</v>
      </c>
      <c r="C225" cm="1">
        <f t="array" ref="C225">SUMPRODUCT((Task_Table1!$C$2:$C$568=$C$1)*(A225&gt;Task_Table1!$J$2:$J$568)*(A225&lt;Task_Table1!$K$2:$K$568))</f>
        <v>3</v>
      </c>
      <c r="D225" cm="1">
        <f t="array" ref="D225">SUMPRODUCT((Task_Table1!$C$2:$C$571=$D$1)*(A225&gt;Task_Table1!$J$2:$J$571)*(A225&lt;Task_Table1!$K$2:$K$571))</f>
        <v>0</v>
      </c>
      <c r="E225" cm="1">
        <f t="array" ref="E225">SUMPRODUCT((Task_Table1!$C$2:$C$571=$E$1)*(A225&gt;Task_Table1!$J$2:$J$571)*(A225&lt;Task_Table1!$K$2:$K$571))</f>
        <v>8</v>
      </c>
    </row>
    <row r="226" spans="1:5">
      <c r="A226" s="5">
        <v>46094</v>
      </c>
      <c r="B226" cm="1">
        <f t="array" ref="B226">SUMPRODUCT((Task_Table1!$C$2:$C$571=$B$1)*(A226&gt;Task_Table1!$J$2:$J$571)*(A226&lt;Task_Table1!$K$2:$K$571))</f>
        <v>28</v>
      </c>
      <c r="C226" cm="1">
        <f t="array" ref="C226">SUMPRODUCT((Task_Table1!$C$2:$C$568=$C$1)*(A226&gt;Task_Table1!$J$2:$J$568)*(A226&lt;Task_Table1!$K$2:$K$568))</f>
        <v>3</v>
      </c>
      <c r="D226" cm="1">
        <f t="array" ref="D226">SUMPRODUCT((Task_Table1!$C$2:$C$571=$D$1)*(A226&gt;Task_Table1!$J$2:$J$571)*(A226&lt;Task_Table1!$K$2:$K$571))</f>
        <v>0</v>
      </c>
      <c r="E226" cm="1">
        <f t="array" ref="E226">SUMPRODUCT((Task_Table1!$C$2:$C$571=$E$1)*(A226&gt;Task_Table1!$J$2:$J$571)*(A226&lt;Task_Table1!$K$2:$K$571))</f>
        <v>8</v>
      </c>
    </row>
    <row r="227" spans="1:5">
      <c r="A227" s="5">
        <v>46095</v>
      </c>
      <c r="B227" cm="1">
        <f t="array" ref="B227">SUMPRODUCT((Task_Table1!$C$2:$C$571=$B$1)*(A227&gt;Task_Table1!$J$2:$J$571)*(A227&lt;Task_Table1!$K$2:$K$571))</f>
        <v>28</v>
      </c>
      <c r="C227" cm="1">
        <f t="array" ref="C227">SUMPRODUCT((Task_Table1!$C$2:$C$568=$C$1)*(A227&gt;Task_Table1!$J$2:$J$568)*(A227&lt;Task_Table1!$K$2:$K$568))</f>
        <v>3</v>
      </c>
      <c r="D227" cm="1">
        <f t="array" ref="D227">SUMPRODUCT((Task_Table1!$C$2:$C$571=$D$1)*(A227&gt;Task_Table1!$J$2:$J$571)*(A227&lt;Task_Table1!$K$2:$K$571))</f>
        <v>0</v>
      </c>
      <c r="E227" cm="1">
        <f t="array" ref="E227">SUMPRODUCT((Task_Table1!$C$2:$C$571=$E$1)*(A227&gt;Task_Table1!$J$2:$J$571)*(A227&lt;Task_Table1!$K$2:$K$571))</f>
        <v>8</v>
      </c>
    </row>
    <row r="228" spans="1:5">
      <c r="A228" s="5">
        <v>46096</v>
      </c>
      <c r="B228" cm="1">
        <f t="array" ref="B228">SUMPRODUCT((Task_Table1!$C$2:$C$571=$B$1)*(A228&gt;Task_Table1!$J$2:$J$571)*(A228&lt;Task_Table1!$K$2:$K$571))</f>
        <v>28</v>
      </c>
      <c r="C228" cm="1">
        <f t="array" ref="C228">SUMPRODUCT((Task_Table1!$C$2:$C$568=$C$1)*(A228&gt;Task_Table1!$J$2:$J$568)*(A228&lt;Task_Table1!$K$2:$K$568))</f>
        <v>3</v>
      </c>
      <c r="D228" cm="1">
        <f t="array" ref="D228">SUMPRODUCT((Task_Table1!$C$2:$C$571=$D$1)*(A228&gt;Task_Table1!$J$2:$J$571)*(A228&lt;Task_Table1!$K$2:$K$571))</f>
        <v>0</v>
      </c>
      <c r="E228" cm="1">
        <f t="array" ref="E228">SUMPRODUCT((Task_Table1!$C$2:$C$571=$E$1)*(A228&gt;Task_Table1!$J$2:$J$571)*(A228&lt;Task_Table1!$K$2:$K$571))</f>
        <v>8</v>
      </c>
    </row>
    <row r="229" spans="1:5">
      <c r="A229" s="5">
        <v>46097</v>
      </c>
      <c r="B229" cm="1">
        <f t="array" ref="B229">SUMPRODUCT((Task_Table1!$C$2:$C$571=$B$1)*(A229&gt;Task_Table1!$J$2:$J$571)*(A229&lt;Task_Table1!$K$2:$K$571))</f>
        <v>21</v>
      </c>
      <c r="C229" cm="1">
        <f t="array" ref="C229">SUMPRODUCT((Task_Table1!$C$2:$C$568=$C$1)*(A229&gt;Task_Table1!$J$2:$J$568)*(A229&lt;Task_Table1!$K$2:$K$568))</f>
        <v>3</v>
      </c>
      <c r="D229" cm="1">
        <f t="array" ref="D229">SUMPRODUCT((Task_Table1!$C$2:$C$571=$D$1)*(A229&gt;Task_Table1!$J$2:$J$571)*(A229&lt;Task_Table1!$K$2:$K$571))</f>
        <v>0</v>
      </c>
      <c r="E229" cm="1">
        <f t="array" ref="E229">SUMPRODUCT((Task_Table1!$C$2:$C$571=$E$1)*(A229&gt;Task_Table1!$J$2:$J$571)*(A229&lt;Task_Table1!$K$2:$K$571))</f>
        <v>8</v>
      </c>
    </row>
    <row r="230" spans="1:5">
      <c r="A230" s="5">
        <v>46098</v>
      </c>
      <c r="B230" cm="1">
        <f t="array" ref="B230">SUMPRODUCT((Task_Table1!$C$2:$C$571=$B$1)*(A230&gt;Task_Table1!$J$2:$J$571)*(A230&lt;Task_Table1!$K$2:$K$571))</f>
        <v>21</v>
      </c>
      <c r="C230" cm="1">
        <f t="array" ref="C230">SUMPRODUCT((Task_Table1!$C$2:$C$568=$C$1)*(A230&gt;Task_Table1!$J$2:$J$568)*(A230&lt;Task_Table1!$K$2:$K$568))</f>
        <v>3</v>
      </c>
      <c r="D230" cm="1">
        <f t="array" ref="D230">SUMPRODUCT((Task_Table1!$C$2:$C$571=$D$1)*(A230&gt;Task_Table1!$J$2:$J$571)*(A230&lt;Task_Table1!$K$2:$K$571))</f>
        <v>0</v>
      </c>
      <c r="E230" cm="1">
        <f t="array" ref="E230">SUMPRODUCT((Task_Table1!$C$2:$C$571=$E$1)*(A230&gt;Task_Table1!$J$2:$J$571)*(A230&lt;Task_Table1!$K$2:$K$571))</f>
        <v>8</v>
      </c>
    </row>
    <row r="231" spans="1:5">
      <c r="A231" s="5">
        <v>46099</v>
      </c>
      <c r="B231" cm="1">
        <f t="array" ref="B231">SUMPRODUCT((Task_Table1!$C$2:$C$571=$B$1)*(A231&gt;Task_Table1!$J$2:$J$571)*(A231&lt;Task_Table1!$K$2:$K$571))</f>
        <v>21</v>
      </c>
      <c r="C231" cm="1">
        <f t="array" ref="C231">SUMPRODUCT((Task_Table1!$C$2:$C$568=$C$1)*(A231&gt;Task_Table1!$J$2:$J$568)*(A231&lt;Task_Table1!$K$2:$K$568))</f>
        <v>3</v>
      </c>
      <c r="D231" cm="1">
        <f t="array" ref="D231">SUMPRODUCT((Task_Table1!$C$2:$C$571=$D$1)*(A231&gt;Task_Table1!$J$2:$J$571)*(A231&lt;Task_Table1!$K$2:$K$571))</f>
        <v>0</v>
      </c>
      <c r="E231" cm="1">
        <f t="array" ref="E231">SUMPRODUCT((Task_Table1!$C$2:$C$571=$E$1)*(A231&gt;Task_Table1!$J$2:$J$571)*(A231&lt;Task_Table1!$K$2:$K$571))</f>
        <v>8</v>
      </c>
    </row>
    <row r="232" spans="1:5">
      <c r="A232" s="5">
        <v>46100</v>
      </c>
      <c r="B232" cm="1">
        <f t="array" ref="B232">SUMPRODUCT((Task_Table1!$C$2:$C$571=$B$1)*(A232&gt;Task_Table1!$J$2:$J$571)*(A232&lt;Task_Table1!$K$2:$K$571))</f>
        <v>21</v>
      </c>
      <c r="C232" cm="1">
        <f t="array" ref="C232">SUMPRODUCT((Task_Table1!$C$2:$C$568=$C$1)*(A232&gt;Task_Table1!$J$2:$J$568)*(A232&lt;Task_Table1!$K$2:$K$568))</f>
        <v>3</v>
      </c>
      <c r="D232" cm="1">
        <f t="array" ref="D232">SUMPRODUCT((Task_Table1!$C$2:$C$571=$D$1)*(A232&gt;Task_Table1!$J$2:$J$571)*(A232&lt;Task_Table1!$K$2:$K$571))</f>
        <v>0</v>
      </c>
      <c r="E232" cm="1">
        <f t="array" ref="E232">SUMPRODUCT((Task_Table1!$C$2:$C$571=$E$1)*(A232&gt;Task_Table1!$J$2:$J$571)*(A232&lt;Task_Table1!$K$2:$K$571))</f>
        <v>8</v>
      </c>
    </row>
    <row r="233" spans="1:5">
      <c r="A233" s="5">
        <v>46101</v>
      </c>
      <c r="B233" cm="1">
        <f t="array" ref="B233">SUMPRODUCT((Task_Table1!$C$2:$C$571=$B$1)*(A233&gt;Task_Table1!$J$2:$J$571)*(A233&lt;Task_Table1!$K$2:$K$571))</f>
        <v>21</v>
      </c>
      <c r="C233" cm="1">
        <f t="array" ref="C233">SUMPRODUCT((Task_Table1!$C$2:$C$568=$C$1)*(A233&gt;Task_Table1!$J$2:$J$568)*(A233&lt;Task_Table1!$K$2:$K$568))</f>
        <v>3</v>
      </c>
      <c r="D233" cm="1">
        <f t="array" ref="D233">SUMPRODUCT((Task_Table1!$C$2:$C$571=$D$1)*(A233&gt;Task_Table1!$J$2:$J$571)*(A233&lt;Task_Table1!$K$2:$K$571))</f>
        <v>0</v>
      </c>
      <c r="E233" cm="1">
        <f t="array" ref="E233">SUMPRODUCT((Task_Table1!$C$2:$C$571=$E$1)*(A233&gt;Task_Table1!$J$2:$J$571)*(A233&lt;Task_Table1!$K$2:$K$571))</f>
        <v>8</v>
      </c>
    </row>
    <row r="234" spans="1:5">
      <c r="A234" s="5">
        <v>46102</v>
      </c>
      <c r="B234" cm="1">
        <f t="array" ref="B234">SUMPRODUCT((Task_Table1!$C$2:$C$571=$B$1)*(A234&gt;Task_Table1!$J$2:$J$571)*(A234&lt;Task_Table1!$K$2:$K$571))</f>
        <v>21</v>
      </c>
      <c r="C234" cm="1">
        <f t="array" ref="C234">SUMPRODUCT((Task_Table1!$C$2:$C$568=$C$1)*(A234&gt;Task_Table1!$J$2:$J$568)*(A234&lt;Task_Table1!$K$2:$K$568))</f>
        <v>3</v>
      </c>
      <c r="D234" cm="1">
        <f t="array" ref="D234">SUMPRODUCT((Task_Table1!$C$2:$C$571=$D$1)*(A234&gt;Task_Table1!$J$2:$J$571)*(A234&lt;Task_Table1!$K$2:$K$571))</f>
        <v>0</v>
      </c>
      <c r="E234" cm="1">
        <f t="array" ref="E234">SUMPRODUCT((Task_Table1!$C$2:$C$571=$E$1)*(A234&gt;Task_Table1!$J$2:$J$571)*(A234&lt;Task_Table1!$K$2:$K$571))</f>
        <v>8</v>
      </c>
    </row>
    <row r="235" spans="1:5">
      <c r="A235" s="5">
        <v>46103</v>
      </c>
      <c r="B235" cm="1">
        <f t="array" ref="B235">SUMPRODUCT((Task_Table1!$C$2:$C$571=$B$1)*(A235&gt;Task_Table1!$J$2:$J$571)*(A235&lt;Task_Table1!$K$2:$K$571))</f>
        <v>21</v>
      </c>
      <c r="C235" cm="1">
        <f t="array" ref="C235">SUMPRODUCT((Task_Table1!$C$2:$C$568=$C$1)*(A235&gt;Task_Table1!$J$2:$J$568)*(A235&lt;Task_Table1!$K$2:$K$568))</f>
        <v>3</v>
      </c>
      <c r="D235" cm="1">
        <f t="array" ref="D235">SUMPRODUCT((Task_Table1!$C$2:$C$571=$D$1)*(A235&gt;Task_Table1!$J$2:$J$571)*(A235&lt;Task_Table1!$K$2:$K$571))</f>
        <v>0</v>
      </c>
      <c r="E235" cm="1">
        <f t="array" ref="E235">SUMPRODUCT((Task_Table1!$C$2:$C$571=$E$1)*(A235&gt;Task_Table1!$J$2:$J$571)*(A235&lt;Task_Table1!$K$2:$K$571))</f>
        <v>8</v>
      </c>
    </row>
    <row r="236" spans="1:5">
      <c r="A236" s="5">
        <v>46104</v>
      </c>
      <c r="B236" cm="1">
        <f t="array" ref="B236">SUMPRODUCT((Task_Table1!$C$2:$C$571=$B$1)*(A236&gt;Task_Table1!$J$2:$J$571)*(A236&lt;Task_Table1!$K$2:$K$571))</f>
        <v>19</v>
      </c>
      <c r="C236" cm="1">
        <f t="array" ref="C236">SUMPRODUCT((Task_Table1!$C$2:$C$568=$C$1)*(A236&gt;Task_Table1!$J$2:$J$568)*(A236&lt;Task_Table1!$K$2:$K$568))</f>
        <v>3</v>
      </c>
      <c r="D236" cm="1">
        <f t="array" ref="D236">SUMPRODUCT((Task_Table1!$C$2:$C$571=$D$1)*(A236&gt;Task_Table1!$J$2:$J$571)*(A236&lt;Task_Table1!$K$2:$K$571))</f>
        <v>0</v>
      </c>
      <c r="E236" cm="1">
        <f t="array" ref="E236">SUMPRODUCT((Task_Table1!$C$2:$C$571=$E$1)*(A236&gt;Task_Table1!$J$2:$J$571)*(A236&lt;Task_Table1!$K$2:$K$571))</f>
        <v>8</v>
      </c>
    </row>
    <row r="237" spans="1:5">
      <c r="A237" s="5">
        <v>46105</v>
      </c>
      <c r="B237" cm="1">
        <f t="array" ref="B237">SUMPRODUCT((Task_Table1!$C$2:$C$571=$B$1)*(A237&gt;Task_Table1!$J$2:$J$571)*(A237&lt;Task_Table1!$K$2:$K$571))</f>
        <v>19</v>
      </c>
      <c r="C237" cm="1">
        <f t="array" ref="C237">SUMPRODUCT((Task_Table1!$C$2:$C$568=$C$1)*(A237&gt;Task_Table1!$J$2:$J$568)*(A237&lt;Task_Table1!$K$2:$K$568))</f>
        <v>3</v>
      </c>
      <c r="D237" cm="1">
        <f t="array" ref="D237">SUMPRODUCT((Task_Table1!$C$2:$C$571=$D$1)*(A237&gt;Task_Table1!$J$2:$J$571)*(A237&lt;Task_Table1!$K$2:$K$571))</f>
        <v>0</v>
      </c>
      <c r="E237" cm="1">
        <f t="array" ref="E237">SUMPRODUCT((Task_Table1!$C$2:$C$571=$E$1)*(A237&gt;Task_Table1!$J$2:$J$571)*(A237&lt;Task_Table1!$K$2:$K$571))</f>
        <v>8</v>
      </c>
    </row>
    <row r="238" spans="1:5">
      <c r="A238" s="5">
        <v>46106</v>
      </c>
      <c r="B238" cm="1">
        <f t="array" ref="B238">SUMPRODUCT((Task_Table1!$C$2:$C$571=$B$1)*(A238&gt;Task_Table1!$J$2:$J$571)*(A238&lt;Task_Table1!$K$2:$K$571))</f>
        <v>19</v>
      </c>
      <c r="C238" cm="1">
        <f t="array" ref="C238">SUMPRODUCT((Task_Table1!$C$2:$C$568=$C$1)*(A238&gt;Task_Table1!$J$2:$J$568)*(A238&lt;Task_Table1!$K$2:$K$568))</f>
        <v>3</v>
      </c>
      <c r="D238" cm="1">
        <f t="array" ref="D238">SUMPRODUCT((Task_Table1!$C$2:$C$571=$D$1)*(A238&gt;Task_Table1!$J$2:$J$571)*(A238&lt;Task_Table1!$K$2:$K$571))</f>
        <v>0</v>
      </c>
      <c r="E238" cm="1">
        <f t="array" ref="E238">SUMPRODUCT((Task_Table1!$C$2:$C$571=$E$1)*(A238&gt;Task_Table1!$J$2:$J$571)*(A238&lt;Task_Table1!$K$2:$K$571))</f>
        <v>8</v>
      </c>
    </row>
    <row r="239" spans="1:5">
      <c r="A239" s="5">
        <v>46107</v>
      </c>
      <c r="B239" cm="1">
        <f t="array" ref="B239">SUMPRODUCT((Task_Table1!$C$2:$C$571=$B$1)*(A239&gt;Task_Table1!$J$2:$J$571)*(A239&lt;Task_Table1!$K$2:$K$571))</f>
        <v>19</v>
      </c>
      <c r="C239" cm="1">
        <f t="array" ref="C239">SUMPRODUCT((Task_Table1!$C$2:$C$568=$C$1)*(A239&gt;Task_Table1!$J$2:$J$568)*(A239&lt;Task_Table1!$K$2:$K$568))</f>
        <v>3</v>
      </c>
      <c r="D239" cm="1">
        <f t="array" ref="D239">SUMPRODUCT((Task_Table1!$C$2:$C$571=$D$1)*(A239&gt;Task_Table1!$J$2:$J$571)*(A239&lt;Task_Table1!$K$2:$K$571))</f>
        <v>0</v>
      </c>
      <c r="E239" cm="1">
        <f t="array" ref="E239">SUMPRODUCT((Task_Table1!$C$2:$C$571=$E$1)*(A239&gt;Task_Table1!$J$2:$J$571)*(A239&lt;Task_Table1!$K$2:$K$571))</f>
        <v>8</v>
      </c>
    </row>
    <row r="240" spans="1:5">
      <c r="A240" s="5">
        <v>46108</v>
      </c>
      <c r="B240" cm="1">
        <f t="array" ref="B240">SUMPRODUCT((Task_Table1!$C$2:$C$571=$B$1)*(A240&gt;Task_Table1!$J$2:$J$571)*(A240&lt;Task_Table1!$K$2:$K$571))</f>
        <v>19</v>
      </c>
      <c r="C240" cm="1">
        <f t="array" ref="C240">SUMPRODUCT((Task_Table1!$C$2:$C$568=$C$1)*(A240&gt;Task_Table1!$J$2:$J$568)*(A240&lt;Task_Table1!$K$2:$K$568))</f>
        <v>3</v>
      </c>
      <c r="D240" cm="1">
        <f t="array" ref="D240">SUMPRODUCT((Task_Table1!$C$2:$C$571=$D$1)*(A240&gt;Task_Table1!$J$2:$J$571)*(A240&lt;Task_Table1!$K$2:$K$571))</f>
        <v>0</v>
      </c>
      <c r="E240" cm="1">
        <f t="array" ref="E240">SUMPRODUCT((Task_Table1!$C$2:$C$571=$E$1)*(A240&gt;Task_Table1!$J$2:$J$571)*(A240&lt;Task_Table1!$K$2:$K$571))</f>
        <v>8</v>
      </c>
    </row>
    <row r="241" spans="1:5">
      <c r="A241" s="5">
        <v>46109</v>
      </c>
      <c r="B241" cm="1">
        <f t="array" ref="B241">SUMPRODUCT((Task_Table1!$C$2:$C$571=$B$1)*(A241&gt;Task_Table1!$J$2:$J$571)*(A241&lt;Task_Table1!$K$2:$K$571))</f>
        <v>19</v>
      </c>
      <c r="C241" cm="1">
        <f t="array" ref="C241">SUMPRODUCT((Task_Table1!$C$2:$C$568=$C$1)*(A241&gt;Task_Table1!$J$2:$J$568)*(A241&lt;Task_Table1!$K$2:$K$568))</f>
        <v>3</v>
      </c>
      <c r="D241" cm="1">
        <f t="array" ref="D241">SUMPRODUCT((Task_Table1!$C$2:$C$571=$D$1)*(A241&gt;Task_Table1!$J$2:$J$571)*(A241&lt;Task_Table1!$K$2:$K$571))</f>
        <v>0</v>
      </c>
      <c r="E241" cm="1">
        <f t="array" ref="E241">SUMPRODUCT((Task_Table1!$C$2:$C$571=$E$1)*(A241&gt;Task_Table1!$J$2:$J$571)*(A241&lt;Task_Table1!$K$2:$K$571))</f>
        <v>8</v>
      </c>
    </row>
    <row r="242" spans="1:5">
      <c r="A242" s="5">
        <v>46110</v>
      </c>
      <c r="B242" cm="1">
        <f t="array" ref="B242">SUMPRODUCT((Task_Table1!$C$2:$C$571=$B$1)*(A242&gt;Task_Table1!$J$2:$J$571)*(A242&lt;Task_Table1!$K$2:$K$571))</f>
        <v>19</v>
      </c>
      <c r="C242" cm="1">
        <f t="array" ref="C242">SUMPRODUCT((Task_Table1!$C$2:$C$568=$C$1)*(A242&gt;Task_Table1!$J$2:$J$568)*(A242&lt;Task_Table1!$K$2:$K$568))</f>
        <v>3</v>
      </c>
      <c r="D242" cm="1">
        <f t="array" ref="D242">SUMPRODUCT((Task_Table1!$C$2:$C$571=$D$1)*(A242&gt;Task_Table1!$J$2:$J$571)*(A242&lt;Task_Table1!$K$2:$K$571))</f>
        <v>0</v>
      </c>
      <c r="E242" cm="1">
        <f t="array" ref="E242">SUMPRODUCT((Task_Table1!$C$2:$C$571=$E$1)*(A242&gt;Task_Table1!$J$2:$J$571)*(A242&lt;Task_Table1!$K$2:$K$571))</f>
        <v>8</v>
      </c>
    </row>
    <row r="243" spans="1:5">
      <c r="A243" s="5">
        <v>46111</v>
      </c>
      <c r="B243" cm="1">
        <f t="array" ref="B243">SUMPRODUCT((Task_Table1!$C$2:$C$571=$B$1)*(A243&gt;Task_Table1!$J$2:$J$571)*(A243&lt;Task_Table1!$K$2:$K$571))</f>
        <v>10</v>
      </c>
      <c r="C243" cm="1">
        <f t="array" ref="C243">SUMPRODUCT((Task_Table1!$C$2:$C$568=$C$1)*(A243&gt;Task_Table1!$J$2:$J$568)*(A243&lt;Task_Table1!$K$2:$K$568))</f>
        <v>3</v>
      </c>
      <c r="D243" cm="1">
        <f t="array" ref="D243">SUMPRODUCT((Task_Table1!$C$2:$C$571=$D$1)*(A243&gt;Task_Table1!$J$2:$J$571)*(A243&lt;Task_Table1!$K$2:$K$571))</f>
        <v>0</v>
      </c>
      <c r="E243" cm="1">
        <f t="array" ref="E243">SUMPRODUCT((Task_Table1!$C$2:$C$571=$E$1)*(A243&gt;Task_Table1!$J$2:$J$571)*(A243&lt;Task_Table1!$K$2:$K$571))</f>
        <v>8</v>
      </c>
    </row>
    <row r="244" spans="1:5">
      <c r="A244" s="5">
        <v>46112</v>
      </c>
      <c r="B244" cm="1">
        <f t="array" ref="B244">SUMPRODUCT((Task_Table1!$C$2:$C$571=$B$1)*(A244&gt;Task_Table1!$J$2:$J$571)*(A244&lt;Task_Table1!$K$2:$K$571))</f>
        <v>4</v>
      </c>
      <c r="C244" cm="1">
        <f t="array" ref="C244">SUMPRODUCT((Task_Table1!$C$2:$C$568=$C$1)*(A244&gt;Task_Table1!$J$2:$J$568)*(A244&lt;Task_Table1!$K$2:$K$568))</f>
        <v>3</v>
      </c>
      <c r="D244" cm="1">
        <f t="array" ref="D244">SUMPRODUCT((Task_Table1!$C$2:$C$571=$D$1)*(A244&gt;Task_Table1!$J$2:$J$571)*(A244&lt;Task_Table1!$K$2:$K$571))</f>
        <v>0</v>
      </c>
      <c r="E244" cm="1">
        <f t="array" ref="E244">SUMPRODUCT((Task_Table1!$C$2:$C$571=$E$1)*(A244&gt;Task_Table1!$J$2:$J$571)*(A244&lt;Task_Table1!$K$2:$K$571))</f>
        <v>6</v>
      </c>
    </row>
    <row r="245" spans="1:5">
      <c r="A245" s="5">
        <v>46113</v>
      </c>
      <c r="B245" cm="1">
        <f t="array" ref="B245">SUMPRODUCT((Task_Table1!$C$2:$C$571=$B$1)*(A245&gt;Task_Table1!$J$2:$J$571)*(A245&lt;Task_Table1!$K$2:$K$571))</f>
        <v>4</v>
      </c>
      <c r="C245" cm="1">
        <f t="array" ref="C245">SUMPRODUCT((Task_Table1!$C$2:$C$568=$C$1)*(A245&gt;Task_Table1!$J$2:$J$568)*(A245&lt;Task_Table1!$K$2:$K$568))</f>
        <v>3</v>
      </c>
      <c r="D245" cm="1">
        <f t="array" ref="D245">SUMPRODUCT((Task_Table1!$C$2:$C$571=$D$1)*(A245&gt;Task_Table1!$J$2:$J$571)*(A245&lt;Task_Table1!$K$2:$K$571))</f>
        <v>0</v>
      </c>
      <c r="E245" cm="1">
        <f t="array" ref="E245">SUMPRODUCT((Task_Table1!$C$2:$C$571=$E$1)*(A245&gt;Task_Table1!$J$2:$J$571)*(A245&lt;Task_Table1!$K$2:$K$571))</f>
        <v>6</v>
      </c>
    </row>
    <row r="246" spans="1:5">
      <c r="A246" s="5">
        <v>46114</v>
      </c>
      <c r="B246" cm="1">
        <f t="array" ref="B246">SUMPRODUCT((Task_Table1!$C$2:$C$571=$B$1)*(A246&gt;Task_Table1!$J$2:$J$571)*(A246&lt;Task_Table1!$K$2:$K$571))</f>
        <v>6</v>
      </c>
      <c r="C246" cm="1">
        <f t="array" ref="C246">SUMPRODUCT((Task_Table1!$C$2:$C$568=$C$1)*(A246&gt;Task_Table1!$J$2:$J$568)*(A246&lt;Task_Table1!$K$2:$K$568))</f>
        <v>10</v>
      </c>
      <c r="D246" cm="1">
        <f t="array" ref="D246">SUMPRODUCT((Task_Table1!$C$2:$C$571=$D$1)*(A246&gt;Task_Table1!$J$2:$J$571)*(A246&lt;Task_Table1!$K$2:$K$571))</f>
        <v>0</v>
      </c>
      <c r="E246" cm="1">
        <f t="array" ref="E246">SUMPRODUCT((Task_Table1!$C$2:$C$571=$E$1)*(A246&gt;Task_Table1!$J$2:$J$571)*(A246&lt;Task_Table1!$K$2:$K$571))</f>
        <v>10</v>
      </c>
    </row>
    <row r="247" spans="1:5">
      <c r="A247" s="5">
        <v>46115</v>
      </c>
      <c r="B247" cm="1">
        <f t="array" ref="B247">SUMPRODUCT((Task_Table1!$C$2:$C$571=$B$1)*(A247&gt;Task_Table1!$J$2:$J$571)*(A247&lt;Task_Table1!$K$2:$K$571))</f>
        <v>6</v>
      </c>
      <c r="C247" cm="1">
        <f t="array" ref="C247">SUMPRODUCT((Task_Table1!$C$2:$C$568=$C$1)*(A247&gt;Task_Table1!$J$2:$J$568)*(A247&lt;Task_Table1!$K$2:$K$568))</f>
        <v>10</v>
      </c>
      <c r="D247" cm="1">
        <f t="array" ref="D247">SUMPRODUCT((Task_Table1!$C$2:$C$571=$D$1)*(A247&gt;Task_Table1!$J$2:$J$571)*(A247&lt;Task_Table1!$K$2:$K$571))</f>
        <v>0</v>
      </c>
      <c r="E247" cm="1">
        <f t="array" ref="E247">SUMPRODUCT((Task_Table1!$C$2:$C$571=$E$1)*(A247&gt;Task_Table1!$J$2:$J$571)*(A247&lt;Task_Table1!$K$2:$K$571))</f>
        <v>10</v>
      </c>
    </row>
    <row r="248" spans="1:5">
      <c r="A248" s="5">
        <v>46116</v>
      </c>
      <c r="B248" cm="1">
        <f t="array" ref="B248">SUMPRODUCT((Task_Table1!$C$2:$C$571=$B$1)*(A248&gt;Task_Table1!$J$2:$J$571)*(A248&lt;Task_Table1!$K$2:$K$571))</f>
        <v>6</v>
      </c>
      <c r="C248" cm="1">
        <f t="array" ref="C248">SUMPRODUCT((Task_Table1!$C$2:$C$568=$C$1)*(A248&gt;Task_Table1!$J$2:$J$568)*(A248&lt;Task_Table1!$K$2:$K$568))</f>
        <v>10</v>
      </c>
      <c r="D248" cm="1">
        <f t="array" ref="D248">SUMPRODUCT((Task_Table1!$C$2:$C$571=$D$1)*(A248&gt;Task_Table1!$J$2:$J$571)*(A248&lt;Task_Table1!$K$2:$K$571))</f>
        <v>0</v>
      </c>
      <c r="E248" cm="1">
        <f t="array" ref="E248">SUMPRODUCT((Task_Table1!$C$2:$C$571=$E$1)*(A248&gt;Task_Table1!$J$2:$J$571)*(A248&lt;Task_Table1!$K$2:$K$571))</f>
        <v>10</v>
      </c>
    </row>
    <row r="249" spans="1:5">
      <c r="A249" s="5">
        <v>46117</v>
      </c>
      <c r="B249" cm="1">
        <f t="array" ref="B249">SUMPRODUCT((Task_Table1!$C$2:$C$571=$B$1)*(A249&gt;Task_Table1!$J$2:$J$571)*(A249&lt;Task_Table1!$K$2:$K$571))</f>
        <v>6</v>
      </c>
      <c r="C249" cm="1">
        <f t="array" ref="C249">SUMPRODUCT((Task_Table1!$C$2:$C$568=$C$1)*(A249&gt;Task_Table1!$J$2:$J$568)*(A249&lt;Task_Table1!$K$2:$K$568))</f>
        <v>10</v>
      </c>
      <c r="D249" cm="1">
        <f t="array" ref="D249">SUMPRODUCT((Task_Table1!$C$2:$C$571=$D$1)*(A249&gt;Task_Table1!$J$2:$J$571)*(A249&lt;Task_Table1!$K$2:$K$571))</f>
        <v>0</v>
      </c>
      <c r="E249" cm="1">
        <f t="array" ref="E249">SUMPRODUCT((Task_Table1!$C$2:$C$571=$E$1)*(A249&gt;Task_Table1!$J$2:$J$571)*(A249&lt;Task_Table1!$K$2:$K$571))</f>
        <v>10</v>
      </c>
    </row>
    <row r="250" spans="1:5">
      <c r="A250" s="5">
        <v>46118</v>
      </c>
      <c r="B250" cm="1">
        <f t="array" ref="B250">SUMPRODUCT((Task_Table1!$C$2:$C$571=$B$1)*(A250&gt;Task_Table1!$J$2:$J$571)*(A250&lt;Task_Table1!$K$2:$K$571))</f>
        <v>6</v>
      </c>
      <c r="C250" cm="1">
        <f t="array" ref="C250">SUMPRODUCT((Task_Table1!$C$2:$C$568=$C$1)*(A250&gt;Task_Table1!$J$2:$J$568)*(A250&lt;Task_Table1!$K$2:$K$568))</f>
        <v>10</v>
      </c>
      <c r="D250" cm="1">
        <f t="array" ref="D250">SUMPRODUCT((Task_Table1!$C$2:$C$571=$D$1)*(A250&gt;Task_Table1!$J$2:$J$571)*(A250&lt;Task_Table1!$K$2:$K$571))</f>
        <v>0</v>
      </c>
      <c r="E250" cm="1">
        <f t="array" ref="E250">SUMPRODUCT((Task_Table1!$C$2:$C$571=$E$1)*(A250&gt;Task_Table1!$J$2:$J$571)*(A250&lt;Task_Table1!$K$2:$K$571))</f>
        <v>10</v>
      </c>
    </row>
    <row r="251" spans="1:5">
      <c r="A251" s="5">
        <v>46119</v>
      </c>
      <c r="B251" cm="1">
        <f t="array" ref="B251">SUMPRODUCT((Task_Table1!$C$2:$C$571=$B$1)*(A251&gt;Task_Table1!$J$2:$J$571)*(A251&lt;Task_Table1!$K$2:$K$571))</f>
        <v>6</v>
      </c>
      <c r="C251" cm="1">
        <f t="array" ref="C251">SUMPRODUCT((Task_Table1!$C$2:$C$568=$C$1)*(A251&gt;Task_Table1!$J$2:$J$568)*(A251&lt;Task_Table1!$K$2:$K$568))</f>
        <v>12</v>
      </c>
      <c r="D251" cm="1">
        <f t="array" ref="D251">SUMPRODUCT((Task_Table1!$C$2:$C$571=$D$1)*(A251&gt;Task_Table1!$J$2:$J$571)*(A251&lt;Task_Table1!$K$2:$K$571))</f>
        <v>0</v>
      </c>
      <c r="E251" cm="1">
        <f t="array" ref="E251">SUMPRODUCT((Task_Table1!$C$2:$C$571=$E$1)*(A251&gt;Task_Table1!$J$2:$J$571)*(A251&lt;Task_Table1!$K$2:$K$571))</f>
        <v>10</v>
      </c>
    </row>
    <row r="252" spans="1:5">
      <c r="A252" s="5">
        <v>46120</v>
      </c>
      <c r="B252" cm="1">
        <f t="array" ref="B252">SUMPRODUCT((Task_Table1!$C$2:$C$571=$B$1)*(A252&gt;Task_Table1!$J$2:$J$571)*(A252&lt;Task_Table1!$K$2:$K$571))</f>
        <v>6</v>
      </c>
      <c r="C252" cm="1">
        <f t="array" ref="C252">SUMPRODUCT((Task_Table1!$C$2:$C$568=$C$1)*(A252&gt;Task_Table1!$J$2:$J$568)*(A252&lt;Task_Table1!$K$2:$K$568))</f>
        <v>13</v>
      </c>
      <c r="D252" cm="1">
        <f t="array" ref="D252">SUMPRODUCT((Task_Table1!$C$2:$C$571=$D$1)*(A252&gt;Task_Table1!$J$2:$J$571)*(A252&lt;Task_Table1!$K$2:$K$571))</f>
        <v>0</v>
      </c>
      <c r="E252" cm="1">
        <f t="array" ref="E252">SUMPRODUCT((Task_Table1!$C$2:$C$571=$E$1)*(A252&gt;Task_Table1!$J$2:$J$571)*(A252&lt;Task_Table1!$K$2:$K$571))</f>
        <v>10</v>
      </c>
    </row>
    <row r="253" spans="1:5">
      <c r="A253" s="5">
        <v>46121</v>
      </c>
      <c r="B253" cm="1">
        <f t="array" ref="B253">SUMPRODUCT((Task_Table1!$C$2:$C$571=$B$1)*(A253&gt;Task_Table1!$J$2:$J$571)*(A253&lt;Task_Table1!$K$2:$K$571))</f>
        <v>6</v>
      </c>
      <c r="C253" cm="1">
        <f t="array" ref="C253">SUMPRODUCT((Task_Table1!$C$2:$C$568=$C$1)*(A253&gt;Task_Table1!$J$2:$J$568)*(A253&lt;Task_Table1!$K$2:$K$568))</f>
        <v>13</v>
      </c>
      <c r="D253" cm="1">
        <f t="array" ref="D253">SUMPRODUCT((Task_Table1!$C$2:$C$571=$D$1)*(A253&gt;Task_Table1!$J$2:$J$571)*(A253&lt;Task_Table1!$K$2:$K$571))</f>
        <v>0</v>
      </c>
      <c r="E253" cm="1">
        <f t="array" ref="E253">SUMPRODUCT((Task_Table1!$C$2:$C$571=$E$1)*(A253&gt;Task_Table1!$J$2:$J$571)*(A253&lt;Task_Table1!$K$2:$K$571))</f>
        <v>10</v>
      </c>
    </row>
    <row r="254" spans="1:5">
      <c r="A254" s="5">
        <v>46122</v>
      </c>
      <c r="B254" cm="1">
        <f t="array" ref="B254">SUMPRODUCT((Task_Table1!$C$2:$C$571=$B$1)*(A254&gt;Task_Table1!$J$2:$J$571)*(A254&lt;Task_Table1!$K$2:$K$571))</f>
        <v>6</v>
      </c>
      <c r="C254" cm="1">
        <f t="array" ref="C254">SUMPRODUCT((Task_Table1!$C$2:$C$568=$C$1)*(A254&gt;Task_Table1!$J$2:$J$568)*(A254&lt;Task_Table1!$K$2:$K$568))</f>
        <v>13</v>
      </c>
      <c r="D254" cm="1">
        <f t="array" ref="D254">SUMPRODUCT((Task_Table1!$C$2:$C$571=$D$1)*(A254&gt;Task_Table1!$J$2:$J$571)*(A254&lt;Task_Table1!$K$2:$K$571))</f>
        <v>0</v>
      </c>
      <c r="E254" cm="1">
        <f t="array" ref="E254">SUMPRODUCT((Task_Table1!$C$2:$C$571=$E$1)*(A254&gt;Task_Table1!$J$2:$J$571)*(A254&lt;Task_Table1!$K$2:$K$571))</f>
        <v>10</v>
      </c>
    </row>
    <row r="255" spans="1:5">
      <c r="A255" s="5">
        <v>46123</v>
      </c>
      <c r="B255" cm="1">
        <f t="array" ref="B255">SUMPRODUCT((Task_Table1!$C$2:$C$571=$B$1)*(A255&gt;Task_Table1!$J$2:$J$571)*(A255&lt;Task_Table1!$K$2:$K$571))</f>
        <v>6</v>
      </c>
      <c r="C255" cm="1">
        <f t="array" ref="C255">SUMPRODUCT((Task_Table1!$C$2:$C$568=$C$1)*(A255&gt;Task_Table1!$J$2:$J$568)*(A255&lt;Task_Table1!$K$2:$K$568))</f>
        <v>13</v>
      </c>
      <c r="D255" cm="1">
        <f t="array" ref="D255">SUMPRODUCT((Task_Table1!$C$2:$C$571=$D$1)*(A255&gt;Task_Table1!$J$2:$J$571)*(A255&lt;Task_Table1!$K$2:$K$571))</f>
        <v>0</v>
      </c>
      <c r="E255" cm="1">
        <f t="array" ref="E255">SUMPRODUCT((Task_Table1!$C$2:$C$571=$E$1)*(A255&gt;Task_Table1!$J$2:$J$571)*(A255&lt;Task_Table1!$K$2:$K$571))</f>
        <v>10</v>
      </c>
    </row>
    <row r="256" spans="1:5">
      <c r="A256" s="5">
        <v>46124</v>
      </c>
      <c r="B256" cm="1">
        <f t="array" ref="B256">SUMPRODUCT((Task_Table1!$C$2:$C$571=$B$1)*(A256&gt;Task_Table1!$J$2:$J$571)*(A256&lt;Task_Table1!$K$2:$K$571))</f>
        <v>6</v>
      </c>
      <c r="C256" cm="1">
        <f t="array" ref="C256">SUMPRODUCT((Task_Table1!$C$2:$C$568=$C$1)*(A256&gt;Task_Table1!$J$2:$J$568)*(A256&lt;Task_Table1!$K$2:$K$568))</f>
        <v>13</v>
      </c>
      <c r="D256" cm="1">
        <f t="array" ref="D256">SUMPRODUCT((Task_Table1!$C$2:$C$571=$D$1)*(A256&gt;Task_Table1!$J$2:$J$571)*(A256&lt;Task_Table1!$K$2:$K$571))</f>
        <v>0</v>
      </c>
      <c r="E256" cm="1">
        <f t="array" ref="E256">SUMPRODUCT((Task_Table1!$C$2:$C$571=$E$1)*(A256&gt;Task_Table1!$J$2:$J$571)*(A256&lt;Task_Table1!$K$2:$K$571))</f>
        <v>10</v>
      </c>
    </row>
    <row r="257" spans="1:5">
      <c r="A257" s="5">
        <v>46125</v>
      </c>
      <c r="B257" cm="1">
        <f t="array" ref="B257">SUMPRODUCT((Task_Table1!$C$2:$C$571=$B$1)*(A257&gt;Task_Table1!$J$2:$J$571)*(A257&lt;Task_Table1!$K$2:$K$571))</f>
        <v>6</v>
      </c>
      <c r="C257" cm="1">
        <f t="array" ref="C257">SUMPRODUCT((Task_Table1!$C$2:$C$568=$C$1)*(A257&gt;Task_Table1!$J$2:$J$568)*(A257&lt;Task_Table1!$K$2:$K$568))</f>
        <v>13</v>
      </c>
      <c r="D257" cm="1">
        <f t="array" ref="D257">SUMPRODUCT((Task_Table1!$C$2:$C$571=$D$1)*(A257&gt;Task_Table1!$J$2:$J$571)*(A257&lt;Task_Table1!$K$2:$K$571))</f>
        <v>0</v>
      </c>
      <c r="E257" cm="1">
        <f t="array" ref="E257">SUMPRODUCT((Task_Table1!$C$2:$C$571=$E$1)*(A257&gt;Task_Table1!$J$2:$J$571)*(A257&lt;Task_Table1!$K$2:$K$571))</f>
        <v>10</v>
      </c>
    </row>
    <row r="258" spans="1:5">
      <c r="A258" s="5">
        <v>46126</v>
      </c>
      <c r="B258" cm="1">
        <f t="array" ref="B258">SUMPRODUCT((Task_Table1!$C$2:$C$571=$B$1)*(A258&gt;Task_Table1!$J$2:$J$571)*(A258&lt;Task_Table1!$K$2:$K$571))</f>
        <v>6</v>
      </c>
      <c r="C258" cm="1">
        <f t="array" ref="C258">SUMPRODUCT((Task_Table1!$C$2:$C$568=$C$1)*(A258&gt;Task_Table1!$J$2:$J$568)*(A258&lt;Task_Table1!$K$2:$K$568))</f>
        <v>13</v>
      </c>
      <c r="D258" cm="1">
        <f t="array" ref="D258">SUMPRODUCT((Task_Table1!$C$2:$C$571=$D$1)*(A258&gt;Task_Table1!$J$2:$J$571)*(A258&lt;Task_Table1!$K$2:$K$571))</f>
        <v>0</v>
      </c>
      <c r="E258" cm="1">
        <f t="array" ref="E258">SUMPRODUCT((Task_Table1!$C$2:$C$571=$E$1)*(A258&gt;Task_Table1!$J$2:$J$571)*(A258&lt;Task_Table1!$K$2:$K$571))</f>
        <v>10</v>
      </c>
    </row>
    <row r="259" spans="1:5">
      <c r="A259" s="5">
        <v>46127</v>
      </c>
      <c r="B259" cm="1">
        <f t="array" ref="B259">SUMPRODUCT((Task_Table1!$C$2:$C$571=$B$1)*(A259&gt;Task_Table1!$J$2:$J$571)*(A259&lt;Task_Table1!$K$2:$K$571))</f>
        <v>6</v>
      </c>
      <c r="C259" cm="1">
        <f t="array" ref="C259">SUMPRODUCT((Task_Table1!$C$2:$C$568=$C$1)*(A259&gt;Task_Table1!$J$2:$J$568)*(A259&lt;Task_Table1!$K$2:$K$568))</f>
        <v>13</v>
      </c>
      <c r="D259" cm="1">
        <f t="array" ref="D259">SUMPRODUCT((Task_Table1!$C$2:$C$571=$D$1)*(A259&gt;Task_Table1!$J$2:$J$571)*(A259&lt;Task_Table1!$K$2:$K$571))</f>
        <v>0</v>
      </c>
      <c r="E259" cm="1">
        <f t="array" ref="E259">SUMPRODUCT((Task_Table1!$C$2:$C$571=$E$1)*(A259&gt;Task_Table1!$J$2:$J$571)*(A259&lt;Task_Table1!$K$2:$K$571))</f>
        <v>10</v>
      </c>
    </row>
    <row r="260" spans="1:5">
      <c r="A260" s="5">
        <v>46128</v>
      </c>
      <c r="B260" cm="1">
        <f t="array" ref="B260">SUMPRODUCT((Task_Table1!$C$2:$C$571=$B$1)*(A260&gt;Task_Table1!$J$2:$J$571)*(A260&lt;Task_Table1!$K$2:$K$571))</f>
        <v>12</v>
      </c>
      <c r="C260" cm="1">
        <f t="array" ref="C260">SUMPRODUCT((Task_Table1!$C$2:$C$568=$C$1)*(A260&gt;Task_Table1!$J$2:$J$568)*(A260&lt;Task_Table1!$K$2:$K$568))</f>
        <v>24</v>
      </c>
      <c r="D260" cm="1">
        <f t="array" ref="D260">SUMPRODUCT((Task_Table1!$C$2:$C$571=$D$1)*(A260&gt;Task_Table1!$J$2:$J$571)*(A260&lt;Task_Table1!$K$2:$K$571))</f>
        <v>0</v>
      </c>
      <c r="E260" cm="1">
        <f t="array" ref="E260">SUMPRODUCT((Task_Table1!$C$2:$C$571=$E$1)*(A260&gt;Task_Table1!$J$2:$J$571)*(A260&lt;Task_Table1!$K$2:$K$571))</f>
        <v>10</v>
      </c>
    </row>
    <row r="261" spans="1:5">
      <c r="A261" s="5">
        <v>46129</v>
      </c>
      <c r="B261" cm="1">
        <f t="array" ref="B261">SUMPRODUCT((Task_Table1!$C$2:$C$571=$B$1)*(A261&gt;Task_Table1!$J$2:$J$571)*(A261&lt;Task_Table1!$K$2:$K$571))</f>
        <v>12</v>
      </c>
      <c r="C261" cm="1">
        <f t="array" ref="C261">SUMPRODUCT((Task_Table1!$C$2:$C$568=$C$1)*(A261&gt;Task_Table1!$J$2:$J$568)*(A261&lt;Task_Table1!$K$2:$K$568))</f>
        <v>24</v>
      </c>
      <c r="D261" cm="1">
        <f t="array" ref="D261">SUMPRODUCT((Task_Table1!$C$2:$C$571=$D$1)*(A261&gt;Task_Table1!$J$2:$J$571)*(A261&lt;Task_Table1!$K$2:$K$571))</f>
        <v>0</v>
      </c>
      <c r="E261" cm="1">
        <f t="array" ref="E261">SUMPRODUCT((Task_Table1!$C$2:$C$571=$E$1)*(A261&gt;Task_Table1!$J$2:$J$571)*(A261&lt;Task_Table1!$K$2:$K$571))</f>
        <v>10</v>
      </c>
    </row>
    <row r="262" spans="1:5">
      <c r="A262" s="5">
        <v>46130</v>
      </c>
      <c r="B262" cm="1">
        <f t="array" ref="B262">SUMPRODUCT((Task_Table1!$C$2:$C$571=$B$1)*(A262&gt;Task_Table1!$J$2:$J$571)*(A262&lt;Task_Table1!$K$2:$K$571))</f>
        <v>12</v>
      </c>
      <c r="C262" cm="1">
        <f t="array" ref="C262">SUMPRODUCT((Task_Table1!$C$2:$C$568=$C$1)*(A262&gt;Task_Table1!$J$2:$J$568)*(A262&lt;Task_Table1!$K$2:$K$568))</f>
        <v>24</v>
      </c>
      <c r="D262" cm="1">
        <f t="array" ref="D262">SUMPRODUCT((Task_Table1!$C$2:$C$571=$D$1)*(A262&gt;Task_Table1!$J$2:$J$571)*(A262&lt;Task_Table1!$K$2:$K$571))</f>
        <v>0</v>
      </c>
      <c r="E262" cm="1">
        <f t="array" ref="E262">SUMPRODUCT((Task_Table1!$C$2:$C$571=$E$1)*(A262&gt;Task_Table1!$J$2:$J$571)*(A262&lt;Task_Table1!$K$2:$K$571))</f>
        <v>10</v>
      </c>
    </row>
    <row r="263" spans="1:5">
      <c r="A263" s="5">
        <v>46131</v>
      </c>
      <c r="B263" cm="1">
        <f t="array" ref="B263">SUMPRODUCT((Task_Table1!$C$2:$C$571=$B$1)*(A263&gt;Task_Table1!$J$2:$J$571)*(A263&lt;Task_Table1!$K$2:$K$571))</f>
        <v>12</v>
      </c>
      <c r="C263" cm="1">
        <f t="array" ref="C263">SUMPRODUCT((Task_Table1!$C$2:$C$568=$C$1)*(A263&gt;Task_Table1!$J$2:$J$568)*(A263&lt;Task_Table1!$K$2:$K$568))</f>
        <v>24</v>
      </c>
      <c r="D263" cm="1">
        <f t="array" ref="D263">SUMPRODUCT((Task_Table1!$C$2:$C$571=$D$1)*(A263&gt;Task_Table1!$J$2:$J$571)*(A263&lt;Task_Table1!$K$2:$K$571))</f>
        <v>0</v>
      </c>
      <c r="E263" cm="1">
        <f t="array" ref="E263">SUMPRODUCT((Task_Table1!$C$2:$C$571=$E$1)*(A263&gt;Task_Table1!$J$2:$J$571)*(A263&lt;Task_Table1!$K$2:$K$571))</f>
        <v>10</v>
      </c>
    </row>
    <row r="264" spans="1:5">
      <c r="A264" s="5">
        <v>46132</v>
      </c>
      <c r="B264" cm="1">
        <f t="array" ref="B264">SUMPRODUCT((Task_Table1!$C$2:$C$571=$B$1)*(A264&gt;Task_Table1!$J$2:$J$571)*(A264&lt;Task_Table1!$K$2:$K$571))</f>
        <v>12</v>
      </c>
      <c r="C264" cm="1">
        <f t="array" ref="C264">SUMPRODUCT((Task_Table1!$C$2:$C$568=$C$1)*(A264&gt;Task_Table1!$J$2:$J$568)*(A264&lt;Task_Table1!$K$2:$K$568))</f>
        <v>24</v>
      </c>
      <c r="D264" cm="1">
        <f t="array" ref="D264">SUMPRODUCT((Task_Table1!$C$2:$C$571=$D$1)*(A264&gt;Task_Table1!$J$2:$J$571)*(A264&lt;Task_Table1!$K$2:$K$571))</f>
        <v>0</v>
      </c>
      <c r="E264" cm="1">
        <f t="array" ref="E264">SUMPRODUCT((Task_Table1!$C$2:$C$571=$E$1)*(A264&gt;Task_Table1!$J$2:$J$571)*(A264&lt;Task_Table1!$K$2:$K$571))</f>
        <v>10</v>
      </c>
    </row>
    <row r="265" spans="1:5">
      <c r="A265" s="5">
        <v>46133</v>
      </c>
      <c r="B265" cm="1">
        <f t="array" ref="B265">SUMPRODUCT((Task_Table1!$C$2:$C$571=$B$1)*(A265&gt;Task_Table1!$J$2:$J$571)*(A265&lt;Task_Table1!$K$2:$K$571))</f>
        <v>13</v>
      </c>
      <c r="C265" cm="1">
        <f t="array" ref="C265">SUMPRODUCT((Task_Table1!$C$2:$C$568=$C$1)*(A265&gt;Task_Table1!$J$2:$J$568)*(A265&lt;Task_Table1!$K$2:$K$568))</f>
        <v>24</v>
      </c>
      <c r="D265" cm="1">
        <f t="array" ref="D265">SUMPRODUCT((Task_Table1!$C$2:$C$571=$D$1)*(A265&gt;Task_Table1!$J$2:$J$571)*(A265&lt;Task_Table1!$K$2:$K$571))</f>
        <v>0</v>
      </c>
      <c r="E265" cm="1">
        <f t="array" ref="E265">SUMPRODUCT((Task_Table1!$C$2:$C$571=$E$1)*(A265&gt;Task_Table1!$J$2:$J$571)*(A265&lt;Task_Table1!$K$2:$K$571))</f>
        <v>10</v>
      </c>
    </row>
    <row r="266" spans="1:5">
      <c r="A266" s="5">
        <v>46134</v>
      </c>
      <c r="B266" cm="1">
        <f t="array" ref="B266">SUMPRODUCT((Task_Table1!$C$2:$C$571=$B$1)*(A266&gt;Task_Table1!$J$2:$J$571)*(A266&lt;Task_Table1!$K$2:$K$571))</f>
        <v>13</v>
      </c>
      <c r="C266" cm="1">
        <f t="array" ref="C266">SUMPRODUCT((Task_Table1!$C$2:$C$568=$C$1)*(A266&gt;Task_Table1!$J$2:$J$568)*(A266&lt;Task_Table1!$K$2:$K$568))</f>
        <v>24</v>
      </c>
      <c r="D266" cm="1">
        <f t="array" ref="D266">SUMPRODUCT((Task_Table1!$C$2:$C$571=$D$1)*(A266&gt;Task_Table1!$J$2:$J$571)*(A266&lt;Task_Table1!$K$2:$K$571))</f>
        <v>0</v>
      </c>
      <c r="E266" cm="1">
        <f t="array" ref="E266">SUMPRODUCT((Task_Table1!$C$2:$C$571=$E$1)*(A266&gt;Task_Table1!$J$2:$J$571)*(A266&lt;Task_Table1!$K$2:$K$571))</f>
        <v>10</v>
      </c>
    </row>
    <row r="267" spans="1:5">
      <c r="A267" s="5">
        <v>46135</v>
      </c>
      <c r="B267" cm="1">
        <f t="array" ref="B267">SUMPRODUCT((Task_Table1!$C$2:$C$571=$B$1)*(A267&gt;Task_Table1!$J$2:$J$571)*(A267&lt;Task_Table1!$K$2:$K$571))</f>
        <v>13</v>
      </c>
      <c r="C267" cm="1">
        <f t="array" ref="C267">SUMPRODUCT((Task_Table1!$C$2:$C$568=$C$1)*(A267&gt;Task_Table1!$J$2:$J$568)*(A267&lt;Task_Table1!$K$2:$K$568))</f>
        <v>24</v>
      </c>
      <c r="D267" cm="1">
        <f t="array" ref="D267">SUMPRODUCT((Task_Table1!$C$2:$C$571=$D$1)*(A267&gt;Task_Table1!$J$2:$J$571)*(A267&lt;Task_Table1!$K$2:$K$571))</f>
        <v>0</v>
      </c>
      <c r="E267" cm="1">
        <f t="array" ref="E267">SUMPRODUCT((Task_Table1!$C$2:$C$571=$E$1)*(A267&gt;Task_Table1!$J$2:$J$571)*(A267&lt;Task_Table1!$K$2:$K$571))</f>
        <v>10</v>
      </c>
    </row>
    <row r="268" spans="1:5">
      <c r="A268" s="5">
        <v>46136</v>
      </c>
      <c r="B268" cm="1">
        <f t="array" ref="B268">SUMPRODUCT((Task_Table1!$C$2:$C$571=$B$1)*(A268&gt;Task_Table1!$J$2:$J$571)*(A268&lt;Task_Table1!$K$2:$K$571))</f>
        <v>13</v>
      </c>
      <c r="C268" cm="1">
        <f t="array" ref="C268">SUMPRODUCT((Task_Table1!$C$2:$C$568=$C$1)*(A268&gt;Task_Table1!$J$2:$J$568)*(A268&lt;Task_Table1!$K$2:$K$568))</f>
        <v>24</v>
      </c>
      <c r="D268" cm="1">
        <f t="array" ref="D268">SUMPRODUCT((Task_Table1!$C$2:$C$571=$D$1)*(A268&gt;Task_Table1!$J$2:$J$571)*(A268&lt;Task_Table1!$K$2:$K$571))</f>
        <v>0</v>
      </c>
      <c r="E268" cm="1">
        <f t="array" ref="E268">SUMPRODUCT((Task_Table1!$C$2:$C$571=$E$1)*(A268&gt;Task_Table1!$J$2:$J$571)*(A268&lt;Task_Table1!$K$2:$K$571))</f>
        <v>10</v>
      </c>
    </row>
    <row r="269" spans="1:5">
      <c r="A269" s="5">
        <v>46137</v>
      </c>
      <c r="B269" cm="1">
        <f t="array" ref="B269">SUMPRODUCT((Task_Table1!$C$2:$C$571=$B$1)*(A269&gt;Task_Table1!$J$2:$J$571)*(A269&lt;Task_Table1!$K$2:$K$571))</f>
        <v>13</v>
      </c>
      <c r="C269" cm="1">
        <f t="array" ref="C269">SUMPRODUCT((Task_Table1!$C$2:$C$568=$C$1)*(A269&gt;Task_Table1!$J$2:$J$568)*(A269&lt;Task_Table1!$K$2:$K$568))</f>
        <v>24</v>
      </c>
      <c r="D269" cm="1">
        <f t="array" ref="D269">SUMPRODUCT((Task_Table1!$C$2:$C$571=$D$1)*(A269&gt;Task_Table1!$J$2:$J$571)*(A269&lt;Task_Table1!$K$2:$K$571))</f>
        <v>0</v>
      </c>
      <c r="E269" cm="1">
        <f t="array" ref="E269">SUMPRODUCT((Task_Table1!$C$2:$C$571=$E$1)*(A269&gt;Task_Table1!$J$2:$J$571)*(A269&lt;Task_Table1!$K$2:$K$571))</f>
        <v>10</v>
      </c>
    </row>
    <row r="270" spans="1:5">
      <c r="A270" s="5">
        <v>46138</v>
      </c>
      <c r="B270" cm="1">
        <f t="array" ref="B270">SUMPRODUCT((Task_Table1!$C$2:$C$571=$B$1)*(A270&gt;Task_Table1!$J$2:$J$571)*(A270&lt;Task_Table1!$K$2:$K$571))</f>
        <v>13</v>
      </c>
      <c r="C270" cm="1">
        <f t="array" ref="C270">SUMPRODUCT((Task_Table1!$C$2:$C$568=$C$1)*(A270&gt;Task_Table1!$J$2:$J$568)*(A270&lt;Task_Table1!$K$2:$K$568))</f>
        <v>24</v>
      </c>
      <c r="D270" cm="1">
        <f t="array" ref="D270">SUMPRODUCT((Task_Table1!$C$2:$C$571=$D$1)*(A270&gt;Task_Table1!$J$2:$J$571)*(A270&lt;Task_Table1!$K$2:$K$571))</f>
        <v>0</v>
      </c>
      <c r="E270" cm="1">
        <f t="array" ref="E270">SUMPRODUCT((Task_Table1!$C$2:$C$571=$E$1)*(A270&gt;Task_Table1!$J$2:$J$571)*(A270&lt;Task_Table1!$K$2:$K$571))</f>
        <v>10</v>
      </c>
    </row>
    <row r="271" spans="1:5">
      <c r="A271" s="5">
        <v>46139</v>
      </c>
      <c r="B271" cm="1">
        <f t="array" ref="B271">SUMPRODUCT((Task_Table1!$C$2:$C$571=$B$1)*(A271&gt;Task_Table1!$J$2:$J$571)*(A271&lt;Task_Table1!$K$2:$K$571))</f>
        <v>13</v>
      </c>
      <c r="C271" cm="1">
        <f t="array" ref="C271">SUMPRODUCT((Task_Table1!$C$2:$C$568=$C$1)*(A271&gt;Task_Table1!$J$2:$J$568)*(A271&lt;Task_Table1!$K$2:$K$568))</f>
        <v>24</v>
      </c>
      <c r="D271" cm="1">
        <f t="array" ref="D271">SUMPRODUCT((Task_Table1!$C$2:$C$571=$D$1)*(A271&gt;Task_Table1!$J$2:$J$571)*(A271&lt;Task_Table1!$K$2:$K$571))</f>
        <v>0</v>
      </c>
      <c r="E271" cm="1">
        <f t="array" ref="E271">SUMPRODUCT((Task_Table1!$C$2:$C$571=$E$1)*(A271&gt;Task_Table1!$J$2:$J$571)*(A271&lt;Task_Table1!$K$2:$K$571))</f>
        <v>10</v>
      </c>
    </row>
    <row r="272" spans="1:5">
      <c r="A272" s="5">
        <v>46140</v>
      </c>
      <c r="B272" cm="1">
        <f t="array" ref="B272">SUMPRODUCT((Task_Table1!$C$2:$C$571=$B$1)*(A272&gt;Task_Table1!$J$2:$J$571)*(A272&lt;Task_Table1!$K$2:$K$571))</f>
        <v>13</v>
      </c>
      <c r="C272" cm="1">
        <f t="array" ref="C272">SUMPRODUCT((Task_Table1!$C$2:$C$568=$C$1)*(A272&gt;Task_Table1!$J$2:$J$568)*(A272&lt;Task_Table1!$K$2:$K$568))</f>
        <v>24</v>
      </c>
      <c r="D272" cm="1">
        <f t="array" ref="D272">SUMPRODUCT((Task_Table1!$C$2:$C$571=$D$1)*(A272&gt;Task_Table1!$J$2:$J$571)*(A272&lt;Task_Table1!$K$2:$K$571))</f>
        <v>0</v>
      </c>
      <c r="E272" cm="1">
        <f t="array" ref="E272">SUMPRODUCT((Task_Table1!$C$2:$C$571=$E$1)*(A272&gt;Task_Table1!$J$2:$J$571)*(A272&lt;Task_Table1!$K$2:$K$571))</f>
        <v>10</v>
      </c>
    </row>
    <row r="273" spans="1:5">
      <c r="A273" s="5">
        <v>46141</v>
      </c>
      <c r="B273" cm="1">
        <f t="array" ref="B273">SUMPRODUCT((Task_Table1!$C$2:$C$571=$B$1)*(A273&gt;Task_Table1!$J$2:$J$571)*(A273&lt;Task_Table1!$K$2:$K$571))</f>
        <v>13</v>
      </c>
      <c r="C273" cm="1">
        <f t="array" ref="C273">SUMPRODUCT((Task_Table1!$C$2:$C$568=$C$1)*(A273&gt;Task_Table1!$J$2:$J$568)*(A273&lt;Task_Table1!$K$2:$K$568))</f>
        <v>24</v>
      </c>
      <c r="D273" cm="1">
        <f t="array" ref="D273">SUMPRODUCT((Task_Table1!$C$2:$C$571=$D$1)*(A273&gt;Task_Table1!$J$2:$J$571)*(A273&lt;Task_Table1!$K$2:$K$571))</f>
        <v>0</v>
      </c>
      <c r="E273" cm="1">
        <f t="array" ref="E273">SUMPRODUCT((Task_Table1!$C$2:$C$571=$E$1)*(A273&gt;Task_Table1!$J$2:$J$571)*(A273&lt;Task_Table1!$K$2:$K$571))</f>
        <v>10</v>
      </c>
    </row>
    <row r="274" spans="1:5">
      <c r="A274" s="5">
        <v>46142</v>
      </c>
      <c r="B274" cm="1">
        <f t="array" ref="B274">SUMPRODUCT((Task_Table1!$C$2:$C$571=$B$1)*(A274&gt;Task_Table1!$J$2:$J$571)*(A274&lt;Task_Table1!$K$2:$K$571))</f>
        <v>12</v>
      </c>
      <c r="C274" cm="1">
        <f t="array" ref="C274">SUMPRODUCT((Task_Table1!$C$2:$C$568=$C$1)*(A274&gt;Task_Table1!$J$2:$J$568)*(A274&lt;Task_Table1!$K$2:$K$568))</f>
        <v>21</v>
      </c>
      <c r="D274" cm="1">
        <f t="array" ref="D274">SUMPRODUCT((Task_Table1!$C$2:$C$571=$D$1)*(A274&gt;Task_Table1!$J$2:$J$571)*(A274&lt;Task_Table1!$K$2:$K$571))</f>
        <v>0</v>
      </c>
      <c r="E274" cm="1">
        <f t="array" ref="E274">SUMPRODUCT((Task_Table1!$C$2:$C$571=$E$1)*(A274&gt;Task_Table1!$J$2:$J$571)*(A274&lt;Task_Table1!$K$2:$K$571))</f>
        <v>9</v>
      </c>
    </row>
    <row r="275" spans="1:5">
      <c r="A275" s="5">
        <v>46143</v>
      </c>
      <c r="B275" cm="1">
        <f t="array" ref="B275">SUMPRODUCT((Task_Table1!$C$2:$C$571=$B$1)*(A275&gt;Task_Table1!$J$2:$J$571)*(A275&lt;Task_Table1!$K$2:$K$571))</f>
        <v>12</v>
      </c>
      <c r="C275" cm="1">
        <f t="array" ref="C275">SUMPRODUCT((Task_Table1!$C$2:$C$568=$C$1)*(A275&gt;Task_Table1!$J$2:$J$568)*(A275&lt;Task_Table1!$K$2:$K$568))</f>
        <v>21</v>
      </c>
      <c r="D275" cm="1">
        <f t="array" ref="D275">SUMPRODUCT((Task_Table1!$C$2:$C$571=$D$1)*(A275&gt;Task_Table1!$J$2:$J$571)*(A275&lt;Task_Table1!$K$2:$K$571))</f>
        <v>0</v>
      </c>
      <c r="E275" cm="1">
        <f t="array" ref="E275">SUMPRODUCT((Task_Table1!$C$2:$C$571=$E$1)*(A275&gt;Task_Table1!$J$2:$J$571)*(A275&lt;Task_Table1!$K$2:$K$571))</f>
        <v>9</v>
      </c>
    </row>
    <row r="276" spans="1:5">
      <c r="A276" s="5">
        <v>46144</v>
      </c>
      <c r="B276" cm="1">
        <f t="array" ref="B276">SUMPRODUCT((Task_Table1!$C$2:$C$571=$B$1)*(A276&gt;Task_Table1!$J$2:$J$571)*(A276&lt;Task_Table1!$K$2:$K$571))</f>
        <v>12</v>
      </c>
      <c r="C276" cm="1">
        <f t="array" ref="C276">SUMPRODUCT((Task_Table1!$C$2:$C$568=$C$1)*(A276&gt;Task_Table1!$J$2:$J$568)*(A276&lt;Task_Table1!$K$2:$K$568))</f>
        <v>21</v>
      </c>
      <c r="D276" cm="1">
        <f t="array" ref="D276">SUMPRODUCT((Task_Table1!$C$2:$C$571=$D$1)*(A276&gt;Task_Table1!$J$2:$J$571)*(A276&lt;Task_Table1!$K$2:$K$571))</f>
        <v>0</v>
      </c>
      <c r="E276" cm="1">
        <f t="array" ref="E276">SUMPRODUCT((Task_Table1!$C$2:$C$571=$E$1)*(A276&gt;Task_Table1!$J$2:$J$571)*(A276&lt;Task_Table1!$K$2:$K$571))</f>
        <v>9</v>
      </c>
    </row>
    <row r="277" spans="1:5">
      <c r="A277" s="5">
        <v>46145</v>
      </c>
      <c r="B277" cm="1">
        <f t="array" ref="B277">SUMPRODUCT((Task_Table1!$C$2:$C$571=$B$1)*(A277&gt;Task_Table1!$J$2:$J$571)*(A277&lt;Task_Table1!$K$2:$K$571))</f>
        <v>12</v>
      </c>
      <c r="C277" cm="1">
        <f t="array" ref="C277">SUMPRODUCT((Task_Table1!$C$2:$C$568=$C$1)*(A277&gt;Task_Table1!$J$2:$J$568)*(A277&lt;Task_Table1!$K$2:$K$568))</f>
        <v>21</v>
      </c>
      <c r="D277" cm="1">
        <f t="array" ref="D277">SUMPRODUCT((Task_Table1!$C$2:$C$571=$D$1)*(A277&gt;Task_Table1!$J$2:$J$571)*(A277&lt;Task_Table1!$K$2:$K$571))</f>
        <v>0</v>
      </c>
      <c r="E277" cm="1">
        <f t="array" ref="E277">SUMPRODUCT((Task_Table1!$C$2:$C$571=$E$1)*(A277&gt;Task_Table1!$J$2:$J$571)*(A277&lt;Task_Table1!$K$2:$K$571))</f>
        <v>9</v>
      </c>
    </row>
    <row r="278" spans="1:5">
      <c r="A278" s="5">
        <v>46146</v>
      </c>
      <c r="B278" cm="1">
        <f t="array" ref="B278">SUMPRODUCT((Task_Table1!$C$2:$C$571=$B$1)*(A278&gt;Task_Table1!$J$2:$J$571)*(A278&lt;Task_Table1!$K$2:$K$571))</f>
        <v>11</v>
      </c>
      <c r="C278" cm="1">
        <f t="array" ref="C278">SUMPRODUCT((Task_Table1!$C$2:$C$568=$C$1)*(A278&gt;Task_Table1!$J$2:$J$568)*(A278&lt;Task_Table1!$K$2:$K$568))</f>
        <v>21</v>
      </c>
      <c r="D278" cm="1">
        <f t="array" ref="D278">SUMPRODUCT((Task_Table1!$C$2:$C$571=$D$1)*(A278&gt;Task_Table1!$J$2:$J$571)*(A278&lt;Task_Table1!$K$2:$K$571))</f>
        <v>0</v>
      </c>
      <c r="E278" cm="1">
        <f t="array" ref="E278">SUMPRODUCT((Task_Table1!$C$2:$C$571=$E$1)*(A278&gt;Task_Table1!$J$2:$J$571)*(A278&lt;Task_Table1!$K$2:$K$571))</f>
        <v>9</v>
      </c>
    </row>
    <row r="279" spans="1:5">
      <c r="A279" s="5">
        <v>46147</v>
      </c>
      <c r="B279" cm="1">
        <f t="array" ref="B279">SUMPRODUCT((Task_Table1!$C$2:$C$571=$B$1)*(A279&gt;Task_Table1!$J$2:$J$571)*(A279&lt;Task_Table1!$K$2:$K$571))</f>
        <v>11</v>
      </c>
      <c r="C279" cm="1">
        <f t="array" ref="C279">SUMPRODUCT((Task_Table1!$C$2:$C$568=$C$1)*(A279&gt;Task_Table1!$J$2:$J$568)*(A279&lt;Task_Table1!$K$2:$K$568))</f>
        <v>21</v>
      </c>
      <c r="D279" cm="1">
        <f t="array" ref="D279">SUMPRODUCT((Task_Table1!$C$2:$C$571=$D$1)*(A279&gt;Task_Table1!$J$2:$J$571)*(A279&lt;Task_Table1!$K$2:$K$571))</f>
        <v>0</v>
      </c>
      <c r="E279" cm="1">
        <f t="array" ref="E279">SUMPRODUCT((Task_Table1!$C$2:$C$571=$E$1)*(A279&gt;Task_Table1!$J$2:$J$571)*(A279&lt;Task_Table1!$K$2:$K$571))</f>
        <v>11</v>
      </c>
    </row>
    <row r="280" spans="1:5">
      <c r="A280" s="5">
        <v>46148</v>
      </c>
      <c r="B280" cm="1">
        <f t="array" ref="B280">SUMPRODUCT((Task_Table1!$C$2:$C$571=$B$1)*(A280&gt;Task_Table1!$J$2:$J$571)*(A280&lt;Task_Table1!$K$2:$K$571))</f>
        <v>11</v>
      </c>
      <c r="C280" cm="1">
        <f t="array" ref="C280">SUMPRODUCT((Task_Table1!$C$2:$C$568=$C$1)*(A280&gt;Task_Table1!$J$2:$J$568)*(A280&lt;Task_Table1!$K$2:$K$568))</f>
        <v>21</v>
      </c>
      <c r="D280" cm="1">
        <f t="array" ref="D280">SUMPRODUCT((Task_Table1!$C$2:$C$571=$D$1)*(A280&gt;Task_Table1!$J$2:$J$571)*(A280&lt;Task_Table1!$K$2:$K$571))</f>
        <v>0</v>
      </c>
      <c r="E280" cm="1">
        <f t="array" ref="E280">SUMPRODUCT((Task_Table1!$C$2:$C$571=$E$1)*(A280&gt;Task_Table1!$J$2:$J$571)*(A280&lt;Task_Table1!$K$2:$K$571))</f>
        <v>11</v>
      </c>
    </row>
    <row r="281" spans="1:5">
      <c r="A281" s="5">
        <v>46149</v>
      </c>
      <c r="B281" cm="1">
        <f t="array" ref="B281">SUMPRODUCT((Task_Table1!$C$2:$C$571=$B$1)*(A281&gt;Task_Table1!$J$2:$J$571)*(A281&lt;Task_Table1!$K$2:$K$571))</f>
        <v>11</v>
      </c>
      <c r="C281" cm="1">
        <f t="array" ref="C281">SUMPRODUCT((Task_Table1!$C$2:$C$568=$C$1)*(A281&gt;Task_Table1!$J$2:$J$568)*(A281&lt;Task_Table1!$K$2:$K$568))</f>
        <v>21</v>
      </c>
      <c r="D281" cm="1">
        <f t="array" ref="D281">SUMPRODUCT((Task_Table1!$C$2:$C$571=$D$1)*(A281&gt;Task_Table1!$J$2:$J$571)*(A281&lt;Task_Table1!$K$2:$K$571))</f>
        <v>0</v>
      </c>
      <c r="E281" cm="1">
        <f t="array" ref="E281">SUMPRODUCT((Task_Table1!$C$2:$C$571=$E$1)*(A281&gt;Task_Table1!$J$2:$J$571)*(A281&lt;Task_Table1!$K$2:$K$571))</f>
        <v>11</v>
      </c>
    </row>
    <row r="282" spans="1:5">
      <c r="A282" s="5">
        <v>46150</v>
      </c>
      <c r="B282" cm="1">
        <f t="array" ref="B282">SUMPRODUCT((Task_Table1!$C$2:$C$571=$B$1)*(A282&gt;Task_Table1!$J$2:$J$571)*(A282&lt;Task_Table1!$K$2:$K$571))</f>
        <v>11</v>
      </c>
      <c r="C282" cm="1">
        <f t="array" ref="C282">SUMPRODUCT((Task_Table1!$C$2:$C$568=$C$1)*(A282&gt;Task_Table1!$J$2:$J$568)*(A282&lt;Task_Table1!$K$2:$K$568))</f>
        <v>21</v>
      </c>
      <c r="D282" cm="1">
        <f t="array" ref="D282">SUMPRODUCT((Task_Table1!$C$2:$C$571=$D$1)*(A282&gt;Task_Table1!$J$2:$J$571)*(A282&lt;Task_Table1!$K$2:$K$571))</f>
        <v>0</v>
      </c>
      <c r="E282" cm="1">
        <f t="array" ref="E282">SUMPRODUCT((Task_Table1!$C$2:$C$571=$E$1)*(A282&gt;Task_Table1!$J$2:$J$571)*(A282&lt;Task_Table1!$K$2:$K$571))</f>
        <v>11</v>
      </c>
    </row>
    <row r="283" spans="1:5">
      <c r="A283" s="5">
        <v>46151</v>
      </c>
      <c r="B283" cm="1">
        <f t="array" ref="B283">SUMPRODUCT((Task_Table1!$C$2:$C$571=$B$1)*(A283&gt;Task_Table1!$J$2:$J$571)*(A283&lt;Task_Table1!$K$2:$K$571))</f>
        <v>11</v>
      </c>
      <c r="C283" cm="1">
        <f t="array" ref="C283">SUMPRODUCT((Task_Table1!$C$2:$C$568=$C$1)*(A283&gt;Task_Table1!$J$2:$J$568)*(A283&lt;Task_Table1!$K$2:$K$568))</f>
        <v>21</v>
      </c>
      <c r="D283" cm="1">
        <f t="array" ref="D283">SUMPRODUCT((Task_Table1!$C$2:$C$571=$D$1)*(A283&gt;Task_Table1!$J$2:$J$571)*(A283&lt;Task_Table1!$K$2:$K$571))</f>
        <v>0</v>
      </c>
      <c r="E283" cm="1">
        <f t="array" ref="E283">SUMPRODUCT((Task_Table1!$C$2:$C$571=$E$1)*(A283&gt;Task_Table1!$J$2:$J$571)*(A283&lt;Task_Table1!$K$2:$K$571))</f>
        <v>11</v>
      </c>
    </row>
    <row r="284" spans="1:5">
      <c r="A284" s="5">
        <v>46152</v>
      </c>
      <c r="B284" cm="1">
        <f t="array" ref="B284">SUMPRODUCT((Task_Table1!$C$2:$C$571=$B$1)*(A284&gt;Task_Table1!$J$2:$J$571)*(A284&lt;Task_Table1!$K$2:$K$571))</f>
        <v>11</v>
      </c>
      <c r="C284" cm="1">
        <f t="array" ref="C284">SUMPRODUCT((Task_Table1!$C$2:$C$568=$C$1)*(A284&gt;Task_Table1!$J$2:$J$568)*(A284&lt;Task_Table1!$K$2:$K$568))</f>
        <v>21</v>
      </c>
      <c r="D284" cm="1">
        <f t="array" ref="D284">SUMPRODUCT((Task_Table1!$C$2:$C$571=$D$1)*(A284&gt;Task_Table1!$J$2:$J$571)*(A284&lt;Task_Table1!$K$2:$K$571))</f>
        <v>0</v>
      </c>
      <c r="E284" cm="1">
        <f t="array" ref="E284">SUMPRODUCT((Task_Table1!$C$2:$C$571=$E$1)*(A284&gt;Task_Table1!$J$2:$J$571)*(A284&lt;Task_Table1!$K$2:$K$571))</f>
        <v>11</v>
      </c>
    </row>
    <row r="285" spans="1:5">
      <c r="A285" s="5">
        <v>46153</v>
      </c>
      <c r="B285" cm="1">
        <f t="array" ref="B285">SUMPRODUCT((Task_Table1!$C$2:$C$571=$B$1)*(A285&gt;Task_Table1!$J$2:$J$571)*(A285&lt;Task_Table1!$K$2:$K$571))</f>
        <v>11</v>
      </c>
      <c r="C285" cm="1">
        <f t="array" ref="C285">SUMPRODUCT((Task_Table1!$C$2:$C$568=$C$1)*(A285&gt;Task_Table1!$J$2:$J$568)*(A285&lt;Task_Table1!$K$2:$K$568))</f>
        <v>21</v>
      </c>
      <c r="D285" cm="1">
        <f t="array" ref="D285">SUMPRODUCT((Task_Table1!$C$2:$C$571=$D$1)*(A285&gt;Task_Table1!$J$2:$J$571)*(A285&lt;Task_Table1!$K$2:$K$571))</f>
        <v>0</v>
      </c>
      <c r="E285" cm="1">
        <f t="array" ref="E285">SUMPRODUCT((Task_Table1!$C$2:$C$571=$E$1)*(A285&gt;Task_Table1!$J$2:$J$571)*(A285&lt;Task_Table1!$K$2:$K$571))</f>
        <v>11</v>
      </c>
    </row>
    <row r="286" spans="1:5">
      <c r="A286" s="5">
        <v>46154</v>
      </c>
      <c r="B286" cm="1">
        <f t="array" ref="B286">SUMPRODUCT((Task_Table1!$C$2:$C$571=$B$1)*(A286&gt;Task_Table1!$J$2:$J$571)*(A286&lt;Task_Table1!$K$2:$K$571))</f>
        <v>11</v>
      </c>
      <c r="C286" cm="1">
        <f t="array" ref="C286">SUMPRODUCT((Task_Table1!$C$2:$C$568=$C$1)*(A286&gt;Task_Table1!$J$2:$J$568)*(A286&lt;Task_Table1!$K$2:$K$568))</f>
        <v>21</v>
      </c>
      <c r="D286" cm="1">
        <f t="array" ref="D286">SUMPRODUCT((Task_Table1!$C$2:$C$571=$D$1)*(A286&gt;Task_Table1!$J$2:$J$571)*(A286&lt;Task_Table1!$K$2:$K$571))</f>
        <v>0</v>
      </c>
      <c r="E286" cm="1">
        <f t="array" ref="E286">SUMPRODUCT((Task_Table1!$C$2:$C$571=$E$1)*(A286&gt;Task_Table1!$J$2:$J$571)*(A286&lt;Task_Table1!$K$2:$K$571))</f>
        <v>11</v>
      </c>
    </row>
    <row r="287" spans="1:5">
      <c r="A287" s="5">
        <v>46155</v>
      </c>
      <c r="B287" cm="1">
        <f t="array" ref="B287">SUMPRODUCT((Task_Table1!$C$2:$C$571=$B$1)*(A287&gt;Task_Table1!$J$2:$J$571)*(A287&lt;Task_Table1!$K$2:$K$571))</f>
        <v>11</v>
      </c>
      <c r="C287" cm="1">
        <f t="array" ref="C287">SUMPRODUCT((Task_Table1!$C$2:$C$568=$C$1)*(A287&gt;Task_Table1!$J$2:$J$568)*(A287&lt;Task_Table1!$K$2:$K$568))</f>
        <v>21</v>
      </c>
      <c r="D287" cm="1">
        <f t="array" ref="D287">SUMPRODUCT((Task_Table1!$C$2:$C$571=$D$1)*(A287&gt;Task_Table1!$J$2:$J$571)*(A287&lt;Task_Table1!$K$2:$K$571))</f>
        <v>0</v>
      </c>
      <c r="E287" cm="1">
        <f t="array" ref="E287">SUMPRODUCT((Task_Table1!$C$2:$C$571=$E$1)*(A287&gt;Task_Table1!$J$2:$J$571)*(A287&lt;Task_Table1!$K$2:$K$571))</f>
        <v>11</v>
      </c>
    </row>
    <row r="288" spans="1:5">
      <c r="A288" s="5">
        <v>46156</v>
      </c>
      <c r="B288" cm="1">
        <f t="array" ref="B288">SUMPRODUCT((Task_Table1!$C$2:$C$571=$B$1)*(A288&gt;Task_Table1!$J$2:$J$571)*(A288&lt;Task_Table1!$K$2:$K$571))</f>
        <v>11</v>
      </c>
      <c r="C288" cm="1">
        <f t="array" ref="C288">SUMPRODUCT((Task_Table1!$C$2:$C$568=$C$1)*(A288&gt;Task_Table1!$J$2:$J$568)*(A288&lt;Task_Table1!$K$2:$K$568))</f>
        <v>21</v>
      </c>
      <c r="D288" cm="1">
        <f t="array" ref="D288">SUMPRODUCT((Task_Table1!$C$2:$C$571=$D$1)*(A288&gt;Task_Table1!$J$2:$J$571)*(A288&lt;Task_Table1!$K$2:$K$571))</f>
        <v>0</v>
      </c>
      <c r="E288" cm="1">
        <f t="array" ref="E288">SUMPRODUCT((Task_Table1!$C$2:$C$571=$E$1)*(A288&gt;Task_Table1!$J$2:$J$571)*(A288&lt;Task_Table1!$K$2:$K$571))</f>
        <v>11</v>
      </c>
    </row>
    <row r="289" spans="1:5">
      <c r="A289" s="5">
        <v>46157</v>
      </c>
      <c r="B289" cm="1">
        <f t="array" ref="B289">SUMPRODUCT((Task_Table1!$C$2:$C$571=$B$1)*(A289&gt;Task_Table1!$J$2:$J$571)*(A289&lt;Task_Table1!$K$2:$K$571))</f>
        <v>9</v>
      </c>
      <c r="C289" cm="1">
        <f t="array" ref="C289">SUMPRODUCT((Task_Table1!$C$2:$C$568=$C$1)*(A289&gt;Task_Table1!$J$2:$J$568)*(A289&lt;Task_Table1!$K$2:$K$568))</f>
        <v>21</v>
      </c>
      <c r="D289" cm="1">
        <f t="array" ref="D289">SUMPRODUCT((Task_Table1!$C$2:$C$571=$D$1)*(A289&gt;Task_Table1!$J$2:$J$571)*(A289&lt;Task_Table1!$K$2:$K$571))</f>
        <v>0</v>
      </c>
      <c r="E289" cm="1">
        <f t="array" ref="E289">SUMPRODUCT((Task_Table1!$C$2:$C$571=$E$1)*(A289&gt;Task_Table1!$J$2:$J$571)*(A289&lt;Task_Table1!$K$2:$K$571))</f>
        <v>11</v>
      </c>
    </row>
    <row r="290" spans="1:5">
      <c r="A290" s="5">
        <v>46158</v>
      </c>
      <c r="B290" cm="1">
        <f t="array" ref="B290">SUMPRODUCT((Task_Table1!$C$2:$C$571=$B$1)*(A290&gt;Task_Table1!$J$2:$J$571)*(A290&lt;Task_Table1!$K$2:$K$571))</f>
        <v>9</v>
      </c>
      <c r="C290" cm="1">
        <f t="array" ref="C290">SUMPRODUCT((Task_Table1!$C$2:$C$568=$C$1)*(A290&gt;Task_Table1!$J$2:$J$568)*(A290&lt;Task_Table1!$K$2:$K$568))</f>
        <v>21</v>
      </c>
      <c r="D290" cm="1">
        <f t="array" ref="D290">SUMPRODUCT((Task_Table1!$C$2:$C$571=$D$1)*(A290&gt;Task_Table1!$J$2:$J$571)*(A290&lt;Task_Table1!$K$2:$K$571))</f>
        <v>0</v>
      </c>
      <c r="E290" cm="1">
        <f t="array" ref="E290">SUMPRODUCT((Task_Table1!$C$2:$C$571=$E$1)*(A290&gt;Task_Table1!$J$2:$J$571)*(A290&lt;Task_Table1!$K$2:$K$571))</f>
        <v>11</v>
      </c>
    </row>
    <row r="291" spans="1:5">
      <c r="A291" s="5">
        <v>46159</v>
      </c>
      <c r="B291" cm="1">
        <f t="array" ref="B291">SUMPRODUCT((Task_Table1!$C$2:$C$571=$B$1)*(A291&gt;Task_Table1!$J$2:$J$571)*(A291&lt;Task_Table1!$K$2:$K$571))</f>
        <v>9</v>
      </c>
      <c r="C291" cm="1">
        <f t="array" ref="C291">SUMPRODUCT((Task_Table1!$C$2:$C$568=$C$1)*(A291&gt;Task_Table1!$J$2:$J$568)*(A291&lt;Task_Table1!$K$2:$K$568))</f>
        <v>21</v>
      </c>
      <c r="D291" cm="1">
        <f t="array" ref="D291">SUMPRODUCT((Task_Table1!$C$2:$C$571=$D$1)*(A291&gt;Task_Table1!$J$2:$J$571)*(A291&lt;Task_Table1!$K$2:$K$571))</f>
        <v>0</v>
      </c>
      <c r="E291" cm="1">
        <f t="array" ref="E291">SUMPRODUCT((Task_Table1!$C$2:$C$571=$E$1)*(A291&gt;Task_Table1!$J$2:$J$571)*(A291&lt;Task_Table1!$K$2:$K$571))</f>
        <v>11</v>
      </c>
    </row>
    <row r="292" spans="1:5">
      <c r="A292" s="5">
        <v>46160</v>
      </c>
      <c r="B292" cm="1">
        <f t="array" ref="B292">SUMPRODUCT((Task_Table1!$C$2:$C$571=$B$1)*(A292&gt;Task_Table1!$J$2:$J$571)*(A292&lt;Task_Table1!$K$2:$K$571))</f>
        <v>9</v>
      </c>
      <c r="C292" cm="1">
        <f t="array" ref="C292">SUMPRODUCT((Task_Table1!$C$2:$C$568=$C$1)*(A292&gt;Task_Table1!$J$2:$J$568)*(A292&lt;Task_Table1!$K$2:$K$568))</f>
        <v>21</v>
      </c>
      <c r="D292" cm="1">
        <f t="array" ref="D292">SUMPRODUCT((Task_Table1!$C$2:$C$571=$D$1)*(A292&gt;Task_Table1!$J$2:$J$571)*(A292&lt;Task_Table1!$K$2:$K$571))</f>
        <v>0</v>
      </c>
      <c r="E292" cm="1">
        <f t="array" ref="E292">SUMPRODUCT((Task_Table1!$C$2:$C$571=$E$1)*(A292&gt;Task_Table1!$J$2:$J$571)*(A292&lt;Task_Table1!$K$2:$K$571))</f>
        <v>11</v>
      </c>
    </row>
    <row r="293" spans="1:5">
      <c r="A293" s="5">
        <v>46161</v>
      </c>
      <c r="B293" cm="1">
        <f t="array" ref="B293">SUMPRODUCT((Task_Table1!$C$2:$C$571=$B$1)*(A293&gt;Task_Table1!$J$2:$J$571)*(A293&lt;Task_Table1!$K$2:$K$571))</f>
        <v>9</v>
      </c>
      <c r="C293" cm="1">
        <f t="array" ref="C293">SUMPRODUCT((Task_Table1!$C$2:$C$568=$C$1)*(A293&gt;Task_Table1!$J$2:$J$568)*(A293&lt;Task_Table1!$K$2:$K$568))</f>
        <v>22</v>
      </c>
      <c r="D293" cm="1">
        <f t="array" ref="D293">SUMPRODUCT((Task_Table1!$C$2:$C$571=$D$1)*(A293&gt;Task_Table1!$J$2:$J$571)*(A293&lt;Task_Table1!$K$2:$K$571))</f>
        <v>0</v>
      </c>
      <c r="E293" cm="1">
        <f t="array" ref="E293">SUMPRODUCT((Task_Table1!$C$2:$C$571=$E$1)*(A293&gt;Task_Table1!$J$2:$J$571)*(A293&lt;Task_Table1!$K$2:$K$571))</f>
        <v>12</v>
      </c>
    </row>
    <row r="294" spans="1:5">
      <c r="A294" s="5">
        <v>46162</v>
      </c>
      <c r="B294" cm="1">
        <f t="array" ref="B294">SUMPRODUCT((Task_Table1!$C$2:$C$571=$B$1)*(A294&gt;Task_Table1!$J$2:$J$571)*(A294&lt;Task_Table1!$K$2:$K$571))</f>
        <v>9</v>
      </c>
      <c r="C294" cm="1">
        <f t="array" ref="C294">SUMPRODUCT((Task_Table1!$C$2:$C$568=$C$1)*(A294&gt;Task_Table1!$J$2:$J$568)*(A294&lt;Task_Table1!$K$2:$K$568))</f>
        <v>22</v>
      </c>
      <c r="D294" cm="1">
        <f t="array" ref="D294">SUMPRODUCT((Task_Table1!$C$2:$C$571=$D$1)*(A294&gt;Task_Table1!$J$2:$J$571)*(A294&lt;Task_Table1!$K$2:$K$571))</f>
        <v>0</v>
      </c>
      <c r="E294" cm="1">
        <f t="array" ref="E294">SUMPRODUCT((Task_Table1!$C$2:$C$571=$E$1)*(A294&gt;Task_Table1!$J$2:$J$571)*(A294&lt;Task_Table1!$K$2:$K$571))</f>
        <v>12</v>
      </c>
    </row>
    <row r="295" spans="1:5">
      <c r="A295" s="5">
        <v>46163</v>
      </c>
      <c r="B295" cm="1">
        <f t="array" ref="B295">SUMPRODUCT((Task_Table1!$C$2:$C$571=$B$1)*(A295&gt;Task_Table1!$J$2:$J$571)*(A295&lt;Task_Table1!$K$2:$K$571))</f>
        <v>9</v>
      </c>
      <c r="C295" cm="1">
        <f t="array" ref="C295">SUMPRODUCT((Task_Table1!$C$2:$C$568=$C$1)*(A295&gt;Task_Table1!$J$2:$J$568)*(A295&lt;Task_Table1!$K$2:$K$568))</f>
        <v>22</v>
      </c>
      <c r="D295" cm="1">
        <f t="array" ref="D295">SUMPRODUCT((Task_Table1!$C$2:$C$571=$D$1)*(A295&gt;Task_Table1!$J$2:$J$571)*(A295&lt;Task_Table1!$K$2:$K$571))</f>
        <v>0</v>
      </c>
      <c r="E295" cm="1">
        <f t="array" ref="E295">SUMPRODUCT((Task_Table1!$C$2:$C$571=$E$1)*(A295&gt;Task_Table1!$J$2:$J$571)*(A295&lt;Task_Table1!$K$2:$K$571))</f>
        <v>12</v>
      </c>
    </row>
    <row r="296" spans="1:5">
      <c r="A296" s="5">
        <v>46164</v>
      </c>
      <c r="B296" cm="1">
        <f t="array" ref="B296">SUMPRODUCT((Task_Table1!$C$2:$C$571=$B$1)*(A296&gt;Task_Table1!$J$2:$J$571)*(A296&lt;Task_Table1!$K$2:$K$571))</f>
        <v>9</v>
      </c>
      <c r="C296" cm="1">
        <f t="array" ref="C296">SUMPRODUCT((Task_Table1!$C$2:$C$568=$C$1)*(A296&gt;Task_Table1!$J$2:$J$568)*(A296&lt;Task_Table1!$K$2:$K$568))</f>
        <v>22</v>
      </c>
      <c r="D296" cm="1">
        <f t="array" ref="D296">SUMPRODUCT((Task_Table1!$C$2:$C$571=$D$1)*(A296&gt;Task_Table1!$J$2:$J$571)*(A296&lt;Task_Table1!$K$2:$K$571))</f>
        <v>0</v>
      </c>
      <c r="E296" cm="1">
        <f t="array" ref="E296">SUMPRODUCT((Task_Table1!$C$2:$C$571=$E$1)*(A296&gt;Task_Table1!$J$2:$J$571)*(A296&lt;Task_Table1!$K$2:$K$571))</f>
        <v>12</v>
      </c>
    </row>
    <row r="297" spans="1:5">
      <c r="A297" s="5">
        <v>46165</v>
      </c>
      <c r="B297" cm="1">
        <f t="array" ref="B297">SUMPRODUCT((Task_Table1!$C$2:$C$571=$B$1)*(A297&gt;Task_Table1!$J$2:$J$571)*(A297&lt;Task_Table1!$K$2:$K$571))</f>
        <v>9</v>
      </c>
      <c r="C297" cm="1">
        <f t="array" ref="C297">SUMPRODUCT((Task_Table1!$C$2:$C$568=$C$1)*(A297&gt;Task_Table1!$J$2:$J$568)*(A297&lt;Task_Table1!$K$2:$K$568))</f>
        <v>22</v>
      </c>
      <c r="D297" cm="1">
        <f t="array" ref="D297">SUMPRODUCT((Task_Table1!$C$2:$C$571=$D$1)*(A297&gt;Task_Table1!$J$2:$J$571)*(A297&lt;Task_Table1!$K$2:$K$571))</f>
        <v>0</v>
      </c>
      <c r="E297" cm="1">
        <f t="array" ref="E297">SUMPRODUCT((Task_Table1!$C$2:$C$571=$E$1)*(A297&gt;Task_Table1!$J$2:$J$571)*(A297&lt;Task_Table1!$K$2:$K$571))</f>
        <v>12</v>
      </c>
    </row>
    <row r="298" spans="1:5">
      <c r="A298" s="5">
        <v>46166</v>
      </c>
      <c r="B298" cm="1">
        <f t="array" ref="B298">SUMPRODUCT((Task_Table1!$C$2:$C$571=$B$1)*(A298&gt;Task_Table1!$J$2:$J$571)*(A298&lt;Task_Table1!$K$2:$K$571))</f>
        <v>9</v>
      </c>
      <c r="C298" cm="1">
        <f t="array" ref="C298">SUMPRODUCT((Task_Table1!$C$2:$C$568=$C$1)*(A298&gt;Task_Table1!$J$2:$J$568)*(A298&lt;Task_Table1!$K$2:$K$568))</f>
        <v>22</v>
      </c>
      <c r="D298" cm="1">
        <f t="array" ref="D298">SUMPRODUCT((Task_Table1!$C$2:$C$571=$D$1)*(A298&gt;Task_Table1!$J$2:$J$571)*(A298&lt;Task_Table1!$K$2:$K$571))</f>
        <v>0</v>
      </c>
      <c r="E298" cm="1">
        <f t="array" ref="E298">SUMPRODUCT((Task_Table1!$C$2:$C$571=$E$1)*(A298&gt;Task_Table1!$J$2:$J$571)*(A298&lt;Task_Table1!$K$2:$K$571))</f>
        <v>12</v>
      </c>
    </row>
    <row r="299" spans="1:5">
      <c r="A299" s="5">
        <v>46167</v>
      </c>
      <c r="B299" cm="1">
        <f t="array" ref="B299">SUMPRODUCT((Task_Table1!$C$2:$C$571=$B$1)*(A299&gt;Task_Table1!$J$2:$J$571)*(A299&lt;Task_Table1!$K$2:$K$571))</f>
        <v>9</v>
      </c>
      <c r="C299" cm="1">
        <f t="array" ref="C299">SUMPRODUCT((Task_Table1!$C$2:$C$568=$C$1)*(A299&gt;Task_Table1!$J$2:$J$568)*(A299&lt;Task_Table1!$K$2:$K$568))</f>
        <v>22</v>
      </c>
      <c r="D299" cm="1">
        <f t="array" ref="D299">SUMPRODUCT((Task_Table1!$C$2:$C$571=$D$1)*(A299&gt;Task_Table1!$J$2:$J$571)*(A299&lt;Task_Table1!$K$2:$K$571))</f>
        <v>0</v>
      </c>
      <c r="E299" cm="1">
        <f t="array" ref="E299">SUMPRODUCT((Task_Table1!$C$2:$C$571=$E$1)*(A299&gt;Task_Table1!$J$2:$J$571)*(A299&lt;Task_Table1!$K$2:$K$571))</f>
        <v>12</v>
      </c>
    </row>
    <row r="300" spans="1:5">
      <c r="A300" s="5">
        <v>46168</v>
      </c>
      <c r="B300" cm="1">
        <f t="array" ref="B300">SUMPRODUCT((Task_Table1!$C$2:$C$571=$B$1)*(A300&gt;Task_Table1!$J$2:$J$571)*(A300&lt;Task_Table1!$K$2:$K$571))</f>
        <v>9</v>
      </c>
      <c r="C300" cm="1">
        <f t="array" ref="C300">SUMPRODUCT((Task_Table1!$C$2:$C$568=$C$1)*(A300&gt;Task_Table1!$J$2:$J$568)*(A300&lt;Task_Table1!$K$2:$K$568))</f>
        <v>22</v>
      </c>
      <c r="D300" cm="1">
        <f t="array" ref="D300">SUMPRODUCT((Task_Table1!$C$2:$C$571=$D$1)*(A300&gt;Task_Table1!$J$2:$J$571)*(A300&lt;Task_Table1!$K$2:$K$571))</f>
        <v>0</v>
      </c>
      <c r="E300" cm="1">
        <f t="array" ref="E300">SUMPRODUCT((Task_Table1!$C$2:$C$571=$E$1)*(A300&gt;Task_Table1!$J$2:$J$571)*(A300&lt;Task_Table1!$K$2:$K$571))</f>
        <v>12</v>
      </c>
    </row>
    <row r="301" spans="1:5">
      <c r="A301" s="5">
        <v>46169</v>
      </c>
      <c r="B301" cm="1">
        <f t="array" ref="B301">SUMPRODUCT((Task_Table1!$C$2:$C$571=$B$1)*(A301&gt;Task_Table1!$J$2:$J$571)*(A301&lt;Task_Table1!$K$2:$K$571))</f>
        <v>9</v>
      </c>
      <c r="C301" cm="1">
        <f t="array" ref="C301">SUMPRODUCT((Task_Table1!$C$2:$C$568=$C$1)*(A301&gt;Task_Table1!$J$2:$J$568)*(A301&lt;Task_Table1!$K$2:$K$568))</f>
        <v>22</v>
      </c>
      <c r="D301" cm="1">
        <f t="array" ref="D301">SUMPRODUCT((Task_Table1!$C$2:$C$571=$D$1)*(A301&gt;Task_Table1!$J$2:$J$571)*(A301&lt;Task_Table1!$K$2:$K$571))</f>
        <v>0</v>
      </c>
      <c r="E301" cm="1">
        <f t="array" ref="E301">SUMPRODUCT((Task_Table1!$C$2:$C$571=$E$1)*(A301&gt;Task_Table1!$J$2:$J$571)*(A301&lt;Task_Table1!$K$2:$K$571))</f>
        <v>12</v>
      </c>
    </row>
    <row r="302" spans="1:5">
      <c r="A302" s="5">
        <v>46170</v>
      </c>
      <c r="B302" cm="1">
        <f t="array" ref="B302">SUMPRODUCT((Task_Table1!$C$2:$C$571=$B$1)*(A302&gt;Task_Table1!$J$2:$J$571)*(A302&lt;Task_Table1!$K$2:$K$571))</f>
        <v>9</v>
      </c>
      <c r="C302" cm="1">
        <f t="array" ref="C302">SUMPRODUCT((Task_Table1!$C$2:$C$568=$C$1)*(A302&gt;Task_Table1!$J$2:$J$568)*(A302&lt;Task_Table1!$K$2:$K$568))</f>
        <v>22</v>
      </c>
      <c r="D302" cm="1">
        <f t="array" ref="D302">SUMPRODUCT((Task_Table1!$C$2:$C$571=$D$1)*(A302&gt;Task_Table1!$J$2:$J$571)*(A302&lt;Task_Table1!$K$2:$K$571))</f>
        <v>0</v>
      </c>
      <c r="E302" cm="1">
        <f t="array" ref="E302">SUMPRODUCT((Task_Table1!$C$2:$C$571=$E$1)*(A302&gt;Task_Table1!$J$2:$J$571)*(A302&lt;Task_Table1!$K$2:$K$571))</f>
        <v>12</v>
      </c>
    </row>
    <row r="303" spans="1:5">
      <c r="A303" s="5">
        <v>46171</v>
      </c>
      <c r="B303" cm="1">
        <f t="array" ref="B303">SUMPRODUCT((Task_Table1!$C$2:$C$571=$B$1)*(A303&gt;Task_Table1!$J$2:$J$571)*(A303&lt;Task_Table1!$K$2:$K$571))</f>
        <v>9</v>
      </c>
      <c r="C303" cm="1">
        <f t="array" ref="C303">SUMPRODUCT((Task_Table1!$C$2:$C$568=$C$1)*(A303&gt;Task_Table1!$J$2:$J$568)*(A303&lt;Task_Table1!$K$2:$K$568))</f>
        <v>22</v>
      </c>
      <c r="D303" cm="1">
        <f t="array" ref="D303">SUMPRODUCT((Task_Table1!$C$2:$C$571=$D$1)*(A303&gt;Task_Table1!$J$2:$J$571)*(A303&lt;Task_Table1!$K$2:$K$571))</f>
        <v>0</v>
      </c>
      <c r="E303" cm="1">
        <f t="array" ref="E303">SUMPRODUCT((Task_Table1!$C$2:$C$571=$E$1)*(A303&gt;Task_Table1!$J$2:$J$571)*(A303&lt;Task_Table1!$K$2:$K$571))</f>
        <v>12</v>
      </c>
    </row>
    <row r="304" spans="1:5">
      <c r="A304" s="5">
        <v>46172</v>
      </c>
      <c r="B304" cm="1">
        <f t="array" ref="B304">SUMPRODUCT((Task_Table1!$C$2:$C$571=$B$1)*(A304&gt;Task_Table1!$J$2:$J$571)*(A304&lt;Task_Table1!$K$2:$K$571))</f>
        <v>9</v>
      </c>
      <c r="C304" cm="1">
        <f t="array" ref="C304">SUMPRODUCT((Task_Table1!$C$2:$C$568=$C$1)*(A304&gt;Task_Table1!$J$2:$J$568)*(A304&lt;Task_Table1!$K$2:$K$568))</f>
        <v>22</v>
      </c>
      <c r="D304" cm="1">
        <f t="array" ref="D304">SUMPRODUCT((Task_Table1!$C$2:$C$571=$D$1)*(A304&gt;Task_Table1!$J$2:$J$571)*(A304&lt;Task_Table1!$K$2:$K$571))</f>
        <v>0</v>
      </c>
      <c r="E304" cm="1">
        <f t="array" ref="E304">SUMPRODUCT((Task_Table1!$C$2:$C$571=$E$1)*(A304&gt;Task_Table1!$J$2:$J$571)*(A304&lt;Task_Table1!$K$2:$K$571))</f>
        <v>12</v>
      </c>
    </row>
    <row r="305" spans="1:5">
      <c r="A305" s="5">
        <v>46173</v>
      </c>
      <c r="B305" cm="1">
        <f t="array" ref="B305">SUMPRODUCT((Task_Table1!$C$2:$C$571=$B$1)*(A305&gt;Task_Table1!$J$2:$J$571)*(A305&lt;Task_Table1!$K$2:$K$571))</f>
        <v>9</v>
      </c>
      <c r="C305" cm="1">
        <f t="array" ref="C305">SUMPRODUCT((Task_Table1!$C$2:$C$568=$C$1)*(A305&gt;Task_Table1!$J$2:$J$568)*(A305&lt;Task_Table1!$K$2:$K$568))</f>
        <v>22</v>
      </c>
      <c r="D305" cm="1">
        <f t="array" ref="D305">SUMPRODUCT((Task_Table1!$C$2:$C$571=$D$1)*(A305&gt;Task_Table1!$J$2:$J$571)*(A305&lt;Task_Table1!$K$2:$K$571))</f>
        <v>0</v>
      </c>
      <c r="E305" cm="1">
        <f t="array" ref="E305">SUMPRODUCT((Task_Table1!$C$2:$C$571=$E$1)*(A305&gt;Task_Table1!$J$2:$J$571)*(A305&lt;Task_Table1!$K$2:$K$571))</f>
        <v>11</v>
      </c>
    </row>
    <row r="306" spans="1:5">
      <c r="A306" s="5">
        <v>46174</v>
      </c>
      <c r="B306" cm="1">
        <f t="array" ref="B306">SUMPRODUCT((Task_Table1!$C$2:$C$571=$B$1)*(A306&gt;Task_Table1!$J$2:$J$571)*(A306&lt;Task_Table1!$K$2:$K$571))</f>
        <v>9</v>
      </c>
      <c r="C306" cm="1">
        <f t="array" ref="C306">SUMPRODUCT((Task_Table1!$C$2:$C$568=$C$1)*(A306&gt;Task_Table1!$J$2:$J$568)*(A306&lt;Task_Table1!$K$2:$K$568))</f>
        <v>22</v>
      </c>
      <c r="D306" cm="1">
        <f t="array" ref="D306">SUMPRODUCT((Task_Table1!$C$2:$C$571=$D$1)*(A306&gt;Task_Table1!$J$2:$J$571)*(A306&lt;Task_Table1!$K$2:$K$571))</f>
        <v>0</v>
      </c>
      <c r="E306" cm="1">
        <f t="array" ref="E306">SUMPRODUCT((Task_Table1!$C$2:$C$571=$E$1)*(A306&gt;Task_Table1!$J$2:$J$571)*(A306&lt;Task_Table1!$K$2:$K$571))</f>
        <v>11</v>
      </c>
    </row>
    <row r="307" spans="1:5">
      <c r="A307" s="5">
        <v>46175</v>
      </c>
      <c r="B307" cm="1">
        <f t="array" ref="B307">SUMPRODUCT((Task_Table1!$C$2:$C$571=$B$1)*(A307&gt;Task_Table1!$J$2:$J$571)*(A307&lt;Task_Table1!$K$2:$K$571))</f>
        <v>9</v>
      </c>
      <c r="C307" cm="1">
        <f t="array" ref="C307">SUMPRODUCT((Task_Table1!$C$2:$C$568=$C$1)*(A307&gt;Task_Table1!$J$2:$J$568)*(A307&lt;Task_Table1!$K$2:$K$568))</f>
        <v>22</v>
      </c>
      <c r="D307" cm="1">
        <f t="array" ref="D307">SUMPRODUCT((Task_Table1!$C$2:$C$571=$D$1)*(A307&gt;Task_Table1!$J$2:$J$571)*(A307&lt;Task_Table1!$K$2:$K$571))</f>
        <v>0</v>
      </c>
      <c r="E307" cm="1">
        <f t="array" ref="E307">SUMPRODUCT((Task_Table1!$C$2:$C$571=$E$1)*(A307&gt;Task_Table1!$J$2:$J$571)*(A307&lt;Task_Table1!$K$2:$K$571))</f>
        <v>11</v>
      </c>
    </row>
    <row r="308" spans="1:5">
      <c r="A308" s="5">
        <v>46176</v>
      </c>
      <c r="B308" cm="1">
        <f t="array" ref="B308">SUMPRODUCT((Task_Table1!$C$2:$C$571=$B$1)*(A308&gt;Task_Table1!$J$2:$J$571)*(A308&lt;Task_Table1!$K$2:$K$571))</f>
        <v>9</v>
      </c>
      <c r="C308" cm="1">
        <f t="array" ref="C308">SUMPRODUCT((Task_Table1!$C$2:$C$568=$C$1)*(A308&gt;Task_Table1!$J$2:$J$568)*(A308&lt;Task_Table1!$K$2:$K$568))</f>
        <v>22</v>
      </c>
      <c r="D308" cm="1">
        <f t="array" ref="D308">SUMPRODUCT((Task_Table1!$C$2:$C$571=$D$1)*(A308&gt;Task_Table1!$J$2:$J$571)*(A308&lt;Task_Table1!$K$2:$K$571))</f>
        <v>0</v>
      </c>
      <c r="E308" cm="1">
        <f t="array" ref="E308">SUMPRODUCT((Task_Table1!$C$2:$C$571=$E$1)*(A308&gt;Task_Table1!$J$2:$J$571)*(A308&lt;Task_Table1!$K$2:$K$571))</f>
        <v>11</v>
      </c>
    </row>
    <row r="309" spans="1:5">
      <c r="A309" s="5">
        <v>46177</v>
      </c>
      <c r="B309" cm="1">
        <f t="array" ref="B309">SUMPRODUCT((Task_Table1!$C$2:$C$571=$B$1)*(A309&gt;Task_Table1!$J$2:$J$571)*(A309&lt;Task_Table1!$K$2:$K$571))</f>
        <v>9</v>
      </c>
      <c r="C309" cm="1">
        <f t="array" ref="C309">SUMPRODUCT((Task_Table1!$C$2:$C$568=$C$1)*(A309&gt;Task_Table1!$J$2:$J$568)*(A309&lt;Task_Table1!$K$2:$K$568))</f>
        <v>22</v>
      </c>
      <c r="D309" cm="1">
        <f t="array" ref="D309">SUMPRODUCT((Task_Table1!$C$2:$C$571=$D$1)*(A309&gt;Task_Table1!$J$2:$J$571)*(A309&lt;Task_Table1!$K$2:$K$571))</f>
        <v>0</v>
      </c>
      <c r="E309" cm="1">
        <f t="array" ref="E309">SUMPRODUCT((Task_Table1!$C$2:$C$571=$E$1)*(A309&gt;Task_Table1!$J$2:$J$571)*(A309&lt;Task_Table1!$K$2:$K$571))</f>
        <v>11</v>
      </c>
    </row>
    <row r="310" spans="1:5">
      <c r="A310" s="5">
        <v>46178</v>
      </c>
      <c r="B310" cm="1">
        <f t="array" ref="B310">SUMPRODUCT((Task_Table1!$C$2:$C$571=$B$1)*(A310&gt;Task_Table1!$J$2:$J$571)*(A310&lt;Task_Table1!$K$2:$K$571))</f>
        <v>9</v>
      </c>
      <c r="C310" cm="1">
        <f t="array" ref="C310">SUMPRODUCT((Task_Table1!$C$2:$C$568=$C$1)*(A310&gt;Task_Table1!$J$2:$J$568)*(A310&lt;Task_Table1!$K$2:$K$568))</f>
        <v>22</v>
      </c>
      <c r="D310" cm="1">
        <f t="array" ref="D310">SUMPRODUCT((Task_Table1!$C$2:$C$571=$D$1)*(A310&gt;Task_Table1!$J$2:$J$571)*(A310&lt;Task_Table1!$K$2:$K$571))</f>
        <v>0</v>
      </c>
      <c r="E310" cm="1">
        <f t="array" ref="E310">SUMPRODUCT((Task_Table1!$C$2:$C$571=$E$1)*(A310&gt;Task_Table1!$J$2:$J$571)*(A310&lt;Task_Table1!$K$2:$K$571))</f>
        <v>11</v>
      </c>
    </row>
    <row r="311" spans="1:5">
      <c r="A311" s="5">
        <v>46179</v>
      </c>
      <c r="B311" cm="1">
        <f t="array" ref="B311">SUMPRODUCT((Task_Table1!$C$2:$C$571=$B$1)*(A311&gt;Task_Table1!$J$2:$J$571)*(A311&lt;Task_Table1!$K$2:$K$571))</f>
        <v>9</v>
      </c>
      <c r="C311" cm="1">
        <f t="array" ref="C311">SUMPRODUCT((Task_Table1!$C$2:$C$568=$C$1)*(A311&gt;Task_Table1!$J$2:$J$568)*(A311&lt;Task_Table1!$K$2:$K$568))</f>
        <v>22</v>
      </c>
      <c r="D311" cm="1">
        <f t="array" ref="D311">SUMPRODUCT((Task_Table1!$C$2:$C$571=$D$1)*(A311&gt;Task_Table1!$J$2:$J$571)*(A311&lt;Task_Table1!$K$2:$K$571))</f>
        <v>0</v>
      </c>
      <c r="E311" cm="1">
        <f t="array" ref="E311">SUMPRODUCT((Task_Table1!$C$2:$C$571=$E$1)*(A311&gt;Task_Table1!$J$2:$J$571)*(A311&lt;Task_Table1!$K$2:$K$571))</f>
        <v>11</v>
      </c>
    </row>
    <row r="312" spans="1:5">
      <c r="A312" s="5">
        <v>46180</v>
      </c>
      <c r="B312" cm="1">
        <f t="array" ref="B312">SUMPRODUCT((Task_Table1!$C$2:$C$571=$B$1)*(A312&gt;Task_Table1!$J$2:$J$571)*(A312&lt;Task_Table1!$K$2:$K$571))</f>
        <v>9</v>
      </c>
      <c r="C312" cm="1">
        <f t="array" ref="C312">SUMPRODUCT((Task_Table1!$C$2:$C$568=$C$1)*(A312&gt;Task_Table1!$J$2:$J$568)*(A312&lt;Task_Table1!$K$2:$K$568))</f>
        <v>22</v>
      </c>
      <c r="D312" cm="1">
        <f t="array" ref="D312">SUMPRODUCT((Task_Table1!$C$2:$C$571=$D$1)*(A312&gt;Task_Table1!$J$2:$J$571)*(A312&lt;Task_Table1!$K$2:$K$571))</f>
        <v>0</v>
      </c>
      <c r="E312" cm="1">
        <f t="array" ref="E312">SUMPRODUCT((Task_Table1!$C$2:$C$571=$E$1)*(A312&gt;Task_Table1!$J$2:$J$571)*(A312&lt;Task_Table1!$K$2:$K$571))</f>
        <v>11</v>
      </c>
    </row>
    <row r="313" spans="1:5">
      <c r="A313" s="5">
        <v>46181</v>
      </c>
      <c r="B313" cm="1">
        <f t="array" ref="B313">SUMPRODUCT((Task_Table1!$C$2:$C$571=$B$1)*(A313&gt;Task_Table1!$J$2:$J$571)*(A313&lt;Task_Table1!$K$2:$K$571))</f>
        <v>9</v>
      </c>
      <c r="C313" cm="1">
        <f t="array" ref="C313">SUMPRODUCT((Task_Table1!$C$2:$C$568=$C$1)*(A313&gt;Task_Table1!$J$2:$J$568)*(A313&lt;Task_Table1!$K$2:$K$568))</f>
        <v>22</v>
      </c>
      <c r="D313" cm="1">
        <f t="array" ref="D313">SUMPRODUCT((Task_Table1!$C$2:$C$571=$D$1)*(A313&gt;Task_Table1!$J$2:$J$571)*(A313&lt;Task_Table1!$K$2:$K$571))</f>
        <v>0</v>
      </c>
      <c r="E313" cm="1">
        <f t="array" ref="E313">SUMPRODUCT((Task_Table1!$C$2:$C$571=$E$1)*(A313&gt;Task_Table1!$J$2:$J$571)*(A313&lt;Task_Table1!$K$2:$K$571))</f>
        <v>11</v>
      </c>
    </row>
    <row r="314" spans="1:5">
      <c r="A314" s="5">
        <v>46182</v>
      </c>
      <c r="B314" cm="1">
        <f t="array" ref="B314">SUMPRODUCT((Task_Table1!$C$2:$C$571=$B$1)*(A314&gt;Task_Table1!$J$2:$J$571)*(A314&lt;Task_Table1!$K$2:$K$571))</f>
        <v>9</v>
      </c>
      <c r="C314" cm="1">
        <f t="array" ref="C314">SUMPRODUCT((Task_Table1!$C$2:$C$568=$C$1)*(A314&gt;Task_Table1!$J$2:$J$568)*(A314&lt;Task_Table1!$K$2:$K$568))</f>
        <v>22</v>
      </c>
      <c r="D314" cm="1">
        <f t="array" ref="D314">SUMPRODUCT((Task_Table1!$C$2:$C$571=$D$1)*(A314&gt;Task_Table1!$J$2:$J$571)*(A314&lt;Task_Table1!$K$2:$K$571))</f>
        <v>0</v>
      </c>
      <c r="E314" cm="1">
        <f t="array" ref="E314">SUMPRODUCT((Task_Table1!$C$2:$C$571=$E$1)*(A314&gt;Task_Table1!$J$2:$J$571)*(A314&lt;Task_Table1!$K$2:$K$571))</f>
        <v>11</v>
      </c>
    </row>
    <row r="315" spans="1:5">
      <c r="A315" s="5">
        <v>46183</v>
      </c>
      <c r="B315" cm="1">
        <f t="array" ref="B315">SUMPRODUCT((Task_Table1!$C$2:$C$571=$B$1)*(A315&gt;Task_Table1!$J$2:$J$571)*(A315&lt;Task_Table1!$K$2:$K$571))</f>
        <v>9</v>
      </c>
      <c r="C315" cm="1">
        <f t="array" ref="C315">SUMPRODUCT((Task_Table1!$C$2:$C$568=$C$1)*(A315&gt;Task_Table1!$J$2:$J$568)*(A315&lt;Task_Table1!$K$2:$K$568))</f>
        <v>22</v>
      </c>
      <c r="D315" cm="1">
        <f t="array" ref="D315">SUMPRODUCT((Task_Table1!$C$2:$C$571=$D$1)*(A315&gt;Task_Table1!$J$2:$J$571)*(A315&lt;Task_Table1!$K$2:$K$571))</f>
        <v>0</v>
      </c>
      <c r="E315" cm="1">
        <f t="array" ref="E315">SUMPRODUCT((Task_Table1!$C$2:$C$571=$E$1)*(A315&gt;Task_Table1!$J$2:$J$571)*(A315&lt;Task_Table1!$K$2:$K$571))</f>
        <v>11</v>
      </c>
    </row>
    <row r="316" spans="1:5">
      <c r="A316" s="5">
        <v>46184</v>
      </c>
      <c r="B316" cm="1">
        <f t="array" ref="B316">SUMPRODUCT((Task_Table1!$C$2:$C$571=$B$1)*(A316&gt;Task_Table1!$J$2:$J$571)*(A316&lt;Task_Table1!$K$2:$K$571))</f>
        <v>9</v>
      </c>
      <c r="C316" cm="1">
        <f t="array" ref="C316">SUMPRODUCT((Task_Table1!$C$2:$C$568=$C$1)*(A316&gt;Task_Table1!$J$2:$J$568)*(A316&lt;Task_Table1!$K$2:$K$568))</f>
        <v>22</v>
      </c>
      <c r="D316" cm="1">
        <f t="array" ref="D316">SUMPRODUCT((Task_Table1!$C$2:$C$571=$D$1)*(A316&gt;Task_Table1!$J$2:$J$571)*(A316&lt;Task_Table1!$K$2:$K$571))</f>
        <v>0</v>
      </c>
      <c r="E316" cm="1">
        <f t="array" ref="E316">SUMPRODUCT((Task_Table1!$C$2:$C$571=$E$1)*(A316&gt;Task_Table1!$J$2:$J$571)*(A316&lt;Task_Table1!$K$2:$K$571))</f>
        <v>11</v>
      </c>
    </row>
    <row r="317" spans="1:5">
      <c r="A317" s="5">
        <v>46185</v>
      </c>
      <c r="B317" cm="1">
        <f t="array" ref="B317">SUMPRODUCT((Task_Table1!$C$2:$C$571=$B$1)*(A317&gt;Task_Table1!$J$2:$J$571)*(A317&lt;Task_Table1!$K$2:$K$571))</f>
        <v>9</v>
      </c>
      <c r="C317" cm="1">
        <f t="array" ref="C317">SUMPRODUCT((Task_Table1!$C$2:$C$568=$C$1)*(A317&gt;Task_Table1!$J$2:$J$568)*(A317&lt;Task_Table1!$K$2:$K$568))</f>
        <v>22</v>
      </c>
      <c r="D317" cm="1">
        <f t="array" ref="D317">SUMPRODUCT((Task_Table1!$C$2:$C$571=$D$1)*(A317&gt;Task_Table1!$J$2:$J$571)*(A317&lt;Task_Table1!$K$2:$K$571))</f>
        <v>0</v>
      </c>
      <c r="E317" cm="1">
        <f t="array" ref="E317">SUMPRODUCT((Task_Table1!$C$2:$C$571=$E$1)*(A317&gt;Task_Table1!$J$2:$J$571)*(A317&lt;Task_Table1!$K$2:$K$571))</f>
        <v>11</v>
      </c>
    </row>
    <row r="318" spans="1:5">
      <c r="A318" s="5">
        <v>46186</v>
      </c>
      <c r="B318" cm="1">
        <f t="array" ref="B318">SUMPRODUCT((Task_Table1!$C$2:$C$571=$B$1)*(A318&gt;Task_Table1!$J$2:$J$571)*(A318&lt;Task_Table1!$K$2:$K$571))</f>
        <v>9</v>
      </c>
      <c r="C318" cm="1">
        <f t="array" ref="C318">SUMPRODUCT((Task_Table1!$C$2:$C$568=$C$1)*(A318&gt;Task_Table1!$J$2:$J$568)*(A318&lt;Task_Table1!$K$2:$K$568))</f>
        <v>22</v>
      </c>
      <c r="D318" cm="1">
        <f t="array" ref="D318">SUMPRODUCT((Task_Table1!$C$2:$C$571=$D$1)*(A318&gt;Task_Table1!$J$2:$J$571)*(A318&lt;Task_Table1!$K$2:$K$571))</f>
        <v>0</v>
      </c>
      <c r="E318" cm="1">
        <f t="array" ref="E318">SUMPRODUCT((Task_Table1!$C$2:$C$571=$E$1)*(A318&gt;Task_Table1!$J$2:$J$571)*(A318&lt;Task_Table1!$K$2:$K$571))</f>
        <v>11</v>
      </c>
    </row>
    <row r="319" spans="1:5">
      <c r="A319" s="5">
        <v>46187</v>
      </c>
      <c r="B319" cm="1">
        <f t="array" ref="B319">SUMPRODUCT((Task_Table1!$C$2:$C$571=$B$1)*(A319&gt;Task_Table1!$J$2:$J$571)*(A319&lt;Task_Table1!$K$2:$K$571))</f>
        <v>9</v>
      </c>
      <c r="C319" cm="1">
        <f t="array" ref="C319">SUMPRODUCT((Task_Table1!$C$2:$C$568=$C$1)*(A319&gt;Task_Table1!$J$2:$J$568)*(A319&lt;Task_Table1!$K$2:$K$568))</f>
        <v>22</v>
      </c>
      <c r="D319" cm="1">
        <f t="array" ref="D319">SUMPRODUCT((Task_Table1!$C$2:$C$571=$D$1)*(A319&gt;Task_Table1!$J$2:$J$571)*(A319&lt;Task_Table1!$K$2:$K$571))</f>
        <v>0</v>
      </c>
      <c r="E319" cm="1">
        <f t="array" ref="E319">SUMPRODUCT((Task_Table1!$C$2:$C$571=$E$1)*(A319&gt;Task_Table1!$J$2:$J$571)*(A319&lt;Task_Table1!$K$2:$K$571))</f>
        <v>11</v>
      </c>
    </row>
    <row r="320" spans="1:5">
      <c r="A320" s="5">
        <v>46188</v>
      </c>
      <c r="B320" cm="1">
        <f t="array" ref="B320">SUMPRODUCT((Task_Table1!$C$2:$C$571=$B$1)*(A320&gt;Task_Table1!$J$2:$J$571)*(A320&lt;Task_Table1!$K$2:$K$571))</f>
        <v>5</v>
      </c>
      <c r="C320" cm="1">
        <f t="array" ref="C320">SUMPRODUCT((Task_Table1!$C$2:$C$568=$C$1)*(A320&gt;Task_Table1!$J$2:$J$568)*(A320&lt;Task_Table1!$K$2:$K$568))</f>
        <v>14</v>
      </c>
      <c r="D320" cm="1">
        <f t="array" ref="D320">SUMPRODUCT((Task_Table1!$C$2:$C$571=$D$1)*(A320&gt;Task_Table1!$J$2:$J$571)*(A320&lt;Task_Table1!$K$2:$K$571))</f>
        <v>0</v>
      </c>
      <c r="E320" cm="1">
        <f t="array" ref="E320">SUMPRODUCT((Task_Table1!$C$2:$C$571=$E$1)*(A320&gt;Task_Table1!$J$2:$J$571)*(A320&lt;Task_Table1!$K$2:$K$571))</f>
        <v>9</v>
      </c>
    </row>
    <row r="321" spans="1:5">
      <c r="A321" s="5">
        <v>46189</v>
      </c>
      <c r="B321" cm="1">
        <f t="array" ref="B321">SUMPRODUCT((Task_Table1!$C$2:$C$571=$B$1)*(A321&gt;Task_Table1!$J$2:$J$571)*(A321&lt;Task_Table1!$K$2:$K$571))</f>
        <v>5</v>
      </c>
      <c r="C321" cm="1">
        <f t="array" ref="C321">SUMPRODUCT((Task_Table1!$C$2:$C$568=$C$1)*(A321&gt;Task_Table1!$J$2:$J$568)*(A321&lt;Task_Table1!$K$2:$K$568))</f>
        <v>14</v>
      </c>
      <c r="D321" cm="1">
        <f t="array" ref="D321">SUMPRODUCT((Task_Table1!$C$2:$C$571=$D$1)*(A321&gt;Task_Table1!$J$2:$J$571)*(A321&lt;Task_Table1!$K$2:$K$571))</f>
        <v>0</v>
      </c>
      <c r="E321" cm="1">
        <f t="array" ref="E321">SUMPRODUCT((Task_Table1!$C$2:$C$571=$E$1)*(A321&gt;Task_Table1!$J$2:$J$571)*(A321&lt;Task_Table1!$K$2:$K$571))</f>
        <v>9</v>
      </c>
    </row>
    <row r="322" spans="1:5">
      <c r="A322" s="5">
        <v>46190</v>
      </c>
      <c r="B322" cm="1">
        <f t="array" ref="B322">SUMPRODUCT((Task_Table1!$C$2:$C$571=$B$1)*(A322&gt;Task_Table1!$J$2:$J$571)*(A322&lt;Task_Table1!$K$2:$K$571))</f>
        <v>5</v>
      </c>
      <c r="C322" cm="1">
        <f t="array" ref="C322">SUMPRODUCT((Task_Table1!$C$2:$C$568=$C$1)*(A322&gt;Task_Table1!$J$2:$J$568)*(A322&lt;Task_Table1!$K$2:$K$568))</f>
        <v>14</v>
      </c>
      <c r="D322" cm="1">
        <f t="array" ref="D322">SUMPRODUCT((Task_Table1!$C$2:$C$571=$D$1)*(A322&gt;Task_Table1!$J$2:$J$571)*(A322&lt;Task_Table1!$K$2:$K$571))</f>
        <v>0</v>
      </c>
      <c r="E322" cm="1">
        <f t="array" ref="E322">SUMPRODUCT((Task_Table1!$C$2:$C$571=$E$1)*(A322&gt;Task_Table1!$J$2:$J$571)*(A322&lt;Task_Table1!$K$2:$K$571))</f>
        <v>9</v>
      </c>
    </row>
    <row r="323" spans="1:5">
      <c r="A323" s="5">
        <v>46191</v>
      </c>
      <c r="B323" cm="1">
        <f t="array" ref="B323">SUMPRODUCT((Task_Table1!$C$2:$C$571=$B$1)*(A323&gt;Task_Table1!$J$2:$J$571)*(A323&lt;Task_Table1!$K$2:$K$571))</f>
        <v>5</v>
      </c>
      <c r="C323" cm="1">
        <f t="array" ref="C323">SUMPRODUCT((Task_Table1!$C$2:$C$568=$C$1)*(A323&gt;Task_Table1!$J$2:$J$568)*(A323&lt;Task_Table1!$K$2:$K$568))</f>
        <v>14</v>
      </c>
      <c r="D323" cm="1">
        <f t="array" ref="D323">SUMPRODUCT((Task_Table1!$C$2:$C$571=$D$1)*(A323&gt;Task_Table1!$J$2:$J$571)*(A323&lt;Task_Table1!$K$2:$K$571))</f>
        <v>0</v>
      </c>
      <c r="E323" cm="1">
        <f t="array" ref="E323">SUMPRODUCT((Task_Table1!$C$2:$C$571=$E$1)*(A323&gt;Task_Table1!$J$2:$J$571)*(A323&lt;Task_Table1!$K$2:$K$571))</f>
        <v>9</v>
      </c>
    </row>
    <row r="324" spans="1:5">
      <c r="A324" s="5">
        <v>46192</v>
      </c>
      <c r="B324" cm="1">
        <f t="array" ref="B324">SUMPRODUCT((Task_Table1!$C$2:$C$571=$B$1)*(A324&gt;Task_Table1!$J$2:$J$571)*(A324&lt;Task_Table1!$K$2:$K$571))</f>
        <v>5</v>
      </c>
      <c r="C324" cm="1">
        <f t="array" ref="C324">SUMPRODUCT((Task_Table1!$C$2:$C$568=$C$1)*(A324&gt;Task_Table1!$J$2:$J$568)*(A324&lt;Task_Table1!$K$2:$K$568))</f>
        <v>14</v>
      </c>
      <c r="D324" cm="1">
        <f t="array" ref="D324">SUMPRODUCT((Task_Table1!$C$2:$C$571=$D$1)*(A324&gt;Task_Table1!$J$2:$J$571)*(A324&lt;Task_Table1!$K$2:$K$571))</f>
        <v>0</v>
      </c>
      <c r="E324" cm="1">
        <f t="array" ref="E324">SUMPRODUCT((Task_Table1!$C$2:$C$571=$E$1)*(A324&gt;Task_Table1!$J$2:$J$571)*(A324&lt;Task_Table1!$K$2:$K$571))</f>
        <v>9</v>
      </c>
    </row>
    <row r="325" spans="1:5">
      <c r="A325" s="5">
        <v>46193</v>
      </c>
      <c r="B325" cm="1">
        <f t="array" ref="B325">SUMPRODUCT((Task_Table1!$C$2:$C$571=$B$1)*(A325&gt;Task_Table1!$J$2:$J$571)*(A325&lt;Task_Table1!$K$2:$K$571))</f>
        <v>5</v>
      </c>
      <c r="C325" cm="1">
        <f t="array" ref="C325">SUMPRODUCT((Task_Table1!$C$2:$C$568=$C$1)*(A325&gt;Task_Table1!$J$2:$J$568)*(A325&lt;Task_Table1!$K$2:$K$568))</f>
        <v>14</v>
      </c>
      <c r="D325" cm="1">
        <f t="array" ref="D325">SUMPRODUCT((Task_Table1!$C$2:$C$571=$D$1)*(A325&gt;Task_Table1!$J$2:$J$571)*(A325&lt;Task_Table1!$K$2:$K$571))</f>
        <v>0</v>
      </c>
      <c r="E325" cm="1">
        <f t="array" ref="E325">SUMPRODUCT((Task_Table1!$C$2:$C$571=$E$1)*(A325&gt;Task_Table1!$J$2:$J$571)*(A325&lt;Task_Table1!$K$2:$K$571))</f>
        <v>9</v>
      </c>
    </row>
    <row r="326" spans="1:5">
      <c r="A326" s="5">
        <v>46194</v>
      </c>
      <c r="B326" cm="1">
        <f t="array" ref="B326">SUMPRODUCT((Task_Table1!$C$2:$C$571=$B$1)*(A326&gt;Task_Table1!$J$2:$J$571)*(A326&lt;Task_Table1!$K$2:$K$571))</f>
        <v>5</v>
      </c>
      <c r="C326" cm="1">
        <f t="array" ref="C326">SUMPRODUCT((Task_Table1!$C$2:$C$568=$C$1)*(A326&gt;Task_Table1!$J$2:$J$568)*(A326&lt;Task_Table1!$K$2:$K$568))</f>
        <v>14</v>
      </c>
      <c r="D326" cm="1">
        <f t="array" ref="D326">SUMPRODUCT((Task_Table1!$C$2:$C$571=$D$1)*(A326&gt;Task_Table1!$J$2:$J$571)*(A326&lt;Task_Table1!$K$2:$K$571))</f>
        <v>0</v>
      </c>
      <c r="E326" cm="1">
        <f t="array" ref="E326">SUMPRODUCT((Task_Table1!$C$2:$C$571=$E$1)*(A326&gt;Task_Table1!$J$2:$J$571)*(A326&lt;Task_Table1!$K$2:$K$571))</f>
        <v>9</v>
      </c>
    </row>
    <row r="327" spans="1:5">
      <c r="A327" s="5">
        <v>46195</v>
      </c>
      <c r="B327" cm="1">
        <f t="array" ref="B327">SUMPRODUCT((Task_Table1!$C$2:$C$571=$B$1)*(A327&gt;Task_Table1!$J$2:$J$571)*(A327&lt;Task_Table1!$K$2:$K$571))</f>
        <v>5</v>
      </c>
      <c r="C327" cm="1">
        <f t="array" ref="C327">SUMPRODUCT((Task_Table1!$C$2:$C$568=$C$1)*(A327&gt;Task_Table1!$J$2:$J$568)*(A327&lt;Task_Table1!$K$2:$K$568))</f>
        <v>12</v>
      </c>
      <c r="D327" cm="1">
        <f t="array" ref="D327">SUMPRODUCT((Task_Table1!$C$2:$C$571=$D$1)*(A327&gt;Task_Table1!$J$2:$J$571)*(A327&lt;Task_Table1!$K$2:$K$571))</f>
        <v>0</v>
      </c>
      <c r="E327" cm="1">
        <f t="array" ref="E327">SUMPRODUCT((Task_Table1!$C$2:$C$571=$E$1)*(A327&gt;Task_Table1!$J$2:$J$571)*(A327&lt;Task_Table1!$K$2:$K$571))</f>
        <v>9</v>
      </c>
    </row>
    <row r="328" spans="1:5">
      <c r="A328" s="5">
        <v>46196</v>
      </c>
      <c r="B328" cm="1">
        <f t="array" ref="B328">SUMPRODUCT((Task_Table1!$C$2:$C$571=$B$1)*(A328&gt;Task_Table1!$J$2:$J$571)*(A328&lt;Task_Table1!$K$2:$K$571))</f>
        <v>5</v>
      </c>
      <c r="C328" cm="1">
        <f t="array" ref="C328">SUMPRODUCT((Task_Table1!$C$2:$C$568=$C$1)*(A328&gt;Task_Table1!$J$2:$J$568)*(A328&lt;Task_Table1!$K$2:$K$568))</f>
        <v>12</v>
      </c>
      <c r="D328" cm="1">
        <f t="array" ref="D328">SUMPRODUCT((Task_Table1!$C$2:$C$571=$D$1)*(A328&gt;Task_Table1!$J$2:$J$571)*(A328&lt;Task_Table1!$K$2:$K$571))</f>
        <v>0</v>
      </c>
      <c r="E328" cm="1">
        <f t="array" ref="E328">SUMPRODUCT((Task_Table1!$C$2:$C$571=$E$1)*(A328&gt;Task_Table1!$J$2:$J$571)*(A328&lt;Task_Table1!$K$2:$K$571))</f>
        <v>9</v>
      </c>
    </row>
    <row r="329" spans="1:5">
      <c r="A329" s="5">
        <v>46197</v>
      </c>
      <c r="B329" cm="1">
        <f t="array" ref="B329">SUMPRODUCT((Task_Table1!$C$2:$C$571=$B$1)*(A329&gt;Task_Table1!$J$2:$J$571)*(A329&lt;Task_Table1!$K$2:$K$571))</f>
        <v>5</v>
      </c>
      <c r="C329" cm="1">
        <f t="array" ref="C329">SUMPRODUCT((Task_Table1!$C$2:$C$568=$C$1)*(A329&gt;Task_Table1!$J$2:$J$568)*(A329&lt;Task_Table1!$K$2:$K$568))</f>
        <v>12</v>
      </c>
      <c r="D329" cm="1">
        <f t="array" ref="D329">SUMPRODUCT((Task_Table1!$C$2:$C$571=$D$1)*(A329&gt;Task_Table1!$J$2:$J$571)*(A329&lt;Task_Table1!$K$2:$K$571))</f>
        <v>0</v>
      </c>
      <c r="E329" cm="1">
        <f t="array" ref="E329">SUMPRODUCT((Task_Table1!$C$2:$C$571=$E$1)*(A329&gt;Task_Table1!$J$2:$J$571)*(A329&lt;Task_Table1!$K$2:$K$571))</f>
        <v>9</v>
      </c>
    </row>
    <row r="330" spans="1:5">
      <c r="A330" s="5">
        <v>46198</v>
      </c>
      <c r="B330" cm="1">
        <f t="array" ref="B330">SUMPRODUCT((Task_Table1!$C$2:$C$571=$B$1)*(A330&gt;Task_Table1!$J$2:$J$571)*(A330&lt;Task_Table1!$K$2:$K$571))</f>
        <v>5</v>
      </c>
      <c r="C330" cm="1">
        <f t="array" ref="C330">SUMPRODUCT((Task_Table1!$C$2:$C$568=$C$1)*(A330&gt;Task_Table1!$J$2:$J$568)*(A330&lt;Task_Table1!$K$2:$K$568))</f>
        <v>12</v>
      </c>
      <c r="D330" cm="1">
        <f t="array" ref="D330">SUMPRODUCT((Task_Table1!$C$2:$C$571=$D$1)*(A330&gt;Task_Table1!$J$2:$J$571)*(A330&lt;Task_Table1!$K$2:$K$571))</f>
        <v>0</v>
      </c>
      <c r="E330" cm="1">
        <f t="array" ref="E330">SUMPRODUCT((Task_Table1!$C$2:$C$571=$E$1)*(A330&gt;Task_Table1!$J$2:$J$571)*(A330&lt;Task_Table1!$K$2:$K$571))</f>
        <v>9</v>
      </c>
    </row>
    <row r="331" spans="1:5">
      <c r="A331" s="5">
        <v>46199</v>
      </c>
      <c r="B331" cm="1">
        <f t="array" ref="B331">SUMPRODUCT((Task_Table1!$C$2:$C$571=$B$1)*(A331&gt;Task_Table1!$J$2:$J$571)*(A331&lt;Task_Table1!$K$2:$K$571))</f>
        <v>5</v>
      </c>
      <c r="C331" cm="1">
        <f t="array" ref="C331">SUMPRODUCT((Task_Table1!$C$2:$C$568=$C$1)*(A331&gt;Task_Table1!$J$2:$J$568)*(A331&lt;Task_Table1!$K$2:$K$568))</f>
        <v>12</v>
      </c>
      <c r="D331" cm="1">
        <f t="array" ref="D331">SUMPRODUCT((Task_Table1!$C$2:$C$571=$D$1)*(A331&gt;Task_Table1!$J$2:$J$571)*(A331&lt;Task_Table1!$K$2:$K$571))</f>
        <v>0</v>
      </c>
      <c r="E331" cm="1">
        <f t="array" ref="E331">SUMPRODUCT((Task_Table1!$C$2:$C$571=$E$1)*(A331&gt;Task_Table1!$J$2:$J$571)*(A331&lt;Task_Table1!$K$2:$K$571))</f>
        <v>9</v>
      </c>
    </row>
    <row r="332" spans="1:5">
      <c r="A332" s="5">
        <v>46200</v>
      </c>
      <c r="B332" cm="1">
        <f t="array" ref="B332">SUMPRODUCT((Task_Table1!$C$2:$C$571=$B$1)*(A332&gt;Task_Table1!$J$2:$J$571)*(A332&lt;Task_Table1!$K$2:$K$571))</f>
        <v>5</v>
      </c>
      <c r="C332" cm="1">
        <f t="array" ref="C332">SUMPRODUCT((Task_Table1!$C$2:$C$568=$C$1)*(A332&gt;Task_Table1!$J$2:$J$568)*(A332&lt;Task_Table1!$K$2:$K$568))</f>
        <v>12</v>
      </c>
      <c r="D332" cm="1">
        <f t="array" ref="D332">SUMPRODUCT((Task_Table1!$C$2:$C$571=$D$1)*(A332&gt;Task_Table1!$J$2:$J$571)*(A332&lt;Task_Table1!$K$2:$K$571))</f>
        <v>0</v>
      </c>
      <c r="E332" cm="1">
        <f t="array" ref="E332">SUMPRODUCT((Task_Table1!$C$2:$C$571=$E$1)*(A332&gt;Task_Table1!$J$2:$J$571)*(A332&lt;Task_Table1!$K$2:$K$571))</f>
        <v>9</v>
      </c>
    </row>
    <row r="333" spans="1:5">
      <c r="A333" s="5">
        <v>46201</v>
      </c>
      <c r="B333" cm="1">
        <f t="array" ref="B333">SUMPRODUCT((Task_Table1!$C$2:$C$571=$B$1)*(A333&gt;Task_Table1!$J$2:$J$571)*(A333&lt;Task_Table1!$K$2:$K$571))</f>
        <v>5</v>
      </c>
      <c r="C333" cm="1">
        <f t="array" ref="C333">SUMPRODUCT((Task_Table1!$C$2:$C$568=$C$1)*(A333&gt;Task_Table1!$J$2:$J$568)*(A333&lt;Task_Table1!$K$2:$K$568))</f>
        <v>12</v>
      </c>
      <c r="D333" cm="1">
        <f t="array" ref="D333">SUMPRODUCT((Task_Table1!$C$2:$C$571=$D$1)*(A333&gt;Task_Table1!$J$2:$J$571)*(A333&lt;Task_Table1!$K$2:$K$571))</f>
        <v>0</v>
      </c>
      <c r="E333" cm="1">
        <f t="array" ref="E333">SUMPRODUCT((Task_Table1!$C$2:$C$571=$E$1)*(A333&gt;Task_Table1!$J$2:$J$571)*(A333&lt;Task_Table1!$K$2:$K$571))</f>
        <v>9</v>
      </c>
    </row>
    <row r="334" spans="1:5">
      <c r="A334" s="5">
        <v>46202</v>
      </c>
      <c r="B334" cm="1">
        <f t="array" ref="B334">SUMPRODUCT((Task_Table1!$C$2:$C$571=$B$1)*(A334&gt;Task_Table1!$J$2:$J$571)*(A334&lt;Task_Table1!$K$2:$K$571))</f>
        <v>5</v>
      </c>
      <c r="C334" cm="1">
        <f t="array" ref="C334">SUMPRODUCT((Task_Table1!$C$2:$C$568=$C$1)*(A334&gt;Task_Table1!$J$2:$J$568)*(A334&lt;Task_Table1!$K$2:$K$568))</f>
        <v>10</v>
      </c>
      <c r="D334" cm="1">
        <f t="array" ref="D334">SUMPRODUCT((Task_Table1!$C$2:$C$571=$D$1)*(A334&gt;Task_Table1!$J$2:$J$571)*(A334&lt;Task_Table1!$K$2:$K$571))</f>
        <v>0</v>
      </c>
      <c r="E334" cm="1">
        <f t="array" ref="E334">SUMPRODUCT((Task_Table1!$C$2:$C$571=$E$1)*(A334&gt;Task_Table1!$J$2:$J$571)*(A334&lt;Task_Table1!$K$2:$K$571))</f>
        <v>9</v>
      </c>
    </row>
    <row r="335" spans="1:5">
      <c r="A335" s="5">
        <v>46203</v>
      </c>
      <c r="B335" cm="1">
        <f t="array" ref="B335">SUMPRODUCT((Task_Table1!$C$2:$C$571=$B$1)*(A335&gt;Task_Table1!$J$2:$J$571)*(A335&lt;Task_Table1!$K$2:$K$571))</f>
        <v>1</v>
      </c>
      <c r="C335" cm="1">
        <f t="array" ref="C335">SUMPRODUCT((Task_Table1!$C$2:$C$568=$C$1)*(A335&gt;Task_Table1!$J$2:$J$568)*(A335&lt;Task_Table1!$K$2:$K$568))</f>
        <v>1</v>
      </c>
      <c r="D335" cm="1">
        <f t="array" ref="D335">SUMPRODUCT((Task_Table1!$C$2:$C$571=$D$1)*(A335&gt;Task_Table1!$J$2:$J$571)*(A335&lt;Task_Table1!$K$2:$K$571))</f>
        <v>0</v>
      </c>
      <c r="E335" cm="1">
        <f t="array" ref="E335">SUMPRODUCT((Task_Table1!$C$2:$C$571=$E$1)*(A335&gt;Task_Table1!$J$2:$J$571)*(A335&lt;Task_Table1!$K$2:$K$571))</f>
        <v>8</v>
      </c>
    </row>
    <row r="336" spans="1:5">
      <c r="A336" s="5">
        <v>46204</v>
      </c>
      <c r="B336" cm="1">
        <f t="array" ref="B336">SUMPRODUCT((Task_Table1!$C$2:$C$571=$B$1)*(A336&gt;Task_Table1!$J$2:$J$571)*(A336&lt;Task_Table1!$K$2:$K$571))</f>
        <v>1</v>
      </c>
      <c r="C336" cm="1">
        <f t="array" ref="C336">SUMPRODUCT((Task_Table1!$C$2:$C$568=$C$1)*(A336&gt;Task_Table1!$J$2:$J$568)*(A336&lt;Task_Table1!$K$2:$K$568))</f>
        <v>1</v>
      </c>
      <c r="D336" cm="1">
        <f t="array" ref="D336">SUMPRODUCT((Task_Table1!$C$2:$C$571=$D$1)*(A336&gt;Task_Table1!$J$2:$J$571)*(A336&lt;Task_Table1!$K$2:$K$571))</f>
        <v>0</v>
      </c>
      <c r="E336" cm="1">
        <f t="array" ref="E336">SUMPRODUCT((Task_Table1!$C$2:$C$571=$E$1)*(A336&gt;Task_Table1!$J$2:$J$571)*(A336&lt;Task_Table1!$K$2:$K$571))</f>
        <v>7</v>
      </c>
    </row>
    <row r="337" spans="1:5">
      <c r="A337" s="5">
        <v>46205</v>
      </c>
      <c r="B337" cm="1">
        <f t="array" ref="B337">SUMPRODUCT((Task_Table1!$C$2:$C$571=$B$1)*(A337&gt;Task_Table1!$J$2:$J$571)*(A337&lt;Task_Table1!$K$2:$K$571))</f>
        <v>1</v>
      </c>
      <c r="C337" cm="1">
        <f t="array" ref="C337">SUMPRODUCT((Task_Table1!$C$2:$C$568=$C$1)*(A337&gt;Task_Table1!$J$2:$J$568)*(A337&lt;Task_Table1!$K$2:$K$568))</f>
        <v>1</v>
      </c>
      <c r="D337" cm="1">
        <f t="array" ref="D337">SUMPRODUCT((Task_Table1!$C$2:$C$571=$D$1)*(A337&gt;Task_Table1!$J$2:$J$571)*(A337&lt;Task_Table1!$K$2:$K$571))</f>
        <v>0</v>
      </c>
      <c r="E337" cm="1">
        <f t="array" ref="E337">SUMPRODUCT((Task_Table1!$C$2:$C$571=$E$1)*(A337&gt;Task_Table1!$J$2:$J$571)*(A337&lt;Task_Table1!$K$2:$K$571))</f>
        <v>8</v>
      </c>
    </row>
    <row r="338" spans="1:5">
      <c r="A338" s="5">
        <v>46206</v>
      </c>
      <c r="B338" cm="1">
        <f t="array" ref="B338">SUMPRODUCT((Task_Table1!$C$2:$C$571=$B$1)*(A338&gt;Task_Table1!$J$2:$J$571)*(A338&lt;Task_Table1!$K$2:$K$571))</f>
        <v>1</v>
      </c>
      <c r="C338" cm="1">
        <f t="array" ref="C338">SUMPRODUCT((Task_Table1!$C$2:$C$568=$C$1)*(A338&gt;Task_Table1!$J$2:$J$568)*(A338&lt;Task_Table1!$K$2:$K$568))</f>
        <v>1</v>
      </c>
      <c r="D338" cm="1">
        <f t="array" ref="D338">SUMPRODUCT((Task_Table1!$C$2:$C$571=$D$1)*(A338&gt;Task_Table1!$J$2:$J$571)*(A338&lt;Task_Table1!$K$2:$K$571))</f>
        <v>0</v>
      </c>
      <c r="E338" cm="1">
        <f t="array" ref="E338">SUMPRODUCT((Task_Table1!$C$2:$C$571=$E$1)*(A338&gt;Task_Table1!$J$2:$J$571)*(A338&lt;Task_Table1!$K$2:$K$571))</f>
        <v>8</v>
      </c>
    </row>
    <row r="339" spans="1:5">
      <c r="A339" s="5">
        <v>46207</v>
      </c>
      <c r="B339" cm="1">
        <f t="array" ref="B339">SUMPRODUCT((Task_Table1!$C$2:$C$571=$B$1)*(A339&gt;Task_Table1!$J$2:$J$571)*(A339&lt;Task_Table1!$K$2:$K$571))</f>
        <v>1</v>
      </c>
      <c r="C339" cm="1">
        <f t="array" ref="C339">SUMPRODUCT((Task_Table1!$C$2:$C$568=$C$1)*(A339&gt;Task_Table1!$J$2:$J$568)*(A339&lt;Task_Table1!$K$2:$K$568))</f>
        <v>1</v>
      </c>
      <c r="D339" cm="1">
        <f t="array" ref="D339">SUMPRODUCT((Task_Table1!$C$2:$C$571=$D$1)*(A339&gt;Task_Table1!$J$2:$J$571)*(A339&lt;Task_Table1!$K$2:$K$571))</f>
        <v>0</v>
      </c>
      <c r="E339" cm="1">
        <f t="array" ref="E339">SUMPRODUCT((Task_Table1!$C$2:$C$571=$E$1)*(A339&gt;Task_Table1!$J$2:$J$571)*(A339&lt;Task_Table1!$K$2:$K$571))</f>
        <v>8</v>
      </c>
    </row>
    <row r="340" spans="1:5">
      <c r="A340" s="5">
        <v>46208</v>
      </c>
      <c r="B340" cm="1">
        <f t="array" ref="B340">SUMPRODUCT((Task_Table1!$C$2:$C$571=$B$1)*(A340&gt;Task_Table1!$J$2:$J$571)*(A340&lt;Task_Table1!$K$2:$K$571))</f>
        <v>1</v>
      </c>
      <c r="C340" cm="1">
        <f t="array" ref="C340">SUMPRODUCT((Task_Table1!$C$2:$C$568=$C$1)*(A340&gt;Task_Table1!$J$2:$J$568)*(A340&lt;Task_Table1!$K$2:$K$568))</f>
        <v>1</v>
      </c>
      <c r="D340" cm="1">
        <f t="array" ref="D340">SUMPRODUCT((Task_Table1!$C$2:$C$571=$D$1)*(A340&gt;Task_Table1!$J$2:$J$571)*(A340&lt;Task_Table1!$K$2:$K$571))</f>
        <v>0</v>
      </c>
      <c r="E340" cm="1">
        <f t="array" ref="E340">SUMPRODUCT((Task_Table1!$C$2:$C$571=$E$1)*(A340&gt;Task_Table1!$J$2:$J$571)*(A340&lt;Task_Table1!$K$2:$K$571))</f>
        <v>8</v>
      </c>
    </row>
    <row r="341" spans="1:5">
      <c r="A341" s="5">
        <v>46209</v>
      </c>
      <c r="B341" cm="1">
        <f t="array" ref="B341">SUMPRODUCT((Task_Table1!$C$2:$C$571=$B$1)*(A341&gt;Task_Table1!$J$2:$J$571)*(A341&lt;Task_Table1!$K$2:$K$571))</f>
        <v>1</v>
      </c>
      <c r="C341" cm="1">
        <f t="array" ref="C341">SUMPRODUCT((Task_Table1!$C$2:$C$568=$C$1)*(A341&gt;Task_Table1!$J$2:$J$568)*(A341&lt;Task_Table1!$K$2:$K$568))</f>
        <v>1</v>
      </c>
      <c r="D341" cm="1">
        <f t="array" ref="D341">SUMPRODUCT((Task_Table1!$C$2:$C$571=$D$1)*(A341&gt;Task_Table1!$J$2:$J$571)*(A341&lt;Task_Table1!$K$2:$K$571))</f>
        <v>0</v>
      </c>
      <c r="E341" cm="1">
        <f t="array" ref="E341">SUMPRODUCT((Task_Table1!$C$2:$C$571=$E$1)*(A341&gt;Task_Table1!$J$2:$J$571)*(A341&lt;Task_Table1!$K$2:$K$571))</f>
        <v>8</v>
      </c>
    </row>
    <row r="342" spans="1:5">
      <c r="A342" s="5">
        <v>46210</v>
      </c>
      <c r="B342" cm="1">
        <f t="array" ref="B342">SUMPRODUCT((Task_Table1!$C$2:$C$571=$B$1)*(A342&gt;Task_Table1!$J$2:$J$571)*(A342&lt;Task_Table1!$K$2:$K$571))</f>
        <v>1</v>
      </c>
      <c r="C342" cm="1">
        <f t="array" ref="C342">SUMPRODUCT((Task_Table1!$C$2:$C$568=$C$1)*(A342&gt;Task_Table1!$J$2:$J$568)*(A342&lt;Task_Table1!$K$2:$K$568))</f>
        <v>1</v>
      </c>
      <c r="D342" cm="1">
        <f t="array" ref="D342">SUMPRODUCT((Task_Table1!$C$2:$C$571=$D$1)*(A342&gt;Task_Table1!$J$2:$J$571)*(A342&lt;Task_Table1!$K$2:$K$571))</f>
        <v>0</v>
      </c>
      <c r="E342" cm="1">
        <f t="array" ref="E342">SUMPRODUCT((Task_Table1!$C$2:$C$571=$E$1)*(A342&gt;Task_Table1!$J$2:$J$571)*(A342&lt;Task_Table1!$K$2:$K$571))</f>
        <v>8</v>
      </c>
    </row>
    <row r="343" spans="1:5">
      <c r="A343" s="5">
        <v>46211</v>
      </c>
      <c r="B343" cm="1">
        <f t="array" ref="B343">SUMPRODUCT((Task_Table1!$C$2:$C$571=$B$1)*(A343&gt;Task_Table1!$J$2:$J$571)*(A343&lt;Task_Table1!$K$2:$K$571))</f>
        <v>1</v>
      </c>
      <c r="C343" cm="1">
        <f t="array" ref="C343">SUMPRODUCT((Task_Table1!$C$2:$C$568=$C$1)*(A343&gt;Task_Table1!$J$2:$J$568)*(A343&lt;Task_Table1!$K$2:$K$568))</f>
        <v>1</v>
      </c>
      <c r="D343" cm="1">
        <f t="array" ref="D343">SUMPRODUCT((Task_Table1!$C$2:$C$571=$D$1)*(A343&gt;Task_Table1!$J$2:$J$571)*(A343&lt;Task_Table1!$K$2:$K$571))</f>
        <v>0</v>
      </c>
      <c r="E343" cm="1">
        <f t="array" ref="E343">SUMPRODUCT((Task_Table1!$C$2:$C$571=$E$1)*(A343&gt;Task_Table1!$J$2:$J$571)*(A343&lt;Task_Table1!$K$2:$K$571))</f>
        <v>8</v>
      </c>
    </row>
    <row r="344" spans="1:5">
      <c r="A344" s="5">
        <v>46212</v>
      </c>
      <c r="B344" cm="1">
        <f t="array" ref="B344">SUMPRODUCT((Task_Table1!$C$2:$C$571=$B$1)*(A344&gt;Task_Table1!$J$2:$J$571)*(A344&lt;Task_Table1!$K$2:$K$571))</f>
        <v>1</v>
      </c>
      <c r="C344" cm="1">
        <f t="array" ref="C344">SUMPRODUCT((Task_Table1!$C$2:$C$568=$C$1)*(A344&gt;Task_Table1!$J$2:$J$568)*(A344&lt;Task_Table1!$K$2:$K$568))</f>
        <v>1</v>
      </c>
      <c r="D344" cm="1">
        <f t="array" ref="D344">SUMPRODUCT((Task_Table1!$C$2:$C$571=$D$1)*(A344&gt;Task_Table1!$J$2:$J$571)*(A344&lt;Task_Table1!$K$2:$K$571))</f>
        <v>0</v>
      </c>
      <c r="E344" cm="1">
        <f t="array" ref="E344">SUMPRODUCT((Task_Table1!$C$2:$C$571=$E$1)*(A344&gt;Task_Table1!$J$2:$J$571)*(A344&lt;Task_Table1!$K$2:$K$571))</f>
        <v>8</v>
      </c>
    </row>
    <row r="345" spans="1:5">
      <c r="A345" s="5">
        <v>46213</v>
      </c>
      <c r="B345" cm="1">
        <f t="array" ref="B345">SUMPRODUCT((Task_Table1!$C$2:$C$571=$B$1)*(A345&gt;Task_Table1!$J$2:$J$571)*(A345&lt;Task_Table1!$K$2:$K$571))</f>
        <v>1</v>
      </c>
      <c r="C345" cm="1">
        <f t="array" ref="C345">SUMPRODUCT((Task_Table1!$C$2:$C$568=$C$1)*(A345&gt;Task_Table1!$J$2:$J$568)*(A345&lt;Task_Table1!$K$2:$K$568))</f>
        <v>1</v>
      </c>
      <c r="D345" cm="1">
        <f t="array" ref="D345">SUMPRODUCT((Task_Table1!$C$2:$C$571=$D$1)*(A345&gt;Task_Table1!$J$2:$J$571)*(A345&lt;Task_Table1!$K$2:$K$571))</f>
        <v>0</v>
      </c>
      <c r="E345" cm="1">
        <f t="array" ref="E345">SUMPRODUCT((Task_Table1!$C$2:$C$571=$E$1)*(A345&gt;Task_Table1!$J$2:$J$571)*(A345&lt;Task_Table1!$K$2:$K$571))</f>
        <v>8</v>
      </c>
    </row>
    <row r="346" spans="1:5">
      <c r="A346" s="5">
        <v>46214</v>
      </c>
      <c r="B346" cm="1">
        <f t="array" ref="B346">SUMPRODUCT((Task_Table1!$C$2:$C$571=$B$1)*(A346&gt;Task_Table1!$J$2:$J$571)*(A346&lt;Task_Table1!$K$2:$K$571))</f>
        <v>1</v>
      </c>
      <c r="C346" cm="1">
        <f t="array" ref="C346">SUMPRODUCT((Task_Table1!$C$2:$C$568=$C$1)*(A346&gt;Task_Table1!$J$2:$J$568)*(A346&lt;Task_Table1!$K$2:$K$568))</f>
        <v>1</v>
      </c>
      <c r="D346" cm="1">
        <f t="array" ref="D346">SUMPRODUCT((Task_Table1!$C$2:$C$571=$D$1)*(A346&gt;Task_Table1!$J$2:$J$571)*(A346&lt;Task_Table1!$K$2:$K$571))</f>
        <v>0</v>
      </c>
      <c r="E346" cm="1">
        <f t="array" ref="E346">SUMPRODUCT((Task_Table1!$C$2:$C$571=$E$1)*(A346&gt;Task_Table1!$J$2:$J$571)*(A346&lt;Task_Table1!$K$2:$K$571))</f>
        <v>8</v>
      </c>
    </row>
    <row r="347" spans="1:5">
      <c r="A347" s="5">
        <v>46215</v>
      </c>
      <c r="B347" cm="1">
        <f t="array" ref="B347">SUMPRODUCT((Task_Table1!$C$2:$C$571=$B$1)*(A347&gt;Task_Table1!$J$2:$J$571)*(A347&lt;Task_Table1!$K$2:$K$571))</f>
        <v>1</v>
      </c>
      <c r="C347" cm="1">
        <f t="array" ref="C347">SUMPRODUCT((Task_Table1!$C$2:$C$568=$C$1)*(A347&gt;Task_Table1!$J$2:$J$568)*(A347&lt;Task_Table1!$K$2:$K$568))</f>
        <v>1</v>
      </c>
      <c r="D347" cm="1">
        <f t="array" ref="D347">SUMPRODUCT((Task_Table1!$C$2:$C$571=$D$1)*(A347&gt;Task_Table1!$J$2:$J$571)*(A347&lt;Task_Table1!$K$2:$K$571))</f>
        <v>0</v>
      </c>
      <c r="E347" cm="1">
        <f t="array" ref="E347">SUMPRODUCT((Task_Table1!$C$2:$C$571=$E$1)*(A347&gt;Task_Table1!$J$2:$J$571)*(A347&lt;Task_Table1!$K$2:$K$571))</f>
        <v>8</v>
      </c>
    </row>
    <row r="348" spans="1:5">
      <c r="A348" s="5">
        <v>46216</v>
      </c>
      <c r="B348" cm="1">
        <f t="array" ref="B348">SUMPRODUCT((Task_Table1!$C$2:$C$571=$B$1)*(A348&gt;Task_Table1!$J$2:$J$571)*(A348&lt;Task_Table1!$K$2:$K$571))</f>
        <v>1</v>
      </c>
      <c r="C348" cm="1">
        <f t="array" ref="C348">SUMPRODUCT((Task_Table1!$C$2:$C$568=$C$1)*(A348&gt;Task_Table1!$J$2:$J$568)*(A348&lt;Task_Table1!$K$2:$K$568))</f>
        <v>1</v>
      </c>
      <c r="D348" cm="1">
        <f t="array" ref="D348">SUMPRODUCT((Task_Table1!$C$2:$C$571=$D$1)*(A348&gt;Task_Table1!$J$2:$J$571)*(A348&lt;Task_Table1!$K$2:$K$571))</f>
        <v>0</v>
      </c>
      <c r="E348" cm="1">
        <f t="array" ref="E348">SUMPRODUCT((Task_Table1!$C$2:$C$571=$E$1)*(A348&gt;Task_Table1!$J$2:$J$571)*(A348&lt;Task_Table1!$K$2:$K$571))</f>
        <v>8</v>
      </c>
    </row>
    <row r="349" spans="1:5">
      <c r="A349" s="5">
        <v>46217</v>
      </c>
      <c r="B349" cm="1">
        <f t="array" ref="B349">SUMPRODUCT((Task_Table1!$C$2:$C$571=$B$1)*(A349&gt;Task_Table1!$J$2:$J$571)*(A349&lt;Task_Table1!$K$2:$K$571))</f>
        <v>1</v>
      </c>
      <c r="C349" cm="1">
        <f t="array" ref="C349">SUMPRODUCT((Task_Table1!$C$2:$C$568=$C$1)*(A349&gt;Task_Table1!$J$2:$J$568)*(A349&lt;Task_Table1!$K$2:$K$568))</f>
        <v>2</v>
      </c>
      <c r="D349" cm="1">
        <f t="array" ref="D349">SUMPRODUCT((Task_Table1!$C$2:$C$571=$D$1)*(A349&gt;Task_Table1!$J$2:$J$571)*(A349&lt;Task_Table1!$K$2:$K$571))</f>
        <v>0</v>
      </c>
      <c r="E349" cm="1">
        <f t="array" ref="E349">SUMPRODUCT((Task_Table1!$C$2:$C$571=$E$1)*(A349&gt;Task_Table1!$J$2:$J$571)*(A349&lt;Task_Table1!$K$2:$K$571))</f>
        <v>8</v>
      </c>
    </row>
    <row r="350" spans="1:5">
      <c r="A350" s="5">
        <v>46218</v>
      </c>
      <c r="B350" cm="1">
        <f t="array" ref="B350">SUMPRODUCT((Task_Table1!$C$2:$C$571=$B$1)*(A350&gt;Task_Table1!$J$2:$J$571)*(A350&lt;Task_Table1!$K$2:$K$571))</f>
        <v>1</v>
      </c>
      <c r="C350" cm="1">
        <f t="array" ref="C350">SUMPRODUCT((Task_Table1!$C$2:$C$568=$C$1)*(A350&gt;Task_Table1!$J$2:$J$568)*(A350&lt;Task_Table1!$K$2:$K$568))</f>
        <v>2</v>
      </c>
      <c r="D350" cm="1">
        <f t="array" ref="D350">SUMPRODUCT((Task_Table1!$C$2:$C$571=$D$1)*(A350&gt;Task_Table1!$J$2:$J$571)*(A350&lt;Task_Table1!$K$2:$K$571))</f>
        <v>0</v>
      </c>
      <c r="E350" cm="1">
        <f t="array" ref="E350">SUMPRODUCT((Task_Table1!$C$2:$C$571=$E$1)*(A350&gt;Task_Table1!$J$2:$J$571)*(A350&lt;Task_Table1!$K$2:$K$571))</f>
        <v>8</v>
      </c>
    </row>
    <row r="351" spans="1:5">
      <c r="A351" s="5">
        <v>46219</v>
      </c>
      <c r="B351" cm="1">
        <f t="array" ref="B351">SUMPRODUCT((Task_Table1!$C$2:$C$571=$B$1)*(A351&gt;Task_Table1!$J$2:$J$571)*(A351&lt;Task_Table1!$K$2:$K$571))</f>
        <v>1</v>
      </c>
      <c r="C351" cm="1">
        <f t="array" ref="C351">SUMPRODUCT((Task_Table1!$C$2:$C$568=$C$1)*(A351&gt;Task_Table1!$J$2:$J$568)*(A351&lt;Task_Table1!$K$2:$K$568))</f>
        <v>8</v>
      </c>
      <c r="D351" cm="1">
        <f t="array" ref="D351">SUMPRODUCT((Task_Table1!$C$2:$C$571=$D$1)*(A351&gt;Task_Table1!$J$2:$J$571)*(A351&lt;Task_Table1!$K$2:$K$571))</f>
        <v>0</v>
      </c>
      <c r="E351" cm="1">
        <f t="array" ref="E351">SUMPRODUCT((Task_Table1!$C$2:$C$571=$E$1)*(A351&gt;Task_Table1!$J$2:$J$571)*(A351&lt;Task_Table1!$K$2:$K$571))</f>
        <v>8</v>
      </c>
    </row>
    <row r="352" spans="1:5">
      <c r="A352" s="5">
        <v>46220</v>
      </c>
      <c r="B352" cm="1">
        <f t="array" ref="B352">SUMPRODUCT((Task_Table1!$C$2:$C$571=$B$1)*(A352&gt;Task_Table1!$J$2:$J$571)*(A352&lt;Task_Table1!$K$2:$K$571))</f>
        <v>1</v>
      </c>
      <c r="C352" cm="1">
        <f t="array" ref="C352">SUMPRODUCT((Task_Table1!$C$2:$C$568=$C$1)*(A352&gt;Task_Table1!$J$2:$J$568)*(A352&lt;Task_Table1!$K$2:$K$568))</f>
        <v>8</v>
      </c>
      <c r="D352" cm="1">
        <f t="array" ref="D352">SUMPRODUCT((Task_Table1!$C$2:$C$571=$D$1)*(A352&gt;Task_Table1!$J$2:$J$571)*(A352&lt;Task_Table1!$K$2:$K$571))</f>
        <v>0</v>
      </c>
      <c r="E352" cm="1">
        <f t="array" ref="E352">SUMPRODUCT((Task_Table1!$C$2:$C$571=$E$1)*(A352&gt;Task_Table1!$J$2:$J$571)*(A352&lt;Task_Table1!$K$2:$K$571))</f>
        <v>8</v>
      </c>
    </row>
    <row r="353" spans="1:5">
      <c r="A353" s="5">
        <v>46221</v>
      </c>
      <c r="B353" cm="1">
        <f t="array" ref="B353">SUMPRODUCT((Task_Table1!$C$2:$C$571=$B$1)*(A353&gt;Task_Table1!$J$2:$J$571)*(A353&lt;Task_Table1!$K$2:$K$571))</f>
        <v>1</v>
      </c>
      <c r="C353" cm="1">
        <f t="array" ref="C353">SUMPRODUCT((Task_Table1!$C$2:$C$568=$C$1)*(A353&gt;Task_Table1!$J$2:$J$568)*(A353&lt;Task_Table1!$K$2:$K$568))</f>
        <v>8</v>
      </c>
      <c r="D353" cm="1">
        <f t="array" ref="D353">SUMPRODUCT((Task_Table1!$C$2:$C$571=$D$1)*(A353&gt;Task_Table1!$J$2:$J$571)*(A353&lt;Task_Table1!$K$2:$K$571))</f>
        <v>0</v>
      </c>
      <c r="E353" cm="1">
        <f t="array" ref="E353">SUMPRODUCT((Task_Table1!$C$2:$C$571=$E$1)*(A353&gt;Task_Table1!$J$2:$J$571)*(A353&lt;Task_Table1!$K$2:$K$571))</f>
        <v>8</v>
      </c>
    </row>
    <row r="354" spans="1:5">
      <c r="A354" s="5">
        <v>46222</v>
      </c>
      <c r="B354" cm="1">
        <f t="array" ref="B354">SUMPRODUCT((Task_Table1!$C$2:$C$571=$B$1)*(A354&gt;Task_Table1!$J$2:$J$571)*(A354&lt;Task_Table1!$K$2:$K$571))</f>
        <v>1</v>
      </c>
      <c r="C354" cm="1">
        <f t="array" ref="C354">SUMPRODUCT((Task_Table1!$C$2:$C$568=$C$1)*(A354&gt;Task_Table1!$J$2:$J$568)*(A354&lt;Task_Table1!$K$2:$K$568))</f>
        <v>8</v>
      </c>
      <c r="D354" cm="1">
        <f t="array" ref="D354">SUMPRODUCT((Task_Table1!$C$2:$C$571=$D$1)*(A354&gt;Task_Table1!$J$2:$J$571)*(A354&lt;Task_Table1!$K$2:$K$571))</f>
        <v>0</v>
      </c>
      <c r="E354" cm="1">
        <f t="array" ref="E354">SUMPRODUCT((Task_Table1!$C$2:$C$571=$E$1)*(A354&gt;Task_Table1!$J$2:$J$571)*(A354&lt;Task_Table1!$K$2:$K$571))</f>
        <v>8</v>
      </c>
    </row>
    <row r="355" spans="1:5">
      <c r="A355" s="5">
        <v>46223</v>
      </c>
      <c r="B355" cm="1">
        <f t="array" ref="B355">SUMPRODUCT((Task_Table1!$C$2:$C$571=$B$1)*(A355&gt;Task_Table1!$J$2:$J$571)*(A355&lt;Task_Table1!$K$2:$K$571))</f>
        <v>1</v>
      </c>
      <c r="C355" cm="1">
        <f t="array" ref="C355">SUMPRODUCT((Task_Table1!$C$2:$C$568=$C$1)*(A355&gt;Task_Table1!$J$2:$J$568)*(A355&lt;Task_Table1!$K$2:$K$568))</f>
        <v>8</v>
      </c>
      <c r="D355" cm="1">
        <f t="array" ref="D355">SUMPRODUCT((Task_Table1!$C$2:$C$571=$D$1)*(A355&gt;Task_Table1!$J$2:$J$571)*(A355&lt;Task_Table1!$K$2:$K$571))</f>
        <v>0</v>
      </c>
      <c r="E355" cm="1">
        <f t="array" ref="E355">SUMPRODUCT((Task_Table1!$C$2:$C$571=$E$1)*(A355&gt;Task_Table1!$J$2:$J$571)*(A355&lt;Task_Table1!$K$2:$K$571))</f>
        <v>8</v>
      </c>
    </row>
    <row r="356" spans="1:5">
      <c r="A356" s="5">
        <v>46224</v>
      </c>
      <c r="B356" cm="1">
        <f t="array" ref="B356">SUMPRODUCT((Task_Table1!$C$2:$C$571=$B$1)*(A356&gt;Task_Table1!$J$2:$J$571)*(A356&lt;Task_Table1!$K$2:$K$571))</f>
        <v>1</v>
      </c>
      <c r="C356" cm="1">
        <f t="array" ref="C356">SUMPRODUCT((Task_Table1!$C$2:$C$568=$C$1)*(A356&gt;Task_Table1!$J$2:$J$568)*(A356&lt;Task_Table1!$K$2:$K$568))</f>
        <v>8</v>
      </c>
      <c r="D356" cm="1">
        <f t="array" ref="D356">SUMPRODUCT((Task_Table1!$C$2:$C$571=$D$1)*(A356&gt;Task_Table1!$J$2:$J$571)*(A356&lt;Task_Table1!$K$2:$K$571))</f>
        <v>0</v>
      </c>
      <c r="E356" cm="1">
        <f t="array" ref="E356">SUMPRODUCT((Task_Table1!$C$2:$C$571=$E$1)*(A356&gt;Task_Table1!$J$2:$J$571)*(A356&lt;Task_Table1!$K$2:$K$571))</f>
        <v>8</v>
      </c>
    </row>
    <row r="357" spans="1:5">
      <c r="A357" s="5">
        <v>46225</v>
      </c>
      <c r="B357" cm="1">
        <f t="array" ref="B357">SUMPRODUCT((Task_Table1!$C$2:$C$571=$B$1)*(A357&gt;Task_Table1!$J$2:$J$571)*(A357&lt;Task_Table1!$K$2:$K$571))</f>
        <v>1</v>
      </c>
      <c r="C357" cm="1">
        <f t="array" ref="C357">SUMPRODUCT((Task_Table1!$C$2:$C$568=$C$1)*(A357&gt;Task_Table1!$J$2:$J$568)*(A357&lt;Task_Table1!$K$2:$K$568))</f>
        <v>8</v>
      </c>
      <c r="D357" cm="1">
        <f t="array" ref="D357">SUMPRODUCT((Task_Table1!$C$2:$C$571=$D$1)*(A357&gt;Task_Table1!$J$2:$J$571)*(A357&lt;Task_Table1!$K$2:$K$571))</f>
        <v>0</v>
      </c>
      <c r="E357" cm="1">
        <f t="array" ref="E357">SUMPRODUCT((Task_Table1!$C$2:$C$571=$E$1)*(A357&gt;Task_Table1!$J$2:$J$571)*(A357&lt;Task_Table1!$K$2:$K$571))</f>
        <v>8</v>
      </c>
    </row>
    <row r="358" spans="1:5">
      <c r="A358" s="5">
        <v>46226</v>
      </c>
      <c r="B358" cm="1">
        <f t="array" ref="B358">SUMPRODUCT((Task_Table1!$C$2:$C$571=$B$1)*(A358&gt;Task_Table1!$J$2:$J$571)*(A358&lt;Task_Table1!$K$2:$K$571))</f>
        <v>1</v>
      </c>
      <c r="C358" cm="1">
        <f t="array" ref="C358">SUMPRODUCT((Task_Table1!$C$2:$C$568=$C$1)*(A358&gt;Task_Table1!$J$2:$J$568)*(A358&lt;Task_Table1!$K$2:$K$568))</f>
        <v>8</v>
      </c>
      <c r="D358" cm="1">
        <f t="array" ref="D358">SUMPRODUCT((Task_Table1!$C$2:$C$571=$D$1)*(A358&gt;Task_Table1!$J$2:$J$571)*(A358&lt;Task_Table1!$K$2:$K$571))</f>
        <v>0</v>
      </c>
      <c r="E358" cm="1">
        <f t="array" ref="E358">SUMPRODUCT((Task_Table1!$C$2:$C$571=$E$1)*(A358&gt;Task_Table1!$J$2:$J$571)*(A358&lt;Task_Table1!$K$2:$K$571))</f>
        <v>8</v>
      </c>
    </row>
    <row r="359" spans="1:5">
      <c r="A359" s="5">
        <v>46227</v>
      </c>
      <c r="B359" cm="1">
        <f t="array" ref="B359">SUMPRODUCT((Task_Table1!$C$2:$C$571=$B$1)*(A359&gt;Task_Table1!$J$2:$J$571)*(A359&lt;Task_Table1!$K$2:$K$571))</f>
        <v>1</v>
      </c>
      <c r="C359" cm="1">
        <f t="array" ref="C359">SUMPRODUCT((Task_Table1!$C$2:$C$568=$C$1)*(A359&gt;Task_Table1!$J$2:$J$568)*(A359&lt;Task_Table1!$K$2:$K$568))</f>
        <v>8</v>
      </c>
      <c r="D359" cm="1">
        <f t="array" ref="D359">SUMPRODUCT((Task_Table1!$C$2:$C$571=$D$1)*(A359&gt;Task_Table1!$J$2:$J$571)*(A359&lt;Task_Table1!$K$2:$K$571))</f>
        <v>0</v>
      </c>
      <c r="E359" cm="1">
        <f t="array" ref="E359">SUMPRODUCT((Task_Table1!$C$2:$C$571=$E$1)*(A359&gt;Task_Table1!$J$2:$J$571)*(A359&lt;Task_Table1!$K$2:$K$571))</f>
        <v>8</v>
      </c>
    </row>
    <row r="360" spans="1:5">
      <c r="A360" s="5">
        <v>46228</v>
      </c>
      <c r="B360" cm="1">
        <f t="array" ref="B360">SUMPRODUCT((Task_Table1!$C$2:$C$571=$B$1)*(A360&gt;Task_Table1!$J$2:$J$571)*(A360&lt;Task_Table1!$K$2:$K$571))</f>
        <v>1</v>
      </c>
      <c r="C360" cm="1">
        <f t="array" ref="C360">SUMPRODUCT((Task_Table1!$C$2:$C$568=$C$1)*(A360&gt;Task_Table1!$J$2:$J$568)*(A360&lt;Task_Table1!$K$2:$K$568))</f>
        <v>8</v>
      </c>
      <c r="D360" cm="1">
        <f t="array" ref="D360">SUMPRODUCT((Task_Table1!$C$2:$C$571=$D$1)*(A360&gt;Task_Table1!$J$2:$J$571)*(A360&lt;Task_Table1!$K$2:$K$571))</f>
        <v>0</v>
      </c>
      <c r="E360" cm="1">
        <f t="array" ref="E360">SUMPRODUCT((Task_Table1!$C$2:$C$571=$E$1)*(A360&gt;Task_Table1!$J$2:$J$571)*(A360&lt;Task_Table1!$K$2:$K$571))</f>
        <v>8</v>
      </c>
    </row>
    <row r="361" spans="1:5">
      <c r="A361" s="5">
        <v>46229</v>
      </c>
      <c r="B361" cm="1">
        <f t="array" ref="B361">SUMPRODUCT((Task_Table1!$C$2:$C$571=$B$1)*(A361&gt;Task_Table1!$J$2:$J$571)*(A361&lt;Task_Table1!$K$2:$K$571))</f>
        <v>1</v>
      </c>
      <c r="C361" cm="1">
        <f t="array" ref="C361">SUMPRODUCT((Task_Table1!$C$2:$C$568=$C$1)*(A361&gt;Task_Table1!$J$2:$J$568)*(A361&lt;Task_Table1!$K$2:$K$568))</f>
        <v>8</v>
      </c>
      <c r="D361" cm="1">
        <f t="array" ref="D361">SUMPRODUCT((Task_Table1!$C$2:$C$571=$D$1)*(A361&gt;Task_Table1!$J$2:$J$571)*(A361&lt;Task_Table1!$K$2:$K$571))</f>
        <v>0</v>
      </c>
      <c r="E361" cm="1">
        <f t="array" ref="E361">SUMPRODUCT((Task_Table1!$C$2:$C$571=$E$1)*(A361&gt;Task_Table1!$J$2:$J$571)*(A361&lt;Task_Table1!$K$2:$K$571))</f>
        <v>8</v>
      </c>
    </row>
    <row r="362" spans="1:5">
      <c r="A362" s="5">
        <v>46230</v>
      </c>
      <c r="B362" cm="1">
        <f t="array" ref="B362">SUMPRODUCT((Task_Table1!$C$2:$C$571=$B$1)*(A362&gt;Task_Table1!$J$2:$J$571)*(A362&lt;Task_Table1!$K$2:$K$571))</f>
        <v>1</v>
      </c>
      <c r="C362" cm="1">
        <f t="array" ref="C362">SUMPRODUCT((Task_Table1!$C$2:$C$568=$C$1)*(A362&gt;Task_Table1!$J$2:$J$568)*(A362&lt;Task_Table1!$K$2:$K$568))</f>
        <v>8</v>
      </c>
      <c r="D362" cm="1">
        <f t="array" ref="D362">SUMPRODUCT((Task_Table1!$C$2:$C$571=$D$1)*(A362&gt;Task_Table1!$J$2:$J$571)*(A362&lt;Task_Table1!$K$2:$K$571))</f>
        <v>0</v>
      </c>
      <c r="E362" cm="1">
        <f t="array" ref="E362">SUMPRODUCT((Task_Table1!$C$2:$C$571=$E$1)*(A362&gt;Task_Table1!$J$2:$J$571)*(A362&lt;Task_Table1!$K$2:$K$571))</f>
        <v>8</v>
      </c>
    </row>
    <row r="363" spans="1:5">
      <c r="A363" s="5">
        <v>46231</v>
      </c>
      <c r="B363" cm="1">
        <f t="array" ref="B363">SUMPRODUCT((Task_Table1!$C$2:$C$571=$B$1)*(A363&gt;Task_Table1!$J$2:$J$571)*(A363&lt;Task_Table1!$K$2:$K$571))</f>
        <v>1</v>
      </c>
      <c r="C363" cm="1">
        <f t="array" ref="C363">SUMPRODUCT((Task_Table1!$C$2:$C$568=$C$1)*(A363&gt;Task_Table1!$J$2:$J$568)*(A363&lt;Task_Table1!$K$2:$K$568))</f>
        <v>8</v>
      </c>
      <c r="D363" cm="1">
        <f t="array" ref="D363">SUMPRODUCT((Task_Table1!$C$2:$C$571=$D$1)*(A363&gt;Task_Table1!$J$2:$J$571)*(A363&lt;Task_Table1!$K$2:$K$571))</f>
        <v>0</v>
      </c>
      <c r="E363" cm="1">
        <f t="array" ref="E363">SUMPRODUCT((Task_Table1!$C$2:$C$571=$E$1)*(A363&gt;Task_Table1!$J$2:$J$571)*(A363&lt;Task_Table1!$K$2:$K$571))</f>
        <v>8</v>
      </c>
    </row>
    <row r="364" spans="1:5">
      <c r="A364" s="5">
        <v>46232</v>
      </c>
      <c r="B364" cm="1">
        <f t="array" ref="B364">SUMPRODUCT((Task_Table1!$C$2:$C$571=$B$1)*(A364&gt;Task_Table1!$J$2:$J$571)*(A364&lt;Task_Table1!$K$2:$K$571))</f>
        <v>1</v>
      </c>
      <c r="C364" cm="1">
        <f t="array" ref="C364">SUMPRODUCT((Task_Table1!$C$2:$C$568=$C$1)*(A364&gt;Task_Table1!$J$2:$J$568)*(A364&lt;Task_Table1!$K$2:$K$568))</f>
        <v>8</v>
      </c>
      <c r="D364" cm="1">
        <f t="array" ref="D364">SUMPRODUCT((Task_Table1!$C$2:$C$571=$D$1)*(A364&gt;Task_Table1!$J$2:$J$571)*(A364&lt;Task_Table1!$K$2:$K$571))</f>
        <v>0</v>
      </c>
      <c r="E364" cm="1">
        <f t="array" ref="E364">SUMPRODUCT((Task_Table1!$C$2:$C$571=$E$1)*(A364&gt;Task_Table1!$J$2:$J$571)*(A364&lt;Task_Table1!$K$2:$K$571))</f>
        <v>8</v>
      </c>
    </row>
    <row r="365" spans="1:5">
      <c r="A365" s="5">
        <v>46233</v>
      </c>
      <c r="B365" cm="1">
        <f t="array" ref="B365">SUMPRODUCT((Task_Table1!$C$2:$C$571=$B$1)*(A365&gt;Task_Table1!$J$2:$J$571)*(A365&lt;Task_Table1!$K$2:$K$571))</f>
        <v>1</v>
      </c>
      <c r="C365" cm="1">
        <f t="array" ref="C365">SUMPRODUCT((Task_Table1!$C$2:$C$568=$C$1)*(A365&gt;Task_Table1!$J$2:$J$568)*(A365&lt;Task_Table1!$K$2:$K$568))</f>
        <v>8</v>
      </c>
      <c r="D365" cm="1">
        <f t="array" ref="D365">SUMPRODUCT((Task_Table1!$C$2:$C$571=$D$1)*(A365&gt;Task_Table1!$J$2:$J$571)*(A365&lt;Task_Table1!$K$2:$K$571))</f>
        <v>0</v>
      </c>
      <c r="E365" cm="1">
        <f t="array" ref="E365">SUMPRODUCT((Task_Table1!$C$2:$C$571=$E$1)*(A365&gt;Task_Table1!$J$2:$J$571)*(A365&lt;Task_Table1!$K$2:$K$571))</f>
        <v>8</v>
      </c>
    </row>
    <row r="366" spans="1:5">
      <c r="A366" s="5">
        <v>46234</v>
      </c>
      <c r="B366" cm="1">
        <f t="array" ref="B366">SUMPRODUCT((Task_Table1!$C$2:$C$571=$B$1)*(A366&gt;Task_Table1!$J$2:$J$571)*(A366&lt;Task_Table1!$K$2:$K$571))</f>
        <v>1</v>
      </c>
      <c r="C366" cm="1">
        <f t="array" ref="C366">SUMPRODUCT((Task_Table1!$C$2:$C$568=$C$1)*(A366&gt;Task_Table1!$J$2:$J$568)*(A366&lt;Task_Table1!$K$2:$K$568))</f>
        <v>8</v>
      </c>
      <c r="D366" cm="1">
        <f t="array" ref="D366">SUMPRODUCT((Task_Table1!$C$2:$C$571=$D$1)*(A366&gt;Task_Table1!$J$2:$J$571)*(A366&lt;Task_Table1!$K$2:$K$571))</f>
        <v>0</v>
      </c>
      <c r="E366" cm="1">
        <f t="array" ref="E366">SUMPRODUCT((Task_Table1!$C$2:$C$571=$E$1)*(A366&gt;Task_Table1!$J$2:$J$571)*(A366&lt;Task_Table1!$K$2:$K$571))</f>
        <v>8</v>
      </c>
    </row>
    <row r="367" spans="1:5">
      <c r="A367" s="5">
        <v>46235</v>
      </c>
      <c r="B367" cm="1">
        <f t="array" ref="B367">SUMPRODUCT((Task_Table1!$C$2:$C$571=$B$1)*(A367&gt;Task_Table1!$J$2:$J$571)*(A367&lt;Task_Table1!$K$2:$K$571))</f>
        <v>1</v>
      </c>
      <c r="C367" cm="1">
        <f t="array" ref="C367">SUMPRODUCT((Task_Table1!$C$2:$C$568=$C$1)*(A367&gt;Task_Table1!$J$2:$J$568)*(A367&lt;Task_Table1!$K$2:$K$568))</f>
        <v>8</v>
      </c>
      <c r="D367" cm="1">
        <f t="array" ref="D367">SUMPRODUCT((Task_Table1!$C$2:$C$571=$D$1)*(A367&gt;Task_Table1!$J$2:$J$571)*(A367&lt;Task_Table1!$K$2:$K$571))</f>
        <v>0</v>
      </c>
      <c r="E367" cm="1">
        <f t="array" ref="E367">SUMPRODUCT((Task_Table1!$C$2:$C$571=$E$1)*(A367&gt;Task_Table1!$J$2:$J$571)*(A367&lt;Task_Table1!$K$2:$K$571))</f>
        <v>8</v>
      </c>
    </row>
    <row r="368" spans="1:5">
      <c r="A368" s="5">
        <v>46236</v>
      </c>
      <c r="B368" cm="1">
        <f t="array" ref="B368">SUMPRODUCT((Task_Table1!$C$2:$C$571=$B$1)*(A368&gt;Task_Table1!$J$2:$J$571)*(A368&lt;Task_Table1!$K$2:$K$571))</f>
        <v>1</v>
      </c>
      <c r="C368" cm="1">
        <f t="array" ref="C368">SUMPRODUCT((Task_Table1!$C$2:$C$568=$C$1)*(A368&gt;Task_Table1!$J$2:$J$568)*(A368&lt;Task_Table1!$K$2:$K$568))</f>
        <v>8</v>
      </c>
      <c r="D368" cm="1">
        <f t="array" ref="D368">SUMPRODUCT((Task_Table1!$C$2:$C$571=$D$1)*(A368&gt;Task_Table1!$J$2:$J$571)*(A368&lt;Task_Table1!$K$2:$K$571))</f>
        <v>0</v>
      </c>
      <c r="E368" cm="1">
        <f t="array" ref="E368">SUMPRODUCT((Task_Table1!$C$2:$C$571=$E$1)*(A368&gt;Task_Table1!$J$2:$J$571)*(A368&lt;Task_Table1!$K$2:$K$571))</f>
        <v>8</v>
      </c>
    </row>
    <row r="369" spans="1:5">
      <c r="A369" s="5">
        <v>46237</v>
      </c>
      <c r="B369" cm="1">
        <f t="array" ref="B369">SUMPRODUCT((Task_Table1!$C$2:$C$571=$B$1)*(A369&gt;Task_Table1!$J$2:$J$571)*(A369&lt;Task_Table1!$K$2:$K$571))</f>
        <v>1</v>
      </c>
      <c r="C369" cm="1">
        <f t="array" ref="C369">SUMPRODUCT((Task_Table1!$C$2:$C$568=$C$1)*(A369&gt;Task_Table1!$J$2:$J$568)*(A369&lt;Task_Table1!$K$2:$K$568))</f>
        <v>8</v>
      </c>
      <c r="D369" cm="1">
        <f t="array" ref="D369">SUMPRODUCT((Task_Table1!$C$2:$C$571=$D$1)*(A369&gt;Task_Table1!$J$2:$J$571)*(A369&lt;Task_Table1!$K$2:$K$571))</f>
        <v>0</v>
      </c>
      <c r="E369" cm="1">
        <f t="array" ref="E369">SUMPRODUCT((Task_Table1!$C$2:$C$571=$E$1)*(A369&gt;Task_Table1!$J$2:$J$571)*(A369&lt;Task_Table1!$K$2:$K$571))</f>
        <v>8</v>
      </c>
    </row>
    <row r="370" spans="1:5">
      <c r="A370" s="5">
        <v>46238</v>
      </c>
      <c r="B370" cm="1">
        <f t="array" ref="B370">SUMPRODUCT((Task_Table1!$C$2:$C$571=$B$1)*(A370&gt;Task_Table1!$J$2:$J$571)*(A370&lt;Task_Table1!$K$2:$K$571))</f>
        <v>1</v>
      </c>
      <c r="C370" cm="1">
        <f t="array" ref="C370">SUMPRODUCT((Task_Table1!$C$2:$C$568=$C$1)*(A370&gt;Task_Table1!$J$2:$J$568)*(A370&lt;Task_Table1!$K$2:$K$568))</f>
        <v>8</v>
      </c>
      <c r="D370" cm="1">
        <f t="array" ref="D370">SUMPRODUCT((Task_Table1!$C$2:$C$571=$D$1)*(A370&gt;Task_Table1!$J$2:$J$571)*(A370&lt;Task_Table1!$K$2:$K$571))</f>
        <v>0</v>
      </c>
      <c r="E370" cm="1">
        <f t="array" ref="E370">SUMPRODUCT((Task_Table1!$C$2:$C$571=$E$1)*(A370&gt;Task_Table1!$J$2:$J$571)*(A370&lt;Task_Table1!$K$2:$K$571))</f>
        <v>8</v>
      </c>
    </row>
    <row r="371" spans="1:5">
      <c r="A371" s="5">
        <v>46239</v>
      </c>
      <c r="B371" cm="1">
        <f t="array" ref="B371">SUMPRODUCT((Task_Table1!$C$2:$C$571=$B$1)*(A371&gt;Task_Table1!$J$2:$J$571)*(A371&lt;Task_Table1!$K$2:$K$571))</f>
        <v>1</v>
      </c>
      <c r="C371" cm="1">
        <f t="array" ref="C371">SUMPRODUCT((Task_Table1!$C$2:$C$568=$C$1)*(A371&gt;Task_Table1!$J$2:$J$568)*(A371&lt;Task_Table1!$K$2:$K$568))</f>
        <v>8</v>
      </c>
      <c r="D371" cm="1">
        <f t="array" ref="D371">SUMPRODUCT((Task_Table1!$C$2:$C$571=$D$1)*(A371&gt;Task_Table1!$J$2:$J$571)*(A371&lt;Task_Table1!$K$2:$K$571))</f>
        <v>0</v>
      </c>
      <c r="E371" cm="1">
        <f t="array" ref="E371">SUMPRODUCT((Task_Table1!$C$2:$C$571=$E$1)*(A371&gt;Task_Table1!$J$2:$J$571)*(A371&lt;Task_Table1!$K$2:$K$571))</f>
        <v>8</v>
      </c>
    </row>
    <row r="372" spans="1:5">
      <c r="A372" s="5">
        <v>46240</v>
      </c>
      <c r="B372" cm="1">
        <f t="array" ref="B372">SUMPRODUCT((Task_Table1!$C$2:$C$571=$B$1)*(A372&gt;Task_Table1!$J$2:$J$571)*(A372&lt;Task_Table1!$K$2:$K$571))</f>
        <v>1</v>
      </c>
      <c r="C372" cm="1">
        <f t="array" ref="C372">SUMPRODUCT((Task_Table1!$C$2:$C$568=$C$1)*(A372&gt;Task_Table1!$J$2:$J$568)*(A372&lt;Task_Table1!$K$2:$K$568))</f>
        <v>8</v>
      </c>
      <c r="D372" cm="1">
        <f t="array" ref="D372">SUMPRODUCT((Task_Table1!$C$2:$C$571=$D$1)*(A372&gt;Task_Table1!$J$2:$J$571)*(A372&lt;Task_Table1!$K$2:$K$571))</f>
        <v>0</v>
      </c>
      <c r="E372" cm="1">
        <f t="array" ref="E372">SUMPRODUCT((Task_Table1!$C$2:$C$571=$E$1)*(A372&gt;Task_Table1!$J$2:$J$571)*(A372&lt;Task_Table1!$K$2:$K$571))</f>
        <v>8</v>
      </c>
    </row>
    <row r="373" spans="1:5">
      <c r="A373" s="5">
        <v>46241</v>
      </c>
      <c r="B373" cm="1">
        <f t="array" ref="B373">SUMPRODUCT((Task_Table1!$C$2:$C$571=$B$1)*(A373&gt;Task_Table1!$J$2:$J$571)*(A373&lt;Task_Table1!$K$2:$K$571))</f>
        <v>1</v>
      </c>
      <c r="C373" cm="1">
        <f t="array" ref="C373">SUMPRODUCT((Task_Table1!$C$2:$C$568=$C$1)*(A373&gt;Task_Table1!$J$2:$J$568)*(A373&lt;Task_Table1!$K$2:$K$568))</f>
        <v>8</v>
      </c>
      <c r="D373" cm="1">
        <f t="array" ref="D373">SUMPRODUCT((Task_Table1!$C$2:$C$571=$D$1)*(A373&gt;Task_Table1!$J$2:$J$571)*(A373&lt;Task_Table1!$K$2:$K$571))</f>
        <v>0</v>
      </c>
      <c r="E373" cm="1">
        <f t="array" ref="E373">SUMPRODUCT((Task_Table1!$C$2:$C$571=$E$1)*(A373&gt;Task_Table1!$J$2:$J$571)*(A373&lt;Task_Table1!$K$2:$K$571))</f>
        <v>8</v>
      </c>
    </row>
    <row r="374" spans="1:5">
      <c r="A374" s="5">
        <v>46242</v>
      </c>
      <c r="B374" cm="1">
        <f t="array" ref="B374">SUMPRODUCT((Task_Table1!$C$2:$C$571=$B$1)*(A374&gt;Task_Table1!$J$2:$J$571)*(A374&lt;Task_Table1!$K$2:$K$571))</f>
        <v>1</v>
      </c>
      <c r="C374" cm="1">
        <f t="array" ref="C374">SUMPRODUCT((Task_Table1!$C$2:$C$568=$C$1)*(A374&gt;Task_Table1!$J$2:$J$568)*(A374&lt;Task_Table1!$K$2:$K$568))</f>
        <v>8</v>
      </c>
      <c r="D374" cm="1">
        <f t="array" ref="D374">SUMPRODUCT((Task_Table1!$C$2:$C$571=$D$1)*(A374&gt;Task_Table1!$J$2:$J$571)*(A374&lt;Task_Table1!$K$2:$K$571))</f>
        <v>0</v>
      </c>
      <c r="E374" cm="1">
        <f t="array" ref="E374">SUMPRODUCT((Task_Table1!$C$2:$C$571=$E$1)*(A374&gt;Task_Table1!$J$2:$J$571)*(A374&lt;Task_Table1!$K$2:$K$571))</f>
        <v>8</v>
      </c>
    </row>
    <row r="375" spans="1:5">
      <c r="A375" s="5">
        <v>46243</v>
      </c>
      <c r="B375" cm="1">
        <f t="array" ref="B375">SUMPRODUCT((Task_Table1!$C$2:$C$571=$B$1)*(A375&gt;Task_Table1!$J$2:$J$571)*(A375&lt;Task_Table1!$K$2:$K$571))</f>
        <v>1</v>
      </c>
      <c r="C375" cm="1">
        <f t="array" ref="C375">SUMPRODUCT((Task_Table1!$C$2:$C$568=$C$1)*(A375&gt;Task_Table1!$J$2:$J$568)*(A375&lt;Task_Table1!$K$2:$K$568))</f>
        <v>8</v>
      </c>
      <c r="D375" cm="1">
        <f t="array" ref="D375">SUMPRODUCT((Task_Table1!$C$2:$C$571=$D$1)*(A375&gt;Task_Table1!$J$2:$J$571)*(A375&lt;Task_Table1!$K$2:$K$571))</f>
        <v>0</v>
      </c>
      <c r="E375" cm="1">
        <f t="array" ref="E375">SUMPRODUCT((Task_Table1!$C$2:$C$571=$E$1)*(A375&gt;Task_Table1!$J$2:$J$571)*(A375&lt;Task_Table1!$K$2:$K$571))</f>
        <v>8</v>
      </c>
    </row>
    <row r="376" spans="1:5">
      <c r="A376" s="5">
        <v>46244</v>
      </c>
      <c r="B376" cm="1">
        <f t="array" ref="B376">SUMPRODUCT((Task_Table1!$C$2:$C$571=$B$1)*(A376&gt;Task_Table1!$J$2:$J$571)*(A376&lt;Task_Table1!$K$2:$K$571))</f>
        <v>1</v>
      </c>
      <c r="C376" cm="1">
        <f t="array" ref="C376">SUMPRODUCT((Task_Table1!$C$2:$C$568=$C$1)*(A376&gt;Task_Table1!$J$2:$J$568)*(A376&lt;Task_Table1!$K$2:$K$568))</f>
        <v>8</v>
      </c>
      <c r="D376" cm="1">
        <f t="array" ref="D376">SUMPRODUCT((Task_Table1!$C$2:$C$571=$D$1)*(A376&gt;Task_Table1!$J$2:$J$571)*(A376&lt;Task_Table1!$K$2:$K$571))</f>
        <v>0</v>
      </c>
      <c r="E376" cm="1">
        <f t="array" ref="E376">SUMPRODUCT((Task_Table1!$C$2:$C$571=$E$1)*(A376&gt;Task_Table1!$J$2:$J$571)*(A376&lt;Task_Table1!$K$2:$K$571))</f>
        <v>8</v>
      </c>
    </row>
    <row r="377" spans="1:5">
      <c r="A377" s="5">
        <v>46245</v>
      </c>
      <c r="B377" cm="1">
        <f t="array" ref="B377">SUMPRODUCT((Task_Table1!$C$2:$C$571=$B$1)*(A377&gt;Task_Table1!$J$2:$J$571)*(A377&lt;Task_Table1!$K$2:$K$571))</f>
        <v>1</v>
      </c>
      <c r="C377" cm="1">
        <f t="array" ref="C377">SUMPRODUCT((Task_Table1!$C$2:$C$568=$C$1)*(A377&gt;Task_Table1!$J$2:$J$568)*(A377&lt;Task_Table1!$K$2:$K$568))</f>
        <v>8</v>
      </c>
      <c r="D377" cm="1">
        <f t="array" ref="D377">SUMPRODUCT((Task_Table1!$C$2:$C$571=$D$1)*(A377&gt;Task_Table1!$J$2:$J$571)*(A377&lt;Task_Table1!$K$2:$K$571))</f>
        <v>0</v>
      </c>
      <c r="E377" cm="1">
        <f t="array" ref="E377">SUMPRODUCT((Task_Table1!$C$2:$C$571=$E$1)*(A377&gt;Task_Table1!$J$2:$J$571)*(A377&lt;Task_Table1!$K$2:$K$571))</f>
        <v>8</v>
      </c>
    </row>
    <row r="378" spans="1:5">
      <c r="A378" s="5">
        <v>46246</v>
      </c>
      <c r="B378" cm="1">
        <f t="array" ref="B378">SUMPRODUCT((Task_Table1!$C$2:$C$571=$B$1)*(A378&gt;Task_Table1!$J$2:$J$571)*(A378&lt;Task_Table1!$K$2:$K$571))</f>
        <v>1</v>
      </c>
      <c r="C378" cm="1">
        <f t="array" ref="C378">SUMPRODUCT((Task_Table1!$C$2:$C$568=$C$1)*(A378&gt;Task_Table1!$J$2:$J$568)*(A378&lt;Task_Table1!$K$2:$K$568))</f>
        <v>8</v>
      </c>
      <c r="D378" cm="1">
        <f t="array" ref="D378">SUMPRODUCT((Task_Table1!$C$2:$C$571=$D$1)*(A378&gt;Task_Table1!$J$2:$J$571)*(A378&lt;Task_Table1!$K$2:$K$571))</f>
        <v>0</v>
      </c>
      <c r="E378" cm="1">
        <f t="array" ref="E378">SUMPRODUCT((Task_Table1!$C$2:$C$571=$E$1)*(A378&gt;Task_Table1!$J$2:$J$571)*(A378&lt;Task_Table1!$K$2:$K$571))</f>
        <v>8</v>
      </c>
    </row>
    <row r="379" spans="1:5">
      <c r="A379" s="5">
        <v>46247</v>
      </c>
      <c r="B379" cm="1">
        <f t="array" ref="B379">SUMPRODUCT((Task_Table1!$C$2:$C$571=$B$1)*(A379&gt;Task_Table1!$J$2:$J$571)*(A379&lt;Task_Table1!$K$2:$K$571))</f>
        <v>1</v>
      </c>
      <c r="C379" cm="1">
        <f t="array" ref="C379">SUMPRODUCT((Task_Table1!$C$2:$C$568=$C$1)*(A379&gt;Task_Table1!$J$2:$J$568)*(A379&lt;Task_Table1!$K$2:$K$568))</f>
        <v>8</v>
      </c>
      <c r="D379" cm="1">
        <f t="array" ref="D379">SUMPRODUCT((Task_Table1!$C$2:$C$571=$D$1)*(A379&gt;Task_Table1!$J$2:$J$571)*(A379&lt;Task_Table1!$K$2:$K$571))</f>
        <v>0</v>
      </c>
      <c r="E379" cm="1">
        <f t="array" ref="E379">SUMPRODUCT((Task_Table1!$C$2:$C$571=$E$1)*(A379&gt;Task_Table1!$J$2:$J$571)*(A379&lt;Task_Table1!$K$2:$K$571))</f>
        <v>8</v>
      </c>
    </row>
    <row r="380" spans="1:5">
      <c r="A380" s="5">
        <v>46248</v>
      </c>
      <c r="B380" cm="1">
        <f t="array" ref="B380">SUMPRODUCT((Task_Table1!$C$2:$C$571=$B$1)*(A380&gt;Task_Table1!$J$2:$J$571)*(A380&lt;Task_Table1!$K$2:$K$571))</f>
        <v>1</v>
      </c>
      <c r="C380" cm="1">
        <f t="array" ref="C380">SUMPRODUCT((Task_Table1!$C$2:$C$568=$C$1)*(A380&gt;Task_Table1!$J$2:$J$568)*(A380&lt;Task_Table1!$K$2:$K$568))</f>
        <v>7</v>
      </c>
      <c r="D380" cm="1">
        <f t="array" ref="D380">SUMPRODUCT((Task_Table1!$C$2:$C$571=$D$1)*(A380&gt;Task_Table1!$J$2:$J$571)*(A380&lt;Task_Table1!$K$2:$K$571))</f>
        <v>0</v>
      </c>
      <c r="E380" cm="1">
        <f t="array" ref="E380">SUMPRODUCT((Task_Table1!$C$2:$C$571=$E$1)*(A380&gt;Task_Table1!$J$2:$J$571)*(A380&lt;Task_Table1!$K$2:$K$571))</f>
        <v>8</v>
      </c>
    </row>
    <row r="381" spans="1:5">
      <c r="A381" s="5">
        <v>46249</v>
      </c>
      <c r="B381" cm="1">
        <f t="array" ref="B381">SUMPRODUCT((Task_Table1!$C$2:$C$571=$B$1)*(A381&gt;Task_Table1!$J$2:$J$571)*(A381&lt;Task_Table1!$K$2:$K$571))</f>
        <v>1</v>
      </c>
      <c r="C381" cm="1">
        <f t="array" ref="C381">SUMPRODUCT((Task_Table1!$C$2:$C$568=$C$1)*(A381&gt;Task_Table1!$J$2:$J$568)*(A381&lt;Task_Table1!$K$2:$K$568))</f>
        <v>7</v>
      </c>
      <c r="D381" cm="1">
        <f t="array" ref="D381">SUMPRODUCT((Task_Table1!$C$2:$C$571=$D$1)*(A381&gt;Task_Table1!$J$2:$J$571)*(A381&lt;Task_Table1!$K$2:$K$571))</f>
        <v>0</v>
      </c>
      <c r="E381" cm="1">
        <f t="array" ref="E381">SUMPRODUCT((Task_Table1!$C$2:$C$571=$E$1)*(A381&gt;Task_Table1!$J$2:$J$571)*(A381&lt;Task_Table1!$K$2:$K$571))</f>
        <v>8</v>
      </c>
    </row>
    <row r="382" spans="1:5">
      <c r="A382" s="5">
        <v>46250</v>
      </c>
      <c r="B382" cm="1">
        <f t="array" ref="B382">SUMPRODUCT((Task_Table1!$C$2:$C$571=$B$1)*(A382&gt;Task_Table1!$J$2:$J$571)*(A382&lt;Task_Table1!$K$2:$K$571))</f>
        <v>1</v>
      </c>
      <c r="C382" cm="1">
        <f t="array" ref="C382">SUMPRODUCT((Task_Table1!$C$2:$C$568=$C$1)*(A382&gt;Task_Table1!$J$2:$J$568)*(A382&lt;Task_Table1!$K$2:$K$568))</f>
        <v>7</v>
      </c>
      <c r="D382" cm="1">
        <f t="array" ref="D382">SUMPRODUCT((Task_Table1!$C$2:$C$571=$D$1)*(A382&gt;Task_Table1!$J$2:$J$571)*(A382&lt;Task_Table1!$K$2:$K$571))</f>
        <v>0</v>
      </c>
      <c r="E382" cm="1">
        <f t="array" ref="E382">SUMPRODUCT((Task_Table1!$C$2:$C$571=$E$1)*(A382&gt;Task_Table1!$J$2:$J$571)*(A382&lt;Task_Table1!$K$2:$K$571))</f>
        <v>8</v>
      </c>
    </row>
    <row r="383" spans="1:5">
      <c r="A383" s="5">
        <v>46251</v>
      </c>
      <c r="B383" cm="1">
        <f t="array" ref="B383">SUMPRODUCT((Task_Table1!$C$2:$C$571=$B$1)*(A383&gt;Task_Table1!$J$2:$J$571)*(A383&lt;Task_Table1!$K$2:$K$571))</f>
        <v>1</v>
      </c>
      <c r="C383" cm="1">
        <f t="array" ref="C383">SUMPRODUCT((Task_Table1!$C$2:$C$568=$C$1)*(A383&gt;Task_Table1!$J$2:$J$568)*(A383&lt;Task_Table1!$K$2:$K$568))</f>
        <v>7</v>
      </c>
      <c r="D383" cm="1">
        <f t="array" ref="D383">SUMPRODUCT((Task_Table1!$C$2:$C$571=$D$1)*(A383&gt;Task_Table1!$J$2:$J$571)*(A383&lt;Task_Table1!$K$2:$K$571))</f>
        <v>0</v>
      </c>
      <c r="E383" cm="1">
        <f t="array" ref="E383">SUMPRODUCT((Task_Table1!$C$2:$C$571=$E$1)*(A383&gt;Task_Table1!$J$2:$J$571)*(A383&lt;Task_Table1!$K$2:$K$571))</f>
        <v>8</v>
      </c>
    </row>
    <row r="384" spans="1:5">
      <c r="A384" s="5">
        <v>46252</v>
      </c>
      <c r="B384" cm="1">
        <f t="array" ref="B384">SUMPRODUCT((Task_Table1!$C$2:$C$571=$B$1)*(A384&gt;Task_Table1!$J$2:$J$571)*(A384&lt;Task_Table1!$K$2:$K$571))</f>
        <v>1</v>
      </c>
      <c r="C384" cm="1">
        <f t="array" ref="C384">SUMPRODUCT((Task_Table1!$C$2:$C$568=$C$1)*(A384&gt;Task_Table1!$J$2:$J$568)*(A384&lt;Task_Table1!$K$2:$K$568))</f>
        <v>7</v>
      </c>
      <c r="D384" cm="1">
        <f t="array" ref="D384">SUMPRODUCT((Task_Table1!$C$2:$C$571=$D$1)*(A384&gt;Task_Table1!$J$2:$J$571)*(A384&lt;Task_Table1!$K$2:$K$571))</f>
        <v>0</v>
      </c>
      <c r="E384" cm="1">
        <f t="array" ref="E384">SUMPRODUCT((Task_Table1!$C$2:$C$571=$E$1)*(A384&gt;Task_Table1!$J$2:$J$571)*(A384&lt;Task_Table1!$K$2:$K$571))</f>
        <v>8</v>
      </c>
    </row>
    <row r="385" spans="1:5">
      <c r="A385" s="5">
        <v>46253</v>
      </c>
      <c r="B385" cm="1">
        <f t="array" ref="B385">SUMPRODUCT((Task_Table1!$C$2:$C$571=$B$1)*(A385&gt;Task_Table1!$J$2:$J$571)*(A385&lt;Task_Table1!$K$2:$K$571))</f>
        <v>1</v>
      </c>
      <c r="C385" cm="1">
        <f t="array" ref="C385">SUMPRODUCT((Task_Table1!$C$2:$C$568=$C$1)*(A385&gt;Task_Table1!$J$2:$J$568)*(A385&lt;Task_Table1!$K$2:$K$568))</f>
        <v>7</v>
      </c>
      <c r="D385" cm="1">
        <f t="array" ref="D385">SUMPRODUCT((Task_Table1!$C$2:$C$571=$D$1)*(A385&gt;Task_Table1!$J$2:$J$571)*(A385&lt;Task_Table1!$K$2:$K$571))</f>
        <v>0</v>
      </c>
      <c r="E385" cm="1">
        <f t="array" ref="E385">SUMPRODUCT((Task_Table1!$C$2:$C$571=$E$1)*(A385&gt;Task_Table1!$J$2:$J$571)*(A385&lt;Task_Table1!$K$2:$K$571))</f>
        <v>8</v>
      </c>
    </row>
    <row r="386" spans="1:5">
      <c r="A386" s="5">
        <v>46254</v>
      </c>
      <c r="B386" cm="1">
        <f t="array" ref="B386">SUMPRODUCT((Task_Table1!$C$2:$C$571=$B$1)*(A386&gt;Task_Table1!$J$2:$J$571)*(A386&lt;Task_Table1!$K$2:$K$571))</f>
        <v>1</v>
      </c>
      <c r="C386" cm="1">
        <f t="array" ref="C386">SUMPRODUCT((Task_Table1!$C$2:$C$568=$C$1)*(A386&gt;Task_Table1!$J$2:$J$568)*(A386&lt;Task_Table1!$K$2:$K$568))</f>
        <v>7</v>
      </c>
      <c r="D386" cm="1">
        <f t="array" ref="D386">SUMPRODUCT((Task_Table1!$C$2:$C$571=$D$1)*(A386&gt;Task_Table1!$J$2:$J$571)*(A386&lt;Task_Table1!$K$2:$K$571))</f>
        <v>0</v>
      </c>
      <c r="E386" cm="1">
        <f t="array" ref="E386">SUMPRODUCT((Task_Table1!$C$2:$C$571=$E$1)*(A386&gt;Task_Table1!$J$2:$J$571)*(A386&lt;Task_Table1!$K$2:$K$571))</f>
        <v>8</v>
      </c>
    </row>
    <row r="387" spans="1:5">
      <c r="A387" s="5">
        <v>46255</v>
      </c>
      <c r="B387" cm="1">
        <f t="array" ref="B387">SUMPRODUCT((Task_Table1!$C$2:$C$571=$B$1)*(A387&gt;Task_Table1!$J$2:$J$571)*(A387&lt;Task_Table1!$K$2:$K$571))</f>
        <v>1</v>
      </c>
      <c r="C387" cm="1">
        <f t="array" ref="C387">SUMPRODUCT((Task_Table1!$C$2:$C$568=$C$1)*(A387&gt;Task_Table1!$J$2:$J$568)*(A387&lt;Task_Table1!$K$2:$K$568))</f>
        <v>7</v>
      </c>
      <c r="D387" cm="1">
        <f t="array" ref="D387">SUMPRODUCT((Task_Table1!$C$2:$C$571=$D$1)*(A387&gt;Task_Table1!$J$2:$J$571)*(A387&lt;Task_Table1!$K$2:$K$571))</f>
        <v>0</v>
      </c>
      <c r="E387" cm="1">
        <f t="array" ref="E387">SUMPRODUCT((Task_Table1!$C$2:$C$571=$E$1)*(A387&gt;Task_Table1!$J$2:$J$571)*(A387&lt;Task_Table1!$K$2:$K$571))</f>
        <v>8</v>
      </c>
    </row>
    <row r="388" spans="1:5">
      <c r="A388" s="5">
        <v>46256</v>
      </c>
      <c r="B388" cm="1">
        <f t="array" ref="B388">SUMPRODUCT((Task_Table1!$C$2:$C$571=$B$1)*(A388&gt;Task_Table1!$J$2:$J$571)*(A388&lt;Task_Table1!$K$2:$K$571))</f>
        <v>1</v>
      </c>
      <c r="C388" cm="1">
        <f t="array" ref="C388">SUMPRODUCT((Task_Table1!$C$2:$C$568=$C$1)*(A388&gt;Task_Table1!$J$2:$J$568)*(A388&lt;Task_Table1!$K$2:$K$568))</f>
        <v>7</v>
      </c>
      <c r="D388" cm="1">
        <f t="array" ref="D388">SUMPRODUCT((Task_Table1!$C$2:$C$571=$D$1)*(A388&gt;Task_Table1!$J$2:$J$571)*(A388&lt;Task_Table1!$K$2:$K$571))</f>
        <v>0</v>
      </c>
      <c r="E388" cm="1">
        <f t="array" ref="E388">SUMPRODUCT((Task_Table1!$C$2:$C$571=$E$1)*(A388&gt;Task_Table1!$J$2:$J$571)*(A388&lt;Task_Table1!$K$2:$K$571))</f>
        <v>8</v>
      </c>
    </row>
    <row r="389" spans="1:5">
      <c r="A389" s="5">
        <v>46257</v>
      </c>
      <c r="B389" cm="1">
        <f t="array" ref="B389">SUMPRODUCT((Task_Table1!$C$2:$C$571=$B$1)*(A389&gt;Task_Table1!$J$2:$J$571)*(A389&lt;Task_Table1!$K$2:$K$571))</f>
        <v>1</v>
      </c>
      <c r="C389" cm="1">
        <f t="array" ref="C389">SUMPRODUCT((Task_Table1!$C$2:$C$568=$C$1)*(A389&gt;Task_Table1!$J$2:$J$568)*(A389&lt;Task_Table1!$K$2:$K$568))</f>
        <v>7</v>
      </c>
      <c r="D389" cm="1">
        <f t="array" ref="D389">SUMPRODUCT((Task_Table1!$C$2:$C$571=$D$1)*(A389&gt;Task_Table1!$J$2:$J$571)*(A389&lt;Task_Table1!$K$2:$K$571))</f>
        <v>0</v>
      </c>
      <c r="E389" cm="1">
        <f t="array" ref="E389">SUMPRODUCT((Task_Table1!$C$2:$C$571=$E$1)*(A389&gt;Task_Table1!$J$2:$J$571)*(A389&lt;Task_Table1!$K$2:$K$571))</f>
        <v>8</v>
      </c>
    </row>
    <row r="390" spans="1:5">
      <c r="A390" s="5">
        <v>46258</v>
      </c>
      <c r="B390" cm="1">
        <f t="array" ref="B390">SUMPRODUCT((Task_Table1!$C$2:$C$571=$B$1)*(A390&gt;Task_Table1!$J$2:$J$571)*(A390&lt;Task_Table1!$K$2:$K$571))</f>
        <v>1</v>
      </c>
      <c r="C390" cm="1">
        <f t="array" ref="C390">SUMPRODUCT((Task_Table1!$C$2:$C$568=$C$1)*(A390&gt;Task_Table1!$J$2:$J$568)*(A390&lt;Task_Table1!$K$2:$K$568))</f>
        <v>7</v>
      </c>
      <c r="D390" cm="1">
        <f t="array" ref="D390">SUMPRODUCT((Task_Table1!$C$2:$C$571=$D$1)*(A390&gt;Task_Table1!$J$2:$J$571)*(A390&lt;Task_Table1!$K$2:$K$571))</f>
        <v>0</v>
      </c>
      <c r="E390" cm="1">
        <f t="array" ref="E390">SUMPRODUCT((Task_Table1!$C$2:$C$571=$E$1)*(A390&gt;Task_Table1!$J$2:$J$571)*(A390&lt;Task_Table1!$K$2:$K$571))</f>
        <v>8</v>
      </c>
    </row>
    <row r="391" spans="1:5">
      <c r="A391" s="5">
        <v>46259</v>
      </c>
      <c r="B391" cm="1">
        <f t="array" ref="B391">SUMPRODUCT((Task_Table1!$C$2:$C$571=$B$1)*(A391&gt;Task_Table1!$J$2:$J$571)*(A391&lt;Task_Table1!$K$2:$K$571))</f>
        <v>1</v>
      </c>
      <c r="C391" cm="1">
        <f t="array" ref="C391">SUMPRODUCT((Task_Table1!$C$2:$C$568=$C$1)*(A391&gt;Task_Table1!$J$2:$J$568)*(A391&lt;Task_Table1!$K$2:$K$568))</f>
        <v>7</v>
      </c>
      <c r="D391" cm="1">
        <f t="array" ref="D391">SUMPRODUCT((Task_Table1!$C$2:$C$571=$D$1)*(A391&gt;Task_Table1!$J$2:$J$571)*(A391&lt;Task_Table1!$K$2:$K$571))</f>
        <v>0</v>
      </c>
      <c r="E391" cm="1">
        <f t="array" ref="E391">SUMPRODUCT((Task_Table1!$C$2:$C$571=$E$1)*(A391&gt;Task_Table1!$J$2:$J$571)*(A391&lt;Task_Table1!$K$2:$K$571))</f>
        <v>8</v>
      </c>
    </row>
    <row r="392" spans="1:5">
      <c r="A392" s="5">
        <v>46260</v>
      </c>
      <c r="B392" cm="1">
        <f t="array" ref="B392">SUMPRODUCT((Task_Table1!$C$2:$C$571=$B$1)*(A392&gt;Task_Table1!$J$2:$J$571)*(A392&lt;Task_Table1!$K$2:$K$571))</f>
        <v>1</v>
      </c>
      <c r="C392" cm="1">
        <f t="array" ref="C392">SUMPRODUCT((Task_Table1!$C$2:$C$568=$C$1)*(A392&gt;Task_Table1!$J$2:$J$568)*(A392&lt;Task_Table1!$K$2:$K$568))</f>
        <v>7</v>
      </c>
      <c r="D392" cm="1">
        <f t="array" ref="D392">SUMPRODUCT((Task_Table1!$C$2:$C$571=$D$1)*(A392&gt;Task_Table1!$J$2:$J$571)*(A392&lt;Task_Table1!$K$2:$K$571))</f>
        <v>0</v>
      </c>
      <c r="E392" cm="1">
        <f t="array" ref="E392">SUMPRODUCT((Task_Table1!$C$2:$C$571=$E$1)*(A392&gt;Task_Table1!$J$2:$J$571)*(A392&lt;Task_Table1!$K$2:$K$571))</f>
        <v>8</v>
      </c>
    </row>
    <row r="393" spans="1:5">
      <c r="A393" s="5">
        <v>46261</v>
      </c>
      <c r="B393" cm="1">
        <f t="array" ref="B393">SUMPRODUCT((Task_Table1!$C$2:$C$571=$B$1)*(A393&gt;Task_Table1!$J$2:$J$571)*(A393&lt;Task_Table1!$K$2:$K$571))</f>
        <v>1</v>
      </c>
      <c r="C393" cm="1">
        <f t="array" ref="C393">SUMPRODUCT((Task_Table1!$C$2:$C$568=$C$1)*(A393&gt;Task_Table1!$J$2:$J$568)*(A393&lt;Task_Table1!$K$2:$K$568))</f>
        <v>7</v>
      </c>
      <c r="D393" cm="1">
        <f t="array" ref="D393">SUMPRODUCT((Task_Table1!$C$2:$C$571=$D$1)*(A393&gt;Task_Table1!$J$2:$J$571)*(A393&lt;Task_Table1!$K$2:$K$571))</f>
        <v>0</v>
      </c>
      <c r="E393" cm="1">
        <f t="array" ref="E393">SUMPRODUCT((Task_Table1!$C$2:$C$571=$E$1)*(A393&gt;Task_Table1!$J$2:$J$571)*(A393&lt;Task_Table1!$K$2:$K$571))</f>
        <v>8</v>
      </c>
    </row>
    <row r="394" spans="1:5">
      <c r="A394" s="5">
        <v>46262</v>
      </c>
      <c r="B394" cm="1">
        <f t="array" ref="B394">SUMPRODUCT((Task_Table1!$C$2:$C$571=$B$1)*(A394&gt;Task_Table1!$J$2:$J$571)*(A394&lt;Task_Table1!$K$2:$K$571))</f>
        <v>1</v>
      </c>
      <c r="C394" cm="1">
        <f t="array" ref="C394">SUMPRODUCT((Task_Table1!$C$2:$C$568=$C$1)*(A394&gt;Task_Table1!$J$2:$J$568)*(A394&lt;Task_Table1!$K$2:$K$568))</f>
        <v>7</v>
      </c>
      <c r="D394" cm="1">
        <f t="array" ref="D394">SUMPRODUCT((Task_Table1!$C$2:$C$571=$D$1)*(A394&gt;Task_Table1!$J$2:$J$571)*(A394&lt;Task_Table1!$K$2:$K$571))</f>
        <v>0</v>
      </c>
      <c r="E394" cm="1">
        <f t="array" ref="E394">SUMPRODUCT((Task_Table1!$C$2:$C$571=$E$1)*(A394&gt;Task_Table1!$J$2:$J$571)*(A394&lt;Task_Table1!$K$2:$K$571))</f>
        <v>8</v>
      </c>
    </row>
    <row r="395" spans="1:5">
      <c r="A395" s="5">
        <v>46263</v>
      </c>
      <c r="B395" cm="1">
        <f t="array" ref="B395">SUMPRODUCT((Task_Table1!$C$2:$C$571=$B$1)*(A395&gt;Task_Table1!$J$2:$J$571)*(A395&lt;Task_Table1!$K$2:$K$571))</f>
        <v>1</v>
      </c>
      <c r="C395" cm="1">
        <f t="array" ref="C395">SUMPRODUCT((Task_Table1!$C$2:$C$568=$C$1)*(A395&gt;Task_Table1!$J$2:$J$568)*(A395&lt;Task_Table1!$K$2:$K$568))</f>
        <v>7</v>
      </c>
      <c r="D395" cm="1">
        <f t="array" ref="D395">SUMPRODUCT((Task_Table1!$C$2:$C$571=$D$1)*(A395&gt;Task_Table1!$J$2:$J$571)*(A395&lt;Task_Table1!$K$2:$K$571))</f>
        <v>0</v>
      </c>
      <c r="E395" cm="1">
        <f t="array" ref="E395">SUMPRODUCT((Task_Table1!$C$2:$C$571=$E$1)*(A395&gt;Task_Table1!$J$2:$J$571)*(A395&lt;Task_Table1!$K$2:$K$571))</f>
        <v>8</v>
      </c>
    </row>
    <row r="396" spans="1:5">
      <c r="A396" s="5">
        <v>46264</v>
      </c>
      <c r="B396" cm="1">
        <f t="array" ref="B396">SUMPRODUCT((Task_Table1!$C$2:$C$571=$B$1)*(A396&gt;Task_Table1!$J$2:$J$571)*(A396&lt;Task_Table1!$K$2:$K$571))</f>
        <v>1</v>
      </c>
      <c r="C396" cm="1">
        <f t="array" ref="C396">SUMPRODUCT((Task_Table1!$C$2:$C$568=$C$1)*(A396&gt;Task_Table1!$J$2:$J$568)*(A396&lt;Task_Table1!$K$2:$K$568))</f>
        <v>7</v>
      </c>
      <c r="D396" cm="1">
        <f t="array" ref="D396">SUMPRODUCT((Task_Table1!$C$2:$C$571=$D$1)*(A396&gt;Task_Table1!$J$2:$J$571)*(A396&lt;Task_Table1!$K$2:$K$571))</f>
        <v>0</v>
      </c>
      <c r="E396" cm="1">
        <f t="array" ref="E396">SUMPRODUCT((Task_Table1!$C$2:$C$571=$E$1)*(A396&gt;Task_Table1!$J$2:$J$571)*(A396&lt;Task_Table1!$K$2:$K$571))</f>
        <v>8</v>
      </c>
    </row>
    <row r="397" spans="1:5">
      <c r="A397" s="5">
        <v>46265</v>
      </c>
      <c r="B397" cm="1">
        <f t="array" ref="B397">SUMPRODUCT((Task_Table1!$C$2:$C$571=$B$1)*(A397&gt;Task_Table1!$J$2:$J$571)*(A397&lt;Task_Table1!$K$2:$K$571))</f>
        <v>1</v>
      </c>
      <c r="C397" cm="1">
        <f t="array" ref="C397">SUMPRODUCT((Task_Table1!$C$2:$C$568=$C$1)*(A397&gt;Task_Table1!$J$2:$J$568)*(A397&lt;Task_Table1!$K$2:$K$568))</f>
        <v>5</v>
      </c>
      <c r="D397" cm="1">
        <f t="array" ref="D397">SUMPRODUCT((Task_Table1!$C$2:$C$571=$D$1)*(A397&gt;Task_Table1!$J$2:$J$571)*(A397&lt;Task_Table1!$K$2:$K$571))</f>
        <v>0</v>
      </c>
      <c r="E397" cm="1">
        <f t="array" ref="E397">SUMPRODUCT((Task_Table1!$C$2:$C$571=$E$1)*(A397&gt;Task_Table1!$J$2:$J$571)*(A397&lt;Task_Table1!$K$2:$K$571))</f>
        <v>8</v>
      </c>
    </row>
    <row r="398" spans="1:5">
      <c r="A398" s="5">
        <v>46266</v>
      </c>
      <c r="B398" cm="1">
        <f t="array" ref="B398">SUMPRODUCT((Task_Table1!$C$2:$C$571=$B$1)*(A398&gt;Task_Table1!$J$2:$J$571)*(A398&lt;Task_Table1!$K$2:$K$571))</f>
        <v>1</v>
      </c>
      <c r="C398" cm="1">
        <f t="array" ref="C398">SUMPRODUCT((Task_Table1!$C$2:$C$568=$C$1)*(A398&gt;Task_Table1!$J$2:$J$568)*(A398&lt;Task_Table1!$K$2:$K$568))</f>
        <v>5</v>
      </c>
      <c r="D398" cm="1">
        <f t="array" ref="D398">SUMPRODUCT((Task_Table1!$C$2:$C$571=$D$1)*(A398&gt;Task_Table1!$J$2:$J$571)*(A398&lt;Task_Table1!$K$2:$K$571))</f>
        <v>0</v>
      </c>
      <c r="E398" cm="1">
        <f t="array" ref="E398">SUMPRODUCT((Task_Table1!$C$2:$C$571=$E$1)*(A398&gt;Task_Table1!$J$2:$J$571)*(A398&lt;Task_Table1!$K$2:$K$571))</f>
        <v>8</v>
      </c>
    </row>
    <row r="399" spans="1:5">
      <c r="A399" s="5">
        <v>46267</v>
      </c>
      <c r="B399" cm="1">
        <f t="array" ref="B399">SUMPRODUCT((Task_Table1!$C$2:$C$571=$B$1)*(A399&gt;Task_Table1!$J$2:$J$571)*(A399&lt;Task_Table1!$K$2:$K$571))</f>
        <v>1</v>
      </c>
      <c r="C399" cm="1">
        <f t="array" ref="C399">SUMPRODUCT((Task_Table1!$C$2:$C$568=$C$1)*(A399&gt;Task_Table1!$J$2:$J$568)*(A399&lt;Task_Table1!$K$2:$K$568))</f>
        <v>5</v>
      </c>
      <c r="D399" cm="1">
        <f t="array" ref="D399">SUMPRODUCT((Task_Table1!$C$2:$C$571=$D$1)*(A399&gt;Task_Table1!$J$2:$J$571)*(A399&lt;Task_Table1!$K$2:$K$571))</f>
        <v>0</v>
      </c>
      <c r="E399" cm="1">
        <f t="array" ref="E399">SUMPRODUCT((Task_Table1!$C$2:$C$571=$E$1)*(A399&gt;Task_Table1!$J$2:$J$571)*(A399&lt;Task_Table1!$K$2:$K$571))</f>
        <v>8</v>
      </c>
    </row>
    <row r="400" spans="1:5">
      <c r="A400" s="5">
        <v>46268</v>
      </c>
      <c r="B400" cm="1">
        <f t="array" ref="B400">SUMPRODUCT((Task_Table1!$C$2:$C$571=$B$1)*(A400&gt;Task_Table1!$J$2:$J$571)*(A400&lt;Task_Table1!$K$2:$K$571))</f>
        <v>1</v>
      </c>
      <c r="C400" cm="1">
        <f t="array" ref="C400">SUMPRODUCT((Task_Table1!$C$2:$C$568=$C$1)*(A400&gt;Task_Table1!$J$2:$J$568)*(A400&lt;Task_Table1!$K$2:$K$568))</f>
        <v>5</v>
      </c>
      <c r="D400" cm="1">
        <f t="array" ref="D400">SUMPRODUCT((Task_Table1!$C$2:$C$571=$D$1)*(A400&gt;Task_Table1!$J$2:$J$571)*(A400&lt;Task_Table1!$K$2:$K$571))</f>
        <v>0</v>
      </c>
      <c r="E400" cm="1">
        <f t="array" ref="E400">SUMPRODUCT((Task_Table1!$C$2:$C$571=$E$1)*(A400&gt;Task_Table1!$J$2:$J$571)*(A400&lt;Task_Table1!$K$2:$K$571))</f>
        <v>8</v>
      </c>
    </row>
    <row r="401" spans="1:5">
      <c r="A401" s="5">
        <v>46269</v>
      </c>
      <c r="B401" cm="1">
        <f t="array" ref="B401">SUMPRODUCT((Task_Table1!$C$2:$C$571=$B$1)*(A401&gt;Task_Table1!$J$2:$J$571)*(A401&lt;Task_Table1!$K$2:$K$571))</f>
        <v>1</v>
      </c>
      <c r="C401" cm="1">
        <f t="array" ref="C401">SUMPRODUCT((Task_Table1!$C$2:$C$568=$C$1)*(A401&gt;Task_Table1!$J$2:$J$568)*(A401&lt;Task_Table1!$K$2:$K$568))</f>
        <v>5</v>
      </c>
      <c r="D401" cm="1">
        <f t="array" ref="D401">SUMPRODUCT((Task_Table1!$C$2:$C$571=$D$1)*(A401&gt;Task_Table1!$J$2:$J$571)*(A401&lt;Task_Table1!$K$2:$K$571))</f>
        <v>0</v>
      </c>
      <c r="E401" cm="1">
        <f t="array" ref="E401">SUMPRODUCT((Task_Table1!$C$2:$C$571=$E$1)*(A401&gt;Task_Table1!$J$2:$J$571)*(A401&lt;Task_Table1!$K$2:$K$571))</f>
        <v>8</v>
      </c>
    </row>
    <row r="402" spans="1:5">
      <c r="A402" s="5">
        <v>46270</v>
      </c>
      <c r="B402" cm="1">
        <f t="array" ref="B402">SUMPRODUCT((Task_Table1!$C$2:$C$571=$B$1)*(A402&gt;Task_Table1!$J$2:$J$571)*(A402&lt;Task_Table1!$K$2:$K$571))</f>
        <v>1</v>
      </c>
      <c r="C402" cm="1">
        <f t="array" ref="C402">SUMPRODUCT((Task_Table1!$C$2:$C$568=$C$1)*(A402&gt;Task_Table1!$J$2:$J$568)*(A402&lt;Task_Table1!$K$2:$K$568))</f>
        <v>5</v>
      </c>
      <c r="D402" cm="1">
        <f t="array" ref="D402">SUMPRODUCT((Task_Table1!$C$2:$C$571=$D$1)*(A402&gt;Task_Table1!$J$2:$J$571)*(A402&lt;Task_Table1!$K$2:$K$571))</f>
        <v>0</v>
      </c>
      <c r="E402" cm="1">
        <f t="array" ref="E402">SUMPRODUCT((Task_Table1!$C$2:$C$571=$E$1)*(A402&gt;Task_Table1!$J$2:$J$571)*(A402&lt;Task_Table1!$K$2:$K$571))</f>
        <v>8</v>
      </c>
    </row>
    <row r="403" spans="1:5">
      <c r="A403" s="5">
        <v>46271</v>
      </c>
      <c r="B403" cm="1">
        <f t="array" ref="B403">SUMPRODUCT((Task_Table1!$C$2:$C$571=$B$1)*(A403&gt;Task_Table1!$J$2:$J$571)*(A403&lt;Task_Table1!$K$2:$K$571))</f>
        <v>1</v>
      </c>
      <c r="C403" cm="1">
        <f t="array" ref="C403">SUMPRODUCT((Task_Table1!$C$2:$C$568=$C$1)*(A403&gt;Task_Table1!$J$2:$J$568)*(A403&lt;Task_Table1!$K$2:$K$568))</f>
        <v>5</v>
      </c>
      <c r="D403" cm="1">
        <f t="array" ref="D403">SUMPRODUCT((Task_Table1!$C$2:$C$571=$D$1)*(A403&gt;Task_Table1!$J$2:$J$571)*(A403&lt;Task_Table1!$K$2:$K$571))</f>
        <v>0</v>
      </c>
      <c r="E403" cm="1">
        <f t="array" ref="E403">SUMPRODUCT((Task_Table1!$C$2:$C$571=$E$1)*(A403&gt;Task_Table1!$J$2:$J$571)*(A403&lt;Task_Table1!$K$2:$K$571))</f>
        <v>8</v>
      </c>
    </row>
    <row r="404" spans="1:5">
      <c r="A404" s="5">
        <v>46272</v>
      </c>
      <c r="B404" cm="1">
        <f t="array" ref="B404">SUMPRODUCT((Task_Table1!$C$2:$C$571=$B$1)*(A404&gt;Task_Table1!$J$2:$J$571)*(A404&lt;Task_Table1!$K$2:$K$571))</f>
        <v>1</v>
      </c>
      <c r="C404" cm="1">
        <f t="array" ref="C404">SUMPRODUCT((Task_Table1!$C$2:$C$568=$C$1)*(A404&gt;Task_Table1!$J$2:$J$568)*(A404&lt;Task_Table1!$K$2:$K$568))</f>
        <v>5</v>
      </c>
      <c r="D404" cm="1">
        <f t="array" ref="D404">SUMPRODUCT((Task_Table1!$C$2:$C$571=$D$1)*(A404&gt;Task_Table1!$J$2:$J$571)*(A404&lt;Task_Table1!$K$2:$K$571))</f>
        <v>0</v>
      </c>
      <c r="E404" cm="1">
        <f t="array" ref="E404">SUMPRODUCT((Task_Table1!$C$2:$C$571=$E$1)*(A404&gt;Task_Table1!$J$2:$J$571)*(A404&lt;Task_Table1!$K$2:$K$571))</f>
        <v>8</v>
      </c>
    </row>
    <row r="405" spans="1:5">
      <c r="A405" s="5">
        <v>46273</v>
      </c>
      <c r="B405" cm="1">
        <f t="array" ref="B405">SUMPRODUCT((Task_Table1!$C$2:$C$571=$B$1)*(A405&gt;Task_Table1!$J$2:$J$571)*(A405&lt;Task_Table1!$K$2:$K$571))</f>
        <v>1</v>
      </c>
      <c r="C405" cm="1">
        <f t="array" ref="C405">SUMPRODUCT((Task_Table1!$C$2:$C$568=$C$1)*(A405&gt;Task_Table1!$J$2:$J$568)*(A405&lt;Task_Table1!$K$2:$K$568))</f>
        <v>5</v>
      </c>
      <c r="D405" cm="1">
        <f t="array" ref="D405">SUMPRODUCT((Task_Table1!$C$2:$C$571=$D$1)*(A405&gt;Task_Table1!$J$2:$J$571)*(A405&lt;Task_Table1!$K$2:$K$571))</f>
        <v>0</v>
      </c>
      <c r="E405" cm="1">
        <f t="array" ref="E405">SUMPRODUCT((Task_Table1!$C$2:$C$571=$E$1)*(A405&gt;Task_Table1!$J$2:$J$571)*(A405&lt;Task_Table1!$K$2:$K$571))</f>
        <v>8</v>
      </c>
    </row>
    <row r="406" spans="1:5">
      <c r="A406" s="5">
        <v>46274</v>
      </c>
      <c r="B406" cm="1">
        <f t="array" ref="B406">SUMPRODUCT((Task_Table1!$C$2:$C$571=$B$1)*(A406&gt;Task_Table1!$J$2:$J$571)*(A406&lt;Task_Table1!$K$2:$K$571))</f>
        <v>1</v>
      </c>
      <c r="C406" cm="1">
        <f t="array" ref="C406">SUMPRODUCT((Task_Table1!$C$2:$C$568=$C$1)*(A406&gt;Task_Table1!$J$2:$J$568)*(A406&lt;Task_Table1!$K$2:$K$568))</f>
        <v>5</v>
      </c>
      <c r="D406" cm="1">
        <f t="array" ref="D406">SUMPRODUCT((Task_Table1!$C$2:$C$571=$D$1)*(A406&gt;Task_Table1!$J$2:$J$571)*(A406&lt;Task_Table1!$K$2:$K$571))</f>
        <v>0</v>
      </c>
      <c r="E406" cm="1">
        <f t="array" ref="E406">SUMPRODUCT((Task_Table1!$C$2:$C$571=$E$1)*(A406&gt;Task_Table1!$J$2:$J$571)*(A406&lt;Task_Table1!$K$2:$K$571))</f>
        <v>8</v>
      </c>
    </row>
    <row r="407" spans="1:5">
      <c r="A407" s="5">
        <v>46275</v>
      </c>
      <c r="B407" cm="1">
        <f t="array" ref="B407">SUMPRODUCT((Task_Table1!$C$2:$C$571=$B$1)*(A407&gt;Task_Table1!$J$2:$J$571)*(A407&lt;Task_Table1!$K$2:$K$571))</f>
        <v>1</v>
      </c>
      <c r="C407" cm="1">
        <f t="array" ref="C407">SUMPRODUCT((Task_Table1!$C$2:$C$568=$C$1)*(A407&gt;Task_Table1!$J$2:$J$568)*(A407&lt;Task_Table1!$K$2:$K$568))</f>
        <v>5</v>
      </c>
      <c r="D407" cm="1">
        <f t="array" ref="D407">SUMPRODUCT((Task_Table1!$C$2:$C$571=$D$1)*(A407&gt;Task_Table1!$J$2:$J$571)*(A407&lt;Task_Table1!$K$2:$K$571))</f>
        <v>0</v>
      </c>
      <c r="E407" cm="1">
        <f t="array" ref="E407">SUMPRODUCT((Task_Table1!$C$2:$C$571=$E$1)*(A407&gt;Task_Table1!$J$2:$J$571)*(A407&lt;Task_Table1!$K$2:$K$571))</f>
        <v>8</v>
      </c>
    </row>
    <row r="408" spans="1:5">
      <c r="A408" s="5">
        <v>46276</v>
      </c>
      <c r="B408" cm="1">
        <f t="array" ref="B408">SUMPRODUCT((Task_Table1!$C$2:$C$571=$B$1)*(A408&gt;Task_Table1!$J$2:$J$571)*(A408&lt;Task_Table1!$K$2:$K$571))</f>
        <v>1</v>
      </c>
      <c r="C408" cm="1">
        <f t="array" ref="C408">SUMPRODUCT((Task_Table1!$C$2:$C$568=$C$1)*(A408&gt;Task_Table1!$J$2:$J$568)*(A408&lt;Task_Table1!$K$2:$K$568))</f>
        <v>5</v>
      </c>
      <c r="D408" cm="1">
        <f t="array" ref="D408">SUMPRODUCT((Task_Table1!$C$2:$C$571=$D$1)*(A408&gt;Task_Table1!$J$2:$J$571)*(A408&lt;Task_Table1!$K$2:$K$571))</f>
        <v>0</v>
      </c>
      <c r="E408" cm="1">
        <f t="array" ref="E408">SUMPRODUCT((Task_Table1!$C$2:$C$571=$E$1)*(A408&gt;Task_Table1!$J$2:$J$571)*(A408&lt;Task_Table1!$K$2:$K$571))</f>
        <v>8</v>
      </c>
    </row>
    <row r="409" spans="1:5">
      <c r="A409" s="5">
        <v>46277</v>
      </c>
      <c r="B409" cm="1">
        <f t="array" ref="B409">SUMPRODUCT((Task_Table1!$C$2:$C$571=$B$1)*(A409&gt;Task_Table1!$J$2:$J$571)*(A409&lt;Task_Table1!$K$2:$K$571))</f>
        <v>1</v>
      </c>
      <c r="C409" cm="1">
        <f t="array" ref="C409">SUMPRODUCT((Task_Table1!$C$2:$C$568=$C$1)*(A409&gt;Task_Table1!$J$2:$J$568)*(A409&lt;Task_Table1!$K$2:$K$568))</f>
        <v>5</v>
      </c>
      <c r="D409" cm="1">
        <f t="array" ref="D409">SUMPRODUCT((Task_Table1!$C$2:$C$571=$D$1)*(A409&gt;Task_Table1!$J$2:$J$571)*(A409&lt;Task_Table1!$K$2:$K$571))</f>
        <v>0</v>
      </c>
      <c r="E409" cm="1">
        <f t="array" ref="E409">SUMPRODUCT((Task_Table1!$C$2:$C$571=$E$1)*(A409&gt;Task_Table1!$J$2:$J$571)*(A409&lt;Task_Table1!$K$2:$K$571))</f>
        <v>8</v>
      </c>
    </row>
    <row r="410" spans="1:5">
      <c r="A410" s="5">
        <v>46278</v>
      </c>
      <c r="B410" cm="1">
        <f t="array" ref="B410">SUMPRODUCT((Task_Table1!$C$2:$C$571=$B$1)*(A410&gt;Task_Table1!$J$2:$J$571)*(A410&lt;Task_Table1!$K$2:$K$571))</f>
        <v>1</v>
      </c>
      <c r="C410" cm="1">
        <f t="array" ref="C410">SUMPRODUCT((Task_Table1!$C$2:$C$568=$C$1)*(A410&gt;Task_Table1!$J$2:$J$568)*(A410&lt;Task_Table1!$K$2:$K$568))</f>
        <v>5</v>
      </c>
      <c r="D410" cm="1">
        <f t="array" ref="D410">SUMPRODUCT((Task_Table1!$C$2:$C$571=$D$1)*(A410&gt;Task_Table1!$J$2:$J$571)*(A410&lt;Task_Table1!$K$2:$K$571))</f>
        <v>0</v>
      </c>
      <c r="E410" cm="1">
        <f t="array" ref="E410">SUMPRODUCT((Task_Table1!$C$2:$C$571=$E$1)*(A410&gt;Task_Table1!$J$2:$J$571)*(A410&lt;Task_Table1!$K$2:$K$571))</f>
        <v>8</v>
      </c>
    </row>
    <row r="411" spans="1:5">
      <c r="A411" s="5">
        <v>46279</v>
      </c>
      <c r="B411" cm="1">
        <f t="array" ref="B411">SUMPRODUCT((Task_Table1!$C$2:$C$571=$B$1)*(A411&gt;Task_Table1!$J$2:$J$571)*(A411&lt;Task_Table1!$K$2:$K$571))</f>
        <v>1</v>
      </c>
      <c r="C411" cm="1">
        <f t="array" ref="C411">SUMPRODUCT((Task_Table1!$C$2:$C$568=$C$1)*(A411&gt;Task_Table1!$J$2:$J$568)*(A411&lt;Task_Table1!$K$2:$K$568))</f>
        <v>5</v>
      </c>
      <c r="D411" cm="1">
        <f t="array" ref="D411">SUMPRODUCT((Task_Table1!$C$2:$C$571=$D$1)*(A411&gt;Task_Table1!$J$2:$J$571)*(A411&lt;Task_Table1!$K$2:$K$571))</f>
        <v>0</v>
      </c>
      <c r="E411" cm="1">
        <f t="array" ref="E411">SUMPRODUCT((Task_Table1!$C$2:$C$571=$E$1)*(A411&gt;Task_Table1!$J$2:$J$571)*(A411&lt;Task_Table1!$K$2:$K$571))</f>
        <v>8</v>
      </c>
    </row>
    <row r="412" spans="1:5">
      <c r="A412" s="5">
        <v>46280</v>
      </c>
      <c r="B412" cm="1">
        <f t="array" ref="B412">SUMPRODUCT((Task_Table1!$C$2:$C$571=$B$1)*(A412&gt;Task_Table1!$J$2:$J$571)*(A412&lt;Task_Table1!$K$2:$K$571))</f>
        <v>1</v>
      </c>
      <c r="C412" cm="1">
        <f t="array" ref="C412">SUMPRODUCT((Task_Table1!$C$2:$C$568=$C$1)*(A412&gt;Task_Table1!$J$2:$J$568)*(A412&lt;Task_Table1!$K$2:$K$568))</f>
        <v>5</v>
      </c>
      <c r="D412" cm="1">
        <f t="array" ref="D412">SUMPRODUCT((Task_Table1!$C$2:$C$571=$D$1)*(A412&gt;Task_Table1!$J$2:$J$571)*(A412&lt;Task_Table1!$K$2:$K$571))</f>
        <v>0</v>
      </c>
      <c r="E412" cm="1">
        <f t="array" ref="E412">SUMPRODUCT((Task_Table1!$C$2:$C$571=$E$1)*(A412&gt;Task_Table1!$J$2:$J$571)*(A412&lt;Task_Table1!$K$2:$K$571))</f>
        <v>8</v>
      </c>
    </row>
    <row r="413" spans="1:5">
      <c r="A413" s="5">
        <v>46281</v>
      </c>
      <c r="B413" cm="1">
        <f t="array" ref="B413">SUMPRODUCT((Task_Table1!$C$2:$C$571=$B$1)*(A413&gt;Task_Table1!$J$2:$J$571)*(A413&lt;Task_Table1!$K$2:$K$571))</f>
        <v>1</v>
      </c>
      <c r="C413" cm="1">
        <f t="array" ref="C413">SUMPRODUCT((Task_Table1!$C$2:$C$568=$C$1)*(A413&gt;Task_Table1!$J$2:$J$568)*(A413&lt;Task_Table1!$K$2:$K$568))</f>
        <v>5</v>
      </c>
      <c r="D413" cm="1">
        <f t="array" ref="D413">SUMPRODUCT((Task_Table1!$C$2:$C$571=$D$1)*(A413&gt;Task_Table1!$J$2:$J$571)*(A413&lt;Task_Table1!$K$2:$K$571))</f>
        <v>0</v>
      </c>
      <c r="E413" cm="1">
        <f t="array" ref="E413">SUMPRODUCT((Task_Table1!$C$2:$C$571=$E$1)*(A413&gt;Task_Table1!$J$2:$J$571)*(A413&lt;Task_Table1!$K$2:$K$571))</f>
        <v>8</v>
      </c>
    </row>
    <row r="414" spans="1:5">
      <c r="A414" s="5">
        <v>46282</v>
      </c>
      <c r="B414" cm="1">
        <f t="array" ref="B414">SUMPRODUCT((Task_Table1!$C$2:$C$571=$B$1)*(A414&gt;Task_Table1!$J$2:$J$571)*(A414&lt;Task_Table1!$K$2:$K$571))</f>
        <v>1</v>
      </c>
      <c r="C414" cm="1">
        <f t="array" ref="C414">SUMPRODUCT((Task_Table1!$C$2:$C$568=$C$1)*(A414&gt;Task_Table1!$J$2:$J$568)*(A414&lt;Task_Table1!$K$2:$K$568))</f>
        <v>5</v>
      </c>
      <c r="D414" cm="1">
        <f t="array" ref="D414">SUMPRODUCT((Task_Table1!$C$2:$C$571=$D$1)*(A414&gt;Task_Table1!$J$2:$J$571)*(A414&lt;Task_Table1!$K$2:$K$571))</f>
        <v>0</v>
      </c>
      <c r="E414" cm="1">
        <f t="array" ref="E414">SUMPRODUCT((Task_Table1!$C$2:$C$571=$E$1)*(A414&gt;Task_Table1!$J$2:$J$571)*(A414&lt;Task_Table1!$K$2:$K$571))</f>
        <v>8</v>
      </c>
    </row>
    <row r="415" spans="1:5">
      <c r="A415" s="5">
        <v>46283</v>
      </c>
      <c r="B415" cm="1">
        <f t="array" ref="B415">SUMPRODUCT((Task_Table1!$C$2:$C$571=$B$1)*(A415&gt;Task_Table1!$J$2:$J$571)*(A415&lt;Task_Table1!$K$2:$K$571))</f>
        <v>1</v>
      </c>
      <c r="C415" cm="1">
        <f t="array" ref="C415">SUMPRODUCT((Task_Table1!$C$2:$C$568=$C$1)*(A415&gt;Task_Table1!$J$2:$J$568)*(A415&lt;Task_Table1!$K$2:$K$568))</f>
        <v>5</v>
      </c>
      <c r="D415" cm="1">
        <f t="array" ref="D415">SUMPRODUCT((Task_Table1!$C$2:$C$571=$D$1)*(A415&gt;Task_Table1!$J$2:$J$571)*(A415&lt;Task_Table1!$K$2:$K$571))</f>
        <v>0</v>
      </c>
      <c r="E415" cm="1">
        <f t="array" ref="E415">SUMPRODUCT((Task_Table1!$C$2:$C$571=$E$1)*(A415&gt;Task_Table1!$J$2:$J$571)*(A415&lt;Task_Table1!$K$2:$K$571))</f>
        <v>8</v>
      </c>
    </row>
    <row r="416" spans="1:5">
      <c r="A416" s="5">
        <v>46284</v>
      </c>
      <c r="B416" cm="1">
        <f t="array" ref="B416">SUMPRODUCT((Task_Table1!$C$2:$C$571=$B$1)*(A416&gt;Task_Table1!$J$2:$J$571)*(A416&lt;Task_Table1!$K$2:$K$571))</f>
        <v>1</v>
      </c>
      <c r="C416" cm="1">
        <f t="array" ref="C416">SUMPRODUCT((Task_Table1!$C$2:$C$568=$C$1)*(A416&gt;Task_Table1!$J$2:$J$568)*(A416&lt;Task_Table1!$K$2:$K$568))</f>
        <v>5</v>
      </c>
      <c r="D416" cm="1">
        <f t="array" ref="D416">SUMPRODUCT((Task_Table1!$C$2:$C$571=$D$1)*(A416&gt;Task_Table1!$J$2:$J$571)*(A416&lt;Task_Table1!$K$2:$K$571))</f>
        <v>0</v>
      </c>
      <c r="E416" cm="1">
        <f t="array" ref="E416">SUMPRODUCT((Task_Table1!$C$2:$C$571=$E$1)*(A416&gt;Task_Table1!$J$2:$J$571)*(A416&lt;Task_Table1!$K$2:$K$571))</f>
        <v>8</v>
      </c>
    </row>
    <row r="417" spans="1:5">
      <c r="A417" s="5">
        <v>46285</v>
      </c>
      <c r="B417" cm="1">
        <f t="array" ref="B417">SUMPRODUCT((Task_Table1!$C$2:$C$571=$B$1)*(A417&gt;Task_Table1!$J$2:$J$571)*(A417&lt;Task_Table1!$K$2:$K$571))</f>
        <v>1</v>
      </c>
      <c r="C417" cm="1">
        <f t="array" ref="C417">SUMPRODUCT((Task_Table1!$C$2:$C$568=$C$1)*(A417&gt;Task_Table1!$J$2:$J$568)*(A417&lt;Task_Table1!$K$2:$K$568))</f>
        <v>5</v>
      </c>
      <c r="D417" cm="1">
        <f t="array" ref="D417">SUMPRODUCT((Task_Table1!$C$2:$C$571=$D$1)*(A417&gt;Task_Table1!$J$2:$J$571)*(A417&lt;Task_Table1!$K$2:$K$571))</f>
        <v>0</v>
      </c>
      <c r="E417" cm="1">
        <f t="array" ref="E417">SUMPRODUCT((Task_Table1!$C$2:$C$571=$E$1)*(A417&gt;Task_Table1!$J$2:$J$571)*(A417&lt;Task_Table1!$K$2:$K$571))</f>
        <v>8</v>
      </c>
    </row>
    <row r="418" spans="1:5">
      <c r="A418" s="5">
        <v>46286</v>
      </c>
      <c r="B418" cm="1">
        <f t="array" ref="B418">SUMPRODUCT((Task_Table1!$C$2:$C$571=$B$1)*(A418&gt;Task_Table1!$J$2:$J$571)*(A418&lt;Task_Table1!$K$2:$K$571))</f>
        <v>1</v>
      </c>
      <c r="C418" cm="1">
        <f t="array" ref="C418">SUMPRODUCT((Task_Table1!$C$2:$C$568=$C$1)*(A418&gt;Task_Table1!$J$2:$J$568)*(A418&lt;Task_Table1!$K$2:$K$568))</f>
        <v>5</v>
      </c>
      <c r="D418" cm="1">
        <f t="array" ref="D418">SUMPRODUCT((Task_Table1!$C$2:$C$571=$D$1)*(A418&gt;Task_Table1!$J$2:$J$571)*(A418&lt;Task_Table1!$K$2:$K$571))</f>
        <v>0</v>
      </c>
      <c r="E418" cm="1">
        <f t="array" ref="E418">SUMPRODUCT((Task_Table1!$C$2:$C$571=$E$1)*(A418&gt;Task_Table1!$J$2:$J$571)*(A418&lt;Task_Table1!$K$2:$K$571))</f>
        <v>8</v>
      </c>
    </row>
    <row r="419" spans="1:5">
      <c r="A419" s="5">
        <v>46287</v>
      </c>
      <c r="B419" cm="1">
        <f t="array" ref="B419">SUMPRODUCT((Task_Table1!$C$2:$C$571=$B$1)*(A419&gt;Task_Table1!$J$2:$J$571)*(A419&lt;Task_Table1!$K$2:$K$571))</f>
        <v>1</v>
      </c>
      <c r="C419" cm="1">
        <f t="array" ref="C419">SUMPRODUCT((Task_Table1!$C$2:$C$568=$C$1)*(A419&gt;Task_Table1!$J$2:$J$568)*(A419&lt;Task_Table1!$K$2:$K$568))</f>
        <v>5</v>
      </c>
      <c r="D419" cm="1">
        <f t="array" ref="D419">SUMPRODUCT((Task_Table1!$C$2:$C$571=$D$1)*(A419&gt;Task_Table1!$J$2:$J$571)*(A419&lt;Task_Table1!$K$2:$K$571))</f>
        <v>0</v>
      </c>
      <c r="E419" cm="1">
        <f t="array" ref="E419">SUMPRODUCT((Task_Table1!$C$2:$C$571=$E$1)*(A419&gt;Task_Table1!$J$2:$J$571)*(A419&lt;Task_Table1!$K$2:$K$571))</f>
        <v>8</v>
      </c>
    </row>
    <row r="420" spans="1:5">
      <c r="A420" s="5">
        <v>46288</v>
      </c>
      <c r="B420" cm="1">
        <f t="array" ref="B420">SUMPRODUCT((Task_Table1!$C$2:$C$571=$B$1)*(A420&gt;Task_Table1!$J$2:$J$571)*(A420&lt;Task_Table1!$K$2:$K$571))</f>
        <v>1</v>
      </c>
      <c r="C420" cm="1">
        <f t="array" ref="C420">SUMPRODUCT((Task_Table1!$C$2:$C$568=$C$1)*(A420&gt;Task_Table1!$J$2:$J$568)*(A420&lt;Task_Table1!$K$2:$K$568))</f>
        <v>5</v>
      </c>
      <c r="D420" cm="1">
        <f t="array" ref="D420">SUMPRODUCT((Task_Table1!$C$2:$C$571=$D$1)*(A420&gt;Task_Table1!$J$2:$J$571)*(A420&lt;Task_Table1!$K$2:$K$571))</f>
        <v>0</v>
      </c>
      <c r="E420" cm="1">
        <f t="array" ref="E420">SUMPRODUCT((Task_Table1!$C$2:$C$571=$E$1)*(A420&gt;Task_Table1!$J$2:$J$571)*(A420&lt;Task_Table1!$K$2:$K$571))</f>
        <v>8</v>
      </c>
    </row>
    <row r="421" spans="1:5">
      <c r="A421" s="5">
        <v>46289</v>
      </c>
      <c r="B421" cm="1">
        <f t="array" ref="B421">SUMPRODUCT((Task_Table1!$C$2:$C$571=$B$1)*(A421&gt;Task_Table1!$J$2:$J$571)*(A421&lt;Task_Table1!$K$2:$K$571))</f>
        <v>1</v>
      </c>
      <c r="C421" cm="1">
        <f t="array" ref="C421">SUMPRODUCT((Task_Table1!$C$2:$C$568=$C$1)*(A421&gt;Task_Table1!$J$2:$J$568)*(A421&lt;Task_Table1!$K$2:$K$568))</f>
        <v>5</v>
      </c>
      <c r="D421" cm="1">
        <f t="array" ref="D421">SUMPRODUCT((Task_Table1!$C$2:$C$571=$D$1)*(A421&gt;Task_Table1!$J$2:$J$571)*(A421&lt;Task_Table1!$K$2:$K$571))</f>
        <v>0</v>
      </c>
      <c r="E421" cm="1">
        <f t="array" ref="E421">SUMPRODUCT((Task_Table1!$C$2:$C$571=$E$1)*(A421&gt;Task_Table1!$J$2:$J$571)*(A421&lt;Task_Table1!$K$2:$K$571))</f>
        <v>8</v>
      </c>
    </row>
    <row r="422" spans="1:5">
      <c r="A422" s="5">
        <v>46290</v>
      </c>
      <c r="B422" cm="1">
        <f t="array" ref="B422">SUMPRODUCT((Task_Table1!$C$2:$C$571=$B$1)*(A422&gt;Task_Table1!$J$2:$J$571)*(A422&lt;Task_Table1!$K$2:$K$571))</f>
        <v>1</v>
      </c>
      <c r="C422" cm="1">
        <f t="array" ref="C422">SUMPRODUCT((Task_Table1!$C$2:$C$568=$C$1)*(A422&gt;Task_Table1!$J$2:$J$568)*(A422&lt;Task_Table1!$K$2:$K$568))</f>
        <v>5</v>
      </c>
      <c r="D422" cm="1">
        <f t="array" ref="D422">SUMPRODUCT((Task_Table1!$C$2:$C$571=$D$1)*(A422&gt;Task_Table1!$J$2:$J$571)*(A422&lt;Task_Table1!$K$2:$K$571))</f>
        <v>0</v>
      </c>
      <c r="E422" cm="1">
        <f t="array" ref="E422">SUMPRODUCT((Task_Table1!$C$2:$C$571=$E$1)*(A422&gt;Task_Table1!$J$2:$J$571)*(A422&lt;Task_Table1!$K$2:$K$571))</f>
        <v>8</v>
      </c>
    </row>
    <row r="423" spans="1:5">
      <c r="A423" s="5">
        <v>46291</v>
      </c>
      <c r="B423" cm="1">
        <f t="array" ref="B423">SUMPRODUCT((Task_Table1!$C$2:$C$571=$B$1)*(A423&gt;Task_Table1!$J$2:$J$571)*(A423&lt;Task_Table1!$K$2:$K$571))</f>
        <v>1</v>
      </c>
      <c r="C423" cm="1">
        <f t="array" ref="C423">SUMPRODUCT((Task_Table1!$C$2:$C$568=$C$1)*(A423&gt;Task_Table1!$J$2:$J$568)*(A423&lt;Task_Table1!$K$2:$K$568))</f>
        <v>5</v>
      </c>
      <c r="D423" cm="1">
        <f t="array" ref="D423">SUMPRODUCT((Task_Table1!$C$2:$C$571=$D$1)*(A423&gt;Task_Table1!$J$2:$J$571)*(A423&lt;Task_Table1!$K$2:$K$571))</f>
        <v>0</v>
      </c>
      <c r="E423" cm="1">
        <f t="array" ref="E423">SUMPRODUCT((Task_Table1!$C$2:$C$571=$E$1)*(A423&gt;Task_Table1!$J$2:$J$571)*(A423&lt;Task_Table1!$K$2:$K$571))</f>
        <v>8</v>
      </c>
    </row>
    <row r="424" spans="1:5">
      <c r="A424" s="5">
        <v>46292</v>
      </c>
      <c r="B424" cm="1">
        <f t="array" ref="B424">SUMPRODUCT((Task_Table1!$C$2:$C$571=$B$1)*(A424&gt;Task_Table1!$J$2:$J$571)*(A424&lt;Task_Table1!$K$2:$K$571))</f>
        <v>1</v>
      </c>
      <c r="C424" cm="1">
        <f t="array" ref="C424">SUMPRODUCT((Task_Table1!$C$2:$C$568=$C$1)*(A424&gt;Task_Table1!$J$2:$J$568)*(A424&lt;Task_Table1!$K$2:$K$568))</f>
        <v>5</v>
      </c>
      <c r="D424" cm="1">
        <f t="array" ref="D424">SUMPRODUCT((Task_Table1!$C$2:$C$571=$D$1)*(A424&gt;Task_Table1!$J$2:$J$571)*(A424&lt;Task_Table1!$K$2:$K$571))</f>
        <v>0</v>
      </c>
      <c r="E424" cm="1">
        <f t="array" ref="E424">SUMPRODUCT((Task_Table1!$C$2:$C$571=$E$1)*(A424&gt;Task_Table1!$J$2:$J$571)*(A424&lt;Task_Table1!$K$2:$K$571))</f>
        <v>8</v>
      </c>
    </row>
    <row r="425" spans="1:5">
      <c r="A425" s="5">
        <v>46293</v>
      </c>
      <c r="B425" cm="1">
        <f t="array" ref="B425">SUMPRODUCT((Task_Table1!$C$2:$C$571=$B$1)*(A425&gt;Task_Table1!$J$2:$J$571)*(A425&lt;Task_Table1!$K$2:$K$571))</f>
        <v>1</v>
      </c>
      <c r="C425" cm="1">
        <f t="array" ref="C425">SUMPRODUCT((Task_Table1!$C$2:$C$568=$C$1)*(A425&gt;Task_Table1!$J$2:$J$568)*(A425&lt;Task_Table1!$K$2:$K$568))</f>
        <v>5</v>
      </c>
      <c r="D425" cm="1">
        <f t="array" ref="D425">SUMPRODUCT((Task_Table1!$C$2:$C$571=$D$1)*(A425&gt;Task_Table1!$J$2:$J$571)*(A425&lt;Task_Table1!$K$2:$K$571))</f>
        <v>0</v>
      </c>
      <c r="E425" cm="1">
        <f t="array" ref="E425">SUMPRODUCT((Task_Table1!$C$2:$C$571=$E$1)*(A425&gt;Task_Table1!$J$2:$J$571)*(A425&lt;Task_Table1!$K$2:$K$571))</f>
        <v>8</v>
      </c>
    </row>
    <row r="426" spans="1:5">
      <c r="A426" s="5">
        <v>46294</v>
      </c>
      <c r="B426" cm="1">
        <f t="array" ref="B426">SUMPRODUCT((Task_Table1!$C$2:$C$571=$B$1)*(A426&gt;Task_Table1!$J$2:$J$571)*(A426&lt;Task_Table1!$K$2:$K$571))</f>
        <v>1</v>
      </c>
      <c r="C426" cm="1">
        <f t="array" ref="C426">SUMPRODUCT((Task_Table1!$C$2:$C$568=$C$1)*(A426&gt;Task_Table1!$J$2:$J$568)*(A426&lt;Task_Table1!$K$2:$K$568))</f>
        <v>5</v>
      </c>
      <c r="D426" cm="1">
        <f t="array" ref="D426">SUMPRODUCT((Task_Table1!$C$2:$C$571=$D$1)*(A426&gt;Task_Table1!$J$2:$J$571)*(A426&lt;Task_Table1!$K$2:$K$571))</f>
        <v>0</v>
      </c>
      <c r="E426" cm="1">
        <f t="array" ref="E426">SUMPRODUCT((Task_Table1!$C$2:$C$571=$E$1)*(A426&gt;Task_Table1!$J$2:$J$571)*(A426&lt;Task_Table1!$K$2:$K$571))</f>
        <v>8</v>
      </c>
    </row>
    <row r="427" spans="1:5">
      <c r="A427" s="5">
        <v>46295</v>
      </c>
      <c r="B427" cm="1">
        <f t="array" ref="B427">SUMPRODUCT((Task_Table1!$C$2:$C$571=$B$1)*(A427&gt;Task_Table1!$J$2:$J$571)*(A427&lt;Task_Table1!$K$2:$K$571))</f>
        <v>1</v>
      </c>
      <c r="C427" cm="1">
        <f t="array" ref="C427">SUMPRODUCT((Task_Table1!$C$2:$C$568=$C$1)*(A427&gt;Task_Table1!$J$2:$J$568)*(A427&lt;Task_Table1!$K$2:$K$568))</f>
        <v>0</v>
      </c>
      <c r="D427" cm="1">
        <f t="array" ref="D427">SUMPRODUCT((Task_Table1!$C$2:$C$571=$D$1)*(A427&gt;Task_Table1!$J$2:$J$571)*(A427&lt;Task_Table1!$K$2:$K$571))</f>
        <v>0</v>
      </c>
      <c r="E427" cm="1">
        <f t="array" ref="E427">SUMPRODUCT((Task_Table1!$C$2:$C$571=$E$1)*(A427&gt;Task_Table1!$J$2:$J$571)*(A427&lt;Task_Table1!$K$2:$K$571))</f>
        <v>5</v>
      </c>
    </row>
    <row r="428" spans="1:5">
      <c r="A428" s="5">
        <v>46296</v>
      </c>
      <c r="B428" cm="1">
        <f t="array" ref="B428">SUMPRODUCT((Task_Table1!$C$2:$C$571=$B$1)*(A428&gt;Task_Table1!$J$2:$J$571)*(A428&lt;Task_Table1!$K$2:$K$571))</f>
        <v>1</v>
      </c>
      <c r="C428" cm="1">
        <f t="array" ref="C428">SUMPRODUCT((Task_Table1!$C$2:$C$568=$C$1)*(A428&gt;Task_Table1!$J$2:$J$568)*(A428&lt;Task_Table1!$K$2:$K$568))</f>
        <v>0</v>
      </c>
      <c r="D428" cm="1">
        <f t="array" ref="D428">SUMPRODUCT((Task_Table1!$C$2:$C$571=$D$1)*(A428&gt;Task_Table1!$J$2:$J$571)*(A428&lt;Task_Table1!$K$2:$K$571))</f>
        <v>0</v>
      </c>
      <c r="E428" cm="1">
        <f t="array" ref="E428">SUMPRODUCT((Task_Table1!$C$2:$C$571=$E$1)*(A428&gt;Task_Table1!$J$2:$J$571)*(A428&lt;Task_Table1!$K$2:$K$571))</f>
        <v>5</v>
      </c>
    </row>
    <row r="429" spans="1:5">
      <c r="A429" s="5">
        <v>46297</v>
      </c>
      <c r="B429" cm="1">
        <f t="array" ref="B429">SUMPRODUCT((Task_Table1!$C$2:$C$571=$B$1)*(A429&gt;Task_Table1!$J$2:$J$571)*(A429&lt;Task_Table1!$K$2:$K$571))</f>
        <v>1</v>
      </c>
      <c r="C429" cm="1">
        <f t="array" ref="C429">SUMPRODUCT((Task_Table1!$C$2:$C$568=$C$1)*(A429&gt;Task_Table1!$J$2:$J$568)*(A429&lt;Task_Table1!$K$2:$K$568))</f>
        <v>0</v>
      </c>
      <c r="D429" cm="1">
        <f t="array" ref="D429">SUMPRODUCT((Task_Table1!$C$2:$C$571=$D$1)*(A429&gt;Task_Table1!$J$2:$J$571)*(A429&lt;Task_Table1!$K$2:$K$571))</f>
        <v>0</v>
      </c>
      <c r="E429" cm="1">
        <f t="array" ref="E429">SUMPRODUCT((Task_Table1!$C$2:$C$571=$E$1)*(A429&gt;Task_Table1!$J$2:$J$571)*(A429&lt;Task_Table1!$K$2:$K$571))</f>
        <v>5</v>
      </c>
    </row>
    <row r="430" spans="1:5">
      <c r="A430" s="5">
        <v>46298</v>
      </c>
      <c r="B430" cm="1">
        <f t="array" ref="B430">SUMPRODUCT((Task_Table1!$C$2:$C$571=$B$1)*(A430&gt;Task_Table1!$J$2:$J$571)*(A430&lt;Task_Table1!$K$2:$K$571))</f>
        <v>1</v>
      </c>
      <c r="C430" cm="1">
        <f t="array" ref="C430">SUMPRODUCT((Task_Table1!$C$2:$C$568=$C$1)*(A430&gt;Task_Table1!$J$2:$J$568)*(A430&lt;Task_Table1!$K$2:$K$568))</f>
        <v>0</v>
      </c>
      <c r="D430" cm="1">
        <f t="array" ref="D430">SUMPRODUCT((Task_Table1!$C$2:$C$571=$D$1)*(A430&gt;Task_Table1!$J$2:$J$571)*(A430&lt;Task_Table1!$K$2:$K$571))</f>
        <v>0</v>
      </c>
      <c r="E430" cm="1">
        <f t="array" ref="E430">SUMPRODUCT((Task_Table1!$C$2:$C$571=$E$1)*(A430&gt;Task_Table1!$J$2:$J$571)*(A430&lt;Task_Table1!$K$2:$K$571))</f>
        <v>5</v>
      </c>
    </row>
    <row r="431" spans="1:5">
      <c r="A431" s="5">
        <v>46299</v>
      </c>
      <c r="B431" cm="1">
        <f t="array" ref="B431">SUMPRODUCT((Task_Table1!$C$2:$C$571=$B$1)*(A431&gt;Task_Table1!$J$2:$J$571)*(A431&lt;Task_Table1!$K$2:$K$571))</f>
        <v>1</v>
      </c>
      <c r="C431" cm="1">
        <f t="array" ref="C431">SUMPRODUCT((Task_Table1!$C$2:$C$568=$C$1)*(A431&gt;Task_Table1!$J$2:$J$568)*(A431&lt;Task_Table1!$K$2:$K$568))</f>
        <v>0</v>
      </c>
      <c r="D431" cm="1">
        <f t="array" ref="D431">SUMPRODUCT((Task_Table1!$C$2:$C$571=$D$1)*(A431&gt;Task_Table1!$J$2:$J$571)*(A431&lt;Task_Table1!$K$2:$K$571))</f>
        <v>0</v>
      </c>
      <c r="E431" cm="1">
        <f t="array" ref="E431">SUMPRODUCT((Task_Table1!$C$2:$C$571=$E$1)*(A431&gt;Task_Table1!$J$2:$J$571)*(A431&lt;Task_Table1!$K$2:$K$571))</f>
        <v>5</v>
      </c>
    </row>
    <row r="432" spans="1:5">
      <c r="A432" s="5">
        <v>46300</v>
      </c>
      <c r="B432" cm="1">
        <f t="array" ref="B432">SUMPRODUCT((Task_Table1!$C$2:$C$571=$B$1)*(A432&gt;Task_Table1!$J$2:$J$571)*(A432&lt;Task_Table1!$K$2:$K$571))</f>
        <v>1</v>
      </c>
      <c r="C432" cm="1">
        <f t="array" ref="C432">SUMPRODUCT((Task_Table1!$C$2:$C$568=$C$1)*(A432&gt;Task_Table1!$J$2:$J$568)*(A432&lt;Task_Table1!$K$2:$K$568))</f>
        <v>0</v>
      </c>
      <c r="D432" cm="1">
        <f t="array" ref="D432">SUMPRODUCT((Task_Table1!$C$2:$C$571=$D$1)*(A432&gt;Task_Table1!$J$2:$J$571)*(A432&lt;Task_Table1!$K$2:$K$571))</f>
        <v>0</v>
      </c>
      <c r="E432" cm="1">
        <f t="array" ref="E432">SUMPRODUCT((Task_Table1!$C$2:$C$571=$E$1)*(A432&gt;Task_Table1!$J$2:$J$571)*(A432&lt;Task_Table1!$K$2:$K$571))</f>
        <v>5</v>
      </c>
    </row>
    <row r="433" spans="1:5">
      <c r="A433" s="5">
        <v>46301</v>
      </c>
      <c r="B433" cm="1">
        <f t="array" ref="B433">SUMPRODUCT((Task_Table1!$C$2:$C$571=$B$1)*(A433&gt;Task_Table1!$J$2:$J$571)*(A433&lt;Task_Table1!$K$2:$K$571))</f>
        <v>1</v>
      </c>
      <c r="C433" cm="1">
        <f t="array" ref="C433">SUMPRODUCT((Task_Table1!$C$2:$C$568=$C$1)*(A433&gt;Task_Table1!$J$2:$J$568)*(A433&lt;Task_Table1!$K$2:$K$568))</f>
        <v>0</v>
      </c>
      <c r="D433" cm="1">
        <f t="array" ref="D433">SUMPRODUCT((Task_Table1!$C$2:$C$571=$D$1)*(A433&gt;Task_Table1!$J$2:$J$571)*(A433&lt;Task_Table1!$K$2:$K$571))</f>
        <v>0</v>
      </c>
      <c r="E433" cm="1">
        <f t="array" ref="E433">SUMPRODUCT((Task_Table1!$C$2:$C$571=$E$1)*(A433&gt;Task_Table1!$J$2:$J$571)*(A433&lt;Task_Table1!$K$2:$K$571))</f>
        <v>5</v>
      </c>
    </row>
    <row r="434" spans="1:5">
      <c r="A434" s="5">
        <v>46302</v>
      </c>
      <c r="B434" cm="1">
        <f t="array" ref="B434">SUMPRODUCT((Task_Table1!$C$2:$C$571=$B$1)*(A434&gt;Task_Table1!$J$2:$J$571)*(A434&lt;Task_Table1!$K$2:$K$571))</f>
        <v>1</v>
      </c>
      <c r="C434" cm="1">
        <f t="array" ref="C434">SUMPRODUCT((Task_Table1!$C$2:$C$568=$C$1)*(A434&gt;Task_Table1!$J$2:$J$568)*(A434&lt;Task_Table1!$K$2:$K$568))</f>
        <v>0</v>
      </c>
      <c r="D434" cm="1">
        <f t="array" ref="D434">SUMPRODUCT((Task_Table1!$C$2:$C$571=$D$1)*(A434&gt;Task_Table1!$J$2:$J$571)*(A434&lt;Task_Table1!$K$2:$K$571))</f>
        <v>0</v>
      </c>
      <c r="E434" cm="1">
        <f t="array" ref="E434">SUMPRODUCT((Task_Table1!$C$2:$C$571=$E$1)*(A434&gt;Task_Table1!$J$2:$J$571)*(A434&lt;Task_Table1!$K$2:$K$571))</f>
        <v>5</v>
      </c>
    </row>
    <row r="435" spans="1:5">
      <c r="A435" s="5">
        <v>46303</v>
      </c>
      <c r="B435" cm="1">
        <f t="array" ref="B435">SUMPRODUCT((Task_Table1!$C$2:$C$571=$B$1)*(A435&gt;Task_Table1!$J$2:$J$571)*(A435&lt;Task_Table1!$K$2:$K$571))</f>
        <v>1</v>
      </c>
      <c r="C435" cm="1">
        <f t="array" ref="C435">SUMPRODUCT((Task_Table1!$C$2:$C$568=$C$1)*(A435&gt;Task_Table1!$J$2:$J$568)*(A435&lt;Task_Table1!$K$2:$K$568))</f>
        <v>0</v>
      </c>
      <c r="D435" cm="1">
        <f t="array" ref="D435">SUMPRODUCT((Task_Table1!$C$2:$C$571=$D$1)*(A435&gt;Task_Table1!$J$2:$J$571)*(A435&lt;Task_Table1!$K$2:$K$571))</f>
        <v>0</v>
      </c>
      <c r="E435" cm="1">
        <f t="array" ref="E435">SUMPRODUCT((Task_Table1!$C$2:$C$571=$E$1)*(A435&gt;Task_Table1!$J$2:$J$571)*(A435&lt;Task_Table1!$K$2:$K$571))</f>
        <v>5</v>
      </c>
    </row>
    <row r="436" spans="1:5">
      <c r="A436" s="5">
        <v>46304</v>
      </c>
      <c r="B436" cm="1">
        <f t="array" ref="B436">SUMPRODUCT((Task_Table1!$C$2:$C$571=$B$1)*(A436&gt;Task_Table1!$J$2:$J$571)*(A436&lt;Task_Table1!$K$2:$K$571))</f>
        <v>1</v>
      </c>
      <c r="C436" cm="1">
        <f t="array" ref="C436">SUMPRODUCT((Task_Table1!$C$2:$C$568=$C$1)*(A436&gt;Task_Table1!$J$2:$J$568)*(A436&lt;Task_Table1!$K$2:$K$568))</f>
        <v>0</v>
      </c>
      <c r="D436" cm="1">
        <f t="array" ref="D436">SUMPRODUCT((Task_Table1!$C$2:$C$571=$D$1)*(A436&gt;Task_Table1!$J$2:$J$571)*(A436&lt;Task_Table1!$K$2:$K$571))</f>
        <v>0</v>
      </c>
      <c r="E436" cm="1">
        <f t="array" ref="E436">SUMPRODUCT((Task_Table1!$C$2:$C$571=$E$1)*(A436&gt;Task_Table1!$J$2:$J$571)*(A436&lt;Task_Table1!$K$2:$K$571))</f>
        <v>5</v>
      </c>
    </row>
    <row r="437" spans="1:5">
      <c r="A437" s="5">
        <v>46305</v>
      </c>
      <c r="B437" cm="1">
        <f t="array" ref="B437">SUMPRODUCT((Task_Table1!$C$2:$C$571=$B$1)*(A437&gt;Task_Table1!$J$2:$J$571)*(A437&lt;Task_Table1!$K$2:$K$571))</f>
        <v>1</v>
      </c>
      <c r="C437" cm="1">
        <f t="array" ref="C437">SUMPRODUCT((Task_Table1!$C$2:$C$568=$C$1)*(A437&gt;Task_Table1!$J$2:$J$568)*(A437&lt;Task_Table1!$K$2:$K$568))</f>
        <v>0</v>
      </c>
      <c r="D437" cm="1">
        <f t="array" ref="D437">SUMPRODUCT((Task_Table1!$C$2:$C$571=$D$1)*(A437&gt;Task_Table1!$J$2:$J$571)*(A437&lt;Task_Table1!$K$2:$K$571))</f>
        <v>0</v>
      </c>
      <c r="E437" cm="1">
        <f t="array" ref="E437">SUMPRODUCT((Task_Table1!$C$2:$C$571=$E$1)*(A437&gt;Task_Table1!$J$2:$J$571)*(A437&lt;Task_Table1!$K$2:$K$571))</f>
        <v>5</v>
      </c>
    </row>
    <row r="438" spans="1:5">
      <c r="A438" s="5">
        <v>46306</v>
      </c>
      <c r="B438" cm="1">
        <f t="array" ref="B438">SUMPRODUCT((Task_Table1!$C$2:$C$571=$B$1)*(A438&gt;Task_Table1!$J$2:$J$571)*(A438&lt;Task_Table1!$K$2:$K$571))</f>
        <v>1</v>
      </c>
      <c r="C438" cm="1">
        <f t="array" ref="C438">SUMPRODUCT((Task_Table1!$C$2:$C$568=$C$1)*(A438&gt;Task_Table1!$J$2:$J$568)*(A438&lt;Task_Table1!$K$2:$K$568))</f>
        <v>0</v>
      </c>
      <c r="D438" cm="1">
        <f t="array" ref="D438">SUMPRODUCT((Task_Table1!$C$2:$C$571=$D$1)*(A438&gt;Task_Table1!$J$2:$J$571)*(A438&lt;Task_Table1!$K$2:$K$571))</f>
        <v>0</v>
      </c>
      <c r="E438" cm="1">
        <f t="array" ref="E438">SUMPRODUCT((Task_Table1!$C$2:$C$571=$E$1)*(A438&gt;Task_Table1!$J$2:$J$571)*(A438&lt;Task_Table1!$K$2:$K$571))</f>
        <v>5</v>
      </c>
    </row>
    <row r="439" spans="1:5">
      <c r="A439" s="5">
        <v>46307</v>
      </c>
      <c r="B439" cm="1">
        <f t="array" ref="B439">SUMPRODUCT((Task_Table1!$C$2:$C$571=$B$1)*(A439&gt;Task_Table1!$J$2:$J$571)*(A439&lt;Task_Table1!$K$2:$K$571))</f>
        <v>1</v>
      </c>
      <c r="C439" cm="1">
        <f t="array" ref="C439">SUMPRODUCT((Task_Table1!$C$2:$C$568=$C$1)*(A439&gt;Task_Table1!$J$2:$J$568)*(A439&lt;Task_Table1!$K$2:$K$568))</f>
        <v>0</v>
      </c>
      <c r="D439" cm="1">
        <f t="array" ref="D439">SUMPRODUCT((Task_Table1!$C$2:$C$571=$D$1)*(A439&gt;Task_Table1!$J$2:$J$571)*(A439&lt;Task_Table1!$K$2:$K$571))</f>
        <v>0</v>
      </c>
      <c r="E439" cm="1">
        <f t="array" ref="E439">SUMPRODUCT((Task_Table1!$C$2:$C$571=$E$1)*(A439&gt;Task_Table1!$J$2:$J$571)*(A439&lt;Task_Table1!$K$2:$K$571))</f>
        <v>5</v>
      </c>
    </row>
    <row r="440" spans="1:5">
      <c r="A440" s="5">
        <v>46308</v>
      </c>
      <c r="B440" cm="1">
        <f t="array" ref="B440">SUMPRODUCT((Task_Table1!$C$2:$C$571=$B$1)*(A440&gt;Task_Table1!$J$2:$J$571)*(A440&lt;Task_Table1!$K$2:$K$571))</f>
        <v>1</v>
      </c>
      <c r="C440" cm="1">
        <f t="array" ref="C440">SUMPRODUCT((Task_Table1!$C$2:$C$568=$C$1)*(A440&gt;Task_Table1!$J$2:$J$568)*(A440&lt;Task_Table1!$K$2:$K$568))</f>
        <v>0</v>
      </c>
      <c r="D440" cm="1">
        <f t="array" ref="D440">SUMPRODUCT((Task_Table1!$C$2:$C$571=$D$1)*(A440&gt;Task_Table1!$J$2:$J$571)*(A440&lt;Task_Table1!$K$2:$K$571))</f>
        <v>0</v>
      </c>
      <c r="E440" cm="1">
        <f t="array" ref="E440">SUMPRODUCT((Task_Table1!$C$2:$C$571=$E$1)*(A440&gt;Task_Table1!$J$2:$J$571)*(A440&lt;Task_Table1!$K$2:$K$571))</f>
        <v>5</v>
      </c>
    </row>
    <row r="441" spans="1:5">
      <c r="A441" s="5">
        <v>46309</v>
      </c>
      <c r="B441" cm="1">
        <f t="array" ref="B441">SUMPRODUCT((Task_Table1!$C$2:$C$571=$B$1)*(A441&gt;Task_Table1!$J$2:$J$571)*(A441&lt;Task_Table1!$K$2:$K$571))</f>
        <v>1</v>
      </c>
      <c r="C441" cm="1">
        <f t="array" ref="C441">SUMPRODUCT((Task_Table1!$C$2:$C$568=$C$1)*(A441&gt;Task_Table1!$J$2:$J$568)*(A441&lt;Task_Table1!$K$2:$K$568))</f>
        <v>0</v>
      </c>
      <c r="D441" cm="1">
        <f t="array" ref="D441">SUMPRODUCT((Task_Table1!$C$2:$C$571=$D$1)*(A441&gt;Task_Table1!$J$2:$J$571)*(A441&lt;Task_Table1!$K$2:$K$571))</f>
        <v>0</v>
      </c>
      <c r="E441" cm="1">
        <f t="array" ref="E441">SUMPRODUCT((Task_Table1!$C$2:$C$571=$E$1)*(A441&gt;Task_Table1!$J$2:$J$571)*(A441&lt;Task_Table1!$K$2:$K$571))</f>
        <v>5</v>
      </c>
    </row>
    <row r="442" spans="1:5">
      <c r="A442" s="5">
        <v>46310</v>
      </c>
      <c r="B442" cm="1">
        <f t="array" ref="B442">SUMPRODUCT((Task_Table1!$C$2:$C$571=$B$1)*(A442&gt;Task_Table1!$J$2:$J$571)*(A442&lt;Task_Table1!$K$2:$K$571))</f>
        <v>1</v>
      </c>
      <c r="C442" cm="1">
        <f t="array" ref="C442">SUMPRODUCT((Task_Table1!$C$2:$C$568=$C$1)*(A442&gt;Task_Table1!$J$2:$J$568)*(A442&lt;Task_Table1!$K$2:$K$568))</f>
        <v>0</v>
      </c>
      <c r="D442" cm="1">
        <f t="array" ref="D442">SUMPRODUCT((Task_Table1!$C$2:$C$571=$D$1)*(A442&gt;Task_Table1!$J$2:$J$571)*(A442&lt;Task_Table1!$K$2:$K$571))</f>
        <v>0</v>
      </c>
      <c r="E442" cm="1">
        <f t="array" ref="E442">SUMPRODUCT((Task_Table1!$C$2:$C$571=$E$1)*(A442&gt;Task_Table1!$J$2:$J$571)*(A442&lt;Task_Table1!$K$2:$K$571))</f>
        <v>5</v>
      </c>
    </row>
    <row r="443" spans="1:5">
      <c r="A443" s="5">
        <v>46311</v>
      </c>
      <c r="B443" cm="1">
        <f t="array" ref="B443">SUMPRODUCT((Task_Table1!$C$2:$C$571=$B$1)*(A443&gt;Task_Table1!$J$2:$J$571)*(A443&lt;Task_Table1!$K$2:$K$571))</f>
        <v>1</v>
      </c>
      <c r="C443" cm="1">
        <f t="array" ref="C443">SUMPRODUCT((Task_Table1!$C$2:$C$568=$C$1)*(A443&gt;Task_Table1!$J$2:$J$568)*(A443&lt;Task_Table1!$K$2:$K$568))</f>
        <v>3</v>
      </c>
      <c r="D443" cm="1">
        <f t="array" ref="D443">SUMPRODUCT((Task_Table1!$C$2:$C$571=$D$1)*(A443&gt;Task_Table1!$J$2:$J$571)*(A443&lt;Task_Table1!$K$2:$K$571))</f>
        <v>0</v>
      </c>
      <c r="E443" cm="1">
        <f t="array" ref="E443">SUMPRODUCT((Task_Table1!$C$2:$C$571=$E$1)*(A443&gt;Task_Table1!$J$2:$J$571)*(A443&lt;Task_Table1!$K$2:$K$571))</f>
        <v>5</v>
      </c>
    </row>
    <row r="444" spans="1:5">
      <c r="A444" s="5">
        <v>46312</v>
      </c>
      <c r="B444" cm="1">
        <f t="array" ref="B444">SUMPRODUCT((Task_Table1!$C$2:$C$571=$B$1)*(A444&gt;Task_Table1!$J$2:$J$571)*(A444&lt;Task_Table1!$K$2:$K$571))</f>
        <v>1</v>
      </c>
      <c r="C444" cm="1">
        <f t="array" ref="C444">SUMPRODUCT((Task_Table1!$C$2:$C$568=$C$1)*(A444&gt;Task_Table1!$J$2:$J$568)*(A444&lt;Task_Table1!$K$2:$K$568))</f>
        <v>3</v>
      </c>
      <c r="D444" cm="1">
        <f t="array" ref="D444">SUMPRODUCT((Task_Table1!$C$2:$C$571=$D$1)*(A444&gt;Task_Table1!$J$2:$J$571)*(A444&lt;Task_Table1!$K$2:$K$571))</f>
        <v>0</v>
      </c>
      <c r="E444" cm="1">
        <f t="array" ref="E444">SUMPRODUCT((Task_Table1!$C$2:$C$571=$E$1)*(A444&gt;Task_Table1!$J$2:$J$571)*(A444&lt;Task_Table1!$K$2:$K$571))</f>
        <v>5</v>
      </c>
    </row>
    <row r="445" spans="1:5">
      <c r="A445" s="5">
        <v>46313</v>
      </c>
      <c r="B445" cm="1">
        <f t="array" ref="B445">SUMPRODUCT((Task_Table1!$C$2:$C$571=$B$1)*(A445&gt;Task_Table1!$J$2:$J$571)*(A445&lt;Task_Table1!$K$2:$K$571))</f>
        <v>1</v>
      </c>
      <c r="C445" cm="1">
        <f t="array" ref="C445">SUMPRODUCT((Task_Table1!$C$2:$C$568=$C$1)*(A445&gt;Task_Table1!$J$2:$J$568)*(A445&lt;Task_Table1!$K$2:$K$568))</f>
        <v>3</v>
      </c>
      <c r="D445" cm="1">
        <f t="array" ref="D445">SUMPRODUCT((Task_Table1!$C$2:$C$571=$D$1)*(A445&gt;Task_Table1!$J$2:$J$571)*(A445&lt;Task_Table1!$K$2:$K$571))</f>
        <v>0</v>
      </c>
      <c r="E445" cm="1">
        <f t="array" ref="E445">SUMPRODUCT((Task_Table1!$C$2:$C$571=$E$1)*(A445&gt;Task_Table1!$J$2:$J$571)*(A445&lt;Task_Table1!$K$2:$K$571))</f>
        <v>5</v>
      </c>
    </row>
    <row r="446" spans="1:5">
      <c r="A446" s="5">
        <v>46314</v>
      </c>
      <c r="B446" cm="1">
        <f t="array" ref="B446">SUMPRODUCT((Task_Table1!$C$2:$C$571=$B$1)*(A446&gt;Task_Table1!$J$2:$J$571)*(A446&lt;Task_Table1!$K$2:$K$571))</f>
        <v>1</v>
      </c>
      <c r="C446" cm="1">
        <f t="array" ref="C446">SUMPRODUCT((Task_Table1!$C$2:$C$568=$C$1)*(A446&gt;Task_Table1!$J$2:$J$568)*(A446&lt;Task_Table1!$K$2:$K$568))</f>
        <v>3</v>
      </c>
      <c r="D446" cm="1">
        <f t="array" ref="D446">SUMPRODUCT((Task_Table1!$C$2:$C$571=$D$1)*(A446&gt;Task_Table1!$J$2:$J$571)*(A446&lt;Task_Table1!$K$2:$K$571))</f>
        <v>0</v>
      </c>
      <c r="E446" cm="1">
        <f t="array" ref="E446">SUMPRODUCT((Task_Table1!$C$2:$C$571=$E$1)*(A446&gt;Task_Table1!$J$2:$J$571)*(A446&lt;Task_Table1!$K$2:$K$571))</f>
        <v>5</v>
      </c>
    </row>
    <row r="447" spans="1:5">
      <c r="A447" s="5">
        <v>46315</v>
      </c>
      <c r="B447" cm="1">
        <f t="array" ref="B447">SUMPRODUCT((Task_Table1!$C$2:$C$571=$B$1)*(A447&gt;Task_Table1!$J$2:$J$571)*(A447&lt;Task_Table1!$K$2:$K$571))</f>
        <v>1</v>
      </c>
      <c r="C447" cm="1">
        <f t="array" ref="C447">SUMPRODUCT((Task_Table1!$C$2:$C$568=$C$1)*(A447&gt;Task_Table1!$J$2:$J$568)*(A447&lt;Task_Table1!$K$2:$K$568))</f>
        <v>3</v>
      </c>
      <c r="D447" cm="1">
        <f t="array" ref="D447">SUMPRODUCT((Task_Table1!$C$2:$C$571=$D$1)*(A447&gt;Task_Table1!$J$2:$J$571)*(A447&lt;Task_Table1!$K$2:$K$571))</f>
        <v>0</v>
      </c>
      <c r="E447" cm="1">
        <f t="array" ref="E447">SUMPRODUCT((Task_Table1!$C$2:$C$571=$E$1)*(A447&gt;Task_Table1!$J$2:$J$571)*(A447&lt;Task_Table1!$K$2:$K$571))</f>
        <v>5</v>
      </c>
    </row>
    <row r="448" spans="1:5">
      <c r="A448" s="5">
        <v>46316</v>
      </c>
      <c r="B448" cm="1">
        <f t="array" ref="B448">SUMPRODUCT((Task_Table1!$C$2:$C$571=$B$1)*(A448&gt;Task_Table1!$J$2:$J$571)*(A448&lt;Task_Table1!$K$2:$K$571))</f>
        <v>1</v>
      </c>
      <c r="C448" cm="1">
        <f t="array" ref="C448">SUMPRODUCT((Task_Table1!$C$2:$C$568=$C$1)*(A448&gt;Task_Table1!$J$2:$J$568)*(A448&lt;Task_Table1!$K$2:$K$568))</f>
        <v>3</v>
      </c>
      <c r="D448" cm="1">
        <f t="array" ref="D448">SUMPRODUCT((Task_Table1!$C$2:$C$571=$D$1)*(A448&gt;Task_Table1!$J$2:$J$571)*(A448&lt;Task_Table1!$K$2:$K$571))</f>
        <v>0</v>
      </c>
      <c r="E448" cm="1">
        <f t="array" ref="E448">SUMPRODUCT((Task_Table1!$C$2:$C$571=$E$1)*(A448&gt;Task_Table1!$J$2:$J$571)*(A448&lt;Task_Table1!$K$2:$K$571))</f>
        <v>5</v>
      </c>
    </row>
    <row r="449" spans="1:5">
      <c r="A449" s="5">
        <v>46317</v>
      </c>
      <c r="B449" cm="1">
        <f t="array" ref="B449">SUMPRODUCT((Task_Table1!$C$2:$C$571=$B$1)*(A449&gt;Task_Table1!$J$2:$J$571)*(A449&lt;Task_Table1!$K$2:$K$571))</f>
        <v>1</v>
      </c>
      <c r="C449" cm="1">
        <f t="array" ref="C449">SUMPRODUCT((Task_Table1!$C$2:$C$568=$C$1)*(A449&gt;Task_Table1!$J$2:$J$568)*(A449&lt;Task_Table1!$K$2:$K$568))</f>
        <v>3</v>
      </c>
      <c r="D449" cm="1">
        <f t="array" ref="D449">SUMPRODUCT((Task_Table1!$C$2:$C$571=$D$1)*(A449&gt;Task_Table1!$J$2:$J$571)*(A449&lt;Task_Table1!$K$2:$K$571))</f>
        <v>0</v>
      </c>
      <c r="E449" cm="1">
        <f t="array" ref="E449">SUMPRODUCT((Task_Table1!$C$2:$C$571=$E$1)*(A449&gt;Task_Table1!$J$2:$J$571)*(A449&lt;Task_Table1!$K$2:$K$571))</f>
        <v>5</v>
      </c>
    </row>
    <row r="450" spans="1:5">
      <c r="A450" s="5">
        <v>46318</v>
      </c>
      <c r="B450" cm="1">
        <f t="array" ref="B450">SUMPRODUCT((Task_Table1!$C$2:$C$571=$B$1)*(A450&gt;Task_Table1!$J$2:$J$571)*(A450&lt;Task_Table1!$K$2:$K$571))</f>
        <v>1</v>
      </c>
      <c r="C450" cm="1">
        <f t="array" ref="C450">SUMPRODUCT((Task_Table1!$C$2:$C$568=$C$1)*(A450&gt;Task_Table1!$J$2:$J$568)*(A450&lt;Task_Table1!$K$2:$K$568))</f>
        <v>3</v>
      </c>
      <c r="D450" cm="1">
        <f t="array" ref="D450">SUMPRODUCT((Task_Table1!$C$2:$C$571=$D$1)*(A450&gt;Task_Table1!$J$2:$J$571)*(A450&lt;Task_Table1!$K$2:$K$571))</f>
        <v>0</v>
      </c>
      <c r="E450" cm="1">
        <f t="array" ref="E450">SUMPRODUCT((Task_Table1!$C$2:$C$571=$E$1)*(A450&gt;Task_Table1!$J$2:$J$571)*(A450&lt;Task_Table1!$K$2:$K$571))</f>
        <v>5</v>
      </c>
    </row>
    <row r="451" spans="1:5">
      <c r="A451" s="5">
        <v>46319</v>
      </c>
      <c r="B451" cm="1">
        <f t="array" ref="B451">SUMPRODUCT((Task_Table1!$C$2:$C$571=$B$1)*(A451&gt;Task_Table1!$J$2:$J$571)*(A451&lt;Task_Table1!$K$2:$K$571))</f>
        <v>1</v>
      </c>
      <c r="C451" cm="1">
        <f t="array" ref="C451">SUMPRODUCT((Task_Table1!$C$2:$C$568=$C$1)*(A451&gt;Task_Table1!$J$2:$J$568)*(A451&lt;Task_Table1!$K$2:$K$568))</f>
        <v>3</v>
      </c>
      <c r="D451" cm="1">
        <f t="array" ref="D451">SUMPRODUCT((Task_Table1!$C$2:$C$571=$D$1)*(A451&gt;Task_Table1!$J$2:$J$571)*(A451&lt;Task_Table1!$K$2:$K$571))</f>
        <v>0</v>
      </c>
      <c r="E451" cm="1">
        <f t="array" ref="E451">SUMPRODUCT((Task_Table1!$C$2:$C$571=$E$1)*(A451&gt;Task_Table1!$J$2:$J$571)*(A451&lt;Task_Table1!$K$2:$K$571))</f>
        <v>5</v>
      </c>
    </row>
    <row r="452" spans="1:5">
      <c r="A452" s="5">
        <v>46320</v>
      </c>
      <c r="B452" cm="1">
        <f t="array" ref="B452">SUMPRODUCT((Task_Table1!$C$2:$C$571=$B$1)*(A452&gt;Task_Table1!$J$2:$J$571)*(A452&lt;Task_Table1!$K$2:$K$571))</f>
        <v>1</v>
      </c>
      <c r="C452" cm="1">
        <f t="array" ref="C452">SUMPRODUCT((Task_Table1!$C$2:$C$568=$C$1)*(A452&gt;Task_Table1!$J$2:$J$568)*(A452&lt;Task_Table1!$K$2:$K$568))</f>
        <v>3</v>
      </c>
      <c r="D452" cm="1">
        <f t="array" ref="D452">SUMPRODUCT((Task_Table1!$C$2:$C$571=$D$1)*(A452&gt;Task_Table1!$J$2:$J$571)*(A452&lt;Task_Table1!$K$2:$K$571))</f>
        <v>0</v>
      </c>
      <c r="E452" cm="1">
        <f t="array" ref="E452">SUMPRODUCT((Task_Table1!$C$2:$C$571=$E$1)*(A452&gt;Task_Table1!$J$2:$J$571)*(A452&lt;Task_Table1!$K$2:$K$571))</f>
        <v>5</v>
      </c>
    </row>
    <row r="453" spans="1:5">
      <c r="A453" s="5">
        <v>46321</v>
      </c>
      <c r="B453" cm="1">
        <f t="array" ref="B453">SUMPRODUCT((Task_Table1!$C$2:$C$571=$B$1)*(A453&gt;Task_Table1!$J$2:$J$571)*(A453&lt;Task_Table1!$K$2:$K$571))</f>
        <v>1</v>
      </c>
      <c r="C453" cm="1">
        <f t="array" ref="C453">SUMPRODUCT((Task_Table1!$C$2:$C$568=$C$1)*(A453&gt;Task_Table1!$J$2:$J$568)*(A453&lt;Task_Table1!$K$2:$K$568))</f>
        <v>3</v>
      </c>
      <c r="D453" cm="1">
        <f t="array" ref="D453">SUMPRODUCT((Task_Table1!$C$2:$C$571=$D$1)*(A453&gt;Task_Table1!$J$2:$J$571)*(A453&lt;Task_Table1!$K$2:$K$571))</f>
        <v>0</v>
      </c>
      <c r="E453" cm="1">
        <f t="array" ref="E453">SUMPRODUCT((Task_Table1!$C$2:$C$571=$E$1)*(A453&gt;Task_Table1!$J$2:$J$571)*(A453&lt;Task_Table1!$K$2:$K$571))</f>
        <v>5</v>
      </c>
    </row>
    <row r="454" spans="1:5">
      <c r="A454" s="5">
        <v>46322</v>
      </c>
      <c r="B454" cm="1">
        <f t="array" ref="B454">SUMPRODUCT((Task_Table1!$C$2:$C$571=$B$1)*(A454&gt;Task_Table1!$J$2:$J$571)*(A454&lt;Task_Table1!$K$2:$K$571))</f>
        <v>1</v>
      </c>
      <c r="C454" cm="1">
        <f t="array" ref="C454">SUMPRODUCT((Task_Table1!$C$2:$C$568=$C$1)*(A454&gt;Task_Table1!$J$2:$J$568)*(A454&lt;Task_Table1!$K$2:$K$568))</f>
        <v>3</v>
      </c>
      <c r="D454" cm="1">
        <f t="array" ref="D454">SUMPRODUCT((Task_Table1!$C$2:$C$571=$D$1)*(A454&gt;Task_Table1!$J$2:$J$571)*(A454&lt;Task_Table1!$K$2:$K$571))</f>
        <v>0</v>
      </c>
      <c r="E454" cm="1">
        <f t="array" ref="E454">SUMPRODUCT((Task_Table1!$C$2:$C$571=$E$1)*(A454&gt;Task_Table1!$J$2:$J$571)*(A454&lt;Task_Table1!$K$2:$K$571))</f>
        <v>5</v>
      </c>
    </row>
    <row r="455" spans="1:5">
      <c r="A455" s="5">
        <v>46323</v>
      </c>
      <c r="B455" cm="1">
        <f t="array" ref="B455">SUMPRODUCT((Task_Table1!$C$2:$C$571=$B$1)*(A455&gt;Task_Table1!$J$2:$J$571)*(A455&lt;Task_Table1!$K$2:$K$571))</f>
        <v>1</v>
      </c>
      <c r="C455" cm="1">
        <f t="array" ref="C455">SUMPRODUCT((Task_Table1!$C$2:$C$568=$C$1)*(A455&gt;Task_Table1!$J$2:$J$568)*(A455&lt;Task_Table1!$K$2:$K$568))</f>
        <v>3</v>
      </c>
      <c r="D455" cm="1">
        <f t="array" ref="D455">SUMPRODUCT((Task_Table1!$C$2:$C$571=$D$1)*(A455&gt;Task_Table1!$J$2:$J$571)*(A455&lt;Task_Table1!$K$2:$K$571))</f>
        <v>0</v>
      </c>
      <c r="E455" cm="1">
        <f t="array" ref="E455">SUMPRODUCT((Task_Table1!$C$2:$C$571=$E$1)*(A455&gt;Task_Table1!$J$2:$J$571)*(A455&lt;Task_Table1!$K$2:$K$571))</f>
        <v>5</v>
      </c>
    </row>
    <row r="456" spans="1:5">
      <c r="A456" s="5">
        <v>46324</v>
      </c>
      <c r="B456" cm="1">
        <f t="array" ref="B456">SUMPRODUCT((Task_Table1!$C$2:$C$571=$B$1)*(A456&gt;Task_Table1!$J$2:$J$571)*(A456&lt;Task_Table1!$K$2:$K$571))</f>
        <v>1</v>
      </c>
      <c r="C456" cm="1">
        <f t="array" ref="C456">SUMPRODUCT((Task_Table1!$C$2:$C$568=$C$1)*(A456&gt;Task_Table1!$J$2:$J$568)*(A456&lt;Task_Table1!$K$2:$K$568))</f>
        <v>3</v>
      </c>
      <c r="D456" cm="1">
        <f t="array" ref="D456">SUMPRODUCT((Task_Table1!$C$2:$C$571=$D$1)*(A456&gt;Task_Table1!$J$2:$J$571)*(A456&lt;Task_Table1!$K$2:$K$571))</f>
        <v>0</v>
      </c>
      <c r="E456" cm="1">
        <f t="array" ref="E456">SUMPRODUCT((Task_Table1!$C$2:$C$571=$E$1)*(A456&gt;Task_Table1!$J$2:$J$571)*(A456&lt;Task_Table1!$K$2:$K$571))</f>
        <v>5</v>
      </c>
    </row>
    <row r="457" spans="1:5">
      <c r="A457" s="5">
        <v>46325</v>
      </c>
      <c r="B457" cm="1">
        <f t="array" ref="B457">SUMPRODUCT((Task_Table1!$C$2:$C$571=$B$1)*(A457&gt;Task_Table1!$J$2:$J$571)*(A457&lt;Task_Table1!$K$2:$K$571))</f>
        <v>1</v>
      </c>
      <c r="C457" cm="1">
        <f t="array" ref="C457">SUMPRODUCT((Task_Table1!$C$2:$C$568=$C$1)*(A457&gt;Task_Table1!$J$2:$J$568)*(A457&lt;Task_Table1!$K$2:$K$568))</f>
        <v>3</v>
      </c>
      <c r="D457" cm="1">
        <f t="array" ref="D457">SUMPRODUCT((Task_Table1!$C$2:$C$571=$D$1)*(A457&gt;Task_Table1!$J$2:$J$571)*(A457&lt;Task_Table1!$K$2:$K$571))</f>
        <v>0</v>
      </c>
      <c r="E457" cm="1">
        <f t="array" ref="E457">SUMPRODUCT((Task_Table1!$C$2:$C$571=$E$1)*(A457&gt;Task_Table1!$J$2:$J$571)*(A457&lt;Task_Table1!$K$2:$K$571))</f>
        <v>5</v>
      </c>
    </row>
    <row r="458" spans="1:5">
      <c r="A458" s="5">
        <v>46326</v>
      </c>
      <c r="B458" cm="1">
        <f t="array" ref="B458">SUMPRODUCT((Task_Table1!$C$2:$C$571=$B$1)*(A458&gt;Task_Table1!$J$2:$J$571)*(A458&lt;Task_Table1!$K$2:$K$571))</f>
        <v>1</v>
      </c>
      <c r="C458" cm="1">
        <f t="array" ref="C458">SUMPRODUCT((Task_Table1!$C$2:$C$568=$C$1)*(A458&gt;Task_Table1!$J$2:$J$568)*(A458&lt;Task_Table1!$K$2:$K$568))</f>
        <v>3</v>
      </c>
      <c r="D458" cm="1">
        <f t="array" ref="D458">SUMPRODUCT((Task_Table1!$C$2:$C$571=$D$1)*(A458&gt;Task_Table1!$J$2:$J$571)*(A458&lt;Task_Table1!$K$2:$K$571))</f>
        <v>0</v>
      </c>
      <c r="E458" cm="1">
        <f t="array" ref="E458">SUMPRODUCT((Task_Table1!$C$2:$C$571=$E$1)*(A458&gt;Task_Table1!$J$2:$J$571)*(A458&lt;Task_Table1!$K$2:$K$571))</f>
        <v>5</v>
      </c>
    </row>
    <row r="459" spans="1:5">
      <c r="A459" s="5">
        <v>46327</v>
      </c>
      <c r="B459" cm="1">
        <f t="array" ref="B459">SUMPRODUCT((Task_Table1!$C$2:$C$571=$B$1)*(A459&gt;Task_Table1!$J$2:$J$571)*(A459&lt;Task_Table1!$K$2:$K$571))</f>
        <v>1</v>
      </c>
      <c r="C459" cm="1">
        <f t="array" ref="C459">SUMPRODUCT((Task_Table1!$C$2:$C$568=$C$1)*(A459&gt;Task_Table1!$J$2:$J$568)*(A459&lt;Task_Table1!$K$2:$K$568))</f>
        <v>3</v>
      </c>
      <c r="D459" cm="1">
        <f t="array" ref="D459">SUMPRODUCT((Task_Table1!$C$2:$C$571=$D$1)*(A459&gt;Task_Table1!$J$2:$J$571)*(A459&lt;Task_Table1!$K$2:$K$571))</f>
        <v>0</v>
      </c>
      <c r="E459" cm="1">
        <f t="array" ref="E459">SUMPRODUCT((Task_Table1!$C$2:$C$571=$E$1)*(A459&gt;Task_Table1!$J$2:$J$571)*(A459&lt;Task_Table1!$K$2:$K$571))</f>
        <v>5</v>
      </c>
    </row>
    <row r="460" spans="1:5">
      <c r="A460" s="5">
        <v>46328</v>
      </c>
      <c r="B460" cm="1">
        <f t="array" ref="B460">SUMPRODUCT((Task_Table1!$C$2:$C$571=$B$1)*(A460&gt;Task_Table1!$J$2:$J$571)*(A460&lt;Task_Table1!$K$2:$K$571))</f>
        <v>1</v>
      </c>
      <c r="C460" cm="1">
        <f t="array" ref="C460">SUMPRODUCT((Task_Table1!$C$2:$C$568=$C$1)*(A460&gt;Task_Table1!$J$2:$J$568)*(A460&lt;Task_Table1!$K$2:$K$568))</f>
        <v>3</v>
      </c>
      <c r="D460" cm="1">
        <f t="array" ref="D460">SUMPRODUCT((Task_Table1!$C$2:$C$571=$D$1)*(A460&gt;Task_Table1!$J$2:$J$571)*(A460&lt;Task_Table1!$K$2:$K$571))</f>
        <v>0</v>
      </c>
      <c r="E460" cm="1">
        <f t="array" ref="E460">SUMPRODUCT((Task_Table1!$C$2:$C$571=$E$1)*(A460&gt;Task_Table1!$J$2:$J$571)*(A460&lt;Task_Table1!$K$2:$K$571))</f>
        <v>5</v>
      </c>
    </row>
    <row r="461" spans="1:5">
      <c r="A461" s="5">
        <v>46329</v>
      </c>
      <c r="B461" cm="1">
        <f t="array" ref="B461">SUMPRODUCT((Task_Table1!$C$2:$C$571=$B$1)*(A461&gt;Task_Table1!$J$2:$J$571)*(A461&lt;Task_Table1!$K$2:$K$571))</f>
        <v>1</v>
      </c>
      <c r="C461" cm="1">
        <f t="array" ref="C461">SUMPRODUCT((Task_Table1!$C$2:$C$568=$C$1)*(A461&gt;Task_Table1!$J$2:$J$568)*(A461&lt;Task_Table1!$K$2:$K$568))</f>
        <v>3</v>
      </c>
      <c r="D461" cm="1">
        <f t="array" ref="D461">SUMPRODUCT((Task_Table1!$C$2:$C$571=$D$1)*(A461&gt;Task_Table1!$J$2:$J$571)*(A461&lt;Task_Table1!$K$2:$K$571))</f>
        <v>0</v>
      </c>
      <c r="E461" cm="1">
        <f t="array" ref="E461">SUMPRODUCT((Task_Table1!$C$2:$C$571=$E$1)*(A461&gt;Task_Table1!$J$2:$J$571)*(A461&lt;Task_Table1!$K$2:$K$571))</f>
        <v>5</v>
      </c>
    </row>
    <row r="462" spans="1:5">
      <c r="A462" s="5">
        <v>46330</v>
      </c>
      <c r="B462" cm="1">
        <f t="array" ref="B462">SUMPRODUCT((Task_Table1!$C$2:$C$571=$B$1)*(A462&gt;Task_Table1!$J$2:$J$571)*(A462&lt;Task_Table1!$K$2:$K$571))</f>
        <v>1</v>
      </c>
      <c r="C462" cm="1">
        <f t="array" ref="C462">SUMPRODUCT((Task_Table1!$C$2:$C$568=$C$1)*(A462&gt;Task_Table1!$J$2:$J$568)*(A462&lt;Task_Table1!$K$2:$K$568))</f>
        <v>3</v>
      </c>
      <c r="D462" cm="1">
        <f t="array" ref="D462">SUMPRODUCT((Task_Table1!$C$2:$C$571=$D$1)*(A462&gt;Task_Table1!$J$2:$J$571)*(A462&lt;Task_Table1!$K$2:$K$571))</f>
        <v>0</v>
      </c>
      <c r="E462" cm="1">
        <f t="array" ref="E462">SUMPRODUCT((Task_Table1!$C$2:$C$571=$E$1)*(A462&gt;Task_Table1!$J$2:$J$571)*(A462&lt;Task_Table1!$K$2:$K$571))</f>
        <v>5</v>
      </c>
    </row>
    <row r="463" spans="1:5">
      <c r="A463" s="5">
        <v>46331</v>
      </c>
      <c r="B463" cm="1">
        <f t="array" ref="B463">SUMPRODUCT((Task_Table1!$C$2:$C$571=$B$1)*(A463&gt;Task_Table1!$J$2:$J$571)*(A463&lt;Task_Table1!$K$2:$K$571))</f>
        <v>1</v>
      </c>
      <c r="C463" cm="1">
        <f t="array" ref="C463">SUMPRODUCT((Task_Table1!$C$2:$C$568=$C$1)*(A463&gt;Task_Table1!$J$2:$J$568)*(A463&lt;Task_Table1!$K$2:$K$568))</f>
        <v>3</v>
      </c>
      <c r="D463" cm="1">
        <f t="array" ref="D463">SUMPRODUCT((Task_Table1!$C$2:$C$571=$D$1)*(A463&gt;Task_Table1!$J$2:$J$571)*(A463&lt;Task_Table1!$K$2:$K$571))</f>
        <v>0</v>
      </c>
      <c r="E463" cm="1">
        <f t="array" ref="E463">SUMPRODUCT((Task_Table1!$C$2:$C$571=$E$1)*(A463&gt;Task_Table1!$J$2:$J$571)*(A463&lt;Task_Table1!$K$2:$K$571))</f>
        <v>5</v>
      </c>
    </row>
    <row r="464" spans="1:5">
      <c r="A464" s="5">
        <v>46332</v>
      </c>
      <c r="B464" cm="1">
        <f t="array" ref="B464">SUMPRODUCT((Task_Table1!$C$2:$C$571=$B$1)*(A464&gt;Task_Table1!$J$2:$J$571)*(A464&lt;Task_Table1!$K$2:$K$571))</f>
        <v>1</v>
      </c>
      <c r="C464" cm="1">
        <f t="array" ref="C464">SUMPRODUCT((Task_Table1!$C$2:$C$568=$C$1)*(A464&gt;Task_Table1!$J$2:$J$568)*(A464&lt;Task_Table1!$K$2:$K$568))</f>
        <v>3</v>
      </c>
      <c r="D464" cm="1">
        <f t="array" ref="D464">SUMPRODUCT((Task_Table1!$C$2:$C$571=$D$1)*(A464&gt;Task_Table1!$J$2:$J$571)*(A464&lt;Task_Table1!$K$2:$K$571))</f>
        <v>0</v>
      </c>
      <c r="E464" cm="1">
        <f t="array" ref="E464">SUMPRODUCT((Task_Table1!$C$2:$C$571=$E$1)*(A464&gt;Task_Table1!$J$2:$J$571)*(A464&lt;Task_Table1!$K$2:$K$571))</f>
        <v>5</v>
      </c>
    </row>
    <row r="465" spans="1:5">
      <c r="A465" s="5">
        <v>46333</v>
      </c>
      <c r="B465" cm="1">
        <f t="array" ref="B465">SUMPRODUCT((Task_Table1!$C$2:$C$571=$B$1)*(A465&gt;Task_Table1!$J$2:$J$571)*(A465&lt;Task_Table1!$K$2:$K$571))</f>
        <v>1</v>
      </c>
      <c r="C465" cm="1">
        <f t="array" ref="C465">SUMPRODUCT((Task_Table1!$C$2:$C$568=$C$1)*(A465&gt;Task_Table1!$J$2:$J$568)*(A465&lt;Task_Table1!$K$2:$K$568))</f>
        <v>3</v>
      </c>
      <c r="D465" cm="1">
        <f t="array" ref="D465">SUMPRODUCT((Task_Table1!$C$2:$C$571=$D$1)*(A465&gt;Task_Table1!$J$2:$J$571)*(A465&lt;Task_Table1!$K$2:$K$571))</f>
        <v>0</v>
      </c>
      <c r="E465" cm="1">
        <f t="array" ref="E465">SUMPRODUCT((Task_Table1!$C$2:$C$571=$E$1)*(A465&gt;Task_Table1!$J$2:$J$571)*(A465&lt;Task_Table1!$K$2:$K$571))</f>
        <v>5</v>
      </c>
    </row>
    <row r="466" spans="1:5">
      <c r="A466" s="5">
        <v>46334</v>
      </c>
      <c r="B466" cm="1">
        <f t="array" ref="B466">SUMPRODUCT((Task_Table1!$C$2:$C$571=$B$1)*(A466&gt;Task_Table1!$J$2:$J$571)*(A466&lt;Task_Table1!$K$2:$K$571))</f>
        <v>1</v>
      </c>
      <c r="C466" cm="1">
        <f t="array" ref="C466">SUMPRODUCT((Task_Table1!$C$2:$C$568=$C$1)*(A466&gt;Task_Table1!$J$2:$J$568)*(A466&lt;Task_Table1!$K$2:$K$568))</f>
        <v>3</v>
      </c>
      <c r="D466" cm="1">
        <f t="array" ref="D466">SUMPRODUCT((Task_Table1!$C$2:$C$571=$D$1)*(A466&gt;Task_Table1!$J$2:$J$571)*(A466&lt;Task_Table1!$K$2:$K$571))</f>
        <v>0</v>
      </c>
      <c r="E466" cm="1">
        <f t="array" ref="E466">SUMPRODUCT((Task_Table1!$C$2:$C$571=$E$1)*(A466&gt;Task_Table1!$J$2:$J$571)*(A466&lt;Task_Table1!$K$2:$K$571))</f>
        <v>5</v>
      </c>
    </row>
    <row r="467" spans="1:5">
      <c r="A467" s="5">
        <v>46335</v>
      </c>
      <c r="B467" cm="1">
        <f t="array" ref="B467">SUMPRODUCT((Task_Table1!$C$2:$C$571=$B$1)*(A467&gt;Task_Table1!$J$2:$J$571)*(A467&lt;Task_Table1!$K$2:$K$571))</f>
        <v>1</v>
      </c>
      <c r="C467" cm="1">
        <f t="array" ref="C467">SUMPRODUCT((Task_Table1!$C$2:$C$568=$C$1)*(A467&gt;Task_Table1!$J$2:$J$568)*(A467&lt;Task_Table1!$K$2:$K$568))</f>
        <v>3</v>
      </c>
      <c r="D467" cm="1">
        <f t="array" ref="D467">SUMPRODUCT((Task_Table1!$C$2:$C$571=$D$1)*(A467&gt;Task_Table1!$J$2:$J$571)*(A467&lt;Task_Table1!$K$2:$K$571))</f>
        <v>0</v>
      </c>
      <c r="E467" cm="1">
        <f t="array" ref="E467">SUMPRODUCT((Task_Table1!$C$2:$C$571=$E$1)*(A467&gt;Task_Table1!$J$2:$J$571)*(A467&lt;Task_Table1!$K$2:$K$571))</f>
        <v>5</v>
      </c>
    </row>
    <row r="468" spans="1:5">
      <c r="A468" s="5">
        <v>46336</v>
      </c>
      <c r="B468" cm="1">
        <f t="array" ref="B468">SUMPRODUCT((Task_Table1!$C$2:$C$571=$B$1)*(A468&gt;Task_Table1!$J$2:$J$571)*(A468&lt;Task_Table1!$K$2:$K$571))</f>
        <v>1</v>
      </c>
      <c r="C468" cm="1">
        <f t="array" ref="C468">SUMPRODUCT((Task_Table1!$C$2:$C$568=$C$1)*(A468&gt;Task_Table1!$J$2:$J$568)*(A468&lt;Task_Table1!$K$2:$K$568))</f>
        <v>3</v>
      </c>
      <c r="D468" cm="1">
        <f t="array" ref="D468">SUMPRODUCT((Task_Table1!$C$2:$C$571=$D$1)*(A468&gt;Task_Table1!$J$2:$J$571)*(A468&lt;Task_Table1!$K$2:$K$571))</f>
        <v>0</v>
      </c>
      <c r="E468" cm="1">
        <f t="array" ref="E468">SUMPRODUCT((Task_Table1!$C$2:$C$571=$E$1)*(A468&gt;Task_Table1!$J$2:$J$571)*(A468&lt;Task_Table1!$K$2:$K$571))</f>
        <v>5</v>
      </c>
    </row>
    <row r="469" spans="1:5">
      <c r="A469" s="5">
        <v>46337</v>
      </c>
      <c r="B469" cm="1">
        <f t="array" ref="B469">SUMPRODUCT((Task_Table1!$C$2:$C$571=$B$1)*(A469&gt;Task_Table1!$J$2:$J$571)*(A469&lt;Task_Table1!$K$2:$K$571))</f>
        <v>1</v>
      </c>
      <c r="C469" cm="1">
        <f t="array" ref="C469">SUMPRODUCT((Task_Table1!$C$2:$C$568=$C$1)*(A469&gt;Task_Table1!$J$2:$J$568)*(A469&lt;Task_Table1!$K$2:$K$568))</f>
        <v>3</v>
      </c>
      <c r="D469" cm="1">
        <f t="array" ref="D469">SUMPRODUCT((Task_Table1!$C$2:$C$571=$D$1)*(A469&gt;Task_Table1!$J$2:$J$571)*(A469&lt;Task_Table1!$K$2:$K$571))</f>
        <v>0</v>
      </c>
      <c r="E469" cm="1">
        <f t="array" ref="E469">SUMPRODUCT((Task_Table1!$C$2:$C$571=$E$1)*(A469&gt;Task_Table1!$J$2:$J$571)*(A469&lt;Task_Table1!$K$2:$K$571))</f>
        <v>5</v>
      </c>
    </row>
    <row r="470" spans="1:5">
      <c r="A470" s="5">
        <v>46338</v>
      </c>
      <c r="B470" cm="1">
        <f t="array" ref="B470">SUMPRODUCT((Task_Table1!$C$2:$C$571=$B$1)*(A470&gt;Task_Table1!$J$2:$J$571)*(A470&lt;Task_Table1!$K$2:$K$571))</f>
        <v>1</v>
      </c>
      <c r="C470" cm="1">
        <f t="array" ref="C470">SUMPRODUCT((Task_Table1!$C$2:$C$568=$C$1)*(A470&gt;Task_Table1!$J$2:$J$568)*(A470&lt;Task_Table1!$K$2:$K$568))</f>
        <v>3</v>
      </c>
      <c r="D470" cm="1">
        <f t="array" ref="D470">SUMPRODUCT((Task_Table1!$C$2:$C$571=$D$1)*(A470&gt;Task_Table1!$J$2:$J$571)*(A470&lt;Task_Table1!$K$2:$K$571))</f>
        <v>0</v>
      </c>
      <c r="E470" cm="1">
        <f t="array" ref="E470">SUMPRODUCT((Task_Table1!$C$2:$C$571=$E$1)*(A470&gt;Task_Table1!$J$2:$J$571)*(A470&lt;Task_Table1!$K$2:$K$571))</f>
        <v>5</v>
      </c>
    </row>
    <row r="471" spans="1:5">
      <c r="A471" s="5">
        <v>46339</v>
      </c>
      <c r="B471" cm="1">
        <f t="array" ref="B471">SUMPRODUCT((Task_Table1!$C$2:$C$571=$B$1)*(A471&gt;Task_Table1!$J$2:$J$571)*(A471&lt;Task_Table1!$K$2:$K$571))</f>
        <v>1</v>
      </c>
      <c r="C471" cm="1">
        <f t="array" ref="C471">SUMPRODUCT((Task_Table1!$C$2:$C$568=$C$1)*(A471&gt;Task_Table1!$J$2:$J$568)*(A471&lt;Task_Table1!$K$2:$K$568))</f>
        <v>3</v>
      </c>
      <c r="D471" cm="1">
        <f t="array" ref="D471">SUMPRODUCT((Task_Table1!$C$2:$C$571=$D$1)*(A471&gt;Task_Table1!$J$2:$J$571)*(A471&lt;Task_Table1!$K$2:$K$571))</f>
        <v>0</v>
      </c>
      <c r="E471" cm="1">
        <f t="array" ref="E471">SUMPRODUCT((Task_Table1!$C$2:$C$571=$E$1)*(A471&gt;Task_Table1!$J$2:$J$571)*(A471&lt;Task_Table1!$K$2:$K$571))</f>
        <v>5</v>
      </c>
    </row>
    <row r="472" spans="1:5">
      <c r="A472" s="5">
        <v>46340</v>
      </c>
      <c r="B472" cm="1">
        <f t="array" ref="B472">SUMPRODUCT((Task_Table1!$C$2:$C$571=$B$1)*(A472&gt;Task_Table1!$J$2:$J$571)*(A472&lt;Task_Table1!$K$2:$K$571))</f>
        <v>1</v>
      </c>
      <c r="C472" cm="1">
        <f t="array" ref="C472">SUMPRODUCT((Task_Table1!$C$2:$C$568=$C$1)*(A472&gt;Task_Table1!$J$2:$J$568)*(A472&lt;Task_Table1!$K$2:$K$568))</f>
        <v>3</v>
      </c>
      <c r="D472" cm="1">
        <f t="array" ref="D472">SUMPRODUCT((Task_Table1!$C$2:$C$571=$D$1)*(A472&gt;Task_Table1!$J$2:$J$571)*(A472&lt;Task_Table1!$K$2:$K$571))</f>
        <v>0</v>
      </c>
      <c r="E472" cm="1">
        <f t="array" ref="E472">SUMPRODUCT((Task_Table1!$C$2:$C$571=$E$1)*(A472&gt;Task_Table1!$J$2:$J$571)*(A472&lt;Task_Table1!$K$2:$K$571))</f>
        <v>5</v>
      </c>
    </row>
    <row r="473" spans="1:5">
      <c r="A473" s="5">
        <v>46341</v>
      </c>
      <c r="B473" cm="1">
        <f t="array" ref="B473">SUMPRODUCT((Task_Table1!$C$2:$C$571=$B$1)*(A473&gt;Task_Table1!$J$2:$J$571)*(A473&lt;Task_Table1!$K$2:$K$571))</f>
        <v>1</v>
      </c>
      <c r="C473" cm="1">
        <f t="array" ref="C473">SUMPRODUCT((Task_Table1!$C$2:$C$568=$C$1)*(A473&gt;Task_Table1!$J$2:$J$568)*(A473&lt;Task_Table1!$K$2:$K$568))</f>
        <v>3</v>
      </c>
      <c r="D473" cm="1">
        <f t="array" ref="D473">SUMPRODUCT((Task_Table1!$C$2:$C$571=$D$1)*(A473&gt;Task_Table1!$J$2:$J$571)*(A473&lt;Task_Table1!$K$2:$K$571))</f>
        <v>0</v>
      </c>
      <c r="E473" cm="1">
        <f t="array" ref="E473">SUMPRODUCT((Task_Table1!$C$2:$C$571=$E$1)*(A473&gt;Task_Table1!$J$2:$J$571)*(A473&lt;Task_Table1!$K$2:$K$571))</f>
        <v>5</v>
      </c>
    </row>
    <row r="474" spans="1:5">
      <c r="A474" s="5">
        <v>46342</v>
      </c>
      <c r="B474" cm="1">
        <f t="array" ref="B474">SUMPRODUCT((Task_Table1!$C$2:$C$571=$B$1)*(A474&gt;Task_Table1!$J$2:$J$571)*(A474&lt;Task_Table1!$K$2:$K$571))</f>
        <v>1</v>
      </c>
      <c r="C474" cm="1">
        <f t="array" ref="C474">SUMPRODUCT((Task_Table1!$C$2:$C$568=$C$1)*(A474&gt;Task_Table1!$J$2:$J$568)*(A474&lt;Task_Table1!$K$2:$K$568))</f>
        <v>3</v>
      </c>
      <c r="D474" cm="1">
        <f t="array" ref="D474">SUMPRODUCT((Task_Table1!$C$2:$C$571=$D$1)*(A474&gt;Task_Table1!$J$2:$J$571)*(A474&lt;Task_Table1!$K$2:$K$571))</f>
        <v>0</v>
      </c>
      <c r="E474" cm="1">
        <f t="array" ref="E474">SUMPRODUCT((Task_Table1!$C$2:$C$571=$E$1)*(A474&gt;Task_Table1!$J$2:$J$571)*(A474&lt;Task_Table1!$K$2:$K$571))</f>
        <v>5</v>
      </c>
    </row>
    <row r="475" spans="1:5">
      <c r="A475" s="5">
        <v>46343</v>
      </c>
      <c r="B475" cm="1">
        <f t="array" ref="B475">SUMPRODUCT((Task_Table1!$C$2:$C$571=$B$1)*(A475&gt;Task_Table1!$J$2:$J$571)*(A475&lt;Task_Table1!$K$2:$K$571))</f>
        <v>1</v>
      </c>
      <c r="C475" cm="1">
        <f t="array" ref="C475">SUMPRODUCT((Task_Table1!$C$2:$C$568=$C$1)*(A475&gt;Task_Table1!$J$2:$J$568)*(A475&lt;Task_Table1!$K$2:$K$568))</f>
        <v>3</v>
      </c>
      <c r="D475" cm="1">
        <f t="array" ref="D475">SUMPRODUCT((Task_Table1!$C$2:$C$571=$D$1)*(A475&gt;Task_Table1!$J$2:$J$571)*(A475&lt;Task_Table1!$K$2:$K$571))</f>
        <v>0</v>
      </c>
      <c r="E475" cm="1">
        <f t="array" ref="E475">SUMPRODUCT((Task_Table1!$C$2:$C$571=$E$1)*(A475&gt;Task_Table1!$J$2:$J$571)*(A475&lt;Task_Table1!$K$2:$K$571))</f>
        <v>5</v>
      </c>
    </row>
    <row r="476" spans="1:5">
      <c r="A476" s="5">
        <v>46344</v>
      </c>
      <c r="B476" cm="1">
        <f t="array" ref="B476">SUMPRODUCT((Task_Table1!$C$2:$C$571=$B$1)*(A476&gt;Task_Table1!$J$2:$J$571)*(A476&lt;Task_Table1!$K$2:$K$571))</f>
        <v>1</v>
      </c>
      <c r="C476" cm="1">
        <f t="array" ref="C476">SUMPRODUCT((Task_Table1!$C$2:$C$568=$C$1)*(A476&gt;Task_Table1!$J$2:$J$568)*(A476&lt;Task_Table1!$K$2:$K$568))</f>
        <v>3</v>
      </c>
      <c r="D476" cm="1">
        <f t="array" ref="D476">SUMPRODUCT((Task_Table1!$C$2:$C$571=$D$1)*(A476&gt;Task_Table1!$J$2:$J$571)*(A476&lt;Task_Table1!$K$2:$K$571))</f>
        <v>0</v>
      </c>
      <c r="E476" cm="1">
        <f t="array" ref="E476">SUMPRODUCT((Task_Table1!$C$2:$C$571=$E$1)*(A476&gt;Task_Table1!$J$2:$J$571)*(A476&lt;Task_Table1!$K$2:$K$571))</f>
        <v>5</v>
      </c>
    </row>
    <row r="477" spans="1:5">
      <c r="A477" s="5">
        <v>46345</v>
      </c>
      <c r="B477" cm="1">
        <f t="array" ref="B477">SUMPRODUCT((Task_Table1!$C$2:$C$571=$B$1)*(A477&gt;Task_Table1!$J$2:$J$571)*(A477&lt;Task_Table1!$K$2:$K$571))</f>
        <v>1</v>
      </c>
      <c r="C477" cm="1">
        <f t="array" ref="C477">SUMPRODUCT((Task_Table1!$C$2:$C$568=$C$1)*(A477&gt;Task_Table1!$J$2:$J$568)*(A477&lt;Task_Table1!$K$2:$K$568))</f>
        <v>3</v>
      </c>
      <c r="D477" cm="1">
        <f t="array" ref="D477">SUMPRODUCT((Task_Table1!$C$2:$C$571=$D$1)*(A477&gt;Task_Table1!$J$2:$J$571)*(A477&lt;Task_Table1!$K$2:$K$571))</f>
        <v>0</v>
      </c>
      <c r="E477" cm="1">
        <f t="array" ref="E477">SUMPRODUCT((Task_Table1!$C$2:$C$571=$E$1)*(A477&gt;Task_Table1!$J$2:$J$571)*(A477&lt;Task_Table1!$K$2:$K$571))</f>
        <v>5</v>
      </c>
    </row>
    <row r="478" spans="1:5">
      <c r="A478" s="5">
        <v>46346</v>
      </c>
      <c r="B478" cm="1">
        <f t="array" ref="B478">SUMPRODUCT((Task_Table1!$C$2:$C$571=$B$1)*(A478&gt;Task_Table1!$J$2:$J$571)*(A478&lt;Task_Table1!$K$2:$K$571))</f>
        <v>1</v>
      </c>
      <c r="C478" cm="1">
        <f t="array" ref="C478">SUMPRODUCT((Task_Table1!$C$2:$C$568=$C$1)*(A478&gt;Task_Table1!$J$2:$J$568)*(A478&lt;Task_Table1!$K$2:$K$568))</f>
        <v>3</v>
      </c>
      <c r="D478" cm="1">
        <f t="array" ref="D478">SUMPRODUCT((Task_Table1!$C$2:$C$571=$D$1)*(A478&gt;Task_Table1!$J$2:$J$571)*(A478&lt;Task_Table1!$K$2:$K$571))</f>
        <v>0</v>
      </c>
      <c r="E478" cm="1">
        <f t="array" ref="E478">SUMPRODUCT((Task_Table1!$C$2:$C$571=$E$1)*(A478&gt;Task_Table1!$J$2:$J$571)*(A478&lt;Task_Table1!$K$2:$K$571))</f>
        <v>5</v>
      </c>
    </row>
    <row r="479" spans="1:5">
      <c r="A479" s="5">
        <v>46347</v>
      </c>
      <c r="B479" cm="1">
        <f t="array" ref="B479">SUMPRODUCT((Task_Table1!$C$2:$C$571=$B$1)*(A479&gt;Task_Table1!$J$2:$J$571)*(A479&lt;Task_Table1!$K$2:$K$571))</f>
        <v>1</v>
      </c>
      <c r="C479" cm="1">
        <f t="array" ref="C479">SUMPRODUCT((Task_Table1!$C$2:$C$568=$C$1)*(A479&gt;Task_Table1!$J$2:$J$568)*(A479&lt;Task_Table1!$K$2:$K$568))</f>
        <v>3</v>
      </c>
      <c r="D479" cm="1">
        <f t="array" ref="D479">SUMPRODUCT((Task_Table1!$C$2:$C$571=$D$1)*(A479&gt;Task_Table1!$J$2:$J$571)*(A479&lt;Task_Table1!$K$2:$K$571))</f>
        <v>0</v>
      </c>
      <c r="E479" cm="1">
        <f t="array" ref="E479">SUMPRODUCT((Task_Table1!$C$2:$C$571=$E$1)*(A479&gt;Task_Table1!$J$2:$J$571)*(A479&lt;Task_Table1!$K$2:$K$571))</f>
        <v>5</v>
      </c>
    </row>
    <row r="480" spans="1:5">
      <c r="A480" s="5">
        <v>46348</v>
      </c>
      <c r="B480" cm="1">
        <f t="array" ref="B480">SUMPRODUCT((Task_Table1!$C$2:$C$571=$B$1)*(A480&gt;Task_Table1!$J$2:$J$571)*(A480&lt;Task_Table1!$K$2:$K$571))</f>
        <v>1</v>
      </c>
      <c r="C480" cm="1">
        <f t="array" ref="C480">SUMPRODUCT((Task_Table1!$C$2:$C$568=$C$1)*(A480&gt;Task_Table1!$J$2:$J$568)*(A480&lt;Task_Table1!$K$2:$K$568))</f>
        <v>3</v>
      </c>
      <c r="D480" cm="1">
        <f t="array" ref="D480">SUMPRODUCT((Task_Table1!$C$2:$C$571=$D$1)*(A480&gt;Task_Table1!$J$2:$J$571)*(A480&lt;Task_Table1!$K$2:$K$571))</f>
        <v>0</v>
      </c>
      <c r="E480" cm="1">
        <f t="array" ref="E480">SUMPRODUCT((Task_Table1!$C$2:$C$571=$E$1)*(A480&gt;Task_Table1!$J$2:$J$571)*(A480&lt;Task_Table1!$K$2:$K$571))</f>
        <v>5</v>
      </c>
    </row>
    <row r="481" spans="1:5">
      <c r="A481" s="5">
        <v>46349</v>
      </c>
      <c r="B481" cm="1">
        <f t="array" ref="B481">SUMPRODUCT((Task_Table1!$C$2:$C$571=$B$1)*(A481&gt;Task_Table1!$J$2:$J$571)*(A481&lt;Task_Table1!$K$2:$K$571))</f>
        <v>1</v>
      </c>
      <c r="C481" cm="1">
        <f t="array" ref="C481">SUMPRODUCT((Task_Table1!$C$2:$C$568=$C$1)*(A481&gt;Task_Table1!$J$2:$J$568)*(A481&lt;Task_Table1!$K$2:$K$568))</f>
        <v>3</v>
      </c>
      <c r="D481" cm="1">
        <f t="array" ref="D481">SUMPRODUCT((Task_Table1!$C$2:$C$571=$D$1)*(A481&gt;Task_Table1!$J$2:$J$571)*(A481&lt;Task_Table1!$K$2:$K$571))</f>
        <v>0</v>
      </c>
      <c r="E481" cm="1">
        <f t="array" ref="E481">SUMPRODUCT((Task_Table1!$C$2:$C$571=$E$1)*(A481&gt;Task_Table1!$J$2:$J$571)*(A481&lt;Task_Table1!$K$2:$K$571))</f>
        <v>5</v>
      </c>
    </row>
    <row r="482" spans="1:5">
      <c r="A482" s="5">
        <v>46350</v>
      </c>
      <c r="B482" cm="1">
        <f t="array" ref="B482">SUMPRODUCT((Task_Table1!$C$2:$C$571=$B$1)*(A482&gt;Task_Table1!$J$2:$J$571)*(A482&lt;Task_Table1!$K$2:$K$571))</f>
        <v>1</v>
      </c>
      <c r="C482" cm="1">
        <f t="array" ref="C482">SUMPRODUCT((Task_Table1!$C$2:$C$568=$C$1)*(A482&gt;Task_Table1!$J$2:$J$568)*(A482&lt;Task_Table1!$K$2:$K$568))</f>
        <v>3</v>
      </c>
      <c r="D482" cm="1">
        <f t="array" ref="D482">SUMPRODUCT((Task_Table1!$C$2:$C$571=$D$1)*(A482&gt;Task_Table1!$J$2:$J$571)*(A482&lt;Task_Table1!$K$2:$K$571))</f>
        <v>0</v>
      </c>
      <c r="E482" cm="1">
        <f t="array" ref="E482">SUMPRODUCT((Task_Table1!$C$2:$C$571=$E$1)*(A482&gt;Task_Table1!$J$2:$J$571)*(A482&lt;Task_Table1!$K$2:$K$571))</f>
        <v>5</v>
      </c>
    </row>
    <row r="483" spans="1:5">
      <c r="A483" s="5">
        <v>46351</v>
      </c>
      <c r="B483" cm="1">
        <f t="array" ref="B483">SUMPRODUCT((Task_Table1!$C$2:$C$571=$B$1)*(A483&gt;Task_Table1!$J$2:$J$571)*(A483&lt;Task_Table1!$K$2:$K$571))</f>
        <v>1</v>
      </c>
      <c r="C483" cm="1">
        <f t="array" ref="C483">SUMPRODUCT((Task_Table1!$C$2:$C$568=$C$1)*(A483&gt;Task_Table1!$J$2:$J$568)*(A483&lt;Task_Table1!$K$2:$K$568))</f>
        <v>3</v>
      </c>
      <c r="D483" cm="1">
        <f t="array" ref="D483">SUMPRODUCT((Task_Table1!$C$2:$C$571=$D$1)*(A483&gt;Task_Table1!$J$2:$J$571)*(A483&lt;Task_Table1!$K$2:$K$571))</f>
        <v>0</v>
      </c>
      <c r="E483" cm="1">
        <f t="array" ref="E483">SUMPRODUCT((Task_Table1!$C$2:$C$571=$E$1)*(A483&gt;Task_Table1!$J$2:$J$571)*(A483&lt;Task_Table1!$K$2:$K$571))</f>
        <v>5</v>
      </c>
    </row>
    <row r="484" spans="1:5">
      <c r="A484" s="5">
        <v>46352</v>
      </c>
      <c r="B484" cm="1">
        <f t="array" ref="B484">SUMPRODUCT((Task_Table1!$C$2:$C$571=$B$1)*(A484&gt;Task_Table1!$J$2:$J$571)*(A484&lt;Task_Table1!$K$2:$K$571))</f>
        <v>1</v>
      </c>
      <c r="C484" cm="1">
        <f t="array" ref="C484">SUMPRODUCT((Task_Table1!$C$2:$C$568=$C$1)*(A484&gt;Task_Table1!$J$2:$J$568)*(A484&lt;Task_Table1!$K$2:$K$568))</f>
        <v>3</v>
      </c>
      <c r="D484" cm="1">
        <f t="array" ref="D484">SUMPRODUCT((Task_Table1!$C$2:$C$571=$D$1)*(A484&gt;Task_Table1!$J$2:$J$571)*(A484&lt;Task_Table1!$K$2:$K$571))</f>
        <v>0</v>
      </c>
      <c r="E484" cm="1">
        <f t="array" ref="E484">SUMPRODUCT((Task_Table1!$C$2:$C$571=$E$1)*(A484&gt;Task_Table1!$J$2:$J$571)*(A484&lt;Task_Table1!$K$2:$K$571))</f>
        <v>5</v>
      </c>
    </row>
    <row r="485" spans="1:5">
      <c r="A485" s="5">
        <v>46353</v>
      </c>
      <c r="B485" cm="1">
        <f t="array" ref="B485">SUMPRODUCT((Task_Table1!$C$2:$C$571=$B$1)*(A485&gt;Task_Table1!$J$2:$J$571)*(A485&lt;Task_Table1!$K$2:$K$571))</f>
        <v>1</v>
      </c>
      <c r="C485" cm="1">
        <f t="array" ref="C485">SUMPRODUCT((Task_Table1!$C$2:$C$568=$C$1)*(A485&gt;Task_Table1!$J$2:$J$568)*(A485&lt;Task_Table1!$K$2:$K$568))</f>
        <v>3</v>
      </c>
      <c r="D485" cm="1">
        <f t="array" ref="D485">SUMPRODUCT((Task_Table1!$C$2:$C$571=$D$1)*(A485&gt;Task_Table1!$J$2:$J$571)*(A485&lt;Task_Table1!$K$2:$K$571))</f>
        <v>0</v>
      </c>
      <c r="E485" cm="1">
        <f t="array" ref="E485">SUMPRODUCT((Task_Table1!$C$2:$C$571=$E$1)*(A485&gt;Task_Table1!$J$2:$J$571)*(A485&lt;Task_Table1!$K$2:$K$571))</f>
        <v>5</v>
      </c>
    </row>
    <row r="486" spans="1:5">
      <c r="A486" s="5">
        <v>46354</v>
      </c>
      <c r="B486" cm="1">
        <f t="array" ref="B486">SUMPRODUCT((Task_Table1!$C$2:$C$571=$B$1)*(A486&gt;Task_Table1!$J$2:$J$571)*(A486&lt;Task_Table1!$K$2:$K$571))</f>
        <v>1</v>
      </c>
      <c r="C486" cm="1">
        <f t="array" ref="C486">SUMPRODUCT((Task_Table1!$C$2:$C$568=$C$1)*(A486&gt;Task_Table1!$J$2:$J$568)*(A486&lt;Task_Table1!$K$2:$K$568))</f>
        <v>3</v>
      </c>
      <c r="D486" cm="1">
        <f t="array" ref="D486">SUMPRODUCT((Task_Table1!$C$2:$C$571=$D$1)*(A486&gt;Task_Table1!$J$2:$J$571)*(A486&lt;Task_Table1!$K$2:$K$571))</f>
        <v>0</v>
      </c>
      <c r="E486" cm="1">
        <f t="array" ref="E486">SUMPRODUCT((Task_Table1!$C$2:$C$571=$E$1)*(A486&gt;Task_Table1!$J$2:$J$571)*(A486&lt;Task_Table1!$K$2:$K$571))</f>
        <v>5</v>
      </c>
    </row>
    <row r="487" spans="1:5">
      <c r="A487" s="5">
        <v>46355</v>
      </c>
      <c r="B487" cm="1">
        <f t="array" ref="B487">SUMPRODUCT((Task_Table1!$C$2:$C$571=$B$1)*(A487&gt;Task_Table1!$J$2:$J$571)*(A487&lt;Task_Table1!$K$2:$K$571))</f>
        <v>1</v>
      </c>
      <c r="C487" cm="1">
        <f t="array" ref="C487">SUMPRODUCT((Task_Table1!$C$2:$C$568=$C$1)*(A487&gt;Task_Table1!$J$2:$J$568)*(A487&lt;Task_Table1!$K$2:$K$568))</f>
        <v>3</v>
      </c>
      <c r="D487" cm="1">
        <f t="array" ref="D487">SUMPRODUCT((Task_Table1!$C$2:$C$571=$D$1)*(A487&gt;Task_Table1!$J$2:$J$571)*(A487&lt;Task_Table1!$K$2:$K$571))</f>
        <v>0</v>
      </c>
      <c r="E487" cm="1">
        <f t="array" ref="E487">SUMPRODUCT((Task_Table1!$C$2:$C$571=$E$1)*(A487&gt;Task_Table1!$J$2:$J$571)*(A487&lt;Task_Table1!$K$2:$K$571))</f>
        <v>5</v>
      </c>
    </row>
    <row r="488" spans="1:5">
      <c r="A488" s="5">
        <v>46356</v>
      </c>
      <c r="B488" cm="1">
        <f t="array" ref="B488">SUMPRODUCT((Task_Table1!$C$2:$C$571=$B$1)*(A488&gt;Task_Table1!$J$2:$J$571)*(A488&lt;Task_Table1!$K$2:$K$571))</f>
        <v>1</v>
      </c>
      <c r="C488" cm="1">
        <f t="array" ref="C488">SUMPRODUCT((Task_Table1!$C$2:$C$568=$C$1)*(A488&gt;Task_Table1!$J$2:$J$568)*(A488&lt;Task_Table1!$K$2:$K$568))</f>
        <v>3</v>
      </c>
      <c r="D488" cm="1">
        <f t="array" ref="D488">SUMPRODUCT((Task_Table1!$C$2:$C$571=$D$1)*(A488&gt;Task_Table1!$J$2:$J$571)*(A488&lt;Task_Table1!$K$2:$K$571))</f>
        <v>0</v>
      </c>
      <c r="E488" cm="1">
        <f t="array" ref="E488">SUMPRODUCT((Task_Table1!$C$2:$C$571=$E$1)*(A488&gt;Task_Table1!$J$2:$J$571)*(A488&lt;Task_Table1!$K$2:$K$571))</f>
        <v>3</v>
      </c>
    </row>
    <row r="489" spans="1:5">
      <c r="A489" s="5">
        <v>46357</v>
      </c>
      <c r="B489" cm="1">
        <f t="array" ref="B489">SUMPRODUCT((Task_Table1!$C$2:$C$571=$B$1)*(A489&gt;Task_Table1!$J$2:$J$571)*(A489&lt;Task_Table1!$K$2:$K$571))</f>
        <v>1</v>
      </c>
      <c r="C489" cm="1">
        <f t="array" ref="C489">SUMPRODUCT((Task_Table1!$C$2:$C$568=$C$1)*(A489&gt;Task_Table1!$J$2:$J$568)*(A489&lt;Task_Table1!$K$2:$K$568))</f>
        <v>3</v>
      </c>
      <c r="D489" cm="1">
        <f t="array" ref="D489">SUMPRODUCT((Task_Table1!$C$2:$C$571=$D$1)*(A489&gt;Task_Table1!$J$2:$J$571)*(A489&lt;Task_Table1!$K$2:$K$571))</f>
        <v>0</v>
      </c>
      <c r="E489" cm="1">
        <f t="array" ref="E489">SUMPRODUCT((Task_Table1!$C$2:$C$571=$E$1)*(A489&gt;Task_Table1!$J$2:$J$571)*(A489&lt;Task_Table1!$K$2:$K$571))</f>
        <v>3</v>
      </c>
    </row>
    <row r="490" spans="1:5">
      <c r="A490" s="5">
        <v>46358</v>
      </c>
      <c r="B490" cm="1">
        <f t="array" ref="B490">SUMPRODUCT((Task_Table1!$C$2:$C$571=$B$1)*(A490&gt;Task_Table1!$J$2:$J$571)*(A490&lt;Task_Table1!$K$2:$K$571))</f>
        <v>1</v>
      </c>
      <c r="C490" cm="1">
        <f t="array" ref="C490">SUMPRODUCT((Task_Table1!$C$2:$C$568=$C$1)*(A490&gt;Task_Table1!$J$2:$J$568)*(A490&lt;Task_Table1!$K$2:$K$568))</f>
        <v>3</v>
      </c>
      <c r="D490" cm="1">
        <f t="array" ref="D490">SUMPRODUCT((Task_Table1!$C$2:$C$571=$D$1)*(A490&gt;Task_Table1!$J$2:$J$571)*(A490&lt;Task_Table1!$K$2:$K$571))</f>
        <v>0</v>
      </c>
      <c r="E490" cm="1">
        <f t="array" ref="E490">SUMPRODUCT((Task_Table1!$C$2:$C$571=$E$1)*(A490&gt;Task_Table1!$J$2:$J$571)*(A490&lt;Task_Table1!$K$2:$K$571))</f>
        <v>3</v>
      </c>
    </row>
    <row r="491" spans="1:5">
      <c r="A491" s="5">
        <v>46359</v>
      </c>
      <c r="B491" cm="1">
        <f t="array" ref="B491">SUMPRODUCT((Task_Table1!$C$2:$C$571=$B$1)*(A491&gt;Task_Table1!$J$2:$J$571)*(A491&lt;Task_Table1!$K$2:$K$571))</f>
        <v>1</v>
      </c>
      <c r="C491" cm="1">
        <f t="array" ref="C491">SUMPRODUCT((Task_Table1!$C$2:$C$568=$C$1)*(A491&gt;Task_Table1!$J$2:$J$568)*(A491&lt;Task_Table1!$K$2:$K$568))</f>
        <v>3</v>
      </c>
      <c r="D491" cm="1">
        <f t="array" ref="D491">SUMPRODUCT((Task_Table1!$C$2:$C$571=$D$1)*(A491&gt;Task_Table1!$J$2:$J$571)*(A491&lt;Task_Table1!$K$2:$K$571))</f>
        <v>0</v>
      </c>
      <c r="E491" cm="1">
        <f t="array" ref="E491">SUMPRODUCT((Task_Table1!$C$2:$C$571=$E$1)*(A491&gt;Task_Table1!$J$2:$J$571)*(A491&lt;Task_Table1!$K$2:$K$571))</f>
        <v>3</v>
      </c>
    </row>
    <row r="492" spans="1:5">
      <c r="A492" s="5">
        <v>46360</v>
      </c>
      <c r="B492" cm="1">
        <f t="array" ref="B492">SUMPRODUCT((Task_Table1!$C$2:$C$571=$B$1)*(A492&gt;Task_Table1!$J$2:$J$571)*(A492&lt;Task_Table1!$K$2:$K$571))</f>
        <v>1</v>
      </c>
      <c r="C492" cm="1">
        <f t="array" ref="C492">SUMPRODUCT((Task_Table1!$C$2:$C$568=$C$1)*(A492&gt;Task_Table1!$J$2:$J$568)*(A492&lt;Task_Table1!$K$2:$K$568))</f>
        <v>3</v>
      </c>
      <c r="D492" cm="1">
        <f t="array" ref="D492">SUMPRODUCT((Task_Table1!$C$2:$C$571=$D$1)*(A492&gt;Task_Table1!$J$2:$J$571)*(A492&lt;Task_Table1!$K$2:$K$571))</f>
        <v>0</v>
      </c>
      <c r="E492" cm="1">
        <f t="array" ref="E492">SUMPRODUCT((Task_Table1!$C$2:$C$571=$E$1)*(A492&gt;Task_Table1!$J$2:$J$571)*(A492&lt;Task_Table1!$K$2:$K$571))</f>
        <v>3</v>
      </c>
    </row>
    <row r="493" spans="1:5">
      <c r="A493" s="5">
        <v>46361</v>
      </c>
      <c r="B493" cm="1">
        <f t="array" ref="B493">SUMPRODUCT((Task_Table1!$C$2:$C$571=$B$1)*(A493&gt;Task_Table1!$J$2:$J$571)*(A493&lt;Task_Table1!$K$2:$K$571))</f>
        <v>1</v>
      </c>
      <c r="C493" cm="1">
        <f t="array" ref="C493">SUMPRODUCT((Task_Table1!$C$2:$C$568=$C$1)*(A493&gt;Task_Table1!$J$2:$J$568)*(A493&lt;Task_Table1!$K$2:$K$568))</f>
        <v>3</v>
      </c>
      <c r="D493" cm="1">
        <f t="array" ref="D493">SUMPRODUCT((Task_Table1!$C$2:$C$571=$D$1)*(A493&gt;Task_Table1!$J$2:$J$571)*(A493&lt;Task_Table1!$K$2:$K$571))</f>
        <v>0</v>
      </c>
      <c r="E493" cm="1">
        <f t="array" ref="E493">SUMPRODUCT((Task_Table1!$C$2:$C$571=$E$1)*(A493&gt;Task_Table1!$J$2:$J$571)*(A493&lt;Task_Table1!$K$2:$K$571))</f>
        <v>3</v>
      </c>
    </row>
    <row r="494" spans="1:5">
      <c r="A494" s="5">
        <v>46362</v>
      </c>
      <c r="B494" cm="1">
        <f t="array" ref="B494">SUMPRODUCT((Task_Table1!$C$2:$C$571=$B$1)*(A494&gt;Task_Table1!$J$2:$J$571)*(A494&lt;Task_Table1!$K$2:$K$571))</f>
        <v>1</v>
      </c>
      <c r="C494" cm="1">
        <f t="array" ref="C494">SUMPRODUCT((Task_Table1!$C$2:$C$568=$C$1)*(A494&gt;Task_Table1!$J$2:$J$568)*(A494&lt;Task_Table1!$K$2:$K$568))</f>
        <v>3</v>
      </c>
      <c r="D494" cm="1">
        <f t="array" ref="D494">SUMPRODUCT((Task_Table1!$C$2:$C$571=$D$1)*(A494&gt;Task_Table1!$J$2:$J$571)*(A494&lt;Task_Table1!$K$2:$K$571))</f>
        <v>0</v>
      </c>
      <c r="E494" cm="1">
        <f t="array" ref="E494">SUMPRODUCT((Task_Table1!$C$2:$C$571=$E$1)*(A494&gt;Task_Table1!$J$2:$J$571)*(A494&lt;Task_Table1!$K$2:$K$571))</f>
        <v>3</v>
      </c>
    </row>
    <row r="495" spans="1:5">
      <c r="A495" s="5">
        <v>46363</v>
      </c>
      <c r="B495" cm="1">
        <f t="array" ref="B495">SUMPRODUCT((Task_Table1!$C$2:$C$571=$B$1)*(A495&gt;Task_Table1!$J$2:$J$571)*(A495&lt;Task_Table1!$K$2:$K$571))</f>
        <v>1</v>
      </c>
      <c r="C495" cm="1">
        <f t="array" ref="C495">SUMPRODUCT((Task_Table1!$C$2:$C$568=$C$1)*(A495&gt;Task_Table1!$J$2:$J$568)*(A495&lt;Task_Table1!$K$2:$K$568))</f>
        <v>3</v>
      </c>
      <c r="D495" cm="1">
        <f t="array" ref="D495">SUMPRODUCT((Task_Table1!$C$2:$C$571=$D$1)*(A495&gt;Task_Table1!$J$2:$J$571)*(A495&lt;Task_Table1!$K$2:$K$571))</f>
        <v>0</v>
      </c>
      <c r="E495" cm="1">
        <f t="array" ref="E495">SUMPRODUCT((Task_Table1!$C$2:$C$571=$E$1)*(A495&gt;Task_Table1!$J$2:$J$571)*(A495&lt;Task_Table1!$K$2:$K$571))</f>
        <v>3</v>
      </c>
    </row>
    <row r="496" spans="1:5">
      <c r="A496" s="5">
        <v>46364</v>
      </c>
      <c r="B496" cm="1">
        <f t="array" ref="B496">SUMPRODUCT((Task_Table1!$C$2:$C$571=$B$1)*(A496&gt;Task_Table1!$J$2:$J$571)*(A496&lt;Task_Table1!$K$2:$K$571))</f>
        <v>1</v>
      </c>
      <c r="C496" cm="1">
        <f t="array" ref="C496">SUMPRODUCT((Task_Table1!$C$2:$C$568=$C$1)*(A496&gt;Task_Table1!$J$2:$J$568)*(A496&lt;Task_Table1!$K$2:$K$568))</f>
        <v>3</v>
      </c>
      <c r="D496" cm="1">
        <f t="array" ref="D496">SUMPRODUCT((Task_Table1!$C$2:$C$571=$D$1)*(A496&gt;Task_Table1!$J$2:$J$571)*(A496&lt;Task_Table1!$K$2:$K$571))</f>
        <v>0</v>
      </c>
      <c r="E496" cm="1">
        <f t="array" ref="E496">SUMPRODUCT((Task_Table1!$C$2:$C$571=$E$1)*(A496&gt;Task_Table1!$J$2:$J$571)*(A496&lt;Task_Table1!$K$2:$K$571))</f>
        <v>3</v>
      </c>
    </row>
    <row r="497" spans="1:5">
      <c r="A497" s="5">
        <v>46365</v>
      </c>
      <c r="B497" cm="1">
        <f t="array" ref="B497">SUMPRODUCT((Task_Table1!$C$2:$C$571=$B$1)*(A497&gt;Task_Table1!$J$2:$J$571)*(A497&lt;Task_Table1!$K$2:$K$571))</f>
        <v>1</v>
      </c>
      <c r="C497" cm="1">
        <f t="array" ref="C497">SUMPRODUCT((Task_Table1!$C$2:$C$568=$C$1)*(A497&gt;Task_Table1!$J$2:$J$568)*(A497&lt;Task_Table1!$K$2:$K$568))</f>
        <v>3</v>
      </c>
      <c r="D497" cm="1">
        <f t="array" ref="D497">SUMPRODUCT((Task_Table1!$C$2:$C$571=$D$1)*(A497&gt;Task_Table1!$J$2:$J$571)*(A497&lt;Task_Table1!$K$2:$K$571))</f>
        <v>0</v>
      </c>
      <c r="E497" cm="1">
        <f t="array" ref="E497">SUMPRODUCT((Task_Table1!$C$2:$C$571=$E$1)*(A497&gt;Task_Table1!$J$2:$J$571)*(A497&lt;Task_Table1!$K$2:$K$571))</f>
        <v>3</v>
      </c>
    </row>
    <row r="498" spans="1:5">
      <c r="A498" s="5">
        <v>46366</v>
      </c>
      <c r="B498" cm="1">
        <f t="array" ref="B498">SUMPRODUCT((Task_Table1!$C$2:$C$571=$B$1)*(A498&gt;Task_Table1!$J$2:$J$571)*(A498&lt;Task_Table1!$K$2:$K$571))</f>
        <v>1</v>
      </c>
      <c r="C498" cm="1">
        <f t="array" ref="C498">SUMPRODUCT((Task_Table1!$C$2:$C$568=$C$1)*(A498&gt;Task_Table1!$J$2:$J$568)*(A498&lt;Task_Table1!$K$2:$K$568))</f>
        <v>3</v>
      </c>
      <c r="D498" cm="1">
        <f t="array" ref="D498">SUMPRODUCT((Task_Table1!$C$2:$C$571=$D$1)*(A498&gt;Task_Table1!$J$2:$J$571)*(A498&lt;Task_Table1!$K$2:$K$571))</f>
        <v>0</v>
      </c>
      <c r="E498" cm="1">
        <f t="array" ref="E498">SUMPRODUCT((Task_Table1!$C$2:$C$571=$E$1)*(A498&gt;Task_Table1!$J$2:$J$571)*(A498&lt;Task_Table1!$K$2:$K$571))</f>
        <v>3</v>
      </c>
    </row>
    <row r="499" spans="1:5">
      <c r="A499" s="5">
        <v>46367</v>
      </c>
      <c r="B499" cm="1">
        <f t="array" ref="B499">SUMPRODUCT((Task_Table1!$C$2:$C$571=$B$1)*(A499&gt;Task_Table1!$J$2:$J$571)*(A499&lt;Task_Table1!$K$2:$K$571))</f>
        <v>1</v>
      </c>
      <c r="C499" cm="1">
        <f t="array" ref="C499">SUMPRODUCT((Task_Table1!$C$2:$C$568=$C$1)*(A499&gt;Task_Table1!$J$2:$J$568)*(A499&lt;Task_Table1!$K$2:$K$568))</f>
        <v>3</v>
      </c>
      <c r="D499" cm="1">
        <f t="array" ref="D499">SUMPRODUCT((Task_Table1!$C$2:$C$571=$D$1)*(A499&gt;Task_Table1!$J$2:$J$571)*(A499&lt;Task_Table1!$K$2:$K$571))</f>
        <v>0</v>
      </c>
      <c r="E499" cm="1">
        <f t="array" ref="E499">SUMPRODUCT((Task_Table1!$C$2:$C$571=$E$1)*(A499&gt;Task_Table1!$J$2:$J$571)*(A499&lt;Task_Table1!$K$2:$K$571))</f>
        <v>3</v>
      </c>
    </row>
    <row r="500" spans="1:5">
      <c r="A500" s="5">
        <v>46368</v>
      </c>
      <c r="B500" cm="1">
        <f t="array" ref="B500">SUMPRODUCT((Task_Table1!$C$2:$C$571=$B$1)*(A500&gt;Task_Table1!$J$2:$J$571)*(A500&lt;Task_Table1!$K$2:$K$571))</f>
        <v>1</v>
      </c>
      <c r="C500" cm="1">
        <f t="array" ref="C500">SUMPRODUCT((Task_Table1!$C$2:$C$568=$C$1)*(A500&gt;Task_Table1!$J$2:$J$568)*(A500&lt;Task_Table1!$K$2:$K$568))</f>
        <v>3</v>
      </c>
      <c r="D500" cm="1">
        <f t="array" ref="D500">SUMPRODUCT((Task_Table1!$C$2:$C$571=$D$1)*(A500&gt;Task_Table1!$J$2:$J$571)*(A500&lt;Task_Table1!$K$2:$K$571))</f>
        <v>0</v>
      </c>
      <c r="E500" cm="1">
        <f t="array" ref="E500">SUMPRODUCT((Task_Table1!$C$2:$C$571=$E$1)*(A500&gt;Task_Table1!$J$2:$J$571)*(A500&lt;Task_Table1!$K$2:$K$571))</f>
        <v>3</v>
      </c>
    </row>
    <row r="501" spans="1:5">
      <c r="A501" s="5">
        <v>46369</v>
      </c>
      <c r="B501" cm="1">
        <f t="array" ref="B501">SUMPRODUCT((Task_Table1!$C$2:$C$571=$B$1)*(A501&gt;Task_Table1!$J$2:$J$571)*(A501&lt;Task_Table1!$K$2:$K$571))</f>
        <v>1</v>
      </c>
      <c r="C501" cm="1">
        <f t="array" ref="C501">SUMPRODUCT((Task_Table1!$C$2:$C$568=$C$1)*(A501&gt;Task_Table1!$J$2:$J$568)*(A501&lt;Task_Table1!$K$2:$K$568))</f>
        <v>3</v>
      </c>
      <c r="D501" cm="1">
        <f t="array" ref="D501">SUMPRODUCT((Task_Table1!$C$2:$C$571=$D$1)*(A501&gt;Task_Table1!$J$2:$J$571)*(A501&lt;Task_Table1!$K$2:$K$571))</f>
        <v>0</v>
      </c>
      <c r="E501" cm="1">
        <f t="array" ref="E501">SUMPRODUCT((Task_Table1!$C$2:$C$571=$E$1)*(A501&gt;Task_Table1!$J$2:$J$571)*(A501&lt;Task_Table1!$K$2:$K$571))</f>
        <v>3</v>
      </c>
    </row>
    <row r="502" spans="1:5">
      <c r="A502" s="5">
        <v>46370</v>
      </c>
      <c r="B502" cm="1">
        <f t="array" ref="B502">SUMPRODUCT((Task_Table1!$C$2:$C$571=$B$1)*(A502&gt;Task_Table1!$J$2:$J$571)*(A502&lt;Task_Table1!$K$2:$K$571))</f>
        <v>1</v>
      </c>
      <c r="C502" cm="1">
        <f t="array" ref="C502">SUMPRODUCT((Task_Table1!$C$2:$C$568=$C$1)*(A502&gt;Task_Table1!$J$2:$J$568)*(A502&lt;Task_Table1!$K$2:$K$568))</f>
        <v>3</v>
      </c>
      <c r="D502" cm="1">
        <f t="array" ref="D502">SUMPRODUCT((Task_Table1!$C$2:$C$571=$D$1)*(A502&gt;Task_Table1!$J$2:$J$571)*(A502&lt;Task_Table1!$K$2:$K$571))</f>
        <v>0</v>
      </c>
      <c r="E502" cm="1">
        <f t="array" ref="E502">SUMPRODUCT((Task_Table1!$C$2:$C$571=$E$1)*(A502&gt;Task_Table1!$J$2:$J$571)*(A502&lt;Task_Table1!$K$2:$K$571))</f>
        <v>3</v>
      </c>
    </row>
    <row r="503" spans="1:5">
      <c r="A503" s="5">
        <v>46371</v>
      </c>
      <c r="B503" cm="1">
        <f t="array" ref="B503">SUMPRODUCT((Task_Table1!$C$2:$C$571=$B$1)*(A503&gt;Task_Table1!$J$2:$J$571)*(A503&lt;Task_Table1!$K$2:$K$571))</f>
        <v>1</v>
      </c>
      <c r="C503" cm="1">
        <f t="array" ref="C503">SUMPRODUCT((Task_Table1!$C$2:$C$568=$C$1)*(A503&gt;Task_Table1!$J$2:$J$568)*(A503&lt;Task_Table1!$K$2:$K$568))</f>
        <v>3</v>
      </c>
      <c r="D503" cm="1">
        <f t="array" ref="D503">SUMPRODUCT((Task_Table1!$C$2:$C$571=$D$1)*(A503&gt;Task_Table1!$J$2:$J$571)*(A503&lt;Task_Table1!$K$2:$K$571))</f>
        <v>0</v>
      </c>
      <c r="E503" cm="1">
        <f t="array" ref="E503">SUMPRODUCT((Task_Table1!$C$2:$C$571=$E$1)*(A503&gt;Task_Table1!$J$2:$J$571)*(A503&lt;Task_Table1!$K$2:$K$571))</f>
        <v>3</v>
      </c>
    </row>
    <row r="504" spans="1:5">
      <c r="A504" s="5">
        <v>46372</v>
      </c>
      <c r="B504" cm="1">
        <f t="array" ref="B504">SUMPRODUCT((Task_Table1!$C$2:$C$571=$B$1)*(A504&gt;Task_Table1!$J$2:$J$571)*(A504&lt;Task_Table1!$K$2:$K$571))</f>
        <v>1</v>
      </c>
      <c r="C504" cm="1">
        <f t="array" ref="C504">SUMPRODUCT((Task_Table1!$C$2:$C$568=$C$1)*(A504&gt;Task_Table1!$J$2:$J$568)*(A504&lt;Task_Table1!$K$2:$K$568))</f>
        <v>3</v>
      </c>
      <c r="D504" cm="1">
        <f t="array" ref="D504">SUMPRODUCT((Task_Table1!$C$2:$C$571=$D$1)*(A504&gt;Task_Table1!$J$2:$J$571)*(A504&lt;Task_Table1!$K$2:$K$571))</f>
        <v>0</v>
      </c>
      <c r="E504" cm="1">
        <f t="array" ref="E504">SUMPRODUCT((Task_Table1!$C$2:$C$571=$E$1)*(A504&gt;Task_Table1!$J$2:$J$571)*(A504&lt;Task_Table1!$K$2:$K$571))</f>
        <v>3</v>
      </c>
    </row>
    <row r="505" spans="1:5">
      <c r="A505" s="5">
        <v>46373</v>
      </c>
      <c r="B505" cm="1">
        <f t="array" ref="B505">SUMPRODUCT((Task_Table1!$C$2:$C$571=$B$1)*(A505&gt;Task_Table1!$J$2:$J$571)*(A505&lt;Task_Table1!$K$2:$K$571))</f>
        <v>1</v>
      </c>
      <c r="C505" cm="1">
        <f t="array" ref="C505">SUMPRODUCT((Task_Table1!$C$2:$C$568=$C$1)*(A505&gt;Task_Table1!$J$2:$J$568)*(A505&lt;Task_Table1!$K$2:$K$568))</f>
        <v>3</v>
      </c>
      <c r="D505" cm="1">
        <f t="array" ref="D505">SUMPRODUCT((Task_Table1!$C$2:$C$571=$D$1)*(A505&gt;Task_Table1!$J$2:$J$571)*(A505&lt;Task_Table1!$K$2:$K$571))</f>
        <v>0</v>
      </c>
      <c r="E505" cm="1">
        <f t="array" ref="E505">SUMPRODUCT((Task_Table1!$C$2:$C$571=$E$1)*(A505&gt;Task_Table1!$J$2:$J$571)*(A505&lt;Task_Table1!$K$2:$K$571))</f>
        <v>3</v>
      </c>
    </row>
    <row r="506" spans="1:5">
      <c r="A506" s="5">
        <v>46374</v>
      </c>
      <c r="B506" cm="1">
        <f t="array" ref="B506">SUMPRODUCT((Task_Table1!$C$2:$C$571=$B$1)*(A506&gt;Task_Table1!$J$2:$J$571)*(A506&lt;Task_Table1!$K$2:$K$571))</f>
        <v>1</v>
      </c>
      <c r="C506" cm="1">
        <f t="array" ref="C506">SUMPRODUCT((Task_Table1!$C$2:$C$568=$C$1)*(A506&gt;Task_Table1!$J$2:$J$568)*(A506&lt;Task_Table1!$K$2:$K$568))</f>
        <v>3</v>
      </c>
      <c r="D506" cm="1">
        <f t="array" ref="D506">SUMPRODUCT((Task_Table1!$C$2:$C$571=$D$1)*(A506&gt;Task_Table1!$J$2:$J$571)*(A506&lt;Task_Table1!$K$2:$K$571))</f>
        <v>0</v>
      </c>
      <c r="E506" cm="1">
        <f t="array" ref="E506">SUMPRODUCT((Task_Table1!$C$2:$C$571=$E$1)*(A506&gt;Task_Table1!$J$2:$J$571)*(A506&lt;Task_Table1!$K$2:$K$571))</f>
        <v>3</v>
      </c>
    </row>
    <row r="507" spans="1:5">
      <c r="A507" s="5">
        <v>46375</v>
      </c>
      <c r="B507" cm="1">
        <f t="array" ref="B507">SUMPRODUCT((Task_Table1!$C$2:$C$571=$B$1)*(A507&gt;Task_Table1!$J$2:$J$571)*(A507&lt;Task_Table1!$K$2:$K$571))</f>
        <v>1</v>
      </c>
      <c r="C507" cm="1">
        <f t="array" ref="C507">SUMPRODUCT((Task_Table1!$C$2:$C$568=$C$1)*(A507&gt;Task_Table1!$J$2:$J$568)*(A507&lt;Task_Table1!$K$2:$K$568))</f>
        <v>3</v>
      </c>
      <c r="D507" cm="1">
        <f t="array" ref="D507">SUMPRODUCT((Task_Table1!$C$2:$C$571=$D$1)*(A507&gt;Task_Table1!$J$2:$J$571)*(A507&lt;Task_Table1!$K$2:$K$571))</f>
        <v>0</v>
      </c>
      <c r="E507" cm="1">
        <f t="array" ref="E507">SUMPRODUCT((Task_Table1!$C$2:$C$571=$E$1)*(A507&gt;Task_Table1!$J$2:$J$571)*(A507&lt;Task_Table1!$K$2:$K$571))</f>
        <v>3</v>
      </c>
    </row>
    <row r="508" spans="1:5">
      <c r="A508" s="5">
        <v>46376</v>
      </c>
      <c r="B508" cm="1">
        <f t="array" ref="B508">SUMPRODUCT((Task_Table1!$C$2:$C$571=$B$1)*(A508&gt;Task_Table1!$J$2:$J$571)*(A508&lt;Task_Table1!$K$2:$K$571))</f>
        <v>1</v>
      </c>
      <c r="C508" cm="1">
        <f t="array" ref="C508">SUMPRODUCT((Task_Table1!$C$2:$C$568=$C$1)*(A508&gt;Task_Table1!$J$2:$J$568)*(A508&lt;Task_Table1!$K$2:$K$568))</f>
        <v>3</v>
      </c>
      <c r="D508" cm="1">
        <f t="array" ref="D508">SUMPRODUCT((Task_Table1!$C$2:$C$571=$D$1)*(A508&gt;Task_Table1!$J$2:$J$571)*(A508&lt;Task_Table1!$K$2:$K$571))</f>
        <v>0</v>
      </c>
      <c r="E508" cm="1">
        <f t="array" ref="E508">SUMPRODUCT((Task_Table1!$C$2:$C$571=$E$1)*(A508&gt;Task_Table1!$J$2:$J$571)*(A508&lt;Task_Table1!$K$2:$K$571))</f>
        <v>3</v>
      </c>
    </row>
    <row r="509" spans="1:5">
      <c r="A509" s="5">
        <v>46377</v>
      </c>
      <c r="B509" cm="1">
        <f t="array" ref="B509">SUMPRODUCT((Task_Table1!$C$2:$C$571=$B$1)*(A509&gt;Task_Table1!$J$2:$J$571)*(A509&lt;Task_Table1!$K$2:$K$571))</f>
        <v>1</v>
      </c>
      <c r="C509" cm="1">
        <f t="array" ref="C509">SUMPRODUCT((Task_Table1!$C$2:$C$568=$C$1)*(A509&gt;Task_Table1!$J$2:$J$568)*(A509&lt;Task_Table1!$K$2:$K$568))</f>
        <v>3</v>
      </c>
      <c r="D509" cm="1">
        <f t="array" ref="D509">SUMPRODUCT((Task_Table1!$C$2:$C$571=$D$1)*(A509&gt;Task_Table1!$J$2:$J$571)*(A509&lt;Task_Table1!$K$2:$K$571))</f>
        <v>0</v>
      </c>
      <c r="E509" cm="1">
        <f t="array" ref="E509">SUMPRODUCT((Task_Table1!$C$2:$C$571=$E$1)*(A509&gt;Task_Table1!$J$2:$J$571)*(A509&lt;Task_Table1!$K$2:$K$571))</f>
        <v>3</v>
      </c>
    </row>
    <row r="510" spans="1:5">
      <c r="A510" s="5">
        <v>46378</v>
      </c>
      <c r="B510" cm="1">
        <f t="array" ref="B510">SUMPRODUCT((Task_Table1!$C$2:$C$571=$B$1)*(A510&gt;Task_Table1!$J$2:$J$571)*(A510&lt;Task_Table1!$K$2:$K$571))</f>
        <v>1</v>
      </c>
      <c r="C510" cm="1">
        <f t="array" ref="C510">SUMPRODUCT((Task_Table1!$C$2:$C$568=$C$1)*(A510&gt;Task_Table1!$J$2:$J$568)*(A510&lt;Task_Table1!$K$2:$K$568))</f>
        <v>3</v>
      </c>
      <c r="D510" cm="1">
        <f t="array" ref="D510">SUMPRODUCT((Task_Table1!$C$2:$C$571=$D$1)*(A510&gt;Task_Table1!$J$2:$J$571)*(A510&lt;Task_Table1!$K$2:$K$571))</f>
        <v>0</v>
      </c>
      <c r="E510" cm="1">
        <f t="array" ref="E510">SUMPRODUCT((Task_Table1!$C$2:$C$571=$E$1)*(A510&gt;Task_Table1!$J$2:$J$571)*(A510&lt;Task_Table1!$K$2:$K$571))</f>
        <v>3</v>
      </c>
    </row>
    <row r="511" spans="1:5">
      <c r="A511" s="5">
        <v>46379</v>
      </c>
      <c r="B511" cm="1">
        <f t="array" ref="B511">SUMPRODUCT((Task_Table1!$C$2:$C$571=$B$1)*(A511&gt;Task_Table1!$J$2:$J$571)*(A511&lt;Task_Table1!$K$2:$K$571))</f>
        <v>1</v>
      </c>
      <c r="C511" cm="1">
        <f t="array" ref="C511">SUMPRODUCT((Task_Table1!$C$2:$C$568=$C$1)*(A511&gt;Task_Table1!$J$2:$J$568)*(A511&lt;Task_Table1!$K$2:$K$568))</f>
        <v>0</v>
      </c>
      <c r="D511" cm="1">
        <f t="array" ref="D511">SUMPRODUCT((Task_Table1!$C$2:$C$571=$D$1)*(A511&gt;Task_Table1!$J$2:$J$571)*(A511&lt;Task_Table1!$K$2:$K$571))</f>
        <v>0</v>
      </c>
      <c r="E511" cm="1">
        <f t="array" ref="E511">SUMPRODUCT((Task_Table1!$C$2:$C$571=$E$1)*(A511&gt;Task_Table1!$J$2:$J$571)*(A511&lt;Task_Table1!$K$2:$K$571))</f>
        <v>3</v>
      </c>
    </row>
    <row r="512" spans="1:5">
      <c r="A512" s="5">
        <v>46380</v>
      </c>
      <c r="B512" cm="1">
        <f t="array" ref="B512">SUMPRODUCT((Task_Table1!$C$2:$C$571=$B$1)*(A512&gt;Task_Table1!$J$2:$J$571)*(A512&lt;Task_Table1!$K$2:$K$571))</f>
        <v>1</v>
      </c>
      <c r="C512" cm="1">
        <f t="array" ref="C512">SUMPRODUCT((Task_Table1!$C$2:$C$568=$C$1)*(A512&gt;Task_Table1!$J$2:$J$568)*(A512&lt;Task_Table1!$K$2:$K$568))</f>
        <v>0</v>
      </c>
      <c r="D512" cm="1">
        <f t="array" ref="D512">SUMPRODUCT((Task_Table1!$C$2:$C$571=$D$1)*(A512&gt;Task_Table1!$J$2:$J$571)*(A512&lt;Task_Table1!$K$2:$K$571))</f>
        <v>0</v>
      </c>
      <c r="E512" cm="1">
        <f t="array" ref="E512">SUMPRODUCT((Task_Table1!$C$2:$C$571=$E$1)*(A512&gt;Task_Table1!$J$2:$J$571)*(A512&lt;Task_Table1!$K$2:$K$571))</f>
        <v>3</v>
      </c>
    </row>
    <row r="513" spans="1:5">
      <c r="A513" s="5">
        <v>46381</v>
      </c>
      <c r="B513" cm="1">
        <f t="array" ref="B513">SUMPRODUCT((Task_Table1!$C$2:$C$571=$B$1)*(A513&gt;Task_Table1!$J$2:$J$571)*(A513&lt;Task_Table1!$K$2:$K$571))</f>
        <v>1</v>
      </c>
      <c r="C513" cm="1">
        <f t="array" ref="C513">SUMPRODUCT((Task_Table1!$C$2:$C$568=$C$1)*(A513&gt;Task_Table1!$J$2:$J$568)*(A513&lt;Task_Table1!$K$2:$K$568))</f>
        <v>0</v>
      </c>
      <c r="D513" cm="1">
        <f t="array" ref="D513">SUMPRODUCT((Task_Table1!$C$2:$C$571=$D$1)*(A513&gt;Task_Table1!$J$2:$J$571)*(A513&lt;Task_Table1!$K$2:$K$571))</f>
        <v>0</v>
      </c>
      <c r="E513" cm="1">
        <f t="array" ref="E513">SUMPRODUCT((Task_Table1!$C$2:$C$571=$E$1)*(A513&gt;Task_Table1!$J$2:$J$571)*(A513&lt;Task_Table1!$K$2:$K$571))</f>
        <v>3</v>
      </c>
    </row>
    <row r="514" spans="1:5">
      <c r="A514" s="5">
        <v>46382</v>
      </c>
      <c r="B514" cm="1">
        <f t="array" ref="B514">SUMPRODUCT((Task_Table1!$C$2:$C$571=$B$1)*(A514&gt;Task_Table1!$J$2:$J$571)*(A514&lt;Task_Table1!$K$2:$K$571))</f>
        <v>1</v>
      </c>
      <c r="C514" cm="1">
        <f t="array" ref="C514">SUMPRODUCT((Task_Table1!$C$2:$C$568=$C$1)*(A514&gt;Task_Table1!$J$2:$J$568)*(A514&lt;Task_Table1!$K$2:$K$568))</f>
        <v>0</v>
      </c>
      <c r="D514" cm="1">
        <f t="array" ref="D514">SUMPRODUCT((Task_Table1!$C$2:$C$571=$D$1)*(A514&gt;Task_Table1!$J$2:$J$571)*(A514&lt;Task_Table1!$K$2:$K$571))</f>
        <v>0</v>
      </c>
      <c r="E514" cm="1">
        <f t="array" ref="E514">SUMPRODUCT((Task_Table1!$C$2:$C$571=$E$1)*(A514&gt;Task_Table1!$J$2:$J$571)*(A514&lt;Task_Table1!$K$2:$K$571))</f>
        <v>3</v>
      </c>
    </row>
    <row r="515" spans="1:5">
      <c r="A515" s="5">
        <v>46383</v>
      </c>
      <c r="B515" cm="1">
        <f t="array" ref="B515">SUMPRODUCT((Task_Table1!$C$2:$C$571=$B$1)*(A515&gt;Task_Table1!$J$2:$J$571)*(A515&lt;Task_Table1!$K$2:$K$571))</f>
        <v>1</v>
      </c>
      <c r="C515" cm="1">
        <f t="array" ref="C515">SUMPRODUCT((Task_Table1!$C$2:$C$568=$C$1)*(A515&gt;Task_Table1!$J$2:$J$568)*(A515&lt;Task_Table1!$K$2:$K$568))</f>
        <v>0</v>
      </c>
      <c r="D515" cm="1">
        <f t="array" ref="D515">SUMPRODUCT((Task_Table1!$C$2:$C$571=$D$1)*(A515&gt;Task_Table1!$J$2:$J$571)*(A515&lt;Task_Table1!$K$2:$K$571))</f>
        <v>0</v>
      </c>
      <c r="E515" cm="1">
        <f t="array" ref="E515">SUMPRODUCT((Task_Table1!$C$2:$C$571=$E$1)*(A515&gt;Task_Table1!$J$2:$J$571)*(A515&lt;Task_Table1!$K$2:$K$571))</f>
        <v>3</v>
      </c>
    </row>
    <row r="516" spans="1:5">
      <c r="A516" s="5">
        <v>46384</v>
      </c>
      <c r="B516" cm="1">
        <f t="array" ref="B516">SUMPRODUCT((Task_Table1!$C$2:$C$571=$B$1)*(A516&gt;Task_Table1!$J$2:$J$571)*(A516&lt;Task_Table1!$K$2:$K$571))</f>
        <v>1</v>
      </c>
      <c r="C516" cm="1">
        <f t="array" ref="C516">SUMPRODUCT((Task_Table1!$C$2:$C$568=$C$1)*(A516&gt;Task_Table1!$J$2:$J$568)*(A516&lt;Task_Table1!$K$2:$K$568))</f>
        <v>0</v>
      </c>
      <c r="D516" cm="1">
        <f t="array" ref="D516">SUMPRODUCT((Task_Table1!$C$2:$C$571=$D$1)*(A516&gt;Task_Table1!$J$2:$J$571)*(A516&lt;Task_Table1!$K$2:$K$571))</f>
        <v>0</v>
      </c>
      <c r="E516" cm="1">
        <f t="array" ref="E516">SUMPRODUCT((Task_Table1!$C$2:$C$571=$E$1)*(A516&gt;Task_Table1!$J$2:$J$571)*(A516&lt;Task_Table1!$K$2:$K$571))</f>
        <v>3</v>
      </c>
    </row>
    <row r="517" spans="1:5">
      <c r="A517" s="5">
        <v>46385</v>
      </c>
      <c r="B517" cm="1">
        <f t="array" ref="B517">SUMPRODUCT((Task_Table1!$C$2:$C$571=$B$1)*(A517&gt;Task_Table1!$J$2:$J$571)*(A517&lt;Task_Table1!$K$2:$K$571))</f>
        <v>1</v>
      </c>
      <c r="C517" cm="1">
        <f t="array" ref="C517">SUMPRODUCT((Task_Table1!$C$2:$C$568=$C$1)*(A517&gt;Task_Table1!$J$2:$J$568)*(A517&lt;Task_Table1!$K$2:$K$568))</f>
        <v>0</v>
      </c>
      <c r="D517" cm="1">
        <f t="array" ref="D517">SUMPRODUCT((Task_Table1!$C$2:$C$571=$D$1)*(A517&gt;Task_Table1!$J$2:$J$571)*(A517&lt;Task_Table1!$K$2:$K$571))</f>
        <v>0</v>
      </c>
      <c r="E517" cm="1">
        <f t="array" ref="E517">SUMPRODUCT((Task_Table1!$C$2:$C$571=$E$1)*(A517&gt;Task_Table1!$J$2:$J$571)*(A517&lt;Task_Table1!$K$2:$K$571))</f>
        <v>3</v>
      </c>
    </row>
    <row r="518" spans="1:5">
      <c r="A518" s="5">
        <v>46386</v>
      </c>
      <c r="B518" cm="1">
        <f t="array" ref="B518">SUMPRODUCT((Task_Table1!$C$2:$C$571=$B$1)*(A518&gt;Task_Table1!$J$2:$J$571)*(A518&lt;Task_Table1!$K$2:$K$571))</f>
        <v>1</v>
      </c>
      <c r="C518" cm="1">
        <f t="array" ref="C518">SUMPRODUCT((Task_Table1!$C$2:$C$568=$C$1)*(A518&gt;Task_Table1!$J$2:$J$568)*(A518&lt;Task_Table1!$K$2:$K$568))</f>
        <v>0</v>
      </c>
      <c r="D518" cm="1">
        <f t="array" ref="D518">SUMPRODUCT((Task_Table1!$C$2:$C$571=$D$1)*(A518&gt;Task_Table1!$J$2:$J$571)*(A518&lt;Task_Table1!$K$2:$K$571))</f>
        <v>0</v>
      </c>
      <c r="E518" cm="1">
        <f t="array" ref="E518">SUMPRODUCT((Task_Table1!$C$2:$C$571=$E$1)*(A518&gt;Task_Table1!$J$2:$J$571)*(A518&lt;Task_Table1!$K$2:$K$571))</f>
        <v>3</v>
      </c>
    </row>
    <row r="519" spans="1:5">
      <c r="A519" s="5">
        <v>46387</v>
      </c>
      <c r="B519" cm="1">
        <f t="array" ref="B519">SUMPRODUCT((Task_Table1!$C$2:$C$571=$B$1)*(A519&gt;Task_Table1!$J$2:$J$571)*(A519&lt;Task_Table1!$K$2:$K$571))</f>
        <v>1</v>
      </c>
      <c r="C519" cm="1">
        <f t="array" ref="C519">SUMPRODUCT((Task_Table1!$C$2:$C$568=$C$1)*(A519&gt;Task_Table1!$J$2:$J$568)*(A519&lt;Task_Table1!$K$2:$K$568))</f>
        <v>0</v>
      </c>
      <c r="D519" cm="1">
        <f t="array" ref="D519">SUMPRODUCT((Task_Table1!$C$2:$C$571=$D$1)*(A519&gt;Task_Table1!$J$2:$J$571)*(A519&lt;Task_Table1!$K$2:$K$571))</f>
        <v>0</v>
      </c>
      <c r="E519" cm="1">
        <f t="array" ref="E519">SUMPRODUCT((Task_Table1!$C$2:$C$571=$E$1)*(A519&gt;Task_Table1!$J$2:$J$571)*(A519&lt;Task_Table1!$K$2:$K$571))</f>
        <v>0</v>
      </c>
    </row>
    <row r="520" spans="1:5">
      <c r="A520" s="5">
        <v>46388</v>
      </c>
      <c r="B520" cm="1">
        <f t="array" ref="B520">SUMPRODUCT((Task_Table1!$C$2:$C$571=$B$1)*(A520&gt;Task_Table1!$J$2:$J$571)*(A520&lt;Task_Table1!$K$2:$K$571))</f>
        <v>1</v>
      </c>
      <c r="C520" cm="1">
        <f t="array" ref="C520">SUMPRODUCT((Task_Table1!$C$2:$C$568=$C$1)*(A520&gt;Task_Table1!$J$2:$J$568)*(A520&lt;Task_Table1!$K$2:$K$568))</f>
        <v>0</v>
      </c>
      <c r="D520" cm="1">
        <f t="array" ref="D520">SUMPRODUCT((Task_Table1!$C$2:$C$571=$D$1)*(A520&gt;Task_Table1!$J$2:$J$571)*(A520&lt;Task_Table1!$K$2:$K$571))</f>
        <v>0</v>
      </c>
      <c r="E520" cm="1">
        <f t="array" ref="E520">SUMPRODUCT((Task_Table1!$C$2:$C$571=$E$1)*(A520&gt;Task_Table1!$J$2:$J$571)*(A520&lt;Task_Table1!$K$2:$K$571))</f>
        <v>0</v>
      </c>
    </row>
    <row r="521" spans="1:5">
      <c r="A521" s="5"/>
    </row>
    <row r="522" spans="1:5">
      <c r="A522" s="5"/>
    </row>
    <row r="523" spans="1:5">
      <c r="A523" s="5"/>
    </row>
    <row r="524" spans="1:5">
      <c r="A524" s="5"/>
    </row>
    <row r="525" spans="1:5">
      <c r="A525" s="5"/>
    </row>
    <row r="526" spans="1:5">
      <c r="A526" s="5"/>
    </row>
    <row r="527" spans="1:5">
      <c r="A527" s="5"/>
    </row>
    <row r="528" spans="1:5">
      <c r="A528" s="5"/>
    </row>
    <row r="529" spans="1:1">
      <c r="A529" s="5"/>
    </row>
    <row r="530" spans="1:1">
      <c r="A530" s="5"/>
    </row>
    <row r="531" spans="1:1">
      <c r="A531" s="5"/>
    </row>
    <row r="532" spans="1:1">
      <c r="A532" s="5"/>
    </row>
    <row r="533" spans="1:1">
      <c r="A533" s="5"/>
    </row>
    <row r="534" spans="1:1">
      <c r="A534" s="5"/>
    </row>
    <row r="535" spans="1:1">
      <c r="A535" s="5"/>
    </row>
    <row r="536" spans="1:1">
      <c r="A536" s="5"/>
    </row>
    <row r="537" spans="1:1">
      <c r="A537" s="5"/>
    </row>
    <row r="538" spans="1:1">
      <c r="A538" s="5"/>
    </row>
    <row r="539" spans="1:1">
      <c r="A539" s="5"/>
    </row>
    <row r="540" spans="1:1">
      <c r="A540" s="5"/>
    </row>
    <row r="541" spans="1:1">
      <c r="A541" s="5"/>
    </row>
    <row r="542" spans="1:1">
      <c r="A542" s="5"/>
    </row>
    <row r="543" spans="1:1">
      <c r="A543" s="5"/>
    </row>
    <row r="544" spans="1:1">
      <c r="A544" s="5"/>
    </row>
    <row r="545" spans="1:1">
      <c r="A545" s="5"/>
    </row>
    <row r="546" spans="1:1">
      <c r="A546" s="5"/>
    </row>
    <row r="547" spans="1:1">
      <c r="A547" s="5"/>
    </row>
    <row r="548" spans="1:1">
      <c r="A548" s="5"/>
    </row>
    <row r="549" spans="1:1">
      <c r="A549" s="5"/>
    </row>
    <row r="550" spans="1:1">
      <c r="A550" s="5"/>
    </row>
    <row r="551" spans="1:1">
      <c r="A551" s="5"/>
    </row>
    <row r="552" spans="1:1">
      <c r="A552" s="5"/>
    </row>
    <row r="553" spans="1:1">
      <c r="A553" s="5"/>
    </row>
    <row r="554" spans="1:1">
      <c r="A554" s="5"/>
    </row>
    <row r="555" spans="1:1">
      <c r="A555" s="5"/>
    </row>
    <row r="556" spans="1:1">
      <c r="A556" s="5"/>
    </row>
    <row r="557" spans="1:1">
      <c r="A557" s="5"/>
    </row>
    <row r="558" spans="1:1">
      <c r="A558" s="5"/>
    </row>
    <row r="559" spans="1:1">
      <c r="A559" s="5"/>
    </row>
    <row r="560" spans="1:1">
      <c r="A560" s="5"/>
    </row>
    <row r="561" spans="1:1">
      <c r="A561" s="5"/>
    </row>
    <row r="562" spans="1:1">
      <c r="A562" s="5"/>
    </row>
    <row r="563" spans="1:1">
      <c r="A563" s="5"/>
    </row>
    <row r="564" spans="1:1">
      <c r="A564" s="5"/>
    </row>
    <row r="565" spans="1:1">
      <c r="A565" s="5"/>
    </row>
    <row r="566" spans="1:1">
      <c r="A566" s="5"/>
    </row>
    <row r="567" spans="1:1">
      <c r="A567" s="5"/>
    </row>
    <row r="568" spans="1:1">
      <c r="A568" s="5"/>
    </row>
    <row r="569" spans="1:1">
      <c r="A569" s="5"/>
    </row>
    <row r="570" spans="1:1">
      <c r="A570" s="5"/>
    </row>
    <row r="571" spans="1:1">
      <c r="A571" s="5"/>
    </row>
    <row r="572" spans="1:1">
      <c r="A572" s="5"/>
    </row>
    <row r="573" spans="1:1">
      <c r="A573" s="5"/>
    </row>
    <row r="574" spans="1:1">
      <c r="A574" s="5"/>
    </row>
    <row r="575" spans="1:1">
      <c r="A575" s="5"/>
    </row>
    <row r="576" spans="1:1">
      <c r="A576" s="5"/>
    </row>
    <row r="577" spans="1:1">
      <c r="A577" s="5"/>
    </row>
    <row r="578" spans="1:1">
      <c r="A578" s="5"/>
    </row>
    <row r="579" spans="1:1">
      <c r="A579" s="5"/>
    </row>
    <row r="580" spans="1:1">
      <c r="A580" s="5"/>
    </row>
    <row r="581" spans="1:1">
      <c r="A581" s="5"/>
    </row>
    <row r="582" spans="1:1">
      <c r="A582" s="5"/>
    </row>
    <row r="583" spans="1:1">
      <c r="A583" s="5"/>
    </row>
    <row r="584" spans="1:1">
      <c r="A584" s="5"/>
    </row>
    <row r="585" spans="1:1">
      <c r="A585" s="5"/>
    </row>
    <row r="586" spans="1:1">
      <c r="A586" s="5"/>
    </row>
    <row r="587" spans="1:1">
      <c r="A587" s="5"/>
    </row>
    <row r="588" spans="1:1">
      <c r="A588" s="5"/>
    </row>
    <row r="589" spans="1:1">
      <c r="A589" s="5"/>
    </row>
    <row r="590" spans="1:1">
      <c r="A590" s="5"/>
    </row>
    <row r="591" spans="1:1">
      <c r="A591" s="5"/>
    </row>
    <row r="592" spans="1:1">
      <c r="A592" s="5"/>
    </row>
    <row r="593" spans="1:1">
      <c r="A593" s="5"/>
    </row>
    <row r="594" spans="1:1">
      <c r="A594" s="5"/>
    </row>
    <row r="595" spans="1:1">
      <c r="A595" s="5"/>
    </row>
    <row r="596" spans="1:1">
      <c r="A596" s="5"/>
    </row>
    <row r="597" spans="1:1">
      <c r="A597" s="5"/>
    </row>
    <row r="598" spans="1:1">
      <c r="A598" s="5"/>
    </row>
    <row r="599" spans="1:1">
      <c r="A599" s="5"/>
    </row>
    <row r="600" spans="1:1">
      <c r="A600" s="5"/>
    </row>
    <row r="601" spans="1:1">
      <c r="A601" s="5"/>
    </row>
    <row r="602" spans="1:1">
      <c r="A602" s="5"/>
    </row>
    <row r="603" spans="1:1">
      <c r="A603" s="5"/>
    </row>
    <row r="604" spans="1:1">
      <c r="A604" s="5"/>
    </row>
    <row r="605" spans="1:1">
      <c r="A605" s="5"/>
    </row>
    <row r="606" spans="1:1">
      <c r="A606" s="5"/>
    </row>
    <row r="607" spans="1:1">
      <c r="A607" s="5"/>
    </row>
    <row r="608" spans="1:1">
      <c r="A608" s="5"/>
    </row>
    <row r="609" spans="1:1">
      <c r="A609" s="5"/>
    </row>
    <row r="610" spans="1:1">
      <c r="A610" s="5"/>
    </row>
    <row r="611" spans="1:1">
      <c r="A611" s="5"/>
    </row>
    <row r="612" spans="1:1">
      <c r="A612" s="5"/>
    </row>
    <row r="613" spans="1:1">
      <c r="A613" s="5"/>
    </row>
    <row r="614" spans="1:1">
      <c r="A614" s="5"/>
    </row>
    <row r="615" spans="1:1">
      <c r="A615" s="5"/>
    </row>
    <row r="616" spans="1:1">
      <c r="A616" s="5"/>
    </row>
    <row r="617" spans="1:1">
      <c r="A617" s="5"/>
    </row>
    <row r="618" spans="1:1">
      <c r="A618" s="5"/>
    </row>
    <row r="619" spans="1:1">
      <c r="A619" s="5"/>
    </row>
    <row r="620" spans="1:1">
      <c r="A620" s="5"/>
    </row>
    <row r="621" spans="1:1">
      <c r="A621" s="5"/>
    </row>
    <row r="622" spans="1:1">
      <c r="A622" s="5"/>
    </row>
    <row r="623" spans="1:1">
      <c r="A623" s="5"/>
    </row>
    <row r="624" spans="1:1">
      <c r="A624" s="5"/>
    </row>
    <row r="625" spans="1:1">
      <c r="A625" s="5"/>
    </row>
    <row r="626" spans="1:1">
      <c r="A626" s="5"/>
    </row>
    <row r="627" spans="1:1">
      <c r="A627" s="5"/>
    </row>
    <row r="628" spans="1:1">
      <c r="A628" s="5"/>
    </row>
    <row r="629" spans="1:1">
      <c r="A629" s="5"/>
    </row>
    <row r="630" spans="1:1">
      <c r="A630" s="5"/>
    </row>
    <row r="631" spans="1:1">
      <c r="A631" s="5"/>
    </row>
    <row r="632" spans="1:1">
      <c r="A632" s="5"/>
    </row>
    <row r="633" spans="1:1">
      <c r="A633" s="5"/>
    </row>
    <row r="634" spans="1:1">
      <c r="A634" s="5"/>
    </row>
    <row r="635" spans="1:1">
      <c r="A635" s="5"/>
    </row>
    <row r="636" spans="1:1">
      <c r="A636" s="5"/>
    </row>
    <row r="637" spans="1:1">
      <c r="A637" s="5"/>
    </row>
    <row r="638" spans="1:1">
      <c r="A638" s="5"/>
    </row>
    <row r="639" spans="1:1">
      <c r="A639" s="5"/>
    </row>
    <row r="640" spans="1:1">
      <c r="A640" s="5"/>
    </row>
    <row r="641" spans="1:1">
      <c r="A641" s="5"/>
    </row>
    <row r="642" spans="1:1">
      <c r="A642" s="5"/>
    </row>
    <row r="643" spans="1:1">
      <c r="A643" s="5"/>
    </row>
    <row r="644" spans="1:1">
      <c r="A644" s="5"/>
    </row>
    <row r="645" spans="1:1">
      <c r="A645" s="5"/>
    </row>
    <row r="646" spans="1:1">
      <c r="A646" s="5"/>
    </row>
    <row r="647" spans="1:1">
      <c r="A647" s="5"/>
    </row>
    <row r="648" spans="1:1">
      <c r="A648" s="5"/>
    </row>
    <row r="649" spans="1:1">
      <c r="A649" s="5"/>
    </row>
    <row r="650" spans="1:1">
      <c r="A650" s="5"/>
    </row>
    <row r="651" spans="1:1">
      <c r="A651" s="5"/>
    </row>
    <row r="652" spans="1:1">
      <c r="A652" s="5"/>
    </row>
    <row r="653" spans="1:1">
      <c r="A653" s="5"/>
    </row>
    <row r="654" spans="1:1">
      <c r="A654" s="5"/>
    </row>
    <row r="655" spans="1:1">
      <c r="A655" s="5"/>
    </row>
    <row r="656" spans="1:1">
      <c r="A656" s="5"/>
    </row>
    <row r="657" spans="1:1">
      <c r="A657" s="5"/>
    </row>
    <row r="658" spans="1:1">
      <c r="A658" s="5"/>
    </row>
    <row r="659" spans="1:1">
      <c r="A659" s="5"/>
    </row>
    <row r="660" spans="1:1">
      <c r="A660" s="5"/>
    </row>
    <row r="661" spans="1:1">
      <c r="A661" s="5"/>
    </row>
    <row r="662" spans="1:1">
      <c r="A662" s="5"/>
    </row>
    <row r="663" spans="1:1">
      <c r="A663" s="5"/>
    </row>
    <row r="664" spans="1:1">
      <c r="A664" s="5"/>
    </row>
    <row r="665" spans="1:1">
      <c r="A665" s="5"/>
    </row>
    <row r="666" spans="1:1">
      <c r="A666" s="5"/>
    </row>
    <row r="667" spans="1:1">
      <c r="A667" s="5"/>
    </row>
    <row r="668" spans="1:1">
      <c r="A668" s="5"/>
    </row>
    <row r="669" spans="1:1">
      <c r="A669" s="5"/>
    </row>
    <row r="670" spans="1:1">
      <c r="A670" s="5"/>
    </row>
    <row r="671" spans="1:1">
      <c r="A671" s="5"/>
    </row>
    <row r="672" spans="1:1">
      <c r="A672" s="5"/>
    </row>
    <row r="673" spans="1:1">
      <c r="A673" s="5"/>
    </row>
    <row r="674" spans="1:1">
      <c r="A674" s="5"/>
    </row>
    <row r="675" spans="1:1">
      <c r="A675" s="5"/>
    </row>
    <row r="676" spans="1:1">
      <c r="A676" s="5"/>
    </row>
    <row r="677" spans="1:1">
      <c r="A677" s="5"/>
    </row>
    <row r="678" spans="1:1">
      <c r="A678" s="5"/>
    </row>
    <row r="679" spans="1:1">
      <c r="A679" s="5"/>
    </row>
    <row r="680" spans="1:1">
      <c r="A680" s="5"/>
    </row>
    <row r="681" spans="1:1">
      <c r="A681" s="5"/>
    </row>
    <row r="682" spans="1:1">
      <c r="A682" s="5"/>
    </row>
    <row r="683" spans="1:1">
      <c r="A683" s="5"/>
    </row>
    <row r="684" spans="1:1">
      <c r="A684" s="5"/>
    </row>
    <row r="685" spans="1:1">
      <c r="A685" s="5"/>
    </row>
    <row r="686" spans="1:1">
      <c r="A686" s="5"/>
    </row>
    <row r="687" spans="1:1">
      <c r="A687" s="5"/>
    </row>
    <row r="688" spans="1:1">
      <c r="A688" s="5"/>
    </row>
    <row r="689" spans="1:1">
      <c r="A689" s="5"/>
    </row>
    <row r="690" spans="1:1">
      <c r="A690" s="5"/>
    </row>
    <row r="691" spans="1:1">
      <c r="A691" s="5"/>
    </row>
    <row r="692" spans="1:1">
      <c r="A692" s="5"/>
    </row>
    <row r="693" spans="1:1">
      <c r="A693" s="5"/>
    </row>
    <row r="694" spans="1:1">
      <c r="A694" s="5"/>
    </row>
    <row r="695" spans="1:1">
      <c r="A695" s="5"/>
    </row>
    <row r="696" spans="1:1">
      <c r="A696" s="5"/>
    </row>
    <row r="697" spans="1:1">
      <c r="A697" s="5"/>
    </row>
    <row r="698" spans="1:1">
      <c r="A698" s="5"/>
    </row>
    <row r="699" spans="1:1">
      <c r="A699" s="5"/>
    </row>
    <row r="700" spans="1:1">
      <c r="A700" s="5"/>
    </row>
    <row r="701" spans="1:1">
      <c r="A701" s="5"/>
    </row>
    <row r="702" spans="1:1">
      <c r="A702" s="5"/>
    </row>
    <row r="703" spans="1:1">
      <c r="A703" s="5"/>
    </row>
    <row r="704" spans="1:1">
      <c r="A704" s="5"/>
    </row>
    <row r="705" spans="1:1">
      <c r="A705" s="5"/>
    </row>
    <row r="706" spans="1:1">
      <c r="A706" s="5"/>
    </row>
    <row r="707" spans="1:1">
      <c r="A707" s="5"/>
    </row>
    <row r="708" spans="1:1">
      <c r="A708" s="5"/>
    </row>
    <row r="709" spans="1:1">
      <c r="A709" s="5"/>
    </row>
    <row r="710" spans="1:1">
      <c r="A710" s="5"/>
    </row>
    <row r="711" spans="1:1">
      <c r="A711" s="5"/>
    </row>
    <row r="712" spans="1:1">
      <c r="A712" s="5"/>
    </row>
    <row r="713" spans="1:1">
      <c r="A713" s="5"/>
    </row>
    <row r="714" spans="1:1">
      <c r="A714" s="5"/>
    </row>
    <row r="715" spans="1:1">
      <c r="A715" s="5"/>
    </row>
    <row r="716" spans="1:1">
      <c r="A716" s="5"/>
    </row>
    <row r="717" spans="1:1">
      <c r="A717" s="5"/>
    </row>
    <row r="718" spans="1:1">
      <c r="A718" s="5"/>
    </row>
    <row r="719" spans="1:1">
      <c r="A719" s="5"/>
    </row>
    <row r="720" spans="1:1">
      <c r="A720" s="5"/>
    </row>
    <row r="721" spans="1:1">
      <c r="A721" s="5"/>
    </row>
    <row r="722" spans="1:1">
      <c r="A722" s="5"/>
    </row>
    <row r="723" spans="1:1">
      <c r="A723" s="5"/>
    </row>
    <row r="724" spans="1:1">
      <c r="A724" s="5"/>
    </row>
    <row r="725" spans="1:1">
      <c r="A725" s="5"/>
    </row>
    <row r="726" spans="1:1">
      <c r="A726" s="5"/>
    </row>
    <row r="727" spans="1:1">
      <c r="A727" s="5"/>
    </row>
    <row r="728" spans="1:1">
      <c r="A728" s="5"/>
    </row>
    <row r="729" spans="1:1">
      <c r="A729" s="5"/>
    </row>
    <row r="730" spans="1:1">
      <c r="A730" s="5"/>
    </row>
    <row r="731" spans="1:1">
      <c r="A731" s="5"/>
    </row>
    <row r="732" spans="1:1">
      <c r="A732" s="5"/>
    </row>
    <row r="733" spans="1:1">
      <c r="A733" s="5"/>
    </row>
    <row r="734" spans="1:1">
      <c r="A734" s="5"/>
    </row>
    <row r="735" spans="1:1">
      <c r="A735" s="5"/>
    </row>
    <row r="736" spans="1:1">
      <c r="A736" s="5"/>
    </row>
    <row r="737" spans="1:1">
      <c r="A737" s="5"/>
    </row>
    <row r="738" spans="1:1">
      <c r="A738" s="5"/>
    </row>
    <row r="739" spans="1:1">
      <c r="A739" s="5"/>
    </row>
    <row r="740" spans="1:1">
      <c r="A740" s="5"/>
    </row>
    <row r="741" spans="1:1">
      <c r="A741" s="5"/>
    </row>
    <row r="742" spans="1:1">
      <c r="A742" s="5"/>
    </row>
    <row r="743" spans="1:1">
      <c r="A743" s="5"/>
    </row>
    <row r="744" spans="1:1">
      <c r="A744" s="5"/>
    </row>
    <row r="745" spans="1:1">
      <c r="A745" s="5"/>
    </row>
    <row r="746" spans="1:1">
      <c r="A746" s="5"/>
    </row>
    <row r="747" spans="1:1">
      <c r="A747" s="5"/>
    </row>
    <row r="748" spans="1:1">
      <c r="A748" s="5"/>
    </row>
    <row r="749" spans="1:1">
      <c r="A749" s="5"/>
    </row>
    <row r="750" spans="1:1">
      <c r="A750" s="5"/>
    </row>
    <row r="751" spans="1:1">
      <c r="A751" s="5"/>
    </row>
    <row r="752" spans="1:1">
      <c r="A752" s="5"/>
    </row>
    <row r="753" spans="1:1">
      <c r="A753" s="5"/>
    </row>
    <row r="754" spans="1:1">
      <c r="A754" s="5"/>
    </row>
    <row r="755" spans="1:1">
      <c r="A755" s="5"/>
    </row>
    <row r="756" spans="1:1">
      <c r="A756" s="5"/>
    </row>
    <row r="757" spans="1:1">
      <c r="A757" s="5"/>
    </row>
    <row r="758" spans="1:1">
      <c r="A758" s="5"/>
    </row>
    <row r="759" spans="1:1">
      <c r="A759" s="5"/>
    </row>
    <row r="760" spans="1:1">
      <c r="A760" s="5"/>
    </row>
    <row r="761" spans="1:1">
      <c r="A761" s="5"/>
    </row>
    <row r="762" spans="1:1">
      <c r="A762" s="5"/>
    </row>
    <row r="763" spans="1:1">
      <c r="A763" s="5"/>
    </row>
    <row r="764" spans="1:1">
      <c r="A764" s="5"/>
    </row>
    <row r="765" spans="1:1">
      <c r="A765" s="5"/>
    </row>
    <row r="766" spans="1:1">
      <c r="A766" s="5"/>
    </row>
    <row r="767" spans="1:1">
      <c r="A767" s="5"/>
    </row>
    <row r="768" spans="1:1">
      <c r="A768" s="5"/>
    </row>
    <row r="769" spans="1:1">
      <c r="A769" s="5"/>
    </row>
    <row r="770" spans="1:1">
      <c r="A770" s="5"/>
    </row>
    <row r="771" spans="1:1">
      <c r="A771" s="5"/>
    </row>
    <row r="772" spans="1:1">
      <c r="A772" s="5"/>
    </row>
    <row r="773" spans="1:1">
      <c r="A773" s="5"/>
    </row>
    <row r="774" spans="1:1">
      <c r="A774" s="5"/>
    </row>
    <row r="775" spans="1:1">
      <c r="A775" s="5"/>
    </row>
    <row r="776" spans="1:1">
      <c r="A776" s="5"/>
    </row>
    <row r="777" spans="1:1">
      <c r="A777" s="5"/>
    </row>
    <row r="778" spans="1:1">
      <c r="A778" s="5"/>
    </row>
    <row r="779" spans="1:1">
      <c r="A779" s="5"/>
    </row>
    <row r="780" spans="1:1">
      <c r="A780" s="5"/>
    </row>
    <row r="781" spans="1:1">
      <c r="A781" s="5"/>
    </row>
    <row r="782" spans="1:1">
      <c r="A782" s="5"/>
    </row>
    <row r="783" spans="1:1">
      <c r="A783" s="5"/>
    </row>
    <row r="784" spans="1:1">
      <c r="A784" s="5"/>
    </row>
    <row r="785" spans="1:1">
      <c r="A785" s="5"/>
    </row>
    <row r="786" spans="1:1">
      <c r="A786" s="5"/>
    </row>
    <row r="787" spans="1:1">
      <c r="A787" s="5"/>
    </row>
    <row r="788" spans="1:1">
      <c r="A788" s="5"/>
    </row>
    <row r="789" spans="1:1">
      <c r="A789" s="5"/>
    </row>
    <row r="790" spans="1:1">
      <c r="A790" s="5"/>
    </row>
    <row r="791" spans="1:1">
      <c r="A791" s="5"/>
    </row>
    <row r="792" spans="1:1">
      <c r="A792" s="5"/>
    </row>
    <row r="793" spans="1:1">
      <c r="A793" s="5"/>
    </row>
    <row r="794" spans="1:1">
      <c r="A794" s="5"/>
    </row>
    <row r="795" spans="1:1">
      <c r="A795" s="5"/>
    </row>
    <row r="796" spans="1:1">
      <c r="A796" s="5"/>
    </row>
    <row r="797" spans="1:1">
      <c r="A797" s="5"/>
    </row>
    <row r="798" spans="1:1">
      <c r="A798" s="5"/>
    </row>
    <row r="799" spans="1:1">
      <c r="A799" s="5"/>
    </row>
    <row r="800" spans="1:1">
      <c r="A800" s="5"/>
    </row>
    <row r="801" spans="1:1">
      <c r="A801" s="5"/>
    </row>
    <row r="802" spans="1:1">
      <c r="A802" s="5"/>
    </row>
    <row r="803" spans="1:1">
      <c r="A803" s="5"/>
    </row>
    <row r="804" spans="1:1">
      <c r="A804" s="5"/>
    </row>
    <row r="805" spans="1:1">
      <c r="A805" s="5"/>
    </row>
    <row r="806" spans="1:1">
      <c r="A806" s="5"/>
    </row>
    <row r="807" spans="1:1">
      <c r="A807" s="5"/>
    </row>
    <row r="808" spans="1:1">
      <c r="A808" s="5"/>
    </row>
    <row r="809" spans="1:1">
      <c r="A809" s="5"/>
    </row>
    <row r="810" spans="1:1">
      <c r="A810" s="5"/>
    </row>
    <row r="811" spans="1:1">
      <c r="A811" s="5"/>
    </row>
    <row r="812" spans="1:1">
      <c r="A812" s="5"/>
    </row>
    <row r="813" spans="1:1">
      <c r="A813" s="5"/>
    </row>
    <row r="814" spans="1:1">
      <c r="A814" s="5"/>
    </row>
    <row r="815" spans="1:1">
      <c r="A815" s="5"/>
    </row>
    <row r="816" spans="1:1">
      <c r="A816" s="5"/>
    </row>
    <row r="817" spans="1:1">
      <c r="A817" s="5"/>
    </row>
    <row r="818" spans="1:1">
      <c r="A818" s="5"/>
    </row>
    <row r="819" spans="1:1">
      <c r="A819" s="5"/>
    </row>
    <row r="820" spans="1:1">
      <c r="A820" s="5"/>
    </row>
    <row r="821" spans="1:1">
      <c r="A821" s="5"/>
    </row>
    <row r="822" spans="1:1">
      <c r="A822" s="5"/>
    </row>
    <row r="823" spans="1:1">
      <c r="A823" s="5"/>
    </row>
    <row r="824" spans="1:1">
      <c r="A824" s="5"/>
    </row>
    <row r="825" spans="1:1">
      <c r="A825" s="5"/>
    </row>
    <row r="826" spans="1:1">
      <c r="A826" s="5"/>
    </row>
    <row r="827" spans="1:1">
      <c r="A827" s="5"/>
    </row>
    <row r="828" spans="1:1">
      <c r="A828" s="5"/>
    </row>
    <row r="829" spans="1:1">
      <c r="A829" s="5"/>
    </row>
    <row r="830" spans="1:1">
      <c r="A830" s="5"/>
    </row>
    <row r="831" spans="1:1">
      <c r="A831" s="5"/>
    </row>
    <row r="832" spans="1:1">
      <c r="A832" s="5"/>
    </row>
    <row r="833" spans="1:1">
      <c r="A833" s="5"/>
    </row>
    <row r="834" spans="1:1">
      <c r="A834" s="5"/>
    </row>
    <row r="835" spans="1:1">
      <c r="A835" s="5"/>
    </row>
    <row r="836" spans="1:1">
      <c r="A836" s="5"/>
    </row>
    <row r="837" spans="1:1">
      <c r="A837" s="5"/>
    </row>
    <row r="838" spans="1:1">
      <c r="A838" s="5"/>
    </row>
    <row r="839" spans="1:1">
      <c r="A839" s="5"/>
    </row>
    <row r="840" spans="1:1">
      <c r="A840" s="5"/>
    </row>
    <row r="841" spans="1:1">
      <c r="A841" s="5"/>
    </row>
    <row r="842" spans="1:1">
      <c r="A842" s="5"/>
    </row>
    <row r="843" spans="1:1">
      <c r="A843" s="5"/>
    </row>
    <row r="844" spans="1:1">
      <c r="A844" s="5"/>
    </row>
    <row r="845" spans="1:1">
      <c r="A845" s="5"/>
    </row>
    <row r="846" spans="1:1">
      <c r="A846" s="5"/>
    </row>
    <row r="847" spans="1:1">
      <c r="A847" s="5"/>
    </row>
    <row r="848" spans="1:1">
      <c r="A848" s="5"/>
    </row>
    <row r="849" spans="1:1">
      <c r="A849" s="5"/>
    </row>
    <row r="850" spans="1:1">
      <c r="A850" s="5"/>
    </row>
    <row r="851" spans="1:1">
      <c r="A851" s="5"/>
    </row>
    <row r="852" spans="1:1">
      <c r="A852" s="5"/>
    </row>
    <row r="853" spans="1:1">
      <c r="A853" s="5"/>
    </row>
    <row r="854" spans="1:1">
      <c r="A854" s="5"/>
    </row>
    <row r="855" spans="1:1">
      <c r="A855" s="5"/>
    </row>
    <row r="856" spans="1:1">
      <c r="A856" s="5"/>
    </row>
    <row r="857" spans="1:1">
      <c r="A857" s="5"/>
    </row>
    <row r="858" spans="1:1">
      <c r="A858" s="5"/>
    </row>
    <row r="859" spans="1:1">
      <c r="A859" s="5"/>
    </row>
    <row r="860" spans="1:1">
      <c r="A860" s="5"/>
    </row>
    <row r="861" spans="1:1">
      <c r="A861" s="5"/>
    </row>
    <row r="862" spans="1:1">
      <c r="A862" s="5"/>
    </row>
    <row r="863" spans="1:1">
      <c r="A863" s="5"/>
    </row>
    <row r="864" spans="1:1">
      <c r="A864" s="5"/>
    </row>
    <row r="865" spans="1:1">
      <c r="A865" s="5"/>
    </row>
    <row r="866" spans="1:1">
      <c r="A866" s="5"/>
    </row>
    <row r="867" spans="1:1">
      <c r="A867" s="5"/>
    </row>
    <row r="868" spans="1:1">
      <c r="A868" s="5"/>
    </row>
    <row r="869" spans="1:1">
      <c r="A869" s="5"/>
    </row>
    <row r="870" spans="1:1">
      <c r="A870" s="5"/>
    </row>
    <row r="871" spans="1:1">
      <c r="A871" s="5"/>
    </row>
    <row r="872" spans="1:1">
      <c r="A872" s="5"/>
    </row>
    <row r="873" spans="1:1">
      <c r="A873" s="5"/>
    </row>
    <row r="874" spans="1:1">
      <c r="A874" s="5"/>
    </row>
    <row r="875" spans="1:1">
      <c r="A875" s="5"/>
    </row>
    <row r="876" spans="1:1">
      <c r="A876" s="5"/>
    </row>
    <row r="877" spans="1:1">
      <c r="A877" s="5"/>
    </row>
    <row r="878" spans="1:1">
      <c r="A878" s="5"/>
    </row>
    <row r="879" spans="1:1">
      <c r="A879" s="5"/>
    </row>
    <row r="880" spans="1:1">
      <c r="A880" s="5"/>
    </row>
    <row r="881" spans="1:1">
      <c r="A881" s="5"/>
    </row>
    <row r="882" spans="1:1">
      <c r="A882" s="5"/>
    </row>
    <row r="883" spans="1:1">
      <c r="A883" s="5"/>
    </row>
    <row r="884" spans="1:1">
      <c r="A884" s="5"/>
    </row>
    <row r="885" spans="1:1">
      <c r="A885" s="5"/>
    </row>
    <row r="886" spans="1:1">
      <c r="A886" s="5"/>
    </row>
    <row r="887" spans="1:1">
      <c r="A887" s="5"/>
    </row>
    <row r="888" spans="1:1">
      <c r="A888" s="5"/>
    </row>
    <row r="889" spans="1:1">
      <c r="A889" s="5"/>
    </row>
    <row r="890" spans="1:1">
      <c r="A890" s="5"/>
    </row>
    <row r="891" spans="1:1">
      <c r="A891" s="5"/>
    </row>
    <row r="892" spans="1:1">
      <c r="A892" s="5"/>
    </row>
    <row r="893" spans="1:1">
      <c r="A893" s="5"/>
    </row>
    <row r="894" spans="1:1">
      <c r="A894" s="5"/>
    </row>
    <row r="895" spans="1:1">
      <c r="A895" s="5"/>
    </row>
    <row r="896" spans="1:1">
      <c r="A896" s="5"/>
    </row>
    <row r="897" spans="1:1">
      <c r="A897" s="5"/>
    </row>
    <row r="898" spans="1:1">
      <c r="A898" s="5"/>
    </row>
    <row r="899" spans="1:1">
      <c r="A899" s="5"/>
    </row>
    <row r="900" spans="1:1">
      <c r="A900" s="5"/>
    </row>
    <row r="901" spans="1:1">
      <c r="A901" s="5"/>
    </row>
    <row r="902" spans="1:1">
      <c r="A902" s="5"/>
    </row>
    <row r="903" spans="1:1">
      <c r="A903" s="5"/>
    </row>
    <row r="904" spans="1:1">
      <c r="A904" s="5"/>
    </row>
    <row r="905" spans="1:1">
      <c r="A905" s="5"/>
    </row>
    <row r="906" spans="1:1">
      <c r="A906" s="5"/>
    </row>
    <row r="907" spans="1:1">
      <c r="A907" s="5"/>
    </row>
    <row r="908" spans="1:1">
      <c r="A908" s="5"/>
    </row>
    <row r="909" spans="1:1">
      <c r="A909" s="5"/>
    </row>
    <row r="910" spans="1:1">
      <c r="A910" s="5"/>
    </row>
    <row r="911" spans="1:1">
      <c r="A911" s="5"/>
    </row>
    <row r="912" spans="1:1">
      <c r="A912" s="5"/>
    </row>
    <row r="913" spans="1:1">
      <c r="A913" s="5"/>
    </row>
    <row r="914" spans="1:1">
      <c r="A914" s="5"/>
    </row>
    <row r="915" spans="1:1">
      <c r="A915" s="5"/>
    </row>
    <row r="916" spans="1:1">
      <c r="A916" s="5"/>
    </row>
    <row r="917" spans="1:1">
      <c r="A917" s="5"/>
    </row>
    <row r="918" spans="1:1">
      <c r="A918" s="5"/>
    </row>
    <row r="919" spans="1:1">
      <c r="A919" s="5"/>
    </row>
    <row r="920" spans="1:1">
      <c r="A920" s="5"/>
    </row>
    <row r="921" spans="1:1">
      <c r="A921" s="5"/>
    </row>
    <row r="922" spans="1:1">
      <c r="A922" s="5"/>
    </row>
    <row r="923" spans="1:1">
      <c r="A923" s="5"/>
    </row>
    <row r="924" spans="1:1">
      <c r="A924" s="5"/>
    </row>
    <row r="925" spans="1:1">
      <c r="A925" s="5"/>
    </row>
    <row r="926" spans="1:1">
      <c r="A926" s="5"/>
    </row>
    <row r="927" spans="1:1">
      <c r="A927" s="5"/>
    </row>
    <row r="928" spans="1:1">
      <c r="A928" s="5"/>
    </row>
    <row r="929" spans="1:1">
      <c r="A929" s="5"/>
    </row>
    <row r="930" spans="1:1">
      <c r="A930" s="5"/>
    </row>
    <row r="931" spans="1:1">
      <c r="A931" s="5"/>
    </row>
    <row r="932" spans="1:1">
      <c r="A932" s="5"/>
    </row>
    <row r="933" spans="1:1">
      <c r="A933" s="5"/>
    </row>
    <row r="934" spans="1:1">
      <c r="A934" s="5"/>
    </row>
    <row r="935" spans="1:1">
      <c r="A935" s="5"/>
    </row>
    <row r="936" spans="1:1">
      <c r="A936" s="5"/>
    </row>
    <row r="937" spans="1:1">
      <c r="A937" s="5"/>
    </row>
    <row r="938" spans="1:1">
      <c r="A938" s="5"/>
    </row>
    <row r="939" spans="1:1">
      <c r="A939" s="5"/>
    </row>
    <row r="940" spans="1:1">
      <c r="A940" s="5"/>
    </row>
    <row r="941" spans="1:1">
      <c r="A941" s="5"/>
    </row>
    <row r="942" spans="1:1">
      <c r="A942" s="5"/>
    </row>
    <row r="943" spans="1:1">
      <c r="A943" s="5"/>
    </row>
    <row r="944" spans="1:1">
      <c r="A944" s="5"/>
    </row>
    <row r="945" spans="1:1">
      <c r="A945" s="5"/>
    </row>
    <row r="946" spans="1:1">
      <c r="A946" s="5"/>
    </row>
    <row r="947" spans="1:1">
      <c r="A947" s="5"/>
    </row>
    <row r="948" spans="1:1">
      <c r="A948" s="5"/>
    </row>
    <row r="949" spans="1:1">
      <c r="A949" s="5"/>
    </row>
    <row r="950" spans="1:1">
      <c r="A950" s="5"/>
    </row>
    <row r="951" spans="1:1">
      <c r="A951" s="5"/>
    </row>
    <row r="952" spans="1:1">
      <c r="A952" s="5"/>
    </row>
    <row r="953" spans="1:1">
      <c r="A953" s="5"/>
    </row>
    <row r="954" spans="1:1">
      <c r="A954" s="5"/>
    </row>
    <row r="955" spans="1:1">
      <c r="A955" s="5"/>
    </row>
    <row r="956" spans="1:1">
      <c r="A956" s="5"/>
    </row>
    <row r="957" spans="1:1">
      <c r="A957" s="5"/>
    </row>
    <row r="958" spans="1:1">
      <c r="A958" s="5"/>
    </row>
    <row r="959" spans="1:1">
      <c r="A959" s="5"/>
    </row>
    <row r="960" spans="1:1">
      <c r="A960" s="5"/>
    </row>
    <row r="961" spans="1:1">
      <c r="A961" s="5"/>
    </row>
    <row r="962" spans="1:1">
      <c r="A962" s="5"/>
    </row>
    <row r="963" spans="1:1">
      <c r="A963" s="5"/>
    </row>
    <row r="964" spans="1:1">
      <c r="A964" s="5"/>
    </row>
    <row r="965" spans="1:1">
      <c r="A965" s="5"/>
    </row>
    <row r="966" spans="1:1">
      <c r="A966" s="5"/>
    </row>
    <row r="967" spans="1:1">
      <c r="A967" s="5"/>
    </row>
    <row r="968" spans="1:1">
      <c r="A968" s="5"/>
    </row>
    <row r="969" spans="1:1">
      <c r="A969" s="5"/>
    </row>
    <row r="970" spans="1:1">
      <c r="A970" s="5"/>
    </row>
    <row r="971" spans="1:1">
      <c r="A971" s="5"/>
    </row>
    <row r="972" spans="1:1">
      <c r="A972" s="5"/>
    </row>
    <row r="973" spans="1:1">
      <c r="A973" s="5"/>
    </row>
    <row r="974" spans="1:1">
      <c r="A974" s="5"/>
    </row>
    <row r="975" spans="1:1">
      <c r="A975" s="5"/>
    </row>
    <row r="976" spans="1:1">
      <c r="A976" s="5"/>
    </row>
    <row r="977" spans="1:1">
      <c r="A977" s="5"/>
    </row>
    <row r="978" spans="1:1">
      <c r="A978" s="5"/>
    </row>
    <row r="979" spans="1:1">
      <c r="A979" s="5"/>
    </row>
    <row r="980" spans="1:1">
      <c r="A980" s="5"/>
    </row>
    <row r="981" spans="1:1">
      <c r="A981" s="5"/>
    </row>
    <row r="982" spans="1:1">
      <c r="A982" s="5"/>
    </row>
    <row r="983" spans="1:1">
      <c r="A983" s="5"/>
    </row>
    <row r="984" spans="1:1">
      <c r="A984" s="5"/>
    </row>
    <row r="985" spans="1:1">
      <c r="A985" s="5"/>
    </row>
    <row r="986" spans="1:1">
      <c r="A986" s="5"/>
    </row>
    <row r="987" spans="1:1">
      <c r="A987" s="5"/>
    </row>
    <row r="988" spans="1:1">
      <c r="A988" s="5"/>
    </row>
    <row r="989" spans="1:1">
      <c r="A989" s="5"/>
    </row>
    <row r="990" spans="1:1">
      <c r="A990" s="5"/>
    </row>
    <row r="991" spans="1:1">
      <c r="A991" s="5"/>
    </row>
    <row r="992" spans="1:1">
      <c r="A992" s="5"/>
    </row>
    <row r="993" spans="1:1">
      <c r="A993" s="5"/>
    </row>
    <row r="994" spans="1:1">
      <c r="A994" s="5"/>
    </row>
    <row r="995" spans="1:1">
      <c r="A995" s="5"/>
    </row>
    <row r="996" spans="1:1">
      <c r="A996" s="5"/>
    </row>
    <row r="997" spans="1:1">
      <c r="A997" s="5"/>
    </row>
    <row r="998" spans="1:1">
      <c r="A998" s="5"/>
    </row>
    <row r="999" spans="1:1">
      <c r="A999" s="5"/>
    </row>
    <row r="1000" spans="1:1">
      <c r="A1000" s="5"/>
    </row>
    <row r="1001" spans="1:1">
      <c r="A1001" s="5"/>
    </row>
    <row r="1002" spans="1:1">
      <c r="A1002" s="5"/>
    </row>
    <row r="1003" spans="1:1">
      <c r="A1003" s="5"/>
    </row>
    <row r="1004" spans="1:1">
      <c r="A1004" s="5"/>
    </row>
    <row r="1005" spans="1:1">
      <c r="A1005" s="5"/>
    </row>
    <row r="1006" spans="1:1">
      <c r="A1006" s="5"/>
    </row>
    <row r="1007" spans="1:1">
      <c r="A1007" s="5"/>
    </row>
    <row r="1008" spans="1:1">
      <c r="A1008" s="5"/>
    </row>
    <row r="1009" spans="1:1">
      <c r="A1009" s="5"/>
    </row>
    <row r="1010" spans="1:1">
      <c r="A1010" s="5"/>
    </row>
    <row r="1011" spans="1:1">
      <c r="A1011" s="5"/>
    </row>
    <row r="1012" spans="1:1">
      <c r="A1012" s="5"/>
    </row>
    <row r="1013" spans="1:1">
      <c r="A1013" s="5"/>
    </row>
    <row r="1014" spans="1:1">
      <c r="A1014" s="5"/>
    </row>
    <row r="1015" spans="1:1">
      <c r="A1015" s="5"/>
    </row>
    <row r="1016" spans="1:1">
      <c r="A1016" s="5"/>
    </row>
    <row r="1017" spans="1:1">
      <c r="A1017" s="5"/>
    </row>
    <row r="1018" spans="1:1">
      <c r="A1018" s="5"/>
    </row>
    <row r="1019" spans="1:1">
      <c r="A1019" s="5"/>
    </row>
    <row r="1020" spans="1:1">
      <c r="A1020" s="5"/>
    </row>
    <row r="1021" spans="1:1">
      <c r="A1021" s="5"/>
    </row>
    <row r="1022" spans="1:1">
      <c r="A1022" s="5"/>
    </row>
    <row r="1023" spans="1:1">
      <c r="A1023" s="5"/>
    </row>
    <row r="1024" spans="1:1">
      <c r="A1024" s="5"/>
    </row>
    <row r="1025" spans="1:1">
      <c r="A1025" s="5"/>
    </row>
    <row r="1026" spans="1:1">
      <c r="A1026" s="5"/>
    </row>
    <row r="1027" spans="1:1">
      <c r="A1027" s="5"/>
    </row>
    <row r="1028" spans="1:1">
      <c r="A1028" s="5"/>
    </row>
    <row r="1029" spans="1:1">
      <c r="A1029" s="5"/>
    </row>
    <row r="1030" spans="1:1">
      <c r="A1030" s="5"/>
    </row>
    <row r="1031" spans="1:1">
      <c r="A1031" s="5"/>
    </row>
    <row r="1032" spans="1:1">
      <c r="A1032" s="5"/>
    </row>
    <row r="1033" spans="1:1">
      <c r="A1033" s="5"/>
    </row>
    <row r="1034" spans="1:1">
      <c r="A1034" s="5"/>
    </row>
    <row r="1035" spans="1:1">
      <c r="A1035" s="5"/>
    </row>
    <row r="1036" spans="1:1">
      <c r="A1036" s="5"/>
    </row>
    <row r="1037" spans="1:1">
      <c r="A1037" s="5"/>
    </row>
    <row r="1038" spans="1:1">
      <c r="A1038" s="5"/>
    </row>
    <row r="1039" spans="1:1">
      <c r="A1039" s="5"/>
    </row>
    <row r="1040" spans="1:1">
      <c r="A1040" s="5"/>
    </row>
    <row r="1041" spans="1:1">
      <c r="A1041" s="5"/>
    </row>
    <row r="1042" spans="1:1">
      <c r="A1042" s="5"/>
    </row>
    <row r="1043" spans="1:1">
      <c r="A1043" s="5"/>
    </row>
    <row r="1044" spans="1:1">
      <c r="A1044" s="5"/>
    </row>
    <row r="1045" spans="1:1">
      <c r="A1045" s="5"/>
    </row>
    <row r="1046" spans="1:1">
      <c r="A1046" s="5"/>
    </row>
    <row r="1047" spans="1:1">
      <c r="A1047" s="5"/>
    </row>
    <row r="1048" spans="1:1">
      <c r="A1048" s="5"/>
    </row>
    <row r="1049" spans="1:1">
      <c r="A1049" s="5"/>
    </row>
    <row r="1050" spans="1:1">
      <c r="A1050" s="5"/>
    </row>
    <row r="1051" spans="1:1">
      <c r="A1051" s="5"/>
    </row>
    <row r="1052" spans="1:1">
      <c r="A1052" s="5"/>
    </row>
    <row r="1053" spans="1:1">
      <c r="A1053" s="5"/>
    </row>
    <row r="1054" spans="1:1">
      <c r="A1054" s="5"/>
    </row>
    <row r="1055" spans="1:1">
      <c r="A1055" s="5"/>
    </row>
    <row r="1056" spans="1:1">
      <c r="A1056" s="5"/>
    </row>
    <row r="1057" spans="1:1">
      <c r="A1057" s="5"/>
    </row>
    <row r="1058" spans="1:1">
      <c r="A1058" s="5"/>
    </row>
    <row r="1059" spans="1:1">
      <c r="A1059" s="5"/>
    </row>
    <row r="1060" spans="1:1">
      <c r="A1060" s="5"/>
    </row>
    <row r="1061" spans="1:1">
      <c r="A1061" s="5"/>
    </row>
    <row r="1062" spans="1:1">
      <c r="A1062" s="5"/>
    </row>
    <row r="1063" spans="1:1">
      <c r="A1063" s="5"/>
    </row>
    <row r="1064" spans="1:1">
      <c r="A1064" s="5"/>
    </row>
    <row r="1065" spans="1:1">
      <c r="A1065" s="5"/>
    </row>
    <row r="1066" spans="1:1">
      <c r="A1066" s="5"/>
    </row>
    <row r="1067" spans="1:1">
      <c r="A1067" s="5"/>
    </row>
    <row r="1068" spans="1:1">
      <c r="A1068" s="5"/>
    </row>
    <row r="1069" spans="1:1">
      <c r="A1069" s="5"/>
    </row>
    <row r="1070" spans="1:1">
      <c r="A1070" s="5"/>
    </row>
    <row r="1071" spans="1:1">
      <c r="A1071" s="5"/>
    </row>
    <row r="1072" spans="1:1">
      <c r="A1072" s="5"/>
    </row>
    <row r="1073" spans="1:1">
      <c r="A1073" s="5"/>
    </row>
    <row r="1074" spans="1:1">
      <c r="A1074" s="5"/>
    </row>
    <row r="1075" spans="1:1">
      <c r="A1075" s="5"/>
    </row>
    <row r="1076" spans="1:1">
      <c r="A1076" s="5"/>
    </row>
    <row r="1077" spans="1:1">
      <c r="A1077" s="5"/>
    </row>
    <row r="1078" spans="1:1">
      <c r="A1078" s="5"/>
    </row>
    <row r="1079" spans="1:1">
      <c r="A1079" s="5"/>
    </row>
    <row r="1080" spans="1:1">
      <c r="A1080" s="5"/>
    </row>
    <row r="1081" spans="1:1">
      <c r="A1081" s="5"/>
    </row>
    <row r="1082" spans="1:1">
      <c r="A1082" s="5"/>
    </row>
    <row r="1083" spans="1:1">
      <c r="A1083" s="5"/>
    </row>
    <row r="1084" spans="1:1">
      <c r="A1084" s="5"/>
    </row>
    <row r="1085" spans="1:1">
      <c r="A1085" s="5"/>
    </row>
    <row r="1086" spans="1:1">
      <c r="A1086" s="5"/>
    </row>
    <row r="1087" spans="1:1">
      <c r="A1087" s="5"/>
    </row>
    <row r="1088" spans="1:1">
      <c r="A1088" s="5"/>
    </row>
    <row r="1089" spans="1:1">
      <c r="A1089" s="5"/>
    </row>
    <row r="1090" spans="1:1">
      <c r="A1090" s="5"/>
    </row>
    <row r="1091" spans="1:1">
      <c r="A1091" s="5"/>
    </row>
    <row r="1092" spans="1:1">
      <c r="A1092" s="5"/>
    </row>
    <row r="1093" spans="1:1">
      <c r="A1093" s="5"/>
    </row>
    <row r="1094" spans="1:1">
      <c r="A1094" s="5"/>
    </row>
    <row r="1095" spans="1:1">
      <c r="A1095" s="5"/>
    </row>
    <row r="1096" spans="1:1">
      <c r="A1096" s="5"/>
    </row>
    <row r="1097" spans="1:1">
      <c r="A1097" s="5"/>
    </row>
    <row r="1098" spans="1:1">
      <c r="A1098" s="5"/>
    </row>
    <row r="1099" spans="1:1">
      <c r="A1099" s="5"/>
    </row>
    <row r="1100" spans="1:1">
      <c r="A1100" s="5"/>
    </row>
    <row r="1101" spans="1:1">
      <c r="A1101" s="5"/>
    </row>
    <row r="1102" spans="1:1">
      <c r="A1102" s="5"/>
    </row>
    <row r="1103" spans="1:1">
      <c r="A1103" s="5"/>
    </row>
    <row r="1104" spans="1:1">
      <c r="A1104" s="5"/>
    </row>
    <row r="1105" spans="1:1">
      <c r="A1105" s="5"/>
    </row>
    <row r="1106" spans="1:1">
      <c r="A1106" s="5"/>
    </row>
    <row r="1107" spans="1:1">
      <c r="A1107" s="5"/>
    </row>
    <row r="1108" spans="1:1">
      <c r="A1108" s="5"/>
    </row>
    <row r="1109" spans="1:1">
      <c r="A1109" s="5"/>
    </row>
    <row r="1110" spans="1:1">
      <c r="A1110" s="5"/>
    </row>
    <row r="1111" spans="1:1">
      <c r="A1111" s="5"/>
    </row>
    <row r="1112" spans="1:1">
      <c r="A1112" s="5"/>
    </row>
    <row r="1113" spans="1:1">
      <c r="A1113" s="5"/>
    </row>
    <row r="1114" spans="1:1">
      <c r="A1114" s="5"/>
    </row>
    <row r="1115" spans="1:1">
      <c r="A1115" s="5"/>
    </row>
    <row r="1116" spans="1:1">
      <c r="A1116" s="5"/>
    </row>
    <row r="1117" spans="1:1">
      <c r="A1117" s="5"/>
    </row>
    <row r="1118" spans="1:1">
      <c r="A1118" s="5"/>
    </row>
    <row r="1119" spans="1:1">
      <c r="A1119" s="5"/>
    </row>
    <row r="1120" spans="1:1">
      <c r="A1120" s="5"/>
    </row>
    <row r="1121" spans="1:1">
      <c r="A1121" s="5"/>
    </row>
    <row r="1122" spans="1:1">
      <c r="A1122" s="5"/>
    </row>
    <row r="1123" spans="1:1">
      <c r="A1123" s="5"/>
    </row>
    <row r="1124" spans="1:1">
      <c r="A1124" s="5"/>
    </row>
    <row r="1125" spans="1:1">
      <c r="A1125" s="5"/>
    </row>
    <row r="1126" spans="1:1">
      <c r="A1126" s="5"/>
    </row>
    <row r="1127" spans="1:1">
      <c r="A1127" s="5"/>
    </row>
    <row r="1128" spans="1:1">
      <c r="A1128" s="5"/>
    </row>
    <row r="1129" spans="1:1">
      <c r="A1129" s="5"/>
    </row>
    <row r="1130" spans="1:1">
      <c r="A1130" s="5"/>
    </row>
    <row r="1131" spans="1:1">
      <c r="A1131" s="5"/>
    </row>
    <row r="1132" spans="1:1">
      <c r="A1132" s="5"/>
    </row>
    <row r="1133" spans="1:1">
      <c r="A1133" s="5"/>
    </row>
    <row r="1134" spans="1:1">
      <c r="A1134" s="5"/>
    </row>
    <row r="1135" spans="1:1">
      <c r="A1135" s="5"/>
    </row>
    <row r="1136" spans="1:1">
      <c r="A1136" s="5"/>
    </row>
    <row r="1137" spans="1:1">
      <c r="A1137" s="5"/>
    </row>
    <row r="1138" spans="1:1">
      <c r="A1138" s="5"/>
    </row>
    <row r="1139" spans="1:1">
      <c r="A1139" s="5"/>
    </row>
    <row r="1140" spans="1:1">
      <c r="A1140" s="5"/>
    </row>
    <row r="1141" spans="1:1">
      <c r="A1141" s="5"/>
    </row>
    <row r="1142" spans="1:1">
      <c r="A1142" s="5"/>
    </row>
    <row r="1143" spans="1:1">
      <c r="A1143" s="5"/>
    </row>
    <row r="1144" spans="1:1">
      <c r="A1144" s="5"/>
    </row>
    <row r="1145" spans="1:1">
      <c r="A1145" s="5"/>
    </row>
    <row r="1146" spans="1:1">
      <c r="A1146" s="5"/>
    </row>
    <row r="1147" spans="1:1">
      <c r="A1147" s="5"/>
    </row>
    <row r="1148" spans="1:1">
      <c r="A1148" s="5"/>
    </row>
    <row r="1149" spans="1:1">
      <c r="A1149" s="5"/>
    </row>
    <row r="1150" spans="1:1">
      <c r="A1150" s="5"/>
    </row>
    <row r="1151" spans="1:1">
      <c r="A1151" s="5"/>
    </row>
    <row r="1152" spans="1:1">
      <c r="A1152" s="5"/>
    </row>
    <row r="1153" spans="1:1">
      <c r="A1153" s="5"/>
    </row>
    <row r="1154" spans="1:1">
      <c r="A1154" s="5"/>
    </row>
    <row r="1155" spans="1:1">
      <c r="A1155" s="5"/>
    </row>
    <row r="1156" spans="1:1">
      <c r="A1156" s="5"/>
    </row>
    <row r="1157" spans="1:1">
      <c r="A1157" s="5"/>
    </row>
    <row r="1158" spans="1:1">
      <c r="A1158" s="5"/>
    </row>
    <row r="1159" spans="1:1">
      <c r="A1159" s="5"/>
    </row>
    <row r="1160" spans="1:1">
      <c r="A1160" s="5"/>
    </row>
    <row r="1161" spans="1:1">
      <c r="A1161" s="5"/>
    </row>
    <row r="1162" spans="1:1">
      <c r="A1162" s="5"/>
    </row>
    <row r="1163" spans="1:1">
      <c r="A1163" s="5"/>
    </row>
    <row r="1164" spans="1:1">
      <c r="A1164" s="5"/>
    </row>
    <row r="1165" spans="1:1">
      <c r="A1165" s="5"/>
    </row>
    <row r="1166" spans="1:1">
      <c r="A1166" s="5"/>
    </row>
    <row r="1167" spans="1:1">
      <c r="A1167" s="5"/>
    </row>
    <row r="1168" spans="1:1">
      <c r="A1168" s="5"/>
    </row>
    <row r="1169" spans="1:1">
      <c r="A1169" s="5"/>
    </row>
    <row r="1170" spans="1:1">
      <c r="A1170" s="5"/>
    </row>
    <row r="1171" spans="1:1">
      <c r="A1171" s="5"/>
    </row>
    <row r="1172" spans="1:1">
      <c r="A1172" s="5"/>
    </row>
    <row r="1173" spans="1:1">
      <c r="A1173" s="5"/>
    </row>
    <row r="1174" spans="1:1">
      <c r="A1174" s="5"/>
    </row>
    <row r="1175" spans="1:1">
      <c r="A1175" s="5"/>
    </row>
    <row r="1176" spans="1:1">
      <c r="A1176" s="5"/>
    </row>
    <row r="1177" spans="1:1">
      <c r="A1177" s="5"/>
    </row>
    <row r="1178" spans="1:1">
      <c r="A1178" s="5"/>
    </row>
    <row r="1179" spans="1:1">
      <c r="A1179" s="5"/>
    </row>
    <row r="1180" spans="1:1">
      <c r="A1180" s="5"/>
    </row>
    <row r="1181" spans="1:1">
      <c r="A1181" s="5"/>
    </row>
    <row r="1182" spans="1:1">
      <c r="A1182" s="5"/>
    </row>
    <row r="1183" spans="1:1">
      <c r="A1183" s="5"/>
    </row>
    <row r="1184" spans="1:1">
      <c r="A1184" s="5"/>
    </row>
    <row r="1185" spans="1:1">
      <c r="A1185" s="5"/>
    </row>
    <row r="1186" spans="1:1">
      <c r="A1186" s="5"/>
    </row>
    <row r="1187" spans="1:1">
      <c r="A1187" s="5"/>
    </row>
    <row r="1188" spans="1:1">
      <c r="A1188" s="5"/>
    </row>
    <row r="1189" spans="1:1">
      <c r="A1189" s="5"/>
    </row>
    <row r="1190" spans="1:1">
      <c r="A1190" s="5"/>
    </row>
    <row r="1191" spans="1:1">
      <c r="A1191" s="5"/>
    </row>
    <row r="1192" spans="1:1">
      <c r="A1192" s="5"/>
    </row>
    <row r="1193" spans="1:1">
      <c r="A1193" s="5"/>
    </row>
    <row r="1194" spans="1:1">
      <c r="A1194" s="5"/>
    </row>
    <row r="1195" spans="1:1">
      <c r="A1195" s="5"/>
    </row>
    <row r="1196" spans="1:1">
      <c r="A1196" s="5"/>
    </row>
    <row r="1197" spans="1:1">
      <c r="A1197" s="5"/>
    </row>
    <row r="1198" spans="1:1">
      <c r="A1198" s="5"/>
    </row>
    <row r="1199" spans="1:1">
      <c r="A1199" s="5"/>
    </row>
    <row r="1200" spans="1:1">
      <c r="A1200" s="5"/>
    </row>
    <row r="1201" spans="1:1">
      <c r="A1201" s="5"/>
    </row>
    <row r="1202" spans="1:1">
      <c r="A1202" s="5"/>
    </row>
    <row r="1203" spans="1:1">
      <c r="A1203" s="5"/>
    </row>
    <row r="1204" spans="1:1">
      <c r="A1204" s="5"/>
    </row>
    <row r="1205" spans="1:1">
      <c r="A1205" s="5"/>
    </row>
    <row r="1206" spans="1:1">
      <c r="A1206" s="5"/>
    </row>
    <row r="1207" spans="1:1">
      <c r="A1207" s="5"/>
    </row>
    <row r="1208" spans="1:1">
      <c r="A1208" s="5"/>
    </row>
    <row r="1209" spans="1:1">
      <c r="A1209" s="5"/>
    </row>
    <row r="1210" spans="1:1">
      <c r="A1210" s="5"/>
    </row>
    <row r="1211" spans="1:1">
      <c r="A1211" s="5"/>
    </row>
    <row r="1212" spans="1:1">
      <c r="A1212" s="5"/>
    </row>
    <row r="1213" spans="1:1">
      <c r="A1213" s="5"/>
    </row>
    <row r="1214" spans="1:1">
      <c r="A1214" s="5"/>
    </row>
    <row r="1215" spans="1:1">
      <c r="A1215" s="5"/>
    </row>
    <row r="1216" spans="1:1">
      <c r="A1216" s="5"/>
    </row>
    <row r="1217" spans="1:1">
      <c r="A1217" s="5"/>
    </row>
    <row r="1218" spans="1:1">
      <c r="A1218" s="5"/>
    </row>
    <row r="1219" spans="1:1">
      <c r="A1219" s="5"/>
    </row>
    <row r="1220" spans="1:1">
      <c r="A1220" s="5"/>
    </row>
    <row r="1221" spans="1:1">
      <c r="A1221" s="5"/>
    </row>
    <row r="1222" spans="1:1">
      <c r="A1222" s="5"/>
    </row>
    <row r="1223" spans="1:1">
      <c r="A1223" s="5"/>
    </row>
    <row r="1224" spans="1:1">
      <c r="A1224" s="5"/>
    </row>
    <row r="1225" spans="1:1">
      <c r="A1225" s="5"/>
    </row>
    <row r="1226" spans="1:1">
      <c r="A1226" s="5"/>
    </row>
    <row r="1227" spans="1:1">
      <c r="A1227" s="5"/>
    </row>
    <row r="1228" spans="1:1">
      <c r="A1228" s="5"/>
    </row>
    <row r="1229" spans="1:1">
      <c r="A1229" s="5"/>
    </row>
    <row r="1230" spans="1:1">
      <c r="A1230" s="5"/>
    </row>
    <row r="1231" spans="1:1">
      <c r="A1231" s="5"/>
    </row>
    <row r="1232" spans="1:1">
      <c r="A1232" s="5"/>
    </row>
    <row r="1233" spans="1:1">
      <c r="A1233" s="5"/>
    </row>
    <row r="1234" spans="1:1">
      <c r="A1234" s="5"/>
    </row>
    <row r="1235" spans="1:1">
      <c r="A1235" s="5"/>
    </row>
    <row r="1236" spans="1:1">
      <c r="A1236" s="5"/>
    </row>
    <row r="1237" spans="1:1">
      <c r="A1237" s="5"/>
    </row>
    <row r="1238" spans="1:1">
      <c r="A1238" s="5"/>
    </row>
    <row r="1239" spans="1:1">
      <c r="A1239" s="5"/>
    </row>
    <row r="1240" spans="1:1">
      <c r="A1240" s="5"/>
    </row>
    <row r="1241" spans="1:1">
      <c r="A1241" s="5"/>
    </row>
    <row r="1242" spans="1:1">
      <c r="A1242" s="5"/>
    </row>
    <row r="1243" spans="1:1">
      <c r="A1243" s="5"/>
    </row>
    <row r="1244" spans="1:1">
      <c r="A1244" s="5"/>
    </row>
    <row r="1245" spans="1:1">
      <c r="A1245" s="5"/>
    </row>
    <row r="1246" spans="1:1">
      <c r="A1246" s="5"/>
    </row>
    <row r="1247" spans="1:1">
      <c r="A1247" s="5"/>
    </row>
    <row r="1248" spans="1:1">
      <c r="A1248" s="5"/>
    </row>
    <row r="1249" spans="1:1">
      <c r="A1249" s="5"/>
    </row>
    <row r="1250" spans="1:1">
      <c r="A1250" s="5"/>
    </row>
    <row r="1251" spans="1:1">
      <c r="A1251" s="5"/>
    </row>
    <row r="1252" spans="1:1">
      <c r="A1252" s="5"/>
    </row>
    <row r="1253" spans="1:1">
      <c r="A1253" s="5"/>
    </row>
    <row r="1254" spans="1:1">
      <c r="A1254" s="5"/>
    </row>
    <row r="1255" spans="1:1">
      <c r="A1255" s="5"/>
    </row>
    <row r="1256" spans="1:1">
      <c r="A1256" s="5"/>
    </row>
    <row r="1257" spans="1:1">
      <c r="A1257" s="5"/>
    </row>
    <row r="1258" spans="1:1">
      <c r="A1258" s="5"/>
    </row>
    <row r="1259" spans="1:1">
      <c r="A1259" s="5"/>
    </row>
    <row r="1260" spans="1:1">
      <c r="A1260" s="5"/>
    </row>
    <row r="1261" spans="1:1">
      <c r="A1261" s="5"/>
    </row>
    <row r="1262" spans="1:1">
      <c r="A1262" s="5"/>
    </row>
    <row r="1263" spans="1:1">
      <c r="A1263" s="5"/>
    </row>
    <row r="1264" spans="1:1">
      <c r="A1264" s="5"/>
    </row>
    <row r="1265" spans="1:1">
      <c r="A1265" s="5"/>
    </row>
    <row r="1266" spans="1:1">
      <c r="A1266" s="5"/>
    </row>
    <row r="1267" spans="1:1">
      <c r="A1267" s="5"/>
    </row>
    <row r="1268" spans="1:1">
      <c r="A1268" s="5"/>
    </row>
    <row r="1269" spans="1:1">
      <c r="A1269" s="5"/>
    </row>
    <row r="1270" spans="1:1">
      <c r="A1270" s="5"/>
    </row>
    <row r="1271" spans="1:1">
      <c r="A1271" s="5"/>
    </row>
    <row r="1272" spans="1:1">
      <c r="A1272" s="5"/>
    </row>
    <row r="1273" spans="1:1">
      <c r="A1273" s="5"/>
    </row>
    <row r="1274" spans="1:1">
      <c r="A1274" s="5"/>
    </row>
    <row r="1275" spans="1:1">
      <c r="A1275" s="5"/>
    </row>
    <row r="1276" spans="1:1">
      <c r="A1276" s="5"/>
    </row>
    <row r="1277" spans="1:1">
      <c r="A1277" s="5"/>
    </row>
    <row r="1278" spans="1:1">
      <c r="A1278" s="5"/>
    </row>
    <row r="1279" spans="1:1">
      <c r="A1279" s="5"/>
    </row>
    <row r="1280" spans="1:1">
      <c r="A1280" s="5"/>
    </row>
    <row r="1281" spans="1:1">
      <c r="A1281" s="5"/>
    </row>
    <row r="1282" spans="1:1">
      <c r="A1282" s="5"/>
    </row>
    <row r="1283" spans="1:1">
      <c r="A1283" s="5"/>
    </row>
    <row r="1284" spans="1:1">
      <c r="A1284" s="5"/>
    </row>
    <row r="1285" spans="1:1">
      <c r="A1285" s="5"/>
    </row>
    <row r="1286" spans="1:1">
      <c r="A1286" s="5"/>
    </row>
    <row r="1287" spans="1:1">
      <c r="A1287" s="5"/>
    </row>
    <row r="1288" spans="1:1">
      <c r="A1288" s="5"/>
    </row>
    <row r="1289" spans="1:1">
      <c r="A1289" s="5"/>
    </row>
    <row r="1290" spans="1:1">
      <c r="A1290" s="5"/>
    </row>
    <row r="1291" spans="1:1">
      <c r="A1291" s="5"/>
    </row>
    <row r="1292" spans="1:1">
      <c r="A1292" s="5"/>
    </row>
    <row r="1293" spans="1:1">
      <c r="A1293" s="5"/>
    </row>
    <row r="1294" spans="1:1">
      <c r="A1294" s="5"/>
    </row>
    <row r="1295" spans="1:1">
      <c r="A1295" s="5"/>
    </row>
    <row r="1296" spans="1:1">
      <c r="A1296" s="5"/>
    </row>
    <row r="1297" spans="1:1">
      <c r="A1297" s="5"/>
    </row>
    <row r="1298" spans="1:1">
      <c r="A1298" s="5"/>
    </row>
    <row r="1299" spans="1:1">
      <c r="A1299" s="5"/>
    </row>
    <row r="1300" spans="1:1">
      <c r="A1300" s="5"/>
    </row>
    <row r="1301" spans="1:1">
      <c r="A1301" s="5"/>
    </row>
    <row r="1302" spans="1:1">
      <c r="A1302" s="5"/>
    </row>
    <row r="1303" spans="1:1">
      <c r="A1303" s="5"/>
    </row>
    <row r="1304" spans="1:1">
      <c r="A1304" s="5"/>
    </row>
    <row r="1305" spans="1:1">
      <c r="A1305" s="5"/>
    </row>
    <row r="1306" spans="1:1">
      <c r="A1306" s="5"/>
    </row>
    <row r="1307" spans="1:1">
      <c r="A1307" s="5"/>
    </row>
    <row r="1308" spans="1:1">
      <c r="A1308" s="5"/>
    </row>
    <row r="1309" spans="1:1">
      <c r="A1309" s="5"/>
    </row>
    <row r="1310" spans="1:1">
      <c r="A1310" s="5"/>
    </row>
    <row r="1311" spans="1:1">
      <c r="A1311" s="5"/>
    </row>
    <row r="1312" spans="1:1">
      <c r="A1312" s="5"/>
    </row>
    <row r="1313" spans="1:1">
      <c r="A1313" s="5"/>
    </row>
    <row r="1314" spans="1:1">
      <c r="A1314" s="5"/>
    </row>
    <row r="1315" spans="1:1">
      <c r="A1315" s="5"/>
    </row>
    <row r="1316" spans="1:1">
      <c r="A1316" s="5"/>
    </row>
    <row r="1317" spans="1:1">
      <c r="A1317" s="5"/>
    </row>
    <row r="1318" spans="1:1">
      <c r="A1318" s="5"/>
    </row>
    <row r="1319" spans="1:1">
      <c r="A1319" s="5"/>
    </row>
    <row r="1320" spans="1:1">
      <c r="A1320" s="5"/>
    </row>
    <row r="1321" spans="1:1">
      <c r="A1321" s="5"/>
    </row>
    <row r="1322" spans="1:1">
      <c r="A1322" s="5"/>
    </row>
    <row r="1323" spans="1:1">
      <c r="A1323" s="5"/>
    </row>
    <row r="1324" spans="1:1">
      <c r="A1324" s="5"/>
    </row>
    <row r="1325" spans="1:1">
      <c r="A1325" s="5"/>
    </row>
    <row r="1326" spans="1:1">
      <c r="A1326" s="5"/>
    </row>
    <row r="1327" spans="1:1">
      <c r="A1327" s="5"/>
    </row>
    <row r="1328" spans="1:1">
      <c r="A1328" s="5"/>
    </row>
    <row r="1329" spans="1:1">
      <c r="A1329" s="5"/>
    </row>
    <row r="1330" spans="1:1">
      <c r="A1330" s="5"/>
    </row>
    <row r="1331" spans="1:1">
      <c r="A1331" s="5"/>
    </row>
    <row r="1332" spans="1:1">
      <c r="A1332" s="5"/>
    </row>
    <row r="1333" spans="1:1">
      <c r="A1333" s="5"/>
    </row>
    <row r="1334" spans="1:1">
      <c r="A1334" s="5"/>
    </row>
    <row r="1335" spans="1:1">
      <c r="A1335" s="5"/>
    </row>
    <row r="1336" spans="1:1">
      <c r="A1336" s="5"/>
    </row>
    <row r="1337" spans="1:1">
      <c r="A1337" s="5"/>
    </row>
    <row r="1338" spans="1:1">
      <c r="A1338" s="5"/>
    </row>
    <row r="1339" spans="1:1">
      <c r="A1339" s="5"/>
    </row>
    <row r="1340" spans="1:1">
      <c r="A1340" s="5"/>
    </row>
    <row r="1341" spans="1:1">
      <c r="A1341" s="5"/>
    </row>
    <row r="1342" spans="1:1">
      <c r="A1342" s="5"/>
    </row>
    <row r="1343" spans="1:1">
      <c r="A1343" s="5"/>
    </row>
    <row r="1344" spans="1:1">
      <c r="A1344" s="5"/>
    </row>
    <row r="1345" spans="1:1">
      <c r="A1345" s="5"/>
    </row>
    <row r="1346" spans="1:1">
      <c r="A1346" s="5"/>
    </row>
    <row r="1347" spans="1:1">
      <c r="A1347" s="5"/>
    </row>
    <row r="1348" spans="1:1">
      <c r="A1348" s="5"/>
    </row>
    <row r="1349" spans="1:1">
      <c r="A1349" s="5"/>
    </row>
    <row r="1350" spans="1:1">
      <c r="A1350" s="5"/>
    </row>
    <row r="1351" spans="1:1">
      <c r="A1351" s="5"/>
    </row>
    <row r="1352" spans="1:1">
      <c r="A1352" s="5"/>
    </row>
    <row r="1353" spans="1:1">
      <c r="A1353" s="5"/>
    </row>
    <row r="1354" spans="1:1">
      <c r="A1354" s="5"/>
    </row>
    <row r="1355" spans="1:1">
      <c r="A1355" s="5"/>
    </row>
    <row r="1356" spans="1:1">
      <c r="A1356" s="5"/>
    </row>
    <row r="1357" spans="1:1">
      <c r="A1357" s="5"/>
    </row>
    <row r="1358" spans="1:1">
      <c r="A1358" s="5"/>
    </row>
    <row r="1359" spans="1:1">
      <c r="A1359" s="5"/>
    </row>
    <row r="1360" spans="1:1">
      <c r="A1360" s="5"/>
    </row>
    <row r="1361" spans="1:1">
      <c r="A1361" s="5"/>
    </row>
    <row r="1362" spans="1:1">
      <c r="A1362" s="5"/>
    </row>
    <row r="1363" spans="1:1">
      <c r="A1363" s="5"/>
    </row>
    <row r="1364" spans="1:1">
      <c r="A1364" s="5"/>
    </row>
    <row r="1365" spans="1:1">
      <c r="A1365" s="5"/>
    </row>
    <row r="1366" spans="1:1">
      <c r="A1366" s="5"/>
    </row>
    <row r="1367" spans="1:1">
      <c r="A1367" s="5"/>
    </row>
    <row r="1368" spans="1:1">
      <c r="A1368" s="5"/>
    </row>
    <row r="1369" spans="1:1">
      <c r="A1369" s="5"/>
    </row>
    <row r="1370" spans="1:1">
      <c r="A1370" s="5"/>
    </row>
    <row r="1371" spans="1:1">
      <c r="A1371" s="5"/>
    </row>
    <row r="1372" spans="1:1">
      <c r="A1372" s="5"/>
    </row>
    <row r="1373" spans="1:1">
      <c r="A1373" s="5"/>
    </row>
    <row r="1374" spans="1:1">
      <c r="A1374" s="5"/>
    </row>
    <row r="1375" spans="1:1">
      <c r="A1375" s="5"/>
    </row>
    <row r="1376" spans="1:1">
      <c r="A1376" s="5"/>
    </row>
    <row r="1377" spans="1:1">
      <c r="A1377" s="5"/>
    </row>
    <row r="1378" spans="1:1">
      <c r="A1378" s="5"/>
    </row>
    <row r="1379" spans="1:1">
      <c r="A1379" s="5"/>
    </row>
    <row r="1380" spans="1:1">
      <c r="A1380" s="5"/>
    </row>
    <row r="1381" spans="1:1">
      <c r="A1381" s="5"/>
    </row>
    <row r="1382" spans="1:1">
      <c r="A1382" s="5"/>
    </row>
    <row r="1383" spans="1:1">
      <c r="A1383" s="5"/>
    </row>
    <row r="1384" spans="1:1">
      <c r="A1384" s="5"/>
    </row>
    <row r="1385" spans="1:1">
      <c r="A1385" s="5"/>
    </row>
    <row r="1386" spans="1:1">
      <c r="A1386" s="5"/>
    </row>
    <row r="1387" spans="1:1">
      <c r="A1387" s="5"/>
    </row>
    <row r="1388" spans="1:1">
      <c r="A1388" s="5"/>
    </row>
    <row r="1389" spans="1:1">
      <c r="A1389" s="5"/>
    </row>
    <row r="1390" spans="1:1">
      <c r="A1390" s="5"/>
    </row>
    <row r="1391" spans="1:1">
      <c r="A1391" s="5"/>
    </row>
    <row r="1392" spans="1:1">
      <c r="A1392" s="5"/>
    </row>
    <row r="1393" spans="1:1">
      <c r="A1393" s="5"/>
    </row>
    <row r="1394" spans="1:1">
      <c r="A1394" s="5"/>
    </row>
    <row r="1395" spans="1:1">
      <c r="A1395" s="5"/>
    </row>
    <row r="1396" spans="1:1">
      <c r="A1396" s="5"/>
    </row>
    <row r="1397" spans="1:1">
      <c r="A1397" s="5"/>
    </row>
    <row r="1398" spans="1:1">
      <c r="A1398" s="5"/>
    </row>
    <row r="1399" spans="1:1">
      <c r="A1399" s="5"/>
    </row>
    <row r="1400" spans="1:1">
      <c r="A1400" s="5"/>
    </row>
    <row r="1401" spans="1:1">
      <c r="A1401" s="5"/>
    </row>
    <row r="1402" spans="1:1">
      <c r="A1402" s="5"/>
    </row>
    <row r="1403" spans="1:1">
      <c r="A1403" s="5"/>
    </row>
    <row r="1404" spans="1:1">
      <c r="A1404" s="5"/>
    </row>
    <row r="1405" spans="1:1">
      <c r="A1405" s="5"/>
    </row>
    <row r="1406" spans="1:1">
      <c r="A1406" s="5"/>
    </row>
    <row r="1407" spans="1:1">
      <c r="A1407" s="5"/>
    </row>
    <row r="1408" spans="1:1">
      <c r="A1408" s="5"/>
    </row>
    <row r="1409" spans="1:1">
      <c r="A1409" s="5"/>
    </row>
    <row r="1410" spans="1:1">
      <c r="A1410" s="5"/>
    </row>
    <row r="1411" spans="1:1">
      <c r="A1411" s="5"/>
    </row>
    <row r="1412" spans="1:1">
      <c r="A1412" s="5"/>
    </row>
    <row r="1413" spans="1:1">
      <c r="A1413" s="5"/>
    </row>
    <row r="1414" spans="1:1">
      <c r="A1414" s="5"/>
    </row>
    <row r="1415" spans="1:1">
      <c r="A1415" s="5"/>
    </row>
    <row r="1416" spans="1:1">
      <c r="A1416" s="5"/>
    </row>
    <row r="1417" spans="1:1">
      <c r="A1417" s="5"/>
    </row>
    <row r="1418" spans="1:1">
      <c r="A1418" s="5"/>
    </row>
    <row r="1419" spans="1:1">
      <c r="A1419" s="5"/>
    </row>
    <row r="1420" spans="1:1">
      <c r="A1420" s="5"/>
    </row>
    <row r="1421" spans="1:1">
      <c r="A1421" s="5"/>
    </row>
    <row r="1422" spans="1:1">
      <c r="A1422" s="5"/>
    </row>
    <row r="1423" spans="1:1">
      <c r="A1423" s="5"/>
    </row>
    <row r="1424" spans="1:1">
      <c r="A1424" s="5"/>
    </row>
    <row r="1425" spans="1:1">
      <c r="A1425" s="5"/>
    </row>
    <row r="1426" spans="1:1">
      <c r="A1426" s="5"/>
    </row>
    <row r="1427" spans="1:1">
      <c r="A1427" s="5"/>
    </row>
    <row r="1428" spans="1:1">
      <c r="A1428" s="5"/>
    </row>
    <row r="1429" spans="1:1">
      <c r="A1429" s="5"/>
    </row>
    <row r="1430" spans="1:1">
      <c r="A1430" s="5"/>
    </row>
    <row r="1431" spans="1:1">
      <c r="A1431" s="5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B2453-35BD-40FB-A12C-3C218FFAE4E8}">
  <dimension ref="A1:P572"/>
  <sheetViews>
    <sheetView topLeftCell="E1" workbookViewId="0">
      <selection activeCell="L2" sqref="L2"/>
    </sheetView>
  </sheetViews>
  <sheetFormatPr defaultColWidth="11.5703125" defaultRowHeight="15"/>
  <cols>
    <col min="1" max="1" width="25.28515625" style="18" customWidth="1"/>
    <col min="2" max="2" width="42.85546875" style="18" customWidth="1"/>
    <col min="3" max="3" width="21.85546875" style="18" customWidth="1"/>
    <col min="4" max="4" width="11.5703125" style="35"/>
    <col min="5" max="5" width="11.5703125" style="18"/>
    <col min="6" max="6" width="11.5703125" style="36"/>
    <col min="7" max="7" width="33.7109375" style="37" customWidth="1"/>
    <col min="8" max="9" width="11.5703125" style="18"/>
    <col min="10" max="11" width="11.5703125" style="37"/>
    <col min="12" max="13" width="11.5703125" style="18"/>
    <col min="14" max="14" width="22.7109375" style="18" customWidth="1"/>
    <col min="15" max="15" width="23.28515625" style="18" customWidth="1"/>
    <col min="16" max="16" width="28.140625" style="18" customWidth="1"/>
    <col min="17" max="16384" width="11.5703125" style="18"/>
  </cols>
  <sheetData>
    <row r="1" spans="1:16" ht="24">
      <c r="A1" s="12" t="s">
        <v>205</v>
      </c>
      <c r="B1" s="12" t="s">
        <v>206</v>
      </c>
      <c r="C1" s="12" t="s">
        <v>2</v>
      </c>
      <c r="D1" s="12" t="s">
        <v>3</v>
      </c>
      <c r="E1" s="12" t="s">
        <v>207</v>
      </c>
      <c r="F1" s="19" t="s">
        <v>208</v>
      </c>
      <c r="G1" s="12" t="s">
        <v>209</v>
      </c>
      <c r="H1" s="12" t="s">
        <v>7</v>
      </c>
      <c r="I1" s="12" t="s">
        <v>210</v>
      </c>
      <c r="J1" s="20"/>
      <c r="K1" s="20"/>
      <c r="L1" s="12" t="s">
        <v>211</v>
      </c>
      <c r="M1" s="12" t="s">
        <v>212</v>
      </c>
      <c r="N1" s="12" t="s">
        <v>213</v>
      </c>
      <c r="O1" s="12" t="s">
        <v>14</v>
      </c>
      <c r="P1" s="12" t="s">
        <v>214</v>
      </c>
    </row>
    <row r="2" spans="1:16">
      <c r="A2" s="21" t="s">
        <v>16</v>
      </c>
      <c r="B2" s="13" t="s">
        <v>215</v>
      </c>
      <c r="C2" s="13" t="s">
        <v>18</v>
      </c>
      <c r="D2" s="13" t="s">
        <v>19</v>
      </c>
      <c r="E2" s="13" t="s">
        <v>20</v>
      </c>
      <c r="F2" s="22">
        <v>0.15</v>
      </c>
      <c r="G2" s="23"/>
      <c r="H2" s="23"/>
      <c r="I2" s="23"/>
      <c r="J2" s="24">
        <v>46029</v>
      </c>
      <c r="K2" s="24">
        <v>46203</v>
      </c>
      <c r="L2" s="13">
        <f>NETWORKDAYS(J2,K2)</f>
        <v>125</v>
      </c>
      <c r="M2" s="24">
        <v>45953</v>
      </c>
      <c r="N2" s="23"/>
      <c r="O2" s="13"/>
      <c r="P2" s="13" t="s">
        <v>17</v>
      </c>
    </row>
    <row r="3" spans="1:16" ht="45">
      <c r="A3" s="16" t="s">
        <v>16</v>
      </c>
      <c r="B3" s="14" t="s">
        <v>216</v>
      </c>
      <c r="C3" s="14" t="s">
        <v>22</v>
      </c>
      <c r="D3" s="14" t="s">
        <v>19</v>
      </c>
      <c r="E3" s="14" t="s">
        <v>20</v>
      </c>
      <c r="F3" s="25">
        <v>0.15</v>
      </c>
      <c r="G3" s="14" t="s">
        <v>23</v>
      </c>
      <c r="H3" s="14" t="s">
        <v>24</v>
      </c>
      <c r="I3" s="14" t="s">
        <v>25</v>
      </c>
      <c r="J3" s="26">
        <v>46029</v>
      </c>
      <c r="K3" s="24">
        <v>46097</v>
      </c>
      <c r="L3" s="13">
        <f>NETWORKDAYS(J3,K3)</f>
        <v>49</v>
      </c>
      <c r="M3" s="14"/>
      <c r="N3" s="14" t="s">
        <v>26</v>
      </c>
      <c r="O3" s="14" t="s">
        <v>26</v>
      </c>
      <c r="P3" s="14" t="s">
        <v>17</v>
      </c>
    </row>
    <row r="4" spans="1:16">
      <c r="A4" s="16" t="s">
        <v>16</v>
      </c>
      <c r="B4" s="14" t="s">
        <v>216</v>
      </c>
      <c r="C4" s="14" t="s">
        <v>28</v>
      </c>
      <c r="D4" s="14" t="s">
        <v>19</v>
      </c>
      <c r="E4" s="14" t="s">
        <v>20</v>
      </c>
      <c r="F4" s="25">
        <v>0</v>
      </c>
      <c r="G4" s="23"/>
      <c r="H4" s="23"/>
      <c r="I4" s="23"/>
      <c r="J4" s="24">
        <v>46127</v>
      </c>
      <c r="K4" s="24">
        <v>46203</v>
      </c>
      <c r="L4" s="13">
        <f t="shared" ref="L4:L67" si="0">NETWORKDAYS(J4,K4)</f>
        <v>55</v>
      </c>
      <c r="M4" s="14"/>
      <c r="N4" s="23"/>
      <c r="O4" s="14" t="s">
        <v>27</v>
      </c>
      <c r="P4" s="14" t="s">
        <v>17</v>
      </c>
    </row>
    <row r="5" spans="1:16">
      <c r="A5" s="16" t="s">
        <v>16</v>
      </c>
      <c r="B5" s="14" t="s">
        <v>216</v>
      </c>
      <c r="C5" s="14" t="s">
        <v>29</v>
      </c>
      <c r="D5" s="14" t="s">
        <v>19</v>
      </c>
      <c r="E5" s="14" t="s">
        <v>20</v>
      </c>
      <c r="F5" s="25">
        <v>0</v>
      </c>
      <c r="G5" s="23"/>
      <c r="H5" s="23"/>
      <c r="I5" s="23"/>
      <c r="J5" s="27"/>
      <c r="K5" s="27"/>
      <c r="L5" s="13">
        <f t="shared" si="0"/>
        <v>0</v>
      </c>
      <c r="M5" s="14"/>
      <c r="N5" s="23"/>
      <c r="O5" s="23"/>
      <c r="P5" s="14" t="s">
        <v>17</v>
      </c>
    </row>
    <row r="6" spans="1:16">
      <c r="A6" s="16" t="s">
        <v>16</v>
      </c>
      <c r="B6" s="14" t="s">
        <v>216</v>
      </c>
      <c r="C6" s="14" t="s">
        <v>30</v>
      </c>
      <c r="D6" s="14" t="s">
        <v>19</v>
      </c>
      <c r="E6" s="14" t="s">
        <v>20</v>
      </c>
      <c r="F6" s="25">
        <v>0</v>
      </c>
      <c r="G6" s="23"/>
      <c r="H6" s="23"/>
      <c r="I6" s="23"/>
      <c r="J6" s="27"/>
      <c r="K6" s="27"/>
      <c r="L6" s="13">
        <f t="shared" si="0"/>
        <v>0</v>
      </c>
      <c r="M6" s="14"/>
      <c r="N6" s="23"/>
      <c r="O6" s="23"/>
      <c r="P6" s="14" t="s">
        <v>17</v>
      </c>
    </row>
    <row r="7" spans="1:16" ht="30">
      <c r="A7" s="28" t="s">
        <v>16</v>
      </c>
      <c r="B7" s="13" t="s">
        <v>217</v>
      </c>
      <c r="C7" s="13" t="s">
        <v>18</v>
      </c>
      <c r="D7" s="13" t="s">
        <v>19</v>
      </c>
      <c r="E7" s="13" t="s">
        <v>20</v>
      </c>
      <c r="F7" s="22">
        <v>0</v>
      </c>
      <c r="G7" s="23"/>
      <c r="H7" s="23"/>
      <c r="I7" s="23"/>
      <c r="J7" s="24">
        <v>46029</v>
      </c>
      <c r="K7" s="24">
        <v>46203</v>
      </c>
      <c r="L7" s="13">
        <f t="shared" si="0"/>
        <v>125</v>
      </c>
      <c r="M7" s="13"/>
      <c r="N7" s="23"/>
      <c r="O7" s="23"/>
      <c r="P7" s="13" t="s">
        <v>31</v>
      </c>
    </row>
    <row r="8" spans="1:16" ht="45">
      <c r="A8" s="16" t="s">
        <v>16</v>
      </c>
      <c r="B8" s="14" t="s">
        <v>218</v>
      </c>
      <c r="C8" s="14" t="s">
        <v>22</v>
      </c>
      <c r="D8" s="14" t="s">
        <v>19</v>
      </c>
      <c r="E8" s="14" t="s">
        <v>20</v>
      </c>
      <c r="F8" s="25">
        <v>0</v>
      </c>
      <c r="G8" s="14" t="s">
        <v>23</v>
      </c>
      <c r="H8" s="14" t="s">
        <v>24</v>
      </c>
      <c r="I8" s="14" t="s">
        <v>25</v>
      </c>
      <c r="J8" s="26">
        <v>46029</v>
      </c>
      <c r="K8" s="24">
        <v>46097</v>
      </c>
      <c r="L8" s="13">
        <f t="shared" si="0"/>
        <v>49</v>
      </c>
      <c r="M8" s="14"/>
      <c r="N8" s="14" t="s">
        <v>43</v>
      </c>
      <c r="O8" s="14" t="s">
        <v>26</v>
      </c>
      <c r="P8" s="14" t="s">
        <v>31</v>
      </c>
    </row>
    <row r="9" spans="1:16" ht="30">
      <c r="A9" s="16" t="s">
        <v>16</v>
      </c>
      <c r="B9" s="14" t="s">
        <v>218</v>
      </c>
      <c r="C9" s="14" t="s">
        <v>28</v>
      </c>
      <c r="D9" s="14" t="s">
        <v>19</v>
      </c>
      <c r="E9" s="14" t="s">
        <v>20</v>
      </c>
      <c r="F9" s="25">
        <v>0</v>
      </c>
      <c r="G9" s="23"/>
      <c r="H9" s="23"/>
      <c r="I9" s="23"/>
      <c r="J9" s="24">
        <v>46127</v>
      </c>
      <c r="K9" s="24">
        <v>46203</v>
      </c>
      <c r="L9" s="13">
        <f t="shared" si="0"/>
        <v>55</v>
      </c>
      <c r="M9" s="14"/>
      <c r="N9" s="23"/>
      <c r="O9" s="14" t="s">
        <v>27</v>
      </c>
      <c r="P9" s="14" t="s">
        <v>31</v>
      </c>
    </row>
    <row r="10" spans="1:16" ht="30">
      <c r="A10" s="16" t="s">
        <v>16</v>
      </c>
      <c r="B10" s="14" t="s">
        <v>218</v>
      </c>
      <c r="C10" s="14" t="s">
        <v>29</v>
      </c>
      <c r="D10" s="14" t="s">
        <v>19</v>
      </c>
      <c r="E10" s="14" t="s">
        <v>20</v>
      </c>
      <c r="F10" s="25">
        <v>0</v>
      </c>
      <c r="G10" s="23"/>
      <c r="H10" s="23"/>
      <c r="I10" s="23"/>
      <c r="J10" s="27"/>
      <c r="K10" s="27"/>
      <c r="L10" s="13">
        <f t="shared" si="0"/>
        <v>0</v>
      </c>
      <c r="M10" s="14"/>
      <c r="N10" s="23"/>
      <c r="O10" s="23"/>
      <c r="P10" s="14" t="s">
        <v>31</v>
      </c>
    </row>
    <row r="11" spans="1:16" ht="30">
      <c r="A11" s="16" t="s">
        <v>16</v>
      </c>
      <c r="B11" s="14" t="s">
        <v>218</v>
      </c>
      <c r="C11" s="14" t="s">
        <v>30</v>
      </c>
      <c r="D11" s="14" t="s">
        <v>19</v>
      </c>
      <c r="E11" s="14" t="s">
        <v>20</v>
      </c>
      <c r="F11" s="25">
        <v>0</v>
      </c>
      <c r="G11" s="23"/>
      <c r="H11" s="23"/>
      <c r="I11" s="23"/>
      <c r="J11" s="27"/>
      <c r="K11" s="27"/>
      <c r="L11" s="13">
        <f t="shared" si="0"/>
        <v>0</v>
      </c>
      <c r="M11" s="14"/>
      <c r="N11" s="23"/>
      <c r="O11" s="23"/>
      <c r="P11" s="14" t="s">
        <v>31</v>
      </c>
    </row>
    <row r="12" spans="1:16" ht="30">
      <c r="A12" s="21" t="s">
        <v>16</v>
      </c>
      <c r="B12" s="15" t="s">
        <v>219</v>
      </c>
      <c r="C12" s="15" t="s">
        <v>18</v>
      </c>
      <c r="D12" s="15" t="s">
        <v>33</v>
      </c>
      <c r="E12" s="15" t="s">
        <v>20</v>
      </c>
      <c r="F12" s="29">
        <v>0</v>
      </c>
      <c r="G12" s="17"/>
      <c r="H12" s="17"/>
      <c r="I12" s="17"/>
      <c r="J12" s="30"/>
      <c r="K12" s="30"/>
      <c r="L12" s="13">
        <f t="shared" si="0"/>
        <v>0</v>
      </c>
      <c r="M12" s="15"/>
      <c r="N12" s="17"/>
      <c r="O12" s="17"/>
      <c r="P12" s="15" t="s">
        <v>31</v>
      </c>
    </row>
    <row r="13" spans="1:16" ht="45">
      <c r="A13" s="16" t="s">
        <v>16</v>
      </c>
      <c r="B13" s="16" t="s">
        <v>220</v>
      </c>
      <c r="C13" s="16" t="s">
        <v>22</v>
      </c>
      <c r="D13" s="16" t="s">
        <v>33</v>
      </c>
      <c r="E13" s="16" t="s">
        <v>20</v>
      </c>
      <c r="F13" s="31">
        <v>0</v>
      </c>
      <c r="G13" s="16" t="s">
        <v>23</v>
      </c>
      <c r="H13" s="16" t="s">
        <v>24</v>
      </c>
      <c r="I13" s="16" t="s">
        <v>25</v>
      </c>
      <c r="J13" s="32">
        <v>46029</v>
      </c>
      <c r="K13" s="30"/>
      <c r="L13" s="13"/>
      <c r="M13" s="16"/>
      <c r="N13" s="17"/>
      <c r="O13" s="17"/>
      <c r="P13" s="16" t="s">
        <v>31</v>
      </c>
    </row>
    <row r="14" spans="1:16" ht="30">
      <c r="A14" s="16" t="s">
        <v>16</v>
      </c>
      <c r="B14" s="16" t="s">
        <v>220</v>
      </c>
      <c r="C14" s="16" t="s">
        <v>28</v>
      </c>
      <c r="D14" s="16" t="s">
        <v>33</v>
      </c>
      <c r="E14" s="16" t="s">
        <v>20</v>
      </c>
      <c r="F14" s="31">
        <v>0</v>
      </c>
      <c r="G14" s="17"/>
      <c r="H14" s="17"/>
      <c r="I14" s="17"/>
      <c r="J14" s="32">
        <v>46029</v>
      </c>
      <c r="K14" s="32">
        <v>46039</v>
      </c>
      <c r="L14" s="13">
        <f t="shared" si="0"/>
        <v>8</v>
      </c>
      <c r="M14" s="16"/>
      <c r="N14" s="16" t="s">
        <v>43</v>
      </c>
      <c r="O14" s="16" t="s">
        <v>132</v>
      </c>
      <c r="P14" s="16" t="s">
        <v>31</v>
      </c>
    </row>
    <row r="15" spans="1:16" ht="30">
      <c r="A15" s="16" t="s">
        <v>16</v>
      </c>
      <c r="B15" s="16" t="s">
        <v>220</v>
      </c>
      <c r="C15" s="16" t="s">
        <v>29</v>
      </c>
      <c r="D15" s="16" t="s">
        <v>33</v>
      </c>
      <c r="E15" s="16" t="s">
        <v>20</v>
      </c>
      <c r="F15" s="31">
        <v>0</v>
      </c>
      <c r="G15" s="17"/>
      <c r="H15" s="17"/>
      <c r="I15" s="17"/>
      <c r="J15" s="32">
        <v>46029</v>
      </c>
      <c r="K15" s="30"/>
      <c r="L15" s="13"/>
      <c r="M15" s="16"/>
      <c r="N15" s="17"/>
      <c r="O15" s="17"/>
      <c r="P15" s="16" t="s">
        <v>31</v>
      </c>
    </row>
    <row r="16" spans="1:16" ht="30">
      <c r="A16" s="16" t="s">
        <v>16</v>
      </c>
      <c r="B16" s="16" t="s">
        <v>220</v>
      </c>
      <c r="C16" s="16" t="s">
        <v>30</v>
      </c>
      <c r="D16" s="16" t="s">
        <v>33</v>
      </c>
      <c r="E16" s="16" t="s">
        <v>20</v>
      </c>
      <c r="F16" s="31">
        <v>0</v>
      </c>
      <c r="G16" s="17"/>
      <c r="H16" s="17"/>
      <c r="I16" s="17"/>
      <c r="J16" s="30"/>
      <c r="K16" s="30"/>
      <c r="L16" s="13">
        <f t="shared" si="0"/>
        <v>0</v>
      </c>
      <c r="M16" s="16"/>
      <c r="N16" s="17"/>
      <c r="O16" s="17"/>
      <c r="P16" s="16" t="s">
        <v>31</v>
      </c>
    </row>
    <row r="17" spans="1:16" ht="30">
      <c r="A17" s="28" t="s">
        <v>16</v>
      </c>
      <c r="B17" s="13" t="s">
        <v>221</v>
      </c>
      <c r="C17" s="13" t="s">
        <v>18</v>
      </c>
      <c r="D17" s="13" t="s">
        <v>19</v>
      </c>
      <c r="E17" s="13" t="s">
        <v>20</v>
      </c>
      <c r="F17" s="22">
        <v>0</v>
      </c>
      <c r="G17" s="23"/>
      <c r="H17" s="23"/>
      <c r="I17" s="23"/>
      <c r="J17" s="24">
        <v>45946</v>
      </c>
      <c r="K17" s="24">
        <v>46205</v>
      </c>
      <c r="L17" s="13">
        <f t="shared" si="0"/>
        <v>186</v>
      </c>
      <c r="M17" s="13"/>
      <c r="N17" s="23"/>
      <c r="O17" s="23"/>
      <c r="P17" s="13" t="s">
        <v>34</v>
      </c>
    </row>
    <row r="18" spans="1:16" ht="45">
      <c r="A18" s="16" t="s">
        <v>16</v>
      </c>
      <c r="B18" s="14" t="s">
        <v>222</v>
      </c>
      <c r="C18" s="14" t="s">
        <v>22</v>
      </c>
      <c r="D18" s="14" t="s">
        <v>19</v>
      </c>
      <c r="E18" s="14" t="s">
        <v>20</v>
      </c>
      <c r="F18" s="25">
        <v>0</v>
      </c>
      <c r="G18" s="14" t="s">
        <v>35</v>
      </c>
      <c r="H18" s="14" t="s">
        <v>36</v>
      </c>
      <c r="I18" s="14" t="s">
        <v>37</v>
      </c>
      <c r="J18" s="26">
        <v>46062</v>
      </c>
      <c r="K18" s="24">
        <v>46136</v>
      </c>
      <c r="L18" s="13">
        <f t="shared" si="0"/>
        <v>55</v>
      </c>
      <c r="M18" s="14"/>
      <c r="N18" s="14" t="s">
        <v>43</v>
      </c>
      <c r="O18" s="14" t="s">
        <v>26</v>
      </c>
      <c r="P18" s="14" t="s">
        <v>34</v>
      </c>
    </row>
    <row r="19" spans="1:16" ht="30">
      <c r="A19" s="16" t="s">
        <v>16</v>
      </c>
      <c r="B19" s="14" t="s">
        <v>222</v>
      </c>
      <c r="C19" s="14" t="s">
        <v>28</v>
      </c>
      <c r="D19" s="14" t="s">
        <v>19</v>
      </c>
      <c r="E19" s="14" t="s">
        <v>20</v>
      </c>
      <c r="F19" s="25">
        <v>0</v>
      </c>
      <c r="G19" s="23"/>
      <c r="H19" s="23"/>
      <c r="I19" s="23"/>
      <c r="J19" s="26">
        <v>46136</v>
      </c>
      <c r="K19" s="26">
        <v>46205</v>
      </c>
      <c r="L19" s="13">
        <f t="shared" si="0"/>
        <v>50</v>
      </c>
      <c r="M19" s="14"/>
      <c r="N19" s="23"/>
      <c r="O19" s="14" t="s">
        <v>27</v>
      </c>
      <c r="P19" s="14" t="s">
        <v>34</v>
      </c>
    </row>
    <row r="20" spans="1:16" ht="30">
      <c r="A20" s="16" t="s">
        <v>16</v>
      </c>
      <c r="B20" s="14" t="s">
        <v>222</v>
      </c>
      <c r="C20" s="14" t="s">
        <v>29</v>
      </c>
      <c r="D20" s="14" t="s">
        <v>19</v>
      </c>
      <c r="E20" s="14" t="s">
        <v>20</v>
      </c>
      <c r="F20" s="25">
        <v>0</v>
      </c>
      <c r="G20" s="23"/>
      <c r="H20" s="23"/>
      <c r="I20" s="23"/>
      <c r="J20" s="26">
        <v>46062</v>
      </c>
      <c r="K20" s="26">
        <v>46062</v>
      </c>
      <c r="L20" s="13">
        <f t="shared" si="0"/>
        <v>1</v>
      </c>
      <c r="M20" s="14"/>
      <c r="N20" s="14" t="s">
        <v>43</v>
      </c>
      <c r="O20" s="14" t="s">
        <v>223</v>
      </c>
      <c r="P20" s="14" t="s">
        <v>34</v>
      </c>
    </row>
    <row r="21" spans="1:16" ht="30">
      <c r="A21" s="16" t="s">
        <v>16</v>
      </c>
      <c r="B21" s="14" t="s">
        <v>222</v>
      </c>
      <c r="C21" s="14" t="s">
        <v>30</v>
      </c>
      <c r="D21" s="14" t="s">
        <v>19</v>
      </c>
      <c r="E21" s="14" t="s">
        <v>20</v>
      </c>
      <c r="F21" s="25">
        <v>0</v>
      </c>
      <c r="G21" s="23"/>
      <c r="H21" s="23"/>
      <c r="I21" s="23"/>
      <c r="J21" s="26">
        <v>46142</v>
      </c>
      <c r="K21" s="26">
        <v>46142</v>
      </c>
      <c r="L21" s="13">
        <f t="shared" si="0"/>
        <v>1</v>
      </c>
      <c r="M21" s="14"/>
      <c r="N21" s="23"/>
      <c r="O21" s="14" t="s">
        <v>27</v>
      </c>
      <c r="P21" s="14" t="s">
        <v>34</v>
      </c>
    </row>
    <row r="22" spans="1:16" ht="30">
      <c r="A22" s="21" t="s">
        <v>16</v>
      </c>
      <c r="B22" s="15" t="s">
        <v>224</v>
      </c>
      <c r="C22" s="15" t="s">
        <v>18</v>
      </c>
      <c r="D22" s="15" t="s">
        <v>33</v>
      </c>
      <c r="E22" s="15" t="s">
        <v>20</v>
      </c>
      <c r="F22" s="29">
        <v>0</v>
      </c>
      <c r="G22" s="17"/>
      <c r="H22" s="17"/>
      <c r="I22" s="17"/>
      <c r="J22" s="33">
        <v>45946</v>
      </c>
      <c r="K22" s="33">
        <v>46142</v>
      </c>
      <c r="L22" s="13">
        <f t="shared" si="0"/>
        <v>141</v>
      </c>
      <c r="M22" s="15"/>
      <c r="N22" s="17"/>
      <c r="O22" s="17"/>
      <c r="P22" s="15" t="s">
        <v>34</v>
      </c>
    </row>
    <row r="23" spans="1:16" ht="45">
      <c r="A23" s="16" t="s">
        <v>16</v>
      </c>
      <c r="B23" s="16" t="s">
        <v>225</v>
      </c>
      <c r="C23" s="16" t="s">
        <v>22</v>
      </c>
      <c r="D23" s="16" t="s">
        <v>33</v>
      </c>
      <c r="E23" s="16" t="s">
        <v>20</v>
      </c>
      <c r="F23" s="31">
        <v>0</v>
      </c>
      <c r="G23" s="16" t="s">
        <v>35</v>
      </c>
      <c r="H23" s="16" t="s">
        <v>36</v>
      </c>
      <c r="I23" s="16" t="s">
        <v>37</v>
      </c>
      <c r="J23" s="32">
        <v>45946</v>
      </c>
      <c r="K23" s="33">
        <v>45946</v>
      </c>
      <c r="L23" s="13">
        <f t="shared" si="0"/>
        <v>1</v>
      </c>
      <c r="M23" s="16"/>
      <c r="N23" s="16" t="s">
        <v>43</v>
      </c>
      <c r="O23" s="16" t="s">
        <v>108</v>
      </c>
      <c r="P23" s="16" t="s">
        <v>34</v>
      </c>
    </row>
    <row r="24" spans="1:16" ht="30">
      <c r="A24" s="16" t="s">
        <v>16</v>
      </c>
      <c r="B24" s="16" t="s">
        <v>225</v>
      </c>
      <c r="C24" s="16" t="s">
        <v>28</v>
      </c>
      <c r="D24" s="16" t="s">
        <v>33</v>
      </c>
      <c r="E24" s="16" t="s">
        <v>20</v>
      </c>
      <c r="F24" s="31">
        <v>0</v>
      </c>
      <c r="G24" s="17"/>
      <c r="H24" s="17"/>
      <c r="I24" s="17"/>
      <c r="J24" s="30"/>
      <c r="K24" s="33">
        <v>46142</v>
      </c>
      <c r="L24" s="13"/>
      <c r="M24" s="16"/>
      <c r="N24" s="17"/>
      <c r="O24" s="17"/>
      <c r="P24" s="16" t="s">
        <v>34</v>
      </c>
    </row>
    <row r="25" spans="1:16" ht="30">
      <c r="A25" s="16" t="s">
        <v>16</v>
      </c>
      <c r="B25" s="16" t="s">
        <v>225</v>
      </c>
      <c r="C25" s="16" t="s">
        <v>29</v>
      </c>
      <c r="D25" s="16" t="s">
        <v>33</v>
      </c>
      <c r="E25" s="16" t="s">
        <v>20</v>
      </c>
      <c r="F25" s="31">
        <v>0</v>
      </c>
      <c r="G25" s="17"/>
      <c r="H25" s="17"/>
      <c r="I25" s="17"/>
      <c r="J25" s="32">
        <v>45946</v>
      </c>
      <c r="K25" s="32">
        <v>45946</v>
      </c>
      <c r="L25" s="13">
        <f t="shared" si="0"/>
        <v>1</v>
      </c>
      <c r="M25" s="16"/>
      <c r="N25" s="16" t="s">
        <v>43</v>
      </c>
      <c r="O25" s="16" t="s">
        <v>223</v>
      </c>
      <c r="P25" s="16" t="s">
        <v>34</v>
      </c>
    </row>
    <row r="26" spans="1:16" ht="30">
      <c r="A26" s="16" t="s">
        <v>16</v>
      </c>
      <c r="B26" s="16" t="s">
        <v>225</v>
      </c>
      <c r="C26" s="16" t="s">
        <v>30</v>
      </c>
      <c r="D26" s="16" t="s">
        <v>33</v>
      </c>
      <c r="E26" s="16" t="s">
        <v>20</v>
      </c>
      <c r="F26" s="31">
        <v>0</v>
      </c>
      <c r="G26" s="17"/>
      <c r="H26" s="17"/>
      <c r="I26" s="17"/>
      <c r="J26" s="32">
        <v>45946</v>
      </c>
      <c r="K26" s="32">
        <v>45946</v>
      </c>
      <c r="L26" s="13">
        <f t="shared" si="0"/>
        <v>1</v>
      </c>
      <c r="M26" s="16"/>
      <c r="N26" s="16" t="s">
        <v>43</v>
      </c>
      <c r="O26" s="16" t="s">
        <v>226</v>
      </c>
      <c r="P26" s="16" t="s">
        <v>34</v>
      </c>
    </row>
    <row r="27" spans="1:16">
      <c r="A27" s="28" t="s">
        <v>39</v>
      </c>
      <c r="B27" s="13" t="s">
        <v>227</v>
      </c>
      <c r="C27" s="13" t="s">
        <v>18</v>
      </c>
      <c r="D27" s="13" t="s">
        <v>19</v>
      </c>
      <c r="E27" s="13" t="s">
        <v>20</v>
      </c>
      <c r="F27" s="22">
        <v>0.11</v>
      </c>
      <c r="G27" s="23"/>
      <c r="H27" s="23"/>
      <c r="I27" s="23"/>
      <c r="J27" s="24">
        <v>45971</v>
      </c>
      <c r="K27" s="24">
        <v>46157</v>
      </c>
      <c r="L27" s="13">
        <f t="shared" si="0"/>
        <v>135</v>
      </c>
      <c r="M27" s="13"/>
      <c r="N27" s="23"/>
      <c r="O27" s="23"/>
      <c r="P27" s="13" t="s">
        <v>40</v>
      </c>
    </row>
    <row r="28" spans="1:16" ht="45">
      <c r="A28" s="16" t="s">
        <v>39</v>
      </c>
      <c r="B28" s="14" t="s">
        <v>228</v>
      </c>
      <c r="C28" s="14" t="s">
        <v>22</v>
      </c>
      <c r="D28" s="14" t="s">
        <v>19</v>
      </c>
      <c r="E28" s="14" t="s">
        <v>20</v>
      </c>
      <c r="F28" s="25">
        <v>0</v>
      </c>
      <c r="G28" s="14" t="s">
        <v>41</v>
      </c>
      <c r="H28" s="14" t="s">
        <v>229</v>
      </c>
      <c r="I28" s="23"/>
      <c r="J28" s="26">
        <v>45972</v>
      </c>
      <c r="K28" s="26">
        <v>46051</v>
      </c>
      <c r="L28" s="13">
        <f t="shared" si="0"/>
        <v>58</v>
      </c>
      <c r="M28" s="14"/>
      <c r="N28" s="14" t="s">
        <v>43</v>
      </c>
      <c r="O28" s="14" t="s">
        <v>108</v>
      </c>
      <c r="P28" s="14" t="s">
        <v>40</v>
      </c>
    </row>
    <row r="29" spans="1:16">
      <c r="A29" s="16" t="s">
        <v>39</v>
      </c>
      <c r="B29" s="14" t="s">
        <v>228</v>
      </c>
      <c r="C29" s="14" t="s">
        <v>28</v>
      </c>
      <c r="D29" s="14" t="s">
        <v>19</v>
      </c>
      <c r="E29" s="14" t="s">
        <v>20</v>
      </c>
      <c r="F29" s="25">
        <v>0</v>
      </c>
      <c r="G29" s="23"/>
      <c r="H29" s="23"/>
      <c r="I29" s="23"/>
      <c r="J29" s="27"/>
      <c r="K29" s="27"/>
      <c r="L29" s="13">
        <f t="shared" si="0"/>
        <v>0</v>
      </c>
      <c r="M29" s="14"/>
      <c r="N29" s="23"/>
      <c r="O29" s="23"/>
      <c r="P29" s="14" t="s">
        <v>40</v>
      </c>
    </row>
    <row r="30" spans="1:16">
      <c r="A30" s="16" t="s">
        <v>39</v>
      </c>
      <c r="B30" s="14" t="s">
        <v>228</v>
      </c>
      <c r="C30" s="14" t="s">
        <v>29</v>
      </c>
      <c r="D30" s="14" t="s">
        <v>19</v>
      </c>
      <c r="E30" s="14" t="s">
        <v>20</v>
      </c>
      <c r="F30" s="25">
        <v>0</v>
      </c>
      <c r="G30" s="23"/>
      <c r="H30" s="23"/>
      <c r="I30" s="23"/>
      <c r="J30" s="26">
        <v>45971</v>
      </c>
      <c r="K30" s="27"/>
      <c r="L30" s="13"/>
      <c r="M30" s="14"/>
      <c r="N30" s="23"/>
      <c r="O30" s="23"/>
      <c r="P30" s="14" t="s">
        <v>40</v>
      </c>
    </row>
    <row r="31" spans="1:16">
      <c r="A31" s="16" t="s">
        <v>39</v>
      </c>
      <c r="B31" s="14" t="s">
        <v>228</v>
      </c>
      <c r="C31" s="14" t="s">
        <v>30</v>
      </c>
      <c r="D31" s="14" t="s">
        <v>19</v>
      </c>
      <c r="E31" s="14" t="s">
        <v>20</v>
      </c>
      <c r="F31" s="25">
        <v>0</v>
      </c>
      <c r="G31" s="23"/>
      <c r="H31" s="23"/>
      <c r="I31" s="23"/>
      <c r="J31" s="27"/>
      <c r="K31" s="27"/>
      <c r="L31" s="13">
        <f t="shared" si="0"/>
        <v>0</v>
      </c>
      <c r="M31" s="14"/>
      <c r="N31" s="23"/>
      <c r="O31" s="23"/>
      <c r="P31" s="14" t="s">
        <v>40</v>
      </c>
    </row>
    <row r="32" spans="1:16">
      <c r="A32" s="28" t="s">
        <v>44</v>
      </c>
      <c r="B32" s="15" t="s">
        <v>230</v>
      </c>
      <c r="C32" s="15" t="s">
        <v>18</v>
      </c>
      <c r="D32" s="15" t="s">
        <v>33</v>
      </c>
      <c r="E32" s="15" t="s">
        <v>20</v>
      </c>
      <c r="F32" s="29">
        <v>1</v>
      </c>
      <c r="G32" s="17"/>
      <c r="H32" s="17"/>
      <c r="I32" s="17"/>
      <c r="J32" s="33">
        <v>45939</v>
      </c>
      <c r="K32" s="33">
        <v>46001</v>
      </c>
      <c r="L32" s="13">
        <f t="shared" si="0"/>
        <v>45</v>
      </c>
      <c r="M32" s="15"/>
      <c r="N32" s="17"/>
      <c r="O32" s="17"/>
      <c r="P32" s="15" t="s">
        <v>40</v>
      </c>
    </row>
    <row r="33" spans="1:16" ht="45">
      <c r="A33" s="16" t="s">
        <v>44</v>
      </c>
      <c r="B33" s="16" t="s">
        <v>231</v>
      </c>
      <c r="C33" s="16" t="s">
        <v>22</v>
      </c>
      <c r="D33" s="16" t="s">
        <v>33</v>
      </c>
      <c r="E33" s="16" t="s">
        <v>20</v>
      </c>
      <c r="F33" s="31">
        <v>1</v>
      </c>
      <c r="G33" s="16" t="s">
        <v>46</v>
      </c>
      <c r="H33" s="16" t="s">
        <v>47</v>
      </c>
      <c r="I33" s="16" t="s">
        <v>48</v>
      </c>
      <c r="J33" s="32">
        <v>45971</v>
      </c>
      <c r="K33" s="32">
        <v>46001</v>
      </c>
      <c r="L33" s="13">
        <f t="shared" si="0"/>
        <v>23</v>
      </c>
      <c r="M33" s="32">
        <v>46050</v>
      </c>
      <c r="N33" s="16" t="s">
        <v>108</v>
      </c>
      <c r="O33" s="16" t="s">
        <v>108</v>
      </c>
      <c r="P33" s="16" t="s">
        <v>40</v>
      </c>
    </row>
    <row r="34" spans="1:16">
      <c r="A34" s="16" t="s">
        <v>44</v>
      </c>
      <c r="B34" s="16" t="s">
        <v>231</v>
      </c>
      <c r="C34" s="16" t="s">
        <v>28</v>
      </c>
      <c r="D34" s="16" t="s">
        <v>33</v>
      </c>
      <c r="E34" s="16" t="s">
        <v>20</v>
      </c>
      <c r="F34" s="31">
        <v>0</v>
      </c>
      <c r="G34" s="17"/>
      <c r="H34" s="17"/>
      <c r="I34" s="17"/>
      <c r="J34" s="32">
        <v>45939</v>
      </c>
      <c r="K34" s="30"/>
      <c r="L34" s="13"/>
      <c r="M34" s="16"/>
      <c r="N34" s="17"/>
      <c r="O34" s="17"/>
      <c r="P34" s="16" t="s">
        <v>40</v>
      </c>
    </row>
    <row r="35" spans="1:16">
      <c r="A35" s="16" t="s">
        <v>44</v>
      </c>
      <c r="B35" s="16" t="s">
        <v>231</v>
      </c>
      <c r="C35" s="16" t="s">
        <v>29</v>
      </c>
      <c r="D35" s="16" t="s">
        <v>33</v>
      </c>
      <c r="E35" s="16" t="s">
        <v>20</v>
      </c>
      <c r="F35" s="31">
        <v>0</v>
      </c>
      <c r="G35" s="17"/>
      <c r="H35" s="17"/>
      <c r="I35" s="17"/>
      <c r="J35" s="30"/>
      <c r="K35" s="30"/>
      <c r="L35" s="13">
        <f t="shared" si="0"/>
        <v>0</v>
      </c>
      <c r="M35" s="16"/>
      <c r="N35" s="17"/>
      <c r="O35" s="17"/>
      <c r="P35" s="16" t="s">
        <v>40</v>
      </c>
    </row>
    <row r="36" spans="1:16">
      <c r="A36" s="16" t="s">
        <v>44</v>
      </c>
      <c r="B36" s="16" t="s">
        <v>231</v>
      </c>
      <c r="C36" s="16" t="s">
        <v>30</v>
      </c>
      <c r="D36" s="16" t="s">
        <v>33</v>
      </c>
      <c r="E36" s="16" t="s">
        <v>20</v>
      </c>
      <c r="F36" s="31">
        <v>0</v>
      </c>
      <c r="G36" s="17"/>
      <c r="H36" s="17"/>
      <c r="I36" s="17"/>
      <c r="J36" s="30"/>
      <c r="K36" s="30"/>
      <c r="L36" s="13">
        <f t="shared" si="0"/>
        <v>0</v>
      </c>
      <c r="M36" s="16"/>
      <c r="N36" s="17"/>
      <c r="O36" s="17"/>
      <c r="P36" s="16" t="s">
        <v>40</v>
      </c>
    </row>
    <row r="37" spans="1:16">
      <c r="A37" s="21" t="s">
        <v>39</v>
      </c>
      <c r="B37" s="15" t="s">
        <v>232</v>
      </c>
      <c r="C37" s="15" t="s">
        <v>18</v>
      </c>
      <c r="D37" s="15" t="s">
        <v>33</v>
      </c>
      <c r="E37" s="15" t="s">
        <v>20</v>
      </c>
      <c r="F37" s="29">
        <v>0</v>
      </c>
      <c r="G37" s="17"/>
      <c r="H37" s="17"/>
      <c r="I37" s="17"/>
      <c r="J37" s="33">
        <v>46076</v>
      </c>
      <c r="K37" s="33">
        <v>46203</v>
      </c>
      <c r="L37" s="13">
        <f t="shared" si="0"/>
        <v>92</v>
      </c>
      <c r="M37" s="15"/>
      <c r="N37" s="17"/>
      <c r="O37" s="17"/>
      <c r="P37" s="15" t="s">
        <v>40</v>
      </c>
    </row>
    <row r="38" spans="1:16" ht="45">
      <c r="A38" s="16" t="s">
        <v>39</v>
      </c>
      <c r="B38" s="16" t="s">
        <v>233</v>
      </c>
      <c r="C38" s="16" t="s">
        <v>22</v>
      </c>
      <c r="D38" s="16" t="s">
        <v>33</v>
      </c>
      <c r="E38" s="16" t="s">
        <v>20</v>
      </c>
      <c r="F38" s="31">
        <v>0</v>
      </c>
      <c r="G38" s="16" t="s">
        <v>41</v>
      </c>
      <c r="H38" s="16" t="s">
        <v>229</v>
      </c>
      <c r="I38" s="16" t="s">
        <v>50</v>
      </c>
      <c r="J38" s="32">
        <v>46076</v>
      </c>
      <c r="K38" s="32">
        <v>46118</v>
      </c>
      <c r="L38" s="13">
        <f t="shared" si="0"/>
        <v>31</v>
      </c>
      <c r="M38" s="16"/>
      <c r="N38" s="17"/>
      <c r="O38" s="16" t="s">
        <v>27</v>
      </c>
      <c r="P38" s="16" t="s">
        <v>40</v>
      </c>
    </row>
    <row r="39" spans="1:16">
      <c r="A39" s="16" t="s">
        <v>39</v>
      </c>
      <c r="B39" s="16" t="s">
        <v>233</v>
      </c>
      <c r="C39" s="16" t="s">
        <v>28</v>
      </c>
      <c r="D39" s="16" t="s">
        <v>33</v>
      </c>
      <c r="E39" s="16" t="s">
        <v>20</v>
      </c>
      <c r="F39" s="31">
        <v>0</v>
      </c>
      <c r="G39" s="17"/>
      <c r="H39" s="17"/>
      <c r="I39" s="17"/>
      <c r="J39" s="32">
        <v>46118</v>
      </c>
      <c r="K39" s="32">
        <v>46203</v>
      </c>
      <c r="L39" s="13">
        <f t="shared" si="0"/>
        <v>62</v>
      </c>
      <c r="M39" s="16"/>
      <c r="N39" s="17"/>
      <c r="O39" s="16" t="s">
        <v>27</v>
      </c>
      <c r="P39" s="16" t="s">
        <v>40</v>
      </c>
    </row>
    <row r="40" spans="1:16">
      <c r="A40" s="16" t="s">
        <v>39</v>
      </c>
      <c r="B40" s="16" t="s">
        <v>233</v>
      </c>
      <c r="C40" s="16" t="s">
        <v>29</v>
      </c>
      <c r="D40" s="16" t="s">
        <v>33</v>
      </c>
      <c r="E40" s="16" t="s">
        <v>20</v>
      </c>
      <c r="F40" s="31">
        <v>0</v>
      </c>
      <c r="G40" s="17"/>
      <c r="H40" s="17"/>
      <c r="I40" s="17"/>
      <c r="J40" s="30"/>
      <c r="K40" s="30"/>
      <c r="L40" s="13">
        <f t="shared" si="0"/>
        <v>0</v>
      </c>
      <c r="M40" s="16"/>
      <c r="N40" s="17"/>
      <c r="O40" s="17"/>
      <c r="P40" s="16" t="s">
        <v>40</v>
      </c>
    </row>
    <row r="41" spans="1:16">
      <c r="A41" s="16" t="s">
        <v>39</v>
      </c>
      <c r="B41" s="16" t="s">
        <v>233</v>
      </c>
      <c r="C41" s="16" t="s">
        <v>30</v>
      </c>
      <c r="D41" s="16" t="s">
        <v>33</v>
      </c>
      <c r="E41" s="16" t="s">
        <v>20</v>
      </c>
      <c r="F41" s="31">
        <v>0</v>
      </c>
      <c r="G41" s="17"/>
      <c r="H41" s="17"/>
      <c r="I41" s="17"/>
      <c r="J41" s="30"/>
      <c r="K41" s="30"/>
      <c r="L41" s="13">
        <f t="shared" si="0"/>
        <v>0</v>
      </c>
      <c r="M41" s="16"/>
      <c r="N41" s="17"/>
      <c r="O41" s="17"/>
      <c r="P41" s="16" t="s">
        <v>40</v>
      </c>
    </row>
    <row r="42" spans="1:16" ht="45">
      <c r="A42" s="28" t="s">
        <v>51</v>
      </c>
      <c r="B42" s="13" t="s">
        <v>234</v>
      </c>
      <c r="C42" s="13" t="s">
        <v>18</v>
      </c>
      <c r="D42" s="13" t="s">
        <v>19</v>
      </c>
      <c r="E42" s="13" t="s">
        <v>20</v>
      </c>
      <c r="F42" s="22">
        <v>0</v>
      </c>
      <c r="G42" s="23"/>
      <c r="H42" s="23"/>
      <c r="I42" s="13" t="s">
        <v>55</v>
      </c>
      <c r="J42" s="24">
        <v>45945</v>
      </c>
      <c r="K42" s="24">
        <v>46295</v>
      </c>
      <c r="L42" s="13">
        <f t="shared" si="0"/>
        <v>251</v>
      </c>
      <c r="M42" s="13"/>
      <c r="N42" s="23"/>
      <c r="O42" s="23"/>
      <c r="P42" s="13" t="s">
        <v>235</v>
      </c>
    </row>
    <row r="43" spans="1:16" ht="45">
      <c r="A43" s="16" t="s">
        <v>51</v>
      </c>
      <c r="B43" s="14" t="s">
        <v>236</v>
      </c>
      <c r="C43" s="14" t="s">
        <v>22</v>
      </c>
      <c r="D43" s="14" t="s">
        <v>19</v>
      </c>
      <c r="E43" s="14" t="s">
        <v>20</v>
      </c>
      <c r="F43" s="25">
        <v>0</v>
      </c>
      <c r="G43" s="14" t="s">
        <v>237</v>
      </c>
      <c r="H43" s="14" t="s">
        <v>54</v>
      </c>
      <c r="I43" s="14" t="s">
        <v>55</v>
      </c>
      <c r="J43" s="27"/>
      <c r="K43" s="27"/>
      <c r="L43" s="13">
        <f t="shared" si="0"/>
        <v>0</v>
      </c>
      <c r="M43" s="14"/>
      <c r="N43" s="23"/>
      <c r="O43" s="23"/>
      <c r="P43" s="14" t="s">
        <v>235</v>
      </c>
    </row>
    <row r="44" spans="1:16" ht="30">
      <c r="A44" s="16" t="s">
        <v>51</v>
      </c>
      <c r="B44" s="14" t="s">
        <v>236</v>
      </c>
      <c r="C44" s="14" t="s">
        <v>28</v>
      </c>
      <c r="D44" s="14" t="s">
        <v>19</v>
      </c>
      <c r="E44" s="14" t="s">
        <v>20</v>
      </c>
      <c r="F44" s="25">
        <v>0</v>
      </c>
      <c r="G44" s="23"/>
      <c r="H44" s="23"/>
      <c r="I44" s="23"/>
      <c r="J44" s="27"/>
      <c r="K44" s="27"/>
      <c r="L44" s="13">
        <f t="shared" si="0"/>
        <v>0</v>
      </c>
      <c r="M44" s="14"/>
      <c r="N44" s="23"/>
      <c r="O44" s="23"/>
      <c r="P44" s="14" t="s">
        <v>235</v>
      </c>
    </row>
    <row r="45" spans="1:16" ht="30">
      <c r="A45" s="16" t="s">
        <v>51</v>
      </c>
      <c r="B45" s="14" t="s">
        <v>236</v>
      </c>
      <c r="C45" s="14" t="s">
        <v>29</v>
      </c>
      <c r="D45" s="14" t="s">
        <v>33</v>
      </c>
      <c r="E45" s="14" t="s">
        <v>20</v>
      </c>
      <c r="F45" s="25">
        <v>0</v>
      </c>
      <c r="G45" s="23"/>
      <c r="H45" s="23"/>
      <c r="I45" s="23"/>
      <c r="J45" s="27"/>
      <c r="K45" s="27"/>
      <c r="L45" s="13">
        <f t="shared" si="0"/>
        <v>0</v>
      </c>
      <c r="M45" s="14"/>
      <c r="N45" s="23"/>
      <c r="O45" s="23"/>
      <c r="P45" s="14" t="s">
        <v>235</v>
      </c>
    </row>
    <row r="46" spans="1:16" ht="30">
      <c r="A46" s="16" t="s">
        <v>51</v>
      </c>
      <c r="B46" s="14" t="s">
        <v>236</v>
      </c>
      <c r="C46" s="14" t="s">
        <v>30</v>
      </c>
      <c r="D46" s="14" t="s">
        <v>19</v>
      </c>
      <c r="E46" s="14" t="s">
        <v>20</v>
      </c>
      <c r="F46" s="25">
        <v>0</v>
      </c>
      <c r="G46" s="23"/>
      <c r="H46" s="23"/>
      <c r="I46" s="23"/>
      <c r="J46" s="27"/>
      <c r="K46" s="27"/>
      <c r="L46" s="13">
        <f t="shared" si="0"/>
        <v>0</v>
      </c>
      <c r="M46" s="14"/>
      <c r="N46" s="23"/>
      <c r="O46" s="23"/>
      <c r="P46" s="14" t="s">
        <v>235</v>
      </c>
    </row>
    <row r="47" spans="1:16" ht="30">
      <c r="A47" s="28" t="s">
        <v>51</v>
      </c>
      <c r="B47" s="15" t="s">
        <v>238</v>
      </c>
      <c r="C47" s="15" t="s">
        <v>18</v>
      </c>
      <c r="D47" s="15" t="s">
        <v>33</v>
      </c>
      <c r="E47" s="15" t="s">
        <v>20</v>
      </c>
      <c r="F47" s="29">
        <v>0</v>
      </c>
      <c r="G47" s="17"/>
      <c r="H47" s="17"/>
      <c r="I47" s="17"/>
      <c r="J47" s="33">
        <v>46029</v>
      </c>
      <c r="K47" s="33">
        <v>46202</v>
      </c>
      <c r="L47" s="13">
        <f t="shared" si="0"/>
        <v>124</v>
      </c>
      <c r="M47" s="15"/>
      <c r="N47" s="17"/>
      <c r="O47" s="17"/>
      <c r="P47" s="15" t="s">
        <v>235</v>
      </c>
    </row>
    <row r="48" spans="1:16" ht="45">
      <c r="A48" s="16" t="s">
        <v>51</v>
      </c>
      <c r="B48" s="16" t="s">
        <v>239</v>
      </c>
      <c r="C48" s="16" t="s">
        <v>22</v>
      </c>
      <c r="D48" s="16" t="s">
        <v>33</v>
      </c>
      <c r="E48" s="16" t="s">
        <v>20</v>
      </c>
      <c r="F48" s="31">
        <v>0</v>
      </c>
      <c r="G48" s="16" t="s">
        <v>237</v>
      </c>
      <c r="H48" s="16" t="s">
        <v>54</v>
      </c>
      <c r="I48" s="16" t="s">
        <v>25</v>
      </c>
      <c r="J48" s="33">
        <v>46029</v>
      </c>
      <c r="K48" s="33">
        <v>46104</v>
      </c>
      <c r="L48" s="13">
        <f t="shared" si="0"/>
        <v>54</v>
      </c>
      <c r="M48" s="16"/>
      <c r="N48" s="16" t="s">
        <v>43</v>
      </c>
      <c r="O48" s="16" t="s">
        <v>26</v>
      </c>
      <c r="P48" s="16" t="s">
        <v>235</v>
      </c>
    </row>
    <row r="49" spans="1:16" ht="30">
      <c r="A49" s="16" t="s">
        <v>51</v>
      </c>
      <c r="B49" s="16" t="s">
        <v>239</v>
      </c>
      <c r="C49" s="16" t="s">
        <v>28</v>
      </c>
      <c r="D49" s="16" t="s">
        <v>33</v>
      </c>
      <c r="E49" s="16" t="s">
        <v>20</v>
      </c>
      <c r="F49" s="31">
        <v>0</v>
      </c>
      <c r="G49" s="17"/>
      <c r="H49" s="17"/>
      <c r="I49" s="17"/>
      <c r="J49" s="33">
        <v>46118</v>
      </c>
      <c r="K49" s="33">
        <v>46202</v>
      </c>
      <c r="L49" s="13">
        <f t="shared" si="0"/>
        <v>61</v>
      </c>
      <c r="M49" s="16"/>
      <c r="N49" s="17"/>
      <c r="O49" s="16" t="s">
        <v>27</v>
      </c>
      <c r="P49" s="16" t="s">
        <v>235</v>
      </c>
    </row>
    <row r="50" spans="1:16" ht="30">
      <c r="A50" s="16" t="s">
        <v>51</v>
      </c>
      <c r="B50" s="16" t="s">
        <v>239</v>
      </c>
      <c r="C50" s="16" t="s">
        <v>29</v>
      </c>
      <c r="D50" s="16" t="s">
        <v>33</v>
      </c>
      <c r="E50" s="16" t="s">
        <v>20</v>
      </c>
      <c r="F50" s="31">
        <v>0</v>
      </c>
      <c r="G50" s="17"/>
      <c r="H50" s="17"/>
      <c r="I50" s="17"/>
      <c r="J50" s="30"/>
      <c r="K50" s="30"/>
      <c r="L50" s="13">
        <f t="shared" si="0"/>
        <v>0</v>
      </c>
      <c r="M50" s="16"/>
      <c r="N50" s="17"/>
      <c r="O50" s="17"/>
      <c r="P50" s="16" t="s">
        <v>235</v>
      </c>
    </row>
    <row r="51" spans="1:16" ht="30">
      <c r="A51" s="16" t="s">
        <v>51</v>
      </c>
      <c r="B51" s="16" t="s">
        <v>239</v>
      </c>
      <c r="C51" s="16" t="s">
        <v>30</v>
      </c>
      <c r="D51" s="16" t="s">
        <v>33</v>
      </c>
      <c r="E51" s="16" t="s">
        <v>20</v>
      </c>
      <c r="F51" s="31">
        <v>0</v>
      </c>
      <c r="G51" s="17"/>
      <c r="H51" s="17"/>
      <c r="I51" s="17"/>
      <c r="J51" s="30"/>
      <c r="K51" s="30"/>
      <c r="L51" s="13">
        <f t="shared" si="0"/>
        <v>0</v>
      </c>
      <c r="M51" s="16"/>
      <c r="N51" s="17"/>
      <c r="O51" s="17"/>
      <c r="P51" s="16" t="s">
        <v>235</v>
      </c>
    </row>
    <row r="52" spans="1:16" ht="30">
      <c r="A52" s="21" t="s">
        <v>51</v>
      </c>
      <c r="B52" s="15" t="s">
        <v>240</v>
      </c>
      <c r="C52" s="15" t="s">
        <v>18</v>
      </c>
      <c r="D52" s="15" t="s">
        <v>58</v>
      </c>
      <c r="E52" s="15" t="s">
        <v>20</v>
      </c>
      <c r="F52" s="29">
        <v>0</v>
      </c>
      <c r="G52" s="17"/>
      <c r="H52" s="17"/>
      <c r="I52" s="17"/>
      <c r="J52" s="30"/>
      <c r="K52" s="30"/>
      <c r="L52" s="13">
        <f t="shared" si="0"/>
        <v>0</v>
      </c>
      <c r="M52" s="15"/>
      <c r="N52" s="17"/>
      <c r="O52" s="17"/>
      <c r="P52" s="15" t="s">
        <v>235</v>
      </c>
    </row>
    <row r="53" spans="1:16" ht="45">
      <c r="A53" s="16" t="s">
        <v>51</v>
      </c>
      <c r="B53" s="16" t="s">
        <v>241</v>
      </c>
      <c r="C53" s="16" t="s">
        <v>22</v>
      </c>
      <c r="D53" s="16" t="s">
        <v>58</v>
      </c>
      <c r="E53" s="16" t="s">
        <v>20</v>
      </c>
      <c r="F53" s="31">
        <v>0</v>
      </c>
      <c r="G53" s="16" t="s">
        <v>237</v>
      </c>
      <c r="H53" s="16" t="s">
        <v>54</v>
      </c>
      <c r="I53" s="16" t="s">
        <v>25</v>
      </c>
      <c r="J53" s="30"/>
      <c r="K53" s="30"/>
      <c r="L53" s="13">
        <f t="shared" si="0"/>
        <v>0</v>
      </c>
      <c r="M53" s="16"/>
      <c r="N53" s="17"/>
      <c r="O53" s="17"/>
      <c r="P53" s="16" t="s">
        <v>235</v>
      </c>
    </row>
    <row r="54" spans="1:16" ht="30">
      <c r="A54" s="16" t="s">
        <v>51</v>
      </c>
      <c r="B54" s="16" t="s">
        <v>241</v>
      </c>
      <c r="C54" s="16" t="s">
        <v>28</v>
      </c>
      <c r="D54" s="16" t="s">
        <v>58</v>
      </c>
      <c r="E54" s="16" t="s">
        <v>20</v>
      </c>
      <c r="F54" s="31">
        <v>0</v>
      </c>
      <c r="G54" s="17"/>
      <c r="H54" s="17"/>
      <c r="I54" s="17"/>
      <c r="J54" s="30"/>
      <c r="K54" s="30"/>
      <c r="L54" s="13">
        <f t="shared" si="0"/>
        <v>0</v>
      </c>
      <c r="M54" s="16"/>
      <c r="N54" s="17"/>
      <c r="O54" s="17"/>
      <c r="P54" s="16" t="s">
        <v>235</v>
      </c>
    </row>
    <row r="55" spans="1:16" ht="30">
      <c r="A55" s="16" t="s">
        <v>51</v>
      </c>
      <c r="B55" s="16" t="s">
        <v>241</v>
      </c>
      <c r="C55" s="16" t="s">
        <v>29</v>
      </c>
      <c r="D55" s="16" t="s">
        <v>58</v>
      </c>
      <c r="E55" s="16" t="s">
        <v>20</v>
      </c>
      <c r="F55" s="31">
        <v>0</v>
      </c>
      <c r="G55" s="17"/>
      <c r="H55" s="17"/>
      <c r="I55" s="17"/>
      <c r="J55" s="30"/>
      <c r="K55" s="30"/>
      <c r="L55" s="13">
        <f t="shared" si="0"/>
        <v>0</v>
      </c>
      <c r="M55" s="16"/>
      <c r="N55" s="17"/>
      <c r="O55" s="17"/>
      <c r="P55" s="16" t="s">
        <v>235</v>
      </c>
    </row>
    <row r="56" spans="1:16" ht="30">
      <c r="A56" s="16" t="s">
        <v>51</v>
      </c>
      <c r="B56" s="16" t="s">
        <v>241</v>
      </c>
      <c r="C56" s="16" t="s">
        <v>30</v>
      </c>
      <c r="D56" s="16" t="s">
        <v>58</v>
      </c>
      <c r="E56" s="16" t="s">
        <v>20</v>
      </c>
      <c r="F56" s="31">
        <v>0</v>
      </c>
      <c r="G56" s="17"/>
      <c r="H56" s="17"/>
      <c r="I56" s="17"/>
      <c r="J56" s="30"/>
      <c r="K56" s="30"/>
      <c r="L56" s="13">
        <f t="shared" si="0"/>
        <v>0</v>
      </c>
      <c r="M56" s="16"/>
      <c r="N56" s="17"/>
      <c r="O56" s="17"/>
      <c r="P56" s="16" t="s">
        <v>235</v>
      </c>
    </row>
    <row r="57" spans="1:16" ht="30">
      <c r="A57" s="21" t="s">
        <v>51</v>
      </c>
      <c r="B57" s="15" t="s">
        <v>242</v>
      </c>
      <c r="C57" s="15" t="s">
        <v>18</v>
      </c>
      <c r="D57" s="15" t="s">
        <v>58</v>
      </c>
      <c r="E57" s="15" t="s">
        <v>20</v>
      </c>
      <c r="F57" s="29">
        <v>0</v>
      </c>
      <c r="G57" s="17"/>
      <c r="H57" s="17"/>
      <c r="I57" s="17"/>
      <c r="J57" s="30"/>
      <c r="K57" s="30"/>
      <c r="L57" s="13">
        <f t="shared" si="0"/>
        <v>0</v>
      </c>
      <c r="M57" s="15"/>
      <c r="N57" s="17"/>
      <c r="O57" s="17"/>
      <c r="P57" s="15" t="s">
        <v>235</v>
      </c>
    </row>
    <row r="58" spans="1:16" ht="45">
      <c r="A58" s="16" t="s">
        <v>51</v>
      </c>
      <c r="B58" s="16" t="s">
        <v>243</v>
      </c>
      <c r="C58" s="16" t="s">
        <v>22</v>
      </c>
      <c r="D58" s="16" t="s">
        <v>58</v>
      </c>
      <c r="E58" s="16" t="s">
        <v>20</v>
      </c>
      <c r="F58" s="31">
        <v>0</v>
      </c>
      <c r="G58" s="16" t="s">
        <v>237</v>
      </c>
      <c r="H58" s="16" t="s">
        <v>54</v>
      </c>
      <c r="I58" s="16" t="s">
        <v>25</v>
      </c>
      <c r="J58" s="30"/>
      <c r="K58" s="30"/>
      <c r="L58" s="13">
        <f t="shared" si="0"/>
        <v>0</v>
      </c>
      <c r="M58" s="16"/>
      <c r="N58" s="17"/>
      <c r="O58" s="17"/>
      <c r="P58" s="16" t="s">
        <v>235</v>
      </c>
    </row>
    <row r="59" spans="1:16" ht="30">
      <c r="A59" s="16" t="s">
        <v>51</v>
      </c>
      <c r="B59" s="16" t="s">
        <v>243</v>
      </c>
      <c r="C59" s="16" t="s">
        <v>28</v>
      </c>
      <c r="D59" s="16" t="s">
        <v>58</v>
      </c>
      <c r="E59" s="16" t="s">
        <v>20</v>
      </c>
      <c r="F59" s="31">
        <v>0</v>
      </c>
      <c r="G59" s="17"/>
      <c r="H59" s="17"/>
      <c r="I59" s="17"/>
      <c r="J59" s="30"/>
      <c r="K59" s="30"/>
      <c r="L59" s="13">
        <f t="shared" si="0"/>
        <v>0</v>
      </c>
      <c r="M59" s="16"/>
      <c r="N59" s="17"/>
      <c r="O59" s="17"/>
      <c r="P59" s="16" t="s">
        <v>235</v>
      </c>
    </row>
    <row r="60" spans="1:16" ht="30">
      <c r="A60" s="16" t="s">
        <v>51</v>
      </c>
      <c r="B60" s="16" t="s">
        <v>243</v>
      </c>
      <c r="C60" s="16" t="s">
        <v>29</v>
      </c>
      <c r="D60" s="16" t="s">
        <v>58</v>
      </c>
      <c r="E60" s="16" t="s">
        <v>20</v>
      </c>
      <c r="F60" s="31">
        <v>0</v>
      </c>
      <c r="G60" s="17"/>
      <c r="H60" s="17"/>
      <c r="I60" s="17"/>
      <c r="J60" s="30"/>
      <c r="K60" s="30"/>
      <c r="L60" s="13">
        <f t="shared" si="0"/>
        <v>0</v>
      </c>
      <c r="M60" s="16"/>
      <c r="N60" s="17"/>
      <c r="O60" s="17"/>
      <c r="P60" s="16" t="s">
        <v>235</v>
      </c>
    </row>
    <row r="61" spans="1:16" ht="30">
      <c r="A61" s="16" t="s">
        <v>51</v>
      </c>
      <c r="B61" s="16" t="s">
        <v>243</v>
      </c>
      <c r="C61" s="16" t="s">
        <v>30</v>
      </c>
      <c r="D61" s="16" t="s">
        <v>58</v>
      </c>
      <c r="E61" s="16" t="s">
        <v>20</v>
      </c>
      <c r="F61" s="31">
        <v>0</v>
      </c>
      <c r="G61" s="17"/>
      <c r="H61" s="17"/>
      <c r="I61" s="17"/>
      <c r="J61" s="30"/>
      <c r="K61" s="30"/>
      <c r="L61" s="13">
        <f t="shared" si="0"/>
        <v>0</v>
      </c>
      <c r="M61" s="16"/>
      <c r="N61" s="17"/>
      <c r="O61" s="17"/>
      <c r="P61" s="16" t="s">
        <v>235</v>
      </c>
    </row>
    <row r="62" spans="1:16" ht="30">
      <c r="A62" s="21" t="s">
        <v>51</v>
      </c>
      <c r="B62" s="15" t="s">
        <v>244</v>
      </c>
      <c r="C62" s="15" t="s">
        <v>18</v>
      </c>
      <c r="D62" s="15" t="s">
        <v>58</v>
      </c>
      <c r="E62" s="15" t="s">
        <v>20</v>
      </c>
      <c r="F62" s="29">
        <v>0</v>
      </c>
      <c r="G62" s="17"/>
      <c r="H62" s="17"/>
      <c r="I62" s="17"/>
      <c r="J62" s="30"/>
      <c r="K62" s="30"/>
      <c r="L62" s="13">
        <f t="shared" si="0"/>
        <v>0</v>
      </c>
      <c r="M62" s="15"/>
      <c r="N62" s="17"/>
      <c r="O62" s="17"/>
      <c r="P62" s="15" t="s">
        <v>235</v>
      </c>
    </row>
    <row r="63" spans="1:16" ht="45">
      <c r="A63" s="16" t="s">
        <v>51</v>
      </c>
      <c r="B63" s="16" t="s">
        <v>245</v>
      </c>
      <c r="C63" s="16" t="s">
        <v>22</v>
      </c>
      <c r="D63" s="16" t="s">
        <v>58</v>
      </c>
      <c r="E63" s="16" t="s">
        <v>20</v>
      </c>
      <c r="F63" s="31">
        <v>0</v>
      </c>
      <c r="G63" s="16" t="s">
        <v>237</v>
      </c>
      <c r="H63" s="16" t="s">
        <v>54</v>
      </c>
      <c r="I63" s="16" t="s">
        <v>25</v>
      </c>
      <c r="J63" s="30"/>
      <c r="K63" s="30"/>
      <c r="L63" s="13">
        <f t="shared" si="0"/>
        <v>0</v>
      </c>
      <c r="M63" s="16"/>
      <c r="N63" s="17"/>
      <c r="O63" s="17"/>
      <c r="P63" s="16" t="s">
        <v>235</v>
      </c>
    </row>
    <row r="64" spans="1:16" ht="30">
      <c r="A64" s="16" t="s">
        <v>51</v>
      </c>
      <c r="B64" s="16" t="s">
        <v>245</v>
      </c>
      <c r="C64" s="16" t="s">
        <v>28</v>
      </c>
      <c r="D64" s="16" t="s">
        <v>58</v>
      </c>
      <c r="E64" s="16" t="s">
        <v>20</v>
      </c>
      <c r="F64" s="31">
        <v>0</v>
      </c>
      <c r="G64" s="17"/>
      <c r="H64" s="17"/>
      <c r="I64" s="17"/>
      <c r="J64" s="30"/>
      <c r="K64" s="30"/>
      <c r="L64" s="13">
        <f t="shared" si="0"/>
        <v>0</v>
      </c>
      <c r="M64" s="16"/>
      <c r="N64" s="17"/>
      <c r="O64" s="17"/>
      <c r="P64" s="16" t="s">
        <v>235</v>
      </c>
    </row>
    <row r="65" spans="1:16" ht="30">
      <c r="A65" s="16" t="s">
        <v>51</v>
      </c>
      <c r="B65" s="16" t="s">
        <v>245</v>
      </c>
      <c r="C65" s="16" t="s">
        <v>29</v>
      </c>
      <c r="D65" s="16" t="s">
        <v>58</v>
      </c>
      <c r="E65" s="16" t="s">
        <v>20</v>
      </c>
      <c r="F65" s="31">
        <v>0</v>
      </c>
      <c r="G65" s="17"/>
      <c r="H65" s="17"/>
      <c r="I65" s="17"/>
      <c r="J65" s="30"/>
      <c r="K65" s="30"/>
      <c r="L65" s="13">
        <f t="shared" si="0"/>
        <v>0</v>
      </c>
      <c r="M65" s="16"/>
      <c r="N65" s="17"/>
      <c r="O65" s="17"/>
      <c r="P65" s="16" t="s">
        <v>235</v>
      </c>
    </row>
    <row r="66" spans="1:16" ht="30">
      <c r="A66" s="16" t="s">
        <v>51</v>
      </c>
      <c r="B66" s="16" t="s">
        <v>245</v>
      </c>
      <c r="C66" s="16" t="s">
        <v>30</v>
      </c>
      <c r="D66" s="16" t="s">
        <v>58</v>
      </c>
      <c r="E66" s="16" t="s">
        <v>20</v>
      </c>
      <c r="F66" s="31">
        <v>0</v>
      </c>
      <c r="G66" s="17"/>
      <c r="H66" s="17"/>
      <c r="I66" s="17"/>
      <c r="J66" s="30"/>
      <c r="K66" s="30"/>
      <c r="L66" s="13">
        <f t="shared" si="0"/>
        <v>0</v>
      </c>
      <c r="M66" s="16"/>
      <c r="N66" s="17"/>
      <c r="O66" s="17"/>
      <c r="P66" s="16" t="s">
        <v>235</v>
      </c>
    </row>
    <row r="67" spans="1:16" ht="30">
      <c r="A67" s="21" t="s">
        <v>51</v>
      </c>
      <c r="B67" s="15" t="s">
        <v>246</v>
      </c>
      <c r="C67" s="15" t="s">
        <v>18</v>
      </c>
      <c r="D67" s="15" t="s">
        <v>58</v>
      </c>
      <c r="E67" s="15" t="s">
        <v>20</v>
      </c>
      <c r="F67" s="29">
        <v>0</v>
      </c>
      <c r="G67" s="17"/>
      <c r="H67" s="17"/>
      <c r="I67" s="17"/>
      <c r="J67" s="30"/>
      <c r="K67" s="30"/>
      <c r="L67" s="13">
        <f t="shared" si="0"/>
        <v>0</v>
      </c>
      <c r="M67" s="15"/>
      <c r="N67" s="17"/>
      <c r="O67" s="17"/>
      <c r="P67" s="15" t="s">
        <v>235</v>
      </c>
    </row>
    <row r="68" spans="1:16" ht="45">
      <c r="A68" s="16" t="s">
        <v>51</v>
      </c>
      <c r="B68" s="16" t="s">
        <v>247</v>
      </c>
      <c r="C68" s="16" t="s">
        <v>22</v>
      </c>
      <c r="D68" s="16" t="s">
        <v>58</v>
      </c>
      <c r="E68" s="16" t="s">
        <v>20</v>
      </c>
      <c r="F68" s="31">
        <v>0</v>
      </c>
      <c r="G68" s="16" t="s">
        <v>237</v>
      </c>
      <c r="H68" s="16" t="s">
        <v>54</v>
      </c>
      <c r="I68" s="16" t="s">
        <v>25</v>
      </c>
      <c r="J68" s="30"/>
      <c r="K68" s="30"/>
      <c r="L68" s="13">
        <f t="shared" ref="L68:L131" si="1">NETWORKDAYS(J68,K68)</f>
        <v>0</v>
      </c>
      <c r="M68" s="16"/>
      <c r="N68" s="17"/>
      <c r="O68" s="17"/>
      <c r="P68" s="16" t="s">
        <v>235</v>
      </c>
    </row>
    <row r="69" spans="1:16" ht="30">
      <c r="A69" s="16" t="s">
        <v>51</v>
      </c>
      <c r="B69" s="16" t="s">
        <v>247</v>
      </c>
      <c r="C69" s="16" t="s">
        <v>28</v>
      </c>
      <c r="D69" s="16" t="s">
        <v>58</v>
      </c>
      <c r="E69" s="16" t="s">
        <v>20</v>
      </c>
      <c r="F69" s="31">
        <v>0</v>
      </c>
      <c r="G69" s="17"/>
      <c r="H69" s="17"/>
      <c r="I69" s="17"/>
      <c r="J69" s="30"/>
      <c r="K69" s="30"/>
      <c r="L69" s="13">
        <f t="shared" si="1"/>
        <v>0</v>
      </c>
      <c r="M69" s="16"/>
      <c r="N69" s="17"/>
      <c r="O69" s="17"/>
      <c r="P69" s="16" t="s">
        <v>235</v>
      </c>
    </row>
    <row r="70" spans="1:16" ht="30">
      <c r="A70" s="16" t="s">
        <v>51</v>
      </c>
      <c r="B70" s="16" t="s">
        <v>247</v>
      </c>
      <c r="C70" s="16" t="s">
        <v>29</v>
      </c>
      <c r="D70" s="16" t="s">
        <v>58</v>
      </c>
      <c r="E70" s="16" t="s">
        <v>20</v>
      </c>
      <c r="F70" s="31">
        <v>0</v>
      </c>
      <c r="G70" s="17"/>
      <c r="H70" s="17"/>
      <c r="I70" s="17"/>
      <c r="J70" s="30"/>
      <c r="K70" s="30"/>
      <c r="L70" s="13">
        <f t="shared" si="1"/>
        <v>0</v>
      </c>
      <c r="M70" s="16"/>
      <c r="N70" s="17"/>
      <c r="O70" s="17"/>
      <c r="P70" s="16" t="s">
        <v>235</v>
      </c>
    </row>
    <row r="71" spans="1:16" ht="30">
      <c r="A71" s="16" t="s">
        <v>51</v>
      </c>
      <c r="B71" s="16" t="s">
        <v>247</v>
      </c>
      <c r="C71" s="16" t="s">
        <v>30</v>
      </c>
      <c r="D71" s="16" t="s">
        <v>58</v>
      </c>
      <c r="E71" s="16" t="s">
        <v>20</v>
      </c>
      <c r="F71" s="31">
        <v>0</v>
      </c>
      <c r="G71" s="17"/>
      <c r="H71" s="17"/>
      <c r="I71" s="17"/>
      <c r="J71" s="30"/>
      <c r="K71" s="30"/>
      <c r="L71" s="13">
        <f t="shared" si="1"/>
        <v>0</v>
      </c>
      <c r="M71" s="16"/>
      <c r="N71" s="17"/>
      <c r="O71" s="17"/>
      <c r="P71" s="16" t="s">
        <v>235</v>
      </c>
    </row>
    <row r="72" spans="1:16" ht="30">
      <c r="A72" s="21" t="s">
        <v>51</v>
      </c>
      <c r="B72" s="15" t="s">
        <v>248</v>
      </c>
      <c r="C72" s="15" t="s">
        <v>18</v>
      </c>
      <c r="D72" s="15" t="s">
        <v>58</v>
      </c>
      <c r="E72" s="15" t="s">
        <v>20</v>
      </c>
      <c r="F72" s="29">
        <v>0</v>
      </c>
      <c r="G72" s="17"/>
      <c r="H72" s="17"/>
      <c r="I72" s="17"/>
      <c r="J72" s="30"/>
      <c r="K72" s="30"/>
      <c r="L72" s="13">
        <f t="shared" si="1"/>
        <v>0</v>
      </c>
      <c r="M72" s="15"/>
      <c r="N72" s="17"/>
      <c r="O72" s="15">
        <v>18</v>
      </c>
      <c r="P72" s="15" t="s">
        <v>235</v>
      </c>
    </row>
    <row r="73" spans="1:16" ht="45">
      <c r="A73" s="16" t="s">
        <v>51</v>
      </c>
      <c r="B73" s="16" t="s">
        <v>249</v>
      </c>
      <c r="C73" s="16" t="s">
        <v>22</v>
      </c>
      <c r="D73" s="16" t="s">
        <v>58</v>
      </c>
      <c r="E73" s="16" t="s">
        <v>20</v>
      </c>
      <c r="F73" s="31">
        <v>0</v>
      </c>
      <c r="G73" s="16" t="s">
        <v>237</v>
      </c>
      <c r="H73" s="16" t="s">
        <v>54</v>
      </c>
      <c r="I73" s="16" t="s">
        <v>25</v>
      </c>
      <c r="J73" s="30"/>
      <c r="K73" s="30"/>
      <c r="L73" s="13">
        <f t="shared" si="1"/>
        <v>0</v>
      </c>
      <c r="M73" s="16"/>
      <c r="N73" s="17"/>
      <c r="O73" s="17"/>
      <c r="P73" s="16" t="s">
        <v>235</v>
      </c>
    </row>
    <row r="74" spans="1:16" ht="30">
      <c r="A74" s="16" t="s">
        <v>51</v>
      </c>
      <c r="B74" s="16" t="s">
        <v>249</v>
      </c>
      <c r="C74" s="16" t="s">
        <v>28</v>
      </c>
      <c r="D74" s="16" t="s">
        <v>58</v>
      </c>
      <c r="E74" s="16" t="s">
        <v>20</v>
      </c>
      <c r="F74" s="31">
        <v>0</v>
      </c>
      <c r="G74" s="17"/>
      <c r="H74" s="17"/>
      <c r="I74" s="17"/>
      <c r="J74" s="30"/>
      <c r="K74" s="30"/>
      <c r="L74" s="13">
        <f t="shared" si="1"/>
        <v>0</v>
      </c>
      <c r="M74" s="16"/>
      <c r="N74" s="17"/>
      <c r="O74" s="17"/>
      <c r="P74" s="16" t="s">
        <v>235</v>
      </c>
    </row>
    <row r="75" spans="1:16" ht="30">
      <c r="A75" s="16" t="s">
        <v>51</v>
      </c>
      <c r="B75" s="16" t="s">
        <v>249</v>
      </c>
      <c r="C75" s="16" t="s">
        <v>29</v>
      </c>
      <c r="D75" s="16" t="s">
        <v>58</v>
      </c>
      <c r="E75" s="16" t="s">
        <v>20</v>
      </c>
      <c r="F75" s="31">
        <v>0</v>
      </c>
      <c r="G75" s="17"/>
      <c r="H75" s="17"/>
      <c r="I75" s="17"/>
      <c r="J75" s="30"/>
      <c r="K75" s="30"/>
      <c r="L75" s="13">
        <f t="shared" si="1"/>
        <v>0</v>
      </c>
      <c r="M75" s="16"/>
      <c r="N75" s="17"/>
      <c r="O75" s="17"/>
      <c r="P75" s="16" t="s">
        <v>235</v>
      </c>
    </row>
    <row r="76" spans="1:16" ht="30">
      <c r="A76" s="16" t="s">
        <v>51</v>
      </c>
      <c r="B76" s="16" t="s">
        <v>249</v>
      </c>
      <c r="C76" s="16" t="s">
        <v>30</v>
      </c>
      <c r="D76" s="16" t="s">
        <v>58</v>
      </c>
      <c r="E76" s="16" t="s">
        <v>20</v>
      </c>
      <c r="F76" s="31">
        <v>0</v>
      </c>
      <c r="G76" s="17"/>
      <c r="H76" s="17"/>
      <c r="I76" s="17"/>
      <c r="J76" s="30"/>
      <c r="K76" s="30"/>
      <c r="L76" s="13">
        <f t="shared" si="1"/>
        <v>0</v>
      </c>
      <c r="M76" s="16"/>
      <c r="N76" s="17"/>
      <c r="O76" s="17"/>
      <c r="P76" s="16" t="s">
        <v>235</v>
      </c>
    </row>
    <row r="77" spans="1:16" ht="30">
      <c r="A77" s="21" t="s">
        <v>51</v>
      </c>
      <c r="B77" s="15" t="s">
        <v>250</v>
      </c>
      <c r="C77" s="15" t="s">
        <v>18</v>
      </c>
      <c r="D77" s="15" t="s">
        <v>58</v>
      </c>
      <c r="E77" s="15" t="s">
        <v>20</v>
      </c>
      <c r="F77" s="29">
        <v>0</v>
      </c>
      <c r="G77" s="17"/>
      <c r="H77" s="17"/>
      <c r="I77" s="17"/>
      <c r="J77" s="30"/>
      <c r="K77" s="30"/>
      <c r="L77" s="13">
        <f t="shared" si="1"/>
        <v>0</v>
      </c>
      <c r="M77" s="15"/>
      <c r="N77" s="17"/>
      <c r="O77" s="17"/>
      <c r="P77" s="15" t="s">
        <v>235</v>
      </c>
    </row>
    <row r="78" spans="1:16" ht="45">
      <c r="A78" s="16" t="s">
        <v>51</v>
      </c>
      <c r="B78" s="16" t="s">
        <v>251</v>
      </c>
      <c r="C78" s="16" t="s">
        <v>22</v>
      </c>
      <c r="D78" s="16" t="s">
        <v>58</v>
      </c>
      <c r="E78" s="16" t="s">
        <v>20</v>
      </c>
      <c r="F78" s="31">
        <v>0</v>
      </c>
      <c r="G78" s="16" t="s">
        <v>237</v>
      </c>
      <c r="H78" s="16" t="s">
        <v>54</v>
      </c>
      <c r="I78" s="16" t="s">
        <v>25</v>
      </c>
      <c r="J78" s="30"/>
      <c r="K78" s="30"/>
      <c r="L78" s="13">
        <f t="shared" si="1"/>
        <v>0</v>
      </c>
      <c r="M78" s="16"/>
      <c r="N78" s="17"/>
      <c r="O78" s="17"/>
      <c r="P78" s="16" t="s">
        <v>235</v>
      </c>
    </row>
    <row r="79" spans="1:16" ht="30">
      <c r="A79" s="16" t="s">
        <v>51</v>
      </c>
      <c r="B79" s="16" t="s">
        <v>251</v>
      </c>
      <c r="C79" s="16" t="s">
        <v>28</v>
      </c>
      <c r="D79" s="16" t="s">
        <v>58</v>
      </c>
      <c r="E79" s="16" t="s">
        <v>20</v>
      </c>
      <c r="F79" s="31">
        <v>0</v>
      </c>
      <c r="G79" s="17"/>
      <c r="H79" s="17"/>
      <c r="I79" s="17"/>
      <c r="J79" s="30"/>
      <c r="K79" s="30"/>
      <c r="L79" s="13">
        <f t="shared" si="1"/>
        <v>0</v>
      </c>
      <c r="M79" s="16"/>
      <c r="N79" s="17"/>
      <c r="O79" s="17"/>
      <c r="P79" s="16" t="s">
        <v>235</v>
      </c>
    </row>
    <row r="80" spans="1:16" ht="30">
      <c r="A80" s="16" t="s">
        <v>51</v>
      </c>
      <c r="B80" s="16" t="s">
        <v>251</v>
      </c>
      <c r="C80" s="16" t="s">
        <v>29</v>
      </c>
      <c r="D80" s="16" t="s">
        <v>58</v>
      </c>
      <c r="E80" s="16" t="s">
        <v>20</v>
      </c>
      <c r="F80" s="31">
        <v>0</v>
      </c>
      <c r="G80" s="17"/>
      <c r="H80" s="17"/>
      <c r="I80" s="17"/>
      <c r="J80" s="30"/>
      <c r="K80" s="30"/>
      <c r="L80" s="13">
        <f t="shared" si="1"/>
        <v>0</v>
      </c>
      <c r="M80" s="16"/>
      <c r="N80" s="17"/>
      <c r="O80" s="17"/>
      <c r="P80" s="16" t="s">
        <v>235</v>
      </c>
    </row>
    <row r="81" spans="1:16" ht="30">
      <c r="A81" s="16" t="s">
        <v>51</v>
      </c>
      <c r="B81" s="16" t="s">
        <v>251</v>
      </c>
      <c r="C81" s="16" t="s">
        <v>30</v>
      </c>
      <c r="D81" s="16" t="s">
        <v>58</v>
      </c>
      <c r="E81" s="16" t="s">
        <v>20</v>
      </c>
      <c r="F81" s="31">
        <v>0</v>
      </c>
      <c r="G81" s="17"/>
      <c r="H81" s="17"/>
      <c r="I81" s="17"/>
      <c r="J81" s="30"/>
      <c r="K81" s="30"/>
      <c r="L81" s="13">
        <f t="shared" si="1"/>
        <v>0</v>
      </c>
      <c r="M81" s="16"/>
      <c r="N81" s="17"/>
      <c r="O81" s="17"/>
      <c r="P81" s="16" t="s">
        <v>235</v>
      </c>
    </row>
    <row r="82" spans="1:16" ht="30">
      <c r="A82" s="28" t="s">
        <v>51</v>
      </c>
      <c r="B82" s="15" t="s">
        <v>252</v>
      </c>
      <c r="C82" s="15" t="s">
        <v>18</v>
      </c>
      <c r="D82" s="15" t="s">
        <v>33</v>
      </c>
      <c r="E82" s="15" t="s">
        <v>20</v>
      </c>
      <c r="F82" s="29">
        <v>0</v>
      </c>
      <c r="G82" s="17"/>
      <c r="H82" s="17"/>
      <c r="I82" s="17"/>
      <c r="J82" s="33">
        <v>45945</v>
      </c>
      <c r="K82" s="33">
        <v>46104</v>
      </c>
      <c r="L82" s="13">
        <f t="shared" si="1"/>
        <v>114</v>
      </c>
      <c r="M82" s="15"/>
      <c r="N82" s="17"/>
      <c r="O82" s="17"/>
      <c r="P82" s="15" t="s">
        <v>235</v>
      </c>
    </row>
    <row r="83" spans="1:16" ht="45">
      <c r="A83" s="16" t="s">
        <v>51</v>
      </c>
      <c r="B83" s="16" t="s">
        <v>253</v>
      </c>
      <c r="C83" s="16" t="s">
        <v>22</v>
      </c>
      <c r="D83" s="16" t="s">
        <v>33</v>
      </c>
      <c r="E83" s="16" t="s">
        <v>20</v>
      </c>
      <c r="F83" s="31">
        <v>0</v>
      </c>
      <c r="G83" s="16" t="s">
        <v>237</v>
      </c>
      <c r="H83" s="16" t="s">
        <v>54</v>
      </c>
      <c r="I83" s="16" t="s">
        <v>55</v>
      </c>
      <c r="J83" s="32">
        <v>46029</v>
      </c>
      <c r="K83" s="33">
        <v>46104</v>
      </c>
      <c r="L83" s="13">
        <f t="shared" si="1"/>
        <v>54</v>
      </c>
      <c r="M83" s="16"/>
      <c r="N83" s="16" t="s">
        <v>43</v>
      </c>
      <c r="O83" s="16" t="s">
        <v>26</v>
      </c>
      <c r="P83" s="16" t="s">
        <v>235</v>
      </c>
    </row>
    <row r="84" spans="1:16" ht="30">
      <c r="A84" s="16" t="s">
        <v>51</v>
      </c>
      <c r="B84" s="16" t="s">
        <v>253</v>
      </c>
      <c r="C84" s="16" t="s">
        <v>28</v>
      </c>
      <c r="D84" s="16" t="s">
        <v>33</v>
      </c>
      <c r="E84" s="16" t="s">
        <v>20</v>
      </c>
      <c r="F84" s="31">
        <v>0</v>
      </c>
      <c r="G84" s="17"/>
      <c r="H84" s="17"/>
      <c r="I84" s="17"/>
      <c r="J84" s="30"/>
      <c r="K84" s="30"/>
      <c r="L84" s="13">
        <f t="shared" si="1"/>
        <v>0</v>
      </c>
      <c r="M84" s="16"/>
      <c r="N84" s="17"/>
      <c r="O84" s="17"/>
      <c r="P84" s="16" t="s">
        <v>235</v>
      </c>
    </row>
    <row r="85" spans="1:16" ht="30">
      <c r="A85" s="16" t="s">
        <v>51</v>
      </c>
      <c r="B85" s="16" t="s">
        <v>253</v>
      </c>
      <c r="C85" s="16" t="s">
        <v>29</v>
      </c>
      <c r="D85" s="16" t="s">
        <v>33</v>
      </c>
      <c r="E85" s="16" t="s">
        <v>20</v>
      </c>
      <c r="F85" s="31">
        <v>0</v>
      </c>
      <c r="G85" s="17"/>
      <c r="H85" s="17"/>
      <c r="I85" s="17"/>
      <c r="J85" s="30"/>
      <c r="K85" s="30"/>
      <c r="L85" s="13">
        <f t="shared" si="1"/>
        <v>0</v>
      </c>
      <c r="M85" s="16"/>
      <c r="N85" s="17"/>
      <c r="O85" s="17"/>
      <c r="P85" s="16" t="s">
        <v>235</v>
      </c>
    </row>
    <row r="86" spans="1:16" ht="30">
      <c r="A86" s="16" t="s">
        <v>51</v>
      </c>
      <c r="B86" s="16" t="s">
        <v>253</v>
      </c>
      <c r="C86" s="16" t="s">
        <v>30</v>
      </c>
      <c r="D86" s="16" t="s">
        <v>33</v>
      </c>
      <c r="E86" s="16" t="s">
        <v>20</v>
      </c>
      <c r="F86" s="31">
        <v>0</v>
      </c>
      <c r="G86" s="17"/>
      <c r="H86" s="17"/>
      <c r="I86" s="17"/>
      <c r="J86" s="30"/>
      <c r="K86" s="30"/>
      <c r="L86" s="13">
        <f t="shared" si="1"/>
        <v>0</v>
      </c>
      <c r="M86" s="16"/>
      <c r="N86" s="17"/>
      <c r="O86" s="17"/>
      <c r="P86" s="16" t="s">
        <v>235</v>
      </c>
    </row>
    <row r="87" spans="1:16" ht="30">
      <c r="A87" s="21" t="s">
        <v>51</v>
      </c>
      <c r="B87" s="15" t="s">
        <v>254</v>
      </c>
      <c r="C87" s="15" t="s">
        <v>18</v>
      </c>
      <c r="D87" s="15" t="s">
        <v>58</v>
      </c>
      <c r="E87" s="15" t="s">
        <v>20</v>
      </c>
      <c r="F87" s="29">
        <v>0</v>
      </c>
      <c r="G87" s="17"/>
      <c r="H87" s="17"/>
      <c r="I87" s="17"/>
      <c r="J87" s="30"/>
      <c r="K87" s="30"/>
      <c r="L87" s="13">
        <f t="shared" si="1"/>
        <v>0</v>
      </c>
      <c r="M87" s="15"/>
      <c r="N87" s="17"/>
      <c r="O87" s="17"/>
      <c r="P87" s="15" t="s">
        <v>235</v>
      </c>
    </row>
    <row r="88" spans="1:16" ht="45">
      <c r="A88" s="16" t="s">
        <v>51</v>
      </c>
      <c r="B88" s="16" t="s">
        <v>255</v>
      </c>
      <c r="C88" s="16" t="s">
        <v>22</v>
      </c>
      <c r="D88" s="16" t="s">
        <v>58</v>
      </c>
      <c r="E88" s="16" t="s">
        <v>20</v>
      </c>
      <c r="F88" s="31">
        <v>0</v>
      </c>
      <c r="G88" s="16" t="s">
        <v>237</v>
      </c>
      <c r="H88" s="16" t="s">
        <v>54</v>
      </c>
      <c r="I88" s="16" t="s">
        <v>55</v>
      </c>
      <c r="J88" s="30"/>
      <c r="K88" s="30"/>
      <c r="L88" s="13">
        <f t="shared" si="1"/>
        <v>0</v>
      </c>
      <c r="M88" s="16"/>
      <c r="N88" s="17"/>
      <c r="O88" s="17"/>
      <c r="P88" s="16" t="s">
        <v>235</v>
      </c>
    </row>
    <row r="89" spans="1:16" ht="30">
      <c r="A89" s="16" t="s">
        <v>51</v>
      </c>
      <c r="B89" s="16" t="s">
        <v>255</v>
      </c>
      <c r="C89" s="16" t="s">
        <v>28</v>
      </c>
      <c r="D89" s="16" t="s">
        <v>58</v>
      </c>
      <c r="E89" s="16" t="s">
        <v>20</v>
      </c>
      <c r="F89" s="31">
        <v>0</v>
      </c>
      <c r="G89" s="17"/>
      <c r="H89" s="17"/>
      <c r="I89" s="17"/>
      <c r="J89" s="30"/>
      <c r="K89" s="30"/>
      <c r="L89" s="13">
        <f t="shared" si="1"/>
        <v>0</v>
      </c>
      <c r="M89" s="16"/>
      <c r="N89" s="17"/>
      <c r="O89" s="17"/>
      <c r="P89" s="16" t="s">
        <v>235</v>
      </c>
    </row>
    <row r="90" spans="1:16" ht="30">
      <c r="A90" s="16" t="s">
        <v>51</v>
      </c>
      <c r="B90" s="16" t="s">
        <v>255</v>
      </c>
      <c r="C90" s="16" t="s">
        <v>29</v>
      </c>
      <c r="D90" s="16" t="s">
        <v>58</v>
      </c>
      <c r="E90" s="16" t="s">
        <v>20</v>
      </c>
      <c r="F90" s="31">
        <v>0</v>
      </c>
      <c r="G90" s="17"/>
      <c r="H90" s="17"/>
      <c r="I90" s="17"/>
      <c r="J90" s="30"/>
      <c r="K90" s="30"/>
      <c r="L90" s="13">
        <f t="shared" si="1"/>
        <v>0</v>
      </c>
      <c r="M90" s="16"/>
      <c r="N90" s="17"/>
      <c r="O90" s="17"/>
      <c r="P90" s="16" t="s">
        <v>235</v>
      </c>
    </row>
    <row r="91" spans="1:16" ht="30">
      <c r="A91" s="16" t="s">
        <v>51</v>
      </c>
      <c r="B91" s="16" t="s">
        <v>255</v>
      </c>
      <c r="C91" s="16" t="s">
        <v>30</v>
      </c>
      <c r="D91" s="16" t="s">
        <v>58</v>
      </c>
      <c r="E91" s="16" t="s">
        <v>20</v>
      </c>
      <c r="F91" s="31">
        <v>0</v>
      </c>
      <c r="G91" s="17"/>
      <c r="H91" s="17"/>
      <c r="I91" s="17"/>
      <c r="J91" s="30"/>
      <c r="K91" s="30"/>
      <c r="L91" s="13">
        <f t="shared" si="1"/>
        <v>0</v>
      </c>
      <c r="M91" s="16"/>
      <c r="N91" s="17"/>
      <c r="O91" s="17"/>
      <c r="P91" s="16" t="s">
        <v>235</v>
      </c>
    </row>
    <row r="92" spans="1:16" ht="30">
      <c r="A92" s="21" t="s">
        <v>51</v>
      </c>
      <c r="B92" s="15" t="s">
        <v>256</v>
      </c>
      <c r="C92" s="15" t="s">
        <v>18</v>
      </c>
      <c r="D92" s="15" t="s">
        <v>58</v>
      </c>
      <c r="E92" s="15" t="s">
        <v>20</v>
      </c>
      <c r="F92" s="29">
        <v>0</v>
      </c>
      <c r="G92" s="17"/>
      <c r="H92" s="17"/>
      <c r="I92" s="17"/>
      <c r="J92" s="30"/>
      <c r="K92" s="30"/>
      <c r="L92" s="13">
        <f t="shared" si="1"/>
        <v>0</v>
      </c>
      <c r="M92" s="15"/>
      <c r="N92" s="17"/>
      <c r="O92" s="17"/>
      <c r="P92" s="15" t="s">
        <v>235</v>
      </c>
    </row>
    <row r="93" spans="1:16" ht="45">
      <c r="A93" s="16" t="s">
        <v>51</v>
      </c>
      <c r="B93" s="16" t="s">
        <v>257</v>
      </c>
      <c r="C93" s="16" t="s">
        <v>22</v>
      </c>
      <c r="D93" s="16" t="s">
        <v>58</v>
      </c>
      <c r="E93" s="16" t="s">
        <v>20</v>
      </c>
      <c r="F93" s="31">
        <v>0</v>
      </c>
      <c r="G93" s="16" t="s">
        <v>237</v>
      </c>
      <c r="H93" s="16" t="s">
        <v>54</v>
      </c>
      <c r="I93" s="16" t="s">
        <v>55</v>
      </c>
      <c r="J93" s="30"/>
      <c r="K93" s="30"/>
      <c r="L93" s="13">
        <f t="shared" si="1"/>
        <v>0</v>
      </c>
      <c r="M93" s="16"/>
      <c r="N93" s="17"/>
      <c r="O93" s="17"/>
      <c r="P93" s="16" t="s">
        <v>235</v>
      </c>
    </row>
    <row r="94" spans="1:16" ht="30">
      <c r="A94" s="16" t="s">
        <v>51</v>
      </c>
      <c r="B94" s="16" t="s">
        <v>257</v>
      </c>
      <c r="C94" s="16" t="s">
        <v>28</v>
      </c>
      <c r="D94" s="16" t="s">
        <v>58</v>
      </c>
      <c r="E94" s="16" t="s">
        <v>20</v>
      </c>
      <c r="F94" s="31">
        <v>0</v>
      </c>
      <c r="G94" s="17"/>
      <c r="H94" s="17"/>
      <c r="I94" s="17"/>
      <c r="J94" s="30"/>
      <c r="K94" s="30"/>
      <c r="L94" s="13">
        <f t="shared" si="1"/>
        <v>0</v>
      </c>
      <c r="M94" s="16"/>
      <c r="N94" s="17"/>
      <c r="O94" s="17"/>
      <c r="P94" s="16" t="s">
        <v>235</v>
      </c>
    </row>
    <row r="95" spans="1:16" ht="30">
      <c r="A95" s="16" t="s">
        <v>51</v>
      </c>
      <c r="B95" s="16" t="s">
        <v>257</v>
      </c>
      <c r="C95" s="16" t="s">
        <v>29</v>
      </c>
      <c r="D95" s="16" t="s">
        <v>58</v>
      </c>
      <c r="E95" s="16" t="s">
        <v>20</v>
      </c>
      <c r="F95" s="31">
        <v>0</v>
      </c>
      <c r="G95" s="17"/>
      <c r="H95" s="17"/>
      <c r="I95" s="17"/>
      <c r="J95" s="30"/>
      <c r="K95" s="30"/>
      <c r="L95" s="13">
        <f t="shared" si="1"/>
        <v>0</v>
      </c>
      <c r="M95" s="16"/>
      <c r="N95" s="17"/>
      <c r="O95" s="17"/>
      <c r="P95" s="16" t="s">
        <v>235</v>
      </c>
    </row>
    <row r="96" spans="1:16" ht="30">
      <c r="A96" s="16" t="s">
        <v>51</v>
      </c>
      <c r="B96" s="16" t="s">
        <v>257</v>
      </c>
      <c r="C96" s="16" t="s">
        <v>30</v>
      </c>
      <c r="D96" s="16" t="s">
        <v>58</v>
      </c>
      <c r="E96" s="16" t="s">
        <v>20</v>
      </c>
      <c r="F96" s="31">
        <v>0</v>
      </c>
      <c r="G96" s="17"/>
      <c r="H96" s="17"/>
      <c r="I96" s="17"/>
      <c r="J96" s="30"/>
      <c r="K96" s="30"/>
      <c r="L96" s="13">
        <f t="shared" si="1"/>
        <v>0</v>
      </c>
      <c r="M96" s="16"/>
      <c r="N96" s="17"/>
      <c r="O96" s="17"/>
      <c r="P96" s="16" t="s">
        <v>235</v>
      </c>
    </row>
    <row r="97" spans="1:16" ht="30">
      <c r="A97" s="28" t="s">
        <v>51</v>
      </c>
      <c r="B97" s="15" t="s">
        <v>258</v>
      </c>
      <c r="C97" s="15" t="s">
        <v>18</v>
      </c>
      <c r="D97" s="15" t="s">
        <v>33</v>
      </c>
      <c r="E97" s="15" t="s">
        <v>20</v>
      </c>
      <c r="F97" s="29">
        <v>0</v>
      </c>
      <c r="G97" s="17"/>
      <c r="H97" s="17"/>
      <c r="I97" s="17"/>
      <c r="J97" s="33">
        <v>46034</v>
      </c>
      <c r="K97" s="33">
        <v>46195</v>
      </c>
      <c r="L97" s="13">
        <f t="shared" si="1"/>
        <v>116</v>
      </c>
      <c r="M97" s="15"/>
      <c r="N97" s="17"/>
      <c r="O97" s="17"/>
      <c r="P97" s="15" t="s">
        <v>235</v>
      </c>
    </row>
    <row r="98" spans="1:16" ht="45">
      <c r="A98" s="16" t="s">
        <v>51</v>
      </c>
      <c r="B98" s="16" t="s">
        <v>259</v>
      </c>
      <c r="C98" s="16" t="s">
        <v>22</v>
      </c>
      <c r="D98" s="16" t="s">
        <v>33</v>
      </c>
      <c r="E98" s="16" t="s">
        <v>20</v>
      </c>
      <c r="F98" s="31">
        <v>0</v>
      </c>
      <c r="G98" s="16" t="s">
        <v>237</v>
      </c>
      <c r="H98" s="16" t="s">
        <v>54</v>
      </c>
      <c r="I98" s="16" t="s">
        <v>55</v>
      </c>
      <c r="J98" s="33">
        <v>46034</v>
      </c>
      <c r="K98" s="33">
        <v>46112</v>
      </c>
      <c r="L98" s="13">
        <f t="shared" si="1"/>
        <v>57</v>
      </c>
      <c r="M98" s="16"/>
      <c r="N98" s="16" t="s">
        <v>43</v>
      </c>
      <c r="O98" s="16" t="s">
        <v>26</v>
      </c>
      <c r="P98" s="16" t="s">
        <v>235</v>
      </c>
    </row>
    <row r="99" spans="1:16" ht="30">
      <c r="A99" s="16" t="s">
        <v>51</v>
      </c>
      <c r="B99" s="16" t="s">
        <v>259</v>
      </c>
      <c r="C99" s="16" t="s">
        <v>28</v>
      </c>
      <c r="D99" s="16" t="s">
        <v>33</v>
      </c>
      <c r="E99" s="16" t="s">
        <v>20</v>
      </c>
      <c r="F99" s="31">
        <v>0</v>
      </c>
      <c r="G99" s="17"/>
      <c r="H99" s="17"/>
      <c r="I99" s="17"/>
      <c r="J99" s="33">
        <v>46119</v>
      </c>
      <c r="K99" s="33">
        <v>46195</v>
      </c>
      <c r="L99" s="13">
        <f t="shared" si="1"/>
        <v>55</v>
      </c>
      <c r="M99" s="16"/>
      <c r="N99" s="17"/>
      <c r="O99" s="16" t="s">
        <v>27</v>
      </c>
      <c r="P99" s="16" t="s">
        <v>235</v>
      </c>
    </row>
    <row r="100" spans="1:16" ht="30">
      <c r="A100" s="16" t="s">
        <v>51</v>
      </c>
      <c r="B100" s="16" t="s">
        <v>259</v>
      </c>
      <c r="C100" s="16" t="s">
        <v>29</v>
      </c>
      <c r="D100" s="17"/>
      <c r="E100" s="16" t="s">
        <v>20</v>
      </c>
      <c r="F100" s="31">
        <v>0</v>
      </c>
      <c r="G100" s="17"/>
      <c r="H100" s="17"/>
      <c r="I100" s="17"/>
      <c r="J100" s="30"/>
      <c r="K100" s="30"/>
      <c r="L100" s="13">
        <f t="shared" si="1"/>
        <v>0</v>
      </c>
      <c r="M100" s="16"/>
      <c r="N100" s="17"/>
      <c r="O100" s="17"/>
      <c r="P100" s="16" t="s">
        <v>235</v>
      </c>
    </row>
    <row r="101" spans="1:16" ht="30">
      <c r="A101" s="16" t="s">
        <v>51</v>
      </c>
      <c r="B101" s="16" t="s">
        <v>259</v>
      </c>
      <c r="C101" s="16" t="s">
        <v>30</v>
      </c>
      <c r="D101" s="16" t="s">
        <v>33</v>
      </c>
      <c r="E101" s="16" t="s">
        <v>20</v>
      </c>
      <c r="F101" s="31">
        <v>0</v>
      </c>
      <c r="G101" s="17"/>
      <c r="H101" s="17"/>
      <c r="I101" s="17"/>
      <c r="J101" s="30"/>
      <c r="K101" s="30"/>
      <c r="L101" s="13">
        <f t="shared" si="1"/>
        <v>0</v>
      </c>
      <c r="M101" s="16"/>
      <c r="N101" s="17"/>
      <c r="O101" s="17"/>
      <c r="P101" s="16" t="s">
        <v>235</v>
      </c>
    </row>
    <row r="102" spans="1:16" ht="30">
      <c r="A102" s="21" t="s">
        <v>51</v>
      </c>
      <c r="B102" s="15" t="s">
        <v>260</v>
      </c>
      <c r="C102" s="15" t="s">
        <v>18</v>
      </c>
      <c r="D102" s="15" t="s">
        <v>58</v>
      </c>
      <c r="E102" s="15" t="s">
        <v>20</v>
      </c>
      <c r="F102" s="29">
        <v>0</v>
      </c>
      <c r="G102" s="17"/>
      <c r="H102" s="17"/>
      <c r="I102" s="17"/>
      <c r="J102" s="30"/>
      <c r="K102" s="30"/>
      <c r="L102" s="13">
        <f t="shared" si="1"/>
        <v>0</v>
      </c>
      <c r="M102" s="15"/>
      <c r="N102" s="17"/>
      <c r="O102" s="17"/>
      <c r="P102" s="15" t="s">
        <v>235</v>
      </c>
    </row>
    <row r="103" spans="1:16" ht="45">
      <c r="A103" s="16" t="s">
        <v>51</v>
      </c>
      <c r="B103" s="16" t="s">
        <v>261</v>
      </c>
      <c r="C103" s="16" t="s">
        <v>22</v>
      </c>
      <c r="D103" s="16" t="s">
        <v>58</v>
      </c>
      <c r="E103" s="16" t="s">
        <v>20</v>
      </c>
      <c r="F103" s="31">
        <v>0</v>
      </c>
      <c r="G103" s="16" t="s">
        <v>237</v>
      </c>
      <c r="H103" s="16" t="s">
        <v>54</v>
      </c>
      <c r="I103" s="16" t="s">
        <v>55</v>
      </c>
      <c r="J103" s="30"/>
      <c r="K103" s="30"/>
      <c r="L103" s="13">
        <f t="shared" si="1"/>
        <v>0</v>
      </c>
      <c r="M103" s="16"/>
      <c r="N103" s="17"/>
      <c r="O103" s="17"/>
      <c r="P103" s="16" t="s">
        <v>235</v>
      </c>
    </row>
    <row r="104" spans="1:16" ht="30">
      <c r="A104" s="16" t="s">
        <v>51</v>
      </c>
      <c r="B104" s="16" t="s">
        <v>261</v>
      </c>
      <c r="C104" s="16" t="s">
        <v>28</v>
      </c>
      <c r="D104" s="16" t="s">
        <v>58</v>
      </c>
      <c r="E104" s="16" t="s">
        <v>20</v>
      </c>
      <c r="F104" s="31">
        <v>0</v>
      </c>
      <c r="G104" s="17"/>
      <c r="H104" s="17"/>
      <c r="I104" s="17"/>
      <c r="J104" s="30"/>
      <c r="K104" s="30"/>
      <c r="L104" s="13">
        <f t="shared" si="1"/>
        <v>0</v>
      </c>
      <c r="M104" s="16"/>
      <c r="N104" s="17"/>
      <c r="O104" s="17"/>
      <c r="P104" s="16" t="s">
        <v>235</v>
      </c>
    </row>
    <row r="105" spans="1:16" ht="30">
      <c r="A105" s="16" t="s">
        <v>51</v>
      </c>
      <c r="B105" s="16" t="s">
        <v>261</v>
      </c>
      <c r="C105" s="16" t="s">
        <v>29</v>
      </c>
      <c r="D105" s="16" t="s">
        <v>58</v>
      </c>
      <c r="E105" s="16" t="s">
        <v>20</v>
      </c>
      <c r="F105" s="31">
        <v>0</v>
      </c>
      <c r="G105" s="17"/>
      <c r="H105" s="17"/>
      <c r="I105" s="17"/>
      <c r="J105" s="30"/>
      <c r="K105" s="30"/>
      <c r="L105" s="13">
        <f t="shared" si="1"/>
        <v>0</v>
      </c>
      <c r="M105" s="16"/>
      <c r="N105" s="17"/>
      <c r="O105" s="17"/>
      <c r="P105" s="16" t="s">
        <v>235</v>
      </c>
    </row>
    <row r="106" spans="1:16" ht="30">
      <c r="A106" s="16" t="s">
        <v>51</v>
      </c>
      <c r="B106" s="16" t="s">
        <v>261</v>
      </c>
      <c r="C106" s="16" t="s">
        <v>30</v>
      </c>
      <c r="D106" s="16" t="s">
        <v>58</v>
      </c>
      <c r="E106" s="16" t="s">
        <v>20</v>
      </c>
      <c r="F106" s="31">
        <v>0</v>
      </c>
      <c r="G106" s="17"/>
      <c r="H106" s="17"/>
      <c r="I106" s="17"/>
      <c r="J106" s="30"/>
      <c r="K106" s="30"/>
      <c r="L106" s="13">
        <f t="shared" si="1"/>
        <v>0</v>
      </c>
      <c r="M106" s="16"/>
      <c r="N106" s="17"/>
      <c r="O106" s="17"/>
      <c r="P106" s="16" t="s">
        <v>235</v>
      </c>
    </row>
    <row r="107" spans="1:16" ht="30">
      <c r="A107" s="21" t="s">
        <v>51</v>
      </c>
      <c r="B107" s="15" t="s">
        <v>262</v>
      </c>
      <c r="C107" s="15" t="s">
        <v>18</v>
      </c>
      <c r="D107" s="15" t="s">
        <v>58</v>
      </c>
      <c r="E107" s="15" t="s">
        <v>20</v>
      </c>
      <c r="F107" s="29">
        <v>0</v>
      </c>
      <c r="G107" s="17"/>
      <c r="H107" s="17"/>
      <c r="I107" s="17"/>
      <c r="J107" s="30"/>
      <c r="K107" s="30"/>
      <c r="L107" s="13">
        <f t="shared" si="1"/>
        <v>0</v>
      </c>
      <c r="M107" s="15"/>
      <c r="N107" s="17"/>
      <c r="O107" s="17"/>
      <c r="P107" s="15" t="s">
        <v>235</v>
      </c>
    </row>
    <row r="108" spans="1:16" ht="45">
      <c r="A108" s="16" t="s">
        <v>51</v>
      </c>
      <c r="B108" s="16" t="s">
        <v>263</v>
      </c>
      <c r="C108" s="16" t="s">
        <v>22</v>
      </c>
      <c r="D108" s="16" t="s">
        <v>58</v>
      </c>
      <c r="E108" s="16" t="s">
        <v>20</v>
      </c>
      <c r="F108" s="31">
        <v>0</v>
      </c>
      <c r="G108" s="16" t="s">
        <v>237</v>
      </c>
      <c r="H108" s="16" t="s">
        <v>54</v>
      </c>
      <c r="I108" s="16" t="s">
        <v>55</v>
      </c>
      <c r="J108" s="30"/>
      <c r="K108" s="30"/>
      <c r="L108" s="13">
        <f t="shared" si="1"/>
        <v>0</v>
      </c>
      <c r="M108" s="16"/>
      <c r="N108" s="17"/>
      <c r="O108" s="17"/>
      <c r="P108" s="16" t="s">
        <v>235</v>
      </c>
    </row>
    <row r="109" spans="1:16" ht="30">
      <c r="A109" s="16" t="s">
        <v>51</v>
      </c>
      <c r="B109" s="16" t="s">
        <v>263</v>
      </c>
      <c r="C109" s="16" t="s">
        <v>28</v>
      </c>
      <c r="D109" s="16" t="s">
        <v>58</v>
      </c>
      <c r="E109" s="16" t="s">
        <v>20</v>
      </c>
      <c r="F109" s="31">
        <v>0</v>
      </c>
      <c r="G109" s="17"/>
      <c r="H109" s="17"/>
      <c r="I109" s="17"/>
      <c r="J109" s="30"/>
      <c r="K109" s="30"/>
      <c r="L109" s="13">
        <f t="shared" si="1"/>
        <v>0</v>
      </c>
      <c r="M109" s="16"/>
      <c r="N109" s="17"/>
      <c r="O109" s="17"/>
      <c r="P109" s="16" t="s">
        <v>235</v>
      </c>
    </row>
    <row r="110" spans="1:16" ht="30">
      <c r="A110" s="16" t="s">
        <v>51</v>
      </c>
      <c r="B110" s="16" t="s">
        <v>263</v>
      </c>
      <c r="C110" s="16" t="s">
        <v>29</v>
      </c>
      <c r="D110" s="16" t="s">
        <v>58</v>
      </c>
      <c r="E110" s="16" t="s">
        <v>20</v>
      </c>
      <c r="F110" s="31">
        <v>0</v>
      </c>
      <c r="G110" s="17"/>
      <c r="H110" s="17"/>
      <c r="I110" s="17"/>
      <c r="J110" s="30"/>
      <c r="K110" s="30"/>
      <c r="L110" s="13">
        <f t="shared" si="1"/>
        <v>0</v>
      </c>
      <c r="M110" s="16"/>
      <c r="N110" s="17"/>
      <c r="O110" s="17"/>
      <c r="P110" s="16" t="s">
        <v>235</v>
      </c>
    </row>
    <row r="111" spans="1:16" ht="30">
      <c r="A111" s="16" t="s">
        <v>51</v>
      </c>
      <c r="B111" s="16" t="s">
        <v>263</v>
      </c>
      <c r="C111" s="16" t="s">
        <v>30</v>
      </c>
      <c r="D111" s="16" t="s">
        <v>58</v>
      </c>
      <c r="E111" s="16" t="s">
        <v>20</v>
      </c>
      <c r="F111" s="31">
        <v>0</v>
      </c>
      <c r="G111" s="17"/>
      <c r="H111" s="17"/>
      <c r="I111" s="17"/>
      <c r="J111" s="30"/>
      <c r="K111" s="30"/>
      <c r="L111" s="13">
        <f t="shared" si="1"/>
        <v>0</v>
      </c>
      <c r="M111" s="16"/>
      <c r="N111" s="17"/>
      <c r="O111" s="17"/>
      <c r="P111" s="16" t="s">
        <v>235</v>
      </c>
    </row>
    <row r="112" spans="1:16" ht="30">
      <c r="A112" s="21" t="s">
        <v>51</v>
      </c>
      <c r="B112" s="15" t="s">
        <v>264</v>
      </c>
      <c r="C112" s="15" t="s">
        <v>18</v>
      </c>
      <c r="D112" s="15" t="s">
        <v>58</v>
      </c>
      <c r="E112" s="15" t="s">
        <v>20</v>
      </c>
      <c r="F112" s="29">
        <v>0</v>
      </c>
      <c r="G112" s="17"/>
      <c r="H112" s="17"/>
      <c r="I112" s="17"/>
      <c r="J112" s="30"/>
      <c r="K112" s="30"/>
      <c r="L112" s="13">
        <f t="shared" si="1"/>
        <v>0</v>
      </c>
      <c r="M112" s="15"/>
      <c r="N112" s="17"/>
      <c r="O112" s="17"/>
      <c r="P112" s="15" t="s">
        <v>235</v>
      </c>
    </row>
    <row r="113" spans="1:16" ht="45">
      <c r="A113" s="16" t="s">
        <v>51</v>
      </c>
      <c r="B113" s="16" t="s">
        <v>265</v>
      </c>
      <c r="C113" s="16" t="s">
        <v>22</v>
      </c>
      <c r="D113" s="16" t="s">
        <v>58</v>
      </c>
      <c r="E113" s="16" t="s">
        <v>20</v>
      </c>
      <c r="F113" s="31">
        <v>0</v>
      </c>
      <c r="G113" s="16" t="s">
        <v>237</v>
      </c>
      <c r="H113" s="16" t="s">
        <v>54</v>
      </c>
      <c r="I113" s="16" t="s">
        <v>55</v>
      </c>
      <c r="J113" s="30"/>
      <c r="K113" s="30"/>
      <c r="L113" s="13">
        <f t="shared" si="1"/>
        <v>0</v>
      </c>
      <c r="M113" s="16"/>
      <c r="N113" s="17"/>
      <c r="O113" s="17"/>
      <c r="P113" s="16" t="s">
        <v>235</v>
      </c>
    </row>
    <row r="114" spans="1:16" ht="30">
      <c r="A114" s="16" t="s">
        <v>51</v>
      </c>
      <c r="B114" s="16" t="s">
        <v>265</v>
      </c>
      <c r="C114" s="16" t="s">
        <v>28</v>
      </c>
      <c r="D114" s="16" t="s">
        <v>58</v>
      </c>
      <c r="E114" s="16" t="s">
        <v>20</v>
      </c>
      <c r="F114" s="31">
        <v>0</v>
      </c>
      <c r="G114" s="17"/>
      <c r="H114" s="17"/>
      <c r="I114" s="17"/>
      <c r="J114" s="30"/>
      <c r="K114" s="30"/>
      <c r="L114" s="13">
        <f t="shared" si="1"/>
        <v>0</v>
      </c>
      <c r="M114" s="16"/>
      <c r="N114" s="17"/>
      <c r="O114" s="17"/>
      <c r="P114" s="16" t="s">
        <v>235</v>
      </c>
    </row>
    <row r="115" spans="1:16" ht="30">
      <c r="A115" s="16" t="s">
        <v>51</v>
      </c>
      <c r="B115" s="16" t="s">
        <v>265</v>
      </c>
      <c r="C115" s="16" t="s">
        <v>29</v>
      </c>
      <c r="D115" s="16" t="s">
        <v>58</v>
      </c>
      <c r="E115" s="16" t="s">
        <v>20</v>
      </c>
      <c r="F115" s="31">
        <v>0</v>
      </c>
      <c r="G115" s="17"/>
      <c r="H115" s="17"/>
      <c r="I115" s="17"/>
      <c r="J115" s="30"/>
      <c r="K115" s="30"/>
      <c r="L115" s="13">
        <f t="shared" si="1"/>
        <v>0</v>
      </c>
      <c r="M115" s="16"/>
      <c r="N115" s="17"/>
      <c r="O115" s="17"/>
      <c r="P115" s="16" t="s">
        <v>235</v>
      </c>
    </row>
    <row r="116" spans="1:16" ht="30">
      <c r="A116" s="16" t="s">
        <v>51</v>
      </c>
      <c r="B116" s="16" t="s">
        <v>265</v>
      </c>
      <c r="C116" s="16" t="s">
        <v>30</v>
      </c>
      <c r="D116" s="16" t="s">
        <v>58</v>
      </c>
      <c r="E116" s="16" t="s">
        <v>20</v>
      </c>
      <c r="F116" s="31">
        <v>0</v>
      </c>
      <c r="G116" s="17"/>
      <c r="H116" s="17"/>
      <c r="I116" s="17"/>
      <c r="J116" s="30"/>
      <c r="K116" s="30"/>
      <c r="L116" s="13">
        <f t="shared" si="1"/>
        <v>0</v>
      </c>
      <c r="M116" s="16"/>
      <c r="N116" s="17"/>
      <c r="O116" s="17"/>
      <c r="P116" s="16" t="s">
        <v>235</v>
      </c>
    </row>
    <row r="117" spans="1:16" ht="30">
      <c r="A117" s="28" t="s">
        <v>51</v>
      </c>
      <c r="B117" s="15" t="s">
        <v>266</v>
      </c>
      <c r="C117" s="15" t="s">
        <v>18</v>
      </c>
      <c r="D117" s="15" t="s">
        <v>33</v>
      </c>
      <c r="E117" s="15" t="s">
        <v>20</v>
      </c>
      <c r="F117" s="29">
        <v>0</v>
      </c>
      <c r="G117" s="17"/>
      <c r="H117" s="17"/>
      <c r="I117" s="17"/>
      <c r="J117" s="33">
        <v>46034</v>
      </c>
      <c r="K117" s="33">
        <v>46295</v>
      </c>
      <c r="L117" s="13">
        <f t="shared" si="1"/>
        <v>188</v>
      </c>
      <c r="M117" s="15"/>
      <c r="N117" s="17"/>
      <c r="O117" s="17"/>
      <c r="P117" s="15" t="s">
        <v>235</v>
      </c>
    </row>
    <row r="118" spans="1:16" ht="45">
      <c r="A118" s="16" t="s">
        <v>51</v>
      </c>
      <c r="B118" s="16" t="s">
        <v>267</v>
      </c>
      <c r="C118" s="16" t="s">
        <v>22</v>
      </c>
      <c r="D118" s="16" t="s">
        <v>33</v>
      </c>
      <c r="E118" s="16" t="s">
        <v>20</v>
      </c>
      <c r="F118" s="31">
        <v>0</v>
      </c>
      <c r="G118" s="16" t="s">
        <v>237</v>
      </c>
      <c r="H118" s="16" t="s">
        <v>54</v>
      </c>
      <c r="I118" s="16" t="s">
        <v>55</v>
      </c>
      <c r="J118" s="33">
        <v>46034</v>
      </c>
      <c r="K118" s="33">
        <v>46112</v>
      </c>
      <c r="L118" s="13">
        <f t="shared" si="1"/>
        <v>57</v>
      </c>
      <c r="M118" s="16"/>
      <c r="N118" s="16" t="s">
        <v>43</v>
      </c>
      <c r="O118" s="16" t="s">
        <v>26</v>
      </c>
      <c r="P118" s="16" t="s">
        <v>235</v>
      </c>
    </row>
    <row r="119" spans="1:16" ht="30">
      <c r="A119" s="16" t="s">
        <v>51</v>
      </c>
      <c r="B119" s="16" t="s">
        <v>267</v>
      </c>
      <c r="C119" s="16" t="s">
        <v>28</v>
      </c>
      <c r="D119" s="16" t="s">
        <v>33</v>
      </c>
      <c r="E119" s="16" t="s">
        <v>20</v>
      </c>
      <c r="F119" s="31">
        <v>0</v>
      </c>
      <c r="G119" s="17"/>
      <c r="H119" s="17"/>
      <c r="I119" s="17"/>
      <c r="J119" s="32">
        <v>46127</v>
      </c>
      <c r="K119" s="32">
        <v>46188</v>
      </c>
      <c r="L119" s="13">
        <f t="shared" si="1"/>
        <v>44</v>
      </c>
      <c r="M119" s="16"/>
      <c r="N119" s="17"/>
      <c r="O119" s="16" t="s">
        <v>27</v>
      </c>
      <c r="P119" s="16" t="s">
        <v>235</v>
      </c>
    </row>
    <row r="120" spans="1:16" ht="30">
      <c r="A120" s="16" t="s">
        <v>51</v>
      </c>
      <c r="B120" s="16" t="s">
        <v>267</v>
      </c>
      <c r="C120" s="16" t="s">
        <v>29</v>
      </c>
      <c r="D120" s="16" t="s">
        <v>33</v>
      </c>
      <c r="E120" s="16" t="s">
        <v>20</v>
      </c>
      <c r="F120" s="31">
        <v>0</v>
      </c>
      <c r="G120" s="17"/>
      <c r="H120" s="17"/>
      <c r="I120" s="17"/>
      <c r="J120" s="33">
        <v>46055</v>
      </c>
      <c r="K120" s="33">
        <v>46295</v>
      </c>
      <c r="L120" s="13">
        <f t="shared" si="1"/>
        <v>173</v>
      </c>
      <c r="M120" s="16"/>
      <c r="N120" s="16" t="s">
        <v>43</v>
      </c>
      <c r="O120" s="16" t="s">
        <v>29</v>
      </c>
      <c r="P120" s="16" t="s">
        <v>235</v>
      </c>
    </row>
    <row r="121" spans="1:16" ht="30">
      <c r="A121" s="16" t="s">
        <v>51</v>
      </c>
      <c r="B121" s="16" t="s">
        <v>267</v>
      </c>
      <c r="C121" s="16" t="s">
        <v>30</v>
      </c>
      <c r="D121" s="16" t="s">
        <v>33</v>
      </c>
      <c r="E121" s="16" t="s">
        <v>20</v>
      </c>
      <c r="F121" s="31">
        <v>0</v>
      </c>
      <c r="G121" s="17"/>
      <c r="H121" s="17"/>
      <c r="I121" s="17"/>
      <c r="J121" s="30"/>
      <c r="K121" s="30"/>
      <c r="L121" s="13">
        <f t="shared" si="1"/>
        <v>0</v>
      </c>
      <c r="M121" s="16"/>
      <c r="N121" s="17"/>
      <c r="O121" s="17"/>
      <c r="P121" s="16" t="s">
        <v>235</v>
      </c>
    </row>
    <row r="122" spans="1:16" ht="30">
      <c r="A122" s="21" t="s">
        <v>51</v>
      </c>
      <c r="B122" s="15" t="s">
        <v>268</v>
      </c>
      <c r="C122" s="15" t="s">
        <v>18</v>
      </c>
      <c r="D122" s="15" t="s">
        <v>58</v>
      </c>
      <c r="E122" s="15" t="s">
        <v>20</v>
      </c>
      <c r="F122" s="29">
        <v>0</v>
      </c>
      <c r="G122" s="17"/>
      <c r="H122" s="17"/>
      <c r="I122" s="17"/>
      <c r="J122" s="30"/>
      <c r="K122" s="30"/>
      <c r="L122" s="13">
        <f t="shared" si="1"/>
        <v>0</v>
      </c>
      <c r="M122" s="15"/>
      <c r="N122" s="17"/>
      <c r="O122" s="17"/>
      <c r="P122" s="15" t="s">
        <v>235</v>
      </c>
    </row>
    <row r="123" spans="1:16" ht="45">
      <c r="A123" s="16" t="s">
        <v>51</v>
      </c>
      <c r="B123" s="16" t="s">
        <v>269</v>
      </c>
      <c r="C123" s="16" t="s">
        <v>22</v>
      </c>
      <c r="D123" s="16" t="s">
        <v>58</v>
      </c>
      <c r="E123" s="16" t="s">
        <v>20</v>
      </c>
      <c r="F123" s="31">
        <v>0</v>
      </c>
      <c r="G123" s="16" t="s">
        <v>237</v>
      </c>
      <c r="H123" s="16" t="s">
        <v>54</v>
      </c>
      <c r="I123" s="16" t="s">
        <v>55</v>
      </c>
      <c r="J123" s="30"/>
      <c r="K123" s="30"/>
      <c r="L123" s="13">
        <f t="shared" si="1"/>
        <v>0</v>
      </c>
      <c r="M123" s="16"/>
      <c r="N123" s="17"/>
      <c r="O123" s="17"/>
      <c r="P123" s="16" t="s">
        <v>235</v>
      </c>
    </row>
    <row r="124" spans="1:16" ht="30">
      <c r="A124" s="16" t="s">
        <v>51</v>
      </c>
      <c r="B124" s="16" t="s">
        <v>269</v>
      </c>
      <c r="C124" s="16" t="s">
        <v>28</v>
      </c>
      <c r="D124" s="16" t="s">
        <v>58</v>
      </c>
      <c r="E124" s="16" t="s">
        <v>20</v>
      </c>
      <c r="F124" s="31">
        <v>0</v>
      </c>
      <c r="G124" s="17"/>
      <c r="H124" s="17"/>
      <c r="I124" s="17"/>
      <c r="J124" s="30"/>
      <c r="K124" s="30"/>
      <c r="L124" s="13">
        <f t="shared" si="1"/>
        <v>0</v>
      </c>
      <c r="M124" s="16"/>
      <c r="N124" s="17"/>
      <c r="O124" s="17"/>
      <c r="P124" s="16" t="s">
        <v>235</v>
      </c>
    </row>
    <row r="125" spans="1:16" ht="30">
      <c r="A125" s="16" t="s">
        <v>51</v>
      </c>
      <c r="B125" s="16" t="s">
        <v>269</v>
      </c>
      <c r="C125" s="16" t="s">
        <v>29</v>
      </c>
      <c r="D125" s="16" t="s">
        <v>58</v>
      </c>
      <c r="E125" s="16" t="s">
        <v>20</v>
      </c>
      <c r="F125" s="31">
        <v>0</v>
      </c>
      <c r="G125" s="17"/>
      <c r="H125" s="17"/>
      <c r="I125" s="17"/>
      <c r="J125" s="30"/>
      <c r="K125" s="30"/>
      <c r="L125" s="13">
        <f t="shared" si="1"/>
        <v>0</v>
      </c>
      <c r="M125" s="16"/>
      <c r="N125" s="17"/>
      <c r="O125" s="17"/>
      <c r="P125" s="16" t="s">
        <v>235</v>
      </c>
    </row>
    <row r="126" spans="1:16" ht="30">
      <c r="A126" s="16" t="s">
        <v>51</v>
      </c>
      <c r="B126" s="16" t="s">
        <v>269</v>
      </c>
      <c r="C126" s="16" t="s">
        <v>30</v>
      </c>
      <c r="D126" s="16" t="s">
        <v>58</v>
      </c>
      <c r="E126" s="16" t="s">
        <v>20</v>
      </c>
      <c r="F126" s="31">
        <v>0</v>
      </c>
      <c r="G126" s="17"/>
      <c r="H126" s="17"/>
      <c r="I126" s="17"/>
      <c r="J126" s="30"/>
      <c r="K126" s="30"/>
      <c r="L126" s="13">
        <f t="shared" si="1"/>
        <v>0</v>
      </c>
      <c r="M126" s="16"/>
      <c r="N126" s="17"/>
      <c r="O126" s="17"/>
      <c r="P126" s="16" t="s">
        <v>235</v>
      </c>
    </row>
    <row r="127" spans="1:16" ht="30">
      <c r="A127" s="21" t="s">
        <v>51</v>
      </c>
      <c r="B127" s="15" t="s">
        <v>270</v>
      </c>
      <c r="C127" s="15" t="s">
        <v>18</v>
      </c>
      <c r="D127" s="15" t="s">
        <v>58</v>
      </c>
      <c r="E127" s="15" t="s">
        <v>20</v>
      </c>
      <c r="F127" s="29">
        <v>0</v>
      </c>
      <c r="G127" s="17"/>
      <c r="H127" s="17"/>
      <c r="I127" s="17"/>
      <c r="J127" s="30"/>
      <c r="K127" s="30"/>
      <c r="L127" s="13">
        <f t="shared" si="1"/>
        <v>0</v>
      </c>
      <c r="M127" s="15"/>
      <c r="N127" s="17"/>
      <c r="O127" s="17"/>
      <c r="P127" s="15" t="s">
        <v>235</v>
      </c>
    </row>
    <row r="128" spans="1:16" ht="45">
      <c r="A128" s="16" t="s">
        <v>51</v>
      </c>
      <c r="B128" s="16" t="s">
        <v>271</v>
      </c>
      <c r="C128" s="16" t="s">
        <v>22</v>
      </c>
      <c r="D128" s="16" t="s">
        <v>58</v>
      </c>
      <c r="E128" s="16" t="s">
        <v>20</v>
      </c>
      <c r="F128" s="31">
        <v>0</v>
      </c>
      <c r="G128" s="16" t="s">
        <v>237</v>
      </c>
      <c r="H128" s="16" t="s">
        <v>54</v>
      </c>
      <c r="I128" s="16" t="s">
        <v>55</v>
      </c>
      <c r="J128" s="30"/>
      <c r="K128" s="30"/>
      <c r="L128" s="13">
        <f t="shared" si="1"/>
        <v>0</v>
      </c>
      <c r="M128" s="16"/>
      <c r="N128" s="17"/>
      <c r="O128" s="17"/>
      <c r="P128" s="16" t="s">
        <v>235</v>
      </c>
    </row>
    <row r="129" spans="1:16" ht="30">
      <c r="A129" s="16" t="s">
        <v>51</v>
      </c>
      <c r="B129" s="16" t="s">
        <v>271</v>
      </c>
      <c r="C129" s="16" t="s">
        <v>28</v>
      </c>
      <c r="D129" s="16" t="s">
        <v>58</v>
      </c>
      <c r="E129" s="16" t="s">
        <v>20</v>
      </c>
      <c r="F129" s="31">
        <v>0</v>
      </c>
      <c r="G129" s="17"/>
      <c r="H129" s="17"/>
      <c r="I129" s="17"/>
      <c r="J129" s="30"/>
      <c r="K129" s="30"/>
      <c r="L129" s="13">
        <f t="shared" si="1"/>
        <v>0</v>
      </c>
      <c r="M129" s="16"/>
      <c r="N129" s="17"/>
      <c r="O129" s="17"/>
      <c r="P129" s="16" t="s">
        <v>235</v>
      </c>
    </row>
    <row r="130" spans="1:16" ht="30">
      <c r="A130" s="16" t="s">
        <v>51</v>
      </c>
      <c r="B130" s="16" t="s">
        <v>271</v>
      </c>
      <c r="C130" s="16" t="s">
        <v>29</v>
      </c>
      <c r="D130" s="16" t="s">
        <v>58</v>
      </c>
      <c r="E130" s="16" t="s">
        <v>20</v>
      </c>
      <c r="F130" s="31">
        <v>0</v>
      </c>
      <c r="G130" s="17"/>
      <c r="H130" s="17"/>
      <c r="I130" s="17"/>
      <c r="J130" s="30"/>
      <c r="K130" s="30"/>
      <c r="L130" s="13">
        <f t="shared" si="1"/>
        <v>0</v>
      </c>
      <c r="M130" s="16"/>
      <c r="N130" s="17"/>
      <c r="O130" s="17"/>
      <c r="P130" s="16" t="s">
        <v>235</v>
      </c>
    </row>
    <row r="131" spans="1:16" ht="30">
      <c r="A131" s="16" t="s">
        <v>51</v>
      </c>
      <c r="B131" s="16" t="s">
        <v>271</v>
      </c>
      <c r="C131" s="16" t="s">
        <v>30</v>
      </c>
      <c r="D131" s="16" t="s">
        <v>58</v>
      </c>
      <c r="E131" s="16" t="s">
        <v>20</v>
      </c>
      <c r="F131" s="31">
        <v>0</v>
      </c>
      <c r="G131" s="17"/>
      <c r="H131" s="17"/>
      <c r="I131" s="17"/>
      <c r="J131" s="30"/>
      <c r="K131" s="30"/>
      <c r="L131" s="13">
        <f t="shared" si="1"/>
        <v>0</v>
      </c>
      <c r="M131" s="16"/>
      <c r="N131" s="17"/>
      <c r="O131" s="17"/>
      <c r="P131" s="16" t="s">
        <v>235</v>
      </c>
    </row>
    <row r="132" spans="1:16" ht="30">
      <c r="A132" s="21" t="s">
        <v>51</v>
      </c>
      <c r="B132" s="15" t="s">
        <v>272</v>
      </c>
      <c r="C132" s="15" t="s">
        <v>18</v>
      </c>
      <c r="D132" s="15" t="s">
        <v>58</v>
      </c>
      <c r="E132" s="15" t="s">
        <v>20</v>
      </c>
      <c r="F132" s="29">
        <v>0</v>
      </c>
      <c r="G132" s="17"/>
      <c r="H132" s="17"/>
      <c r="I132" s="17"/>
      <c r="J132" s="30"/>
      <c r="K132" s="30"/>
      <c r="L132" s="13">
        <f t="shared" ref="L132:L195" si="2">NETWORKDAYS(J132,K132)</f>
        <v>0</v>
      </c>
      <c r="M132" s="15"/>
      <c r="N132" s="17"/>
      <c r="O132" s="17"/>
      <c r="P132" s="15" t="s">
        <v>235</v>
      </c>
    </row>
    <row r="133" spans="1:16" ht="45">
      <c r="A133" s="16" t="s">
        <v>51</v>
      </c>
      <c r="B133" s="16" t="s">
        <v>273</v>
      </c>
      <c r="C133" s="16" t="s">
        <v>22</v>
      </c>
      <c r="D133" s="16" t="s">
        <v>58</v>
      </c>
      <c r="E133" s="16" t="s">
        <v>20</v>
      </c>
      <c r="F133" s="31">
        <v>0</v>
      </c>
      <c r="G133" s="16" t="s">
        <v>237</v>
      </c>
      <c r="H133" s="16" t="s">
        <v>54</v>
      </c>
      <c r="I133" s="16" t="s">
        <v>55</v>
      </c>
      <c r="J133" s="30"/>
      <c r="K133" s="30"/>
      <c r="L133" s="13">
        <f t="shared" si="2"/>
        <v>0</v>
      </c>
      <c r="M133" s="16"/>
      <c r="N133" s="17"/>
      <c r="O133" s="17"/>
      <c r="P133" s="16" t="s">
        <v>235</v>
      </c>
    </row>
    <row r="134" spans="1:16" ht="30">
      <c r="A134" s="16" t="s">
        <v>51</v>
      </c>
      <c r="B134" s="16" t="s">
        <v>273</v>
      </c>
      <c r="C134" s="16" t="s">
        <v>28</v>
      </c>
      <c r="D134" s="16" t="s">
        <v>58</v>
      </c>
      <c r="E134" s="16" t="s">
        <v>20</v>
      </c>
      <c r="F134" s="31">
        <v>0</v>
      </c>
      <c r="G134" s="17"/>
      <c r="H134" s="17"/>
      <c r="I134" s="17"/>
      <c r="J134" s="30"/>
      <c r="K134" s="30"/>
      <c r="L134" s="13">
        <f t="shared" si="2"/>
        <v>0</v>
      </c>
      <c r="M134" s="16"/>
      <c r="N134" s="17"/>
      <c r="O134" s="17"/>
      <c r="P134" s="16" t="s">
        <v>235</v>
      </c>
    </row>
    <row r="135" spans="1:16" ht="30">
      <c r="A135" s="16" t="s">
        <v>51</v>
      </c>
      <c r="B135" s="16" t="s">
        <v>273</v>
      </c>
      <c r="C135" s="16" t="s">
        <v>29</v>
      </c>
      <c r="D135" s="16" t="s">
        <v>58</v>
      </c>
      <c r="E135" s="16" t="s">
        <v>20</v>
      </c>
      <c r="F135" s="31">
        <v>0</v>
      </c>
      <c r="G135" s="17"/>
      <c r="H135" s="17"/>
      <c r="I135" s="17"/>
      <c r="J135" s="30"/>
      <c r="K135" s="30"/>
      <c r="L135" s="13">
        <f t="shared" si="2"/>
        <v>0</v>
      </c>
      <c r="M135" s="16"/>
      <c r="N135" s="17"/>
      <c r="O135" s="17"/>
      <c r="P135" s="16" t="s">
        <v>235</v>
      </c>
    </row>
    <row r="136" spans="1:16" ht="30">
      <c r="A136" s="16" t="s">
        <v>51</v>
      </c>
      <c r="B136" s="16" t="s">
        <v>273</v>
      </c>
      <c r="C136" s="16" t="s">
        <v>30</v>
      </c>
      <c r="D136" s="16" t="s">
        <v>58</v>
      </c>
      <c r="E136" s="16" t="s">
        <v>20</v>
      </c>
      <c r="F136" s="31">
        <v>0</v>
      </c>
      <c r="G136" s="17"/>
      <c r="H136" s="17"/>
      <c r="I136" s="17"/>
      <c r="J136" s="30"/>
      <c r="K136" s="30"/>
      <c r="L136" s="13">
        <f t="shared" si="2"/>
        <v>0</v>
      </c>
      <c r="M136" s="16"/>
      <c r="N136" s="17"/>
      <c r="O136" s="17"/>
      <c r="P136" s="16" t="s">
        <v>235</v>
      </c>
    </row>
    <row r="137" spans="1:16" ht="30">
      <c r="A137" s="21" t="s">
        <v>51</v>
      </c>
      <c r="B137" s="15" t="s">
        <v>274</v>
      </c>
      <c r="C137" s="15" t="s">
        <v>18</v>
      </c>
      <c r="D137" s="15" t="s">
        <v>58</v>
      </c>
      <c r="E137" s="15" t="s">
        <v>20</v>
      </c>
      <c r="F137" s="29">
        <v>0</v>
      </c>
      <c r="G137" s="17"/>
      <c r="H137" s="17"/>
      <c r="I137" s="17"/>
      <c r="J137" s="30"/>
      <c r="K137" s="30"/>
      <c r="L137" s="13">
        <f t="shared" si="2"/>
        <v>0</v>
      </c>
      <c r="M137" s="15"/>
      <c r="N137" s="17"/>
      <c r="O137" s="17"/>
      <c r="P137" s="15" t="s">
        <v>235</v>
      </c>
    </row>
    <row r="138" spans="1:16" ht="45">
      <c r="A138" s="16" t="s">
        <v>51</v>
      </c>
      <c r="B138" s="16" t="s">
        <v>275</v>
      </c>
      <c r="C138" s="16" t="s">
        <v>22</v>
      </c>
      <c r="D138" s="16" t="s">
        <v>58</v>
      </c>
      <c r="E138" s="16" t="s">
        <v>20</v>
      </c>
      <c r="F138" s="31">
        <v>0</v>
      </c>
      <c r="G138" s="16" t="s">
        <v>237</v>
      </c>
      <c r="H138" s="16" t="s">
        <v>54</v>
      </c>
      <c r="I138" s="16" t="s">
        <v>55</v>
      </c>
      <c r="J138" s="30"/>
      <c r="K138" s="30"/>
      <c r="L138" s="13">
        <f t="shared" si="2"/>
        <v>0</v>
      </c>
      <c r="M138" s="16"/>
      <c r="N138" s="17"/>
      <c r="O138" s="17"/>
      <c r="P138" s="16" t="s">
        <v>235</v>
      </c>
    </row>
    <row r="139" spans="1:16" ht="30">
      <c r="A139" s="16" t="s">
        <v>51</v>
      </c>
      <c r="B139" s="16" t="s">
        <v>275</v>
      </c>
      <c r="C139" s="16" t="s">
        <v>28</v>
      </c>
      <c r="D139" s="16" t="s">
        <v>58</v>
      </c>
      <c r="E139" s="16" t="s">
        <v>20</v>
      </c>
      <c r="F139" s="31">
        <v>0</v>
      </c>
      <c r="G139" s="17"/>
      <c r="H139" s="17"/>
      <c r="I139" s="17"/>
      <c r="J139" s="30"/>
      <c r="K139" s="30"/>
      <c r="L139" s="13">
        <f t="shared" si="2"/>
        <v>0</v>
      </c>
      <c r="M139" s="16"/>
      <c r="N139" s="17"/>
      <c r="O139" s="17"/>
      <c r="P139" s="16" t="s">
        <v>235</v>
      </c>
    </row>
    <row r="140" spans="1:16" ht="30">
      <c r="A140" s="16" t="s">
        <v>51</v>
      </c>
      <c r="B140" s="16" t="s">
        <v>275</v>
      </c>
      <c r="C140" s="16" t="s">
        <v>29</v>
      </c>
      <c r="D140" s="16" t="s">
        <v>58</v>
      </c>
      <c r="E140" s="16" t="s">
        <v>20</v>
      </c>
      <c r="F140" s="31">
        <v>0</v>
      </c>
      <c r="G140" s="17"/>
      <c r="H140" s="17"/>
      <c r="I140" s="17"/>
      <c r="J140" s="30"/>
      <c r="K140" s="30"/>
      <c r="L140" s="13">
        <f t="shared" si="2"/>
        <v>0</v>
      </c>
      <c r="M140" s="16"/>
      <c r="N140" s="17"/>
      <c r="O140" s="17"/>
      <c r="P140" s="16" t="s">
        <v>235</v>
      </c>
    </row>
    <row r="141" spans="1:16" ht="30">
      <c r="A141" s="16" t="s">
        <v>51</v>
      </c>
      <c r="B141" s="16" t="s">
        <v>275</v>
      </c>
      <c r="C141" s="16" t="s">
        <v>30</v>
      </c>
      <c r="D141" s="16" t="s">
        <v>58</v>
      </c>
      <c r="E141" s="16" t="s">
        <v>20</v>
      </c>
      <c r="F141" s="31">
        <v>0</v>
      </c>
      <c r="G141" s="17"/>
      <c r="H141" s="17"/>
      <c r="I141" s="17"/>
      <c r="J141" s="30"/>
      <c r="K141" s="30"/>
      <c r="L141" s="13">
        <f t="shared" si="2"/>
        <v>0</v>
      </c>
      <c r="M141" s="16"/>
      <c r="N141" s="17"/>
      <c r="O141" s="17"/>
      <c r="P141" s="16" t="s">
        <v>235</v>
      </c>
    </row>
    <row r="142" spans="1:16" ht="30">
      <c r="A142" s="21" t="s">
        <v>51</v>
      </c>
      <c r="B142" s="15" t="s">
        <v>276</v>
      </c>
      <c r="C142" s="15" t="s">
        <v>18</v>
      </c>
      <c r="D142" s="15" t="s">
        <v>58</v>
      </c>
      <c r="E142" s="15" t="s">
        <v>20</v>
      </c>
      <c r="F142" s="29">
        <v>0</v>
      </c>
      <c r="G142" s="17"/>
      <c r="H142" s="17"/>
      <c r="I142" s="17"/>
      <c r="J142" s="30"/>
      <c r="K142" s="30"/>
      <c r="L142" s="13">
        <f t="shared" si="2"/>
        <v>0</v>
      </c>
      <c r="M142" s="15"/>
      <c r="N142" s="17"/>
      <c r="O142" s="17"/>
      <c r="P142" s="15" t="s">
        <v>235</v>
      </c>
    </row>
    <row r="143" spans="1:16" ht="45">
      <c r="A143" s="16" t="s">
        <v>51</v>
      </c>
      <c r="B143" s="16" t="s">
        <v>277</v>
      </c>
      <c r="C143" s="16" t="s">
        <v>22</v>
      </c>
      <c r="D143" s="16" t="s">
        <v>58</v>
      </c>
      <c r="E143" s="16" t="s">
        <v>20</v>
      </c>
      <c r="F143" s="31">
        <v>0</v>
      </c>
      <c r="G143" s="16" t="s">
        <v>237</v>
      </c>
      <c r="H143" s="16" t="s">
        <v>54</v>
      </c>
      <c r="I143" s="16" t="s">
        <v>55</v>
      </c>
      <c r="J143" s="30"/>
      <c r="K143" s="30"/>
      <c r="L143" s="13">
        <f t="shared" si="2"/>
        <v>0</v>
      </c>
      <c r="M143" s="16"/>
      <c r="N143" s="17"/>
      <c r="O143" s="17"/>
      <c r="P143" s="16" t="s">
        <v>235</v>
      </c>
    </row>
    <row r="144" spans="1:16" ht="30">
      <c r="A144" s="16" t="s">
        <v>51</v>
      </c>
      <c r="B144" s="16" t="s">
        <v>277</v>
      </c>
      <c r="C144" s="16" t="s">
        <v>28</v>
      </c>
      <c r="D144" s="16" t="s">
        <v>58</v>
      </c>
      <c r="E144" s="16" t="s">
        <v>20</v>
      </c>
      <c r="F144" s="31">
        <v>0</v>
      </c>
      <c r="G144" s="17"/>
      <c r="H144" s="17"/>
      <c r="I144" s="17"/>
      <c r="J144" s="30"/>
      <c r="K144" s="30"/>
      <c r="L144" s="13">
        <f t="shared" si="2"/>
        <v>0</v>
      </c>
      <c r="M144" s="16"/>
      <c r="N144" s="17"/>
      <c r="O144" s="17"/>
      <c r="P144" s="16" t="s">
        <v>235</v>
      </c>
    </row>
    <row r="145" spans="1:16" ht="30">
      <c r="A145" s="16" t="s">
        <v>51</v>
      </c>
      <c r="B145" s="16" t="s">
        <v>277</v>
      </c>
      <c r="C145" s="16" t="s">
        <v>29</v>
      </c>
      <c r="D145" s="16" t="s">
        <v>58</v>
      </c>
      <c r="E145" s="16" t="s">
        <v>20</v>
      </c>
      <c r="F145" s="31">
        <v>0</v>
      </c>
      <c r="G145" s="17"/>
      <c r="H145" s="17"/>
      <c r="I145" s="17"/>
      <c r="J145" s="30"/>
      <c r="K145" s="30"/>
      <c r="L145" s="13">
        <f t="shared" si="2"/>
        <v>0</v>
      </c>
      <c r="M145" s="16"/>
      <c r="N145" s="17"/>
      <c r="O145" s="17"/>
      <c r="P145" s="16" t="s">
        <v>235</v>
      </c>
    </row>
    <row r="146" spans="1:16" ht="30">
      <c r="A146" s="16" t="s">
        <v>51</v>
      </c>
      <c r="B146" s="16" t="s">
        <v>277</v>
      </c>
      <c r="C146" s="16" t="s">
        <v>30</v>
      </c>
      <c r="D146" s="16" t="s">
        <v>58</v>
      </c>
      <c r="E146" s="16" t="s">
        <v>20</v>
      </c>
      <c r="F146" s="31">
        <v>0</v>
      </c>
      <c r="G146" s="17"/>
      <c r="H146" s="17"/>
      <c r="I146" s="17"/>
      <c r="J146" s="30"/>
      <c r="K146" s="30"/>
      <c r="L146" s="13">
        <f t="shared" si="2"/>
        <v>0</v>
      </c>
      <c r="M146" s="16"/>
      <c r="N146" s="17"/>
      <c r="O146" s="17"/>
      <c r="P146" s="16" t="s">
        <v>235</v>
      </c>
    </row>
    <row r="147" spans="1:16" ht="30">
      <c r="A147" s="21" t="s">
        <v>16</v>
      </c>
      <c r="B147" s="13" t="s">
        <v>278</v>
      </c>
      <c r="C147" s="13" t="s">
        <v>18</v>
      </c>
      <c r="D147" s="13" t="s">
        <v>19</v>
      </c>
      <c r="E147" s="13" t="s">
        <v>20</v>
      </c>
      <c r="F147" s="22">
        <v>0</v>
      </c>
      <c r="G147" s="23"/>
      <c r="H147" s="23"/>
      <c r="I147" s="23"/>
      <c r="J147" s="24">
        <v>46113</v>
      </c>
      <c r="K147" s="24">
        <v>46379</v>
      </c>
      <c r="L147" s="13">
        <f t="shared" si="2"/>
        <v>191</v>
      </c>
      <c r="M147" s="13"/>
      <c r="N147" s="23"/>
      <c r="O147" s="23"/>
      <c r="P147" s="13" t="s">
        <v>77</v>
      </c>
    </row>
    <row r="148" spans="1:16" ht="45">
      <c r="A148" s="16" t="s">
        <v>16</v>
      </c>
      <c r="B148" s="14" t="s">
        <v>279</v>
      </c>
      <c r="C148" s="14" t="s">
        <v>22</v>
      </c>
      <c r="D148" s="14" t="s">
        <v>19</v>
      </c>
      <c r="E148" s="14" t="s">
        <v>20</v>
      </c>
      <c r="F148" s="25">
        <v>0</v>
      </c>
      <c r="G148" s="14" t="s">
        <v>23</v>
      </c>
      <c r="H148" s="14" t="s">
        <v>24</v>
      </c>
      <c r="I148" s="14" t="s">
        <v>25</v>
      </c>
      <c r="J148" s="26">
        <v>46113</v>
      </c>
      <c r="K148" s="24">
        <v>46188</v>
      </c>
      <c r="L148" s="13">
        <f t="shared" si="2"/>
        <v>54</v>
      </c>
      <c r="M148" s="14"/>
      <c r="N148" s="23"/>
      <c r="O148" s="14" t="s">
        <v>27</v>
      </c>
      <c r="P148" s="14" t="s">
        <v>77</v>
      </c>
    </row>
    <row r="149" spans="1:16" ht="30">
      <c r="A149" s="16" t="s">
        <v>16</v>
      </c>
      <c r="B149" s="14" t="s">
        <v>279</v>
      </c>
      <c r="C149" s="14" t="s">
        <v>28</v>
      </c>
      <c r="D149" s="14" t="s">
        <v>19</v>
      </c>
      <c r="E149" s="14" t="s">
        <v>20</v>
      </c>
      <c r="F149" s="25">
        <v>0</v>
      </c>
      <c r="G149" s="23"/>
      <c r="H149" s="23"/>
      <c r="I149" s="23"/>
      <c r="J149" s="24">
        <v>46310</v>
      </c>
      <c r="K149" s="24">
        <v>46379</v>
      </c>
      <c r="L149" s="13">
        <f t="shared" si="2"/>
        <v>50</v>
      </c>
      <c r="M149" s="14"/>
      <c r="N149" s="23"/>
      <c r="O149" s="14" t="s">
        <v>27</v>
      </c>
      <c r="P149" s="14" t="s">
        <v>77</v>
      </c>
    </row>
    <row r="150" spans="1:16" ht="30">
      <c r="A150" s="16" t="s">
        <v>16</v>
      </c>
      <c r="B150" s="14" t="s">
        <v>279</v>
      </c>
      <c r="C150" s="14" t="s">
        <v>29</v>
      </c>
      <c r="D150" s="14" t="s">
        <v>19</v>
      </c>
      <c r="E150" s="14" t="s">
        <v>20</v>
      </c>
      <c r="F150" s="25">
        <v>0</v>
      </c>
      <c r="G150" s="23"/>
      <c r="H150" s="23"/>
      <c r="I150" s="23"/>
      <c r="J150" s="27"/>
      <c r="K150" s="27"/>
      <c r="L150" s="13">
        <f t="shared" si="2"/>
        <v>0</v>
      </c>
      <c r="M150" s="14"/>
      <c r="N150" s="23"/>
      <c r="O150" s="23"/>
      <c r="P150" s="14" t="s">
        <v>77</v>
      </c>
    </row>
    <row r="151" spans="1:16" ht="30">
      <c r="A151" s="16" t="s">
        <v>16</v>
      </c>
      <c r="B151" s="14" t="s">
        <v>279</v>
      </c>
      <c r="C151" s="14" t="s">
        <v>30</v>
      </c>
      <c r="D151" s="14" t="s">
        <v>19</v>
      </c>
      <c r="E151" s="14" t="s">
        <v>20</v>
      </c>
      <c r="F151" s="25">
        <v>0</v>
      </c>
      <c r="G151" s="23"/>
      <c r="H151" s="23"/>
      <c r="I151" s="23"/>
      <c r="J151" s="27"/>
      <c r="K151" s="27"/>
      <c r="L151" s="13">
        <f t="shared" si="2"/>
        <v>0</v>
      </c>
      <c r="M151" s="14"/>
      <c r="N151" s="23"/>
      <c r="O151" s="23"/>
      <c r="P151" s="14" t="s">
        <v>77</v>
      </c>
    </row>
    <row r="152" spans="1:16" ht="30">
      <c r="A152" s="21" t="s">
        <v>39</v>
      </c>
      <c r="B152" s="13" t="s">
        <v>280</v>
      </c>
      <c r="C152" s="13" t="s">
        <v>18</v>
      </c>
      <c r="D152" s="13" t="s">
        <v>19</v>
      </c>
      <c r="E152" s="13" t="s">
        <v>20</v>
      </c>
      <c r="F152" s="22">
        <v>0</v>
      </c>
      <c r="G152" s="23"/>
      <c r="H152" s="23"/>
      <c r="I152" s="23"/>
      <c r="J152" s="24">
        <v>45931</v>
      </c>
      <c r="K152" s="24">
        <v>46203</v>
      </c>
      <c r="L152" s="13">
        <f t="shared" si="2"/>
        <v>195</v>
      </c>
      <c r="M152" s="13"/>
      <c r="N152" s="23"/>
      <c r="O152" s="23"/>
      <c r="P152" s="13" t="s">
        <v>281</v>
      </c>
    </row>
    <row r="153" spans="1:16" ht="45">
      <c r="A153" s="16" t="s">
        <v>39</v>
      </c>
      <c r="B153" s="14" t="s">
        <v>282</v>
      </c>
      <c r="C153" s="14" t="s">
        <v>22</v>
      </c>
      <c r="D153" s="14" t="s">
        <v>19</v>
      </c>
      <c r="E153" s="14" t="s">
        <v>20</v>
      </c>
      <c r="F153" s="25">
        <v>0</v>
      </c>
      <c r="G153" s="14" t="s">
        <v>35</v>
      </c>
      <c r="H153" s="14" t="s">
        <v>48</v>
      </c>
      <c r="I153" s="14" t="s">
        <v>50</v>
      </c>
      <c r="J153" s="26">
        <v>46034</v>
      </c>
      <c r="K153" s="26">
        <v>46111</v>
      </c>
      <c r="L153" s="13">
        <f t="shared" si="2"/>
        <v>56</v>
      </c>
      <c r="M153" s="14"/>
      <c r="N153" s="14" t="s">
        <v>43</v>
      </c>
      <c r="O153" s="14" t="s">
        <v>26</v>
      </c>
      <c r="P153" s="14" t="s">
        <v>281</v>
      </c>
    </row>
    <row r="154" spans="1:16" ht="30">
      <c r="A154" s="16" t="s">
        <v>39</v>
      </c>
      <c r="B154" s="14" t="s">
        <v>282</v>
      </c>
      <c r="C154" s="14" t="s">
        <v>28</v>
      </c>
      <c r="D154" s="14" t="s">
        <v>19</v>
      </c>
      <c r="E154" s="14" t="s">
        <v>20</v>
      </c>
      <c r="F154" s="25">
        <v>0</v>
      </c>
      <c r="G154" s="23"/>
      <c r="H154" s="23"/>
      <c r="I154" s="23"/>
      <c r="J154" s="26">
        <v>46127</v>
      </c>
      <c r="K154" s="26">
        <v>46203</v>
      </c>
      <c r="L154" s="13">
        <f t="shared" si="2"/>
        <v>55</v>
      </c>
      <c r="M154" s="14"/>
      <c r="N154" s="23"/>
      <c r="O154" s="14" t="s">
        <v>27</v>
      </c>
      <c r="P154" s="14" t="s">
        <v>281</v>
      </c>
    </row>
    <row r="155" spans="1:16" ht="30">
      <c r="A155" s="16" t="s">
        <v>39</v>
      </c>
      <c r="B155" s="14" t="s">
        <v>282</v>
      </c>
      <c r="C155" s="14" t="s">
        <v>29</v>
      </c>
      <c r="D155" s="14" t="s">
        <v>19</v>
      </c>
      <c r="E155" s="14" t="s">
        <v>20</v>
      </c>
      <c r="F155" s="25">
        <v>0</v>
      </c>
      <c r="G155" s="23"/>
      <c r="H155" s="23"/>
      <c r="I155" s="23"/>
      <c r="J155" s="27"/>
      <c r="K155" s="27"/>
      <c r="L155" s="13">
        <f t="shared" si="2"/>
        <v>0</v>
      </c>
      <c r="M155" s="14"/>
      <c r="N155" s="23"/>
      <c r="O155" s="23"/>
      <c r="P155" s="14" t="s">
        <v>281</v>
      </c>
    </row>
    <row r="156" spans="1:16" ht="30">
      <c r="A156" s="16" t="s">
        <v>39</v>
      </c>
      <c r="B156" s="14" t="s">
        <v>282</v>
      </c>
      <c r="C156" s="14" t="s">
        <v>30</v>
      </c>
      <c r="D156" s="14" t="s">
        <v>19</v>
      </c>
      <c r="E156" s="14" t="s">
        <v>20</v>
      </c>
      <c r="F156" s="25">
        <v>0</v>
      </c>
      <c r="G156" s="23"/>
      <c r="H156" s="23"/>
      <c r="I156" s="23"/>
      <c r="J156" s="27"/>
      <c r="K156" s="27"/>
      <c r="L156" s="13">
        <f t="shared" si="2"/>
        <v>0</v>
      </c>
      <c r="M156" s="14"/>
      <c r="N156" s="23"/>
      <c r="O156" s="23"/>
      <c r="P156" s="14" t="s">
        <v>281</v>
      </c>
    </row>
    <row r="157" spans="1:16" ht="30">
      <c r="A157" s="21" t="s">
        <v>39</v>
      </c>
      <c r="B157" s="15" t="s">
        <v>283</v>
      </c>
      <c r="C157" s="15" t="s">
        <v>18</v>
      </c>
      <c r="D157" s="15" t="s">
        <v>33</v>
      </c>
      <c r="E157" s="15" t="s">
        <v>20</v>
      </c>
      <c r="F157" s="29">
        <v>0</v>
      </c>
      <c r="G157" s="17"/>
      <c r="H157" s="17"/>
      <c r="I157" s="17"/>
      <c r="J157" s="30"/>
      <c r="K157" s="33"/>
      <c r="L157" s="13"/>
      <c r="M157" s="33">
        <v>45918</v>
      </c>
      <c r="N157" s="17"/>
      <c r="O157" s="17"/>
      <c r="P157" s="15" t="s">
        <v>281</v>
      </c>
    </row>
    <row r="158" spans="1:16" ht="45">
      <c r="A158" s="16" t="s">
        <v>39</v>
      </c>
      <c r="B158" s="16" t="s">
        <v>284</v>
      </c>
      <c r="C158" s="16" t="s">
        <v>22</v>
      </c>
      <c r="D158" s="16" t="s">
        <v>33</v>
      </c>
      <c r="E158" s="16" t="s">
        <v>20</v>
      </c>
      <c r="F158" s="31">
        <v>0</v>
      </c>
      <c r="G158" s="16" t="s">
        <v>48</v>
      </c>
      <c r="H158" s="16" t="s">
        <v>48</v>
      </c>
      <c r="I158" s="16" t="s">
        <v>50</v>
      </c>
      <c r="J158" s="30"/>
      <c r="K158" s="30"/>
      <c r="L158" s="13">
        <f t="shared" si="2"/>
        <v>0</v>
      </c>
      <c r="M158" s="16"/>
      <c r="N158" s="17"/>
      <c r="O158" s="17"/>
      <c r="P158" s="16" t="s">
        <v>281</v>
      </c>
    </row>
    <row r="159" spans="1:16" ht="30">
      <c r="A159" s="16" t="s">
        <v>39</v>
      </c>
      <c r="B159" s="16" t="s">
        <v>284</v>
      </c>
      <c r="C159" s="16" t="s">
        <v>28</v>
      </c>
      <c r="D159" s="16" t="s">
        <v>33</v>
      </c>
      <c r="E159" s="16" t="s">
        <v>20</v>
      </c>
      <c r="F159" s="31">
        <v>0</v>
      </c>
      <c r="G159" s="17"/>
      <c r="H159" s="17"/>
      <c r="I159" s="17"/>
      <c r="J159" s="30"/>
      <c r="K159" s="30"/>
      <c r="L159" s="13">
        <f t="shared" si="2"/>
        <v>0</v>
      </c>
      <c r="M159" s="16"/>
      <c r="N159" s="17"/>
      <c r="O159" s="17"/>
      <c r="P159" s="16" t="s">
        <v>281</v>
      </c>
    </row>
    <row r="160" spans="1:16" ht="30">
      <c r="A160" s="16" t="s">
        <v>39</v>
      </c>
      <c r="B160" s="16" t="s">
        <v>284</v>
      </c>
      <c r="C160" s="16" t="s">
        <v>29</v>
      </c>
      <c r="D160" s="16" t="s">
        <v>33</v>
      </c>
      <c r="E160" s="16" t="s">
        <v>20</v>
      </c>
      <c r="F160" s="31">
        <v>0</v>
      </c>
      <c r="G160" s="17"/>
      <c r="H160" s="17"/>
      <c r="I160" s="17"/>
      <c r="J160" s="30"/>
      <c r="K160" s="30"/>
      <c r="L160" s="13">
        <f t="shared" si="2"/>
        <v>0</v>
      </c>
      <c r="M160" s="16"/>
      <c r="N160" s="17"/>
      <c r="O160" s="17"/>
      <c r="P160" s="16" t="s">
        <v>281</v>
      </c>
    </row>
    <row r="161" spans="1:16" ht="30">
      <c r="A161" s="16" t="s">
        <v>39</v>
      </c>
      <c r="B161" s="16" t="s">
        <v>284</v>
      </c>
      <c r="C161" s="16" t="s">
        <v>30</v>
      </c>
      <c r="D161" s="16" t="s">
        <v>33</v>
      </c>
      <c r="E161" s="16" t="s">
        <v>20</v>
      </c>
      <c r="F161" s="31">
        <v>0</v>
      </c>
      <c r="G161" s="17"/>
      <c r="H161" s="17"/>
      <c r="I161" s="17"/>
      <c r="J161" s="30"/>
      <c r="K161" s="30"/>
      <c r="L161" s="13">
        <f t="shared" si="2"/>
        <v>0</v>
      </c>
      <c r="M161" s="16"/>
      <c r="N161" s="17"/>
      <c r="O161" s="17"/>
      <c r="P161" s="16" t="s">
        <v>281</v>
      </c>
    </row>
    <row r="162" spans="1:16" ht="30">
      <c r="A162" s="21" t="s">
        <v>39</v>
      </c>
      <c r="B162" s="15" t="s">
        <v>285</v>
      </c>
      <c r="C162" s="15" t="s">
        <v>18</v>
      </c>
      <c r="D162" s="15" t="s">
        <v>33</v>
      </c>
      <c r="E162" s="15" t="s">
        <v>20</v>
      </c>
      <c r="F162" s="29">
        <v>0</v>
      </c>
      <c r="G162" s="17"/>
      <c r="H162" s="17"/>
      <c r="I162" s="17"/>
      <c r="J162" s="33">
        <v>45931</v>
      </c>
      <c r="K162" s="33">
        <v>46052</v>
      </c>
      <c r="L162" s="13">
        <f t="shared" si="2"/>
        <v>88</v>
      </c>
      <c r="M162" s="15"/>
      <c r="N162" s="17"/>
      <c r="O162" s="17"/>
      <c r="P162" s="15" t="s">
        <v>281</v>
      </c>
    </row>
    <row r="163" spans="1:16" ht="45">
      <c r="A163" s="16" t="s">
        <v>39</v>
      </c>
      <c r="B163" s="16" t="s">
        <v>286</v>
      </c>
      <c r="C163" s="16" t="s">
        <v>22</v>
      </c>
      <c r="D163" s="16" t="s">
        <v>33</v>
      </c>
      <c r="E163" s="16" t="s">
        <v>20</v>
      </c>
      <c r="F163" s="31">
        <v>0</v>
      </c>
      <c r="G163" s="16" t="s">
        <v>35</v>
      </c>
      <c r="H163" s="16" t="s">
        <v>79</v>
      </c>
      <c r="I163" s="16" t="s">
        <v>50</v>
      </c>
      <c r="J163" s="32">
        <v>45931</v>
      </c>
      <c r="K163" s="32">
        <v>46052</v>
      </c>
      <c r="L163" s="13">
        <f t="shared" si="2"/>
        <v>88</v>
      </c>
      <c r="M163" s="16"/>
      <c r="N163" s="16" t="s">
        <v>43</v>
      </c>
      <c r="O163" s="16" t="s">
        <v>108</v>
      </c>
      <c r="P163" s="16" t="s">
        <v>281</v>
      </c>
    </row>
    <row r="164" spans="1:16" ht="30">
      <c r="A164" s="16" t="s">
        <v>39</v>
      </c>
      <c r="B164" s="16" t="s">
        <v>286</v>
      </c>
      <c r="C164" s="16" t="s">
        <v>28</v>
      </c>
      <c r="D164" s="16" t="s">
        <v>33</v>
      </c>
      <c r="E164" s="16" t="s">
        <v>20</v>
      </c>
      <c r="F164" s="31">
        <v>0</v>
      </c>
      <c r="G164" s="17"/>
      <c r="H164" s="17"/>
      <c r="I164" s="17"/>
      <c r="J164" s="30"/>
      <c r="K164" s="30"/>
      <c r="L164" s="13">
        <f t="shared" si="2"/>
        <v>0</v>
      </c>
      <c r="M164" s="16"/>
      <c r="N164" s="17"/>
      <c r="O164" s="17"/>
      <c r="P164" s="16" t="s">
        <v>281</v>
      </c>
    </row>
    <row r="165" spans="1:16" ht="30">
      <c r="A165" s="16" t="s">
        <v>39</v>
      </c>
      <c r="B165" s="16" t="s">
        <v>286</v>
      </c>
      <c r="C165" s="16" t="s">
        <v>29</v>
      </c>
      <c r="D165" s="16" t="s">
        <v>33</v>
      </c>
      <c r="E165" s="16" t="s">
        <v>20</v>
      </c>
      <c r="F165" s="31">
        <v>0</v>
      </c>
      <c r="G165" s="17"/>
      <c r="H165" s="17"/>
      <c r="I165" s="17"/>
      <c r="J165" s="30"/>
      <c r="K165" s="30"/>
      <c r="L165" s="13">
        <f t="shared" si="2"/>
        <v>0</v>
      </c>
      <c r="M165" s="16"/>
      <c r="N165" s="17"/>
      <c r="O165" s="17"/>
      <c r="P165" s="16" t="s">
        <v>281</v>
      </c>
    </row>
    <row r="166" spans="1:16" ht="30">
      <c r="A166" s="16" t="s">
        <v>39</v>
      </c>
      <c r="B166" s="16" t="s">
        <v>286</v>
      </c>
      <c r="C166" s="16" t="s">
        <v>30</v>
      </c>
      <c r="D166" s="16" t="s">
        <v>33</v>
      </c>
      <c r="E166" s="16" t="s">
        <v>20</v>
      </c>
      <c r="F166" s="31">
        <v>0</v>
      </c>
      <c r="G166" s="17"/>
      <c r="H166" s="17"/>
      <c r="I166" s="17"/>
      <c r="J166" s="30"/>
      <c r="K166" s="30"/>
      <c r="L166" s="13">
        <f t="shared" si="2"/>
        <v>0</v>
      </c>
      <c r="M166" s="16"/>
      <c r="N166" s="17"/>
      <c r="O166" s="17"/>
      <c r="P166" s="16" t="s">
        <v>281</v>
      </c>
    </row>
    <row r="167" spans="1:16" ht="30">
      <c r="A167" s="21" t="s">
        <v>39</v>
      </c>
      <c r="B167" s="15" t="s">
        <v>287</v>
      </c>
      <c r="C167" s="15" t="s">
        <v>18</v>
      </c>
      <c r="D167" s="15" t="s">
        <v>58</v>
      </c>
      <c r="E167" s="15" t="s">
        <v>20</v>
      </c>
      <c r="F167" s="29">
        <v>0</v>
      </c>
      <c r="G167" s="17"/>
      <c r="H167" s="17"/>
      <c r="I167" s="17"/>
      <c r="J167" s="30"/>
      <c r="K167" s="33"/>
      <c r="L167" s="13"/>
      <c r="M167" s="15"/>
      <c r="N167" s="17"/>
      <c r="O167" s="17"/>
      <c r="P167" s="15" t="s">
        <v>281</v>
      </c>
    </row>
    <row r="168" spans="1:16" ht="45">
      <c r="A168" s="16" t="s">
        <v>39</v>
      </c>
      <c r="B168" s="16" t="s">
        <v>288</v>
      </c>
      <c r="C168" s="16" t="s">
        <v>22</v>
      </c>
      <c r="D168" s="16" t="s">
        <v>58</v>
      </c>
      <c r="E168" s="16" t="s">
        <v>20</v>
      </c>
      <c r="F168" s="31">
        <v>0</v>
      </c>
      <c r="G168" s="16" t="s">
        <v>35</v>
      </c>
      <c r="H168" s="16" t="s">
        <v>79</v>
      </c>
      <c r="I168" s="16" t="s">
        <v>50</v>
      </c>
      <c r="J168" s="30"/>
      <c r="K168" s="30"/>
      <c r="L168" s="13">
        <f t="shared" si="2"/>
        <v>0</v>
      </c>
      <c r="M168" s="16"/>
      <c r="N168" s="17"/>
      <c r="O168" s="17"/>
      <c r="P168" s="16" t="s">
        <v>281</v>
      </c>
    </row>
    <row r="169" spans="1:16" ht="30">
      <c r="A169" s="16" t="s">
        <v>39</v>
      </c>
      <c r="B169" s="16" t="s">
        <v>288</v>
      </c>
      <c r="C169" s="16" t="s">
        <v>28</v>
      </c>
      <c r="D169" s="16" t="s">
        <v>58</v>
      </c>
      <c r="E169" s="16" t="s">
        <v>20</v>
      </c>
      <c r="F169" s="31">
        <v>0</v>
      </c>
      <c r="G169" s="17"/>
      <c r="H169" s="17"/>
      <c r="I169" s="17"/>
      <c r="J169" s="30"/>
      <c r="K169" s="30"/>
      <c r="L169" s="13">
        <f t="shared" si="2"/>
        <v>0</v>
      </c>
      <c r="M169" s="16"/>
      <c r="N169" s="17"/>
      <c r="O169" s="17"/>
      <c r="P169" s="16" t="s">
        <v>281</v>
      </c>
    </row>
    <row r="170" spans="1:16" ht="30">
      <c r="A170" s="16" t="s">
        <v>39</v>
      </c>
      <c r="B170" s="16" t="s">
        <v>288</v>
      </c>
      <c r="C170" s="16" t="s">
        <v>29</v>
      </c>
      <c r="D170" s="16" t="s">
        <v>58</v>
      </c>
      <c r="E170" s="16" t="s">
        <v>20</v>
      </c>
      <c r="F170" s="31">
        <v>0</v>
      </c>
      <c r="G170" s="17"/>
      <c r="H170" s="17"/>
      <c r="I170" s="17"/>
      <c r="J170" s="30"/>
      <c r="K170" s="30"/>
      <c r="L170" s="13">
        <f t="shared" si="2"/>
        <v>0</v>
      </c>
      <c r="M170" s="16"/>
      <c r="N170" s="17"/>
      <c r="O170" s="17"/>
      <c r="P170" s="16" t="s">
        <v>281</v>
      </c>
    </row>
    <row r="171" spans="1:16" ht="30">
      <c r="A171" s="16" t="s">
        <v>39</v>
      </c>
      <c r="B171" s="16" t="s">
        <v>288</v>
      </c>
      <c r="C171" s="16" t="s">
        <v>30</v>
      </c>
      <c r="D171" s="16" t="s">
        <v>58</v>
      </c>
      <c r="E171" s="16" t="s">
        <v>20</v>
      </c>
      <c r="F171" s="31">
        <v>0</v>
      </c>
      <c r="G171" s="17"/>
      <c r="H171" s="17"/>
      <c r="I171" s="17"/>
      <c r="J171" s="30"/>
      <c r="K171" s="30"/>
      <c r="L171" s="13">
        <f t="shared" si="2"/>
        <v>0</v>
      </c>
      <c r="M171" s="16"/>
      <c r="N171" s="17"/>
      <c r="O171" s="17"/>
      <c r="P171" s="16" t="s">
        <v>281</v>
      </c>
    </row>
    <row r="172" spans="1:16" ht="30">
      <c r="A172" s="21" t="s">
        <v>39</v>
      </c>
      <c r="B172" s="15" t="s">
        <v>289</v>
      </c>
      <c r="C172" s="15" t="s">
        <v>18</v>
      </c>
      <c r="D172" s="15" t="s">
        <v>58</v>
      </c>
      <c r="E172" s="15" t="s">
        <v>20</v>
      </c>
      <c r="F172" s="29">
        <v>0</v>
      </c>
      <c r="G172" s="17"/>
      <c r="H172" s="17"/>
      <c r="I172" s="17"/>
      <c r="J172" s="30"/>
      <c r="K172" s="33"/>
      <c r="L172" s="13"/>
      <c r="M172" s="15"/>
      <c r="N172" s="17"/>
      <c r="O172" s="17"/>
      <c r="P172" s="15" t="s">
        <v>281</v>
      </c>
    </row>
    <row r="173" spans="1:16" ht="45">
      <c r="A173" s="16" t="s">
        <v>39</v>
      </c>
      <c r="B173" s="16" t="s">
        <v>290</v>
      </c>
      <c r="C173" s="16" t="s">
        <v>22</v>
      </c>
      <c r="D173" s="16" t="s">
        <v>58</v>
      </c>
      <c r="E173" s="16" t="s">
        <v>20</v>
      </c>
      <c r="F173" s="31">
        <v>0</v>
      </c>
      <c r="G173" s="16" t="s">
        <v>35</v>
      </c>
      <c r="H173" s="16" t="s">
        <v>79</v>
      </c>
      <c r="I173" s="16" t="s">
        <v>50</v>
      </c>
      <c r="J173" s="30"/>
      <c r="K173" s="30"/>
      <c r="L173" s="13">
        <f t="shared" si="2"/>
        <v>0</v>
      </c>
      <c r="M173" s="16"/>
      <c r="N173" s="17"/>
      <c r="O173" s="17"/>
      <c r="P173" s="16" t="s">
        <v>281</v>
      </c>
    </row>
    <row r="174" spans="1:16" ht="30">
      <c r="A174" s="16" t="s">
        <v>39</v>
      </c>
      <c r="B174" s="16" t="s">
        <v>290</v>
      </c>
      <c r="C174" s="16" t="s">
        <v>28</v>
      </c>
      <c r="D174" s="16" t="s">
        <v>58</v>
      </c>
      <c r="E174" s="16" t="s">
        <v>20</v>
      </c>
      <c r="F174" s="31">
        <v>0</v>
      </c>
      <c r="G174" s="17"/>
      <c r="H174" s="17"/>
      <c r="I174" s="17"/>
      <c r="J174" s="30"/>
      <c r="K174" s="30"/>
      <c r="L174" s="13">
        <f t="shared" si="2"/>
        <v>0</v>
      </c>
      <c r="M174" s="16"/>
      <c r="N174" s="17"/>
      <c r="O174" s="17"/>
      <c r="P174" s="16" t="s">
        <v>281</v>
      </c>
    </row>
    <row r="175" spans="1:16" ht="30">
      <c r="A175" s="16" t="s">
        <v>39</v>
      </c>
      <c r="B175" s="16" t="s">
        <v>290</v>
      </c>
      <c r="C175" s="16" t="s">
        <v>29</v>
      </c>
      <c r="D175" s="16" t="s">
        <v>58</v>
      </c>
      <c r="E175" s="16" t="s">
        <v>20</v>
      </c>
      <c r="F175" s="31">
        <v>0</v>
      </c>
      <c r="G175" s="17"/>
      <c r="H175" s="17"/>
      <c r="I175" s="17"/>
      <c r="J175" s="30"/>
      <c r="K175" s="30"/>
      <c r="L175" s="13">
        <f t="shared" si="2"/>
        <v>0</v>
      </c>
      <c r="M175" s="16"/>
      <c r="N175" s="17"/>
      <c r="O175" s="17"/>
      <c r="P175" s="16" t="s">
        <v>281</v>
      </c>
    </row>
    <row r="176" spans="1:16" ht="30">
      <c r="A176" s="16" t="s">
        <v>39</v>
      </c>
      <c r="B176" s="16" t="s">
        <v>290</v>
      </c>
      <c r="C176" s="16" t="s">
        <v>30</v>
      </c>
      <c r="D176" s="16" t="s">
        <v>58</v>
      </c>
      <c r="E176" s="16" t="s">
        <v>20</v>
      </c>
      <c r="F176" s="31">
        <v>0</v>
      </c>
      <c r="G176" s="17"/>
      <c r="H176" s="17"/>
      <c r="I176" s="17"/>
      <c r="J176" s="30"/>
      <c r="K176" s="30"/>
      <c r="L176" s="13">
        <f t="shared" si="2"/>
        <v>0</v>
      </c>
      <c r="M176" s="16"/>
      <c r="N176" s="17"/>
      <c r="O176" s="17"/>
      <c r="P176" s="16" t="s">
        <v>281</v>
      </c>
    </row>
    <row r="177" spans="1:16" ht="30">
      <c r="A177" s="21" t="s">
        <v>39</v>
      </c>
      <c r="B177" s="15" t="s">
        <v>291</v>
      </c>
      <c r="C177" s="15" t="s">
        <v>18</v>
      </c>
      <c r="D177" s="15" t="s">
        <v>33</v>
      </c>
      <c r="E177" s="15" t="s">
        <v>20</v>
      </c>
      <c r="F177" s="29">
        <v>0</v>
      </c>
      <c r="G177" s="17"/>
      <c r="H177" s="17"/>
      <c r="I177" s="17"/>
      <c r="J177" s="30"/>
      <c r="K177" s="30"/>
      <c r="L177" s="13">
        <f t="shared" si="2"/>
        <v>0</v>
      </c>
      <c r="M177" s="33">
        <v>45918</v>
      </c>
      <c r="N177" s="17"/>
      <c r="O177" s="17"/>
      <c r="P177" s="15" t="s">
        <v>281</v>
      </c>
    </row>
    <row r="178" spans="1:16" ht="45">
      <c r="A178" s="16" t="s">
        <v>39</v>
      </c>
      <c r="B178" s="16" t="s">
        <v>292</v>
      </c>
      <c r="C178" s="16" t="s">
        <v>22</v>
      </c>
      <c r="D178" s="16" t="s">
        <v>33</v>
      </c>
      <c r="E178" s="16" t="s">
        <v>20</v>
      </c>
      <c r="F178" s="31">
        <v>0</v>
      </c>
      <c r="G178" s="16" t="s">
        <v>35</v>
      </c>
      <c r="H178" s="16" t="s">
        <v>48</v>
      </c>
      <c r="I178" s="16" t="s">
        <v>50</v>
      </c>
      <c r="J178" s="30"/>
      <c r="K178" s="30"/>
      <c r="L178" s="13">
        <f t="shared" si="2"/>
        <v>0</v>
      </c>
      <c r="M178" s="16"/>
      <c r="N178" s="17"/>
      <c r="O178" s="17"/>
      <c r="P178" s="16" t="s">
        <v>281</v>
      </c>
    </row>
    <row r="179" spans="1:16" ht="30">
      <c r="A179" s="16" t="s">
        <v>39</v>
      </c>
      <c r="B179" s="16" t="s">
        <v>292</v>
      </c>
      <c r="C179" s="16" t="s">
        <v>28</v>
      </c>
      <c r="D179" s="16" t="s">
        <v>33</v>
      </c>
      <c r="E179" s="16" t="s">
        <v>20</v>
      </c>
      <c r="F179" s="31">
        <v>0</v>
      </c>
      <c r="G179" s="17"/>
      <c r="H179" s="17"/>
      <c r="I179" s="17"/>
      <c r="J179" s="30"/>
      <c r="K179" s="30"/>
      <c r="L179" s="13">
        <f t="shared" si="2"/>
        <v>0</v>
      </c>
      <c r="M179" s="16"/>
      <c r="N179" s="17"/>
      <c r="O179" s="17"/>
      <c r="P179" s="16" t="s">
        <v>281</v>
      </c>
    </row>
    <row r="180" spans="1:16" ht="30">
      <c r="A180" s="16" t="s">
        <v>39</v>
      </c>
      <c r="B180" s="16" t="s">
        <v>292</v>
      </c>
      <c r="C180" s="16" t="s">
        <v>29</v>
      </c>
      <c r="D180" s="16" t="s">
        <v>33</v>
      </c>
      <c r="E180" s="16" t="s">
        <v>20</v>
      </c>
      <c r="F180" s="31">
        <v>0</v>
      </c>
      <c r="G180" s="17"/>
      <c r="H180" s="17"/>
      <c r="I180" s="17"/>
      <c r="J180" s="30"/>
      <c r="K180" s="30"/>
      <c r="L180" s="13">
        <f t="shared" si="2"/>
        <v>0</v>
      </c>
      <c r="M180" s="16"/>
      <c r="N180" s="17"/>
      <c r="O180" s="17"/>
      <c r="P180" s="16" t="s">
        <v>281</v>
      </c>
    </row>
    <row r="181" spans="1:16" ht="30">
      <c r="A181" s="16" t="s">
        <v>39</v>
      </c>
      <c r="B181" s="16" t="s">
        <v>292</v>
      </c>
      <c r="C181" s="16" t="s">
        <v>30</v>
      </c>
      <c r="D181" s="16" t="s">
        <v>33</v>
      </c>
      <c r="E181" s="16" t="s">
        <v>20</v>
      </c>
      <c r="F181" s="31">
        <v>0</v>
      </c>
      <c r="G181" s="17"/>
      <c r="H181" s="17"/>
      <c r="I181" s="17"/>
      <c r="J181" s="30"/>
      <c r="K181" s="30"/>
      <c r="L181" s="13">
        <f t="shared" si="2"/>
        <v>0</v>
      </c>
      <c r="M181" s="16"/>
      <c r="N181" s="17"/>
      <c r="O181" s="17"/>
      <c r="P181" s="16" t="s">
        <v>281</v>
      </c>
    </row>
    <row r="182" spans="1:16" ht="30">
      <c r="A182" s="21" t="s">
        <v>39</v>
      </c>
      <c r="B182" s="15" t="s">
        <v>293</v>
      </c>
      <c r="C182" s="15" t="s">
        <v>18</v>
      </c>
      <c r="D182" s="15" t="s">
        <v>58</v>
      </c>
      <c r="E182" s="15" t="s">
        <v>20</v>
      </c>
      <c r="F182" s="29">
        <v>0</v>
      </c>
      <c r="G182" s="17"/>
      <c r="H182" s="17"/>
      <c r="I182" s="17"/>
      <c r="J182" s="30"/>
      <c r="K182" s="30"/>
      <c r="L182" s="13">
        <f t="shared" si="2"/>
        <v>0</v>
      </c>
      <c r="M182" s="33">
        <v>45918</v>
      </c>
      <c r="N182" s="17"/>
      <c r="O182" s="17"/>
      <c r="P182" s="15" t="s">
        <v>281</v>
      </c>
    </row>
    <row r="183" spans="1:16" ht="45">
      <c r="A183" s="16" t="s">
        <v>39</v>
      </c>
      <c r="B183" s="16" t="s">
        <v>294</v>
      </c>
      <c r="C183" s="16" t="s">
        <v>22</v>
      </c>
      <c r="D183" s="16" t="s">
        <v>58</v>
      </c>
      <c r="E183" s="16" t="s">
        <v>20</v>
      </c>
      <c r="F183" s="31">
        <v>0</v>
      </c>
      <c r="G183" s="16" t="s">
        <v>35</v>
      </c>
      <c r="H183" s="16" t="s">
        <v>48</v>
      </c>
      <c r="I183" s="16" t="s">
        <v>50</v>
      </c>
      <c r="J183" s="30"/>
      <c r="K183" s="30"/>
      <c r="L183" s="13">
        <f t="shared" si="2"/>
        <v>0</v>
      </c>
      <c r="M183" s="16"/>
      <c r="N183" s="17"/>
      <c r="O183" s="17"/>
      <c r="P183" s="16" t="s">
        <v>281</v>
      </c>
    </row>
    <row r="184" spans="1:16" ht="30">
      <c r="A184" s="16" t="s">
        <v>39</v>
      </c>
      <c r="B184" s="16" t="s">
        <v>294</v>
      </c>
      <c r="C184" s="16" t="s">
        <v>28</v>
      </c>
      <c r="D184" s="16" t="s">
        <v>58</v>
      </c>
      <c r="E184" s="16" t="s">
        <v>20</v>
      </c>
      <c r="F184" s="31">
        <v>0</v>
      </c>
      <c r="G184" s="17"/>
      <c r="H184" s="17"/>
      <c r="I184" s="17"/>
      <c r="J184" s="30"/>
      <c r="K184" s="30"/>
      <c r="L184" s="13">
        <f t="shared" si="2"/>
        <v>0</v>
      </c>
      <c r="M184" s="16"/>
      <c r="N184" s="17"/>
      <c r="O184" s="17"/>
      <c r="P184" s="16" t="s">
        <v>281</v>
      </c>
    </row>
    <row r="185" spans="1:16" ht="30">
      <c r="A185" s="16" t="s">
        <v>39</v>
      </c>
      <c r="B185" s="16" t="s">
        <v>294</v>
      </c>
      <c r="C185" s="16" t="s">
        <v>29</v>
      </c>
      <c r="D185" s="16" t="s">
        <v>58</v>
      </c>
      <c r="E185" s="16" t="s">
        <v>20</v>
      </c>
      <c r="F185" s="31">
        <v>0</v>
      </c>
      <c r="G185" s="17"/>
      <c r="H185" s="17"/>
      <c r="I185" s="17"/>
      <c r="J185" s="30"/>
      <c r="K185" s="30"/>
      <c r="L185" s="13">
        <f t="shared" si="2"/>
        <v>0</v>
      </c>
      <c r="M185" s="16"/>
      <c r="N185" s="17"/>
      <c r="O185" s="17"/>
      <c r="P185" s="16" t="s">
        <v>281</v>
      </c>
    </row>
    <row r="186" spans="1:16" ht="30">
      <c r="A186" s="16" t="s">
        <v>39</v>
      </c>
      <c r="B186" s="16" t="s">
        <v>294</v>
      </c>
      <c r="C186" s="16" t="s">
        <v>30</v>
      </c>
      <c r="D186" s="16" t="s">
        <v>58</v>
      </c>
      <c r="E186" s="16" t="s">
        <v>20</v>
      </c>
      <c r="F186" s="31">
        <v>0</v>
      </c>
      <c r="G186" s="17"/>
      <c r="H186" s="17"/>
      <c r="I186" s="17"/>
      <c r="J186" s="30"/>
      <c r="K186" s="30"/>
      <c r="L186" s="13">
        <f t="shared" si="2"/>
        <v>0</v>
      </c>
      <c r="M186" s="16"/>
      <c r="N186" s="17"/>
      <c r="O186" s="17"/>
      <c r="P186" s="16" t="s">
        <v>281</v>
      </c>
    </row>
    <row r="187" spans="1:16" ht="30">
      <c r="A187" s="21" t="s">
        <v>39</v>
      </c>
      <c r="B187" s="15" t="s">
        <v>295</v>
      </c>
      <c r="C187" s="15" t="s">
        <v>18</v>
      </c>
      <c r="D187" s="15" t="s">
        <v>58</v>
      </c>
      <c r="E187" s="15" t="s">
        <v>20</v>
      </c>
      <c r="F187" s="29">
        <v>0</v>
      </c>
      <c r="G187" s="17"/>
      <c r="H187" s="17"/>
      <c r="I187" s="17"/>
      <c r="J187" s="30"/>
      <c r="K187" s="30"/>
      <c r="L187" s="13">
        <f t="shared" si="2"/>
        <v>0</v>
      </c>
      <c r="M187" s="33">
        <v>45918</v>
      </c>
      <c r="N187" s="17"/>
      <c r="O187" s="17"/>
      <c r="P187" s="15" t="s">
        <v>281</v>
      </c>
    </row>
    <row r="188" spans="1:16" ht="45">
      <c r="A188" s="16" t="s">
        <v>39</v>
      </c>
      <c r="B188" s="16" t="s">
        <v>296</v>
      </c>
      <c r="C188" s="16" t="s">
        <v>22</v>
      </c>
      <c r="D188" s="16" t="s">
        <v>58</v>
      </c>
      <c r="E188" s="16" t="s">
        <v>20</v>
      </c>
      <c r="F188" s="31">
        <v>0</v>
      </c>
      <c r="G188" s="16" t="s">
        <v>35</v>
      </c>
      <c r="H188" s="16" t="s">
        <v>48</v>
      </c>
      <c r="I188" s="16" t="s">
        <v>50</v>
      </c>
      <c r="J188" s="30"/>
      <c r="K188" s="30"/>
      <c r="L188" s="13">
        <f t="shared" si="2"/>
        <v>0</v>
      </c>
      <c r="M188" s="16"/>
      <c r="N188" s="17"/>
      <c r="O188" s="17"/>
      <c r="P188" s="16" t="s">
        <v>281</v>
      </c>
    </row>
    <row r="189" spans="1:16" ht="30">
      <c r="A189" s="16" t="s">
        <v>39</v>
      </c>
      <c r="B189" s="16" t="s">
        <v>296</v>
      </c>
      <c r="C189" s="16" t="s">
        <v>28</v>
      </c>
      <c r="D189" s="16" t="s">
        <v>58</v>
      </c>
      <c r="E189" s="16" t="s">
        <v>20</v>
      </c>
      <c r="F189" s="31">
        <v>0</v>
      </c>
      <c r="G189" s="17"/>
      <c r="H189" s="17"/>
      <c r="I189" s="17"/>
      <c r="J189" s="30"/>
      <c r="K189" s="30"/>
      <c r="L189" s="13">
        <f t="shared" si="2"/>
        <v>0</v>
      </c>
      <c r="M189" s="16"/>
      <c r="N189" s="17"/>
      <c r="O189" s="17"/>
      <c r="P189" s="16" t="s">
        <v>281</v>
      </c>
    </row>
    <row r="190" spans="1:16" ht="30">
      <c r="A190" s="16" t="s">
        <v>39</v>
      </c>
      <c r="B190" s="16" t="s">
        <v>296</v>
      </c>
      <c r="C190" s="16" t="s">
        <v>29</v>
      </c>
      <c r="D190" s="16" t="s">
        <v>58</v>
      </c>
      <c r="E190" s="16" t="s">
        <v>20</v>
      </c>
      <c r="F190" s="31">
        <v>0</v>
      </c>
      <c r="G190" s="17"/>
      <c r="H190" s="17"/>
      <c r="I190" s="17"/>
      <c r="J190" s="30"/>
      <c r="K190" s="30"/>
      <c r="L190" s="13">
        <f t="shared" si="2"/>
        <v>0</v>
      </c>
      <c r="M190" s="16"/>
      <c r="N190" s="17"/>
      <c r="O190" s="17"/>
      <c r="P190" s="16" t="s">
        <v>281</v>
      </c>
    </row>
    <row r="191" spans="1:16" ht="30">
      <c r="A191" s="16" t="s">
        <v>39</v>
      </c>
      <c r="B191" s="16" t="s">
        <v>296</v>
      </c>
      <c r="C191" s="16" t="s">
        <v>30</v>
      </c>
      <c r="D191" s="16" t="s">
        <v>58</v>
      </c>
      <c r="E191" s="16" t="s">
        <v>20</v>
      </c>
      <c r="F191" s="31">
        <v>0</v>
      </c>
      <c r="G191" s="17"/>
      <c r="H191" s="17"/>
      <c r="I191" s="17"/>
      <c r="J191" s="30"/>
      <c r="K191" s="30"/>
      <c r="L191" s="13">
        <f t="shared" si="2"/>
        <v>0</v>
      </c>
      <c r="M191" s="16"/>
      <c r="N191" s="17"/>
      <c r="O191" s="17"/>
      <c r="P191" s="16" t="s">
        <v>281</v>
      </c>
    </row>
    <row r="192" spans="1:16" ht="30">
      <c r="A192" s="21" t="s">
        <v>39</v>
      </c>
      <c r="B192" s="15" t="s">
        <v>297</v>
      </c>
      <c r="C192" s="15" t="s">
        <v>18</v>
      </c>
      <c r="D192" s="15" t="s">
        <v>58</v>
      </c>
      <c r="E192" s="15" t="s">
        <v>20</v>
      </c>
      <c r="F192" s="29">
        <v>0</v>
      </c>
      <c r="G192" s="17"/>
      <c r="H192" s="17"/>
      <c r="I192" s="17"/>
      <c r="J192" s="30"/>
      <c r="K192" s="30"/>
      <c r="L192" s="13">
        <f t="shared" si="2"/>
        <v>0</v>
      </c>
      <c r="M192" s="33">
        <v>45918</v>
      </c>
      <c r="N192" s="17"/>
      <c r="O192" s="17"/>
      <c r="P192" s="15" t="s">
        <v>281</v>
      </c>
    </row>
    <row r="193" spans="1:16" ht="45">
      <c r="A193" s="16" t="s">
        <v>39</v>
      </c>
      <c r="B193" s="16" t="s">
        <v>298</v>
      </c>
      <c r="C193" s="16" t="s">
        <v>22</v>
      </c>
      <c r="D193" s="16" t="s">
        <v>58</v>
      </c>
      <c r="E193" s="16" t="s">
        <v>20</v>
      </c>
      <c r="F193" s="31">
        <v>0</v>
      </c>
      <c r="G193" s="16" t="s">
        <v>35</v>
      </c>
      <c r="H193" s="16" t="s">
        <v>48</v>
      </c>
      <c r="I193" s="16" t="s">
        <v>50</v>
      </c>
      <c r="J193" s="30"/>
      <c r="K193" s="30"/>
      <c r="L193" s="13">
        <f t="shared" si="2"/>
        <v>0</v>
      </c>
      <c r="M193" s="16"/>
      <c r="N193" s="17"/>
      <c r="O193" s="17"/>
      <c r="P193" s="16" t="s">
        <v>281</v>
      </c>
    </row>
    <row r="194" spans="1:16" ht="30">
      <c r="A194" s="16" t="s">
        <v>39</v>
      </c>
      <c r="B194" s="16" t="s">
        <v>298</v>
      </c>
      <c r="C194" s="16" t="s">
        <v>28</v>
      </c>
      <c r="D194" s="16" t="s">
        <v>58</v>
      </c>
      <c r="E194" s="16" t="s">
        <v>20</v>
      </c>
      <c r="F194" s="31">
        <v>0</v>
      </c>
      <c r="G194" s="17"/>
      <c r="H194" s="17"/>
      <c r="I194" s="17"/>
      <c r="J194" s="30"/>
      <c r="K194" s="30"/>
      <c r="L194" s="13">
        <f t="shared" si="2"/>
        <v>0</v>
      </c>
      <c r="M194" s="16"/>
      <c r="N194" s="17"/>
      <c r="O194" s="17"/>
      <c r="P194" s="16" t="s">
        <v>281</v>
      </c>
    </row>
    <row r="195" spans="1:16" ht="30">
      <c r="A195" s="16" t="s">
        <v>39</v>
      </c>
      <c r="B195" s="16" t="s">
        <v>298</v>
      </c>
      <c r="C195" s="16" t="s">
        <v>29</v>
      </c>
      <c r="D195" s="16" t="s">
        <v>58</v>
      </c>
      <c r="E195" s="16" t="s">
        <v>20</v>
      </c>
      <c r="F195" s="31">
        <v>0</v>
      </c>
      <c r="G195" s="17"/>
      <c r="H195" s="17"/>
      <c r="I195" s="17"/>
      <c r="J195" s="30"/>
      <c r="K195" s="30"/>
      <c r="L195" s="13">
        <f t="shared" si="2"/>
        <v>0</v>
      </c>
      <c r="M195" s="16"/>
      <c r="N195" s="17"/>
      <c r="O195" s="17"/>
      <c r="P195" s="16" t="s">
        <v>281</v>
      </c>
    </row>
    <row r="196" spans="1:16" ht="30">
      <c r="A196" s="16" t="s">
        <v>39</v>
      </c>
      <c r="B196" s="16" t="s">
        <v>298</v>
      </c>
      <c r="C196" s="16" t="s">
        <v>30</v>
      </c>
      <c r="D196" s="16" t="s">
        <v>58</v>
      </c>
      <c r="E196" s="16" t="s">
        <v>20</v>
      </c>
      <c r="F196" s="31">
        <v>0</v>
      </c>
      <c r="G196" s="17"/>
      <c r="H196" s="17"/>
      <c r="I196" s="17"/>
      <c r="J196" s="30"/>
      <c r="K196" s="30"/>
      <c r="L196" s="13">
        <f t="shared" ref="L196:L259" si="3">NETWORKDAYS(J196,K196)</f>
        <v>0</v>
      </c>
      <c r="M196" s="16"/>
      <c r="N196" s="17"/>
      <c r="O196" s="17"/>
      <c r="P196" s="16" t="s">
        <v>281</v>
      </c>
    </row>
    <row r="197" spans="1:16" ht="30">
      <c r="A197" s="21" t="s">
        <v>39</v>
      </c>
      <c r="B197" s="15" t="s">
        <v>299</v>
      </c>
      <c r="C197" s="15" t="s">
        <v>18</v>
      </c>
      <c r="D197" s="15" t="s">
        <v>58</v>
      </c>
      <c r="E197" s="15" t="s">
        <v>20</v>
      </c>
      <c r="F197" s="29">
        <v>0</v>
      </c>
      <c r="G197" s="17"/>
      <c r="H197" s="17"/>
      <c r="I197" s="17"/>
      <c r="J197" s="30"/>
      <c r="K197" s="30"/>
      <c r="L197" s="13">
        <f t="shared" si="3"/>
        <v>0</v>
      </c>
      <c r="M197" s="33">
        <v>45919</v>
      </c>
      <c r="N197" s="17"/>
      <c r="O197" s="17"/>
      <c r="P197" s="15" t="s">
        <v>281</v>
      </c>
    </row>
    <row r="198" spans="1:16" ht="45">
      <c r="A198" s="16" t="s">
        <v>39</v>
      </c>
      <c r="B198" s="16" t="s">
        <v>300</v>
      </c>
      <c r="C198" s="16" t="s">
        <v>22</v>
      </c>
      <c r="D198" s="16" t="s">
        <v>58</v>
      </c>
      <c r="E198" s="16" t="s">
        <v>20</v>
      </c>
      <c r="F198" s="31">
        <v>0</v>
      </c>
      <c r="G198" s="16" t="s">
        <v>35</v>
      </c>
      <c r="H198" s="16" t="s">
        <v>48</v>
      </c>
      <c r="I198" s="16" t="s">
        <v>50</v>
      </c>
      <c r="J198" s="30"/>
      <c r="K198" s="30"/>
      <c r="L198" s="13">
        <f t="shared" si="3"/>
        <v>0</v>
      </c>
      <c r="M198" s="16"/>
      <c r="N198" s="17"/>
      <c r="O198" s="17"/>
      <c r="P198" s="16" t="s">
        <v>281</v>
      </c>
    </row>
    <row r="199" spans="1:16" ht="30">
      <c r="A199" s="16" t="s">
        <v>39</v>
      </c>
      <c r="B199" s="16" t="s">
        <v>300</v>
      </c>
      <c r="C199" s="16" t="s">
        <v>28</v>
      </c>
      <c r="D199" s="16" t="s">
        <v>58</v>
      </c>
      <c r="E199" s="16" t="s">
        <v>20</v>
      </c>
      <c r="F199" s="31">
        <v>0</v>
      </c>
      <c r="G199" s="17"/>
      <c r="H199" s="17"/>
      <c r="I199" s="17"/>
      <c r="J199" s="30"/>
      <c r="K199" s="30"/>
      <c r="L199" s="13">
        <f t="shared" si="3"/>
        <v>0</v>
      </c>
      <c r="M199" s="16"/>
      <c r="N199" s="17"/>
      <c r="O199" s="17"/>
      <c r="P199" s="16" t="s">
        <v>281</v>
      </c>
    </row>
    <row r="200" spans="1:16" ht="30">
      <c r="A200" s="16" t="s">
        <v>39</v>
      </c>
      <c r="B200" s="16" t="s">
        <v>300</v>
      </c>
      <c r="C200" s="16" t="s">
        <v>29</v>
      </c>
      <c r="D200" s="16" t="s">
        <v>58</v>
      </c>
      <c r="E200" s="16" t="s">
        <v>20</v>
      </c>
      <c r="F200" s="31">
        <v>0</v>
      </c>
      <c r="G200" s="17"/>
      <c r="H200" s="17"/>
      <c r="I200" s="17"/>
      <c r="J200" s="30"/>
      <c r="K200" s="30"/>
      <c r="L200" s="13">
        <f t="shared" si="3"/>
        <v>0</v>
      </c>
      <c r="M200" s="16"/>
      <c r="N200" s="17"/>
      <c r="O200" s="17"/>
      <c r="P200" s="16" t="s">
        <v>281</v>
      </c>
    </row>
    <row r="201" spans="1:16" ht="30">
      <c r="A201" s="16" t="s">
        <v>39</v>
      </c>
      <c r="B201" s="16" t="s">
        <v>300</v>
      </c>
      <c r="C201" s="16" t="s">
        <v>30</v>
      </c>
      <c r="D201" s="16" t="s">
        <v>58</v>
      </c>
      <c r="E201" s="16" t="s">
        <v>20</v>
      </c>
      <c r="F201" s="31">
        <v>0</v>
      </c>
      <c r="G201" s="17"/>
      <c r="H201" s="17"/>
      <c r="I201" s="17"/>
      <c r="J201" s="30"/>
      <c r="K201" s="30"/>
      <c r="L201" s="13">
        <f t="shared" si="3"/>
        <v>0</v>
      </c>
      <c r="M201" s="16"/>
      <c r="N201" s="17"/>
      <c r="O201" s="17"/>
      <c r="P201" s="16" t="s">
        <v>281</v>
      </c>
    </row>
    <row r="202" spans="1:16" ht="30">
      <c r="A202" s="21" t="s">
        <v>39</v>
      </c>
      <c r="B202" s="15" t="s">
        <v>301</v>
      </c>
      <c r="C202" s="15" t="s">
        <v>18</v>
      </c>
      <c r="D202" s="15" t="s">
        <v>58</v>
      </c>
      <c r="E202" s="15" t="s">
        <v>20</v>
      </c>
      <c r="F202" s="29">
        <v>0</v>
      </c>
      <c r="G202" s="17"/>
      <c r="H202" s="17"/>
      <c r="I202" s="17"/>
      <c r="J202" s="30"/>
      <c r="K202" s="30"/>
      <c r="L202" s="13">
        <f t="shared" si="3"/>
        <v>0</v>
      </c>
      <c r="M202" s="33">
        <v>45918</v>
      </c>
      <c r="N202" s="17"/>
      <c r="O202" s="17"/>
      <c r="P202" s="15" t="s">
        <v>281</v>
      </c>
    </row>
    <row r="203" spans="1:16" ht="45">
      <c r="A203" s="16" t="s">
        <v>39</v>
      </c>
      <c r="B203" s="16" t="s">
        <v>302</v>
      </c>
      <c r="C203" s="16" t="s">
        <v>22</v>
      </c>
      <c r="D203" s="16" t="s">
        <v>58</v>
      </c>
      <c r="E203" s="16" t="s">
        <v>20</v>
      </c>
      <c r="F203" s="31">
        <v>0</v>
      </c>
      <c r="G203" s="16" t="s">
        <v>35</v>
      </c>
      <c r="H203" s="16" t="s">
        <v>48</v>
      </c>
      <c r="I203" s="16" t="s">
        <v>50</v>
      </c>
      <c r="J203" s="30"/>
      <c r="K203" s="30"/>
      <c r="L203" s="13">
        <f t="shared" si="3"/>
        <v>0</v>
      </c>
      <c r="M203" s="16"/>
      <c r="N203" s="17"/>
      <c r="O203" s="17"/>
      <c r="P203" s="16" t="s">
        <v>281</v>
      </c>
    </row>
    <row r="204" spans="1:16" ht="30">
      <c r="A204" s="16" t="s">
        <v>39</v>
      </c>
      <c r="B204" s="16" t="s">
        <v>302</v>
      </c>
      <c r="C204" s="16" t="s">
        <v>28</v>
      </c>
      <c r="D204" s="16" t="s">
        <v>58</v>
      </c>
      <c r="E204" s="16" t="s">
        <v>20</v>
      </c>
      <c r="F204" s="31">
        <v>0</v>
      </c>
      <c r="G204" s="17"/>
      <c r="H204" s="17"/>
      <c r="I204" s="17"/>
      <c r="J204" s="30"/>
      <c r="K204" s="30"/>
      <c r="L204" s="13">
        <f t="shared" si="3"/>
        <v>0</v>
      </c>
      <c r="M204" s="16"/>
      <c r="N204" s="17"/>
      <c r="O204" s="17"/>
      <c r="P204" s="16" t="s">
        <v>281</v>
      </c>
    </row>
    <row r="205" spans="1:16" ht="30">
      <c r="A205" s="16" t="s">
        <v>39</v>
      </c>
      <c r="B205" s="16" t="s">
        <v>302</v>
      </c>
      <c r="C205" s="16" t="s">
        <v>29</v>
      </c>
      <c r="D205" s="16" t="s">
        <v>58</v>
      </c>
      <c r="E205" s="16" t="s">
        <v>20</v>
      </c>
      <c r="F205" s="31">
        <v>0</v>
      </c>
      <c r="G205" s="17"/>
      <c r="H205" s="17"/>
      <c r="I205" s="17"/>
      <c r="J205" s="30"/>
      <c r="K205" s="30"/>
      <c r="L205" s="13">
        <f t="shared" si="3"/>
        <v>0</v>
      </c>
      <c r="M205" s="16"/>
      <c r="N205" s="17"/>
      <c r="O205" s="17"/>
      <c r="P205" s="16" t="s">
        <v>281</v>
      </c>
    </row>
    <row r="206" spans="1:16" ht="30">
      <c r="A206" s="16" t="s">
        <v>39</v>
      </c>
      <c r="B206" s="16" t="s">
        <v>302</v>
      </c>
      <c r="C206" s="16" t="s">
        <v>30</v>
      </c>
      <c r="D206" s="16" t="s">
        <v>58</v>
      </c>
      <c r="E206" s="16" t="s">
        <v>20</v>
      </c>
      <c r="F206" s="31">
        <v>0</v>
      </c>
      <c r="G206" s="17"/>
      <c r="H206" s="17"/>
      <c r="I206" s="17"/>
      <c r="J206" s="30"/>
      <c r="K206" s="30"/>
      <c r="L206" s="13">
        <f t="shared" si="3"/>
        <v>0</v>
      </c>
      <c r="M206" s="16"/>
      <c r="N206" s="17"/>
      <c r="O206" s="17"/>
      <c r="P206" s="16" t="s">
        <v>281</v>
      </c>
    </row>
    <row r="207" spans="1:16" ht="30">
      <c r="A207" s="21" t="s">
        <v>39</v>
      </c>
      <c r="B207" s="15" t="s">
        <v>303</v>
      </c>
      <c r="C207" s="15" t="s">
        <v>18</v>
      </c>
      <c r="D207" s="15" t="s">
        <v>58</v>
      </c>
      <c r="E207" s="15" t="s">
        <v>20</v>
      </c>
      <c r="F207" s="29">
        <v>0</v>
      </c>
      <c r="G207" s="17"/>
      <c r="H207" s="17"/>
      <c r="I207" s="17"/>
      <c r="J207" s="30"/>
      <c r="K207" s="30"/>
      <c r="L207" s="13">
        <f t="shared" si="3"/>
        <v>0</v>
      </c>
      <c r="M207" s="33">
        <v>45918</v>
      </c>
      <c r="N207" s="17"/>
      <c r="O207" s="17"/>
      <c r="P207" s="15" t="s">
        <v>281</v>
      </c>
    </row>
    <row r="208" spans="1:16" ht="45">
      <c r="A208" s="16" t="s">
        <v>39</v>
      </c>
      <c r="B208" s="16" t="s">
        <v>304</v>
      </c>
      <c r="C208" s="16" t="s">
        <v>22</v>
      </c>
      <c r="D208" s="16" t="s">
        <v>58</v>
      </c>
      <c r="E208" s="16" t="s">
        <v>20</v>
      </c>
      <c r="F208" s="31">
        <v>0</v>
      </c>
      <c r="G208" s="16" t="s">
        <v>35</v>
      </c>
      <c r="H208" s="16" t="s">
        <v>48</v>
      </c>
      <c r="I208" s="16" t="s">
        <v>50</v>
      </c>
      <c r="J208" s="30"/>
      <c r="K208" s="30"/>
      <c r="L208" s="13">
        <f t="shared" si="3"/>
        <v>0</v>
      </c>
      <c r="M208" s="16"/>
      <c r="N208" s="17"/>
      <c r="O208" s="17"/>
      <c r="P208" s="16" t="s">
        <v>281</v>
      </c>
    </row>
    <row r="209" spans="1:16" ht="30">
      <c r="A209" s="16" t="s">
        <v>39</v>
      </c>
      <c r="B209" s="16" t="s">
        <v>304</v>
      </c>
      <c r="C209" s="16" t="s">
        <v>28</v>
      </c>
      <c r="D209" s="16" t="s">
        <v>58</v>
      </c>
      <c r="E209" s="16" t="s">
        <v>20</v>
      </c>
      <c r="F209" s="31">
        <v>0</v>
      </c>
      <c r="G209" s="17"/>
      <c r="H209" s="17"/>
      <c r="I209" s="17"/>
      <c r="J209" s="30"/>
      <c r="K209" s="30"/>
      <c r="L209" s="13">
        <f t="shared" si="3"/>
        <v>0</v>
      </c>
      <c r="M209" s="16"/>
      <c r="N209" s="17"/>
      <c r="O209" s="17"/>
      <c r="P209" s="16" t="s">
        <v>281</v>
      </c>
    </row>
    <row r="210" spans="1:16" ht="30">
      <c r="A210" s="16" t="s">
        <v>39</v>
      </c>
      <c r="B210" s="16" t="s">
        <v>304</v>
      </c>
      <c r="C210" s="16" t="s">
        <v>29</v>
      </c>
      <c r="D210" s="16" t="s">
        <v>58</v>
      </c>
      <c r="E210" s="16" t="s">
        <v>20</v>
      </c>
      <c r="F210" s="31">
        <v>0</v>
      </c>
      <c r="G210" s="17"/>
      <c r="H210" s="17"/>
      <c r="I210" s="17"/>
      <c r="J210" s="30"/>
      <c r="K210" s="30"/>
      <c r="L210" s="13">
        <f t="shared" si="3"/>
        <v>0</v>
      </c>
      <c r="M210" s="16"/>
      <c r="N210" s="17"/>
      <c r="O210" s="17"/>
      <c r="P210" s="16" t="s">
        <v>281</v>
      </c>
    </row>
    <row r="211" spans="1:16" ht="30">
      <c r="A211" s="16" t="s">
        <v>39</v>
      </c>
      <c r="B211" s="16" t="s">
        <v>304</v>
      </c>
      <c r="C211" s="16" t="s">
        <v>30</v>
      </c>
      <c r="D211" s="16" t="s">
        <v>58</v>
      </c>
      <c r="E211" s="16" t="s">
        <v>20</v>
      </c>
      <c r="F211" s="31">
        <v>0</v>
      </c>
      <c r="G211" s="17"/>
      <c r="H211" s="17"/>
      <c r="I211" s="17"/>
      <c r="J211" s="30"/>
      <c r="K211" s="30"/>
      <c r="L211" s="13">
        <f t="shared" si="3"/>
        <v>0</v>
      </c>
      <c r="M211" s="16"/>
      <c r="N211" s="17"/>
      <c r="O211" s="17"/>
      <c r="P211" s="16" t="s">
        <v>281</v>
      </c>
    </row>
    <row r="212" spans="1:16" ht="30">
      <c r="A212" s="28" t="s">
        <v>94</v>
      </c>
      <c r="B212" s="13" t="s">
        <v>305</v>
      </c>
      <c r="C212" s="13" t="s">
        <v>18</v>
      </c>
      <c r="D212" s="13" t="s">
        <v>19</v>
      </c>
      <c r="E212" s="13" t="s">
        <v>20</v>
      </c>
      <c r="F212" s="22">
        <v>0</v>
      </c>
      <c r="G212" s="23"/>
      <c r="H212" s="23"/>
      <c r="I212" s="23"/>
      <c r="J212" s="24">
        <v>45931</v>
      </c>
      <c r="K212" s="24">
        <v>46173</v>
      </c>
      <c r="L212" s="13">
        <f t="shared" si="3"/>
        <v>173</v>
      </c>
      <c r="M212" s="13"/>
      <c r="N212" s="23"/>
      <c r="O212" s="23"/>
      <c r="P212" s="13" t="s">
        <v>306</v>
      </c>
    </row>
    <row r="213" spans="1:16" ht="45">
      <c r="A213" s="16" t="s">
        <v>94</v>
      </c>
      <c r="B213" s="14" t="s">
        <v>307</v>
      </c>
      <c r="C213" s="14" t="s">
        <v>22</v>
      </c>
      <c r="D213" s="14" t="s">
        <v>19</v>
      </c>
      <c r="E213" s="14" t="s">
        <v>20</v>
      </c>
      <c r="F213" s="25">
        <v>0</v>
      </c>
      <c r="G213" s="14" t="s">
        <v>308</v>
      </c>
      <c r="H213" s="14" t="s">
        <v>96</v>
      </c>
      <c r="I213" s="14" t="s">
        <v>97</v>
      </c>
      <c r="J213" s="27"/>
      <c r="K213" s="27"/>
      <c r="L213" s="13">
        <f t="shared" si="3"/>
        <v>0</v>
      </c>
      <c r="M213" s="14"/>
      <c r="N213" s="23"/>
      <c r="O213" s="23"/>
      <c r="P213" s="14" t="s">
        <v>306</v>
      </c>
    </row>
    <row r="214" spans="1:16" ht="30">
      <c r="A214" s="16" t="s">
        <v>94</v>
      </c>
      <c r="B214" s="14" t="s">
        <v>307</v>
      </c>
      <c r="C214" s="14" t="s">
        <v>28</v>
      </c>
      <c r="D214" s="14" t="s">
        <v>19</v>
      </c>
      <c r="E214" s="14" t="s">
        <v>20</v>
      </c>
      <c r="F214" s="25">
        <v>0</v>
      </c>
      <c r="G214" s="23"/>
      <c r="H214" s="23"/>
      <c r="I214" s="23"/>
      <c r="J214" s="27"/>
      <c r="K214" s="27"/>
      <c r="L214" s="13">
        <f t="shared" si="3"/>
        <v>0</v>
      </c>
      <c r="M214" s="14"/>
      <c r="N214" s="23"/>
      <c r="O214" s="23"/>
      <c r="P214" s="14" t="s">
        <v>306</v>
      </c>
    </row>
    <row r="215" spans="1:16" ht="30">
      <c r="A215" s="16" t="s">
        <v>94</v>
      </c>
      <c r="B215" s="14" t="s">
        <v>307</v>
      </c>
      <c r="C215" s="14" t="s">
        <v>29</v>
      </c>
      <c r="D215" s="14" t="s">
        <v>19</v>
      </c>
      <c r="E215" s="14" t="s">
        <v>20</v>
      </c>
      <c r="F215" s="25">
        <v>0</v>
      </c>
      <c r="G215" s="23"/>
      <c r="H215" s="23"/>
      <c r="I215" s="23"/>
      <c r="J215" s="27"/>
      <c r="K215" s="27"/>
      <c r="L215" s="13">
        <f t="shared" si="3"/>
        <v>0</v>
      </c>
      <c r="M215" s="14"/>
      <c r="N215" s="23"/>
      <c r="O215" s="23"/>
      <c r="P215" s="14" t="s">
        <v>306</v>
      </c>
    </row>
    <row r="216" spans="1:16" ht="30">
      <c r="A216" s="16" t="s">
        <v>94</v>
      </c>
      <c r="B216" s="14" t="s">
        <v>307</v>
      </c>
      <c r="C216" s="14" t="s">
        <v>30</v>
      </c>
      <c r="D216" s="14" t="s">
        <v>19</v>
      </c>
      <c r="E216" s="14" t="s">
        <v>20</v>
      </c>
      <c r="F216" s="25">
        <v>0</v>
      </c>
      <c r="G216" s="23"/>
      <c r="H216" s="23"/>
      <c r="I216" s="23"/>
      <c r="J216" s="27"/>
      <c r="K216" s="27"/>
      <c r="L216" s="13">
        <f t="shared" si="3"/>
        <v>0</v>
      </c>
      <c r="M216" s="14"/>
      <c r="N216" s="23"/>
      <c r="O216" s="23"/>
      <c r="P216" s="14" t="s">
        <v>306</v>
      </c>
    </row>
    <row r="217" spans="1:16" ht="30">
      <c r="A217" s="21" t="s">
        <v>94</v>
      </c>
      <c r="B217" s="15" t="s">
        <v>309</v>
      </c>
      <c r="C217" s="15" t="s">
        <v>18</v>
      </c>
      <c r="D217" s="15" t="s">
        <v>33</v>
      </c>
      <c r="E217" s="15" t="s">
        <v>20</v>
      </c>
      <c r="F217" s="29">
        <v>0</v>
      </c>
      <c r="G217" s="17"/>
      <c r="H217" s="17"/>
      <c r="I217" s="17"/>
      <c r="J217" s="33">
        <v>45946</v>
      </c>
      <c r="K217" s="33">
        <v>46081</v>
      </c>
      <c r="L217" s="13">
        <f t="shared" si="3"/>
        <v>97</v>
      </c>
      <c r="M217" s="15"/>
      <c r="N217" s="17"/>
      <c r="O217" s="17"/>
      <c r="P217" s="15" t="s">
        <v>306</v>
      </c>
    </row>
    <row r="218" spans="1:16" ht="45">
      <c r="A218" s="16" t="s">
        <v>94</v>
      </c>
      <c r="B218" s="16" t="s">
        <v>310</v>
      </c>
      <c r="C218" s="16" t="s">
        <v>22</v>
      </c>
      <c r="D218" s="16" t="s">
        <v>33</v>
      </c>
      <c r="E218" s="16" t="s">
        <v>20</v>
      </c>
      <c r="F218" s="31">
        <v>0</v>
      </c>
      <c r="G218" s="16" t="s">
        <v>308</v>
      </c>
      <c r="H218" s="16" t="s">
        <v>96</v>
      </c>
      <c r="I218" s="16" t="s">
        <v>97</v>
      </c>
      <c r="J218" s="33">
        <v>45946</v>
      </c>
      <c r="K218" s="33">
        <v>46022</v>
      </c>
      <c r="L218" s="13">
        <f t="shared" si="3"/>
        <v>55</v>
      </c>
      <c r="M218" s="16"/>
      <c r="N218" s="16" t="s">
        <v>43</v>
      </c>
      <c r="O218" s="16" t="s">
        <v>108</v>
      </c>
      <c r="P218" s="16" t="s">
        <v>306</v>
      </c>
    </row>
    <row r="219" spans="1:16" ht="30">
      <c r="A219" s="16" t="s">
        <v>94</v>
      </c>
      <c r="B219" s="16" t="s">
        <v>310</v>
      </c>
      <c r="C219" s="16" t="s">
        <v>28</v>
      </c>
      <c r="D219" s="16" t="s">
        <v>33</v>
      </c>
      <c r="E219" s="16" t="s">
        <v>20</v>
      </c>
      <c r="F219" s="31">
        <v>0</v>
      </c>
      <c r="G219" s="17"/>
      <c r="H219" s="17"/>
      <c r="I219" s="17"/>
      <c r="J219" s="30"/>
      <c r="K219" s="30"/>
      <c r="L219" s="13">
        <f t="shared" si="3"/>
        <v>0</v>
      </c>
      <c r="M219" s="16"/>
      <c r="N219" s="17"/>
      <c r="O219" s="17"/>
      <c r="P219" s="16" t="s">
        <v>306</v>
      </c>
    </row>
    <row r="220" spans="1:16" ht="30">
      <c r="A220" s="16" t="s">
        <v>94</v>
      </c>
      <c r="B220" s="16" t="s">
        <v>310</v>
      </c>
      <c r="C220" s="16" t="s">
        <v>29</v>
      </c>
      <c r="D220" s="16" t="s">
        <v>33</v>
      </c>
      <c r="E220" s="16" t="s">
        <v>20</v>
      </c>
      <c r="F220" s="31">
        <v>0</v>
      </c>
      <c r="G220" s="17"/>
      <c r="H220" s="17"/>
      <c r="I220" s="17"/>
      <c r="J220" s="33">
        <v>46023</v>
      </c>
      <c r="K220" s="33">
        <v>46081</v>
      </c>
      <c r="L220" s="13">
        <f t="shared" si="3"/>
        <v>42</v>
      </c>
      <c r="M220" s="16"/>
      <c r="N220" s="16" t="s">
        <v>43</v>
      </c>
      <c r="O220" s="16" t="s">
        <v>29</v>
      </c>
      <c r="P220" s="16" t="s">
        <v>306</v>
      </c>
    </row>
    <row r="221" spans="1:16" ht="30">
      <c r="A221" s="16" t="s">
        <v>94</v>
      </c>
      <c r="B221" s="16" t="s">
        <v>310</v>
      </c>
      <c r="C221" s="16" t="s">
        <v>30</v>
      </c>
      <c r="D221" s="16" t="s">
        <v>33</v>
      </c>
      <c r="E221" s="16" t="s">
        <v>20</v>
      </c>
      <c r="F221" s="31">
        <v>0</v>
      </c>
      <c r="G221" s="17"/>
      <c r="H221" s="17"/>
      <c r="I221" s="17"/>
      <c r="J221" s="30"/>
      <c r="K221" s="30"/>
      <c r="L221" s="13">
        <f t="shared" si="3"/>
        <v>0</v>
      </c>
      <c r="M221" s="16"/>
      <c r="N221" s="17"/>
      <c r="O221" s="17"/>
      <c r="P221" s="16" t="s">
        <v>306</v>
      </c>
    </row>
    <row r="222" spans="1:16" ht="30">
      <c r="A222" s="21" t="s">
        <v>94</v>
      </c>
      <c r="B222" s="15" t="s">
        <v>311</v>
      </c>
      <c r="C222" s="15" t="s">
        <v>18</v>
      </c>
      <c r="D222" s="15" t="s">
        <v>33</v>
      </c>
      <c r="E222" s="15" t="s">
        <v>20</v>
      </c>
      <c r="F222" s="29">
        <v>0</v>
      </c>
      <c r="G222" s="17"/>
      <c r="H222" s="17"/>
      <c r="I222" s="17"/>
      <c r="J222" s="33">
        <v>45946</v>
      </c>
      <c r="K222" s="33">
        <v>46142</v>
      </c>
      <c r="L222" s="13">
        <f t="shared" si="3"/>
        <v>141</v>
      </c>
      <c r="M222" s="15"/>
      <c r="N222" s="17"/>
      <c r="O222" s="17"/>
      <c r="P222" s="15" t="s">
        <v>306</v>
      </c>
    </row>
    <row r="223" spans="1:16" ht="45">
      <c r="A223" s="16" t="s">
        <v>94</v>
      </c>
      <c r="B223" s="16" t="s">
        <v>312</v>
      </c>
      <c r="C223" s="16" t="s">
        <v>22</v>
      </c>
      <c r="D223" s="16" t="s">
        <v>33</v>
      </c>
      <c r="E223" s="16" t="s">
        <v>20</v>
      </c>
      <c r="F223" s="31">
        <v>0</v>
      </c>
      <c r="G223" s="16" t="s">
        <v>308</v>
      </c>
      <c r="H223" s="16" t="s">
        <v>96</v>
      </c>
      <c r="I223" s="16" t="s">
        <v>97</v>
      </c>
      <c r="J223" s="33">
        <v>45946</v>
      </c>
      <c r="K223" s="33">
        <v>46053</v>
      </c>
      <c r="L223" s="13">
        <f t="shared" si="3"/>
        <v>77</v>
      </c>
      <c r="M223" s="16"/>
      <c r="N223" s="16" t="s">
        <v>43</v>
      </c>
      <c r="O223" s="16" t="s">
        <v>108</v>
      </c>
      <c r="P223" s="16" t="s">
        <v>306</v>
      </c>
    </row>
    <row r="224" spans="1:16" ht="30">
      <c r="A224" s="16" t="s">
        <v>94</v>
      </c>
      <c r="B224" s="16" t="s">
        <v>312</v>
      </c>
      <c r="C224" s="16" t="s">
        <v>28</v>
      </c>
      <c r="D224" s="16" t="s">
        <v>33</v>
      </c>
      <c r="E224" s="16" t="s">
        <v>20</v>
      </c>
      <c r="F224" s="31">
        <v>0</v>
      </c>
      <c r="G224" s="17"/>
      <c r="H224" s="17"/>
      <c r="I224" s="17"/>
      <c r="J224" s="33">
        <v>46055</v>
      </c>
      <c r="K224" s="33">
        <v>46142</v>
      </c>
      <c r="L224" s="13">
        <f t="shared" si="3"/>
        <v>64</v>
      </c>
      <c r="M224" s="16"/>
      <c r="N224" s="16" t="s">
        <v>43</v>
      </c>
      <c r="O224" s="16" t="s">
        <v>28</v>
      </c>
      <c r="P224" s="16" t="s">
        <v>306</v>
      </c>
    </row>
    <row r="225" spans="1:16" ht="30">
      <c r="A225" s="16" t="s">
        <v>94</v>
      </c>
      <c r="B225" s="16" t="s">
        <v>312</v>
      </c>
      <c r="C225" s="16" t="s">
        <v>29</v>
      </c>
      <c r="D225" s="16" t="s">
        <v>33</v>
      </c>
      <c r="E225" s="16" t="s">
        <v>20</v>
      </c>
      <c r="F225" s="31">
        <v>0</v>
      </c>
      <c r="G225" s="17"/>
      <c r="H225" s="17"/>
      <c r="I225" s="17"/>
      <c r="J225" s="30"/>
      <c r="K225" s="30"/>
      <c r="L225" s="13">
        <f t="shared" si="3"/>
        <v>0</v>
      </c>
      <c r="M225" s="16"/>
      <c r="N225" s="17"/>
      <c r="O225" s="17"/>
      <c r="P225" s="16" t="s">
        <v>306</v>
      </c>
    </row>
    <row r="226" spans="1:16" ht="30">
      <c r="A226" s="16" t="s">
        <v>94</v>
      </c>
      <c r="B226" s="16" t="s">
        <v>312</v>
      </c>
      <c r="C226" s="16" t="s">
        <v>30</v>
      </c>
      <c r="D226" s="16" t="s">
        <v>33</v>
      </c>
      <c r="E226" s="16" t="s">
        <v>20</v>
      </c>
      <c r="F226" s="31">
        <v>0</v>
      </c>
      <c r="G226" s="17"/>
      <c r="H226" s="17"/>
      <c r="I226" s="17"/>
      <c r="J226" s="30"/>
      <c r="K226" s="30"/>
      <c r="L226" s="13">
        <f t="shared" si="3"/>
        <v>0</v>
      </c>
      <c r="M226" s="16"/>
      <c r="N226" s="17"/>
      <c r="O226" s="17"/>
      <c r="P226" s="16" t="s">
        <v>306</v>
      </c>
    </row>
    <row r="227" spans="1:16" ht="30">
      <c r="A227" s="21" t="s">
        <v>94</v>
      </c>
      <c r="B227" s="15" t="s">
        <v>313</v>
      </c>
      <c r="C227" s="15" t="s">
        <v>18</v>
      </c>
      <c r="D227" s="15" t="s">
        <v>33</v>
      </c>
      <c r="E227" s="15" t="s">
        <v>20</v>
      </c>
      <c r="F227" s="29">
        <v>0</v>
      </c>
      <c r="G227" s="17"/>
      <c r="H227" s="17"/>
      <c r="I227" s="17"/>
      <c r="J227" s="33">
        <v>45946</v>
      </c>
      <c r="K227" s="33">
        <v>46173</v>
      </c>
      <c r="L227" s="13">
        <f t="shared" si="3"/>
        <v>162</v>
      </c>
      <c r="M227" s="15"/>
      <c r="N227" s="17"/>
      <c r="O227" s="17"/>
      <c r="P227" s="15" t="s">
        <v>306</v>
      </c>
    </row>
    <row r="228" spans="1:16" ht="45">
      <c r="A228" s="16" t="s">
        <v>94</v>
      </c>
      <c r="B228" s="16" t="s">
        <v>314</v>
      </c>
      <c r="C228" s="16" t="s">
        <v>22</v>
      </c>
      <c r="D228" s="16" t="s">
        <v>33</v>
      </c>
      <c r="E228" s="16" t="s">
        <v>20</v>
      </c>
      <c r="F228" s="31">
        <v>0</v>
      </c>
      <c r="G228" s="16" t="s">
        <v>308</v>
      </c>
      <c r="H228" s="16" t="s">
        <v>96</v>
      </c>
      <c r="I228" s="16" t="s">
        <v>97</v>
      </c>
      <c r="J228" s="33">
        <v>45946</v>
      </c>
      <c r="K228" s="33">
        <v>46112</v>
      </c>
      <c r="L228" s="13">
        <f t="shared" si="3"/>
        <v>119</v>
      </c>
      <c r="M228" s="16"/>
      <c r="N228" s="16" t="s">
        <v>43</v>
      </c>
      <c r="O228" s="16" t="s">
        <v>26</v>
      </c>
      <c r="P228" s="16" t="s">
        <v>306</v>
      </c>
    </row>
    <row r="229" spans="1:16" ht="30">
      <c r="A229" s="16" t="s">
        <v>94</v>
      </c>
      <c r="B229" s="16" t="s">
        <v>314</v>
      </c>
      <c r="C229" s="16" t="s">
        <v>28</v>
      </c>
      <c r="D229" s="16" t="s">
        <v>33</v>
      </c>
      <c r="E229" s="16" t="s">
        <v>20</v>
      </c>
      <c r="F229" s="31">
        <v>0</v>
      </c>
      <c r="G229" s="17"/>
      <c r="H229" s="17"/>
      <c r="I229" s="17"/>
      <c r="J229" s="30"/>
      <c r="K229" s="30"/>
      <c r="L229" s="13">
        <f t="shared" si="3"/>
        <v>0</v>
      </c>
      <c r="M229" s="16"/>
      <c r="N229" s="17"/>
      <c r="O229" s="17"/>
      <c r="P229" s="16" t="s">
        <v>306</v>
      </c>
    </row>
    <row r="230" spans="1:16" ht="30">
      <c r="A230" s="16" t="s">
        <v>94</v>
      </c>
      <c r="B230" s="16" t="s">
        <v>314</v>
      </c>
      <c r="C230" s="16" t="s">
        <v>29</v>
      </c>
      <c r="D230" s="16" t="s">
        <v>33</v>
      </c>
      <c r="E230" s="16" t="s">
        <v>20</v>
      </c>
      <c r="F230" s="31">
        <v>0</v>
      </c>
      <c r="G230" s="17"/>
      <c r="H230" s="17"/>
      <c r="I230" s="17"/>
      <c r="J230" s="33">
        <v>46113</v>
      </c>
      <c r="K230" s="33">
        <v>46173</v>
      </c>
      <c r="L230" s="13">
        <f t="shared" si="3"/>
        <v>43</v>
      </c>
      <c r="M230" s="16"/>
      <c r="N230" s="17"/>
      <c r="O230" s="16" t="s">
        <v>27</v>
      </c>
      <c r="P230" s="16" t="s">
        <v>306</v>
      </c>
    </row>
    <row r="231" spans="1:16" ht="30">
      <c r="A231" s="16" t="s">
        <v>94</v>
      </c>
      <c r="B231" s="16" t="s">
        <v>314</v>
      </c>
      <c r="C231" s="16" t="s">
        <v>30</v>
      </c>
      <c r="D231" s="16" t="s">
        <v>33</v>
      </c>
      <c r="E231" s="16" t="s">
        <v>20</v>
      </c>
      <c r="F231" s="31">
        <v>0</v>
      </c>
      <c r="G231" s="17"/>
      <c r="H231" s="17"/>
      <c r="I231" s="17"/>
      <c r="J231" s="30"/>
      <c r="K231" s="30"/>
      <c r="L231" s="13">
        <f t="shared" si="3"/>
        <v>0</v>
      </c>
      <c r="M231" s="16"/>
      <c r="N231" s="17"/>
      <c r="O231" s="17"/>
      <c r="P231" s="16" t="s">
        <v>306</v>
      </c>
    </row>
    <row r="232" spans="1:16" ht="30">
      <c r="A232" s="21" t="s">
        <v>94</v>
      </c>
      <c r="B232" s="15" t="s">
        <v>315</v>
      </c>
      <c r="C232" s="15" t="s">
        <v>18</v>
      </c>
      <c r="D232" s="15" t="s">
        <v>33</v>
      </c>
      <c r="E232" s="15" t="s">
        <v>20</v>
      </c>
      <c r="F232" s="29">
        <v>0</v>
      </c>
      <c r="G232" s="17"/>
      <c r="H232" s="17"/>
      <c r="I232" s="17"/>
      <c r="J232" s="33">
        <v>45946</v>
      </c>
      <c r="K232" s="33">
        <v>46112</v>
      </c>
      <c r="L232" s="13">
        <f t="shared" si="3"/>
        <v>119</v>
      </c>
      <c r="M232" s="15"/>
      <c r="N232" s="17"/>
      <c r="O232" s="17"/>
      <c r="P232" s="15" t="s">
        <v>306</v>
      </c>
    </row>
    <row r="233" spans="1:16" ht="45">
      <c r="A233" s="16" t="s">
        <v>94</v>
      </c>
      <c r="B233" s="16" t="s">
        <v>316</v>
      </c>
      <c r="C233" s="16" t="s">
        <v>22</v>
      </c>
      <c r="D233" s="16" t="s">
        <v>33</v>
      </c>
      <c r="E233" s="16" t="s">
        <v>20</v>
      </c>
      <c r="F233" s="31">
        <v>0</v>
      </c>
      <c r="G233" s="16" t="s">
        <v>308</v>
      </c>
      <c r="H233" s="16" t="s">
        <v>96</v>
      </c>
      <c r="I233" s="16" t="s">
        <v>97</v>
      </c>
      <c r="J233" s="33">
        <v>45946</v>
      </c>
      <c r="K233" s="33">
        <v>46068</v>
      </c>
      <c r="L233" s="13">
        <f t="shared" si="3"/>
        <v>87</v>
      </c>
      <c r="M233" s="16"/>
      <c r="N233" s="16" t="s">
        <v>43</v>
      </c>
      <c r="O233" s="16" t="s">
        <v>26</v>
      </c>
      <c r="P233" s="16" t="s">
        <v>306</v>
      </c>
    </row>
    <row r="234" spans="1:16" ht="30">
      <c r="A234" s="16" t="s">
        <v>94</v>
      </c>
      <c r="B234" s="16" t="s">
        <v>316</v>
      </c>
      <c r="C234" s="16" t="s">
        <v>28</v>
      </c>
      <c r="D234" s="16" t="s">
        <v>33</v>
      </c>
      <c r="E234" s="16" t="s">
        <v>20</v>
      </c>
      <c r="F234" s="31">
        <v>0</v>
      </c>
      <c r="G234" s="17"/>
      <c r="H234" s="17"/>
      <c r="I234" s="17"/>
      <c r="J234" s="30"/>
      <c r="K234" s="30"/>
      <c r="L234" s="13">
        <f t="shared" si="3"/>
        <v>0</v>
      </c>
      <c r="M234" s="16"/>
      <c r="N234" s="17"/>
      <c r="O234" s="17"/>
      <c r="P234" s="16" t="s">
        <v>306</v>
      </c>
    </row>
    <row r="235" spans="1:16" ht="30">
      <c r="A235" s="16" t="s">
        <v>94</v>
      </c>
      <c r="B235" s="16" t="s">
        <v>316</v>
      </c>
      <c r="C235" s="16" t="s">
        <v>29</v>
      </c>
      <c r="D235" s="16" t="s">
        <v>33</v>
      </c>
      <c r="E235" s="16" t="s">
        <v>20</v>
      </c>
      <c r="F235" s="31">
        <v>0</v>
      </c>
      <c r="G235" s="17"/>
      <c r="H235" s="17"/>
      <c r="I235" s="17"/>
      <c r="J235" s="33">
        <v>46069</v>
      </c>
      <c r="K235" s="33">
        <v>46112</v>
      </c>
      <c r="L235" s="13">
        <f t="shared" si="3"/>
        <v>32</v>
      </c>
      <c r="M235" s="16"/>
      <c r="N235" s="17"/>
      <c r="O235" s="16" t="s">
        <v>27</v>
      </c>
      <c r="P235" s="16" t="s">
        <v>306</v>
      </c>
    </row>
    <row r="236" spans="1:16" ht="30">
      <c r="A236" s="16" t="s">
        <v>94</v>
      </c>
      <c r="B236" s="16" t="s">
        <v>316</v>
      </c>
      <c r="C236" s="16" t="s">
        <v>30</v>
      </c>
      <c r="D236" s="16" t="s">
        <v>33</v>
      </c>
      <c r="E236" s="16" t="s">
        <v>20</v>
      </c>
      <c r="F236" s="31">
        <v>0</v>
      </c>
      <c r="G236" s="17"/>
      <c r="H236" s="17"/>
      <c r="I236" s="17"/>
      <c r="J236" s="30"/>
      <c r="K236" s="30"/>
      <c r="L236" s="13">
        <f t="shared" si="3"/>
        <v>0</v>
      </c>
      <c r="M236" s="16"/>
      <c r="N236" s="17"/>
      <c r="O236" s="17"/>
      <c r="P236" s="16" t="s">
        <v>306</v>
      </c>
    </row>
    <row r="237" spans="1:16" ht="30">
      <c r="A237" s="21" t="s">
        <v>94</v>
      </c>
      <c r="B237" s="15" t="s">
        <v>317</v>
      </c>
      <c r="C237" s="15" t="s">
        <v>18</v>
      </c>
      <c r="D237" s="15" t="s">
        <v>33</v>
      </c>
      <c r="E237" s="15" t="s">
        <v>20</v>
      </c>
      <c r="F237" s="29">
        <v>0</v>
      </c>
      <c r="G237" s="17"/>
      <c r="H237" s="17"/>
      <c r="I237" s="17"/>
      <c r="J237" s="33">
        <v>45931</v>
      </c>
      <c r="K237" s="33">
        <v>45931</v>
      </c>
      <c r="L237" s="13">
        <f t="shared" si="3"/>
        <v>1</v>
      </c>
      <c r="M237" s="15"/>
      <c r="N237" s="17"/>
      <c r="O237" s="17"/>
      <c r="P237" s="15" t="s">
        <v>306</v>
      </c>
    </row>
    <row r="238" spans="1:16" ht="45">
      <c r="A238" s="16" t="s">
        <v>94</v>
      </c>
      <c r="B238" s="16" t="s">
        <v>318</v>
      </c>
      <c r="C238" s="16" t="s">
        <v>22</v>
      </c>
      <c r="D238" s="16" t="s">
        <v>33</v>
      </c>
      <c r="E238" s="16" t="s">
        <v>20</v>
      </c>
      <c r="F238" s="31">
        <v>0</v>
      </c>
      <c r="G238" s="16" t="s">
        <v>308</v>
      </c>
      <c r="H238" s="16" t="s">
        <v>96</v>
      </c>
      <c r="I238" s="16" t="s">
        <v>97</v>
      </c>
      <c r="J238" s="30"/>
      <c r="K238" s="30"/>
      <c r="L238" s="13">
        <f t="shared" si="3"/>
        <v>0</v>
      </c>
      <c r="M238" s="16"/>
      <c r="N238" s="17"/>
      <c r="O238" s="17"/>
      <c r="P238" s="16" t="s">
        <v>306</v>
      </c>
    </row>
    <row r="239" spans="1:16" ht="30">
      <c r="A239" s="16" t="s">
        <v>94</v>
      </c>
      <c r="B239" s="16" t="s">
        <v>318</v>
      </c>
      <c r="C239" s="16" t="s">
        <v>28</v>
      </c>
      <c r="D239" s="16" t="s">
        <v>33</v>
      </c>
      <c r="E239" s="16" t="s">
        <v>20</v>
      </c>
      <c r="F239" s="31">
        <v>0</v>
      </c>
      <c r="G239" s="17"/>
      <c r="H239" s="17"/>
      <c r="I239" s="17"/>
      <c r="J239" s="30"/>
      <c r="K239" s="30"/>
      <c r="L239" s="13">
        <f t="shared" si="3"/>
        <v>0</v>
      </c>
      <c r="M239" s="16"/>
      <c r="N239" s="17"/>
      <c r="O239" s="17"/>
      <c r="P239" s="16" t="s">
        <v>306</v>
      </c>
    </row>
    <row r="240" spans="1:16" ht="30">
      <c r="A240" s="16" t="s">
        <v>94</v>
      </c>
      <c r="B240" s="16" t="s">
        <v>318</v>
      </c>
      <c r="C240" s="16" t="s">
        <v>29</v>
      </c>
      <c r="D240" s="16" t="s">
        <v>33</v>
      </c>
      <c r="E240" s="16" t="s">
        <v>20</v>
      </c>
      <c r="F240" s="31">
        <v>0</v>
      </c>
      <c r="G240" s="17"/>
      <c r="H240" s="17"/>
      <c r="I240" s="17"/>
      <c r="J240" s="30"/>
      <c r="K240" s="30"/>
      <c r="L240" s="13">
        <f t="shared" si="3"/>
        <v>0</v>
      </c>
      <c r="M240" s="16"/>
      <c r="N240" s="17"/>
      <c r="O240" s="17"/>
      <c r="P240" s="16" t="s">
        <v>306</v>
      </c>
    </row>
    <row r="241" spans="1:16" ht="30">
      <c r="A241" s="16" t="s">
        <v>94</v>
      </c>
      <c r="B241" s="16" t="s">
        <v>318</v>
      </c>
      <c r="C241" s="16" t="s">
        <v>30</v>
      </c>
      <c r="D241" s="16" t="s">
        <v>33</v>
      </c>
      <c r="E241" s="16" t="s">
        <v>20</v>
      </c>
      <c r="F241" s="31">
        <v>0</v>
      </c>
      <c r="G241" s="17"/>
      <c r="H241" s="17"/>
      <c r="I241" s="17"/>
      <c r="J241" s="30"/>
      <c r="K241" s="30"/>
      <c r="L241" s="13">
        <f t="shared" si="3"/>
        <v>0</v>
      </c>
      <c r="M241" s="16"/>
      <c r="N241" s="17"/>
      <c r="O241" s="17"/>
      <c r="P241" s="16" t="s">
        <v>306</v>
      </c>
    </row>
    <row r="242" spans="1:16" ht="30">
      <c r="A242" s="21" t="s">
        <v>94</v>
      </c>
      <c r="B242" s="15" t="s">
        <v>319</v>
      </c>
      <c r="C242" s="15" t="s">
        <v>18</v>
      </c>
      <c r="D242" s="15" t="s">
        <v>33</v>
      </c>
      <c r="E242" s="15" t="s">
        <v>20</v>
      </c>
      <c r="F242" s="29">
        <v>0</v>
      </c>
      <c r="G242" s="17"/>
      <c r="H242" s="17"/>
      <c r="I242" s="17"/>
      <c r="J242" s="30"/>
      <c r="K242" s="30"/>
      <c r="L242" s="13">
        <f t="shared" si="3"/>
        <v>0</v>
      </c>
      <c r="M242" s="15"/>
      <c r="N242" s="17"/>
      <c r="O242" s="17"/>
      <c r="P242" s="15" t="s">
        <v>306</v>
      </c>
    </row>
    <row r="243" spans="1:16" ht="45">
      <c r="A243" s="16" t="s">
        <v>94</v>
      </c>
      <c r="B243" s="16" t="s">
        <v>320</v>
      </c>
      <c r="C243" s="16" t="s">
        <v>22</v>
      </c>
      <c r="D243" s="16" t="s">
        <v>33</v>
      </c>
      <c r="E243" s="16" t="s">
        <v>20</v>
      </c>
      <c r="F243" s="31">
        <v>0</v>
      </c>
      <c r="G243" s="16" t="s">
        <v>308</v>
      </c>
      <c r="H243" s="16" t="s">
        <v>96</v>
      </c>
      <c r="I243" s="16" t="s">
        <v>97</v>
      </c>
      <c r="J243" s="30"/>
      <c r="K243" s="30"/>
      <c r="L243" s="13">
        <f t="shared" si="3"/>
        <v>0</v>
      </c>
      <c r="M243" s="16"/>
      <c r="N243" s="17"/>
      <c r="O243" s="17"/>
      <c r="P243" s="16" t="s">
        <v>306</v>
      </c>
    </row>
    <row r="244" spans="1:16" ht="30">
      <c r="A244" s="16" t="s">
        <v>94</v>
      </c>
      <c r="B244" s="16" t="s">
        <v>320</v>
      </c>
      <c r="C244" s="16" t="s">
        <v>28</v>
      </c>
      <c r="D244" s="16" t="s">
        <v>33</v>
      </c>
      <c r="E244" s="16" t="s">
        <v>20</v>
      </c>
      <c r="F244" s="31">
        <v>0</v>
      </c>
      <c r="G244" s="17"/>
      <c r="H244" s="17"/>
      <c r="I244" s="17"/>
      <c r="J244" s="30"/>
      <c r="K244" s="30"/>
      <c r="L244" s="13">
        <f t="shared" si="3"/>
        <v>0</v>
      </c>
      <c r="M244" s="16"/>
      <c r="N244" s="17"/>
      <c r="O244" s="17"/>
      <c r="P244" s="16" t="s">
        <v>306</v>
      </c>
    </row>
    <row r="245" spans="1:16" ht="30">
      <c r="A245" s="16" t="s">
        <v>94</v>
      </c>
      <c r="B245" s="16" t="s">
        <v>320</v>
      </c>
      <c r="C245" s="16" t="s">
        <v>29</v>
      </c>
      <c r="D245" s="16" t="s">
        <v>33</v>
      </c>
      <c r="E245" s="16" t="s">
        <v>20</v>
      </c>
      <c r="F245" s="31">
        <v>0</v>
      </c>
      <c r="G245" s="17"/>
      <c r="H245" s="17"/>
      <c r="I245" s="17"/>
      <c r="J245" s="30"/>
      <c r="K245" s="30"/>
      <c r="L245" s="13">
        <f t="shared" si="3"/>
        <v>0</v>
      </c>
      <c r="M245" s="16"/>
      <c r="N245" s="17"/>
      <c r="O245" s="17"/>
      <c r="P245" s="16" t="s">
        <v>306</v>
      </c>
    </row>
    <row r="246" spans="1:16" ht="30">
      <c r="A246" s="16" t="s">
        <v>94</v>
      </c>
      <c r="B246" s="16" t="s">
        <v>320</v>
      </c>
      <c r="C246" s="16" t="s">
        <v>30</v>
      </c>
      <c r="D246" s="16" t="s">
        <v>33</v>
      </c>
      <c r="E246" s="16" t="s">
        <v>20</v>
      </c>
      <c r="F246" s="31">
        <v>0</v>
      </c>
      <c r="G246" s="17"/>
      <c r="H246" s="17"/>
      <c r="I246" s="17"/>
      <c r="J246" s="30"/>
      <c r="K246" s="30"/>
      <c r="L246" s="13">
        <f t="shared" si="3"/>
        <v>0</v>
      </c>
      <c r="M246" s="16"/>
      <c r="N246" s="17"/>
      <c r="O246" s="17"/>
      <c r="P246" s="16" t="s">
        <v>306</v>
      </c>
    </row>
    <row r="247" spans="1:16">
      <c r="A247" s="28" t="s">
        <v>16</v>
      </c>
      <c r="B247" s="13" t="s">
        <v>321</v>
      </c>
      <c r="C247" s="13" t="s">
        <v>18</v>
      </c>
      <c r="D247" s="13" t="s">
        <v>19</v>
      </c>
      <c r="E247" s="13" t="s">
        <v>105</v>
      </c>
      <c r="F247" s="22">
        <v>0</v>
      </c>
      <c r="G247" s="23"/>
      <c r="H247" s="23"/>
      <c r="I247" s="23"/>
      <c r="J247" s="24">
        <v>45870</v>
      </c>
      <c r="K247" s="24">
        <v>46142</v>
      </c>
      <c r="L247" s="13">
        <f t="shared" si="3"/>
        <v>195</v>
      </c>
      <c r="M247" s="13"/>
      <c r="N247" s="23"/>
      <c r="O247" s="23"/>
      <c r="P247" s="13" t="s">
        <v>104</v>
      </c>
    </row>
    <row r="248" spans="1:16" ht="45">
      <c r="A248" s="16" t="s">
        <v>16</v>
      </c>
      <c r="B248" s="14" t="s">
        <v>322</v>
      </c>
      <c r="C248" s="14" t="s">
        <v>22</v>
      </c>
      <c r="D248" s="14" t="s">
        <v>19</v>
      </c>
      <c r="E248" s="14" t="s">
        <v>105</v>
      </c>
      <c r="F248" s="25">
        <v>0</v>
      </c>
      <c r="G248" s="14" t="s">
        <v>23</v>
      </c>
      <c r="H248" s="14" t="s">
        <v>106</v>
      </c>
      <c r="I248" s="14" t="s">
        <v>25</v>
      </c>
      <c r="J248" s="24">
        <v>45946</v>
      </c>
      <c r="K248" s="24">
        <v>45961</v>
      </c>
      <c r="L248" s="13">
        <f t="shared" si="3"/>
        <v>12</v>
      </c>
      <c r="M248" s="26">
        <v>46001</v>
      </c>
      <c r="N248" s="14" t="s">
        <v>43</v>
      </c>
      <c r="O248" s="14" t="s">
        <v>108</v>
      </c>
      <c r="P248" s="14" t="s">
        <v>104</v>
      </c>
    </row>
    <row r="249" spans="1:16">
      <c r="A249" s="16" t="s">
        <v>16</v>
      </c>
      <c r="B249" s="14" t="s">
        <v>322</v>
      </c>
      <c r="C249" s="14" t="s">
        <v>28</v>
      </c>
      <c r="D249" s="14" t="s">
        <v>19</v>
      </c>
      <c r="E249" s="14" t="s">
        <v>105</v>
      </c>
      <c r="F249" s="25">
        <v>0</v>
      </c>
      <c r="G249" s="23"/>
      <c r="H249" s="23"/>
      <c r="I249" s="23"/>
      <c r="J249" s="27"/>
      <c r="K249" s="27"/>
      <c r="L249" s="13">
        <f t="shared" si="3"/>
        <v>0</v>
      </c>
      <c r="M249" s="14"/>
      <c r="N249" s="23"/>
      <c r="O249" s="23"/>
      <c r="P249" s="14" t="s">
        <v>104</v>
      </c>
    </row>
    <row r="250" spans="1:16">
      <c r="A250" s="16" t="s">
        <v>16</v>
      </c>
      <c r="B250" s="14" t="s">
        <v>322</v>
      </c>
      <c r="C250" s="14" t="s">
        <v>29</v>
      </c>
      <c r="D250" s="14" t="s">
        <v>19</v>
      </c>
      <c r="E250" s="14" t="s">
        <v>105</v>
      </c>
      <c r="F250" s="25">
        <v>0</v>
      </c>
      <c r="G250" s="23"/>
      <c r="H250" s="23"/>
      <c r="I250" s="23"/>
      <c r="J250" s="24">
        <v>45964</v>
      </c>
      <c r="K250" s="24">
        <v>46112</v>
      </c>
      <c r="L250" s="13">
        <f t="shared" si="3"/>
        <v>107</v>
      </c>
      <c r="M250" s="14"/>
      <c r="N250" s="14" t="s">
        <v>43</v>
      </c>
      <c r="O250" s="14" t="s">
        <v>29</v>
      </c>
      <c r="P250" s="14" t="s">
        <v>104</v>
      </c>
    </row>
    <row r="251" spans="1:16">
      <c r="A251" s="16" t="s">
        <v>16</v>
      </c>
      <c r="B251" s="14" t="s">
        <v>322</v>
      </c>
      <c r="C251" s="14" t="s">
        <v>30</v>
      </c>
      <c r="D251" s="14" t="s">
        <v>19</v>
      </c>
      <c r="E251" s="14" t="s">
        <v>105</v>
      </c>
      <c r="F251" s="25">
        <v>0</v>
      </c>
      <c r="G251" s="23"/>
      <c r="H251" s="23"/>
      <c r="I251" s="23"/>
      <c r="J251" s="27"/>
      <c r="K251" s="27"/>
      <c r="L251" s="13">
        <f t="shared" si="3"/>
        <v>0</v>
      </c>
      <c r="M251" s="14"/>
      <c r="N251" s="23"/>
      <c r="O251" s="23"/>
      <c r="P251" s="14" t="s">
        <v>104</v>
      </c>
    </row>
    <row r="252" spans="1:16" ht="30">
      <c r="A252" s="21" t="s">
        <v>16</v>
      </c>
      <c r="B252" s="15" t="s">
        <v>323</v>
      </c>
      <c r="C252" s="15" t="s">
        <v>18</v>
      </c>
      <c r="D252" s="15" t="s">
        <v>33</v>
      </c>
      <c r="E252" s="15" t="s">
        <v>105</v>
      </c>
      <c r="F252" s="29">
        <v>0</v>
      </c>
      <c r="G252" s="17"/>
      <c r="H252" s="17"/>
      <c r="I252" s="17"/>
      <c r="J252" s="30"/>
      <c r="K252" s="30"/>
      <c r="L252" s="13">
        <f t="shared" si="3"/>
        <v>0</v>
      </c>
      <c r="M252" s="33">
        <v>45888</v>
      </c>
      <c r="N252" s="17"/>
      <c r="O252" s="17"/>
      <c r="P252" s="15" t="s">
        <v>104</v>
      </c>
    </row>
    <row r="253" spans="1:16" ht="45">
      <c r="A253" s="16" t="s">
        <v>16</v>
      </c>
      <c r="B253" s="16" t="s">
        <v>324</v>
      </c>
      <c r="C253" s="16" t="s">
        <v>22</v>
      </c>
      <c r="D253" s="16" t="s">
        <v>33</v>
      </c>
      <c r="E253" s="16" t="s">
        <v>105</v>
      </c>
      <c r="F253" s="31">
        <v>0</v>
      </c>
      <c r="G253" s="16" t="s">
        <v>23</v>
      </c>
      <c r="H253" s="16" t="s">
        <v>106</v>
      </c>
      <c r="I253" s="16" t="s">
        <v>25</v>
      </c>
      <c r="J253" s="30"/>
      <c r="K253" s="30"/>
      <c r="L253" s="13">
        <f t="shared" si="3"/>
        <v>0</v>
      </c>
      <c r="M253" s="16"/>
      <c r="N253" s="17"/>
      <c r="O253" s="17"/>
      <c r="P253" s="16" t="s">
        <v>104</v>
      </c>
    </row>
    <row r="254" spans="1:16" ht="30">
      <c r="A254" s="16" t="s">
        <v>16</v>
      </c>
      <c r="B254" s="16" t="s">
        <v>324</v>
      </c>
      <c r="C254" s="16" t="s">
        <v>28</v>
      </c>
      <c r="D254" s="16" t="s">
        <v>33</v>
      </c>
      <c r="E254" s="16" t="s">
        <v>105</v>
      </c>
      <c r="F254" s="31">
        <v>0</v>
      </c>
      <c r="G254" s="17"/>
      <c r="H254" s="17"/>
      <c r="I254" s="17"/>
      <c r="J254" s="30"/>
      <c r="K254" s="30"/>
      <c r="L254" s="13">
        <f t="shared" si="3"/>
        <v>0</v>
      </c>
      <c r="M254" s="16"/>
      <c r="N254" s="17"/>
      <c r="O254" s="17"/>
      <c r="P254" s="16" t="s">
        <v>104</v>
      </c>
    </row>
    <row r="255" spans="1:16" ht="30">
      <c r="A255" s="16" t="s">
        <v>16</v>
      </c>
      <c r="B255" s="16" t="s">
        <v>324</v>
      </c>
      <c r="C255" s="16" t="s">
        <v>29</v>
      </c>
      <c r="D255" s="16" t="s">
        <v>33</v>
      </c>
      <c r="E255" s="16" t="s">
        <v>105</v>
      </c>
      <c r="F255" s="31">
        <v>0</v>
      </c>
      <c r="G255" s="17"/>
      <c r="H255" s="17"/>
      <c r="I255" s="17"/>
      <c r="J255" s="30"/>
      <c r="K255" s="30"/>
      <c r="L255" s="13">
        <f t="shared" si="3"/>
        <v>0</v>
      </c>
      <c r="M255" s="16"/>
      <c r="N255" s="17"/>
      <c r="O255" s="17"/>
      <c r="P255" s="16" t="s">
        <v>104</v>
      </c>
    </row>
    <row r="256" spans="1:16" ht="30">
      <c r="A256" s="16" t="s">
        <v>16</v>
      </c>
      <c r="B256" s="16" t="s">
        <v>324</v>
      </c>
      <c r="C256" s="16" t="s">
        <v>30</v>
      </c>
      <c r="D256" s="16" t="s">
        <v>33</v>
      </c>
      <c r="E256" s="16" t="s">
        <v>105</v>
      </c>
      <c r="F256" s="31">
        <v>0</v>
      </c>
      <c r="G256" s="17"/>
      <c r="H256" s="17"/>
      <c r="I256" s="17"/>
      <c r="J256" s="30"/>
      <c r="K256" s="30"/>
      <c r="L256" s="13">
        <f t="shared" si="3"/>
        <v>0</v>
      </c>
      <c r="M256" s="16"/>
      <c r="N256" s="17"/>
      <c r="O256" s="17"/>
      <c r="P256" s="16" t="s">
        <v>104</v>
      </c>
    </row>
    <row r="257" spans="1:16">
      <c r="A257" s="28" t="s">
        <v>16</v>
      </c>
      <c r="B257" s="15" t="s">
        <v>325</v>
      </c>
      <c r="C257" s="15" t="s">
        <v>18</v>
      </c>
      <c r="D257" s="15" t="s">
        <v>33</v>
      </c>
      <c r="E257" s="15" t="s">
        <v>105</v>
      </c>
      <c r="F257" s="29">
        <v>0</v>
      </c>
      <c r="G257" s="17"/>
      <c r="H257" s="17"/>
      <c r="I257" s="17"/>
      <c r="J257" s="33">
        <v>45870</v>
      </c>
      <c r="K257" s="33">
        <v>46142</v>
      </c>
      <c r="L257" s="13">
        <f t="shared" si="3"/>
        <v>195</v>
      </c>
      <c r="M257" s="33">
        <v>46001</v>
      </c>
      <c r="N257" s="17"/>
      <c r="O257" s="17"/>
      <c r="P257" s="15" t="s">
        <v>104</v>
      </c>
    </row>
    <row r="258" spans="1:16" ht="45">
      <c r="A258" s="16" t="s">
        <v>16</v>
      </c>
      <c r="B258" s="16" t="s">
        <v>326</v>
      </c>
      <c r="C258" s="16" t="s">
        <v>22</v>
      </c>
      <c r="D258" s="16" t="s">
        <v>33</v>
      </c>
      <c r="E258" s="16" t="s">
        <v>105</v>
      </c>
      <c r="F258" s="31">
        <v>0</v>
      </c>
      <c r="G258" s="16" t="s">
        <v>23</v>
      </c>
      <c r="H258" s="16" t="s">
        <v>106</v>
      </c>
      <c r="I258" s="16" t="s">
        <v>25</v>
      </c>
      <c r="J258" s="30"/>
      <c r="K258" s="30"/>
      <c r="L258" s="13">
        <f t="shared" si="3"/>
        <v>0</v>
      </c>
      <c r="M258" s="16"/>
      <c r="N258" s="17"/>
      <c r="O258" s="17"/>
      <c r="P258" s="16" t="s">
        <v>104</v>
      </c>
    </row>
    <row r="259" spans="1:16">
      <c r="A259" s="16" t="s">
        <v>16</v>
      </c>
      <c r="B259" s="16" t="s">
        <v>326</v>
      </c>
      <c r="C259" s="16" t="s">
        <v>28</v>
      </c>
      <c r="D259" s="16" t="s">
        <v>33</v>
      </c>
      <c r="E259" s="16" t="s">
        <v>105</v>
      </c>
      <c r="F259" s="31">
        <v>0</v>
      </c>
      <c r="G259" s="17"/>
      <c r="H259" s="17"/>
      <c r="I259" s="17"/>
      <c r="J259" s="30"/>
      <c r="K259" s="30"/>
      <c r="L259" s="13">
        <f t="shared" si="3"/>
        <v>0</v>
      </c>
      <c r="M259" s="16"/>
      <c r="N259" s="17"/>
      <c r="O259" s="17"/>
      <c r="P259" s="16" t="s">
        <v>104</v>
      </c>
    </row>
    <row r="260" spans="1:16">
      <c r="A260" s="16" t="s">
        <v>16</v>
      </c>
      <c r="B260" s="16" t="s">
        <v>326</v>
      </c>
      <c r="C260" s="16" t="s">
        <v>29</v>
      </c>
      <c r="D260" s="16" t="s">
        <v>33</v>
      </c>
      <c r="E260" s="16" t="s">
        <v>105</v>
      </c>
      <c r="F260" s="31">
        <v>0</v>
      </c>
      <c r="G260" s="17"/>
      <c r="H260" s="17"/>
      <c r="I260" s="17"/>
      <c r="J260" s="30"/>
      <c r="K260" s="30"/>
      <c r="L260" s="13">
        <f t="shared" ref="L260:L323" si="4">NETWORKDAYS(J260,K260)</f>
        <v>0</v>
      </c>
      <c r="M260" s="16"/>
      <c r="N260" s="17"/>
      <c r="O260" s="17"/>
      <c r="P260" s="16" t="s">
        <v>104</v>
      </c>
    </row>
    <row r="261" spans="1:16">
      <c r="A261" s="16" t="s">
        <v>16</v>
      </c>
      <c r="B261" s="16" t="s">
        <v>326</v>
      </c>
      <c r="C261" s="16" t="s">
        <v>30</v>
      </c>
      <c r="D261" s="16" t="s">
        <v>33</v>
      </c>
      <c r="E261" s="16" t="s">
        <v>105</v>
      </c>
      <c r="F261" s="31">
        <v>0</v>
      </c>
      <c r="G261" s="17"/>
      <c r="H261" s="17"/>
      <c r="I261" s="17"/>
      <c r="J261" s="30"/>
      <c r="K261" s="30"/>
      <c r="L261" s="13">
        <f t="shared" si="4"/>
        <v>0</v>
      </c>
      <c r="M261" s="16"/>
      <c r="N261" s="17"/>
      <c r="O261" s="17"/>
      <c r="P261" s="16" t="s">
        <v>104</v>
      </c>
    </row>
    <row r="262" spans="1:16">
      <c r="A262" s="21" t="s">
        <v>16</v>
      </c>
      <c r="B262" s="15" t="s">
        <v>327</v>
      </c>
      <c r="C262" s="15" t="s">
        <v>18</v>
      </c>
      <c r="D262" s="15" t="s">
        <v>58</v>
      </c>
      <c r="E262" s="15" t="s">
        <v>105</v>
      </c>
      <c r="F262" s="29">
        <v>0</v>
      </c>
      <c r="G262" s="17"/>
      <c r="H262" s="17"/>
      <c r="I262" s="17"/>
      <c r="J262" s="33">
        <v>45870</v>
      </c>
      <c r="K262" s="33">
        <v>46142</v>
      </c>
      <c r="L262" s="13">
        <f t="shared" si="4"/>
        <v>195</v>
      </c>
      <c r="M262" s="15"/>
      <c r="N262" s="17"/>
      <c r="O262" s="17"/>
      <c r="P262" s="15" t="s">
        <v>104</v>
      </c>
    </row>
    <row r="263" spans="1:16" ht="45">
      <c r="A263" s="16" t="s">
        <v>16</v>
      </c>
      <c r="B263" s="16" t="s">
        <v>328</v>
      </c>
      <c r="C263" s="16" t="s">
        <v>22</v>
      </c>
      <c r="D263" s="16" t="s">
        <v>58</v>
      </c>
      <c r="E263" s="16" t="s">
        <v>105</v>
      </c>
      <c r="F263" s="31">
        <v>0</v>
      </c>
      <c r="G263" s="16" t="s">
        <v>23</v>
      </c>
      <c r="H263" s="16" t="s">
        <v>113</v>
      </c>
      <c r="I263" s="16" t="s">
        <v>25</v>
      </c>
      <c r="J263" s="33">
        <v>45870</v>
      </c>
      <c r="K263" s="33">
        <v>45945</v>
      </c>
      <c r="L263" s="13">
        <f t="shared" si="4"/>
        <v>54</v>
      </c>
      <c r="M263" s="16"/>
      <c r="N263" s="16" t="s">
        <v>43</v>
      </c>
      <c r="O263" s="16" t="s">
        <v>108</v>
      </c>
      <c r="P263" s="16" t="s">
        <v>104</v>
      </c>
    </row>
    <row r="264" spans="1:16">
      <c r="A264" s="16" t="s">
        <v>16</v>
      </c>
      <c r="B264" s="16" t="s">
        <v>328</v>
      </c>
      <c r="C264" s="16" t="s">
        <v>28</v>
      </c>
      <c r="D264" s="16" t="s">
        <v>58</v>
      </c>
      <c r="E264" s="16" t="s">
        <v>105</v>
      </c>
      <c r="F264" s="31">
        <v>0</v>
      </c>
      <c r="G264" s="17"/>
      <c r="H264" s="17"/>
      <c r="I264" s="17"/>
      <c r="J264" s="30"/>
      <c r="K264" s="30"/>
      <c r="L264" s="13">
        <f t="shared" si="4"/>
        <v>0</v>
      </c>
      <c r="M264" s="16"/>
      <c r="N264" s="17"/>
      <c r="O264" s="17"/>
      <c r="P264" s="16" t="s">
        <v>104</v>
      </c>
    </row>
    <row r="265" spans="1:16">
      <c r="A265" s="16" t="s">
        <v>16</v>
      </c>
      <c r="B265" s="16" t="s">
        <v>328</v>
      </c>
      <c r="C265" s="16" t="s">
        <v>29</v>
      </c>
      <c r="D265" s="16" t="s">
        <v>58</v>
      </c>
      <c r="E265" s="16" t="s">
        <v>105</v>
      </c>
      <c r="F265" s="31">
        <v>0</v>
      </c>
      <c r="G265" s="17"/>
      <c r="H265" s="17"/>
      <c r="I265" s="17"/>
      <c r="J265" s="33">
        <v>45946</v>
      </c>
      <c r="K265" s="33">
        <v>46142</v>
      </c>
      <c r="L265" s="13">
        <f t="shared" si="4"/>
        <v>141</v>
      </c>
      <c r="M265" s="16"/>
      <c r="N265" s="16" t="s">
        <v>43</v>
      </c>
      <c r="O265" s="16" t="s">
        <v>29</v>
      </c>
      <c r="P265" s="16" t="s">
        <v>104</v>
      </c>
    </row>
    <row r="266" spans="1:16">
      <c r="A266" s="16" t="s">
        <v>16</v>
      </c>
      <c r="B266" s="16" t="s">
        <v>328</v>
      </c>
      <c r="C266" s="16" t="s">
        <v>30</v>
      </c>
      <c r="D266" s="16" t="s">
        <v>58</v>
      </c>
      <c r="E266" s="16" t="s">
        <v>105</v>
      </c>
      <c r="F266" s="31">
        <v>0</v>
      </c>
      <c r="G266" s="17"/>
      <c r="H266" s="17"/>
      <c r="I266" s="17"/>
      <c r="J266" s="30"/>
      <c r="K266" s="30"/>
      <c r="L266" s="13">
        <f t="shared" si="4"/>
        <v>0</v>
      </c>
      <c r="M266" s="16"/>
      <c r="N266" s="17"/>
      <c r="O266" s="17"/>
      <c r="P266" s="16" t="s">
        <v>104</v>
      </c>
    </row>
    <row r="267" spans="1:16">
      <c r="A267" s="21" t="s">
        <v>16</v>
      </c>
      <c r="B267" s="15" t="s">
        <v>329</v>
      </c>
      <c r="C267" s="15" t="s">
        <v>18</v>
      </c>
      <c r="D267" s="15" t="s">
        <v>33</v>
      </c>
      <c r="E267" s="15" t="s">
        <v>105</v>
      </c>
      <c r="F267" s="29">
        <v>0</v>
      </c>
      <c r="G267" s="17"/>
      <c r="H267" s="17"/>
      <c r="I267" s="17"/>
      <c r="J267" s="30"/>
      <c r="K267" s="30"/>
      <c r="L267" s="13">
        <f t="shared" si="4"/>
        <v>0</v>
      </c>
      <c r="M267" s="33">
        <v>45888</v>
      </c>
      <c r="N267" s="17"/>
      <c r="O267" s="17"/>
      <c r="P267" s="15" t="s">
        <v>104</v>
      </c>
    </row>
    <row r="268" spans="1:16" ht="45">
      <c r="A268" s="16" t="s">
        <v>16</v>
      </c>
      <c r="B268" s="16" t="s">
        <v>330</v>
      </c>
      <c r="C268" s="16" t="s">
        <v>22</v>
      </c>
      <c r="D268" s="16" t="s">
        <v>33</v>
      </c>
      <c r="E268" s="16" t="s">
        <v>105</v>
      </c>
      <c r="F268" s="31">
        <v>0</v>
      </c>
      <c r="G268" s="16" t="s">
        <v>23</v>
      </c>
      <c r="H268" s="16" t="s">
        <v>106</v>
      </c>
      <c r="I268" s="16" t="s">
        <v>25</v>
      </c>
      <c r="J268" s="30"/>
      <c r="K268" s="30"/>
      <c r="L268" s="13">
        <f t="shared" si="4"/>
        <v>0</v>
      </c>
      <c r="M268" s="16"/>
      <c r="N268" s="17"/>
      <c r="O268" s="17"/>
      <c r="P268" s="16" t="s">
        <v>104</v>
      </c>
    </row>
    <row r="269" spans="1:16">
      <c r="A269" s="16" t="s">
        <v>16</v>
      </c>
      <c r="B269" s="16" t="s">
        <v>330</v>
      </c>
      <c r="C269" s="16" t="s">
        <v>28</v>
      </c>
      <c r="D269" s="16" t="s">
        <v>33</v>
      </c>
      <c r="E269" s="16" t="s">
        <v>105</v>
      </c>
      <c r="F269" s="31">
        <v>0</v>
      </c>
      <c r="G269" s="17"/>
      <c r="H269" s="17"/>
      <c r="I269" s="17"/>
      <c r="J269" s="30"/>
      <c r="K269" s="30"/>
      <c r="L269" s="13">
        <f t="shared" si="4"/>
        <v>0</v>
      </c>
      <c r="M269" s="16"/>
      <c r="N269" s="17"/>
      <c r="O269" s="17"/>
      <c r="P269" s="16" t="s">
        <v>104</v>
      </c>
    </row>
    <row r="270" spans="1:16">
      <c r="A270" s="16" t="s">
        <v>16</v>
      </c>
      <c r="B270" s="16" t="s">
        <v>330</v>
      </c>
      <c r="C270" s="16" t="s">
        <v>29</v>
      </c>
      <c r="D270" s="16" t="s">
        <v>33</v>
      </c>
      <c r="E270" s="16" t="s">
        <v>105</v>
      </c>
      <c r="F270" s="31">
        <v>0</v>
      </c>
      <c r="G270" s="17"/>
      <c r="H270" s="17"/>
      <c r="I270" s="17"/>
      <c r="J270" s="30"/>
      <c r="K270" s="30"/>
      <c r="L270" s="13">
        <f t="shared" si="4"/>
        <v>0</v>
      </c>
      <c r="M270" s="16"/>
      <c r="N270" s="17"/>
      <c r="O270" s="17"/>
      <c r="P270" s="16" t="s">
        <v>104</v>
      </c>
    </row>
    <row r="271" spans="1:16">
      <c r="A271" s="16" t="s">
        <v>16</v>
      </c>
      <c r="B271" s="16" t="s">
        <v>330</v>
      </c>
      <c r="C271" s="16" t="s">
        <v>30</v>
      </c>
      <c r="D271" s="16" t="s">
        <v>33</v>
      </c>
      <c r="E271" s="16" t="s">
        <v>105</v>
      </c>
      <c r="F271" s="31">
        <v>0</v>
      </c>
      <c r="G271" s="17"/>
      <c r="H271" s="17"/>
      <c r="I271" s="17"/>
      <c r="J271" s="30"/>
      <c r="K271" s="30"/>
      <c r="L271" s="13">
        <f t="shared" si="4"/>
        <v>0</v>
      </c>
      <c r="M271" s="16"/>
      <c r="N271" s="17"/>
      <c r="O271" s="17"/>
      <c r="P271" s="16" t="s">
        <v>104</v>
      </c>
    </row>
    <row r="272" spans="1:16">
      <c r="A272" s="21" t="s">
        <v>39</v>
      </c>
      <c r="B272" s="13" t="s">
        <v>331</v>
      </c>
      <c r="C272" s="13" t="s">
        <v>18</v>
      </c>
      <c r="D272" s="13" t="s">
        <v>19</v>
      </c>
      <c r="E272" s="13" t="s">
        <v>105</v>
      </c>
      <c r="F272" s="22">
        <v>0</v>
      </c>
      <c r="G272" s="23"/>
      <c r="H272" s="23"/>
      <c r="I272" s="23"/>
      <c r="J272" s="24">
        <v>45748</v>
      </c>
      <c r="K272" s="24">
        <v>46265</v>
      </c>
      <c r="L272" s="13">
        <f t="shared" si="4"/>
        <v>370</v>
      </c>
      <c r="M272" s="13"/>
      <c r="N272" s="23"/>
      <c r="O272" s="23"/>
      <c r="P272" s="13" t="s">
        <v>115</v>
      </c>
    </row>
    <row r="273" spans="1:16" ht="45">
      <c r="A273" s="16" t="s">
        <v>39</v>
      </c>
      <c r="B273" s="14" t="s">
        <v>332</v>
      </c>
      <c r="C273" s="14" t="s">
        <v>22</v>
      </c>
      <c r="D273" s="14" t="s">
        <v>19</v>
      </c>
      <c r="E273" s="14" t="s">
        <v>105</v>
      </c>
      <c r="F273" s="25">
        <v>0</v>
      </c>
      <c r="G273" s="14" t="s">
        <v>23</v>
      </c>
      <c r="H273" s="14" t="s">
        <v>116</v>
      </c>
      <c r="I273" s="14" t="s">
        <v>117</v>
      </c>
      <c r="J273" s="27"/>
      <c r="K273" s="27"/>
      <c r="L273" s="13">
        <f t="shared" si="4"/>
        <v>0</v>
      </c>
      <c r="M273" s="14"/>
      <c r="N273" s="23"/>
      <c r="O273" s="23"/>
      <c r="P273" s="14" t="s">
        <v>115</v>
      </c>
    </row>
    <row r="274" spans="1:16">
      <c r="A274" s="16" t="s">
        <v>39</v>
      </c>
      <c r="B274" s="14" t="s">
        <v>332</v>
      </c>
      <c r="C274" s="14" t="s">
        <v>28</v>
      </c>
      <c r="D274" s="14" t="s">
        <v>19</v>
      </c>
      <c r="E274" s="14" t="s">
        <v>105</v>
      </c>
      <c r="F274" s="25">
        <v>0</v>
      </c>
      <c r="G274" s="23"/>
      <c r="H274" s="23"/>
      <c r="I274" s="23"/>
      <c r="J274" s="27"/>
      <c r="K274" s="27"/>
      <c r="L274" s="13">
        <f t="shared" si="4"/>
        <v>0</v>
      </c>
      <c r="M274" s="14"/>
      <c r="N274" s="23"/>
      <c r="O274" s="23"/>
      <c r="P274" s="14" t="s">
        <v>115</v>
      </c>
    </row>
    <row r="275" spans="1:16">
      <c r="A275" s="16" t="s">
        <v>39</v>
      </c>
      <c r="B275" s="14" t="s">
        <v>332</v>
      </c>
      <c r="C275" s="14" t="s">
        <v>29</v>
      </c>
      <c r="D275" s="14" t="s">
        <v>19</v>
      </c>
      <c r="E275" s="14" t="s">
        <v>105</v>
      </c>
      <c r="F275" s="25">
        <v>0</v>
      </c>
      <c r="G275" s="23"/>
      <c r="H275" s="23"/>
      <c r="I275" s="23"/>
      <c r="J275" s="27"/>
      <c r="K275" s="27"/>
      <c r="L275" s="13">
        <f t="shared" si="4"/>
        <v>0</v>
      </c>
      <c r="M275" s="14"/>
      <c r="N275" s="23"/>
      <c r="O275" s="23"/>
      <c r="P275" s="14" t="s">
        <v>115</v>
      </c>
    </row>
    <row r="276" spans="1:16">
      <c r="A276" s="16" t="s">
        <v>39</v>
      </c>
      <c r="B276" s="14" t="s">
        <v>332</v>
      </c>
      <c r="C276" s="14" t="s">
        <v>30</v>
      </c>
      <c r="D276" s="14" t="s">
        <v>19</v>
      </c>
      <c r="E276" s="14" t="s">
        <v>105</v>
      </c>
      <c r="F276" s="25">
        <v>0</v>
      </c>
      <c r="G276" s="23"/>
      <c r="H276" s="23"/>
      <c r="I276" s="23"/>
      <c r="J276" s="27"/>
      <c r="K276" s="27"/>
      <c r="L276" s="13">
        <f t="shared" si="4"/>
        <v>0</v>
      </c>
      <c r="M276" s="14"/>
      <c r="N276" s="23"/>
      <c r="O276" s="23"/>
      <c r="P276" s="14" t="s">
        <v>115</v>
      </c>
    </row>
    <row r="277" spans="1:16">
      <c r="A277" s="21" t="s">
        <v>39</v>
      </c>
      <c r="B277" s="15" t="s">
        <v>333</v>
      </c>
      <c r="C277" s="15" t="s">
        <v>18</v>
      </c>
      <c r="D277" s="15" t="s">
        <v>33</v>
      </c>
      <c r="E277" s="15" t="s">
        <v>105</v>
      </c>
      <c r="F277" s="29">
        <v>0</v>
      </c>
      <c r="G277" s="17"/>
      <c r="H277" s="17"/>
      <c r="I277" s="17"/>
      <c r="J277" s="33">
        <v>45931</v>
      </c>
      <c r="K277" s="33">
        <v>46248</v>
      </c>
      <c r="L277" s="13">
        <f t="shared" si="4"/>
        <v>228</v>
      </c>
      <c r="M277" s="15"/>
      <c r="N277" s="17"/>
      <c r="O277" s="17"/>
      <c r="P277" s="15" t="s">
        <v>115</v>
      </c>
    </row>
    <row r="278" spans="1:16" ht="45">
      <c r="A278" s="16" t="s">
        <v>39</v>
      </c>
      <c r="B278" s="16" t="s">
        <v>334</v>
      </c>
      <c r="C278" s="16" t="s">
        <v>22</v>
      </c>
      <c r="D278" s="16" t="s">
        <v>33</v>
      </c>
      <c r="E278" s="16" t="s">
        <v>105</v>
      </c>
      <c r="F278" s="31">
        <v>0</v>
      </c>
      <c r="G278" s="16" t="s">
        <v>23</v>
      </c>
      <c r="H278" s="16" t="s">
        <v>116</v>
      </c>
      <c r="I278" s="16" t="s">
        <v>117</v>
      </c>
      <c r="J278" s="32">
        <v>46069</v>
      </c>
      <c r="K278" s="32">
        <v>46157</v>
      </c>
      <c r="L278" s="13">
        <f t="shared" si="4"/>
        <v>65</v>
      </c>
      <c r="M278" s="16"/>
      <c r="N278" s="17"/>
      <c r="O278" s="16" t="s">
        <v>27</v>
      </c>
      <c r="P278" s="16" t="s">
        <v>115</v>
      </c>
    </row>
    <row r="279" spans="1:16">
      <c r="A279" s="16" t="s">
        <v>39</v>
      </c>
      <c r="B279" s="16" t="s">
        <v>334</v>
      </c>
      <c r="C279" s="16" t="s">
        <v>28</v>
      </c>
      <c r="D279" s="16" t="s">
        <v>33</v>
      </c>
      <c r="E279" s="16" t="s">
        <v>105</v>
      </c>
      <c r="F279" s="31">
        <v>0</v>
      </c>
      <c r="G279" s="17"/>
      <c r="H279" s="17"/>
      <c r="I279" s="17"/>
      <c r="J279" s="32">
        <v>46160</v>
      </c>
      <c r="K279" s="32">
        <v>46248</v>
      </c>
      <c r="L279" s="13">
        <f t="shared" si="4"/>
        <v>65</v>
      </c>
      <c r="M279" s="16"/>
      <c r="N279" s="17"/>
      <c r="O279" s="16" t="s">
        <v>27</v>
      </c>
      <c r="P279" s="16" t="s">
        <v>115</v>
      </c>
    </row>
    <row r="280" spans="1:16">
      <c r="A280" s="16" t="s">
        <v>39</v>
      </c>
      <c r="B280" s="16" t="s">
        <v>334</v>
      </c>
      <c r="C280" s="16" t="s">
        <v>29</v>
      </c>
      <c r="D280" s="16" t="s">
        <v>33</v>
      </c>
      <c r="E280" s="16" t="s">
        <v>105</v>
      </c>
      <c r="F280" s="31">
        <v>0</v>
      </c>
      <c r="G280" s="17"/>
      <c r="H280" s="17"/>
      <c r="I280" s="17"/>
      <c r="J280" s="30"/>
      <c r="K280" s="30"/>
      <c r="L280" s="13">
        <f t="shared" si="4"/>
        <v>0</v>
      </c>
      <c r="M280" s="16"/>
      <c r="N280" s="17"/>
      <c r="O280" s="17"/>
      <c r="P280" s="16" t="s">
        <v>115</v>
      </c>
    </row>
    <row r="281" spans="1:16">
      <c r="A281" s="16" t="s">
        <v>39</v>
      </c>
      <c r="B281" s="16" t="s">
        <v>334</v>
      </c>
      <c r="C281" s="16" t="s">
        <v>30</v>
      </c>
      <c r="D281" s="16" t="s">
        <v>33</v>
      </c>
      <c r="E281" s="16" t="s">
        <v>105</v>
      </c>
      <c r="F281" s="31">
        <v>0</v>
      </c>
      <c r="G281" s="17"/>
      <c r="H281" s="17"/>
      <c r="I281" s="17"/>
      <c r="J281" s="30"/>
      <c r="K281" s="30"/>
      <c r="L281" s="13">
        <f t="shared" si="4"/>
        <v>0</v>
      </c>
      <c r="M281" s="16"/>
      <c r="N281" s="17"/>
      <c r="O281" s="17"/>
      <c r="P281" s="16" t="s">
        <v>115</v>
      </c>
    </row>
    <row r="282" spans="1:16">
      <c r="A282" s="21" t="s">
        <v>119</v>
      </c>
      <c r="B282" s="15" t="s">
        <v>335</v>
      </c>
      <c r="C282" s="15" t="s">
        <v>18</v>
      </c>
      <c r="D282" s="15" t="s">
        <v>58</v>
      </c>
      <c r="E282" s="15" t="s">
        <v>105</v>
      </c>
      <c r="F282" s="29">
        <v>0</v>
      </c>
      <c r="G282" s="17"/>
      <c r="H282" s="17"/>
      <c r="I282" s="17"/>
      <c r="J282" s="33">
        <v>46036</v>
      </c>
      <c r="K282" s="33">
        <v>46195</v>
      </c>
      <c r="L282" s="13">
        <f t="shared" si="4"/>
        <v>114</v>
      </c>
      <c r="M282" s="15"/>
      <c r="N282" s="17"/>
      <c r="O282" s="17"/>
      <c r="P282" s="15" t="s">
        <v>115</v>
      </c>
    </row>
    <row r="283" spans="1:16" ht="45">
      <c r="A283" s="16" t="s">
        <v>119</v>
      </c>
      <c r="B283" s="16" t="s">
        <v>336</v>
      </c>
      <c r="C283" s="16" t="s">
        <v>22</v>
      </c>
      <c r="D283" s="16" t="s">
        <v>58</v>
      </c>
      <c r="E283" s="16" t="s">
        <v>105</v>
      </c>
      <c r="F283" s="31">
        <v>0</v>
      </c>
      <c r="G283" s="16" t="s">
        <v>35</v>
      </c>
      <c r="H283" s="16" t="s">
        <v>121</v>
      </c>
      <c r="I283" s="16" t="s">
        <v>37</v>
      </c>
      <c r="J283" s="33">
        <v>46058</v>
      </c>
      <c r="K283" s="33">
        <v>46133</v>
      </c>
      <c r="L283" s="13">
        <f t="shared" si="4"/>
        <v>54</v>
      </c>
      <c r="M283" s="16"/>
      <c r="N283" s="16" t="s">
        <v>43</v>
      </c>
      <c r="O283" s="16" t="s">
        <v>26</v>
      </c>
      <c r="P283" s="16" t="s">
        <v>115</v>
      </c>
    </row>
    <row r="284" spans="1:16">
      <c r="A284" s="16" t="s">
        <v>119</v>
      </c>
      <c r="B284" s="16" t="s">
        <v>336</v>
      </c>
      <c r="C284" s="16" t="s">
        <v>28</v>
      </c>
      <c r="D284" s="16" t="s">
        <v>58</v>
      </c>
      <c r="E284" s="16" t="s">
        <v>105</v>
      </c>
      <c r="F284" s="31">
        <v>0</v>
      </c>
      <c r="G284" s="17"/>
      <c r="H284" s="17"/>
      <c r="I284" s="17"/>
      <c r="J284" s="32">
        <v>46134</v>
      </c>
      <c r="K284" s="32">
        <v>46195</v>
      </c>
      <c r="L284" s="13">
        <f t="shared" si="4"/>
        <v>44</v>
      </c>
      <c r="M284" s="16"/>
      <c r="N284" s="17"/>
      <c r="O284" s="16" t="s">
        <v>27</v>
      </c>
      <c r="P284" s="16" t="s">
        <v>115</v>
      </c>
    </row>
    <row r="285" spans="1:16">
      <c r="A285" s="16" t="s">
        <v>119</v>
      </c>
      <c r="B285" s="16" t="s">
        <v>336</v>
      </c>
      <c r="C285" s="16" t="s">
        <v>29</v>
      </c>
      <c r="D285" s="16" t="s">
        <v>58</v>
      </c>
      <c r="E285" s="16" t="s">
        <v>105</v>
      </c>
      <c r="F285" s="31">
        <v>0</v>
      </c>
      <c r="G285" s="17"/>
      <c r="H285" s="17"/>
      <c r="I285" s="17"/>
      <c r="J285" s="33">
        <v>46134</v>
      </c>
      <c r="K285" s="33">
        <v>46134</v>
      </c>
      <c r="L285" s="13">
        <f t="shared" si="4"/>
        <v>1</v>
      </c>
      <c r="M285" s="16"/>
      <c r="N285" s="17"/>
      <c r="O285" s="16" t="s">
        <v>27</v>
      </c>
      <c r="P285" s="16" t="s">
        <v>115</v>
      </c>
    </row>
    <row r="286" spans="1:16" ht="30">
      <c r="A286" s="16" t="s">
        <v>119</v>
      </c>
      <c r="B286" s="16" t="s">
        <v>336</v>
      </c>
      <c r="C286" s="16" t="s">
        <v>30</v>
      </c>
      <c r="D286" s="16" t="s">
        <v>58</v>
      </c>
      <c r="E286" s="16" t="s">
        <v>105</v>
      </c>
      <c r="F286" s="31">
        <v>0</v>
      </c>
      <c r="G286" s="17"/>
      <c r="H286" s="17"/>
      <c r="I286" s="17"/>
      <c r="J286" s="32">
        <v>46036</v>
      </c>
      <c r="K286" s="32">
        <v>46036</v>
      </c>
      <c r="L286" s="13">
        <f t="shared" si="4"/>
        <v>1</v>
      </c>
      <c r="M286" s="16"/>
      <c r="N286" s="16" t="s">
        <v>43</v>
      </c>
      <c r="O286" s="16" t="s">
        <v>226</v>
      </c>
      <c r="P286" s="16" t="s">
        <v>115</v>
      </c>
    </row>
    <row r="287" spans="1:16">
      <c r="A287" s="21" t="s">
        <v>119</v>
      </c>
      <c r="B287" s="15" t="s">
        <v>337</v>
      </c>
      <c r="C287" s="15" t="s">
        <v>18</v>
      </c>
      <c r="D287" s="15" t="s">
        <v>58</v>
      </c>
      <c r="E287" s="15" t="s">
        <v>105</v>
      </c>
      <c r="F287" s="29">
        <v>0</v>
      </c>
      <c r="G287" s="17"/>
      <c r="H287" s="17"/>
      <c r="I287" s="17"/>
      <c r="J287" s="33">
        <v>45931</v>
      </c>
      <c r="K287" s="33">
        <v>46142</v>
      </c>
      <c r="L287" s="13">
        <f t="shared" si="4"/>
        <v>152</v>
      </c>
      <c r="M287" s="33">
        <v>45944</v>
      </c>
      <c r="N287" s="17"/>
      <c r="O287" s="17"/>
      <c r="P287" s="15" t="s">
        <v>115</v>
      </c>
    </row>
    <row r="288" spans="1:16" ht="45">
      <c r="A288" s="16" t="s">
        <v>119</v>
      </c>
      <c r="B288" s="16" t="s">
        <v>338</v>
      </c>
      <c r="C288" s="16" t="s">
        <v>22</v>
      </c>
      <c r="D288" s="16" t="s">
        <v>58</v>
      </c>
      <c r="E288" s="16" t="s">
        <v>105</v>
      </c>
      <c r="F288" s="31">
        <v>0</v>
      </c>
      <c r="G288" s="16" t="s">
        <v>35</v>
      </c>
      <c r="H288" s="16" t="s">
        <v>124</v>
      </c>
      <c r="I288" s="16" t="s">
        <v>50</v>
      </c>
      <c r="J288" s="33">
        <v>45931</v>
      </c>
      <c r="K288" s="33">
        <v>46014</v>
      </c>
      <c r="L288" s="13">
        <f t="shared" si="4"/>
        <v>60</v>
      </c>
      <c r="M288" s="16"/>
      <c r="N288" s="16" t="s">
        <v>43</v>
      </c>
      <c r="O288" s="16" t="s">
        <v>108</v>
      </c>
      <c r="P288" s="16" t="s">
        <v>115</v>
      </c>
    </row>
    <row r="289" spans="1:16">
      <c r="A289" s="16" t="s">
        <v>119</v>
      </c>
      <c r="B289" s="16" t="s">
        <v>338</v>
      </c>
      <c r="C289" s="16" t="s">
        <v>28</v>
      </c>
      <c r="D289" s="16" t="s">
        <v>58</v>
      </c>
      <c r="E289" s="16" t="s">
        <v>105</v>
      </c>
      <c r="F289" s="31">
        <v>0</v>
      </c>
      <c r="G289" s="17"/>
      <c r="H289" s="17"/>
      <c r="I289" s="17"/>
      <c r="J289" s="32">
        <v>46069</v>
      </c>
      <c r="K289" s="32">
        <v>46142</v>
      </c>
      <c r="L289" s="13">
        <f t="shared" si="4"/>
        <v>54</v>
      </c>
      <c r="M289" s="16"/>
      <c r="N289" s="17"/>
      <c r="O289" s="16" t="s">
        <v>27</v>
      </c>
      <c r="P289" s="16" t="s">
        <v>115</v>
      </c>
    </row>
    <row r="290" spans="1:16" ht="30">
      <c r="A290" s="16" t="s">
        <v>119</v>
      </c>
      <c r="B290" s="16" t="s">
        <v>338</v>
      </c>
      <c r="C290" s="16" t="s">
        <v>29</v>
      </c>
      <c r="D290" s="16" t="s">
        <v>58</v>
      </c>
      <c r="E290" s="16" t="s">
        <v>105</v>
      </c>
      <c r="F290" s="31">
        <v>0</v>
      </c>
      <c r="G290" s="17"/>
      <c r="H290" s="17"/>
      <c r="I290" s="17"/>
      <c r="J290" s="33">
        <v>45946</v>
      </c>
      <c r="K290" s="33">
        <v>46022</v>
      </c>
      <c r="L290" s="13">
        <f t="shared" si="4"/>
        <v>55</v>
      </c>
      <c r="M290" s="16"/>
      <c r="N290" s="16" t="s">
        <v>43</v>
      </c>
      <c r="O290" s="16" t="s">
        <v>223</v>
      </c>
      <c r="P290" s="16" t="s">
        <v>115</v>
      </c>
    </row>
    <row r="291" spans="1:16">
      <c r="A291" s="16" t="s">
        <v>119</v>
      </c>
      <c r="B291" s="16" t="s">
        <v>338</v>
      </c>
      <c r="C291" s="16" t="s">
        <v>30</v>
      </c>
      <c r="D291" s="16" t="s">
        <v>58</v>
      </c>
      <c r="E291" s="16" t="s">
        <v>105</v>
      </c>
      <c r="F291" s="31">
        <v>0</v>
      </c>
      <c r="G291" s="17"/>
      <c r="H291" s="17"/>
      <c r="I291" s="17"/>
      <c r="J291" s="30"/>
      <c r="K291" s="30"/>
      <c r="L291" s="13">
        <f t="shared" si="4"/>
        <v>0</v>
      </c>
      <c r="M291" s="16"/>
      <c r="N291" s="17"/>
      <c r="O291" s="17"/>
      <c r="P291" s="16" t="s">
        <v>115</v>
      </c>
    </row>
    <row r="292" spans="1:16" ht="30">
      <c r="A292" s="21" t="s">
        <v>119</v>
      </c>
      <c r="B292" s="15" t="s">
        <v>339</v>
      </c>
      <c r="C292" s="15" t="s">
        <v>18</v>
      </c>
      <c r="D292" s="15" t="s">
        <v>126</v>
      </c>
      <c r="E292" s="15" t="s">
        <v>105</v>
      </c>
      <c r="F292" s="29">
        <v>0</v>
      </c>
      <c r="G292" s="17"/>
      <c r="H292" s="17"/>
      <c r="I292" s="17"/>
      <c r="J292" s="30"/>
      <c r="K292" s="30"/>
      <c r="L292" s="13">
        <f t="shared" si="4"/>
        <v>0</v>
      </c>
      <c r="M292" s="33">
        <v>45944</v>
      </c>
      <c r="N292" s="17"/>
      <c r="O292" s="17"/>
      <c r="P292" s="15" t="s">
        <v>115</v>
      </c>
    </row>
    <row r="293" spans="1:16" ht="45">
      <c r="A293" s="16" t="s">
        <v>119</v>
      </c>
      <c r="B293" s="16" t="s">
        <v>340</v>
      </c>
      <c r="C293" s="16" t="s">
        <v>22</v>
      </c>
      <c r="D293" s="16" t="s">
        <v>126</v>
      </c>
      <c r="E293" s="16" t="s">
        <v>105</v>
      </c>
      <c r="F293" s="31">
        <v>0</v>
      </c>
      <c r="G293" s="16" t="s">
        <v>35</v>
      </c>
      <c r="H293" s="16" t="s">
        <v>124</v>
      </c>
      <c r="I293" s="16" t="s">
        <v>50</v>
      </c>
      <c r="J293" s="30"/>
      <c r="K293" s="30"/>
      <c r="L293" s="13">
        <f t="shared" si="4"/>
        <v>0</v>
      </c>
      <c r="M293" s="16"/>
      <c r="N293" s="17"/>
      <c r="O293" s="17"/>
      <c r="P293" s="16" t="s">
        <v>115</v>
      </c>
    </row>
    <row r="294" spans="1:16" ht="30">
      <c r="A294" s="16" t="s">
        <v>119</v>
      </c>
      <c r="B294" s="16" t="s">
        <v>340</v>
      </c>
      <c r="C294" s="16" t="s">
        <v>28</v>
      </c>
      <c r="D294" s="16" t="s">
        <v>126</v>
      </c>
      <c r="E294" s="16" t="s">
        <v>105</v>
      </c>
      <c r="F294" s="31">
        <v>0</v>
      </c>
      <c r="G294" s="17"/>
      <c r="H294" s="17"/>
      <c r="I294" s="17"/>
      <c r="J294" s="30"/>
      <c r="K294" s="30"/>
      <c r="L294" s="13">
        <f t="shared" si="4"/>
        <v>0</v>
      </c>
      <c r="M294" s="16"/>
      <c r="N294" s="17"/>
      <c r="O294" s="17"/>
      <c r="P294" s="16" t="s">
        <v>115</v>
      </c>
    </row>
    <row r="295" spans="1:16" ht="30">
      <c r="A295" s="16" t="s">
        <v>119</v>
      </c>
      <c r="B295" s="16" t="s">
        <v>340</v>
      </c>
      <c r="C295" s="16" t="s">
        <v>29</v>
      </c>
      <c r="D295" s="16" t="s">
        <v>126</v>
      </c>
      <c r="E295" s="16" t="s">
        <v>105</v>
      </c>
      <c r="F295" s="31">
        <v>0</v>
      </c>
      <c r="G295" s="17"/>
      <c r="H295" s="17"/>
      <c r="I295" s="17"/>
      <c r="J295" s="30"/>
      <c r="K295" s="30"/>
      <c r="L295" s="13">
        <f t="shared" si="4"/>
        <v>0</v>
      </c>
      <c r="M295" s="16"/>
      <c r="N295" s="17"/>
      <c r="O295" s="17"/>
      <c r="P295" s="16" t="s">
        <v>115</v>
      </c>
    </row>
    <row r="296" spans="1:16" ht="30">
      <c r="A296" s="16" t="s">
        <v>119</v>
      </c>
      <c r="B296" s="16" t="s">
        <v>340</v>
      </c>
      <c r="C296" s="16" t="s">
        <v>30</v>
      </c>
      <c r="D296" s="16" t="s">
        <v>126</v>
      </c>
      <c r="E296" s="16" t="s">
        <v>105</v>
      </c>
      <c r="F296" s="31">
        <v>0</v>
      </c>
      <c r="G296" s="17"/>
      <c r="H296" s="17"/>
      <c r="I296" s="17"/>
      <c r="J296" s="30"/>
      <c r="K296" s="30"/>
      <c r="L296" s="13">
        <f t="shared" si="4"/>
        <v>0</v>
      </c>
      <c r="M296" s="16"/>
      <c r="N296" s="17"/>
      <c r="O296" s="17"/>
      <c r="P296" s="16" t="s">
        <v>115</v>
      </c>
    </row>
    <row r="297" spans="1:16" ht="30">
      <c r="A297" s="21" t="s">
        <v>119</v>
      </c>
      <c r="B297" s="15" t="s">
        <v>341</v>
      </c>
      <c r="C297" s="15" t="s">
        <v>18</v>
      </c>
      <c r="D297" s="15" t="s">
        <v>126</v>
      </c>
      <c r="E297" s="15" t="s">
        <v>105</v>
      </c>
      <c r="F297" s="29">
        <v>0</v>
      </c>
      <c r="G297" s="17"/>
      <c r="H297" s="17"/>
      <c r="I297" s="17"/>
      <c r="J297" s="30"/>
      <c r="K297" s="30"/>
      <c r="L297" s="13">
        <f t="shared" si="4"/>
        <v>0</v>
      </c>
      <c r="M297" s="33">
        <v>45944</v>
      </c>
      <c r="N297" s="17"/>
      <c r="O297" s="17"/>
      <c r="P297" s="15" t="s">
        <v>115</v>
      </c>
    </row>
    <row r="298" spans="1:16" ht="45">
      <c r="A298" s="16" t="s">
        <v>119</v>
      </c>
      <c r="B298" s="16" t="s">
        <v>342</v>
      </c>
      <c r="C298" s="16" t="s">
        <v>22</v>
      </c>
      <c r="D298" s="16" t="s">
        <v>126</v>
      </c>
      <c r="E298" s="16" t="s">
        <v>105</v>
      </c>
      <c r="F298" s="31">
        <v>0</v>
      </c>
      <c r="G298" s="16" t="s">
        <v>35</v>
      </c>
      <c r="H298" s="16" t="s">
        <v>124</v>
      </c>
      <c r="I298" s="16" t="s">
        <v>50</v>
      </c>
      <c r="J298" s="30"/>
      <c r="K298" s="30"/>
      <c r="L298" s="13">
        <f t="shared" si="4"/>
        <v>0</v>
      </c>
      <c r="M298" s="16"/>
      <c r="N298" s="17"/>
      <c r="O298" s="17"/>
      <c r="P298" s="16" t="s">
        <v>115</v>
      </c>
    </row>
    <row r="299" spans="1:16" ht="30">
      <c r="A299" s="16" t="s">
        <v>119</v>
      </c>
      <c r="B299" s="16" t="s">
        <v>342</v>
      </c>
      <c r="C299" s="16" t="s">
        <v>28</v>
      </c>
      <c r="D299" s="16" t="s">
        <v>126</v>
      </c>
      <c r="E299" s="16" t="s">
        <v>105</v>
      </c>
      <c r="F299" s="31">
        <v>0</v>
      </c>
      <c r="G299" s="17"/>
      <c r="H299" s="17"/>
      <c r="I299" s="17"/>
      <c r="J299" s="30"/>
      <c r="K299" s="30"/>
      <c r="L299" s="13">
        <f t="shared" si="4"/>
        <v>0</v>
      </c>
      <c r="M299" s="16"/>
      <c r="N299" s="17"/>
      <c r="O299" s="17"/>
      <c r="P299" s="16" t="s">
        <v>115</v>
      </c>
    </row>
    <row r="300" spans="1:16" ht="30">
      <c r="A300" s="16" t="s">
        <v>119</v>
      </c>
      <c r="B300" s="16" t="s">
        <v>342</v>
      </c>
      <c r="C300" s="16" t="s">
        <v>29</v>
      </c>
      <c r="D300" s="16" t="s">
        <v>126</v>
      </c>
      <c r="E300" s="16" t="s">
        <v>105</v>
      </c>
      <c r="F300" s="31">
        <v>0</v>
      </c>
      <c r="G300" s="17"/>
      <c r="H300" s="17"/>
      <c r="I300" s="17"/>
      <c r="J300" s="30"/>
      <c r="K300" s="30"/>
      <c r="L300" s="13">
        <f t="shared" si="4"/>
        <v>0</v>
      </c>
      <c r="M300" s="16"/>
      <c r="N300" s="17"/>
      <c r="O300" s="17"/>
      <c r="P300" s="16" t="s">
        <v>115</v>
      </c>
    </row>
    <row r="301" spans="1:16" ht="30">
      <c r="A301" s="16" t="s">
        <v>119</v>
      </c>
      <c r="B301" s="16" t="s">
        <v>342</v>
      </c>
      <c r="C301" s="16" t="s">
        <v>30</v>
      </c>
      <c r="D301" s="16" t="s">
        <v>126</v>
      </c>
      <c r="E301" s="16" t="s">
        <v>105</v>
      </c>
      <c r="F301" s="31">
        <v>0</v>
      </c>
      <c r="G301" s="17"/>
      <c r="H301" s="17"/>
      <c r="I301" s="17"/>
      <c r="J301" s="30"/>
      <c r="K301" s="30"/>
      <c r="L301" s="13">
        <f t="shared" si="4"/>
        <v>0</v>
      </c>
      <c r="M301" s="16"/>
      <c r="N301" s="17"/>
      <c r="O301" s="17"/>
      <c r="P301" s="16" t="s">
        <v>115</v>
      </c>
    </row>
    <row r="302" spans="1:16" ht="30">
      <c r="A302" s="21" t="s">
        <v>119</v>
      </c>
      <c r="B302" s="15" t="s">
        <v>343</v>
      </c>
      <c r="C302" s="15" t="s">
        <v>18</v>
      </c>
      <c r="D302" s="15" t="s">
        <v>126</v>
      </c>
      <c r="E302" s="15" t="s">
        <v>105</v>
      </c>
      <c r="F302" s="29">
        <v>0</v>
      </c>
      <c r="G302" s="17"/>
      <c r="H302" s="17"/>
      <c r="I302" s="17"/>
      <c r="J302" s="30"/>
      <c r="K302" s="30"/>
      <c r="L302" s="13">
        <f t="shared" si="4"/>
        <v>0</v>
      </c>
      <c r="M302" s="33">
        <v>45944</v>
      </c>
      <c r="N302" s="17"/>
      <c r="O302" s="17"/>
      <c r="P302" s="15" t="s">
        <v>115</v>
      </c>
    </row>
    <row r="303" spans="1:16" ht="45">
      <c r="A303" s="16" t="s">
        <v>119</v>
      </c>
      <c r="B303" s="16" t="s">
        <v>344</v>
      </c>
      <c r="C303" s="16" t="s">
        <v>22</v>
      </c>
      <c r="D303" s="16" t="s">
        <v>126</v>
      </c>
      <c r="E303" s="16" t="s">
        <v>105</v>
      </c>
      <c r="F303" s="31">
        <v>0</v>
      </c>
      <c r="G303" s="16" t="s">
        <v>35</v>
      </c>
      <c r="H303" s="16" t="s">
        <v>124</v>
      </c>
      <c r="I303" s="16" t="s">
        <v>50</v>
      </c>
      <c r="J303" s="30"/>
      <c r="K303" s="30"/>
      <c r="L303" s="13">
        <f t="shared" si="4"/>
        <v>0</v>
      </c>
      <c r="M303" s="16"/>
      <c r="N303" s="17"/>
      <c r="O303" s="17"/>
      <c r="P303" s="16" t="s">
        <v>115</v>
      </c>
    </row>
    <row r="304" spans="1:16" ht="30">
      <c r="A304" s="16" t="s">
        <v>119</v>
      </c>
      <c r="B304" s="16" t="s">
        <v>344</v>
      </c>
      <c r="C304" s="16" t="s">
        <v>28</v>
      </c>
      <c r="D304" s="16" t="s">
        <v>126</v>
      </c>
      <c r="E304" s="16" t="s">
        <v>105</v>
      </c>
      <c r="F304" s="31">
        <v>0</v>
      </c>
      <c r="G304" s="17"/>
      <c r="H304" s="17"/>
      <c r="I304" s="17"/>
      <c r="J304" s="30"/>
      <c r="K304" s="30"/>
      <c r="L304" s="13">
        <f t="shared" si="4"/>
        <v>0</v>
      </c>
      <c r="M304" s="16"/>
      <c r="N304" s="17"/>
      <c r="O304" s="17"/>
      <c r="P304" s="16" t="s">
        <v>115</v>
      </c>
    </row>
    <row r="305" spans="1:16" ht="30">
      <c r="A305" s="16" t="s">
        <v>119</v>
      </c>
      <c r="B305" s="16" t="s">
        <v>344</v>
      </c>
      <c r="C305" s="16" t="s">
        <v>29</v>
      </c>
      <c r="D305" s="16" t="s">
        <v>126</v>
      </c>
      <c r="E305" s="16" t="s">
        <v>105</v>
      </c>
      <c r="F305" s="31">
        <v>0</v>
      </c>
      <c r="G305" s="17"/>
      <c r="H305" s="17"/>
      <c r="I305" s="17"/>
      <c r="J305" s="30"/>
      <c r="K305" s="30"/>
      <c r="L305" s="13">
        <f t="shared" si="4"/>
        <v>0</v>
      </c>
      <c r="M305" s="16"/>
      <c r="N305" s="17"/>
      <c r="O305" s="17"/>
      <c r="P305" s="16" t="s">
        <v>115</v>
      </c>
    </row>
    <row r="306" spans="1:16" ht="30">
      <c r="A306" s="16" t="s">
        <v>119</v>
      </c>
      <c r="B306" s="16" t="s">
        <v>344</v>
      </c>
      <c r="C306" s="16" t="s">
        <v>30</v>
      </c>
      <c r="D306" s="16" t="s">
        <v>126</v>
      </c>
      <c r="E306" s="16" t="s">
        <v>105</v>
      </c>
      <c r="F306" s="31">
        <v>0</v>
      </c>
      <c r="G306" s="17"/>
      <c r="H306" s="17"/>
      <c r="I306" s="17"/>
      <c r="J306" s="30"/>
      <c r="K306" s="30"/>
      <c r="L306" s="13">
        <f t="shared" si="4"/>
        <v>0</v>
      </c>
      <c r="M306" s="16"/>
      <c r="N306" s="17"/>
      <c r="O306" s="17"/>
      <c r="P306" s="16" t="s">
        <v>115</v>
      </c>
    </row>
    <row r="307" spans="1:16">
      <c r="A307" s="21" t="s">
        <v>119</v>
      </c>
      <c r="B307" s="15" t="s">
        <v>345</v>
      </c>
      <c r="C307" s="15" t="s">
        <v>18</v>
      </c>
      <c r="D307" s="15" t="s">
        <v>126</v>
      </c>
      <c r="E307" s="15" t="s">
        <v>105</v>
      </c>
      <c r="F307" s="29">
        <v>0</v>
      </c>
      <c r="G307" s="17"/>
      <c r="H307" s="17"/>
      <c r="I307" s="17"/>
      <c r="J307" s="30"/>
      <c r="K307" s="30"/>
      <c r="L307" s="13">
        <f t="shared" si="4"/>
        <v>0</v>
      </c>
      <c r="M307" s="33">
        <v>45944</v>
      </c>
      <c r="N307" s="17"/>
      <c r="O307" s="17"/>
      <c r="P307" s="15" t="s">
        <v>115</v>
      </c>
    </row>
    <row r="308" spans="1:16" ht="45">
      <c r="A308" s="16" t="s">
        <v>119</v>
      </c>
      <c r="B308" s="16" t="s">
        <v>346</v>
      </c>
      <c r="C308" s="16" t="s">
        <v>22</v>
      </c>
      <c r="D308" s="16" t="s">
        <v>126</v>
      </c>
      <c r="E308" s="16" t="s">
        <v>105</v>
      </c>
      <c r="F308" s="31">
        <v>0</v>
      </c>
      <c r="G308" s="16" t="s">
        <v>35</v>
      </c>
      <c r="H308" s="16" t="s">
        <v>124</v>
      </c>
      <c r="I308" s="16" t="s">
        <v>50</v>
      </c>
      <c r="J308" s="30"/>
      <c r="K308" s="30"/>
      <c r="L308" s="13">
        <f t="shared" si="4"/>
        <v>0</v>
      </c>
      <c r="M308" s="16"/>
      <c r="N308" s="17"/>
      <c r="O308" s="17"/>
      <c r="P308" s="16" t="s">
        <v>115</v>
      </c>
    </row>
    <row r="309" spans="1:16">
      <c r="A309" s="16" t="s">
        <v>119</v>
      </c>
      <c r="B309" s="16" t="s">
        <v>346</v>
      </c>
      <c r="C309" s="16" t="s">
        <v>28</v>
      </c>
      <c r="D309" s="16" t="s">
        <v>126</v>
      </c>
      <c r="E309" s="16" t="s">
        <v>105</v>
      </c>
      <c r="F309" s="31">
        <v>0</v>
      </c>
      <c r="G309" s="17"/>
      <c r="H309" s="17"/>
      <c r="I309" s="17"/>
      <c r="J309" s="30"/>
      <c r="K309" s="30"/>
      <c r="L309" s="13">
        <f t="shared" si="4"/>
        <v>0</v>
      </c>
      <c r="M309" s="16"/>
      <c r="N309" s="17"/>
      <c r="O309" s="17"/>
      <c r="P309" s="16" t="s">
        <v>115</v>
      </c>
    </row>
    <row r="310" spans="1:16">
      <c r="A310" s="16" t="s">
        <v>119</v>
      </c>
      <c r="B310" s="16" t="s">
        <v>346</v>
      </c>
      <c r="C310" s="16" t="s">
        <v>29</v>
      </c>
      <c r="D310" s="16" t="s">
        <v>126</v>
      </c>
      <c r="E310" s="16" t="s">
        <v>105</v>
      </c>
      <c r="F310" s="31">
        <v>0</v>
      </c>
      <c r="G310" s="17"/>
      <c r="H310" s="17"/>
      <c r="I310" s="17"/>
      <c r="J310" s="30"/>
      <c r="K310" s="30"/>
      <c r="L310" s="13">
        <f t="shared" si="4"/>
        <v>0</v>
      </c>
      <c r="M310" s="16"/>
      <c r="N310" s="17"/>
      <c r="O310" s="17"/>
      <c r="P310" s="16" t="s">
        <v>115</v>
      </c>
    </row>
    <row r="311" spans="1:16">
      <c r="A311" s="16" t="s">
        <v>119</v>
      </c>
      <c r="B311" s="16" t="s">
        <v>346</v>
      </c>
      <c r="C311" s="16" t="s">
        <v>30</v>
      </c>
      <c r="D311" s="16" t="s">
        <v>126</v>
      </c>
      <c r="E311" s="16" t="s">
        <v>105</v>
      </c>
      <c r="F311" s="31">
        <v>0</v>
      </c>
      <c r="G311" s="17"/>
      <c r="H311" s="17"/>
      <c r="I311" s="17"/>
      <c r="J311" s="30"/>
      <c r="K311" s="30"/>
      <c r="L311" s="13">
        <f t="shared" si="4"/>
        <v>0</v>
      </c>
      <c r="M311" s="16"/>
      <c r="N311" s="17"/>
      <c r="O311" s="17"/>
      <c r="P311" s="16" t="s">
        <v>115</v>
      </c>
    </row>
    <row r="312" spans="1:16">
      <c r="A312" s="21" t="s">
        <v>119</v>
      </c>
      <c r="B312" s="15" t="s">
        <v>347</v>
      </c>
      <c r="C312" s="15" t="s">
        <v>18</v>
      </c>
      <c r="D312" s="15" t="s">
        <v>126</v>
      </c>
      <c r="E312" s="15" t="s">
        <v>105</v>
      </c>
      <c r="F312" s="29">
        <v>0</v>
      </c>
      <c r="G312" s="17"/>
      <c r="H312" s="17"/>
      <c r="I312" s="17"/>
      <c r="J312" s="30"/>
      <c r="K312" s="30"/>
      <c r="L312" s="13">
        <f t="shared" si="4"/>
        <v>0</v>
      </c>
      <c r="M312" s="33">
        <v>45944</v>
      </c>
      <c r="N312" s="17"/>
      <c r="O312" s="17"/>
      <c r="P312" s="15" t="s">
        <v>115</v>
      </c>
    </row>
    <row r="313" spans="1:16" ht="45">
      <c r="A313" s="16" t="s">
        <v>119</v>
      </c>
      <c r="B313" s="16" t="s">
        <v>348</v>
      </c>
      <c r="C313" s="16" t="s">
        <v>22</v>
      </c>
      <c r="D313" s="16" t="s">
        <v>126</v>
      </c>
      <c r="E313" s="16" t="s">
        <v>105</v>
      </c>
      <c r="F313" s="31">
        <v>0</v>
      </c>
      <c r="G313" s="16" t="s">
        <v>35</v>
      </c>
      <c r="H313" s="16" t="s">
        <v>124</v>
      </c>
      <c r="I313" s="16" t="s">
        <v>50</v>
      </c>
      <c r="J313" s="30"/>
      <c r="K313" s="30"/>
      <c r="L313" s="13">
        <f t="shared" si="4"/>
        <v>0</v>
      </c>
      <c r="M313" s="16"/>
      <c r="N313" s="17"/>
      <c r="O313" s="17"/>
      <c r="P313" s="16" t="s">
        <v>115</v>
      </c>
    </row>
    <row r="314" spans="1:16">
      <c r="A314" s="16" t="s">
        <v>119</v>
      </c>
      <c r="B314" s="16" t="s">
        <v>348</v>
      </c>
      <c r="C314" s="16" t="s">
        <v>28</v>
      </c>
      <c r="D314" s="16" t="s">
        <v>126</v>
      </c>
      <c r="E314" s="16" t="s">
        <v>105</v>
      </c>
      <c r="F314" s="31">
        <v>0</v>
      </c>
      <c r="G314" s="17"/>
      <c r="H314" s="17"/>
      <c r="I314" s="17"/>
      <c r="J314" s="30"/>
      <c r="K314" s="30"/>
      <c r="L314" s="13">
        <f t="shared" si="4"/>
        <v>0</v>
      </c>
      <c r="M314" s="16"/>
      <c r="N314" s="17"/>
      <c r="O314" s="17"/>
      <c r="P314" s="16" t="s">
        <v>115</v>
      </c>
    </row>
    <row r="315" spans="1:16">
      <c r="A315" s="16" t="s">
        <v>119</v>
      </c>
      <c r="B315" s="16" t="s">
        <v>348</v>
      </c>
      <c r="C315" s="16" t="s">
        <v>29</v>
      </c>
      <c r="D315" s="16" t="s">
        <v>126</v>
      </c>
      <c r="E315" s="16" t="s">
        <v>105</v>
      </c>
      <c r="F315" s="31">
        <v>0</v>
      </c>
      <c r="G315" s="17"/>
      <c r="H315" s="17"/>
      <c r="I315" s="17"/>
      <c r="J315" s="30"/>
      <c r="K315" s="30"/>
      <c r="L315" s="13">
        <f t="shared" si="4"/>
        <v>0</v>
      </c>
      <c r="M315" s="16"/>
      <c r="N315" s="17"/>
      <c r="O315" s="17"/>
      <c r="P315" s="16" t="s">
        <v>115</v>
      </c>
    </row>
    <row r="316" spans="1:16">
      <c r="A316" s="16" t="s">
        <v>119</v>
      </c>
      <c r="B316" s="16" t="s">
        <v>348</v>
      </c>
      <c r="C316" s="16" t="s">
        <v>30</v>
      </c>
      <c r="D316" s="16" t="s">
        <v>126</v>
      </c>
      <c r="E316" s="16" t="s">
        <v>105</v>
      </c>
      <c r="F316" s="31">
        <v>0</v>
      </c>
      <c r="G316" s="17"/>
      <c r="H316" s="17"/>
      <c r="I316" s="17"/>
      <c r="J316" s="30"/>
      <c r="K316" s="30"/>
      <c r="L316" s="13">
        <f t="shared" si="4"/>
        <v>0</v>
      </c>
      <c r="M316" s="16"/>
      <c r="N316" s="17"/>
      <c r="O316" s="17"/>
      <c r="P316" s="16" t="s">
        <v>115</v>
      </c>
    </row>
    <row r="317" spans="1:16">
      <c r="A317" s="21" t="s">
        <v>39</v>
      </c>
      <c r="B317" s="15" t="s">
        <v>349</v>
      </c>
      <c r="C317" s="15" t="s">
        <v>18</v>
      </c>
      <c r="D317" s="15" t="s">
        <v>33</v>
      </c>
      <c r="E317" s="15" t="s">
        <v>105</v>
      </c>
      <c r="F317" s="29">
        <v>0</v>
      </c>
      <c r="G317" s="17"/>
      <c r="H317" s="17"/>
      <c r="I317" s="17"/>
      <c r="J317" s="33">
        <v>45803</v>
      </c>
      <c r="K317" s="33">
        <v>46157</v>
      </c>
      <c r="L317" s="13">
        <f t="shared" si="4"/>
        <v>255</v>
      </c>
      <c r="M317" s="15"/>
      <c r="N317" s="17"/>
      <c r="O317" s="17"/>
      <c r="P317" s="15" t="s">
        <v>115</v>
      </c>
    </row>
    <row r="318" spans="1:16" ht="45">
      <c r="A318" s="16" t="s">
        <v>39</v>
      </c>
      <c r="B318" s="16" t="s">
        <v>350</v>
      </c>
      <c r="C318" s="16" t="s">
        <v>22</v>
      </c>
      <c r="D318" s="16" t="s">
        <v>33</v>
      </c>
      <c r="E318" s="16" t="s">
        <v>105</v>
      </c>
      <c r="F318" s="31">
        <v>0</v>
      </c>
      <c r="G318" s="16" t="s">
        <v>23</v>
      </c>
      <c r="H318" s="16" t="s">
        <v>116</v>
      </c>
      <c r="I318" s="17"/>
      <c r="J318" s="32">
        <v>46069</v>
      </c>
      <c r="K318" s="32">
        <v>46157</v>
      </c>
      <c r="L318" s="13">
        <f t="shared" si="4"/>
        <v>65</v>
      </c>
      <c r="M318" s="16"/>
      <c r="N318" s="17"/>
      <c r="O318" s="16" t="s">
        <v>27</v>
      </c>
      <c r="P318" s="16" t="s">
        <v>115</v>
      </c>
    </row>
    <row r="319" spans="1:16" ht="30">
      <c r="A319" s="16" t="s">
        <v>39</v>
      </c>
      <c r="B319" s="16" t="s">
        <v>350</v>
      </c>
      <c r="C319" s="16" t="s">
        <v>28</v>
      </c>
      <c r="D319" s="16" t="s">
        <v>33</v>
      </c>
      <c r="E319" s="16" t="s">
        <v>105</v>
      </c>
      <c r="F319" s="31">
        <v>0</v>
      </c>
      <c r="G319" s="17"/>
      <c r="H319" s="17"/>
      <c r="I319" s="17"/>
      <c r="J319" s="32">
        <v>45803</v>
      </c>
      <c r="K319" s="32">
        <v>45884</v>
      </c>
      <c r="L319" s="13">
        <f t="shared" si="4"/>
        <v>60</v>
      </c>
      <c r="M319" s="16"/>
      <c r="N319" s="16" t="s">
        <v>43</v>
      </c>
      <c r="O319" s="16" t="s">
        <v>132</v>
      </c>
      <c r="P319" s="16" t="s">
        <v>115</v>
      </c>
    </row>
    <row r="320" spans="1:16">
      <c r="A320" s="16" t="s">
        <v>39</v>
      </c>
      <c r="B320" s="16" t="s">
        <v>350</v>
      </c>
      <c r="C320" s="16" t="s">
        <v>29</v>
      </c>
      <c r="D320" s="16" t="s">
        <v>33</v>
      </c>
      <c r="E320" s="16" t="s">
        <v>105</v>
      </c>
      <c r="F320" s="31">
        <v>0</v>
      </c>
      <c r="G320" s="17"/>
      <c r="H320" s="17"/>
      <c r="I320" s="17"/>
      <c r="J320" s="30"/>
      <c r="K320" s="30"/>
      <c r="L320" s="13">
        <f t="shared" si="4"/>
        <v>0</v>
      </c>
      <c r="M320" s="16"/>
      <c r="N320" s="17"/>
      <c r="O320" s="17"/>
      <c r="P320" s="16" t="s">
        <v>115</v>
      </c>
    </row>
    <row r="321" spans="1:16">
      <c r="A321" s="16" t="s">
        <v>39</v>
      </c>
      <c r="B321" s="16" t="s">
        <v>350</v>
      </c>
      <c r="C321" s="16" t="s">
        <v>30</v>
      </c>
      <c r="D321" s="16" t="s">
        <v>33</v>
      </c>
      <c r="E321" s="16" t="s">
        <v>105</v>
      </c>
      <c r="F321" s="31">
        <v>0</v>
      </c>
      <c r="G321" s="17"/>
      <c r="H321" s="17"/>
      <c r="I321" s="17"/>
      <c r="J321" s="30"/>
      <c r="K321" s="30"/>
      <c r="L321" s="13">
        <f t="shared" si="4"/>
        <v>0</v>
      </c>
      <c r="M321" s="16"/>
      <c r="N321" s="17"/>
      <c r="O321" s="17"/>
      <c r="P321" s="16" t="s">
        <v>115</v>
      </c>
    </row>
    <row r="322" spans="1:16">
      <c r="A322" s="21" t="s">
        <v>39</v>
      </c>
      <c r="B322" s="15" t="s">
        <v>351</v>
      </c>
      <c r="C322" s="15" t="s">
        <v>18</v>
      </c>
      <c r="D322" s="15" t="s">
        <v>33</v>
      </c>
      <c r="E322" s="15" t="s">
        <v>105</v>
      </c>
      <c r="F322" s="29">
        <v>0</v>
      </c>
      <c r="G322" s="17"/>
      <c r="H322" s="17"/>
      <c r="I322" s="17"/>
      <c r="J322" s="33">
        <v>46127</v>
      </c>
      <c r="K322" s="33">
        <v>46265</v>
      </c>
      <c r="L322" s="13">
        <f t="shared" si="4"/>
        <v>99</v>
      </c>
      <c r="M322" s="15"/>
      <c r="N322" s="17"/>
      <c r="O322" s="17"/>
      <c r="P322" s="15" t="s">
        <v>115</v>
      </c>
    </row>
    <row r="323" spans="1:16" ht="45">
      <c r="A323" s="16" t="s">
        <v>39</v>
      </c>
      <c r="B323" s="16" t="s">
        <v>352</v>
      </c>
      <c r="C323" s="16" t="s">
        <v>22</v>
      </c>
      <c r="D323" s="16" t="s">
        <v>33</v>
      </c>
      <c r="E323" s="16" t="s">
        <v>105</v>
      </c>
      <c r="F323" s="31">
        <v>0</v>
      </c>
      <c r="G323" s="16" t="s">
        <v>23</v>
      </c>
      <c r="H323" s="16" t="s">
        <v>116</v>
      </c>
      <c r="I323" s="16" t="s">
        <v>117</v>
      </c>
      <c r="J323" s="32">
        <v>46127</v>
      </c>
      <c r="K323" s="32">
        <v>46188</v>
      </c>
      <c r="L323" s="13">
        <f t="shared" si="4"/>
        <v>44</v>
      </c>
      <c r="M323" s="16"/>
      <c r="N323" s="17"/>
      <c r="O323" s="16" t="s">
        <v>27</v>
      </c>
      <c r="P323" s="16" t="s">
        <v>115</v>
      </c>
    </row>
    <row r="324" spans="1:16">
      <c r="A324" s="16" t="s">
        <v>39</v>
      </c>
      <c r="B324" s="16" t="s">
        <v>352</v>
      </c>
      <c r="C324" s="16" t="s">
        <v>28</v>
      </c>
      <c r="D324" s="16" t="s">
        <v>33</v>
      </c>
      <c r="E324" s="16" t="s">
        <v>105</v>
      </c>
      <c r="F324" s="31">
        <v>0</v>
      </c>
      <c r="G324" s="17"/>
      <c r="H324" s="17"/>
      <c r="I324" s="17"/>
      <c r="J324" s="32">
        <v>46218</v>
      </c>
      <c r="K324" s="32">
        <v>46265</v>
      </c>
      <c r="L324" s="13">
        <f t="shared" ref="L324:L387" si="5">NETWORKDAYS(J324,K324)</f>
        <v>34</v>
      </c>
      <c r="M324" s="16"/>
      <c r="N324" s="17"/>
      <c r="O324" s="16" t="s">
        <v>27</v>
      </c>
      <c r="P324" s="16" t="s">
        <v>115</v>
      </c>
    </row>
    <row r="325" spans="1:16">
      <c r="A325" s="16" t="s">
        <v>39</v>
      </c>
      <c r="B325" s="16" t="s">
        <v>352</v>
      </c>
      <c r="C325" s="16" t="s">
        <v>29</v>
      </c>
      <c r="D325" s="16" t="s">
        <v>33</v>
      </c>
      <c r="E325" s="16" t="s">
        <v>105</v>
      </c>
      <c r="F325" s="31">
        <v>0</v>
      </c>
      <c r="G325" s="17"/>
      <c r="H325" s="17"/>
      <c r="I325" s="17"/>
      <c r="J325" s="30"/>
      <c r="K325" s="30"/>
      <c r="L325" s="13">
        <f t="shared" si="5"/>
        <v>0</v>
      </c>
      <c r="M325" s="16"/>
      <c r="N325" s="17"/>
      <c r="O325" s="17"/>
      <c r="P325" s="16" t="s">
        <v>115</v>
      </c>
    </row>
    <row r="326" spans="1:16">
      <c r="A326" s="16" t="s">
        <v>39</v>
      </c>
      <c r="B326" s="16" t="s">
        <v>352</v>
      </c>
      <c r="C326" s="16" t="s">
        <v>30</v>
      </c>
      <c r="D326" s="16" t="s">
        <v>33</v>
      </c>
      <c r="E326" s="16" t="s">
        <v>105</v>
      </c>
      <c r="F326" s="31">
        <v>0</v>
      </c>
      <c r="G326" s="17"/>
      <c r="H326" s="17"/>
      <c r="I326" s="17"/>
      <c r="J326" s="30"/>
      <c r="K326" s="30"/>
      <c r="L326" s="13">
        <f t="shared" si="5"/>
        <v>0</v>
      </c>
      <c r="M326" s="16"/>
      <c r="N326" s="17"/>
      <c r="O326" s="17"/>
      <c r="P326" s="16" t="s">
        <v>115</v>
      </c>
    </row>
    <row r="327" spans="1:16">
      <c r="A327" s="34"/>
      <c r="B327" s="15" t="s">
        <v>353</v>
      </c>
      <c r="C327" s="15" t="s">
        <v>18</v>
      </c>
      <c r="D327" s="15" t="s">
        <v>33</v>
      </c>
      <c r="E327" s="15" t="s">
        <v>105</v>
      </c>
      <c r="F327" s="29">
        <v>0</v>
      </c>
      <c r="G327" s="17"/>
      <c r="H327" s="17"/>
      <c r="I327" s="17"/>
      <c r="J327" s="33">
        <v>46127</v>
      </c>
      <c r="K327" s="33">
        <v>46265</v>
      </c>
      <c r="L327" s="13">
        <f t="shared" si="5"/>
        <v>99</v>
      </c>
      <c r="M327" s="15"/>
      <c r="N327" s="17"/>
      <c r="O327" s="17"/>
      <c r="P327" s="15" t="s">
        <v>115</v>
      </c>
    </row>
    <row r="328" spans="1:16" ht="45">
      <c r="A328" s="16" t="s">
        <v>39</v>
      </c>
      <c r="B328" s="16" t="s">
        <v>354</v>
      </c>
      <c r="C328" s="16" t="s">
        <v>22</v>
      </c>
      <c r="D328" s="16" t="s">
        <v>33</v>
      </c>
      <c r="E328" s="16" t="s">
        <v>105</v>
      </c>
      <c r="F328" s="31">
        <v>0</v>
      </c>
      <c r="G328" s="16" t="s">
        <v>23</v>
      </c>
      <c r="H328" s="16" t="s">
        <v>116</v>
      </c>
      <c r="I328" s="16" t="s">
        <v>117</v>
      </c>
      <c r="J328" s="32">
        <v>46127</v>
      </c>
      <c r="K328" s="32">
        <v>46188</v>
      </c>
      <c r="L328" s="13">
        <f t="shared" si="5"/>
        <v>44</v>
      </c>
      <c r="M328" s="16"/>
      <c r="N328" s="17"/>
      <c r="O328" s="16" t="s">
        <v>27</v>
      </c>
      <c r="P328" s="16" t="s">
        <v>115</v>
      </c>
    </row>
    <row r="329" spans="1:16">
      <c r="A329" s="16" t="s">
        <v>39</v>
      </c>
      <c r="B329" s="16" t="s">
        <v>354</v>
      </c>
      <c r="C329" s="16" t="s">
        <v>28</v>
      </c>
      <c r="D329" s="16" t="s">
        <v>33</v>
      </c>
      <c r="E329" s="16" t="s">
        <v>105</v>
      </c>
      <c r="F329" s="31">
        <v>0</v>
      </c>
      <c r="G329" s="17"/>
      <c r="H329" s="17"/>
      <c r="I329" s="17"/>
      <c r="J329" s="32">
        <v>46218</v>
      </c>
      <c r="K329" s="32">
        <v>46265</v>
      </c>
      <c r="L329" s="13">
        <f t="shared" si="5"/>
        <v>34</v>
      </c>
      <c r="M329" s="16"/>
      <c r="N329" s="17"/>
      <c r="O329" s="16" t="s">
        <v>27</v>
      </c>
      <c r="P329" s="16" t="s">
        <v>115</v>
      </c>
    </row>
    <row r="330" spans="1:16">
      <c r="A330" s="16" t="s">
        <v>39</v>
      </c>
      <c r="B330" s="16" t="s">
        <v>354</v>
      </c>
      <c r="C330" s="16" t="s">
        <v>29</v>
      </c>
      <c r="D330" s="16" t="s">
        <v>33</v>
      </c>
      <c r="E330" s="16" t="s">
        <v>105</v>
      </c>
      <c r="F330" s="31">
        <v>0</v>
      </c>
      <c r="G330" s="17"/>
      <c r="H330" s="17"/>
      <c r="I330" s="17"/>
      <c r="J330" s="30"/>
      <c r="K330" s="30"/>
      <c r="L330" s="13">
        <f t="shared" si="5"/>
        <v>0</v>
      </c>
      <c r="M330" s="16"/>
      <c r="N330" s="17"/>
      <c r="O330" s="17"/>
      <c r="P330" s="16" t="s">
        <v>115</v>
      </c>
    </row>
    <row r="331" spans="1:16">
      <c r="A331" s="16" t="s">
        <v>39</v>
      </c>
      <c r="B331" s="16" t="s">
        <v>354</v>
      </c>
      <c r="C331" s="16" t="s">
        <v>30</v>
      </c>
      <c r="D331" s="16" t="s">
        <v>33</v>
      </c>
      <c r="E331" s="16" t="s">
        <v>105</v>
      </c>
      <c r="F331" s="31">
        <v>0</v>
      </c>
      <c r="G331" s="17"/>
      <c r="H331" s="17"/>
      <c r="I331" s="17"/>
      <c r="J331" s="30"/>
      <c r="K331" s="30"/>
      <c r="L331" s="13">
        <f t="shared" si="5"/>
        <v>0</v>
      </c>
      <c r="M331" s="16"/>
      <c r="N331" s="17"/>
      <c r="O331" s="17"/>
      <c r="P331" s="16" t="s">
        <v>115</v>
      </c>
    </row>
    <row r="332" spans="1:16">
      <c r="A332" s="21" t="s">
        <v>39</v>
      </c>
      <c r="B332" s="15" t="s">
        <v>355</v>
      </c>
      <c r="C332" s="15" t="s">
        <v>18</v>
      </c>
      <c r="D332" s="15" t="s">
        <v>33</v>
      </c>
      <c r="E332" s="15" t="s">
        <v>105</v>
      </c>
      <c r="F332" s="29">
        <v>0</v>
      </c>
      <c r="G332" s="17"/>
      <c r="H332" s="17"/>
      <c r="I332" s="17"/>
      <c r="J332" s="30"/>
      <c r="K332" s="30"/>
      <c r="L332" s="13">
        <f t="shared" si="5"/>
        <v>0</v>
      </c>
      <c r="M332" s="15"/>
      <c r="N332" s="17"/>
      <c r="O332" s="17"/>
      <c r="P332" s="15" t="s">
        <v>115</v>
      </c>
    </row>
    <row r="333" spans="1:16" ht="45">
      <c r="A333" s="16" t="s">
        <v>39</v>
      </c>
      <c r="B333" s="16" t="s">
        <v>356</v>
      </c>
      <c r="C333" s="16" t="s">
        <v>22</v>
      </c>
      <c r="D333" s="16" t="s">
        <v>33</v>
      </c>
      <c r="E333" s="16" t="s">
        <v>105</v>
      </c>
      <c r="F333" s="31">
        <v>0</v>
      </c>
      <c r="G333" s="16" t="s">
        <v>23</v>
      </c>
      <c r="H333" s="16" t="s">
        <v>116</v>
      </c>
      <c r="I333" s="16" t="s">
        <v>117</v>
      </c>
      <c r="J333" s="30"/>
      <c r="K333" s="30"/>
      <c r="L333" s="13">
        <f t="shared" si="5"/>
        <v>0</v>
      </c>
      <c r="M333" s="16"/>
      <c r="N333" s="17"/>
      <c r="O333" s="17"/>
      <c r="P333" s="16" t="s">
        <v>115</v>
      </c>
    </row>
    <row r="334" spans="1:16">
      <c r="A334" s="16" t="s">
        <v>39</v>
      </c>
      <c r="B334" s="16" t="s">
        <v>356</v>
      </c>
      <c r="C334" s="16" t="s">
        <v>28</v>
      </c>
      <c r="D334" s="16" t="s">
        <v>33</v>
      </c>
      <c r="E334" s="16" t="s">
        <v>105</v>
      </c>
      <c r="F334" s="31">
        <v>0</v>
      </c>
      <c r="G334" s="17"/>
      <c r="H334" s="17"/>
      <c r="I334" s="17"/>
      <c r="J334" s="30"/>
      <c r="K334" s="30"/>
      <c r="L334" s="13">
        <f t="shared" si="5"/>
        <v>0</v>
      </c>
      <c r="M334" s="16"/>
      <c r="N334" s="17"/>
      <c r="O334" s="17"/>
      <c r="P334" s="16" t="s">
        <v>115</v>
      </c>
    </row>
    <row r="335" spans="1:16">
      <c r="A335" s="16" t="s">
        <v>39</v>
      </c>
      <c r="B335" s="16" t="s">
        <v>356</v>
      </c>
      <c r="C335" s="16" t="s">
        <v>29</v>
      </c>
      <c r="D335" s="16" t="s">
        <v>33</v>
      </c>
      <c r="E335" s="16" t="s">
        <v>105</v>
      </c>
      <c r="F335" s="31">
        <v>0</v>
      </c>
      <c r="G335" s="17"/>
      <c r="H335" s="17"/>
      <c r="I335" s="17"/>
      <c r="J335" s="30"/>
      <c r="K335" s="30"/>
      <c r="L335" s="13">
        <f t="shared" si="5"/>
        <v>0</v>
      </c>
      <c r="M335" s="16"/>
      <c r="N335" s="17"/>
      <c r="O335" s="17"/>
      <c r="P335" s="16" t="s">
        <v>115</v>
      </c>
    </row>
    <row r="336" spans="1:16">
      <c r="A336" s="16" t="s">
        <v>39</v>
      </c>
      <c r="B336" s="16" t="s">
        <v>356</v>
      </c>
      <c r="C336" s="16" t="s">
        <v>30</v>
      </c>
      <c r="D336" s="16" t="s">
        <v>33</v>
      </c>
      <c r="E336" s="16" t="s">
        <v>105</v>
      </c>
      <c r="F336" s="31">
        <v>0</v>
      </c>
      <c r="G336" s="17"/>
      <c r="H336" s="17"/>
      <c r="I336" s="17"/>
      <c r="J336" s="30"/>
      <c r="K336" s="30"/>
      <c r="L336" s="13">
        <f t="shared" si="5"/>
        <v>0</v>
      </c>
      <c r="M336" s="16"/>
      <c r="N336" s="17"/>
      <c r="O336" s="17"/>
      <c r="P336" s="16" t="s">
        <v>115</v>
      </c>
    </row>
    <row r="337" spans="1:16">
      <c r="A337" s="21" t="s">
        <v>39</v>
      </c>
      <c r="B337" s="15" t="s">
        <v>357</v>
      </c>
      <c r="C337" s="15" t="s">
        <v>18</v>
      </c>
      <c r="D337" s="15" t="s">
        <v>33</v>
      </c>
      <c r="E337" s="15" t="s">
        <v>105</v>
      </c>
      <c r="F337" s="29">
        <v>0</v>
      </c>
      <c r="G337" s="17"/>
      <c r="H337" s="17"/>
      <c r="I337" s="17"/>
      <c r="J337" s="33">
        <v>46034</v>
      </c>
      <c r="K337" s="33">
        <v>46203</v>
      </c>
      <c r="L337" s="13">
        <f t="shared" si="5"/>
        <v>122</v>
      </c>
      <c r="M337" s="15"/>
      <c r="N337" s="17"/>
      <c r="O337" s="17"/>
      <c r="P337" s="15" t="s">
        <v>115</v>
      </c>
    </row>
    <row r="338" spans="1:16" ht="45">
      <c r="A338" s="16" t="s">
        <v>39</v>
      </c>
      <c r="B338" s="16" t="s">
        <v>358</v>
      </c>
      <c r="C338" s="16" t="s">
        <v>22</v>
      </c>
      <c r="D338" s="16" t="s">
        <v>33</v>
      </c>
      <c r="E338" s="16" t="s">
        <v>105</v>
      </c>
      <c r="F338" s="31">
        <v>0</v>
      </c>
      <c r="G338" s="16" t="s">
        <v>359</v>
      </c>
      <c r="H338" s="16" t="s">
        <v>139</v>
      </c>
      <c r="I338" s="16" t="s">
        <v>117</v>
      </c>
      <c r="J338" s="32">
        <v>46034</v>
      </c>
      <c r="K338" s="32">
        <v>46111</v>
      </c>
      <c r="L338" s="13">
        <f t="shared" si="5"/>
        <v>56</v>
      </c>
      <c r="M338" s="16"/>
      <c r="N338" s="16" t="s">
        <v>43</v>
      </c>
      <c r="O338" s="16" t="s">
        <v>26</v>
      </c>
      <c r="P338" s="16" t="s">
        <v>115</v>
      </c>
    </row>
    <row r="339" spans="1:16">
      <c r="A339" s="16" t="s">
        <v>39</v>
      </c>
      <c r="B339" s="16" t="s">
        <v>358</v>
      </c>
      <c r="C339" s="16" t="s">
        <v>28</v>
      </c>
      <c r="D339" s="16" t="s">
        <v>33</v>
      </c>
      <c r="E339" s="16" t="s">
        <v>105</v>
      </c>
      <c r="F339" s="31">
        <v>0</v>
      </c>
      <c r="G339" s="17"/>
      <c r="H339" s="17"/>
      <c r="I339" s="17"/>
      <c r="J339" s="32">
        <v>46127</v>
      </c>
      <c r="K339" s="32">
        <v>46203</v>
      </c>
      <c r="L339" s="13">
        <f t="shared" si="5"/>
        <v>55</v>
      </c>
      <c r="M339" s="16"/>
      <c r="N339" s="17"/>
      <c r="O339" s="16" t="s">
        <v>27</v>
      </c>
      <c r="P339" s="16" t="s">
        <v>115</v>
      </c>
    </row>
    <row r="340" spans="1:16">
      <c r="A340" s="16" t="s">
        <v>39</v>
      </c>
      <c r="B340" s="16" t="s">
        <v>358</v>
      </c>
      <c r="C340" s="16" t="s">
        <v>29</v>
      </c>
      <c r="D340" s="16" t="s">
        <v>33</v>
      </c>
      <c r="E340" s="16" t="s">
        <v>105</v>
      </c>
      <c r="F340" s="31">
        <v>0</v>
      </c>
      <c r="G340" s="17"/>
      <c r="H340" s="17"/>
      <c r="I340" s="17"/>
      <c r="J340" s="30"/>
      <c r="K340" s="30"/>
      <c r="L340" s="13">
        <f t="shared" si="5"/>
        <v>0</v>
      </c>
      <c r="M340" s="16"/>
      <c r="N340" s="17"/>
      <c r="O340" s="17"/>
      <c r="P340" s="16" t="s">
        <v>115</v>
      </c>
    </row>
    <row r="341" spans="1:16">
      <c r="A341" s="16" t="s">
        <v>39</v>
      </c>
      <c r="B341" s="16" t="s">
        <v>358</v>
      </c>
      <c r="C341" s="16" t="s">
        <v>30</v>
      </c>
      <c r="D341" s="16" t="s">
        <v>33</v>
      </c>
      <c r="E341" s="16" t="s">
        <v>105</v>
      </c>
      <c r="F341" s="31">
        <v>0</v>
      </c>
      <c r="G341" s="17"/>
      <c r="H341" s="17"/>
      <c r="I341" s="17"/>
      <c r="J341" s="30"/>
      <c r="K341" s="30"/>
      <c r="L341" s="13">
        <f t="shared" si="5"/>
        <v>0</v>
      </c>
      <c r="M341" s="16"/>
      <c r="N341" s="17"/>
      <c r="O341" s="17"/>
      <c r="P341" s="16" t="s">
        <v>115</v>
      </c>
    </row>
    <row r="342" spans="1:16">
      <c r="A342" s="21" t="s">
        <v>39</v>
      </c>
      <c r="B342" s="15" t="s">
        <v>360</v>
      </c>
      <c r="C342" s="15" t="s">
        <v>18</v>
      </c>
      <c r="D342" s="15" t="s">
        <v>33</v>
      </c>
      <c r="E342" s="15" t="s">
        <v>105</v>
      </c>
      <c r="F342" s="29">
        <v>0</v>
      </c>
      <c r="G342" s="17"/>
      <c r="H342" s="17"/>
      <c r="I342" s="17"/>
      <c r="J342" s="33">
        <v>46034</v>
      </c>
      <c r="K342" s="33">
        <v>46203</v>
      </c>
      <c r="L342" s="13">
        <f t="shared" si="5"/>
        <v>122</v>
      </c>
      <c r="M342" s="15"/>
      <c r="N342" s="17"/>
      <c r="O342" s="17"/>
      <c r="P342" s="15" t="s">
        <v>115</v>
      </c>
    </row>
    <row r="343" spans="1:16" ht="45">
      <c r="A343" s="16" t="s">
        <v>39</v>
      </c>
      <c r="B343" s="16" t="s">
        <v>361</v>
      </c>
      <c r="C343" s="16" t="s">
        <v>22</v>
      </c>
      <c r="D343" s="16" t="s">
        <v>33</v>
      </c>
      <c r="E343" s="16" t="s">
        <v>105</v>
      </c>
      <c r="F343" s="31">
        <v>0</v>
      </c>
      <c r="G343" s="16" t="s">
        <v>359</v>
      </c>
      <c r="H343" s="16" t="s">
        <v>139</v>
      </c>
      <c r="I343" s="16" t="s">
        <v>117</v>
      </c>
      <c r="J343" s="32">
        <v>46034</v>
      </c>
      <c r="K343" s="32">
        <v>46111</v>
      </c>
      <c r="L343" s="13">
        <f t="shared" si="5"/>
        <v>56</v>
      </c>
      <c r="M343" s="16"/>
      <c r="N343" s="16" t="s">
        <v>43</v>
      </c>
      <c r="O343" s="16" t="s">
        <v>26</v>
      </c>
      <c r="P343" s="16" t="s">
        <v>115</v>
      </c>
    </row>
    <row r="344" spans="1:16">
      <c r="A344" s="16" t="s">
        <v>39</v>
      </c>
      <c r="B344" s="16" t="s">
        <v>361</v>
      </c>
      <c r="C344" s="16" t="s">
        <v>28</v>
      </c>
      <c r="D344" s="16" t="s">
        <v>33</v>
      </c>
      <c r="E344" s="16" t="s">
        <v>105</v>
      </c>
      <c r="F344" s="31">
        <v>0</v>
      </c>
      <c r="G344" s="17"/>
      <c r="H344" s="17"/>
      <c r="I344" s="17"/>
      <c r="J344" s="32">
        <v>46127</v>
      </c>
      <c r="K344" s="32">
        <v>46203</v>
      </c>
      <c r="L344" s="13">
        <f t="shared" si="5"/>
        <v>55</v>
      </c>
      <c r="M344" s="16"/>
      <c r="N344" s="17"/>
      <c r="O344" s="16" t="s">
        <v>27</v>
      </c>
      <c r="P344" s="16" t="s">
        <v>115</v>
      </c>
    </row>
    <row r="345" spans="1:16">
      <c r="A345" s="16" t="s">
        <v>39</v>
      </c>
      <c r="B345" s="16" t="s">
        <v>361</v>
      </c>
      <c r="C345" s="16" t="s">
        <v>29</v>
      </c>
      <c r="D345" s="16" t="s">
        <v>33</v>
      </c>
      <c r="E345" s="16" t="s">
        <v>105</v>
      </c>
      <c r="F345" s="31">
        <v>0</v>
      </c>
      <c r="G345" s="17"/>
      <c r="H345" s="17"/>
      <c r="I345" s="17"/>
      <c r="J345" s="30"/>
      <c r="K345" s="30"/>
      <c r="L345" s="13">
        <f t="shared" si="5"/>
        <v>0</v>
      </c>
      <c r="M345" s="16"/>
      <c r="N345" s="17"/>
      <c r="O345" s="17"/>
      <c r="P345" s="16" t="s">
        <v>115</v>
      </c>
    </row>
    <row r="346" spans="1:16">
      <c r="A346" s="16" t="s">
        <v>39</v>
      </c>
      <c r="B346" s="16" t="s">
        <v>361</v>
      </c>
      <c r="C346" s="16" t="s">
        <v>30</v>
      </c>
      <c r="D346" s="16" t="s">
        <v>33</v>
      </c>
      <c r="E346" s="16" t="s">
        <v>105</v>
      </c>
      <c r="F346" s="31">
        <v>0</v>
      </c>
      <c r="G346" s="17"/>
      <c r="H346" s="17"/>
      <c r="I346" s="17"/>
      <c r="J346" s="30"/>
      <c r="K346" s="30"/>
      <c r="L346" s="13">
        <f t="shared" si="5"/>
        <v>0</v>
      </c>
      <c r="M346" s="16"/>
      <c r="N346" s="17"/>
      <c r="O346" s="17"/>
      <c r="P346" s="16" t="s">
        <v>115</v>
      </c>
    </row>
    <row r="347" spans="1:16">
      <c r="A347" s="21" t="s">
        <v>39</v>
      </c>
      <c r="B347" s="13" t="s">
        <v>362</v>
      </c>
      <c r="C347" s="13" t="s">
        <v>18</v>
      </c>
      <c r="D347" s="13" t="s">
        <v>19</v>
      </c>
      <c r="E347" s="13" t="s">
        <v>105</v>
      </c>
      <c r="F347" s="22">
        <v>0</v>
      </c>
      <c r="G347" s="23"/>
      <c r="H347" s="23"/>
      <c r="I347" s="23"/>
      <c r="J347" s="24">
        <v>46034</v>
      </c>
      <c r="K347" s="24">
        <v>46188</v>
      </c>
      <c r="L347" s="13">
        <f t="shared" si="5"/>
        <v>111</v>
      </c>
      <c r="M347" s="13"/>
      <c r="N347" s="23"/>
      <c r="O347" s="23"/>
      <c r="P347" s="13" t="s">
        <v>141</v>
      </c>
    </row>
    <row r="348" spans="1:16" ht="45">
      <c r="A348" s="16" t="s">
        <v>39</v>
      </c>
      <c r="B348" s="14" t="s">
        <v>363</v>
      </c>
      <c r="C348" s="14" t="s">
        <v>22</v>
      </c>
      <c r="D348" s="14" t="s">
        <v>19</v>
      </c>
      <c r="E348" s="14" t="s">
        <v>105</v>
      </c>
      <c r="F348" s="25">
        <v>0</v>
      </c>
      <c r="G348" s="14" t="s">
        <v>35</v>
      </c>
      <c r="H348" s="14" t="s">
        <v>142</v>
      </c>
      <c r="I348" s="14" t="s">
        <v>143</v>
      </c>
      <c r="J348" s="27"/>
      <c r="K348" s="27"/>
      <c r="L348" s="13">
        <f t="shared" si="5"/>
        <v>0</v>
      </c>
      <c r="M348" s="14"/>
      <c r="N348" s="23"/>
      <c r="O348" s="23"/>
      <c r="P348" s="14" t="s">
        <v>141</v>
      </c>
    </row>
    <row r="349" spans="1:16">
      <c r="A349" s="16" t="s">
        <v>39</v>
      </c>
      <c r="B349" s="14" t="s">
        <v>363</v>
      </c>
      <c r="C349" s="14" t="s">
        <v>28</v>
      </c>
      <c r="D349" s="14" t="s">
        <v>19</v>
      </c>
      <c r="E349" s="14" t="s">
        <v>105</v>
      </c>
      <c r="F349" s="25">
        <v>0</v>
      </c>
      <c r="G349" s="23"/>
      <c r="H349" s="23"/>
      <c r="I349" s="23"/>
      <c r="J349" s="27"/>
      <c r="K349" s="27"/>
      <c r="L349" s="13">
        <f t="shared" si="5"/>
        <v>0</v>
      </c>
      <c r="M349" s="14"/>
      <c r="N349" s="23"/>
      <c r="O349" s="23"/>
      <c r="P349" s="14" t="s">
        <v>141</v>
      </c>
    </row>
    <row r="350" spans="1:16">
      <c r="A350" s="16" t="s">
        <v>39</v>
      </c>
      <c r="B350" s="14" t="s">
        <v>363</v>
      </c>
      <c r="C350" s="14" t="s">
        <v>29</v>
      </c>
      <c r="D350" s="14" t="s">
        <v>19</v>
      </c>
      <c r="E350" s="14" t="s">
        <v>105</v>
      </c>
      <c r="F350" s="25">
        <v>0</v>
      </c>
      <c r="G350" s="23"/>
      <c r="H350" s="23"/>
      <c r="I350" s="23"/>
      <c r="J350" s="27"/>
      <c r="K350" s="27"/>
      <c r="L350" s="13">
        <f t="shared" si="5"/>
        <v>0</v>
      </c>
      <c r="M350" s="14"/>
      <c r="N350" s="23"/>
      <c r="O350" s="23"/>
      <c r="P350" s="14" t="s">
        <v>141</v>
      </c>
    </row>
    <row r="351" spans="1:16">
      <c r="A351" s="16" t="s">
        <v>39</v>
      </c>
      <c r="B351" s="14" t="s">
        <v>363</v>
      </c>
      <c r="C351" s="14" t="s">
        <v>30</v>
      </c>
      <c r="D351" s="14" t="s">
        <v>19</v>
      </c>
      <c r="E351" s="14" t="s">
        <v>105</v>
      </c>
      <c r="F351" s="25">
        <v>0</v>
      </c>
      <c r="G351" s="23"/>
      <c r="H351" s="23"/>
      <c r="I351" s="23"/>
      <c r="J351" s="27"/>
      <c r="K351" s="27"/>
      <c r="L351" s="13">
        <f t="shared" si="5"/>
        <v>0</v>
      </c>
      <c r="M351" s="14"/>
      <c r="N351" s="23"/>
      <c r="O351" s="23"/>
      <c r="P351" s="14" t="s">
        <v>141</v>
      </c>
    </row>
    <row r="352" spans="1:16">
      <c r="A352" s="21" t="s">
        <v>39</v>
      </c>
      <c r="B352" s="15" t="s">
        <v>364</v>
      </c>
      <c r="C352" s="15" t="s">
        <v>18</v>
      </c>
      <c r="D352" s="15" t="s">
        <v>33</v>
      </c>
      <c r="E352" s="15" t="s">
        <v>105</v>
      </c>
      <c r="F352" s="29">
        <v>0</v>
      </c>
      <c r="G352" s="17"/>
      <c r="H352" s="17"/>
      <c r="I352" s="17"/>
      <c r="J352" s="33">
        <v>46034</v>
      </c>
      <c r="K352" s="33">
        <v>46188</v>
      </c>
      <c r="L352" s="13">
        <f t="shared" si="5"/>
        <v>111</v>
      </c>
      <c r="M352" s="15"/>
      <c r="N352" s="17"/>
      <c r="O352" s="17"/>
      <c r="P352" s="15" t="s">
        <v>141</v>
      </c>
    </row>
    <row r="353" spans="1:16" ht="45">
      <c r="A353" s="16" t="s">
        <v>39</v>
      </c>
      <c r="B353" s="16" t="s">
        <v>365</v>
      </c>
      <c r="C353" s="16" t="s">
        <v>22</v>
      </c>
      <c r="D353" s="16" t="s">
        <v>33</v>
      </c>
      <c r="E353" s="16" t="s">
        <v>105</v>
      </c>
      <c r="F353" s="31">
        <v>0</v>
      </c>
      <c r="G353" s="16" t="s">
        <v>35</v>
      </c>
      <c r="H353" s="16" t="s">
        <v>142</v>
      </c>
      <c r="I353" s="16" t="s">
        <v>143</v>
      </c>
      <c r="J353" s="32">
        <v>46034</v>
      </c>
      <c r="K353" s="32">
        <v>46111</v>
      </c>
      <c r="L353" s="13">
        <f t="shared" si="5"/>
        <v>56</v>
      </c>
      <c r="M353" s="16"/>
      <c r="N353" s="16" t="s">
        <v>43</v>
      </c>
      <c r="O353" s="16" t="s">
        <v>26</v>
      </c>
      <c r="P353" s="16" t="s">
        <v>141</v>
      </c>
    </row>
    <row r="354" spans="1:16">
      <c r="A354" s="16" t="s">
        <v>39</v>
      </c>
      <c r="B354" s="16" t="s">
        <v>365</v>
      </c>
      <c r="C354" s="16" t="s">
        <v>28</v>
      </c>
      <c r="D354" s="16" t="s">
        <v>33</v>
      </c>
      <c r="E354" s="16" t="s">
        <v>105</v>
      </c>
      <c r="F354" s="31">
        <v>0</v>
      </c>
      <c r="G354" s="17"/>
      <c r="H354" s="17"/>
      <c r="I354" s="17"/>
      <c r="J354" s="32">
        <v>46113</v>
      </c>
      <c r="K354" s="32">
        <v>46188</v>
      </c>
      <c r="L354" s="13">
        <f t="shared" si="5"/>
        <v>54</v>
      </c>
      <c r="M354" s="16"/>
      <c r="N354" s="17"/>
      <c r="O354" s="16" t="s">
        <v>27</v>
      </c>
      <c r="P354" s="16" t="s">
        <v>141</v>
      </c>
    </row>
    <row r="355" spans="1:16">
      <c r="A355" s="16" t="s">
        <v>39</v>
      </c>
      <c r="B355" s="16" t="s">
        <v>365</v>
      </c>
      <c r="C355" s="16" t="s">
        <v>29</v>
      </c>
      <c r="D355" s="16" t="s">
        <v>33</v>
      </c>
      <c r="E355" s="16" t="s">
        <v>105</v>
      </c>
      <c r="F355" s="31">
        <v>0</v>
      </c>
      <c r="G355" s="17"/>
      <c r="H355" s="17"/>
      <c r="I355" s="17"/>
      <c r="J355" s="30"/>
      <c r="K355" s="30"/>
      <c r="L355" s="13">
        <f t="shared" si="5"/>
        <v>0</v>
      </c>
      <c r="M355" s="16"/>
      <c r="N355" s="17"/>
      <c r="O355" s="17"/>
      <c r="P355" s="16" t="s">
        <v>141</v>
      </c>
    </row>
    <row r="356" spans="1:16">
      <c r="A356" s="16" t="s">
        <v>39</v>
      </c>
      <c r="B356" s="16" t="s">
        <v>365</v>
      </c>
      <c r="C356" s="16" t="s">
        <v>30</v>
      </c>
      <c r="D356" s="16" t="s">
        <v>33</v>
      </c>
      <c r="E356" s="16" t="s">
        <v>105</v>
      </c>
      <c r="F356" s="31">
        <v>0</v>
      </c>
      <c r="G356" s="17"/>
      <c r="H356" s="17"/>
      <c r="I356" s="17"/>
      <c r="J356" s="30"/>
      <c r="K356" s="30"/>
      <c r="L356" s="13">
        <f t="shared" si="5"/>
        <v>0</v>
      </c>
      <c r="M356" s="16"/>
      <c r="N356" s="17"/>
      <c r="O356" s="17"/>
      <c r="P356" s="16" t="s">
        <v>141</v>
      </c>
    </row>
    <row r="357" spans="1:16">
      <c r="A357" s="21" t="s">
        <v>39</v>
      </c>
      <c r="B357" s="15" t="s">
        <v>366</v>
      </c>
      <c r="C357" s="15" t="s">
        <v>18</v>
      </c>
      <c r="D357" s="15" t="s">
        <v>33</v>
      </c>
      <c r="E357" s="15" t="s">
        <v>105</v>
      </c>
      <c r="F357" s="29">
        <v>0</v>
      </c>
      <c r="G357" s="17"/>
      <c r="H357" s="17"/>
      <c r="I357" s="17"/>
      <c r="J357" s="33">
        <v>46034</v>
      </c>
      <c r="K357" s="33">
        <v>46188</v>
      </c>
      <c r="L357" s="13">
        <f t="shared" si="5"/>
        <v>111</v>
      </c>
      <c r="M357" s="15"/>
      <c r="N357" s="17"/>
      <c r="O357" s="17"/>
      <c r="P357" s="15" t="s">
        <v>141</v>
      </c>
    </row>
    <row r="358" spans="1:16" ht="45">
      <c r="A358" s="16" t="s">
        <v>39</v>
      </c>
      <c r="B358" s="16" t="s">
        <v>367</v>
      </c>
      <c r="C358" s="16" t="s">
        <v>22</v>
      </c>
      <c r="D358" s="16" t="s">
        <v>33</v>
      </c>
      <c r="E358" s="16" t="s">
        <v>105</v>
      </c>
      <c r="F358" s="31">
        <v>0</v>
      </c>
      <c r="G358" s="16" t="s">
        <v>35</v>
      </c>
      <c r="H358" s="16" t="s">
        <v>142</v>
      </c>
      <c r="I358" s="16" t="s">
        <v>143</v>
      </c>
      <c r="J358" s="32">
        <v>46034</v>
      </c>
      <c r="K358" s="32">
        <v>46111</v>
      </c>
      <c r="L358" s="13">
        <f t="shared" si="5"/>
        <v>56</v>
      </c>
      <c r="M358" s="16"/>
      <c r="N358" s="16" t="s">
        <v>43</v>
      </c>
      <c r="O358" s="16" t="s">
        <v>26</v>
      </c>
      <c r="P358" s="16" t="s">
        <v>141</v>
      </c>
    </row>
    <row r="359" spans="1:16">
      <c r="A359" s="16" t="s">
        <v>39</v>
      </c>
      <c r="B359" s="16" t="s">
        <v>367</v>
      </c>
      <c r="C359" s="16" t="s">
        <v>28</v>
      </c>
      <c r="D359" s="16" t="s">
        <v>33</v>
      </c>
      <c r="E359" s="16" t="s">
        <v>105</v>
      </c>
      <c r="F359" s="31">
        <v>0</v>
      </c>
      <c r="G359" s="17"/>
      <c r="H359" s="17"/>
      <c r="I359" s="17"/>
      <c r="J359" s="32">
        <v>46113</v>
      </c>
      <c r="K359" s="32">
        <v>46188</v>
      </c>
      <c r="L359" s="13">
        <f t="shared" si="5"/>
        <v>54</v>
      </c>
      <c r="M359" s="16"/>
      <c r="N359" s="17"/>
      <c r="O359" s="16" t="s">
        <v>27</v>
      </c>
      <c r="P359" s="16" t="s">
        <v>141</v>
      </c>
    </row>
    <row r="360" spans="1:16">
      <c r="A360" s="16" t="s">
        <v>39</v>
      </c>
      <c r="B360" s="16" t="s">
        <v>367</v>
      </c>
      <c r="C360" s="16" t="s">
        <v>29</v>
      </c>
      <c r="D360" s="16" t="s">
        <v>33</v>
      </c>
      <c r="E360" s="16" t="s">
        <v>105</v>
      </c>
      <c r="F360" s="31">
        <v>0</v>
      </c>
      <c r="G360" s="17"/>
      <c r="H360" s="17"/>
      <c r="I360" s="17"/>
      <c r="J360" s="30"/>
      <c r="K360" s="30"/>
      <c r="L360" s="13">
        <f t="shared" si="5"/>
        <v>0</v>
      </c>
      <c r="M360" s="16"/>
      <c r="N360" s="17"/>
      <c r="O360" s="17"/>
      <c r="P360" s="16" t="s">
        <v>141</v>
      </c>
    </row>
    <row r="361" spans="1:16">
      <c r="A361" s="16" t="s">
        <v>39</v>
      </c>
      <c r="B361" s="16" t="s">
        <v>367</v>
      </c>
      <c r="C361" s="16" t="s">
        <v>30</v>
      </c>
      <c r="D361" s="16" t="s">
        <v>33</v>
      </c>
      <c r="E361" s="16" t="s">
        <v>105</v>
      </c>
      <c r="F361" s="31">
        <v>0</v>
      </c>
      <c r="G361" s="17"/>
      <c r="H361" s="17"/>
      <c r="I361" s="17"/>
      <c r="J361" s="30"/>
      <c r="K361" s="30"/>
      <c r="L361" s="13">
        <f t="shared" si="5"/>
        <v>0</v>
      </c>
      <c r="M361" s="16"/>
      <c r="N361" s="17"/>
      <c r="O361" s="17"/>
      <c r="P361" s="16" t="s">
        <v>141</v>
      </c>
    </row>
    <row r="362" spans="1:16">
      <c r="A362" s="21" t="s">
        <v>39</v>
      </c>
      <c r="B362" s="13" t="s">
        <v>368</v>
      </c>
      <c r="C362" s="13" t="s">
        <v>18</v>
      </c>
      <c r="D362" s="13" t="s">
        <v>19</v>
      </c>
      <c r="E362" s="13" t="s">
        <v>105</v>
      </c>
      <c r="F362" s="22">
        <v>0.12</v>
      </c>
      <c r="G362" s="23"/>
      <c r="H362" s="23"/>
      <c r="I362" s="23"/>
      <c r="J362" s="24">
        <v>45945</v>
      </c>
      <c r="K362" s="24">
        <v>46203</v>
      </c>
      <c r="L362" s="13">
        <f t="shared" si="5"/>
        <v>185</v>
      </c>
      <c r="M362" s="13"/>
      <c r="N362" s="23"/>
      <c r="O362" s="23"/>
      <c r="P362" s="13" t="s">
        <v>146</v>
      </c>
    </row>
    <row r="363" spans="1:16">
      <c r="A363" s="16" t="s">
        <v>39</v>
      </c>
      <c r="B363" s="14" t="s">
        <v>369</v>
      </c>
      <c r="C363" s="14" t="s">
        <v>22</v>
      </c>
      <c r="D363" s="14" t="s">
        <v>19</v>
      </c>
      <c r="E363" s="14" t="s">
        <v>105</v>
      </c>
      <c r="F363" s="25">
        <v>0</v>
      </c>
      <c r="G363" s="14" t="s">
        <v>147</v>
      </c>
      <c r="H363" s="23"/>
      <c r="I363" s="23"/>
      <c r="J363" s="27"/>
      <c r="K363" s="27"/>
      <c r="L363" s="13">
        <f t="shared" si="5"/>
        <v>0</v>
      </c>
      <c r="M363" s="14"/>
      <c r="N363" s="23"/>
      <c r="O363" s="23"/>
      <c r="P363" s="14" t="s">
        <v>146</v>
      </c>
    </row>
    <row r="364" spans="1:16">
      <c r="A364" s="16" t="s">
        <v>39</v>
      </c>
      <c r="B364" s="14" t="s">
        <v>369</v>
      </c>
      <c r="C364" s="14" t="s">
        <v>28</v>
      </c>
      <c r="D364" s="14" t="s">
        <v>19</v>
      </c>
      <c r="E364" s="14" t="s">
        <v>105</v>
      </c>
      <c r="F364" s="25">
        <v>0</v>
      </c>
      <c r="G364" s="23"/>
      <c r="H364" s="23"/>
      <c r="I364" s="23"/>
      <c r="J364" s="27"/>
      <c r="K364" s="27"/>
      <c r="L364" s="13">
        <f t="shared" si="5"/>
        <v>0</v>
      </c>
      <c r="M364" s="14"/>
      <c r="N364" s="23"/>
      <c r="O364" s="23"/>
      <c r="P364" s="14" t="s">
        <v>146</v>
      </c>
    </row>
    <row r="365" spans="1:16">
      <c r="A365" s="16" t="s">
        <v>39</v>
      </c>
      <c r="B365" s="14" t="s">
        <v>369</v>
      </c>
      <c r="C365" s="14" t="s">
        <v>29</v>
      </c>
      <c r="D365" s="14" t="s">
        <v>19</v>
      </c>
      <c r="E365" s="14" t="s">
        <v>105</v>
      </c>
      <c r="F365" s="25">
        <v>0</v>
      </c>
      <c r="G365" s="23"/>
      <c r="H365" s="23"/>
      <c r="I365" s="23"/>
      <c r="J365" s="27"/>
      <c r="K365" s="27"/>
      <c r="L365" s="13">
        <f t="shared" si="5"/>
        <v>0</v>
      </c>
      <c r="M365" s="14"/>
      <c r="N365" s="23"/>
      <c r="O365" s="23"/>
      <c r="P365" s="14" t="s">
        <v>146</v>
      </c>
    </row>
    <row r="366" spans="1:16">
      <c r="A366" s="16" t="s">
        <v>39</v>
      </c>
      <c r="B366" s="14" t="s">
        <v>369</v>
      </c>
      <c r="C366" s="14" t="s">
        <v>30</v>
      </c>
      <c r="D366" s="14" t="s">
        <v>19</v>
      </c>
      <c r="E366" s="14" t="s">
        <v>105</v>
      </c>
      <c r="F366" s="25">
        <v>0</v>
      </c>
      <c r="G366" s="23"/>
      <c r="H366" s="23"/>
      <c r="I366" s="23"/>
      <c r="J366" s="27"/>
      <c r="K366" s="27"/>
      <c r="L366" s="13">
        <f t="shared" si="5"/>
        <v>0</v>
      </c>
      <c r="M366" s="14"/>
      <c r="N366" s="23"/>
      <c r="O366" s="23"/>
      <c r="P366" s="14" t="s">
        <v>146</v>
      </c>
    </row>
    <row r="367" spans="1:16">
      <c r="A367" s="21" t="s">
        <v>39</v>
      </c>
      <c r="B367" s="15" t="s">
        <v>370</v>
      </c>
      <c r="C367" s="15" t="s">
        <v>18</v>
      </c>
      <c r="D367" s="15" t="s">
        <v>33</v>
      </c>
      <c r="E367" s="15" t="s">
        <v>105</v>
      </c>
      <c r="F367" s="29">
        <v>0</v>
      </c>
      <c r="G367" s="17"/>
      <c r="H367" s="17"/>
      <c r="I367" s="17"/>
      <c r="J367" s="33">
        <v>45945</v>
      </c>
      <c r="K367" s="33">
        <v>46203</v>
      </c>
      <c r="L367" s="13">
        <f t="shared" si="5"/>
        <v>185</v>
      </c>
      <c r="M367" s="15"/>
      <c r="N367" s="23"/>
      <c r="O367" s="23"/>
      <c r="P367" s="13" t="s">
        <v>146</v>
      </c>
    </row>
    <row r="368" spans="1:16" ht="30">
      <c r="A368" s="16" t="s">
        <v>39</v>
      </c>
      <c r="B368" s="16" t="s">
        <v>371</v>
      </c>
      <c r="C368" s="16" t="s">
        <v>22</v>
      </c>
      <c r="D368" s="16" t="s">
        <v>33</v>
      </c>
      <c r="E368" s="16" t="s">
        <v>105</v>
      </c>
      <c r="F368" s="31">
        <v>0</v>
      </c>
      <c r="G368" s="16" t="s">
        <v>147</v>
      </c>
      <c r="H368" s="16" t="s">
        <v>372</v>
      </c>
      <c r="I368" s="16" t="s">
        <v>139</v>
      </c>
      <c r="J368" s="32">
        <v>46037</v>
      </c>
      <c r="K368" s="32">
        <v>46097</v>
      </c>
      <c r="L368" s="13">
        <f t="shared" si="5"/>
        <v>43</v>
      </c>
      <c r="M368" s="16"/>
      <c r="N368" s="14" t="s">
        <v>43</v>
      </c>
      <c r="O368" s="14" t="s">
        <v>26</v>
      </c>
      <c r="P368" s="14" t="s">
        <v>146</v>
      </c>
    </row>
    <row r="369" spans="1:16">
      <c r="A369" s="16" t="s">
        <v>39</v>
      </c>
      <c r="B369" s="16" t="s">
        <v>371</v>
      </c>
      <c r="C369" s="16" t="s">
        <v>28</v>
      </c>
      <c r="D369" s="16" t="s">
        <v>33</v>
      </c>
      <c r="E369" s="16" t="s">
        <v>105</v>
      </c>
      <c r="F369" s="31">
        <v>0</v>
      </c>
      <c r="G369" s="17"/>
      <c r="H369" s="17"/>
      <c r="I369" s="17"/>
      <c r="J369" s="32">
        <v>46127</v>
      </c>
      <c r="K369" s="32">
        <v>46203</v>
      </c>
      <c r="L369" s="13">
        <f t="shared" si="5"/>
        <v>55</v>
      </c>
      <c r="M369" s="16"/>
      <c r="N369" s="23"/>
      <c r="O369" s="14" t="s">
        <v>27</v>
      </c>
      <c r="P369" s="14" t="s">
        <v>146</v>
      </c>
    </row>
    <row r="370" spans="1:16">
      <c r="A370" s="16" t="s">
        <v>39</v>
      </c>
      <c r="B370" s="16" t="s">
        <v>371</v>
      </c>
      <c r="C370" s="16" t="s">
        <v>29</v>
      </c>
      <c r="D370" s="16" t="s">
        <v>33</v>
      </c>
      <c r="E370" s="16" t="s">
        <v>105</v>
      </c>
      <c r="F370" s="31">
        <v>0</v>
      </c>
      <c r="G370" s="17"/>
      <c r="H370" s="17"/>
      <c r="I370" s="17"/>
      <c r="J370" s="30"/>
      <c r="K370" s="30"/>
      <c r="L370" s="13">
        <f t="shared" si="5"/>
        <v>0</v>
      </c>
      <c r="M370" s="16"/>
      <c r="N370" s="23"/>
      <c r="O370" s="23"/>
      <c r="P370" s="14" t="s">
        <v>146</v>
      </c>
    </row>
    <row r="371" spans="1:16">
      <c r="A371" s="16" t="s">
        <v>39</v>
      </c>
      <c r="B371" s="16" t="s">
        <v>371</v>
      </c>
      <c r="C371" s="16" t="s">
        <v>30</v>
      </c>
      <c r="D371" s="16" t="s">
        <v>33</v>
      </c>
      <c r="E371" s="16" t="s">
        <v>105</v>
      </c>
      <c r="F371" s="31">
        <v>0</v>
      </c>
      <c r="G371" s="17"/>
      <c r="H371" s="17"/>
      <c r="I371" s="17"/>
      <c r="J371" s="30"/>
      <c r="K371" s="30"/>
      <c r="L371" s="13">
        <f t="shared" si="5"/>
        <v>0</v>
      </c>
      <c r="M371" s="16"/>
      <c r="N371" s="23"/>
      <c r="O371" s="23"/>
      <c r="P371" s="14" t="s">
        <v>146</v>
      </c>
    </row>
    <row r="372" spans="1:16">
      <c r="A372" s="21" t="s">
        <v>39</v>
      </c>
      <c r="B372" s="15" t="s">
        <v>373</v>
      </c>
      <c r="C372" s="15" t="s">
        <v>18</v>
      </c>
      <c r="D372" s="15" t="s">
        <v>58</v>
      </c>
      <c r="E372" s="15" t="s">
        <v>105</v>
      </c>
      <c r="F372" s="29">
        <v>0</v>
      </c>
      <c r="G372" s="17"/>
      <c r="H372" s="17"/>
      <c r="I372" s="17"/>
      <c r="J372" s="30"/>
      <c r="K372" s="33"/>
      <c r="L372" s="13">
        <f t="shared" si="5"/>
        <v>0</v>
      </c>
      <c r="M372" s="15"/>
      <c r="N372" s="17"/>
      <c r="O372" s="17"/>
      <c r="P372" s="15" t="s">
        <v>146</v>
      </c>
    </row>
    <row r="373" spans="1:16" ht="30">
      <c r="A373" s="16" t="s">
        <v>39</v>
      </c>
      <c r="B373" s="16" t="s">
        <v>374</v>
      </c>
      <c r="C373" s="16" t="s">
        <v>22</v>
      </c>
      <c r="D373" s="16" t="s">
        <v>58</v>
      </c>
      <c r="E373" s="16" t="s">
        <v>105</v>
      </c>
      <c r="F373" s="31">
        <v>0</v>
      </c>
      <c r="G373" s="16" t="s">
        <v>147</v>
      </c>
      <c r="H373" s="16" t="s">
        <v>372</v>
      </c>
      <c r="I373" s="17"/>
      <c r="J373" s="30"/>
      <c r="K373" s="30"/>
      <c r="L373" s="13">
        <f t="shared" si="5"/>
        <v>0</v>
      </c>
      <c r="M373" s="16"/>
      <c r="N373" s="17"/>
      <c r="O373" s="17"/>
      <c r="P373" s="16" t="s">
        <v>146</v>
      </c>
    </row>
    <row r="374" spans="1:16">
      <c r="A374" s="16" t="s">
        <v>39</v>
      </c>
      <c r="B374" s="16" t="s">
        <v>374</v>
      </c>
      <c r="C374" s="16" t="s">
        <v>28</v>
      </c>
      <c r="D374" s="16" t="s">
        <v>58</v>
      </c>
      <c r="E374" s="16" t="s">
        <v>105</v>
      </c>
      <c r="F374" s="31">
        <v>0</v>
      </c>
      <c r="G374" s="17"/>
      <c r="H374" s="17"/>
      <c r="I374" s="17"/>
      <c r="J374" s="30"/>
      <c r="K374" s="30"/>
      <c r="L374" s="13">
        <f t="shared" si="5"/>
        <v>0</v>
      </c>
      <c r="M374" s="16"/>
      <c r="N374" s="17"/>
      <c r="O374" s="17"/>
      <c r="P374" s="16" t="s">
        <v>146</v>
      </c>
    </row>
    <row r="375" spans="1:16">
      <c r="A375" s="16" t="s">
        <v>39</v>
      </c>
      <c r="B375" s="16" t="s">
        <v>374</v>
      </c>
      <c r="C375" s="16" t="s">
        <v>29</v>
      </c>
      <c r="D375" s="16" t="s">
        <v>58</v>
      </c>
      <c r="E375" s="16" t="s">
        <v>105</v>
      </c>
      <c r="F375" s="31">
        <v>0</v>
      </c>
      <c r="G375" s="17"/>
      <c r="H375" s="17"/>
      <c r="I375" s="17"/>
      <c r="J375" s="30"/>
      <c r="K375" s="30"/>
      <c r="L375" s="13">
        <f t="shared" si="5"/>
        <v>0</v>
      </c>
      <c r="M375" s="16"/>
      <c r="N375" s="17"/>
      <c r="O375" s="17"/>
      <c r="P375" s="16" t="s">
        <v>146</v>
      </c>
    </row>
    <row r="376" spans="1:16">
      <c r="A376" s="16" t="s">
        <v>39</v>
      </c>
      <c r="B376" s="16" t="s">
        <v>374</v>
      </c>
      <c r="C376" s="16" t="s">
        <v>30</v>
      </c>
      <c r="D376" s="16" t="s">
        <v>58</v>
      </c>
      <c r="E376" s="16" t="s">
        <v>105</v>
      </c>
      <c r="F376" s="31">
        <v>0</v>
      </c>
      <c r="G376" s="17"/>
      <c r="H376" s="17"/>
      <c r="I376" s="17"/>
      <c r="J376" s="30"/>
      <c r="K376" s="30"/>
      <c r="L376" s="13">
        <f t="shared" si="5"/>
        <v>0</v>
      </c>
      <c r="M376" s="16"/>
      <c r="N376" s="17"/>
      <c r="O376" s="17"/>
      <c r="P376" s="16" t="s">
        <v>146</v>
      </c>
    </row>
    <row r="377" spans="1:16" ht="30">
      <c r="A377" s="21" t="s">
        <v>39</v>
      </c>
      <c r="B377" s="15" t="s">
        <v>375</v>
      </c>
      <c r="C377" s="15" t="s">
        <v>18</v>
      </c>
      <c r="D377" s="15" t="s">
        <v>58</v>
      </c>
      <c r="E377" s="15" t="s">
        <v>105</v>
      </c>
      <c r="F377" s="29">
        <v>0</v>
      </c>
      <c r="G377" s="17"/>
      <c r="H377" s="17"/>
      <c r="I377" s="17"/>
      <c r="J377" s="30"/>
      <c r="K377" s="30"/>
      <c r="L377" s="13">
        <f t="shared" si="5"/>
        <v>0</v>
      </c>
      <c r="M377" s="15"/>
      <c r="N377" s="17"/>
      <c r="O377" s="17"/>
      <c r="P377" s="15" t="s">
        <v>146</v>
      </c>
    </row>
    <row r="378" spans="1:16" ht="30">
      <c r="A378" s="16" t="s">
        <v>39</v>
      </c>
      <c r="B378" s="16" t="s">
        <v>376</v>
      </c>
      <c r="C378" s="16" t="s">
        <v>22</v>
      </c>
      <c r="D378" s="16" t="s">
        <v>58</v>
      </c>
      <c r="E378" s="16" t="s">
        <v>105</v>
      </c>
      <c r="F378" s="31">
        <v>0</v>
      </c>
      <c r="G378" s="16" t="s">
        <v>147</v>
      </c>
      <c r="H378" s="16" t="s">
        <v>372</v>
      </c>
      <c r="I378" s="17"/>
      <c r="J378" s="30"/>
      <c r="K378" s="30"/>
      <c r="L378" s="13">
        <f t="shared" si="5"/>
        <v>0</v>
      </c>
      <c r="M378" s="16"/>
      <c r="N378" s="17"/>
      <c r="O378" s="17"/>
      <c r="P378" s="16" t="s">
        <v>146</v>
      </c>
    </row>
    <row r="379" spans="1:16" ht="30">
      <c r="A379" s="16" t="s">
        <v>39</v>
      </c>
      <c r="B379" s="16" t="s">
        <v>376</v>
      </c>
      <c r="C379" s="16" t="s">
        <v>28</v>
      </c>
      <c r="D379" s="16" t="s">
        <v>58</v>
      </c>
      <c r="E379" s="16" t="s">
        <v>105</v>
      </c>
      <c r="F379" s="31">
        <v>0</v>
      </c>
      <c r="G379" s="17"/>
      <c r="H379" s="17"/>
      <c r="I379" s="17"/>
      <c r="J379" s="30"/>
      <c r="K379" s="30"/>
      <c r="L379" s="13">
        <f t="shared" si="5"/>
        <v>0</v>
      </c>
      <c r="M379" s="16"/>
      <c r="N379" s="17"/>
      <c r="O379" s="17"/>
      <c r="P379" s="16" t="s">
        <v>146</v>
      </c>
    </row>
    <row r="380" spans="1:16" ht="30">
      <c r="A380" s="16" t="s">
        <v>39</v>
      </c>
      <c r="B380" s="16" t="s">
        <v>376</v>
      </c>
      <c r="C380" s="16" t="s">
        <v>29</v>
      </c>
      <c r="D380" s="16" t="s">
        <v>58</v>
      </c>
      <c r="E380" s="16" t="s">
        <v>105</v>
      </c>
      <c r="F380" s="31">
        <v>0</v>
      </c>
      <c r="G380" s="17"/>
      <c r="H380" s="17"/>
      <c r="I380" s="17"/>
      <c r="J380" s="30"/>
      <c r="K380" s="30"/>
      <c r="L380" s="13">
        <f t="shared" si="5"/>
        <v>0</v>
      </c>
      <c r="M380" s="16"/>
      <c r="N380" s="17"/>
      <c r="O380" s="17"/>
      <c r="P380" s="16" t="s">
        <v>146</v>
      </c>
    </row>
    <row r="381" spans="1:16" ht="30">
      <c r="A381" s="16" t="s">
        <v>39</v>
      </c>
      <c r="B381" s="16" t="s">
        <v>376</v>
      </c>
      <c r="C381" s="16" t="s">
        <v>30</v>
      </c>
      <c r="D381" s="16" t="s">
        <v>58</v>
      </c>
      <c r="E381" s="16" t="s">
        <v>105</v>
      </c>
      <c r="F381" s="31">
        <v>0</v>
      </c>
      <c r="G381" s="17"/>
      <c r="H381" s="17"/>
      <c r="I381" s="17"/>
      <c r="J381" s="30"/>
      <c r="K381" s="30"/>
      <c r="L381" s="13">
        <f t="shared" si="5"/>
        <v>0</v>
      </c>
      <c r="M381" s="16"/>
      <c r="N381" s="17"/>
      <c r="O381" s="17"/>
      <c r="P381" s="16" t="s">
        <v>146</v>
      </c>
    </row>
    <row r="382" spans="1:16">
      <c r="A382" s="21" t="s">
        <v>39</v>
      </c>
      <c r="B382" s="15" t="s">
        <v>377</v>
      </c>
      <c r="C382" s="15" t="s">
        <v>18</v>
      </c>
      <c r="D382" s="15" t="s">
        <v>33</v>
      </c>
      <c r="E382" s="15" t="s">
        <v>105</v>
      </c>
      <c r="F382" s="29">
        <v>0</v>
      </c>
      <c r="G382" s="17"/>
      <c r="H382" s="17"/>
      <c r="I382" s="17"/>
      <c r="J382" s="33">
        <v>45945</v>
      </c>
      <c r="K382" s="33">
        <v>46111</v>
      </c>
      <c r="L382" s="13">
        <f t="shared" si="5"/>
        <v>119</v>
      </c>
      <c r="M382" s="15"/>
      <c r="N382" s="17"/>
      <c r="O382" s="17"/>
      <c r="P382" s="15" t="s">
        <v>146</v>
      </c>
    </row>
    <row r="383" spans="1:16" ht="30">
      <c r="A383" s="16" t="s">
        <v>39</v>
      </c>
      <c r="B383" s="16" t="s">
        <v>378</v>
      </c>
      <c r="C383" s="16" t="s">
        <v>22</v>
      </c>
      <c r="D383" s="16" t="s">
        <v>33</v>
      </c>
      <c r="E383" s="16" t="s">
        <v>105</v>
      </c>
      <c r="F383" s="31">
        <v>0</v>
      </c>
      <c r="G383" s="16" t="s">
        <v>147</v>
      </c>
      <c r="H383" s="16" t="s">
        <v>153</v>
      </c>
      <c r="I383" s="16" t="s">
        <v>139</v>
      </c>
      <c r="J383" s="32">
        <v>46034</v>
      </c>
      <c r="K383" s="32">
        <v>46111</v>
      </c>
      <c r="L383" s="13">
        <f t="shared" si="5"/>
        <v>56</v>
      </c>
      <c r="M383" s="16"/>
      <c r="N383" s="16" t="s">
        <v>43</v>
      </c>
      <c r="O383" s="16" t="s">
        <v>26</v>
      </c>
      <c r="P383" s="16" t="s">
        <v>146</v>
      </c>
    </row>
    <row r="384" spans="1:16" ht="30">
      <c r="A384" s="16" t="s">
        <v>39</v>
      </c>
      <c r="B384" s="16" t="s">
        <v>378</v>
      </c>
      <c r="C384" s="16" t="s">
        <v>28</v>
      </c>
      <c r="D384" s="16" t="s">
        <v>33</v>
      </c>
      <c r="E384" s="16" t="s">
        <v>105</v>
      </c>
      <c r="F384" s="31">
        <v>0</v>
      </c>
      <c r="G384" s="17"/>
      <c r="H384" s="17"/>
      <c r="I384" s="17"/>
      <c r="J384" s="30"/>
      <c r="K384" s="30"/>
      <c r="L384" s="13">
        <f t="shared" si="5"/>
        <v>0</v>
      </c>
      <c r="M384" s="16"/>
      <c r="N384" s="17"/>
      <c r="O384" s="17"/>
      <c r="P384" s="16" t="s">
        <v>146</v>
      </c>
    </row>
    <row r="385" spans="1:16" ht="30">
      <c r="A385" s="16" t="s">
        <v>39</v>
      </c>
      <c r="B385" s="16" t="s">
        <v>378</v>
      </c>
      <c r="C385" s="16" t="s">
        <v>29</v>
      </c>
      <c r="D385" s="16" t="s">
        <v>33</v>
      </c>
      <c r="E385" s="16" t="s">
        <v>105</v>
      </c>
      <c r="F385" s="31">
        <v>0</v>
      </c>
      <c r="G385" s="17"/>
      <c r="H385" s="17"/>
      <c r="I385" s="17"/>
      <c r="J385" s="30"/>
      <c r="K385" s="30"/>
      <c r="L385" s="13">
        <f t="shared" si="5"/>
        <v>0</v>
      </c>
      <c r="M385" s="16"/>
      <c r="N385" s="17"/>
      <c r="O385" s="17"/>
      <c r="P385" s="16" t="s">
        <v>146</v>
      </c>
    </row>
    <row r="386" spans="1:16" ht="30">
      <c r="A386" s="16" t="s">
        <v>39</v>
      </c>
      <c r="B386" s="16" t="s">
        <v>378</v>
      </c>
      <c r="C386" s="16" t="s">
        <v>30</v>
      </c>
      <c r="D386" s="16" t="s">
        <v>33</v>
      </c>
      <c r="E386" s="16" t="s">
        <v>105</v>
      </c>
      <c r="F386" s="31">
        <v>0</v>
      </c>
      <c r="G386" s="17"/>
      <c r="H386" s="17"/>
      <c r="I386" s="17"/>
      <c r="J386" s="30"/>
      <c r="K386" s="30"/>
      <c r="L386" s="13">
        <f t="shared" si="5"/>
        <v>0</v>
      </c>
      <c r="M386" s="16"/>
      <c r="N386" s="17"/>
      <c r="O386" s="17"/>
      <c r="P386" s="16" t="s">
        <v>146</v>
      </c>
    </row>
    <row r="387" spans="1:16">
      <c r="A387" s="21" t="s">
        <v>39</v>
      </c>
      <c r="B387" s="15" t="s">
        <v>379</v>
      </c>
      <c r="C387" s="15" t="s">
        <v>18</v>
      </c>
      <c r="D387" s="15" t="s">
        <v>58</v>
      </c>
      <c r="E387" s="15" t="s">
        <v>105</v>
      </c>
      <c r="F387" s="29">
        <v>0</v>
      </c>
      <c r="G387" s="17"/>
      <c r="H387" s="17"/>
      <c r="I387" s="17"/>
      <c r="J387" s="30"/>
      <c r="K387" s="30"/>
      <c r="L387" s="13">
        <f t="shared" si="5"/>
        <v>0</v>
      </c>
      <c r="M387" s="15"/>
      <c r="N387" s="17"/>
      <c r="O387" s="17"/>
      <c r="P387" s="15" t="s">
        <v>146</v>
      </c>
    </row>
    <row r="388" spans="1:16" ht="30">
      <c r="A388" s="16" t="s">
        <v>39</v>
      </c>
      <c r="B388" s="16" t="s">
        <v>380</v>
      </c>
      <c r="C388" s="16" t="s">
        <v>22</v>
      </c>
      <c r="D388" s="16" t="s">
        <v>58</v>
      </c>
      <c r="E388" s="16" t="s">
        <v>105</v>
      </c>
      <c r="F388" s="31">
        <v>0</v>
      </c>
      <c r="G388" s="16" t="s">
        <v>147</v>
      </c>
      <c r="H388" s="16" t="s">
        <v>372</v>
      </c>
      <c r="I388" s="17"/>
      <c r="J388" s="30"/>
      <c r="K388" s="30"/>
      <c r="L388" s="13">
        <f t="shared" ref="L388:L451" si="6">NETWORKDAYS(J388,K388)</f>
        <v>0</v>
      </c>
      <c r="M388" s="16"/>
      <c r="N388" s="17"/>
      <c r="O388" s="17"/>
      <c r="P388" s="16" t="s">
        <v>146</v>
      </c>
    </row>
    <row r="389" spans="1:16">
      <c r="A389" s="16" t="s">
        <v>39</v>
      </c>
      <c r="B389" s="16" t="s">
        <v>380</v>
      </c>
      <c r="C389" s="16" t="s">
        <v>28</v>
      </c>
      <c r="D389" s="16" t="s">
        <v>58</v>
      </c>
      <c r="E389" s="16" t="s">
        <v>105</v>
      </c>
      <c r="F389" s="31">
        <v>0</v>
      </c>
      <c r="G389" s="17"/>
      <c r="H389" s="17"/>
      <c r="I389" s="17"/>
      <c r="J389" s="30"/>
      <c r="K389" s="30"/>
      <c r="L389" s="13">
        <f t="shared" si="6"/>
        <v>0</v>
      </c>
      <c r="M389" s="16"/>
      <c r="N389" s="17"/>
      <c r="O389" s="17"/>
      <c r="P389" s="16" t="s">
        <v>146</v>
      </c>
    </row>
    <row r="390" spans="1:16">
      <c r="A390" s="16" t="s">
        <v>39</v>
      </c>
      <c r="B390" s="16" t="s">
        <v>380</v>
      </c>
      <c r="C390" s="16" t="s">
        <v>29</v>
      </c>
      <c r="D390" s="16" t="s">
        <v>58</v>
      </c>
      <c r="E390" s="16" t="s">
        <v>105</v>
      </c>
      <c r="F390" s="31">
        <v>0</v>
      </c>
      <c r="G390" s="17"/>
      <c r="H390" s="17"/>
      <c r="I390" s="17"/>
      <c r="J390" s="30"/>
      <c r="K390" s="30"/>
      <c r="L390" s="13">
        <f t="shared" si="6"/>
        <v>0</v>
      </c>
      <c r="M390" s="16"/>
      <c r="N390" s="17"/>
      <c r="O390" s="17"/>
      <c r="P390" s="16" t="s">
        <v>146</v>
      </c>
    </row>
    <row r="391" spans="1:16">
      <c r="A391" s="16" t="s">
        <v>39</v>
      </c>
      <c r="B391" s="16" t="s">
        <v>380</v>
      </c>
      <c r="C391" s="16" t="s">
        <v>30</v>
      </c>
      <c r="D391" s="16" t="s">
        <v>58</v>
      </c>
      <c r="E391" s="16" t="s">
        <v>105</v>
      </c>
      <c r="F391" s="31">
        <v>0</v>
      </c>
      <c r="G391" s="17"/>
      <c r="H391" s="17"/>
      <c r="I391" s="17"/>
      <c r="J391" s="30"/>
      <c r="K391" s="30"/>
      <c r="L391" s="13">
        <f t="shared" si="6"/>
        <v>0</v>
      </c>
      <c r="M391" s="16"/>
      <c r="N391" s="17"/>
      <c r="O391" s="17"/>
      <c r="P391" s="16" t="s">
        <v>146</v>
      </c>
    </row>
    <row r="392" spans="1:16">
      <c r="A392" s="21" t="s">
        <v>39</v>
      </c>
      <c r="B392" s="15" t="s">
        <v>381</v>
      </c>
      <c r="C392" s="15" t="s">
        <v>18</v>
      </c>
      <c r="D392" s="15" t="s">
        <v>58</v>
      </c>
      <c r="E392" s="15" t="s">
        <v>105</v>
      </c>
      <c r="F392" s="29">
        <v>0</v>
      </c>
      <c r="G392" s="17"/>
      <c r="H392" s="17"/>
      <c r="I392" s="17"/>
      <c r="J392" s="30"/>
      <c r="K392" s="30"/>
      <c r="L392" s="13">
        <f t="shared" si="6"/>
        <v>0</v>
      </c>
      <c r="M392" s="15"/>
      <c r="N392" s="17"/>
      <c r="O392" s="17"/>
      <c r="P392" s="15" t="s">
        <v>146</v>
      </c>
    </row>
    <row r="393" spans="1:16" ht="30">
      <c r="A393" s="16" t="s">
        <v>39</v>
      </c>
      <c r="B393" s="16" t="s">
        <v>382</v>
      </c>
      <c r="C393" s="16" t="s">
        <v>22</v>
      </c>
      <c r="D393" s="16" t="s">
        <v>58</v>
      </c>
      <c r="E393" s="16" t="s">
        <v>105</v>
      </c>
      <c r="F393" s="31">
        <v>0</v>
      </c>
      <c r="G393" s="16" t="s">
        <v>147</v>
      </c>
      <c r="H393" s="16" t="s">
        <v>372</v>
      </c>
      <c r="I393" s="17"/>
      <c r="J393" s="30"/>
      <c r="K393" s="30"/>
      <c r="L393" s="13">
        <f t="shared" si="6"/>
        <v>0</v>
      </c>
      <c r="M393" s="16"/>
      <c r="N393" s="17"/>
      <c r="O393" s="17"/>
      <c r="P393" s="16" t="s">
        <v>146</v>
      </c>
    </row>
    <row r="394" spans="1:16">
      <c r="A394" s="16" t="s">
        <v>39</v>
      </c>
      <c r="B394" s="16" t="s">
        <v>382</v>
      </c>
      <c r="C394" s="16" t="s">
        <v>28</v>
      </c>
      <c r="D394" s="16" t="s">
        <v>58</v>
      </c>
      <c r="E394" s="16" t="s">
        <v>105</v>
      </c>
      <c r="F394" s="31">
        <v>0</v>
      </c>
      <c r="G394" s="17"/>
      <c r="H394" s="17"/>
      <c r="I394" s="17"/>
      <c r="J394" s="30"/>
      <c r="K394" s="30"/>
      <c r="L394" s="13">
        <f t="shared" si="6"/>
        <v>0</v>
      </c>
      <c r="M394" s="16"/>
      <c r="N394" s="17"/>
      <c r="O394" s="17"/>
      <c r="P394" s="16" t="s">
        <v>146</v>
      </c>
    </row>
    <row r="395" spans="1:16">
      <c r="A395" s="16" t="s">
        <v>39</v>
      </c>
      <c r="B395" s="16" t="s">
        <v>382</v>
      </c>
      <c r="C395" s="16" t="s">
        <v>29</v>
      </c>
      <c r="D395" s="16" t="s">
        <v>58</v>
      </c>
      <c r="E395" s="16" t="s">
        <v>105</v>
      </c>
      <c r="F395" s="31">
        <v>0</v>
      </c>
      <c r="G395" s="17"/>
      <c r="H395" s="17"/>
      <c r="I395" s="17"/>
      <c r="J395" s="30"/>
      <c r="K395" s="30"/>
      <c r="L395" s="13">
        <f t="shared" si="6"/>
        <v>0</v>
      </c>
      <c r="M395" s="16"/>
      <c r="N395" s="17"/>
      <c r="O395" s="17"/>
      <c r="P395" s="16" t="s">
        <v>146</v>
      </c>
    </row>
    <row r="396" spans="1:16">
      <c r="A396" s="16" t="s">
        <v>39</v>
      </c>
      <c r="B396" s="16" t="s">
        <v>382</v>
      </c>
      <c r="C396" s="16" t="s">
        <v>30</v>
      </c>
      <c r="D396" s="16" t="s">
        <v>58</v>
      </c>
      <c r="E396" s="16" t="s">
        <v>105</v>
      </c>
      <c r="F396" s="31">
        <v>0</v>
      </c>
      <c r="G396" s="17"/>
      <c r="H396" s="17"/>
      <c r="I396" s="17"/>
      <c r="J396" s="30"/>
      <c r="K396" s="30"/>
      <c r="L396" s="13">
        <f t="shared" si="6"/>
        <v>0</v>
      </c>
      <c r="M396" s="16"/>
      <c r="N396" s="17"/>
      <c r="O396" s="17"/>
      <c r="P396" s="16" t="s">
        <v>146</v>
      </c>
    </row>
    <row r="397" spans="1:16">
      <c r="A397" s="21" t="s">
        <v>39</v>
      </c>
      <c r="B397" s="15" t="s">
        <v>383</v>
      </c>
      <c r="C397" s="15" t="s">
        <v>18</v>
      </c>
      <c r="D397" s="15" t="s">
        <v>58</v>
      </c>
      <c r="E397" s="15" t="s">
        <v>105</v>
      </c>
      <c r="F397" s="29">
        <v>0</v>
      </c>
      <c r="G397" s="17"/>
      <c r="H397" s="17"/>
      <c r="I397" s="17"/>
      <c r="J397" s="30"/>
      <c r="K397" s="30"/>
      <c r="L397" s="13">
        <f t="shared" si="6"/>
        <v>0</v>
      </c>
      <c r="M397" s="15"/>
      <c r="N397" s="17"/>
      <c r="O397" s="17"/>
      <c r="P397" s="15" t="s">
        <v>146</v>
      </c>
    </row>
    <row r="398" spans="1:16" ht="30">
      <c r="A398" s="16" t="s">
        <v>39</v>
      </c>
      <c r="B398" s="16" t="s">
        <v>384</v>
      </c>
      <c r="C398" s="16" t="s">
        <v>22</v>
      </c>
      <c r="D398" s="16" t="s">
        <v>58</v>
      </c>
      <c r="E398" s="16" t="s">
        <v>105</v>
      </c>
      <c r="F398" s="31">
        <v>0</v>
      </c>
      <c r="G398" s="16" t="s">
        <v>147</v>
      </c>
      <c r="H398" s="16" t="s">
        <v>372</v>
      </c>
      <c r="I398" s="17"/>
      <c r="J398" s="30"/>
      <c r="K398" s="30"/>
      <c r="L398" s="13">
        <f t="shared" si="6"/>
        <v>0</v>
      </c>
      <c r="M398" s="16"/>
      <c r="N398" s="17"/>
      <c r="O398" s="17"/>
      <c r="P398" s="16" t="s">
        <v>146</v>
      </c>
    </row>
    <row r="399" spans="1:16">
      <c r="A399" s="16" t="s">
        <v>39</v>
      </c>
      <c r="B399" s="16" t="s">
        <v>384</v>
      </c>
      <c r="C399" s="16" t="s">
        <v>28</v>
      </c>
      <c r="D399" s="16" t="s">
        <v>58</v>
      </c>
      <c r="E399" s="16" t="s">
        <v>105</v>
      </c>
      <c r="F399" s="31">
        <v>0</v>
      </c>
      <c r="G399" s="17"/>
      <c r="H399" s="17"/>
      <c r="I399" s="17"/>
      <c r="J399" s="30"/>
      <c r="K399" s="30"/>
      <c r="L399" s="13">
        <f t="shared" si="6"/>
        <v>0</v>
      </c>
      <c r="M399" s="16"/>
      <c r="N399" s="17"/>
      <c r="O399" s="17"/>
      <c r="P399" s="16" t="s">
        <v>146</v>
      </c>
    </row>
    <row r="400" spans="1:16">
      <c r="A400" s="16" t="s">
        <v>39</v>
      </c>
      <c r="B400" s="16" t="s">
        <v>384</v>
      </c>
      <c r="C400" s="16" t="s">
        <v>29</v>
      </c>
      <c r="D400" s="16" t="s">
        <v>58</v>
      </c>
      <c r="E400" s="16" t="s">
        <v>105</v>
      </c>
      <c r="F400" s="31">
        <v>0</v>
      </c>
      <c r="G400" s="17"/>
      <c r="H400" s="17"/>
      <c r="I400" s="17"/>
      <c r="J400" s="30"/>
      <c r="K400" s="30"/>
      <c r="L400" s="13">
        <f t="shared" si="6"/>
        <v>0</v>
      </c>
      <c r="M400" s="16"/>
      <c r="N400" s="17"/>
      <c r="O400" s="17"/>
      <c r="P400" s="16" t="s">
        <v>146</v>
      </c>
    </row>
    <row r="401" spans="1:16">
      <c r="A401" s="16" t="s">
        <v>39</v>
      </c>
      <c r="B401" s="16" t="s">
        <v>384</v>
      </c>
      <c r="C401" s="16" t="s">
        <v>30</v>
      </c>
      <c r="D401" s="16" t="s">
        <v>58</v>
      </c>
      <c r="E401" s="16" t="s">
        <v>105</v>
      </c>
      <c r="F401" s="31">
        <v>0</v>
      </c>
      <c r="G401" s="17"/>
      <c r="H401" s="17"/>
      <c r="I401" s="17"/>
      <c r="J401" s="30"/>
      <c r="K401" s="30"/>
      <c r="L401" s="13">
        <f t="shared" si="6"/>
        <v>0</v>
      </c>
      <c r="M401" s="16"/>
      <c r="N401" s="17"/>
      <c r="O401" s="17"/>
      <c r="P401" s="16" t="s">
        <v>146</v>
      </c>
    </row>
    <row r="402" spans="1:16">
      <c r="A402" s="21" t="s">
        <v>39</v>
      </c>
      <c r="B402" s="15" t="s">
        <v>385</v>
      </c>
      <c r="C402" s="15" t="s">
        <v>18</v>
      </c>
      <c r="D402" s="15" t="s">
        <v>33</v>
      </c>
      <c r="E402" s="15" t="s">
        <v>105</v>
      </c>
      <c r="F402" s="29">
        <v>0.05</v>
      </c>
      <c r="G402" s="17"/>
      <c r="H402" s="17"/>
      <c r="I402" s="17"/>
      <c r="J402" s="33">
        <v>45945</v>
      </c>
      <c r="K402" s="33">
        <v>46203</v>
      </c>
      <c r="L402" s="13">
        <f t="shared" si="6"/>
        <v>185</v>
      </c>
      <c r="M402" s="15"/>
      <c r="N402" s="17"/>
      <c r="O402" s="17"/>
      <c r="P402" s="15" t="s">
        <v>146</v>
      </c>
    </row>
    <row r="403" spans="1:16" ht="45">
      <c r="A403" s="16" t="s">
        <v>39</v>
      </c>
      <c r="B403" s="16" t="s">
        <v>386</v>
      </c>
      <c r="C403" s="16" t="s">
        <v>22</v>
      </c>
      <c r="D403" s="16" t="s">
        <v>33</v>
      </c>
      <c r="E403" s="16" t="s">
        <v>105</v>
      </c>
      <c r="F403" s="31">
        <v>0.05</v>
      </c>
      <c r="G403" s="16" t="s">
        <v>147</v>
      </c>
      <c r="H403" s="16" t="s">
        <v>158</v>
      </c>
      <c r="I403" s="16" t="s">
        <v>139</v>
      </c>
      <c r="J403" s="32">
        <v>46034</v>
      </c>
      <c r="K403" s="32">
        <v>46111</v>
      </c>
      <c r="L403" s="13">
        <f t="shared" si="6"/>
        <v>56</v>
      </c>
      <c r="M403" s="16"/>
      <c r="N403" s="16" t="s">
        <v>26</v>
      </c>
      <c r="O403" s="16" t="s">
        <v>26</v>
      </c>
      <c r="P403" s="16" t="s">
        <v>146</v>
      </c>
    </row>
    <row r="404" spans="1:16">
      <c r="A404" s="16" t="s">
        <v>39</v>
      </c>
      <c r="B404" s="16" t="s">
        <v>386</v>
      </c>
      <c r="C404" s="16" t="s">
        <v>28</v>
      </c>
      <c r="D404" s="16" t="s">
        <v>33</v>
      </c>
      <c r="E404" s="16" t="s">
        <v>105</v>
      </c>
      <c r="F404" s="31">
        <v>0</v>
      </c>
      <c r="G404" s="17"/>
      <c r="H404" s="17"/>
      <c r="I404" s="17"/>
      <c r="J404" s="32">
        <v>46127</v>
      </c>
      <c r="K404" s="32">
        <v>46203</v>
      </c>
      <c r="L404" s="13">
        <f t="shared" si="6"/>
        <v>55</v>
      </c>
      <c r="M404" s="16"/>
      <c r="N404" s="17"/>
      <c r="O404" s="16" t="s">
        <v>27</v>
      </c>
      <c r="P404" s="16" t="s">
        <v>146</v>
      </c>
    </row>
    <row r="405" spans="1:16">
      <c r="A405" s="16" t="s">
        <v>39</v>
      </c>
      <c r="B405" s="16" t="s">
        <v>386</v>
      </c>
      <c r="C405" s="16" t="s">
        <v>29</v>
      </c>
      <c r="D405" s="16" t="s">
        <v>33</v>
      </c>
      <c r="E405" s="16" t="s">
        <v>105</v>
      </c>
      <c r="F405" s="31">
        <v>0</v>
      </c>
      <c r="G405" s="17"/>
      <c r="H405" s="17"/>
      <c r="I405" s="17"/>
      <c r="J405" s="30"/>
      <c r="K405" s="30"/>
      <c r="L405" s="13">
        <f t="shared" si="6"/>
        <v>0</v>
      </c>
      <c r="M405" s="16"/>
      <c r="N405" s="17"/>
      <c r="O405" s="17"/>
      <c r="P405" s="16" t="s">
        <v>146</v>
      </c>
    </row>
    <row r="406" spans="1:16">
      <c r="A406" s="16" t="s">
        <v>39</v>
      </c>
      <c r="B406" s="16" t="s">
        <v>386</v>
      </c>
      <c r="C406" s="16" t="s">
        <v>30</v>
      </c>
      <c r="D406" s="16" t="s">
        <v>33</v>
      </c>
      <c r="E406" s="16" t="s">
        <v>105</v>
      </c>
      <c r="F406" s="31">
        <v>0</v>
      </c>
      <c r="G406" s="17"/>
      <c r="H406" s="17"/>
      <c r="I406" s="17"/>
      <c r="J406" s="30"/>
      <c r="K406" s="30"/>
      <c r="L406" s="13">
        <f t="shared" si="6"/>
        <v>0</v>
      </c>
      <c r="M406" s="16"/>
      <c r="N406" s="17"/>
      <c r="O406" s="17"/>
      <c r="P406" s="16" t="s">
        <v>146</v>
      </c>
    </row>
    <row r="407" spans="1:16">
      <c r="A407" s="21" t="s">
        <v>39</v>
      </c>
      <c r="B407" s="15" t="s">
        <v>387</v>
      </c>
      <c r="C407" s="15" t="s">
        <v>18</v>
      </c>
      <c r="D407" s="15" t="s">
        <v>58</v>
      </c>
      <c r="E407" s="15" t="s">
        <v>105</v>
      </c>
      <c r="F407" s="29">
        <v>0.05</v>
      </c>
      <c r="G407" s="17"/>
      <c r="H407" s="17"/>
      <c r="I407" s="17"/>
      <c r="J407" s="33"/>
      <c r="K407" s="30"/>
      <c r="L407" s="13">
        <f t="shared" si="6"/>
        <v>0</v>
      </c>
      <c r="M407" s="15"/>
      <c r="N407" s="17"/>
      <c r="O407" s="17"/>
      <c r="P407" s="15" t="s">
        <v>146</v>
      </c>
    </row>
    <row r="408" spans="1:16" ht="45">
      <c r="A408" s="16" t="s">
        <v>39</v>
      </c>
      <c r="B408" s="16" t="s">
        <v>388</v>
      </c>
      <c r="C408" s="16" t="s">
        <v>22</v>
      </c>
      <c r="D408" s="16" t="s">
        <v>58</v>
      </c>
      <c r="E408" s="16" t="s">
        <v>105</v>
      </c>
      <c r="F408" s="31">
        <v>0.05</v>
      </c>
      <c r="G408" s="16" t="s">
        <v>147</v>
      </c>
      <c r="H408" s="16" t="s">
        <v>158</v>
      </c>
      <c r="I408" s="17"/>
      <c r="J408" s="32">
        <v>46036</v>
      </c>
      <c r="K408" s="32">
        <v>46111</v>
      </c>
      <c r="L408" s="13">
        <f t="shared" si="6"/>
        <v>54</v>
      </c>
      <c r="M408" s="16"/>
      <c r="N408" s="16" t="s">
        <v>26</v>
      </c>
      <c r="O408" s="16" t="s">
        <v>26</v>
      </c>
      <c r="P408" s="16" t="s">
        <v>146</v>
      </c>
    </row>
    <row r="409" spans="1:16">
      <c r="A409" s="16" t="s">
        <v>39</v>
      </c>
      <c r="B409" s="16" t="s">
        <v>388</v>
      </c>
      <c r="C409" s="16" t="s">
        <v>28</v>
      </c>
      <c r="D409" s="16" t="s">
        <v>58</v>
      </c>
      <c r="E409" s="16" t="s">
        <v>105</v>
      </c>
      <c r="F409" s="31">
        <v>0</v>
      </c>
      <c r="G409" s="17"/>
      <c r="H409" s="17"/>
      <c r="I409" s="17"/>
      <c r="J409" s="30"/>
      <c r="K409" s="30"/>
      <c r="L409" s="13">
        <f t="shared" si="6"/>
        <v>0</v>
      </c>
      <c r="M409" s="16"/>
      <c r="N409" s="17"/>
      <c r="O409" s="17"/>
      <c r="P409" s="16" t="s">
        <v>146</v>
      </c>
    </row>
    <row r="410" spans="1:16">
      <c r="A410" s="16" t="s">
        <v>39</v>
      </c>
      <c r="B410" s="16" t="s">
        <v>388</v>
      </c>
      <c r="C410" s="16" t="s">
        <v>29</v>
      </c>
      <c r="D410" s="16" t="s">
        <v>58</v>
      </c>
      <c r="E410" s="16" t="s">
        <v>105</v>
      </c>
      <c r="F410" s="31">
        <v>0</v>
      </c>
      <c r="G410" s="17"/>
      <c r="H410" s="17"/>
      <c r="I410" s="17"/>
      <c r="J410" s="30"/>
      <c r="K410" s="30"/>
      <c r="L410" s="13">
        <f t="shared" si="6"/>
        <v>0</v>
      </c>
      <c r="M410" s="16"/>
      <c r="N410" s="17"/>
      <c r="O410" s="17"/>
      <c r="P410" s="16" t="s">
        <v>146</v>
      </c>
    </row>
    <row r="411" spans="1:16">
      <c r="A411" s="16" t="s">
        <v>39</v>
      </c>
      <c r="B411" s="16" t="s">
        <v>388</v>
      </c>
      <c r="C411" s="16" t="s">
        <v>30</v>
      </c>
      <c r="D411" s="16" t="s">
        <v>58</v>
      </c>
      <c r="E411" s="16" t="s">
        <v>105</v>
      </c>
      <c r="F411" s="31">
        <v>0</v>
      </c>
      <c r="G411" s="17"/>
      <c r="H411" s="17"/>
      <c r="I411" s="17"/>
      <c r="J411" s="30"/>
      <c r="K411" s="30"/>
      <c r="L411" s="13">
        <f t="shared" si="6"/>
        <v>0</v>
      </c>
      <c r="M411" s="16"/>
      <c r="N411" s="17"/>
      <c r="O411" s="17"/>
      <c r="P411" s="16" t="s">
        <v>146</v>
      </c>
    </row>
    <row r="412" spans="1:16">
      <c r="A412" s="21" t="s">
        <v>39</v>
      </c>
      <c r="B412" s="15" t="s">
        <v>389</v>
      </c>
      <c r="C412" s="15" t="s">
        <v>18</v>
      </c>
      <c r="D412" s="15" t="s">
        <v>58</v>
      </c>
      <c r="E412" s="15" t="s">
        <v>105</v>
      </c>
      <c r="F412" s="29">
        <v>0</v>
      </c>
      <c r="G412" s="17"/>
      <c r="H412" s="17"/>
      <c r="I412" s="17"/>
      <c r="J412" s="30"/>
      <c r="K412" s="30"/>
      <c r="L412" s="13">
        <f t="shared" si="6"/>
        <v>0</v>
      </c>
      <c r="M412" s="15"/>
      <c r="N412" s="17"/>
      <c r="O412" s="17"/>
      <c r="P412" s="15" t="s">
        <v>146</v>
      </c>
    </row>
    <row r="413" spans="1:16" ht="30">
      <c r="A413" s="16" t="s">
        <v>39</v>
      </c>
      <c r="B413" s="16" t="s">
        <v>390</v>
      </c>
      <c r="C413" s="16" t="s">
        <v>22</v>
      </c>
      <c r="D413" s="16" t="s">
        <v>58</v>
      </c>
      <c r="E413" s="16" t="s">
        <v>105</v>
      </c>
      <c r="F413" s="31">
        <v>0</v>
      </c>
      <c r="G413" s="16" t="s">
        <v>147</v>
      </c>
      <c r="H413" s="16" t="s">
        <v>160</v>
      </c>
      <c r="I413" s="17"/>
      <c r="J413" s="30"/>
      <c r="K413" s="30"/>
      <c r="L413" s="13">
        <f t="shared" si="6"/>
        <v>0</v>
      </c>
      <c r="M413" s="16"/>
      <c r="N413" s="17"/>
      <c r="O413" s="17"/>
      <c r="P413" s="16" t="s">
        <v>146</v>
      </c>
    </row>
    <row r="414" spans="1:16">
      <c r="A414" s="16" t="s">
        <v>39</v>
      </c>
      <c r="B414" s="16" t="s">
        <v>390</v>
      </c>
      <c r="C414" s="16" t="s">
        <v>28</v>
      </c>
      <c r="D414" s="16" t="s">
        <v>58</v>
      </c>
      <c r="E414" s="16" t="s">
        <v>105</v>
      </c>
      <c r="F414" s="31">
        <v>0</v>
      </c>
      <c r="G414" s="17"/>
      <c r="H414" s="17"/>
      <c r="I414" s="17"/>
      <c r="J414" s="30"/>
      <c r="K414" s="30"/>
      <c r="L414" s="13">
        <f t="shared" si="6"/>
        <v>0</v>
      </c>
      <c r="M414" s="16"/>
      <c r="N414" s="17"/>
      <c r="O414" s="17"/>
      <c r="P414" s="16" t="s">
        <v>146</v>
      </c>
    </row>
    <row r="415" spans="1:16">
      <c r="A415" s="16" t="s">
        <v>39</v>
      </c>
      <c r="B415" s="16" t="s">
        <v>390</v>
      </c>
      <c r="C415" s="16" t="s">
        <v>29</v>
      </c>
      <c r="D415" s="16" t="s">
        <v>58</v>
      </c>
      <c r="E415" s="16" t="s">
        <v>105</v>
      </c>
      <c r="F415" s="31">
        <v>0</v>
      </c>
      <c r="G415" s="17"/>
      <c r="H415" s="17"/>
      <c r="I415" s="17"/>
      <c r="J415" s="30"/>
      <c r="K415" s="30"/>
      <c r="L415" s="13">
        <f t="shared" si="6"/>
        <v>0</v>
      </c>
      <c r="M415" s="16"/>
      <c r="N415" s="17"/>
      <c r="O415" s="17"/>
      <c r="P415" s="16" t="s">
        <v>146</v>
      </c>
    </row>
    <row r="416" spans="1:16">
      <c r="A416" s="16" t="s">
        <v>39</v>
      </c>
      <c r="B416" s="16" t="s">
        <v>390</v>
      </c>
      <c r="C416" s="16" t="s">
        <v>30</v>
      </c>
      <c r="D416" s="16" t="s">
        <v>58</v>
      </c>
      <c r="E416" s="16" t="s">
        <v>105</v>
      </c>
      <c r="F416" s="31">
        <v>0</v>
      </c>
      <c r="G416" s="17"/>
      <c r="H416" s="17"/>
      <c r="I416" s="17"/>
      <c r="J416" s="30"/>
      <c r="K416" s="30"/>
      <c r="L416" s="13">
        <f t="shared" si="6"/>
        <v>0</v>
      </c>
      <c r="M416" s="16"/>
      <c r="N416" s="17"/>
      <c r="O416" s="17"/>
      <c r="P416" s="16" t="s">
        <v>146</v>
      </c>
    </row>
    <row r="417" spans="1:16" ht="30">
      <c r="A417" s="21" t="s">
        <v>39</v>
      </c>
      <c r="B417" s="15" t="s">
        <v>391</v>
      </c>
      <c r="C417" s="15" t="s">
        <v>18</v>
      </c>
      <c r="D417" s="15" t="s">
        <v>58</v>
      </c>
      <c r="E417" s="15" t="s">
        <v>105</v>
      </c>
      <c r="F417" s="29">
        <v>0</v>
      </c>
      <c r="G417" s="17"/>
      <c r="H417" s="17"/>
      <c r="I417" s="17"/>
      <c r="J417" s="30"/>
      <c r="K417" s="30"/>
      <c r="L417" s="13">
        <f t="shared" si="6"/>
        <v>0</v>
      </c>
      <c r="M417" s="15"/>
      <c r="N417" s="17"/>
      <c r="O417" s="17"/>
      <c r="P417" s="15" t="s">
        <v>146</v>
      </c>
    </row>
    <row r="418" spans="1:16" ht="30">
      <c r="A418" s="16" t="s">
        <v>39</v>
      </c>
      <c r="B418" s="16" t="s">
        <v>392</v>
      </c>
      <c r="C418" s="16" t="s">
        <v>22</v>
      </c>
      <c r="D418" s="16" t="s">
        <v>58</v>
      </c>
      <c r="E418" s="16" t="s">
        <v>105</v>
      </c>
      <c r="F418" s="31">
        <v>0</v>
      </c>
      <c r="G418" s="16" t="s">
        <v>147</v>
      </c>
      <c r="H418" s="16" t="s">
        <v>160</v>
      </c>
      <c r="I418" s="17"/>
      <c r="J418" s="30"/>
      <c r="K418" s="30"/>
      <c r="L418" s="13">
        <f t="shared" si="6"/>
        <v>0</v>
      </c>
      <c r="M418" s="16"/>
      <c r="N418" s="17"/>
      <c r="O418" s="17"/>
      <c r="P418" s="16" t="s">
        <v>146</v>
      </c>
    </row>
    <row r="419" spans="1:16" ht="30">
      <c r="A419" s="16" t="s">
        <v>39</v>
      </c>
      <c r="B419" s="16" t="s">
        <v>392</v>
      </c>
      <c r="C419" s="16" t="s">
        <v>28</v>
      </c>
      <c r="D419" s="16" t="s">
        <v>58</v>
      </c>
      <c r="E419" s="16" t="s">
        <v>105</v>
      </c>
      <c r="F419" s="31">
        <v>0</v>
      </c>
      <c r="G419" s="17"/>
      <c r="H419" s="17"/>
      <c r="I419" s="17"/>
      <c r="J419" s="30"/>
      <c r="K419" s="30"/>
      <c r="L419" s="13">
        <f t="shared" si="6"/>
        <v>0</v>
      </c>
      <c r="M419" s="16"/>
      <c r="N419" s="17"/>
      <c r="O419" s="17"/>
      <c r="P419" s="16" t="s">
        <v>146</v>
      </c>
    </row>
    <row r="420" spans="1:16" ht="30">
      <c r="A420" s="16" t="s">
        <v>39</v>
      </c>
      <c r="B420" s="16" t="s">
        <v>392</v>
      </c>
      <c r="C420" s="16" t="s">
        <v>29</v>
      </c>
      <c r="D420" s="16" t="s">
        <v>58</v>
      </c>
      <c r="E420" s="16" t="s">
        <v>105</v>
      </c>
      <c r="F420" s="31">
        <v>0</v>
      </c>
      <c r="G420" s="17"/>
      <c r="H420" s="17"/>
      <c r="I420" s="17"/>
      <c r="J420" s="30"/>
      <c r="K420" s="30"/>
      <c r="L420" s="13">
        <f t="shared" si="6"/>
        <v>0</v>
      </c>
      <c r="M420" s="16"/>
      <c r="N420" s="17"/>
      <c r="O420" s="17"/>
      <c r="P420" s="16" t="s">
        <v>146</v>
      </c>
    </row>
    <row r="421" spans="1:16" ht="30">
      <c r="A421" s="16" t="s">
        <v>39</v>
      </c>
      <c r="B421" s="16" t="s">
        <v>392</v>
      </c>
      <c r="C421" s="16" t="s">
        <v>30</v>
      </c>
      <c r="D421" s="16" t="s">
        <v>58</v>
      </c>
      <c r="E421" s="16" t="s">
        <v>105</v>
      </c>
      <c r="F421" s="31">
        <v>0</v>
      </c>
      <c r="G421" s="17"/>
      <c r="H421" s="17"/>
      <c r="I421" s="17"/>
      <c r="J421" s="30"/>
      <c r="K421" s="30"/>
      <c r="L421" s="13">
        <f t="shared" si="6"/>
        <v>0</v>
      </c>
      <c r="M421" s="16"/>
      <c r="N421" s="17"/>
      <c r="O421" s="17"/>
      <c r="P421" s="16" t="s">
        <v>146</v>
      </c>
    </row>
    <row r="422" spans="1:16">
      <c r="A422" s="21" t="s">
        <v>39</v>
      </c>
      <c r="B422" s="15" t="s">
        <v>393</v>
      </c>
      <c r="C422" s="15" t="s">
        <v>18</v>
      </c>
      <c r="D422" s="15" t="s">
        <v>33</v>
      </c>
      <c r="E422" s="15" t="s">
        <v>105</v>
      </c>
      <c r="F422" s="29">
        <v>0.27</v>
      </c>
      <c r="G422" s="17"/>
      <c r="H422" s="17"/>
      <c r="I422" s="17"/>
      <c r="J422" s="33">
        <v>45945</v>
      </c>
      <c r="K422" s="33">
        <v>46188</v>
      </c>
      <c r="L422" s="13">
        <f t="shared" si="6"/>
        <v>174</v>
      </c>
      <c r="M422" s="15"/>
      <c r="N422" s="17"/>
      <c r="O422" s="17"/>
      <c r="P422" s="15" t="s">
        <v>146</v>
      </c>
    </row>
    <row r="423" spans="1:16" ht="30">
      <c r="A423" s="16" t="s">
        <v>39</v>
      </c>
      <c r="B423" s="16" t="s">
        <v>394</v>
      </c>
      <c r="C423" s="16" t="s">
        <v>22</v>
      </c>
      <c r="D423" s="16" t="s">
        <v>33</v>
      </c>
      <c r="E423" s="16" t="s">
        <v>105</v>
      </c>
      <c r="F423" s="31">
        <v>0.1</v>
      </c>
      <c r="G423" s="16" t="s">
        <v>147</v>
      </c>
      <c r="H423" s="16" t="s">
        <v>395</v>
      </c>
      <c r="I423" s="16" t="s">
        <v>139</v>
      </c>
      <c r="J423" s="32">
        <v>46034</v>
      </c>
      <c r="K423" s="32">
        <v>46111</v>
      </c>
      <c r="L423" s="13">
        <f t="shared" si="6"/>
        <v>56</v>
      </c>
      <c r="M423" s="16"/>
      <c r="N423" s="16" t="s">
        <v>26</v>
      </c>
      <c r="O423" s="16" t="s">
        <v>26</v>
      </c>
      <c r="P423" s="16" t="s">
        <v>146</v>
      </c>
    </row>
    <row r="424" spans="1:16">
      <c r="A424" s="16" t="s">
        <v>39</v>
      </c>
      <c r="B424" s="16" t="s">
        <v>394</v>
      </c>
      <c r="C424" s="16" t="s">
        <v>28</v>
      </c>
      <c r="D424" s="16" t="s">
        <v>33</v>
      </c>
      <c r="E424" s="16" t="s">
        <v>105</v>
      </c>
      <c r="F424" s="31">
        <v>0</v>
      </c>
      <c r="G424" s="17"/>
      <c r="H424" s="17"/>
      <c r="I424" s="17"/>
      <c r="J424" s="32">
        <v>46113</v>
      </c>
      <c r="K424" s="32">
        <v>46188</v>
      </c>
      <c r="L424" s="13">
        <f t="shared" si="6"/>
        <v>54</v>
      </c>
      <c r="M424" s="16"/>
      <c r="N424" s="17"/>
      <c r="O424" s="16" t="s">
        <v>27</v>
      </c>
      <c r="P424" s="16" t="s">
        <v>146</v>
      </c>
    </row>
    <row r="425" spans="1:16">
      <c r="A425" s="16" t="s">
        <v>39</v>
      </c>
      <c r="B425" s="16" t="s">
        <v>394</v>
      </c>
      <c r="C425" s="16" t="s">
        <v>29</v>
      </c>
      <c r="D425" s="16" t="s">
        <v>33</v>
      </c>
      <c r="E425" s="16" t="s">
        <v>105</v>
      </c>
      <c r="F425" s="31">
        <v>0</v>
      </c>
      <c r="G425" s="17"/>
      <c r="H425" s="17"/>
      <c r="I425" s="17"/>
      <c r="J425" s="30"/>
      <c r="K425" s="30"/>
      <c r="L425" s="13">
        <f t="shared" si="6"/>
        <v>0</v>
      </c>
      <c r="M425" s="16"/>
      <c r="N425" s="17"/>
      <c r="O425" s="17"/>
      <c r="P425" s="16" t="s">
        <v>146</v>
      </c>
    </row>
    <row r="426" spans="1:16">
      <c r="A426" s="16" t="s">
        <v>39</v>
      </c>
      <c r="B426" s="16" t="s">
        <v>394</v>
      </c>
      <c r="C426" s="16" t="s">
        <v>30</v>
      </c>
      <c r="D426" s="16" t="s">
        <v>33</v>
      </c>
      <c r="E426" s="16" t="s">
        <v>105</v>
      </c>
      <c r="F426" s="31">
        <v>0</v>
      </c>
      <c r="G426" s="17"/>
      <c r="H426" s="17"/>
      <c r="I426" s="17"/>
      <c r="J426" s="30"/>
      <c r="K426" s="30"/>
      <c r="L426" s="13">
        <f t="shared" si="6"/>
        <v>0</v>
      </c>
      <c r="M426" s="16"/>
      <c r="N426" s="17"/>
      <c r="O426" s="17"/>
      <c r="P426" s="16" t="s">
        <v>146</v>
      </c>
    </row>
    <row r="427" spans="1:16">
      <c r="A427" s="21" t="s">
        <v>39</v>
      </c>
      <c r="B427" s="15" t="s">
        <v>396</v>
      </c>
      <c r="C427" s="15" t="s">
        <v>18</v>
      </c>
      <c r="D427" s="15" t="s">
        <v>58</v>
      </c>
      <c r="E427" s="15" t="s">
        <v>105</v>
      </c>
      <c r="F427" s="29">
        <v>0.5</v>
      </c>
      <c r="G427" s="17"/>
      <c r="H427" s="17"/>
      <c r="I427" s="17"/>
      <c r="J427" s="33"/>
      <c r="K427" s="30"/>
      <c r="L427" s="13">
        <f t="shared" si="6"/>
        <v>0</v>
      </c>
      <c r="M427" s="15"/>
      <c r="N427" s="17"/>
      <c r="O427" s="17"/>
      <c r="P427" s="15" t="s">
        <v>146</v>
      </c>
    </row>
    <row r="428" spans="1:16" ht="30">
      <c r="A428" s="16" t="s">
        <v>39</v>
      </c>
      <c r="B428" s="16" t="s">
        <v>397</v>
      </c>
      <c r="C428" s="16" t="s">
        <v>22</v>
      </c>
      <c r="D428" s="16" t="s">
        <v>58</v>
      </c>
      <c r="E428" s="16" t="s">
        <v>105</v>
      </c>
      <c r="F428" s="31">
        <v>0.5</v>
      </c>
      <c r="G428" s="16" t="s">
        <v>147</v>
      </c>
      <c r="H428" s="16" t="s">
        <v>395</v>
      </c>
      <c r="I428" s="17"/>
      <c r="J428" s="32">
        <v>46035</v>
      </c>
      <c r="K428" s="32">
        <v>46078</v>
      </c>
      <c r="L428" s="13">
        <f t="shared" si="6"/>
        <v>32</v>
      </c>
      <c r="M428" s="16"/>
      <c r="N428" s="16" t="s">
        <v>26</v>
      </c>
      <c r="O428" s="16" t="s">
        <v>26</v>
      </c>
      <c r="P428" s="16" t="s">
        <v>146</v>
      </c>
    </row>
    <row r="429" spans="1:16">
      <c r="A429" s="16" t="s">
        <v>39</v>
      </c>
      <c r="B429" s="16" t="s">
        <v>397</v>
      </c>
      <c r="C429" s="16" t="s">
        <v>28</v>
      </c>
      <c r="D429" s="16" t="s">
        <v>58</v>
      </c>
      <c r="E429" s="16" t="s">
        <v>105</v>
      </c>
      <c r="F429" s="31">
        <v>0</v>
      </c>
      <c r="G429" s="17"/>
      <c r="H429" s="17"/>
      <c r="I429" s="17"/>
      <c r="J429" s="30"/>
      <c r="K429" s="30"/>
      <c r="L429" s="13">
        <f t="shared" si="6"/>
        <v>0</v>
      </c>
      <c r="M429" s="16"/>
      <c r="N429" s="17"/>
      <c r="O429" s="17"/>
      <c r="P429" s="16" t="s">
        <v>146</v>
      </c>
    </row>
    <row r="430" spans="1:16">
      <c r="A430" s="16" t="s">
        <v>39</v>
      </c>
      <c r="B430" s="16" t="s">
        <v>397</v>
      </c>
      <c r="C430" s="16" t="s">
        <v>29</v>
      </c>
      <c r="D430" s="16" t="s">
        <v>58</v>
      </c>
      <c r="E430" s="16" t="s">
        <v>105</v>
      </c>
      <c r="F430" s="31">
        <v>0</v>
      </c>
      <c r="G430" s="17"/>
      <c r="H430" s="17"/>
      <c r="I430" s="17"/>
      <c r="J430" s="30"/>
      <c r="K430" s="30"/>
      <c r="L430" s="13">
        <f t="shared" si="6"/>
        <v>0</v>
      </c>
      <c r="M430" s="16"/>
      <c r="N430" s="17"/>
      <c r="O430" s="17"/>
      <c r="P430" s="16" t="s">
        <v>146</v>
      </c>
    </row>
    <row r="431" spans="1:16">
      <c r="A431" s="16" t="s">
        <v>39</v>
      </c>
      <c r="B431" s="16" t="s">
        <v>397</v>
      </c>
      <c r="C431" s="16" t="s">
        <v>30</v>
      </c>
      <c r="D431" s="16" t="s">
        <v>58</v>
      </c>
      <c r="E431" s="16" t="s">
        <v>105</v>
      </c>
      <c r="F431" s="31">
        <v>0</v>
      </c>
      <c r="G431" s="17"/>
      <c r="H431" s="17"/>
      <c r="I431" s="17"/>
      <c r="J431" s="30"/>
      <c r="K431" s="30"/>
      <c r="L431" s="13">
        <f t="shared" si="6"/>
        <v>0</v>
      </c>
      <c r="M431" s="16"/>
      <c r="N431" s="17"/>
      <c r="O431" s="17"/>
      <c r="P431" s="16" t="s">
        <v>146</v>
      </c>
    </row>
    <row r="432" spans="1:16">
      <c r="A432" s="21" t="s">
        <v>39</v>
      </c>
      <c r="B432" s="15" t="s">
        <v>398</v>
      </c>
      <c r="C432" s="15" t="s">
        <v>18</v>
      </c>
      <c r="D432" s="15" t="s">
        <v>58</v>
      </c>
      <c r="E432" s="15" t="s">
        <v>105</v>
      </c>
      <c r="F432" s="29">
        <v>0.5</v>
      </c>
      <c r="G432" s="17"/>
      <c r="H432" s="17"/>
      <c r="I432" s="17"/>
      <c r="J432" s="33"/>
      <c r="K432" s="30"/>
      <c r="L432" s="13">
        <f t="shared" si="6"/>
        <v>0</v>
      </c>
      <c r="M432" s="15"/>
      <c r="N432" s="17"/>
      <c r="O432" s="17"/>
      <c r="P432" s="15" t="s">
        <v>146</v>
      </c>
    </row>
    <row r="433" spans="1:16" ht="30">
      <c r="A433" s="16" t="s">
        <v>39</v>
      </c>
      <c r="B433" s="16" t="s">
        <v>399</v>
      </c>
      <c r="C433" s="16" t="s">
        <v>22</v>
      </c>
      <c r="D433" s="16" t="s">
        <v>58</v>
      </c>
      <c r="E433" s="16" t="s">
        <v>105</v>
      </c>
      <c r="F433" s="31">
        <v>0.5</v>
      </c>
      <c r="G433" s="16" t="s">
        <v>147</v>
      </c>
      <c r="H433" s="16" t="s">
        <v>395</v>
      </c>
      <c r="I433" s="17"/>
      <c r="J433" s="32">
        <v>46035</v>
      </c>
      <c r="K433" s="32">
        <v>46078</v>
      </c>
      <c r="L433" s="13">
        <f t="shared" si="6"/>
        <v>32</v>
      </c>
      <c r="M433" s="16"/>
      <c r="N433" s="16" t="s">
        <v>26</v>
      </c>
      <c r="O433" s="16" t="s">
        <v>26</v>
      </c>
      <c r="P433" s="16" t="s">
        <v>146</v>
      </c>
    </row>
    <row r="434" spans="1:16">
      <c r="A434" s="16" t="s">
        <v>39</v>
      </c>
      <c r="B434" s="16" t="s">
        <v>399</v>
      </c>
      <c r="C434" s="16" t="s">
        <v>28</v>
      </c>
      <c r="D434" s="16" t="s">
        <v>58</v>
      </c>
      <c r="E434" s="16" t="s">
        <v>105</v>
      </c>
      <c r="F434" s="31">
        <v>0</v>
      </c>
      <c r="G434" s="17"/>
      <c r="H434" s="17"/>
      <c r="I434" s="17"/>
      <c r="J434" s="30"/>
      <c r="K434" s="30"/>
      <c r="L434" s="13">
        <f t="shared" si="6"/>
        <v>0</v>
      </c>
      <c r="M434" s="16"/>
      <c r="N434" s="17"/>
      <c r="O434" s="17"/>
      <c r="P434" s="16" t="s">
        <v>146</v>
      </c>
    </row>
    <row r="435" spans="1:16">
      <c r="A435" s="16" t="s">
        <v>39</v>
      </c>
      <c r="B435" s="16" t="s">
        <v>399</v>
      </c>
      <c r="C435" s="16" t="s">
        <v>29</v>
      </c>
      <c r="D435" s="16" t="s">
        <v>58</v>
      </c>
      <c r="E435" s="16" t="s">
        <v>105</v>
      </c>
      <c r="F435" s="31">
        <v>0</v>
      </c>
      <c r="G435" s="17"/>
      <c r="H435" s="17"/>
      <c r="I435" s="17"/>
      <c r="J435" s="30"/>
      <c r="K435" s="30"/>
      <c r="L435" s="13">
        <f t="shared" si="6"/>
        <v>0</v>
      </c>
      <c r="M435" s="16"/>
      <c r="N435" s="17"/>
      <c r="O435" s="17"/>
      <c r="P435" s="16" t="s">
        <v>146</v>
      </c>
    </row>
    <row r="436" spans="1:16">
      <c r="A436" s="16" t="s">
        <v>39</v>
      </c>
      <c r="B436" s="16" t="s">
        <v>399</v>
      </c>
      <c r="C436" s="16" t="s">
        <v>30</v>
      </c>
      <c r="D436" s="16" t="s">
        <v>58</v>
      </c>
      <c r="E436" s="16" t="s">
        <v>105</v>
      </c>
      <c r="F436" s="31">
        <v>0</v>
      </c>
      <c r="G436" s="17"/>
      <c r="H436" s="17"/>
      <c r="I436" s="17"/>
      <c r="J436" s="30"/>
      <c r="K436" s="30"/>
      <c r="L436" s="13">
        <f t="shared" si="6"/>
        <v>0</v>
      </c>
      <c r="M436" s="16"/>
      <c r="N436" s="17"/>
      <c r="O436" s="17"/>
      <c r="P436" s="16" t="s">
        <v>146</v>
      </c>
    </row>
    <row r="437" spans="1:16">
      <c r="A437" s="21" t="s">
        <v>39</v>
      </c>
      <c r="B437" s="15" t="s">
        <v>400</v>
      </c>
      <c r="C437" s="15" t="s">
        <v>18</v>
      </c>
      <c r="D437" s="15" t="s">
        <v>58</v>
      </c>
      <c r="E437" s="15" t="s">
        <v>105</v>
      </c>
      <c r="F437" s="29">
        <v>0</v>
      </c>
      <c r="G437" s="17"/>
      <c r="H437" s="17"/>
      <c r="I437" s="17"/>
      <c r="J437" s="30"/>
      <c r="K437" s="30"/>
      <c r="L437" s="13">
        <f t="shared" si="6"/>
        <v>0</v>
      </c>
      <c r="M437" s="15"/>
      <c r="N437" s="17"/>
      <c r="O437" s="17"/>
      <c r="P437" s="15" t="s">
        <v>146</v>
      </c>
    </row>
    <row r="438" spans="1:16" ht="30">
      <c r="A438" s="16" t="s">
        <v>39</v>
      </c>
      <c r="B438" s="16" t="s">
        <v>401</v>
      </c>
      <c r="C438" s="16" t="s">
        <v>22</v>
      </c>
      <c r="D438" s="16" t="s">
        <v>58</v>
      </c>
      <c r="E438" s="16" t="s">
        <v>105</v>
      </c>
      <c r="F438" s="31">
        <v>0</v>
      </c>
      <c r="G438" s="16" t="s">
        <v>46</v>
      </c>
      <c r="H438" s="16" t="s">
        <v>395</v>
      </c>
      <c r="I438" s="17"/>
      <c r="J438" s="32">
        <v>46055</v>
      </c>
      <c r="K438" s="32">
        <v>46078</v>
      </c>
      <c r="L438" s="13">
        <f t="shared" si="6"/>
        <v>18</v>
      </c>
      <c r="M438" s="16"/>
      <c r="N438" s="16" t="s">
        <v>43</v>
      </c>
      <c r="O438" s="16" t="s">
        <v>26</v>
      </c>
      <c r="P438" s="16" t="s">
        <v>146</v>
      </c>
    </row>
    <row r="439" spans="1:16">
      <c r="A439" s="16" t="s">
        <v>39</v>
      </c>
      <c r="B439" s="16" t="s">
        <v>401</v>
      </c>
      <c r="C439" s="16" t="s">
        <v>28</v>
      </c>
      <c r="D439" s="16" t="s">
        <v>58</v>
      </c>
      <c r="E439" s="16" t="s">
        <v>105</v>
      </c>
      <c r="F439" s="31">
        <v>0</v>
      </c>
      <c r="G439" s="17"/>
      <c r="H439" s="17"/>
      <c r="I439" s="17"/>
      <c r="J439" s="30"/>
      <c r="K439" s="30"/>
      <c r="L439" s="13">
        <f t="shared" si="6"/>
        <v>0</v>
      </c>
      <c r="M439" s="16"/>
      <c r="N439" s="17"/>
      <c r="O439" s="17"/>
      <c r="P439" s="16" t="s">
        <v>146</v>
      </c>
    </row>
    <row r="440" spans="1:16">
      <c r="A440" s="16" t="s">
        <v>39</v>
      </c>
      <c r="B440" s="16" t="s">
        <v>401</v>
      </c>
      <c r="C440" s="16" t="s">
        <v>29</v>
      </c>
      <c r="D440" s="16" t="s">
        <v>58</v>
      </c>
      <c r="E440" s="16" t="s">
        <v>105</v>
      </c>
      <c r="F440" s="31">
        <v>0</v>
      </c>
      <c r="G440" s="17"/>
      <c r="H440" s="17"/>
      <c r="I440" s="17"/>
      <c r="J440" s="30"/>
      <c r="K440" s="30"/>
      <c r="L440" s="13">
        <f t="shared" si="6"/>
        <v>0</v>
      </c>
      <c r="M440" s="16"/>
      <c r="N440" s="17"/>
      <c r="O440" s="17"/>
      <c r="P440" s="16" t="s">
        <v>146</v>
      </c>
    </row>
    <row r="441" spans="1:16">
      <c r="A441" s="16" t="s">
        <v>39</v>
      </c>
      <c r="B441" s="16" t="s">
        <v>401</v>
      </c>
      <c r="C441" s="16" t="s">
        <v>30</v>
      </c>
      <c r="D441" s="16" t="s">
        <v>58</v>
      </c>
      <c r="E441" s="16" t="s">
        <v>105</v>
      </c>
      <c r="F441" s="31">
        <v>0</v>
      </c>
      <c r="G441" s="17"/>
      <c r="H441" s="17"/>
      <c r="I441" s="17"/>
      <c r="J441" s="30"/>
      <c r="K441" s="30"/>
      <c r="L441" s="13">
        <f t="shared" si="6"/>
        <v>0</v>
      </c>
      <c r="M441" s="16"/>
      <c r="N441" s="17"/>
      <c r="O441" s="17"/>
      <c r="P441" s="16" t="s">
        <v>146</v>
      </c>
    </row>
    <row r="442" spans="1:16" ht="30">
      <c r="A442" s="21" t="s">
        <v>39</v>
      </c>
      <c r="B442" s="15" t="s">
        <v>402</v>
      </c>
      <c r="C442" s="15" t="s">
        <v>18</v>
      </c>
      <c r="D442" s="15" t="s">
        <v>58</v>
      </c>
      <c r="E442" s="15" t="s">
        <v>105</v>
      </c>
      <c r="F442" s="29">
        <v>0</v>
      </c>
      <c r="G442" s="17"/>
      <c r="H442" s="15" t="s">
        <v>160</v>
      </c>
      <c r="I442" s="17"/>
      <c r="J442" s="30"/>
      <c r="K442" s="30"/>
      <c r="L442" s="13">
        <f t="shared" si="6"/>
        <v>0</v>
      </c>
      <c r="M442" s="15"/>
      <c r="N442" s="17"/>
      <c r="O442" s="17"/>
      <c r="P442" s="15" t="s">
        <v>146</v>
      </c>
    </row>
    <row r="443" spans="1:16" ht="30">
      <c r="A443" s="16" t="s">
        <v>39</v>
      </c>
      <c r="B443" s="16" t="s">
        <v>403</v>
      </c>
      <c r="C443" s="16" t="s">
        <v>22</v>
      </c>
      <c r="D443" s="16" t="s">
        <v>58</v>
      </c>
      <c r="E443" s="16" t="s">
        <v>105</v>
      </c>
      <c r="F443" s="31">
        <v>0</v>
      </c>
      <c r="G443" s="16" t="s">
        <v>147</v>
      </c>
      <c r="H443" s="16" t="s">
        <v>160</v>
      </c>
      <c r="I443" s="17"/>
      <c r="J443" s="30"/>
      <c r="K443" s="30"/>
      <c r="L443" s="13">
        <f t="shared" si="6"/>
        <v>0</v>
      </c>
      <c r="M443" s="16"/>
      <c r="N443" s="17"/>
      <c r="O443" s="17"/>
      <c r="P443" s="16" t="s">
        <v>146</v>
      </c>
    </row>
    <row r="444" spans="1:16">
      <c r="A444" s="16" t="s">
        <v>39</v>
      </c>
      <c r="B444" s="16" t="s">
        <v>403</v>
      </c>
      <c r="C444" s="16" t="s">
        <v>28</v>
      </c>
      <c r="D444" s="16" t="s">
        <v>58</v>
      </c>
      <c r="E444" s="16" t="s">
        <v>105</v>
      </c>
      <c r="F444" s="31">
        <v>0</v>
      </c>
      <c r="G444" s="17"/>
      <c r="H444" s="17"/>
      <c r="I444" s="17"/>
      <c r="J444" s="30"/>
      <c r="K444" s="30"/>
      <c r="L444" s="13">
        <f t="shared" si="6"/>
        <v>0</v>
      </c>
      <c r="M444" s="16"/>
      <c r="N444" s="17"/>
      <c r="O444" s="17"/>
      <c r="P444" s="16" t="s">
        <v>146</v>
      </c>
    </row>
    <row r="445" spans="1:16">
      <c r="A445" s="16" t="s">
        <v>39</v>
      </c>
      <c r="B445" s="16" t="s">
        <v>403</v>
      </c>
      <c r="C445" s="16" t="s">
        <v>29</v>
      </c>
      <c r="D445" s="16" t="s">
        <v>58</v>
      </c>
      <c r="E445" s="16" t="s">
        <v>105</v>
      </c>
      <c r="F445" s="31">
        <v>0</v>
      </c>
      <c r="G445" s="17"/>
      <c r="H445" s="17"/>
      <c r="I445" s="17"/>
      <c r="J445" s="30"/>
      <c r="K445" s="30"/>
      <c r="L445" s="13">
        <f t="shared" si="6"/>
        <v>0</v>
      </c>
      <c r="M445" s="16"/>
      <c r="N445" s="17"/>
      <c r="O445" s="17"/>
      <c r="P445" s="16" t="s">
        <v>146</v>
      </c>
    </row>
    <row r="446" spans="1:16">
      <c r="A446" s="16" t="s">
        <v>39</v>
      </c>
      <c r="B446" s="16" t="s">
        <v>403</v>
      </c>
      <c r="C446" s="16" t="s">
        <v>30</v>
      </c>
      <c r="D446" s="16" t="s">
        <v>58</v>
      </c>
      <c r="E446" s="16" t="s">
        <v>105</v>
      </c>
      <c r="F446" s="31">
        <v>0</v>
      </c>
      <c r="G446" s="17"/>
      <c r="H446" s="17"/>
      <c r="I446" s="17"/>
      <c r="J446" s="30"/>
      <c r="K446" s="30"/>
      <c r="L446" s="13">
        <f t="shared" si="6"/>
        <v>0</v>
      </c>
      <c r="M446" s="16"/>
      <c r="N446" s="17"/>
      <c r="O446" s="17"/>
      <c r="P446" s="16" t="s">
        <v>146</v>
      </c>
    </row>
    <row r="447" spans="1:16">
      <c r="A447" s="28" t="s">
        <v>168</v>
      </c>
      <c r="B447" s="13" t="s">
        <v>404</v>
      </c>
      <c r="C447" s="13" t="s">
        <v>18</v>
      </c>
      <c r="D447" s="13" t="s">
        <v>19</v>
      </c>
      <c r="E447" s="13" t="s">
        <v>170</v>
      </c>
      <c r="F447" s="22">
        <v>0</v>
      </c>
      <c r="G447" s="23"/>
      <c r="H447" s="23"/>
      <c r="I447" s="23"/>
      <c r="J447" s="27"/>
      <c r="K447" s="27"/>
      <c r="L447" s="13">
        <f t="shared" si="6"/>
        <v>0</v>
      </c>
      <c r="M447" s="13"/>
      <c r="N447" s="23"/>
      <c r="O447" s="23"/>
      <c r="P447" s="13" t="s">
        <v>405</v>
      </c>
    </row>
    <row r="448" spans="1:16" ht="45">
      <c r="A448" s="16" t="s">
        <v>168</v>
      </c>
      <c r="B448" s="14" t="s">
        <v>406</v>
      </c>
      <c r="C448" s="14" t="s">
        <v>22</v>
      </c>
      <c r="D448" s="14" t="s">
        <v>19</v>
      </c>
      <c r="E448" s="14" t="s">
        <v>170</v>
      </c>
      <c r="F448" s="25">
        <v>0</v>
      </c>
      <c r="G448" s="14" t="s">
        <v>48</v>
      </c>
      <c r="H448" s="14" t="s">
        <v>171</v>
      </c>
      <c r="I448" s="14" t="s">
        <v>97</v>
      </c>
      <c r="J448" s="27"/>
      <c r="K448" s="27"/>
      <c r="L448" s="13">
        <f t="shared" si="6"/>
        <v>0</v>
      </c>
      <c r="M448" s="14"/>
      <c r="N448" s="23"/>
      <c r="O448" s="23"/>
      <c r="P448" s="14" t="s">
        <v>405</v>
      </c>
    </row>
    <row r="449" spans="1:16">
      <c r="A449" s="16" t="s">
        <v>168</v>
      </c>
      <c r="B449" s="14" t="s">
        <v>406</v>
      </c>
      <c r="C449" s="14" t="s">
        <v>28</v>
      </c>
      <c r="D449" s="14" t="s">
        <v>19</v>
      </c>
      <c r="E449" s="14" t="s">
        <v>170</v>
      </c>
      <c r="F449" s="25">
        <v>0</v>
      </c>
      <c r="G449" s="23"/>
      <c r="H449" s="23"/>
      <c r="I449" s="23"/>
      <c r="J449" s="27"/>
      <c r="K449" s="27"/>
      <c r="L449" s="13">
        <f t="shared" si="6"/>
        <v>0</v>
      </c>
      <c r="M449" s="14"/>
      <c r="N449" s="23"/>
      <c r="O449" s="23"/>
      <c r="P449" s="14" t="s">
        <v>405</v>
      </c>
    </row>
    <row r="450" spans="1:16">
      <c r="A450" s="16" t="s">
        <v>168</v>
      </c>
      <c r="B450" s="14" t="s">
        <v>406</v>
      </c>
      <c r="C450" s="14" t="s">
        <v>29</v>
      </c>
      <c r="D450" s="14" t="s">
        <v>19</v>
      </c>
      <c r="E450" s="14" t="s">
        <v>170</v>
      </c>
      <c r="F450" s="25">
        <v>0</v>
      </c>
      <c r="G450" s="23"/>
      <c r="H450" s="23"/>
      <c r="I450" s="23"/>
      <c r="J450" s="27"/>
      <c r="K450" s="27"/>
      <c r="L450" s="13">
        <f t="shared" si="6"/>
        <v>0</v>
      </c>
      <c r="M450" s="14"/>
      <c r="N450" s="23"/>
      <c r="O450" s="23"/>
      <c r="P450" s="14" t="s">
        <v>405</v>
      </c>
    </row>
    <row r="451" spans="1:16">
      <c r="A451" s="16" t="s">
        <v>168</v>
      </c>
      <c r="B451" s="14" t="s">
        <v>406</v>
      </c>
      <c r="C451" s="14" t="s">
        <v>30</v>
      </c>
      <c r="D451" s="14" t="s">
        <v>19</v>
      </c>
      <c r="E451" s="14" t="s">
        <v>170</v>
      </c>
      <c r="F451" s="25">
        <v>0</v>
      </c>
      <c r="G451" s="23"/>
      <c r="H451" s="23"/>
      <c r="I451" s="23"/>
      <c r="J451" s="27"/>
      <c r="K451" s="27"/>
      <c r="L451" s="13">
        <f t="shared" si="6"/>
        <v>0</v>
      </c>
      <c r="M451" s="14"/>
      <c r="N451" s="23"/>
      <c r="O451" s="23"/>
      <c r="P451" s="14" t="s">
        <v>405</v>
      </c>
    </row>
    <row r="452" spans="1:16">
      <c r="A452" s="21" t="s">
        <v>168</v>
      </c>
      <c r="B452" s="15" t="s">
        <v>407</v>
      </c>
      <c r="C452" s="15" t="s">
        <v>18</v>
      </c>
      <c r="D452" s="15" t="s">
        <v>33</v>
      </c>
      <c r="E452" s="15" t="s">
        <v>170</v>
      </c>
      <c r="F452" s="29">
        <v>0</v>
      </c>
      <c r="G452" s="17"/>
      <c r="H452" s="17"/>
      <c r="I452" s="17"/>
      <c r="J452" s="30"/>
      <c r="K452" s="30"/>
      <c r="L452" s="13">
        <f t="shared" ref="L452:L515" si="7">NETWORKDAYS(J452,K452)</f>
        <v>0</v>
      </c>
      <c r="M452" s="15"/>
      <c r="N452" s="17"/>
      <c r="O452" s="17"/>
      <c r="P452" s="15" t="s">
        <v>405</v>
      </c>
    </row>
    <row r="453" spans="1:16" ht="45">
      <c r="A453" s="16" t="s">
        <v>168</v>
      </c>
      <c r="B453" s="16" t="s">
        <v>408</v>
      </c>
      <c r="C453" s="16" t="s">
        <v>22</v>
      </c>
      <c r="D453" s="16" t="s">
        <v>33</v>
      </c>
      <c r="E453" s="16" t="s">
        <v>170</v>
      </c>
      <c r="F453" s="31">
        <v>0</v>
      </c>
      <c r="G453" s="16" t="s">
        <v>35</v>
      </c>
      <c r="H453" s="16" t="s">
        <v>173</v>
      </c>
      <c r="I453" s="16" t="s">
        <v>50</v>
      </c>
      <c r="J453" s="30"/>
      <c r="K453" s="33"/>
      <c r="L453" s="13"/>
      <c r="M453" s="16"/>
      <c r="N453" s="17"/>
      <c r="O453" s="17"/>
      <c r="P453" s="16" t="s">
        <v>405</v>
      </c>
    </row>
    <row r="454" spans="1:16">
      <c r="A454" s="16" t="s">
        <v>168</v>
      </c>
      <c r="B454" s="16" t="s">
        <v>408</v>
      </c>
      <c r="C454" s="16" t="s">
        <v>28</v>
      </c>
      <c r="D454" s="16" t="s">
        <v>33</v>
      </c>
      <c r="E454" s="16" t="s">
        <v>170</v>
      </c>
      <c r="F454" s="31">
        <v>0</v>
      </c>
      <c r="G454" s="17"/>
      <c r="H454" s="17"/>
      <c r="I454" s="17"/>
      <c r="J454" s="30"/>
      <c r="K454" s="30"/>
      <c r="L454" s="13">
        <f t="shared" si="7"/>
        <v>0</v>
      </c>
      <c r="M454" s="16"/>
      <c r="N454" s="17"/>
      <c r="O454" s="17"/>
      <c r="P454" s="16" t="s">
        <v>405</v>
      </c>
    </row>
    <row r="455" spans="1:16">
      <c r="A455" s="16" t="s">
        <v>168</v>
      </c>
      <c r="B455" s="16" t="s">
        <v>408</v>
      </c>
      <c r="C455" s="16" t="s">
        <v>29</v>
      </c>
      <c r="D455" s="16" t="s">
        <v>33</v>
      </c>
      <c r="E455" s="16" t="s">
        <v>170</v>
      </c>
      <c r="F455" s="31">
        <v>0</v>
      </c>
      <c r="G455" s="17"/>
      <c r="H455" s="17"/>
      <c r="I455" s="17"/>
      <c r="J455" s="30"/>
      <c r="K455" s="30"/>
      <c r="L455" s="13">
        <f t="shared" si="7"/>
        <v>0</v>
      </c>
      <c r="M455" s="16"/>
      <c r="N455" s="17"/>
      <c r="O455" s="17"/>
      <c r="P455" s="16" t="s">
        <v>405</v>
      </c>
    </row>
    <row r="456" spans="1:16">
      <c r="A456" s="16" t="s">
        <v>168</v>
      </c>
      <c r="B456" s="16" t="s">
        <v>408</v>
      </c>
      <c r="C456" s="16" t="s">
        <v>30</v>
      </c>
      <c r="D456" s="16" t="s">
        <v>33</v>
      </c>
      <c r="E456" s="16" t="s">
        <v>170</v>
      </c>
      <c r="F456" s="31">
        <v>0</v>
      </c>
      <c r="G456" s="17"/>
      <c r="H456" s="17"/>
      <c r="I456" s="17"/>
      <c r="J456" s="30"/>
      <c r="K456" s="30"/>
      <c r="L456" s="13">
        <f t="shared" si="7"/>
        <v>0</v>
      </c>
      <c r="M456" s="16"/>
      <c r="N456" s="17"/>
      <c r="O456" s="17"/>
      <c r="P456" s="16" t="s">
        <v>405</v>
      </c>
    </row>
    <row r="457" spans="1:16">
      <c r="A457" s="28" t="s">
        <v>44</v>
      </c>
      <c r="B457" s="13" t="s">
        <v>409</v>
      </c>
      <c r="C457" s="13" t="s">
        <v>18</v>
      </c>
      <c r="D457" s="13" t="s">
        <v>19</v>
      </c>
      <c r="E457" s="13" t="s">
        <v>170</v>
      </c>
      <c r="F457" s="22">
        <v>1</v>
      </c>
      <c r="G457" s="23"/>
      <c r="H457" s="23"/>
      <c r="I457" s="23"/>
      <c r="J457" s="24">
        <v>45852</v>
      </c>
      <c r="K457" s="24">
        <v>46001</v>
      </c>
      <c r="L457" s="13">
        <f t="shared" si="7"/>
        <v>108</v>
      </c>
      <c r="M457" s="24">
        <v>45918</v>
      </c>
      <c r="N457" s="23"/>
      <c r="O457" s="23"/>
      <c r="P457" s="13" t="s">
        <v>174</v>
      </c>
    </row>
    <row r="458" spans="1:16" ht="45">
      <c r="A458" s="16" t="s">
        <v>44</v>
      </c>
      <c r="B458" s="14" t="s">
        <v>410</v>
      </c>
      <c r="C458" s="14" t="s">
        <v>22</v>
      </c>
      <c r="D458" s="14" t="s">
        <v>19</v>
      </c>
      <c r="E458" s="14" t="s">
        <v>170</v>
      </c>
      <c r="F458" s="25">
        <v>1</v>
      </c>
      <c r="G458" s="14" t="s">
        <v>46</v>
      </c>
      <c r="H458" s="14" t="s">
        <v>47</v>
      </c>
      <c r="I458" s="14" t="s">
        <v>48</v>
      </c>
      <c r="J458" s="26">
        <v>45972</v>
      </c>
      <c r="K458" s="26">
        <v>46001</v>
      </c>
      <c r="L458" s="13">
        <f t="shared" si="7"/>
        <v>22</v>
      </c>
      <c r="M458" s="26">
        <v>46050</v>
      </c>
      <c r="N458" s="14" t="s">
        <v>108</v>
      </c>
      <c r="O458" s="14" t="s">
        <v>108</v>
      </c>
      <c r="P458" s="14" t="s">
        <v>174</v>
      </c>
    </row>
    <row r="459" spans="1:16">
      <c r="A459" s="16" t="s">
        <v>44</v>
      </c>
      <c r="B459" s="14" t="s">
        <v>410</v>
      </c>
      <c r="C459" s="14" t="s">
        <v>28</v>
      </c>
      <c r="D459" s="14" t="s">
        <v>19</v>
      </c>
      <c r="E459" s="14" t="s">
        <v>170</v>
      </c>
      <c r="F459" s="25">
        <v>0</v>
      </c>
      <c r="G459" s="23"/>
      <c r="H459" s="23"/>
      <c r="I459" s="23"/>
      <c r="J459" s="27"/>
      <c r="K459" s="27"/>
      <c r="L459" s="13">
        <f t="shared" si="7"/>
        <v>0</v>
      </c>
      <c r="M459" s="14"/>
      <c r="N459" s="23"/>
      <c r="O459" s="23"/>
      <c r="P459" s="14" t="s">
        <v>174</v>
      </c>
    </row>
    <row r="460" spans="1:16">
      <c r="A460" s="16" t="s">
        <v>44</v>
      </c>
      <c r="B460" s="14" t="s">
        <v>410</v>
      </c>
      <c r="C460" s="14" t="s">
        <v>29</v>
      </c>
      <c r="D460" s="14" t="s">
        <v>19</v>
      </c>
      <c r="E460" s="14" t="s">
        <v>170</v>
      </c>
      <c r="F460" s="25">
        <v>0</v>
      </c>
      <c r="G460" s="23"/>
      <c r="H460" s="23"/>
      <c r="I460" s="23"/>
      <c r="J460" s="27"/>
      <c r="K460" s="27"/>
      <c r="L460" s="13">
        <f t="shared" si="7"/>
        <v>0</v>
      </c>
      <c r="M460" s="14"/>
      <c r="N460" s="23"/>
      <c r="O460" s="23"/>
      <c r="P460" s="14" t="s">
        <v>174</v>
      </c>
    </row>
    <row r="461" spans="1:16">
      <c r="A461" s="16" t="s">
        <v>44</v>
      </c>
      <c r="B461" s="14" t="s">
        <v>410</v>
      </c>
      <c r="C461" s="14" t="s">
        <v>30</v>
      </c>
      <c r="D461" s="14" t="s">
        <v>19</v>
      </c>
      <c r="E461" s="14" t="s">
        <v>170</v>
      </c>
      <c r="F461" s="25">
        <v>0</v>
      </c>
      <c r="G461" s="23"/>
      <c r="H461" s="23"/>
      <c r="I461" s="23"/>
      <c r="J461" s="27"/>
      <c r="K461" s="27"/>
      <c r="L461" s="13">
        <f t="shared" si="7"/>
        <v>0</v>
      </c>
      <c r="M461" s="14"/>
      <c r="N461" s="23"/>
      <c r="O461" s="23"/>
      <c r="P461" s="14" t="s">
        <v>174</v>
      </c>
    </row>
    <row r="462" spans="1:16">
      <c r="A462" s="21" t="s">
        <v>44</v>
      </c>
      <c r="B462" s="15" t="s">
        <v>411</v>
      </c>
      <c r="C462" s="15" t="s">
        <v>18</v>
      </c>
      <c r="D462" s="15" t="s">
        <v>33</v>
      </c>
      <c r="E462" s="15" t="s">
        <v>170</v>
      </c>
      <c r="F462" s="29">
        <v>1</v>
      </c>
      <c r="G462" s="17"/>
      <c r="H462" s="17"/>
      <c r="I462" s="17"/>
      <c r="J462" s="33">
        <v>45852</v>
      </c>
      <c r="K462" s="33">
        <v>45852</v>
      </c>
      <c r="L462" s="13">
        <f t="shared" si="7"/>
        <v>1</v>
      </c>
      <c r="M462" s="33">
        <v>45918</v>
      </c>
      <c r="N462" s="17"/>
      <c r="O462" s="17"/>
      <c r="P462" s="15" t="s">
        <v>174</v>
      </c>
    </row>
    <row r="463" spans="1:16" ht="45">
      <c r="A463" s="16" t="s">
        <v>44</v>
      </c>
      <c r="B463" s="16" t="s">
        <v>412</v>
      </c>
      <c r="C463" s="16" t="s">
        <v>22</v>
      </c>
      <c r="D463" s="16" t="s">
        <v>33</v>
      </c>
      <c r="E463" s="16" t="s">
        <v>170</v>
      </c>
      <c r="F463" s="31">
        <v>1</v>
      </c>
      <c r="G463" s="16" t="s">
        <v>46</v>
      </c>
      <c r="H463" s="16" t="s">
        <v>47</v>
      </c>
      <c r="I463" s="16" t="s">
        <v>48</v>
      </c>
      <c r="J463" s="32">
        <v>45972</v>
      </c>
      <c r="K463" s="32">
        <v>46001</v>
      </c>
      <c r="L463" s="13">
        <f t="shared" si="7"/>
        <v>22</v>
      </c>
      <c r="M463" s="32">
        <v>46050</v>
      </c>
      <c r="N463" s="16" t="s">
        <v>108</v>
      </c>
      <c r="O463" s="16" t="s">
        <v>108</v>
      </c>
      <c r="P463" s="16" t="s">
        <v>174</v>
      </c>
    </row>
    <row r="464" spans="1:16">
      <c r="A464" s="16" t="s">
        <v>44</v>
      </c>
      <c r="B464" s="16" t="s">
        <v>412</v>
      </c>
      <c r="C464" s="16" t="s">
        <v>28</v>
      </c>
      <c r="D464" s="16" t="s">
        <v>33</v>
      </c>
      <c r="E464" s="16" t="s">
        <v>170</v>
      </c>
      <c r="F464" s="31">
        <v>0</v>
      </c>
      <c r="G464" s="17"/>
      <c r="H464" s="17"/>
      <c r="I464" s="17"/>
      <c r="J464" s="30"/>
      <c r="K464" s="30"/>
      <c r="L464" s="13">
        <f t="shared" si="7"/>
        <v>0</v>
      </c>
      <c r="M464" s="16"/>
      <c r="N464" s="17"/>
      <c r="O464" s="17"/>
      <c r="P464" s="16" t="s">
        <v>174</v>
      </c>
    </row>
    <row r="465" spans="1:16">
      <c r="A465" s="16" t="s">
        <v>44</v>
      </c>
      <c r="B465" s="16" t="s">
        <v>412</v>
      </c>
      <c r="C465" s="16" t="s">
        <v>29</v>
      </c>
      <c r="D465" s="16" t="s">
        <v>33</v>
      </c>
      <c r="E465" s="16" t="s">
        <v>170</v>
      </c>
      <c r="F465" s="31">
        <v>0</v>
      </c>
      <c r="G465" s="17"/>
      <c r="H465" s="17"/>
      <c r="I465" s="17"/>
      <c r="J465" s="30"/>
      <c r="K465" s="30"/>
      <c r="L465" s="13">
        <f t="shared" si="7"/>
        <v>0</v>
      </c>
      <c r="M465" s="16"/>
      <c r="N465" s="17"/>
      <c r="O465" s="17"/>
      <c r="P465" s="16" t="s">
        <v>174</v>
      </c>
    </row>
    <row r="466" spans="1:16">
      <c r="A466" s="16" t="s">
        <v>44</v>
      </c>
      <c r="B466" s="16" t="s">
        <v>412</v>
      </c>
      <c r="C466" s="16" t="s">
        <v>30</v>
      </c>
      <c r="D466" s="16" t="s">
        <v>33</v>
      </c>
      <c r="E466" s="16" t="s">
        <v>170</v>
      </c>
      <c r="F466" s="31">
        <v>0</v>
      </c>
      <c r="G466" s="17"/>
      <c r="H466" s="17"/>
      <c r="I466" s="17"/>
      <c r="J466" s="30"/>
      <c r="K466" s="30"/>
      <c r="L466" s="13">
        <f t="shared" si="7"/>
        <v>0</v>
      </c>
      <c r="M466" s="16"/>
      <c r="N466" s="17"/>
      <c r="O466" s="17"/>
      <c r="P466" s="16" t="s">
        <v>174</v>
      </c>
    </row>
    <row r="467" spans="1:16">
      <c r="A467" s="21" t="s">
        <v>44</v>
      </c>
      <c r="B467" s="15" t="s">
        <v>413</v>
      </c>
      <c r="C467" s="15" t="s">
        <v>18</v>
      </c>
      <c r="D467" s="15" t="s">
        <v>33</v>
      </c>
      <c r="E467" s="15" t="s">
        <v>170</v>
      </c>
      <c r="F467" s="29">
        <v>1</v>
      </c>
      <c r="G467" s="17"/>
      <c r="H467" s="17"/>
      <c r="I467" s="17"/>
      <c r="J467" s="33">
        <v>45852</v>
      </c>
      <c r="K467" s="33">
        <v>45852</v>
      </c>
      <c r="L467" s="13">
        <f t="shared" si="7"/>
        <v>1</v>
      </c>
      <c r="M467" s="33">
        <v>45918</v>
      </c>
      <c r="N467" s="17"/>
      <c r="O467" s="17"/>
      <c r="P467" s="15" t="s">
        <v>174</v>
      </c>
    </row>
    <row r="468" spans="1:16" ht="45">
      <c r="A468" s="16" t="s">
        <v>44</v>
      </c>
      <c r="B468" s="16" t="s">
        <v>414</v>
      </c>
      <c r="C468" s="16" t="s">
        <v>22</v>
      </c>
      <c r="D468" s="16" t="s">
        <v>33</v>
      </c>
      <c r="E468" s="16" t="s">
        <v>170</v>
      </c>
      <c r="F468" s="31">
        <v>1</v>
      </c>
      <c r="G468" s="16" t="s">
        <v>46</v>
      </c>
      <c r="H468" s="16" t="s">
        <v>47</v>
      </c>
      <c r="I468" s="16" t="s">
        <v>48</v>
      </c>
      <c r="J468" s="32">
        <v>45972</v>
      </c>
      <c r="K468" s="32">
        <v>46001</v>
      </c>
      <c r="L468" s="13">
        <f t="shared" si="7"/>
        <v>22</v>
      </c>
      <c r="M468" s="32">
        <v>46050</v>
      </c>
      <c r="N468" s="16" t="s">
        <v>108</v>
      </c>
      <c r="O468" s="16" t="s">
        <v>108</v>
      </c>
      <c r="P468" s="16" t="s">
        <v>174</v>
      </c>
    </row>
    <row r="469" spans="1:16">
      <c r="A469" s="16" t="s">
        <v>44</v>
      </c>
      <c r="B469" s="16" t="s">
        <v>414</v>
      </c>
      <c r="C469" s="16" t="s">
        <v>28</v>
      </c>
      <c r="D469" s="16" t="s">
        <v>33</v>
      </c>
      <c r="E469" s="16" t="s">
        <v>170</v>
      </c>
      <c r="F469" s="31">
        <v>0</v>
      </c>
      <c r="G469" s="17"/>
      <c r="H469" s="17"/>
      <c r="I469" s="17"/>
      <c r="J469" s="30"/>
      <c r="K469" s="30"/>
      <c r="L469" s="13">
        <f t="shared" si="7"/>
        <v>0</v>
      </c>
      <c r="M469" s="16"/>
      <c r="N469" s="17"/>
      <c r="O469" s="17"/>
      <c r="P469" s="16" t="s">
        <v>174</v>
      </c>
    </row>
    <row r="470" spans="1:16">
      <c r="A470" s="16" t="s">
        <v>44</v>
      </c>
      <c r="B470" s="16" t="s">
        <v>414</v>
      </c>
      <c r="C470" s="16" t="s">
        <v>29</v>
      </c>
      <c r="D470" s="16" t="s">
        <v>33</v>
      </c>
      <c r="E470" s="16" t="s">
        <v>170</v>
      </c>
      <c r="F470" s="31">
        <v>0</v>
      </c>
      <c r="G470" s="17"/>
      <c r="H470" s="17"/>
      <c r="I470" s="17"/>
      <c r="J470" s="30"/>
      <c r="K470" s="30"/>
      <c r="L470" s="13">
        <f t="shared" si="7"/>
        <v>0</v>
      </c>
      <c r="M470" s="16"/>
      <c r="N470" s="17"/>
      <c r="O470" s="17"/>
      <c r="P470" s="16" t="s">
        <v>174</v>
      </c>
    </row>
    <row r="471" spans="1:16">
      <c r="A471" s="16" t="s">
        <v>44</v>
      </c>
      <c r="B471" s="16" t="s">
        <v>414</v>
      </c>
      <c r="C471" s="16" t="s">
        <v>30</v>
      </c>
      <c r="D471" s="16" t="s">
        <v>33</v>
      </c>
      <c r="E471" s="16" t="s">
        <v>170</v>
      </c>
      <c r="F471" s="31">
        <v>0</v>
      </c>
      <c r="G471" s="17"/>
      <c r="H471" s="17"/>
      <c r="I471" s="17"/>
      <c r="J471" s="30"/>
      <c r="K471" s="30"/>
      <c r="L471" s="13">
        <f t="shared" si="7"/>
        <v>0</v>
      </c>
      <c r="M471" s="16"/>
      <c r="N471" s="17"/>
      <c r="O471" s="17"/>
      <c r="P471" s="16" t="s">
        <v>174</v>
      </c>
    </row>
    <row r="472" spans="1:16">
      <c r="A472" s="21" t="s">
        <v>44</v>
      </c>
      <c r="B472" s="15" t="s">
        <v>415</v>
      </c>
      <c r="C472" s="15" t="s">
        <v>18</v>
      </c>
      <c r="D472" s="15" t="s">
        <v>33</v>
      </c>
      <c r="E472" s="15" t="s">
        <v>170</v>
      </c>
      <c r="F472" s="29">
        <v>1</v>
      </c>
      <c r="G472" s="17"/>
      <c r="H472" s="17"/>
      <c r="I472" s="17"/>
      <c r="J472" s="33">
        <v>45852</v>
      </c>
      <c r="K472" s="33">
        <v>45852</v>
      </c>
      <c r="L472" s="13">
        <f t="shared" si="7"/>
        <v>1</v>
      </c>
      <c r="M472" s="33">
        <v>45918</v>
      </c>
      <c r="N472" s="17"/>
      <c r="O472" s="17"/>
      <c r="P472" s="15" t="s">
        <v>174</v>
      </c>
    </row>
    <row r="473" spans="1:16" ht="45">
      <c r="A473" s="16" t="s">
        <v>44</v>
      </c>
      <c r="B473" s="16" t="s">
        <v>416</v>
      </c>
      <c r="C473" s="16" t="s">
        <v>22</v>
      </c>
      <c r="D473" s="16" t="s">
        <v>33</v>
      </c>
      <c r="E473" s="16" t="s">
        <v>170</v>
      </c>
      <c r="F473" s="31">
        <v>1</v>
      </c>
      <c r="G473" s="16" t="s">
        <v>46</v>
      </c>
      <c r="H473" s="16" t="s">
        <v>47</v>
      </c>
      <c r="I473" s="16" t="s">
        <v>48</v>
      </c>
      <c r="J473" s="32">
        <v>45972</v>
      </c>
      <c r="K473" s="32">
        <v>46001</v>
      </c>
      <c r="L473" s="13">
        <f t="shared" si="7"/>
        <v>22</v>
      </c>
      <c r="M473" s="32">
        <v>46050</v>
      </c>
      <c r="N473" s="16" t="s">
        <v>108</v>
      </c>
      <c r="O473" s="16" t="s">
        <v>108</v>
      </c>
      <c r="P473" s="16" t="s">
        <v>174</v>
      </c>
    </row>
    <row r="474" spans="1:16">
      <c r="A474" s="16" t="s">
        <v>44</v>
      </c>
      <c r="B474" s="16" t="s">
        <v>416</v>
      </c>
      <c r="C474" s="16" t="s">
        <v>28</v>
      </c>
      <c r="D474" s="16" t="s">
        <v>33</v>
      </c>
      <c r="E474" s="16" t="s">
        <v>170</v>
      </c>
      <c r="F474" s="31">
        <v>0</v>
      </c>
      <c r="G474" s="17"/>
      <c r="H474" s="17"/>
      <c r="I474" s="17"/>
      <c r="J474" s="30"/>
      <c r="K474" s="30"/>
      <c r="L474" s="13">
        <f t="shared" si="7"/>
        <v>0</v>
      </c>
      <c r="M474" s="16"/>
      <c r="N474" s="17"/>
      <c r="O474" s="17"/>
      <c r="P474" s="16" t="s">
        <v>174</v>
      </c>
    </row>
    <row r="475" spans="1:16">
      <c r="A475" s="16" t="s">
        <v>44</v>
      </c>
      <c r="B475" s="16" t="s">
        <v>416</v>
      </c>
      <c r="C475" s="16" t="s">
        <v>29</v>
      </c>
      <c r="D475" s="16" t="s">
        <v>33</v>
      </c>
      <c r="E475" s="16" t="s">
        <v>170</v>
      </c>
      <c r="F475" s="31">
        <v>0</v>
      </c>
      <c r="G475" s="17"/>
      <c r="H475" s="17"/>
      <c r="I475" s="17"/>
      <c r="J475" s="30"/>
      <c r="K475" s="30"/>
      <c r="L475" s="13">
        <f t="shared" si="7"/>
        <v>0</v>
      </c>
      <c r="M475" s="16"/>
      <c r="N475" s="17"/>
      <c r="O475" s="17"/>
      <c r="P475" s="16" t="s">
        <v>174</v>
      </c>
    </row>
    <row r="476" spans="1:16">
      <c r="A476" s="16" t="s">
        <v>44</v>
      </c>
      <c r="B476" s="16" t="s">
        <v>416</v>
      </c>
      <c r="C476" s="16" t="s">
        <v>30</v>
      </c>
      <c r="D476" s="16" t="s">
        <v>33</v>
      </c>
      <c r="E476" s="16" t="s">
        <v>170</v>
      </c>
      <c r="F476" s="31">
        <v>0</v>
      </c>
      <c r="G476" s="17"/>
      <c r="H476" s="17"/>
      <c r="I476" s="17"/>
      <c r="J476" s="30"/>
      <c r="K476" s="30"/>
      <c r="L476" s="13">
        <f t="shared" si="7"/>
        <v>0</v>
      </c>
      <c r="M476" s="16"/>
      <c r="N476" s="17"/>
      <c r="O476" s="17"/>
      <c r="P476" s="16" t="s">
        <v>174</v>
      </c>
    </row>
    <row r="477" spans="1:16">
      <c r="A477" s="21" t="s">
        <v>44</v>
      </c>
      <c r="B477" s="15" t="s">
        <v>417</v>
      </c>
      <c r="C477" s="15" t="s">
        <v>18</v>
      </c>
      <c r="D477" s="15" t="s">
        <v>33</v>
      </c>
      <c r="E477" s="15" t="s">
        <v>170</v>
      </c>
      <c r="F477" s="29">
        <v>1</v>
      </c>
      <c r="G477" s="17"/>
      <c r="H477" s="17"/>
      <c r="I477" s="17"/>
      <c r="J477" s="33">
        <v>45852</v>
      </c>
      <c r="K477" s="33">
        <v>45852</v>
      </c>
      <c r="L477" s="13">
        <f t="shared" si="7"/>
        <v>1</v>
      </c>
      <c r="M477" s="33">
        <v>45918</v>
      </c>
      <c r="N477" s="17"/>
      <c r="O477" s="17"/>
      <c r="P477" s="15" t="s">
        <v>174</v>
      </c>
    </row>
    <row r="478" spans="1:16" ht="45">
      <c r="A478" s="16" t="s">
        <v>44</v>
      </c>
      <c r="B478" s="16" t="s">
        <v>418</v>
      </c>
      <c r="C478" s="16" t="s">
        <v>22</v>
      </c>
      <c r="D478" s="16" t="s">
        <v>33</v>
      </c>
      <c r="E478" s="16" t="s">
        <v>170</v>
      </c>
      <c r="F478" s="31">
        <v>1</v>
      </c>
      <c r="G478" s="16" t="s">
        <v>46</v>
      </c>
      <c r="H478" s="16" t="s">
        <v>47</v>
      </c>
      <c r="I478" s="16" t="s">
        <v>48</v>
      </c>
      <c r="J478" s="32">
        <v>45972</v>
      </c>
      <c r="K478" s="32">
        <v>46001</v>
      </c>
      <c r="L478" s="13">
        <f t="shared" si="7"/>
        <v>22</v>
      </c>
      <c r="M478" s="32">
        <v>46050</v>
      </c>
      <c r="N478" s="16" t="s">
        <v>108</v>
      </c>
      <c r="O478" s="16" t="s">
        <v>108</v>
      </c>
      <c r="P478" s="16" t="s">
        <v>174</v>
      </c>
    </row>
    <row r="479" spans="1:16">
      <c r="A479" s="16" t="s">
        <v>44</v>
      </c>
      <c r="B479" s="16" t="s">
        <v>418</v>
      </c>
      <c r="C479" s="16" t="s">
        <v>28</v>
      </c>
      <c r="D479" s="16" t="s">
        <v>33</v>
      </c>
      <c r="E479" s="16" t="s">
        <v>170</v>
      </c>
      <c r="F479" s="31">
        <v>0</v>
      </c>
      <c r="G479" s="17"/>
      <c r="H479" s="17"/>
      <c r="I479" s="17"/>
      <c r="J479" s="30"/>
      <c r="K479" s="30"/>
      <c r="L479" s="13">
        <f t="shared" si="7"/>
        <v>0</v>
      </c>
      <c r="M479" s="16"/>
      <c r="N479" s="17"/>
      <c r="O479" s="17"/>
      <c r="P479" s="16" t="s">
        <v>174</v>
      </c>
    </row>
    <row r="480" spans="1:16">
      <c r="A480" s="16" t="s">
        <v>44</v>
      </c>
      <c r="B480" s="16" t="s">
        <v>418</v>
      </c>
      <c r="C480" s="16" t="s">
        <v>29</v>
      </c>
      <c r="D480" s="16" t="s">
        <v>33</v>
      </c>
      <c r="E480" s="16" t="s">
        <v>170</v>
      </c>
      <c r="F480" s="31">
        <v>0</v>
      </c>
      <c r="G480" s="17"/>
      <c r="H480" s="17"/>
      <c r="I480" s="17"/>
      <c r="J480" s="30"/>
      <c r="K480" s="30"/>
      <c r="L480" s="13">
        <f t="shared" si="7"/>
        <v>0</v>
      </c>
      <c r="M480" s="16"/>
      <c r="N480" s="17"/>
      <c r="O480" s="17"/>
      <c r="P480" s="16" t="s">
        <v>174</v>
      </c>
    </row>
    <row r="481" spans="1:16">
      <c r="A481" s="16" t="s">
        <v>44</v>
      </c>
      <c r="B481" s="16" t="s">
        <v>418</v>
      </c>
      <c r="C481" s="16" t="s">
        <v>30</v>
      </c>
      <c r="D481" s="16" t="s">
        <v>33</v>
      </c>
      <c r="E481" s="16" t="s">
        <v>170</v>
      </c>
      <c r="F481" s="31">
        <v>0</v>
      </c>
      <c r="G481" s="17"/>
      <c r="H481" s="17"/>
      <c r="I481" s="17"/>
      <c r="J481" s="30"/>
      <c r="K481" s="30"/>
      <c r="L481" s="13">
        <f t="shared" si="7"/>
        <v>0</v>
      </c>
      <c r="M481" s="16"/>
      <c r="N481" s="17"/>
      <c r="O481" s="17"/>
      <c r="P481" s="16" t="s">
        <v>174</v>
      </c>
    </row>
    <row r="482" spans="1:16">
      <c r="A482" s="21" t="s">
        <v>44</v>
      </c>
      <c r="B482" s="15" t="s">
        <v>419</v>
      </c>
      <c r="C482" s="15" t="s">
        <v>18</v>
      </c>
      <c r="D482" s="15" t="s">
        <v>33</v>
      </c>
      <c r="E482" s="15" t="s">
        <v>170</v>
      </c>
      <c r="F482" s="29">
        <v>1</v>
      </c>
      <c r="G482" s="17"/>
      <c r="H482" s="17"/>
      <c r="I482" s="17"/>
      <c r="J482" s="33">
        <v>45852</v>
      </c>
      <c r="K482" s="33">
        <v>45852</v>
      </c>
      <c r="L482" s="13">
        <f t="shared" si="7"/>
        <v>1</v>
      </c>
      <c r="M482" s="33">
        <v>45918</v>
      </c>
      <c r="N482" s="17"/>
      <c r="O482" s="17"/>
      <c r="P482" s="15" t="s">
        <v>174</v>
      </c>
    </row>
    <row r="483" spans="1:16" ht="45">
      <c r="A483" s="16" t="s">
        <v>44</v>
      </c>
      <c r="B483" s="16" t="s">
        <v>420</v>
      </c>
      <c r="C483" s="16" t="s">
        <v>22</v>
      </c>
      <c r="D483" s="16" t="s">
        <v>33</v>
      </c>
      <c r="E483" s="16" t="s">
        <v>170</v>
      </c>
      <c r="F483" s="31">
        <v>1</v>
      </c>
      <c r="G483" s="16" t="s">
        <v>46</v>
      </c>
      <c r="H483" s="16" t="s">
        <v>47</v>
      </c>
      <c r="I483" s="16" t="s">
        <v>48</v>
      </c>
      <c r="J483" s="32">
        <v>45972</v>
      </c>
      <c r="K483" s="32">
        <v>46001</v>
      </c>
      <c r="L483" s="13">
        <f t="shared" si="7"/>
        <v>22</v>
      </c>
      <c r="M483" s="32">
        <v>46050</v>
      </c>
      <c r="N483" s="16" t="s">
        <v>108</v>
      </c>
      <c r="O483" s="16" t="s">
        <v>108</v>
      </c>
      <c r="P483" s="16" t="s">
        <v>174</v>
      </c>
    </row>
    <row r="484" spans="1:16">
      <c r="A484" s="16" t="s">
        <v>44</v>
      </c>
      <c r="B484" s="16" t="s">
        <v>420</v>
      </c>
      <c r="C484" s="16" t="s">
        <v>28</v>
      </c>
      <c r="D484" s="16" t="s">
        <v>33</v>
      </c>
      <c r="E484" s="16" t="s">
        <v>170</v>
      </c>
      <c r="F484" s="31">
        <v>0</v>
      </c>
      <c r="G484" s="17"/>
      <c r="H484" s="17"/>
      <c r="I484" s="17"/>
      <c r="J484" s="30"/>
      <c r="K484" s="30"/>
      <c r="L484" s="13">
        <f t="shared" si="7"/>
        <v>0</v>
      </c>
      <c r="M484" s="16"/>
      <c r="N484" s="17"/>
      <c r="O484" s="17"/>
      <c r="P484" s="16" t="s">
        <v>174</v>
      </c>
    </row>
    <row r="485" spans="1:16">
      <c r="A485" s="16" t="s">
        <v>44</v>
      </c>
      <c r="B485" s="16" t="s">
        <v>420</v>
      </c>
      <c r="C485" s="16" t="s">
        <v>29</v>
      </c>
      <c r="D485" s="16" t="s">
        <v>33</v>
      </c>
      <c r="E485" s="16" t="s">
        <v>170</v>
      </c>
      <c r="F485" s="31">
        <v>0</v>
      </c>
      <c r="G485" s="17"/>
      <c r="H485" s="17"/>
      <c r="I485" s="17"/>
      <c r="J485" s="30"/>
      <c r="K485" s="30"/>
      <c r="L485" s="13">
        <f t="shared" si="7"/>
        <v>0</v>
      </c>
      <c r="M485" s="16"/>
      <c r="N485" s="17"/>
      <c r="O485" s="17"/>
      <c r="P485" s="16" t="s">
        <v>174</v>
      </c>
    </row>
    <row r="486" spans="1:16">
      <c r="A486" s="16" t="s">
        <v>44</v>
      </c>
      <c r="B486" s="16" t="s">
        <v>420</v>
      </c>
      <c r="C486" s="16" t="s">
        <v>30</v>
      </c>
      <c r="D486" s="16" t="s">
        <v>33</v>
      </c>
      <c r="E486" s="16" t="s">
        <v>170</v>
      </c>
      <c r="F486" s="31">
        <v>0</v>
      </c>
      <c r="G486" s="17"/>
      <c r="H486" s="17"/>
      <c r="I486" s="17"/>
      <c r="J486" s="30"/>
      <c r="K486" s="30"/>
      <c r="L486" s="13">
        <f t="shared" si="7"/>
        <v>0</v>
      </c>
      <c r="M486" s="16"/>
      <c r="N486" s="17"/>
      <c r="O486" s="17"/>
      <c r="P486" s="16" t="s">
        <v>174</v>
      </c>
    </row>
    <row r="487" spans="1:16">
      <c r="A487" s="21" t="s">
        <v>44</v>
      </c>
      <c r="B487" s="15" t="s">
        <v>421</v>
      </c>
      <c r="C487" s="15" t="s">
        <v>18</v>
      </c>
      <c r="D487" s="15" t="s">
        <v>33</v>
      </c>
      <c r="E487" s="15" t="s">
        <v>170</v>
      </c>
      <c r="F487" s="29">
        <v>1</v>
      </c>
      <c r="G487" s="17"/>
      <c r="H487" s="17"/>
      <c r="I487" s="17"/>
      <c r="J487" s="33">
        <v>45852</v>
      </c>
      <c r="K487" s="33">
        <v>45852</v>
      </c>
      <c r="L487" s="13">
        <f t="shared" si="7"/>
        <v>1</v>
      </c>
      <c r="M487" s="15"/>
      <c r="N487" s="17"/>
      <c r="O487" s="17"/>
      <c r="P487" s="15" t="s">
        <v>174</v>
      </c>
    </row>
    <row r="488" spans="1:16" ht="45">
      <c r="A488" s="16" t="s">
        <v>44</v>
      </c>
      <c r="B488" s="16" t="s">
        <v>422</v>
      </c>
      <c r="C488" s="16" t="s">
        <v>22</v>
      </c>
      <c r="D488" s="16" t="s">
        <v>33</v>
      </c>
      <c r="E488" s="16" t="s">
        <v>170</v>
      </c>
      <c r="F488" s="31">
        <v>1</v>
      </c>
      <c r="G488" s="16" t="s">
        <v>46</v>
      </c>
      <c r="H488" s="16" t="s">
        <v>47</v>
      </c>
      <c r="I488" s="16" t="s">
        <v>48</v>
      </c>
      <c r="J488" s="32">
        <v>45972</v>
      </c>
      <c r="K488" s="32">
        <v>46001</v>
      </c>
      <c r="L488" s="13">
        <f t="shared" si="7"/>
        <v>22</v>
      </c>
      <c r="M488" s="32">
        <v>46050</v>
      </c>
      <c r="N488" s="16" t="s">
        <v>108</v>
      </c>
      <c r="O488" s="16" t="s">
        <v>108</v>
      </c>
      <c r="P488" s="16" t="s">
        <v>174</v>
      </c>
    </row>
    <row r="489" spans="1:16">
      <c r="A489" s="16" t="s">
        <v>44</v>
      </c>
      <c r="B489" s="16" t="s">
        <v>422</v>
      </c>
      <c r="C489" s="16" t="s">
        <v>28</v>
      </c>
      <c r="D489" s="16" t="s">
        <v>33</v>
      </c>
      <c r="E489" s="16" t="s">
        <v>170</v>
      </c>
      <c r="F489" s="31">
        <v>0</v>
      </c>
      <c r="G489" s="17"/>
      <c r="H489" s="17"/>
      <c r="I489" s="17"/>
      <c r="J489" s="30"/>
      <c r="K489" s="30"/>
      <c r="L489" s="13">
        <f t="shared" si="7"/>
        <v>0</v>
      </c>
      <c r="M489" s="16"/>
      <c r="N489" s="17"/>
      <c r="O489" s="17"/>
      <c r="P489" s="16" t="s">
        <v>174</v>
      </c>
    </row>
    <row r="490" spans="1:16">
      <c r="A490" s="16" t="s">
        <v>44</v>
      </c>
      <c r="B490" s="16" t="s">
        <v>422</v>
      </c>
      <c r="C490" s="16" t="s">
        <v>29</v>
      </c>
      <c r="D490" s="16" t="s">
        <v>33</v>
      </c>
      <c r="E490" s="16" t="s">
        <v>170</v>
      </c>
      <c r="F490" s="31">
        <v>0</v>
      </c>
      <c r="G490" s="17"/>
      <c r="H490" s="17"/>
      <c r="I490" s="17"/>
      <c r="J490" s="30"/>
      <c r="K490" s="30"/>
      <c r="L490" s="13">
        <f t="shared" si="7"/>
        <v>0</v>
      </c>
      <c r="M490" s="16"/>
      <c r="N490" s="17"/>
      <c r="O490" s="17"/>
      <c r="P490" s="16" t="s">
        <v>174</v>
      </c>
    </row>
    <row r="491" spans="1:16">
      <c r="A491" s="16" t="s">
        <v>44</v>
      </c>
      <c r="B491" s="16" t="s">
        <v>422</v>
      </c>
      <c r="C491" s="16" t="s">
        <v>30</v>
      </c>
      <c r="D491" s="16" t="s">
        <v>33</v>
      </c>
      <c r="E491" s="16" t="s">
        <v>170</v>
      </c>
      <c r="F491" s="31">
        <v>0</v>
      </c>
      <c r="G491" s="17"/>
      <c r="H491" s="17"/>
      <c r="I491" s="17"/>
      <c r="J491" s="30"/>
      <c r="K491" s="30"/>
      <c r="L491" s="13">
        <f t="shared" si="7"/>
        <v>0</v>
      </c>
      <c r="M491" s="16"/>
      <c r="N491" s="17"/>
      <c r="O491" s="17"/>
      <c r="P491" s="16" t="s">
        <v>174</v>
      </c>
    </row>
    <row r="492" spans="1:16" ht="30">
      <c r="A492" s="21" t="s">
        <v>39</v>
      </c>
      <c r="B492" s="13" t="s">
        <v>423</v>
      </c>
      <c r="C492" s="13" t="s">
        <v>18</v>
      </c>
      <c r="D492" s="13" t="s">
        <v>19</v>
      </c>
      <c r="E492" s="13" t="s">
        <v>170</v>
      </c>
      <c r="F492" s="22">
        <v>0</v>
      </c>
      <c r="G492" s="23"/>
      <c r="H492" s="23"/>
      <c r="I492" s="23"/>
      <c r="J492" s="24">
        <v>46132</v>
      </c>
      <c r="K492" s="24">
        <v>46295</v>
      </c>
      <c r="L492" s="13">
        <f t="shared" si="7"/>
        <v>118</v>
      </c>
      <c r="M492" s="13"/>
      <c r="N492" s="23"/>
      <c r="O492" s="23"/>
      <c r="P492" s="13" t="s">
        <v>424</v>
      </c>
    </row>
    <row r="493" spans="1:16" ht="60">
      <c r="A493" s="16" t="s">
        <v>39</v>
      </c>
      <c r="B493" s="14" t="s">
        <v>425</v>
      </c>
      <c r="C493" s="14" t="s">
        <v>22</v>
      </c>
      <c r="D493" s="14" t="s">
        <v>19</v>
      </c>
      <c r="E493" s="14" t="s">
        <v>170</v>
      </c>
      <c r="F493" s="25">
        <v>0</v>
      </c>
      <c r="G493" s="14" t="s">
        <v>183</v>
      </c>
      <c r="H493" s="14" t="s">
        <v>116</v>
      </c>
      <c r="I493" s="14" t="s">
        <v>97</v>
      </c>
      <c r="J493" s="26">
        <v>46132</v>
      </c>
      <c r="K493" s="26">
        <v>46203</v>
      </c>
      <c r="L493" s="13">
        <f t="shared" si="7"/>
        <v>52</v>
      </c>
      <c r="M493" s="14"/>
      <c r="N493" s="23"/>
      <c r="O493" s="14" t="s">
        <v>27</v>
      </c>
      <c r="P493" s="14" t="s">
        <v>424</v>
      </c>
    </row>
    <row r="494" spans="1:16" ht="30">
      <c r="A494" s="16" t="s">
        <v>39</v>
      </c>
      <c r="B494" s="14" t="s">
        <v>425</v>
      </c>
      <c r="C494" s="14" t="s">
        <v>28</v>
      </c>
      <c r="D494" s="14" t="s">
        <v>19</v>
      </c>
      <c r="E494" s="14" t="s">
        <v>170</v>
      </c>
      <c r="F494" s="25">
        <v>0</v>
      </c>
      <c r="G494" s="23"/>
      <c r="H494" s="23"/>
      <c r="I494" s="23"/>
      <c r="J494" s="26">
        <v>46216</v>
      </c>
      <c r="K494" s="26">
        <v>46295</v>
      </c>
      <c r="L494" s="13">
        <f t="shared" si="7"/>
        <v>58</v>
      </c>
      <c r="M494" s="14"/>
      <c r="N494" s="23"/>
      <c r="O494" s="14" t="s">
        <v>27</v>
      </c>
      <c r="P494" s="14" t="s">
        <v>424</v>
      </c>
    </row>
    <row r="495" spans="1:16" ht="30">
      <c r="A495" s="16" t="s">
        <v>39</v>
      </c>
      <c r="B495" s="14" t="s">
        <v>425</v>
      </c>
      <c r="C495" s="14" t="s">
        <v>29</v>
      </c>
      <c r="D495" s="14" t="s">
        <v>19</v>
      </c>
      <c r="E495" s="14" t="s">
        <v>170</v>
      </c>
      <c r="F495" s="25">
        <v>0</v>
      </c>
      <c r="G495" s="23"/>
      <c r="H495" s="23"/>
      <c r="I495" s="23"/>
      <c r="J495" s="27"/>
      <c r="K495" s="27"/>
      <c r="L495" s="13">
        <f t="shared" si="7"/>
        <v>0</v>
      </c>
      <c r="M495" s="14"/>
      <c r="N495" s="23"/>
      <c r="O495" s="23"/>
      <c r="P495" s="14" t="s">
        <v>424</v>
      </c>
    </row>
    <row r="496" spans="1:16" ht="30">
      <c r="A496" s="16" t="s">
        <v>39</v>
      </c>
      <c r="B496" s="14" t="s">
        <v>425</v>
      </c>
      <c r="C496" s="14" t="s">
        <v>30</v>
      </c>
      <c r="D496" s="14" t="s">
        <v>19</v>
      </c>
      <c r="E496" s="14" t="s">
        <v>170</v>
      </c>
      <c r="F496" s="25">
        <v>0</v>
      </c>
      <c r="G496" s="23"/>
      <c r="H496" s="23"/>
      <c r="I496" s="23"/>
      <c r="J496" s="27"/>
      <c r="K496" s="27"/>
      <c r="L496" s="13">
        <f t="shared" si="7"/>
        <v>0</v>
      </c>
      <c r="M496" s="14"/>
      <c r="N496" s="23"/>
      <c r="O496" s="23"/>
      <c r="P496" s="14" t="s">
        <v>424</v>
      </c>
    </row>
    <row r="497" spans="1:16" ht="30">
      <c r="A497" s="28" t="s">
        <v>184</v>
      </c>
      <c r="B497" s="13" t="s">
        <v>426</v>
      </c>
      <c r="C497" s="13" t="s">
        <v>18</v>
      </c>
      <c r="D497" s="13" t="s">
        <v>19</v>
      </c>
      <c r="E497" s="13" t="s">
        <v>170</v>
      </c>
      <c r="F497" s="22">
        <v>0</v>
      </c>
      <c r="G497" s="23"/>
      <c r="H497" s="23"/>
      <c r="I497" s="23"/>
      <c r="J497" s="24">
        <v>45946</v>
      </c>
      <c r="K497" s="24">
        <v>46553</v>
      </c>
      <c r="L497" s="13">
        <f t="shared" si="7"/>
        <v>434</v>
      </c>
      <c r="M497" s="13"/>
      <c r="N497" s="23"/>
      <c r="O497" s="23"/>
      <c r="P497" s="13" t="s">
        <v>185</v>
      </c>
    </row>
    <row r="498" spans="1:16" ht="45">
      <c r="A498" s="16" t="s">
        <v>184</v>
      </c>
      <c r="B498" s="14" t="s">
        <v>427</v>
      </c>
      <c r="C498" s="14" t="s">
        <v>22</v>
      </c>
      <c r="D498" s="14" t="s">
        <v>19</v>
      </c>
      <c r="E498" s="14" t="s">
        <v>170</v>
      </c>
      <c r="F498" s="25">
        <v>0</v>
      </c>
      <c r="G498" s="14" t="s">
        <v>55</v>
      </c>
      <c r="H498" s="14" t="s">
        <v>186</v>
      </c>
      <c r="I498" s="14" t="s">
        <v>48</v>
      </c>
      <c r="J498" s="27"/>
      <c r="K498" s="27"/>
      <c r="L498" s="13">
        <f t="shared" si="7"/>
        <v>0</v>
      </c>
      <c r="M498" s="14"/>
      <c r="N498" s="23"/>
      <c r="O498" s="23"/>
      <c r="P498" s="14" t="s">
        <v>185</v>
      </c>
    </row>
    <row r="499" spans="1:16" ht="30">
      <c r="A499" s="16" t="s">
        <v>184</v>
      </c>
      <c r="B499" s="14" t="s">
        <v>427</v>
      </c>
      <c r="C499" s="14" t="s">
        <v>28</v>
      </c>
      <c r="D499" s="14" t="s">
        <v>19</v>
      </c>
      <c r="E499" s="14" t="s">
        <v>170</v>
      </c>
      <c r="F499" s="25">
        <v>0</v>
      </c>
      <c r="G499" s="23"/>
      <c r="H499" s="23"/>
      <c r="I499" s="23"/>
      <c r="J499" s="27"/>
      <c r="K499" s="27"/>
      <c r="L499" s="13">
        <f t="shared" si="7"/>
        <v>0</v>
      </c>
      <c r="M499" s="14"/>
      <c r="N499" s="23"/>
      <c r="O499" s="23"/>
      <c r="P499" s="14" t="s">
        <v>185</v>
      </c>
    </row>
    <row r="500" spans="1:16" ht="30">
      <c r="A500" s="16" t="s">
        <v>184</v>
      </c>
      <c r="B500" s="14" t="s">
        <v>427</v>
      </c>
      <c r="C500" s="14" t="s">
        <v>29</v>
      </c>
      <c r="D500" s="14" t="s">
        <v>19</v>
      </c>
      <c r="E500" s="14" t="s">
        <v>170</v>
      </c>
      <c r="F500" s="25">
        <v>0</v>
      </c>
      <c r="G500" s="23"/>
      <c r="H500" s="23"/>
      <c r="I500" s="23"/>
      <c r="J500" s="27"/>
      <c r="K500" s="27"/>
      <c r="L500" s="13">
        <f t="shared" si="7"/>
        <v>0</v>
      </c>
      <c r="M500" s="14"/>
      <c r="N500" s="23"/>
      <c r="O500" s="23"/>
      <c r="P500" s="14" t="s">
        <v>185</v>
      </c>
    </row>
    <row r="501" spans="1:16" ht="30">
      <c r="A501" s="16" t="s">
        <v>184</v>
      </c>
      <c r="B501" s="14" t="s">
        <v>427</v>
      </c>
      <c r="C501" s="14" t="s">
        <v>30</v>
      </c>
      <c r="D501" s="14" t="s">
        <v>19</v>
      </c>
      <c r="E501" s="14" t="s">
        <v>170</v>
      </c>
      <c r="F501" s="25">
        <v>0</v>
      </c>
      <c r="G501" s="23"/>
      <c r="H501" s="23"/>
      <c r="I501" s="23"/>
      <c r="J501" s="27"/>
      <c r="K501" s="27"/>
      <c r="L501" s="13">
        <f t="shared" si="7"/>
        <v>0</v>
      </c>
      <c r="M501" s="14"/>
      <c r="N501" s="23"/>
      <c r="O501" s="23"/>
      <c r="P501" s="14" t="s">
        <v>185</v>
      </c>
    </row>
    <row r="502" spans="1:16" ht="30">
      <c r="A502" s="21" t="s">
        <v>184</v>
      </c>
      <c r="B502" s="15" t="s">
        <v>428</v>
      </c>
      <c r="C502" s="15" t="s">
        <v>18</v>
      </c>
      <c r="D502" s="15" t="s">
        <v>33</v>
      </c>
      <c r="E502" s="15" t="s">
        <v>170</v>
      </c>
      <c r="F502" s="29">
        <v>0</v>
      </c>
      <c r="G502" s="17"/>
      <c r="H502" s="17"/>
      <c r="I502" s="17"/>
      <c r="J502" s="33">
        <v>45946</v>
      </c>
      <c r="K502" s="33">
        <v>46387</v>
      </c>
      <c r="L502" s="13">
        <f t="shared" si="7"/>
        <v>316</v>
      </c>
      <c r="M502" s="15"/>
      <c r="N502" s="17"/>
      <c r="O502" s="17"/>
      <c r="P502" s="15" t="s">
        <v>185</v>
      </c>
    </row>
    <row r="503" spans="1:16" ht="45">
      <c r="A503" s="16" t="s">
        <v>184</v>
      </c>
      <c r="B503" s="16" t="s">
        <v>429</v>
      </c>
      <c r="C503" s="16" t="s">
        <v>22</v>
      </c>
      <c r="D503" s="16" t="s">
        <v>33</v>
      </c>
      <c r="E503" s="16" t="s">
        <v>170</v>
      </c>
      <c r="F503" s="31">
        <v>0</v>
      </c>
      <c r="G503" s="16" t="s">
        <v>55</v>
      </c>
      <c r="H503" s="16" t="s">
        <v>186</v>
      </c>
      <c r="I503" s="16" t="s">
        <v>48</v>
      </c>
      <c r="J503" s="33">
        <v>45946</v>
      </c>
      <c r="K503" s="33">
        <v>46022</v>
      </c>
      <c r="L503" s="13">
        <f t="shared" si="7"/>
        <v>55</v>
      </c>
      <c r="M503" s="16"/>
      <c r="N503" s="16" t="s">
        <v>43</v>
      </c>
      <c r="O503" s="16" t="s">
        <v>108</v>
      </c>
      <c r="P503" s="16" t="s">
        <v>185</v>
      </c>
    </row>
    <row r="504" spans="1:16" ht="30">
      <c r="A504" s="16" t="s">
        <v>184</v>
      </c>
      <c r="B504" s="16" t="s">
        <v>429</v>
      </c>
      <c r="C504" s="16" t="s">
        <v>28</v>
      </c>
      <c r="D504" s="16" t="s">
        <v>33</v>
      </c>
      <c r="E504" s="16" t="s">
        <v>170</v>
      </c>
      <c r="F504" s="31">
        <v>0</v>
      </c>
      <c r="G504" s="17"/>
      <c r="H504" s="17"/>
      <c r="I504" s="17"/>
      <c r="J504" s="30"/>
      <c r="K504" s="30"/>
      <c r="L504" s="13">
        <f t="shared" si="7"/>
        <v>0</v>
      </c>
      <c r="M504" s="16"/>
      <c r="N504" s="17"/>
      <c r="O504" s="17"/>
      <c r="P504" s="16" t="s">
        <v>185</v>
      </c>
    </row>
    <row r="505" spans="1:16" ht="30">
      <c r="A505" s="16" t="s">
        <v>184</v>
      </c>
      <c r="B505" s="16" t="s">
        <v>429</v>
      </c>
      <c r="C505" s="16" t="s">
        <v>29</v>
      </c>
      <c r="D505" s="16" t="s">
        <v>33</v>
      </c>
      <c r="E505" s="16" t="s">
        <v>170</v>
      </c>
      <c r="F505" s="31">
        <v>0</v>
      </c>
      <c r="G505" s="17"/>
      <c r="H505" s="17"/>
      <c r="I505" s="17"/>
      <c r="J505" s="33">
        <v>46023</v>
      </c>
      <c r="K505" s="33">
        <v>46387</v>
      </c>
      <c r="L505" s="13">
        <f t="shared" si="7"/>
        <v>261</v>
      </c>
      <c r="M505" s="16"/>
      <c r="N505" s="16" t="s">
        <v>43</v>
      </c>
      <c r="O505" s="16" t="s">
        <v>29</v>
      </c>
      <c r="P505" s="16" t="s">
        <v>185</v>
      </c>
    </row>
    <row r="506" spans="1:16" ht="30">
      <c r="A506" s="16" t="s">
        <v>184</v>
      </c>
      <c r="B506" s="16" t="s">
        <v>429</v>
      </c>
      <c r="C506" s="16" t="s">
        <v>30</v>
      </c>
      <c r="D506" s="16" t="s">
        <v>33</v>
      </c>
      <c r="E506" s="16" t="s">
        <v>170</v>
      </c>
      <c r="F506" s="31">
        <v>0</v>
      </c>
      <c r="G506" s="17"/>
      <c r="H506" s="17"/>
      <c r="I506" s="17"/>
      <c r="J506" s="30"/>
      <c r="K506" s="30"/>
      <c r="L506" s="13">
        <f t="shared" si="7"/>
        <v>0</v>
      </c>
      <c r="M506" s="16"/>
      <c r="N506" s="17"/>
      <c r="O506" s="17"/>
      <c r="P506" s="16" t="s">
        <v>185</v>
      </c>
    </row>
    <row r="507" spans="1:16" ht="30">
      <c r="A507" s="21" t="s">
        <v>184</v>
      </c>
      <c r="B507" s="15" t="s">
        <v>430</v>
      </c>
      <c r="C507" s="15" t="s">
        <v>18</v>
      </c>
      <c r="D507" s="15" t="s">
        <v>33</v>
      </c>
      <c r="E507" s="15" t="s">
        <v>170</v>
      </c>
      <c r="F507" s="29">
        <v>0</v>
      </c>
      <c r="G507" s="17"/>
      <c r="H507" s="17"/>
      <c r="I507" s="17"/>
      <c r="J507" s="33">
        <v>46029</v>
      </c>
      <c r="K507" s="33">
        <v>46188</v>
      </c>
      <c r="L507" s="13">
        <f t="shared" si="7"/>
        <v>114</v>
      </c>
      <c r="M507" s="15"/>
      <c r="N507" s="17"/>
      <c r="O507" s="17"/>
      <c r="P507" s="15" t="s">
        <v>185</v>
      </c>
    </row>
    <row r="508" spans="1:16" ht="45">
      <c r="A508" s="16" t="s">
        <v>184</v>
      </c>
      <c r="B508" s="16" t="s">
        <v>431</v>
      </c>
      <c r="C508" s="16" t="s">
        <v>22</v>
      </c>
      <c r="D508" s="16" t="s">
        <v>33</v>
      </c>
      <c r="E508" s="16" t="s">
        <v>170</v>
      </c>
      <c r="F508" s="31">
        <v>0</v>
      </c>
      <c r="G508" s="16" t="s">
        <v>55</v>
      </c>
      <c r="H508" s="16" t="s">
        <v>189</v>
      </c>
      <c r="I508" s="16" t="s">
        <v>48</v>
      </c>
      <c r="J508" s="33">
        <v>46029</v>
      </c>
      <c r="K508" s="33">
        <v>46097</v>
      </c>
      <c r="L508" s="13">
        <f t="shared" si="7"/>
        <v>49</v>
      </c>
      <c r="M508" s="16"/>
      <c r="N508" s="16" t="s">
        <v>43</v>
      </c>
      <c r="O508" s="16" t="s">
        <v>26</v>
      </c>
      <c r="P508" s="16" t="s">
        <v>185</v>
      </c>
    </row>
    <row r="509" spans="1:16" ht="30">
      <c r="A509" s="16" t="s">
        <v>184</v>
      </c>
      <c r="B509" s="16" t="s">
        <v>431</v>
      </c>
      <c r="C509" s="16" t="s">
        <v>28</v>
      </c>
      <c r="D509" s="16" t="s">
        <v>33</v>
      </c>
      <c r="E509" s="16" t="s">
        <v>170</v>
      </c>
      <c r="F509" s="31">
        <v>0</v>
      </c>
      <c r="G509" s="17"/>
      <c r="H509" s="17"/>
      <c r="I509" s="17"/>
      <c r="J509" s="32">
        <v>46113</v>
      </c>
      <c r="K509" s="32">
        <v>46188</v>
      </c>
      <c r="L509" s="13">
        <f t="shared" si="7"/>
        <v>54</v>
      </c>
      <c r="M509" s="16"/>
      <c r="N509" s="17"/>
      <c r="O509" s="16" t="s">
        <v>27</v>
      </c>
      <c r="P509" s="16" t="s">
        <v>185</v>
      </c>
    </row>
    <row r="510" spans="1:16" ht="30">
      <c r="A510" s="16" t="s">
        <v>184</v>
      </c>
      <c r="B510" s="16" t="s">
        <v>431</v>
      </c>
      <c r="C510" s="16" t="s">
        <v>29</v>
      </c>
      <c r="D510" s="16" t="s">
        <v>33</v>
      </c>
      <c r="E510" s="16" t="s">
        <v>170</v>
      </c>
      <c r="F510" s="31">
        <v>0</v>
      </c>
      <c r="G510" s="17"/>
      <c r="H510" s="17"/>
      <c r="I510" s="17"/>
      <c r="J510" s="32">
        <v>46113</v>
      </c>
      <c r="K510" s="32">
        <v>46188</v>
      </c>
      <c r="L510" s="13">
        <f t="shared" si="7"/>
        <v>54</v>
      </c>
      <c r="M510" s="16"/>
      <c r="N510" s="17"/>
      <c r="O510" s="16" t="s">
        <v>27</v>
      </c>
      <c r="P510" s="16" t="s">
        <v>185</v>
      </c>
    </row>
    <row r="511" spans="1:16" ht="30">
      <c r="A511" s="16" t="s">
        <v>184</v>
      </c>
      <c r="B511" s="16" t="s">
        <v>431</v>
      </c>
      <c r="C511" s="16" t="s">
        <v>30</v>
      </c>
      <c r="D511" s="16" t="s">
        <v>33</v>
      </c>
      <c r="E511" s="16" t="s">
        <v>170</v>
      </c>
      <c r="F511" s="31">
        <v>0</v>
      </c>
      <c r="G511" s="17"/>
      <c r="H511" s="17"/>
      <c r="I511" s="17"/>
      <c r="J511" s="30"/>
      <c r="K511" s="30"/>
      <c r="L511" s="13">
        <f t="shared" si="7"/>
        <v>0</v>
      </c>
      <c r="M511" s="16"/>
      <c r="N511" s="17"/>
      <c r="O511" s="17"/>
      <c r="P511" s="16" t="s">
        <v>185</v>
      </c>
    </row>
    <row r="512" spans="1:16" ht="30">
      <c r="A512" s="21" t="s">
        <v>184</v>
      </c>
      <c r="B512" s="15" t="s">
        <v>432</v>
      </c>
      <c r="C512" s="15" t="s">
        <v>18</v>
      </c>
      <c r="D512" s="15" t="s">
        <v>33</v>
      </c>
      <c r="E512" s="15" t="s">
        <v>170</v>
      </c>
      <c r="F512" s="29">
        <v>0</v>
      </c>
      <c r="G512" s="17"/>
      <c r="H512" s="17"/>
      <c r="I512" s="17"/>
      <c r="J512" s="33">
        <v>46029</v>
      </c>
      <c r="K512" s="33">
        <v>46188</v>
      </c>
      <c r="L512" s="13">
        <f t="shared" si="7"/>
        <v>114</v>
      </c>
      <c r="M512" s="15"/>
      <c r="N512" s="17"/>
      <c r="O512" s="17"/>
      <c r="P512" s="15" t="s">
        <v>185</v>
      </c>
    </row>
    <row r="513" spans="1:16" ht="45">
      <c r="A513" s="16" t="s">
        <v>184</v>
      </c>
      <c r="B513" s="16" t="s">
        <v>433</v>
      </c>
      <c r="C513" s="16" t="s">
        <v>22</v>
      </c>
      <c r="D513" s="16" t="s">
        <v>33</v>
      </c>
      <c r="E513" s="16" t="s">
        <v>170</v>
      </c>
      <c r="F513" s="31">
        <v>0</v>
      </c>
      <c r="G513" s="16" t="s">
        <v>55</v>
      </c>
      <c r="H513" s="16" t="s">
        <v>189</v>
      </c>
      <c r="I513" s="16" t="s">
        <v>48</v>
      </c>
      <c r="J513" s="33">
        <v>46029</v>
      </c>
      <c r="K513" s="33">
        <v>46097</v>
      </c>
      <c r="L513" s="13">
        <f t="shared" si="7"/>
        <v>49</v>
      </c>
      <c r="M513" s="16"/>
      <c r="N513" s="16" t="s">
        <v>43</v>
      </c>
      <c r="O513" s="16" t="s">
        <v>26</v>
      </c>
      <c r="P513" s="16" t="s">
        <v>185</v>
      </c>
    </row>
    <row r="514" spans="1:16" ht="30">
      <c r="A514" s="16" t="s">
        <v>184</v>
      </c>
      <c r="B514" s="16" t="s">
        <v>433</v>
      </c>
      <c r="C514" s="16" t="s">
        <v>28</v>
      </c>
      <c r="D514" s="16" t="s">
        <v>33</v>
      </c>
      <c r="E514" s="16" t="s">
        <v>170</v>
      </c>
      <c r="F514" s="31">
        <v>0</v>
      </c>
      <c r="G514" s="17"/>
      <c r="H514" s="17"/>
      <c r="I514" s="17"/>
      <c r="J514" s="32">
        <v>46113</v>
      </c>
      <c r="K514" s="32">
        <v>46188</v>
      </c>
      <c r="L514" s="13">
        <f t="shared" si="7"/>
        <v>54</v>
      </c>
      <c r="M514" s="16"/>
      <c r="N514" s="17"/>
      <c r="O514" s="16" t="s">
        <v>27</v>
      </c>
      <c r="P514" s="16" t="s">
        <v>185</v>
      </c>
    </row>
    <row r="515" spans="1:16" ht="30">
      <c r="A515" s="16" t="s">
        <v>184</v>
      </c>
      <c r="B515" s="16" t="s">
        <v>433</v>
      </c>
      <c r="C515" s="16" t="s">
        <v>29</v>
      </c>
      <c r="D515" s="16" t="s">
        <v>33</v>
      </c>
      <c r="E515" s="16" t="s">
        <v>170</v>
      </c>
      <c r="F515" s="31">
        <v>0</v>
      </c>
      <c r="G515" s="17"/>
      <c r="H515" s="17"/>
      <c r="I515" s="17"/>
      <c r="J515" s="32">
        <v>46113</v>
      </c>
      <c r="K515" s="32">
        <v>46188</v>
      </c>
      <c r="L515" s="13">
        <f t="shared" si="7"/>
        <v>54</v>
      </c>
      <c r="M515" s="16"/>
      <c r="N515" s="17"/>
      <c r="O515" s="16" t="s">
        <v>27</v>
      </c>
      <c r="P515" s="16" t="s">
        <v>185</v>
      </c>
    </row>
    <row r="516" spans="1:16" ht="30">
      <c r="A516" s="16" t="s">
        <v>184</v>
      </c>
      <c r="B516" s="16" t="s">
        <v>433</v>
      </c>
      <c r="C516" s="16" t="s">
        <v>30</v>
      </c>
      <c r="D516" s="16" t="s">
        <v>33</v>
      </c>
      <c r="E516" s="16" t="s">
        <v>170</v>
      </c>
      <c r="F516" s="31">
        <v>0</v>
      </c>
      <c r="G516" s="17"/>
      <c r="H516" s="17"/>
      <c r="I516" s="17"/>
      <c r="J516" s="30"/>
      <c r="K516" s="30"/>
      <c r="L516" s="13">
        <f t="shared" ref="L516:L571" si="8">NETWORKDAYS(J516,K516)</f>
        <v>0</v>
      </c>
      <c r="M516" s="16"/>
      <c r="N516" s="17"/>
      <c r="O516" s="17"/>
      <c r="P516" s="16" t="s">
        <v>185</v>
      </c>
    </row>
    <row r="517" spans="1:16" ht="30">
      <c r="A517" s="21" t="s">
        <v>184</v>
      </c>
      <c r="B517" s="15" t="s">
        <v>434</v>
      </c>
      <c r="C517" s="15" t="s">
        <v>18</v>
      </c>
      <c r="D517" s="15" t="s">
        <v>33</v>
      </c>
      <c r="E517" s="15" t="s">
        <v>170</v>
      </c>
      <c r="F517" s="29">
        <v>0</v>
      </c>
      <c r="G517" s="17"/>
      <c r="H517" s="17"/>
      <c r="I517" s="17"/>
      <c r="J517" s="33">
        <v>45946</v>
      </c>
      <c r="K517" s="33">
        <v>46055</v>
      </c>
      <c r="L517" s="13">
        <f t="shared" si="8"/>
        <v>78</v>
      </c>
      <c r="M517" s="15"/>
      <c r="N517" s="17"/>
      <c r="O517" s="17"/>
      <c r="P517" s="15" t="s">
        <v>185</v>
      </c>
    </row>
    <row r="518" spans="1:16" ht="45">
      <c r="A518" s="16" t="s">
        <v>184</v>
      </c>
      <c r="B518" s="16" t="s">
        <v>435</v>
      </c>
      <c r="C518" s="16" t="s">
        <v>22</v>
      </c>
      <c r="D518" s="16" t="s">
        <v>33</v>
      </c>
      <c r="E518" s="16" t="s">
        <v>170</v>
      </c>
      <c r="F518" s="31">
        <v>0</v>
      </c>
      <c r="G518" s="16" t="s">
        <v>55</v>
      </c>
      <c r="H518" s="16" t="s">
        <v>192</v>
      </c>
      <c r="I518" s="16" t="s">
        <v>48</v>
      </c>
      <c r="J518" s="33">
        <v>45946</v>
      </c>
      <c r="K518" s="33">
        <v>45991</v>
      </c>
      <c r="L518" s="13">
        <f t="shared" si="8"/>
        <v>32</v>
      </c>
      <c r="M518" s="16"/>
      <c r="N518" s="16" t="s">
        <v>43</v>
      </c>
      <c r="O518" s="16" t="s">
        <v>108</v>
      </c>
      <c r="P518" s="16" t="s">
        <v>185</v>
      </c>
    </row>
    <row r="519" spans="1:16" ht="30">
      <c r="A519" s="16" t="s">
        <v>184</v>
      </c>
      <c r="B519" s="16" t="s">
        <v>435</v>
      </c>
      <c r="C519" s="16" t="s">
        <v>28</v>
      </c>
      <c r="D519" s="16" t="s">
        <v>33</v>
      </c>
      <c r="E519" s="16" t="s">
        <v>170</v>
      </c>
      <c r="F519" s="31">
        <v>0</v>
      </c>
      <c r="G519" s="17"/>
      <c r="H519" s="17"/>
      <c r="I519" s="17"/>
      <c r="J519" s="30"/>
      <c r="K519" s="30"/>
      <c r="L519" s="13">
        <f t="shared" si="8"/>
        <v>0</v>
      </c>
      <c r="M519" s="16"/>
      <c r="N519" s="17"/>
      <c r="O519" s="17"/>
      <c r="P519" s="16" t="s">
        <v>185</v>
      </c>
    </row>
    <row r="520" spans="1:16" ht="30">
      <c r="A520" s="16" t="s">
        <v>184</v>
      </c>
      <c r="B520" s="16" t="s">
        <v>435</v>
      </c>
      <c r="C520" s="16" t="s">
        <v>29</v>
      </c>
      <c r="D520" s="16" t="s">
        <v>33</v>
      </c>
      <c r="E520" s="16" t="s">
        <v>170</v>
      </c>
      <c r="F520" s="31">
        <v>0</v>
      </c>
      <c r="G520" s="17"/>
      <c r="H520" s="17"/>
      <c r="I520" s="17"/>
      <c r="J520" s="33">
        <v>45992</v>
      </c>
      <c r="K520" s="33">
        <v>46055</v>
      </c>
      <c r="L520" s="13">
        <f t="shared" si="8"/>
        <v>46</v>
      </c>
      <c r="M520" s="16"/>
      <c r="N520" s="16" t="s">
        <v>43</v>
      </c>
      <c r="O520" s="16" t="s">
        <v>223</v>
      </c>
      <c r="P520" s="16" t="s">
        <v>185</v>
      </c>
    </row>
    <row r="521" spans="1:16" ht="30">
      <c r="A521" s="16" t="s">
        <v>184</v>
      </c>
      <c r="B521" s="16" t="s">
        <v>435</v>
      </c>
      <c r="C521" s="16" t="s">
        <v>30</v>
      </c>
      <c r="D521" s="16" t="s">
        <v>33</v>
      </c>
      <c r="E521" s="16" t="s">
        <v>170</v>
      </c>
      <c r="F521" s="31">
        <v>0</v>
      </c>
      <c r="G521" s="17"/>
      <c r="H521" s="17"/>
      <c r="I521" s="17"/>
      <c r="J521" s="30"/>
      <c r="K521" s="30"/>
      <c r="L521" s="13">
        <f t="shared" si="8"/>
        <v>0</v>
      </c>
      <c r="M521" s="16"/>
      <c r="N521" s="17"/>
      <c r="O521" s="17"/>
      <c r="P521" s="16" t="s">
        <v>185</v>
      </c>
    </row>
    <row r="522" spans="1:16" ht="30">
      <c r="A522" s="21" t="s">
        <v>184</v>
      </c>
      <c r="B522" s="15" t="s">
        <v>436</v>
      </c>
      <c r="C522" s="15" t="s">
        <v>18</v>
      </c>
      <c r="D522" s="15" t="s">
        <v>33</v>
      </c>
      <c r="E522" s="15" t="s">
        <v>170</v>
      </c>
      <c r="F522" s="29">
        <v>0</v>
      </c>
      <c r="G522" s="17"/>
      <c r="H522" s="17"/>
      <c r="I522" s="17"/>
      <c r="J522" s="33">
        <v>46127</v>
      </c>
      <c r="K522" s="33">
        <v>46295</v>
      </c>
      <c r="L522" s="13">
        <f t="shared" si="8"/>
        <v>121</v>
      </c>
      <c r="M522" s="15"/>
      <c r="N522" s="17"/>
      <c r="O522" s="17"/>
      <c r="P522" s="15" t="s">
        <v>185</v>
      </c>
    </row>
    <row r="523" spans="1:16" ht="45">
      <c r="A523" s="16" t="s">
        <v>184</v>
      </c>
      <c r="B523" s="16" t="s">
        <v>437</v>
      </c>
      <c r="C523" s="16" t="s">
        <v>22</v>
      </c>
      <c r="D523" s="16" t="s">
        <v>33</v>
      </c>
      <c r="E523" s="16" t="s">
        <v>170</v>
      </c>
      <c r="F523" s="31">
        <v>0</v>
      </c>
      <c r="G523" s="16" t="s">
        <v>55</v>
      </c>
      <c r="H523" s="16" t="s">
        <v>192</v>
      </c>
      <c r="I523" s="16" t="s">
        <v>25</v>
      </c>
      <c r="J523" s="33">
        <v>46127</v>
      </c>
      <c r="K523" s="33">
        <v>46203</v>
      </c>
      <c r="L523" s="13">
        <f t="shared" si="8"/>
        <v>55</v>
      </c>
      <c r="M523" s="16"/>
      <c r="N523" s="17"/>
      <c r="O523" s="16" t="s">
        <v>27</v>
      </c>
      <c r="P523" s="16" t="s">
        <v>185</v>
      </c>
    </row>
    <row r="524" spans="1:16" ht="30">
      <c r="A524" s="16" t="s">
        <v>184</v>
      </c>
      <c r="B524" s="16" t="s">
        <v>437</v>
      </c>
      <c r="C524" s="16" t="s">
        <v>28</v>
      </c>
      <c r="D524" s="16" t="s">
        <v>33</v>
      </c>
      <c r="E524" s="16" t="s">
        <v>170</v>
      </c>
      <c r="F524" s="31">
        <v>0</v>
      </c>
      <c r="G524" s="17"/>
      <c r="H524" s="17"/>
      <c r="I524" s="17"/>
      <c r="J524" s="32">
        <v>46218</v>
      </c>
      <c r="K524" s="32">
        <v>46295</v>
      </c>
      <c r="L524" s="13">
        <f t="shared" si="8"/>
        <v>56</v>
      </c>
      <c r="M524" s="16"/>
      <c r="N524" s="17"/>
      <c r="O524" s="16" t="s">
        <v>27</v>
      </c>
      <c r="P524" s="16" t="s">
        <v>185</v>
      </c>
    </row>
    <row r="525" spans="1:16" ht="30">
      <c r="A525" s="16" t="s">
        <v>184</v>
      </c>
      <c r="B525" s="16" t="s">
        <v>437</v>
      </c>
      <c r="C525" s="16" t="s">
        <v>29</v>
      </c>
      <c r="D525" s="16" t="s">
        <v>33</v>
      </c>
      <c r="E525" s="16" t="s">
        <v>170</v>
      </c>
      <c r="F525" s="31">
        <v>0</v>
      </c>
      <c r="G525" s="17"/>
      <c r="H525" s="17"/>
      <c r="I525" s="17"/>
      <c r="J525" s="33">
        <v>46204</v>
      </c>
      <c r="K525" s="33">
        <v>46295</v>
      </c>
      <c r="L525" s="13">
        <f t="shared" si="8"/>
        <v>66</v>
      </c>
      <c r="M525" s="16"/>
      <c r="N525" s="17"/>
      <c r="O525" s="16" t="s">
        <v>27</v>
      </c>
      <c r="P525" s="16" t="s">
        <v>185</v>
      </c>
    </row>
    <row r="526" spans="1:16" ht="30">
      <c r="A526" s="16" t="s">
        <v>184</v>
      </c>
      <c r="B526" s="16" t="s">
        <v>437</v>
      </c>
      <c r="C526" s="16" t="s">
        <v>30</v>
      </c>
      <c r="D526" s="16" t="s">
        <v>33</v>
      </c>
      <c r="E526" s="16" t="s">
        <v>170</v>
      </c>
      <c r="F526" s="31">
        <v>0</v>
      </c>
      <c r="G526" s="17"/>
      <c r="H526" s="17"/>
      <c r="I526" s="17"/>
      <c r="J526" s="30"/>
      <c r="K526" s="30"/>
      <c r="L526" s="13">
        <f t="shared" si="8"/>
        <v>0</v>
      </c>
      <c r="M526" s="16"/>
      <c r="N526" s="17"/>
      <c r="O526" s="17"/>
      <c r="P526" s="16" t="s">
        <v>185</v>
      </c>
    </row>
    <row r="527" spans="1:16" ht="30">
      <c r="A527" s="21" t="s">
        <v>184</v>
      </c>
      <c r="B527" s="15" t="s">
        <v>438</v>
      </c>
      <c r="C527" s="15" t="s">
        <v>18</v>
      </c>
      <c r="D527" s="15" t="s">
        <v>33</v>
      </c>
      <c r="E527" s="15" t="s">
        <v>170</v>
      </c>
      <c r="F527" s="29">
        <v>0</v>
      </c>
      <c r="G527" s="17"/>
      <c r="H527" s="17"/>
      <c r="I527" s="17"/>
      <c r="J527" s="33">
        <v>45946</v>
      </c>
      <c r="K527" s="33">
        <v>46387</v>
      </c>
      <c r="L527" s="13">
        <f t="shared" si="8"/>
        <v>316</v>
      </c>
      <c r="M527" s="15"/>
      <c r="N527" s="17"/>
      <c r="O527" s="17"/>
      <c r="P527" s="15" t="s">
        <v>185</v>
      </c>
    </row>
    <row r="528" spans="1:16" ht="45">
      <c r="A528" s="16" t="s">
        <v>184</v>
      </c>
      <c r="B528" s="16" t="s">
        <v>439</v>
      </c>
      <c r="C528" s="16" t="s">
        <v>22</v>
      </c>
      <c r="D528" s="16" t="s">
        <v>33</v>
      </c>
      <c r="E528" s="16" t="s">
        <v>170</v>
      </c>
      <c r="F528" s="31">
        <v>0</v>
      </c>
      <c r="G528" s="16" t="s">
        <v>55</v>
      </c>
      <c r="H528" s="16" t="s">
        <v>186</v>
      </c>
      <c r="I528" s="16" t="s">
        <v>48</v>
      </c>
      <c r="J528" s="33">
        <v>45946</v>
      </c>
      <c r="K528" s="33">
        <v>46142</v>
      </c>
      <c r="L528" s="13">
        <f t="shared" si="8"/>
        <v>141</v>
      </c>
      <c r="M528" s="16"/>
      <c r="N528" s="16" t="s">
        <v>43</v>
      </c>
      <c r="O528" s="16" t="s">
        <v>26</v>
      </c>
      <c r="P528" s="16" t="s">
        <v>185</v>
      </c>
    </row>
    <row r="529" spans="1:16" ht="30">
      <c r="A529" s="16" t="s">
        <v>184</v>
      </c>
      <c r="B529" s="16" t="s">
        <v>439</v>
      </c>
      <c r="C529" s="16" t="s">
        <v>28</v>
      </c>
      <c r="D529" s="16" t="s">
        <v>33</v>
      </c>
      <c r="E529" s="16" t="s">
        <v>170</v>
      </c>
      <c r="F529" s="31">
        <v>0</v>
      </c>
      <c r="G529" s="17"/>
      <c r="H529" s="17"/>
      <c r="I529" s="17"/>
      <c r="J529" s="30"/>
      <c r="K529" s="30"/>
      <c r="L529" s="13">
        <f t="shared" si="8"/>
        <v>0</v>
      </c>
      <c r="M529" s="16"/>
      <c r="N529" s="17"/>
      <c r="O529" s="17"/>
      <c r="P529" s="16" t="s">
        <v>185</v>
      </c>
    </row>
    <row r="530" spans="1:16" ht="30">
      <c r="A530" s="16" t="s">
        <v>184</v>
      </c>
      <c r="B530" s="16" t="s">
        <v>439</v>
      </c>
      <c r="C530" s="16" t="s">
        <v>29</v>
      </c>
      <c r="D530" s="16" t="s">
        <v>33</v>
      </c>
      <c r="E530" s="16" t="s">
        <v>170</v>
      </c>
      <c r="F530" s="31">
        <v>0</v>
      </c>
      <c r="G530" s="17"/>
      <c r="H530" s="17"/>
      <c r="I530" s="17"/>
      <c r="J530" s="33">
        <v>46146</v>
      </c>
      <c r="K530" s="33">
        <v>46387</v>
      </c>
      <c r="L530" s="13">
        <f t="shared" si="8"/>
        <v>174</v>
      </c>
      <c r="M530" s="16"/>
      <c r="N530" s="17"/>
      <c r="O530" s="16" t="s">
        <v>27</v>
      </c>
      <c r="P530" s="16" t="s">
        <v>185</v>
      </c>
    </row>
    <row r="531" spans="1:16" ht="30">
      <c r="A531" s="16" t="s">
        <v>184</v>
      </c>
      <c r="B531" s="16" t="s">
        <v>439</v>
      </c>
      <c r="C531" s="16" t="s">
        <v>30</v>
      </c>
      <c r="D531" s="16" t="s">
        <v>33</v>
      </c>
      <c r="E531" s="16" t="s">
        <v>170</v>
      </c>
      <c r="F531" s="31">
        <v>0</v>
      </c>
      <c r="G531" s="17"/>
      <c r="H531" s="17"/>
      <c r="I531" s="17"/>
      <c r="J531" s="30"/>
      <c r="K531" s="30"/>
      <c r="L531" s="13">
        <f t="shared" si="8"/>
        <v>0</v>
      </c>
      <c r="M531" s="16"/>
      <c r="N531" s="17"/>
      <c r="O531" s="17"/>
      <c r="P531" s="16" t="s">
        <v>185</v>
      </c>
    </row>
    <row r="532" spans="1:16" ht="30">
      <c r="A532" s="21" t="s">
        <v>184</v>
      </c>
      <c r="B532" s="15" t="s">
        <v>440</v>
      </c>
      <c r="C532" s="15" t="s">
        <v>18</v>
      </c>
      <c r="D532" s="15" t="s">
        <v>33</v>
      </c>
      <c r="E532" s="15" t="s">
        <v>170</v>
      </c>
      <c r="F532" s="29">
        <v>0</v>
      </c>
      <c r="G532" s="17"/>
      <c r="H532" s="17"/>
      <c r="I532" s="17"/>
      <c r="J532" s="33">
        <v>46023</v>
      </c>
      <c r="K532" s="33">
        <v>46356</v>
      </c>
      <c r="L532" s="13">
        <f t="shared" si="8"/>
        <v>238</v>
      </c>
      <c r="M532" s="15"/>
      <c r="N532" s="17"/>
      <c r="O532" s="17"/>
      <c r="P532" s="15" t="s">
        <v>185</v>
      </c>
    </row>
    <row r="533" spans="1:16" ht="45">
      <c r="A533" s="16" t="s">
        <v>184</v>
      </c>
      <c r="B533" s="16" t="s">
        <v>441</v>
      </c>
      <c r="C533" s="16" t="s">
        <v>22</v>
      </c>
      <c r="D533" s="16" t="s">
        <v>33</v>
      </c>
      <c r="E533" s="16" t="s">
        <v>170</v>
      </c>
      <c r="F533" s="31">
        <v>0</v>
      </c>
      <c r="G533" s="16" t="s">
        <v>55</v>
      </c>
      <c r="H533" s="16" t="s">
        <v>186</v>
      </c>
      <c r="I533" s="16" t="s">
        <v>25</v>
      </c>
      <c r="J533" s="33">
        <v>46029</v>
      </c>
      <c r="K533" s="33">
        <v>46097</v>
      </c>
      <c r="L533" s="13">
        <f t="shared" si="8"/>
        <v>49</v>
      </c>
      <c r="M533" s="16"/>
      <c r="N533" s="16" t="s">
        <v>43</v>
      </c>
      <c r="O533" s="16" t="s">
        <v>26</v>
      </c>
      <c r="P533" s="16" t="s">
        <v>185</v>
      </c>
    </row>
    <row r="534" spans="1:16" ht="30">
      <c r="A534" s="16" t="s">
        <v>184</v>
      </c>
      <c r="B534" s="16" t="s">
        <v>441</v>
      </c>
      <c r="C534" s="16" t="s">
        <v>28</v>
      </c>
      <c r="D534" s="16" t="s">
        <v>33</v>
      </c>
      <c r="E534" s="16" t="s">
        <v>170</v>
      </c>
      <c r="F534" s="31">
        <v>0</v>
      </c>
      <c r="G534" s="17"/>
      <c r="H534" s="17"/>
      <c r="I534" s="17"/>
      <c r="J534" s="32">
        <v>46113</v>
      </c>
      <c r="K534" s="32">
        <v>46188</v>
      </c>
      <c r="L534" s="13">
        <f t="shared" si="8"/>
        <v>54</v>
      </c>
      <c r="M534" s="16"/>
      <c r="N534" s="17"/>
      <c r="O534" s="16" t="s">
        <v>27</v>
      </c>
      <c r="P534" s="16" t="s">
        <v>185</v>
      </c>
    </row>
    <row r="535" spans="1:16" ht="30">
      <c r="A535" s="16" t="s">
        <v>184</v>
      </c>
      <c r="B535" s="16" t="s">
        <v>441</v>
      </c>
      <c r="C535" s="16" t="s">
        <v>29</v>
      </c>
      <c r="D535" s="16" t="s">
        <v>33</v>
      </c>
      <c r="E535" s="16" t="s">
        <v>170</v>
      </c>
      <c r="F535" s="31">
        <v>0</v>
      </c>
      <c r="G535" s="17"/>
      <c r="H535" s="17"/>
      <c r="I535" s="17"/>
      <c r="J535" s="33">
        <v>46023</v>
      </c>
      <c r="K535" s="33">
        <v>46356</v>
      </c>
      <c r="L535" s="13">
        <f t="shared" si="8"/>
        <v>238</v>
      </c>
      <c r="M535" s="16"/>
      <c r="N535" s="16" t="s">
        <v>43</v>
      </c>
      <c r="O535" s="16" t="s">
        <v>29</v>
      </c>
      <c r="P535" s="16" t="s">
        <v>185</v>
      </c>
    </row>
    <row r="536" spans="1:16" ht="30">
      <c r="A536" s="16" t="s">
        <v>184</v>
      </c>
      <c r="B536" s="16" t="s">
        <v>441</v>
      </c>
      <c r="C536" s="16" t="s">
        <v>30</v>
      </c>
      <c r="D536" s="16" t="s">
        <v>33</v>
      </c>
      <c r="E536" s="16" t="s">
        <v>170</v>
      </c>
      <c r="F536" s="31">
        <v>0</v>
      </c>
      <c r="G536" s="17"/>
      <c r="H536" s="17"/>
      <c r="I536" s="17"/>
      <c r="J536" s="30"/>
      <c r="K536" s="30"/>
      <c r="L536" s="13">
        <f t="shared" si="8"/>
        <v>0</v>
      </c>
      <c r="M536" s="16"/>
      <c r="N536" s="17"/>
      <c r="O536" s="17"/>
      <c r="P536" s="16" t="s">
        <v>185</v>
      </c>
    </row>
    <row r="537" spans="1:16" ht="30">
      <c r="A537" s="21" t="s">
        <v>184</v>
      </c>
      <c r="B537" s="15" t="s">
        <v>442</v>
      </c>
      <c r="C537" s="15" t="s">
        <v>18</v>
      </c>
      <c r="D537" s="15" t="s">
        <v>33</v>
      </c>
      <c r="E537" s="15" t="s">
        <v>170</v>
      </c>
      <c r="F537" s="29">
        <v>0</v>
      </c>
      <c r="G537" s="17"/>
      <c r="H537" s="17"/>
      <c r="I537" s="17"/>
      <c r="J537" s="33">
        <v>46037</v>
      </c>
      <c r="K537" s="33">
        <v>46379</v>
      </c>
      <c r="L537" s="13">
        <f t="shared" si="8"/>
        <v>245</v>
      </c>
      <c r="M537" s="15"/>
      <c r="N537" s="17"/>
      <c r="O537" s="17"/>
      <c r="P537" s="15" t="s">
        <v>185</v>
      </c>
    </row>
    <row r="538" spans="1:16" ht="45">
      <c r="A538" s="16" t="s">
        <v>184</v>
      </c>
      <c r="B538" s="16" t="s">
        <v>443</v>
      </c>
      <c r="C538" s="16" t="s">
        <v>22</v>
      </c>
      <c r="D538" s="16" t="s">
        <v>33</v>
      </c>
      <c r="E538" s="16" t="s">
        <v>170</v>
      </c>
      <c r="F538" s="31">
        <v>0</v>
      </c>
      <c r="G538" s="16" t="s">
        <v>55</v>
      </c>
      <c r="H538" s="16" t="s">
        <v>186</v>
      </c>
      <c r="I538" s="16" t="s">
        <v>25</v>
      </c>
      <c r="J538" s="33">
        <v>46037</v>
      </c>
      <c r="K538" s="33">
        <v>46146</v>
      </c>
      <c r="L538" s="13">
        <f t="shared" si="8"/>
        <v>78</v>
      </c>
      <c r="M538" s="16"/>
      <c r="N538" s="16" t="s">
        <v>43</v>
      </c>
      <c r="O538" s="16" t="s">
        <v>26</v>
      </c>
      <c r="P538" s="16" t="s">
        <v>185</v>
      </c>
    </row>
    <row r="539" spans="1:16" ht="30">
      <c r="A539" s="16" t="s">
        <v>184</v>
      </c>
      <c r="B539" s="16" t="s">
        <v>443</v>
      </c>
      <c r="C539" s="16" t="s">
        <v>28</v>
      </c>
      <c r="D539" s="16" t="s">
        <v>33</v>
      </c>
      <c r="E539" s="16" t="s">
        <v>170</v>
      </c>
      <c r="F539" s="31">
        <v>0</v>
      </c>
      <c r="G539" s="17"/>
      <c r="H539" s="17"/>
      <c r="I539" s="17"/>
      <c r="J539" s="32">
        <v>46310</v>
      </c>
      <c r="K539" s="32">
        <v>46379</v>
      </c>
      <c r="L539" s="13">
        <f t="shared" si="8"/>
        <v>50</v>
      </c>
      <c r="M539" s="16"/>
      <c r="N539" s="17"/>
      <c r="O539" s="16" t="s">
        <v>27</v>
      </c>
      <c r="P539" s="16" t="s">
        <v>185</v>
      </c>
    </row>
    <row r="540" spans="1:16" ht="30">
      <c r="A540" s="16" t="s">
        <v>184</v>
      </c>
      <c r="B540" s="16" t="s">
        <v>443</v>
      </c>
      <c r="C540" s="16" t="s">
        <v>29</v>
      </c>
      <c r="D540" s="16" t="s">
        <v>33</v>
      </c>
      <c r="E540" s="16" t="s">
        <v>170</v>
      </c>
      <c r="F540" s="31">
        <v>0</v>
      </c>
      <c r="G540" s="17"/>
      <c r="H540" s="17"/>
      <c r="I540" s="17"/>
      <c r="J540" s="33">
        <v>46055</v>
      </c>
      <c r="K540" s="33">
        <v>46356</v>
      </c>
      <c r="L540" s="13">
        <f t="shared" si="8"/>
        <v>216</v>
      </c>
      <c r="M540" s="16"/>
      <c r="N540" s="16" t="s">
        <v>43</v>
      </c>
      <c r="O540" s="16" t="s">
        <v>29</v>
      </c>
      <c r="P540" s="16" t="s">
        <v>185</v>
      </c>
    </row>
    <row r="541" spans="1:16" ht="30">
      <c r="A541" s="16" t="s">
        <v>184</v>
      </c>
      <c r="B541" s="16" t="s">
        <v>443</v>
      </c>
      <c r="C541" s="16" t="s">
        <v>30</v>
      </c>
      <c r="D541" s="16" t="s">
        <v>33</v>
      </c>
      <c r="E541" s="16" t="s">
        <v>170</v>
      </c>
      <c r="F541" s="31">
        <v>0</v>
      </c>
      <c r="G541" s="17"/>
      <c r="H541" s="17"/>
      <c r="I541" s="17"/>
      <c r="J541" s="30"/>
      <c r="K541" s="30"/>
      <c r="L541" s="13">
        <f t="shared" si="8"/>
        <v>0</v>
      </c>
      <c r="M541" s="16"/>
      <c r="N541" s="17"/>
      <c r="O541" s="17"/>
      <c r="P541" s="16" t="s">
        <v>185</v>
      </c>
    </row>
    <row r="542" spans="1:16" ht="30">
      <c r="A542" s="21" t="s">
        <v>184</v>
      </c>
      <c r="B542" s="15" t="s">
        <v>444</v>
      </c>
      <c r="C542" s="15" t="s">
        <v>18</v>
      </c>
      <c r="D542" s="15" t="s">
        <v>33</v>
      </c>
      <c r="E542" s="15" t="s">
        <v>170</v>
      </c>
      <c r="F542" s="29">
        <v>0</v>
      </c>
      <c r="G542" s="17"/>
      <c r="H542" s="17"/>
      <c r="I542" s="17"/>
      <c r="J542" s="33">
        <v>46113</v>
      </c>
      <c r="K542" s="33">
        <v>46553</v>
      </c>
      <c r="L542" s="13">
        <f t="shared" si="8"/>
        <v>315</v>
      </c>
      <c r="M542" s="15"/>
      <c r="N542" s="17"/>
      <c r="O542" s="17"/>
      <c r="P542" s="15" t="s">
        <v>185</v>
      </c>
    </row>
    <row r="543" spans="1:16" ht="45">
      <c r="A543" s="16" t="s">
        <v>184</v>
      </c>
      <c r="B543" s="16" t="s">
        <v>445</v>
      </c>
      <c r="C543" s="16" t="s">
        <v>22</v>
      </c>
      <c r="D543" s="16" t="s">
        <v>33</v>
      </c>
      <c r="E543" s="16" t="s">
        <v>170</v>
      </c>
      <c r="F543" s="31">
        <v>0</v>
      </c>
      <c r="G543" s="16" t="s">
        <v>55</v>
      </c>
      <c r="H543" s="16" t="s">
        <v>186</v>
      </c>
      <c r="I543" s="16" t="s">
        <v>25</v>
      </c>
      <c r="J543" s="33">
        <v>46113</v>
      </c>
      <c r="K543" s="33">
        <v>46553</v>
      </c>
      <c r="L543" s="13">
        <f t="shared" si="8"/>
        <v>315</v>
      </c>
      <c r="M543" s="16"/>
      <c r="N543" s="17"/>
      <c r="O543" s="16" t="s">
        <v>27</v>
      </c>
      <c r="P543" s="16" t="s">
        <v>185</v>
      </c>
    </row>
    <row r="544" spans="1:16" ht="30">
      <c r="A544" s="16" t="s">
        <v>184</v>
      </c>
      <c r="B544" s="16" t="s">
        <v>445</v>
      </c>
      <c r="C544" s="16" t="s">
        <v>28</v>
      </c>
      <c r="D544" s="16" t="s">
        <v>33</v>
      </c>
      <c r="E544" s="16" t="s">
        <v>170</v>
      </c>
      <c r="F544" s="31">
        <v>0</v>
      </c>
      <c r="G544" s="17"/>
      <c r="H544" s="17"/>
      <c r="I544" s="17"/>
      <c r="J544" s="32">
        <v>46310</v>
      </c>
      <c r="K544" s="32">
        <v>46379</v>
      </c>
      <c r="L544" s="13">
        <f t="shared" si="8"/>
        <v>50</v>
      </c>
      <c r="M544" s="16"/>
      <c r="N544" s="17"/>
      <c r="O544" s="16" t="s">
        <v>27</v>
      </c>
      <c r="P544" s="16" t="s">
        <v>185</v>
      </c>
    </row>
    <row r="545" spans="1:16" ht="30">
      <c r="A545" s="16" t="s">
        <v>184</v>
      </c>
      <c r="B545" s="16" t="s">
        <v>445</v>
      </c>
      <c r="C545" s="16" t="s">
        <v>29</v>
      </c>
      <c r="D545" s="16" t="s">
        <v>33</v>
      </c>
      <c r="E545" s="16" t="s">
        <v>170</v>
      </c>
      <c r="F545" s="31">
        <v>0</v>
      </c>
      <c r="G545" s="17"/>
      <c r="H545" s="17"/>
      <c r="I545" s="17"/>
      <c r="J545" s="33">
        <v>46146</v>
      </c>
      <c r="K545" s="33">
        <v>46387</v>
      </c>
      <c r="L545" s="13">
        <f t="shared" si="8"/>
        <v>174</v>
      </c>
      <c r="M545" s="16"/>
      <c r="N545" s="17"/>
      <c r="O545" s="16" t="s">
        <v>27</v>
      </c>
      <c r="P545" s="16" t="s">
        <v>185</v>
      </c>
    </row>
    <row r="546" spans="1:16" ht="30">
      <c r="A546" s="16" t="s">
        <v>184</v>
      </c>
      <c r="B546" s="16" t="s">
        <v>445</v>
      </c>
      <c r="C546" s="16" t="s">
        <v>30</v>
      </c>
      <c r="D546" s="16" t="s">
        <v>33</v>
      </c>
      <c r="E546" s="16" t="s">
        <v>170</v>
      </c>
      <c r="F546" s="31">
        <v>0</v>
      </c>
      <c r="G546" s="17"/>
      <c r="H546" s="17"/>
      <c r="I546" s="17"/>
      <c r="J546" s="30"/>
      <c r="K546" s="30"/>
      <c r="L546" s="13">
        <f t="shared" si="8"/>
        <v>0</v>
      </c>
      <c r="M546" s="16"/>
      <c r="N546" s="17"/>
      <c r="O546" s="17"/>
      <c r="P546" s="16" t="s">
        <v>185</v>
      </c>
    </row>
    <row r="547" spans="1:16" ht="30">
      <c r="A547" s="21" t="s">
        <v>184</v>
      </c>
      <c r="B547" s="15" t="s">
        <v>446</v>
      </c>
      <c r="C547" s="15" t="s">
        <v>18</v>
      </c>
      <c r="D547" s="15" t="s">
        <v>33</v>
      </c>
      <c r="E547" s="15" t="s">
        <v>170</v>
      </c>
      <c r="F547" s="29">
        <v>0</v>
      </c>
      <c r="G547" s="17"/>
      <c r="H547" s="17"/>
      <c r="I547" s="17"/>
      <c r="J547" s="33">
        <v>46037</v>
      </c>
      <c r="K547" s="33">
        <v>46112</v>
      </c>
      <c r="L547" s="13">
        <f t="shared" si="8"/>
        <v>54</v>
      </c>
      <c r="M547" s="15"/>
      <c r="N547" s="17"/>
      <c r="O547" s="17"/>
      <c r="P547" s="15" t="s">
        <v>185</v>
      </c>
    </row>
    <row r="548" spans="1:16" ht="45">
      <c r="A548" s="16" t="s">
        <v>184</v>
      </c>
      <c r="B548" s="16" t="s">
        <v>447</v>
      </c>
      <c r="C548" s="16" t="s">
        <v>22</v>
      </c>
      <c r="D548" s="16" t="s">
        <v>33</v>
      </c>
      <c r="E548" s="16" t="s">
        <v>170</v>
      </c>
      <c r="F548" s="31">
        <v>0</v>
      </c>
      <c r="G548" s="16" t="s">
        <v>55</v>
      </c>
      <c r="H548" s="16" t="s">
        <v>186</v>
      </c>
      <c r="I548" s="16" t="s">
        <v>25</v>
      </c>
      <c r="J548" s="33">
        <v>46037</v>
      </c>
      <c r="K548" s="33">
        <v>46112</v>
      </c>
      <c r="L548" s="13">
        <f t="shared" si="8"/>
        <v>54</v>
      </c>
      <c r="M548" s="16"/>
      <c r="N548" s="16" t="s">
        <v>43</v>
      </c>
      <c r="O548" s="16" t="s">
        <v>26</v>
      </c>
      <c r="P548" s="16" t="s">
        <v>185</v>
      </c>
    </row>
    <row r="549" spans="1:16" ht="30">
      <c r="A549" s="16" t="s">
        <v>184</v>
      </c>
      <c r="B549" s="16" t="s">
        <v>447</v>
      </c>
      <c r="C549" s="16" t="s">
        <v>28</v>
      </c>
      <c r="D549" s="16" t="s">
        <v>33</v>
      </c>
      <c r="E549" s="16" t="s">
        <v>170</v>
      </c>
      <c r="F549" s="31">
        <v>0</v>
      </c>
      <c r="G549" s="17"/>
      <c r="H549" s="17"/>
      <c r="I549" s="17"/>
      <c r="J549" s="32">
        <v>46218</v>
      </c>
      <c r="K549" s="32">
        <v>46295</v>
      </c>
      <c r="L549" s="13">
        <f t="shared" si="8"/>
        <v>56</v>
      </c>
      <c r="M549" s="16"/>
      <c r="N549" s="17"/>
      <c r="O549" s="16" t="s">
        <v>27</v>
      </c>
      <c r="P549" s="16" t="s">
        <v>185</v>
      </c>
    </row>
    <row r="550" spans="1:16" ht="30">
      <c r="A550" s="16" t="s">
        <v>184</v>
      </c>
      <c r="B550" s="16" t="s">
        <v>447</v>
      </c>
      <c r="C550" s="16" t="s">
        <v>29</v>
      </c>
      <c r="D550" s="16" t="s">
        <v>33</v>
      </c>
      <c r="E550" s="16" t="s">
        <v>170</v>
      </c>
      <c r="F550" s="31">
        <v>0</v>
      </c>
      <c r="G550" s="17"/>
      <c r="H550" s="17"/>
      <c r="I550" s="17"/>
      <c r="J550" s="33">
        <v>46113</v>
      </c>
      <c r="K550" s="33">
        <v>46204</v>
      </c>
      <c r="L550" s="13">
        <f t="shared" si="8"/>
        <v>66</v>
      </c>
      <c r="M550" s="16"/>
      <c r="N550" s="17"/>
      <c r="O550" s="16" t="s">
        <v>27</v>
      </c>
      <c r="P550" s="16" t="s">
        <v>185</v>
      </c>
    </row>
    <row r="551" spans="1:16" ht="30">
      <c r="A551" s="16" t="s">
        <v>184</v>
      </c>
      <c r="B551" s="16" t="s">
        <v>447</v>
      </c>
      <c r="C551" s="16" t="s">
        <v>30</v>
      </c>
      <c r="D551" s="16" t="s">
        <v>33</v>
      </c>
      <c r="E551" s="16" t="s">
        <v>170</v>
      </c>
      <c r="F551" s="31">
        <v>0</v>
      </c>
      <c r="G551" s="17"/>
      <c r="H551" s="17"/>
      <c r="I551" s="17"/>
      <c r="J551" s="30"/>
      <c r="K551" s="30"/>
      <c r="L551" s="13">
        <f t="shared" si="8"/>
        <v>0</v>
      </c>
      <c r="M551" s="16"/>
      <c r="N551" s="17"/>
      <c r="O551" s="17"/>
      <c r="P551" s="16" t="s">
        <v>185</v>
      </c>
    </row>
    <row r="552" spans="1:16" ht="30">
      <c r="A552" s="21" t="s">
        <v>184</v>
      </c>
      <c r="B552" s="15" t="s">
        <v>448</v>
      </c>
      <c r="C552" s="15" t="s">
        <v>18</v>
      </c>
      <c r="D552" s="15" t="s">
        <v>33</v>
      </c>
      <c r="E552" s="15" t="s">
        <v>170</v>
      </c>
      <c r="F552" s="29">
        <v>0</v>
      </c>
      <c r="G552" s="17"/>
      <c r="H552" s="17"/>
      <c r="I552" s="17"/>
      <c r="J552" s="33">
        <v>46127</v>
      </c>
      <c r="K552" s="33">
        <v>46295</v>
      </c>
      <c r="L552" s="13">
        <f t="shared" si="8"/>
        <v>121</v>
      </c>
      <c r="M552" s="15"/>
      <c r="N552" s="17"/>
      <c r="O552" s="17"/>
      <c r="P552" s="15" t="s">
        <v>185</v>
      </c>
    </row>
    <row r="553" spans="1:16" ht="45">
      <c r="A553" s="16" t="s">
        <v>184</v>
      </c>
      <c r="B553" s="16" t="s">
        <v>449</v>
      </c>
      <c r="C553" s="16" t="s">
        <v>22</v>
      </c>
      <c r="D553" s="16" t="s">
        <v>33</v>
      </c>
      <c r="E553" s="16" t="s">
        <v>170</v>
      </c>
      <c r="F553" s="31">
        <v>0</v>
      </c>
      <c r="G553" s="16" t="s">
        <v>55</v>
      </c>
      <c r="H553" s="16" t="s">
        <v>192</v>
      </c>
      <c r="I553" s="16" t="s">
        <v>25</v>
      </c>
      <c r="J553" s="33">
        <v>46127</v>
      </c>
      <c r="K553" s="33">
        <v>46188</v>
      </c>
      <c r="L553" s="13">
        <f t="shared" si="8"/>
        <v>44</v>
      </c>
      <c r="M553" s="16"/>
      <c r="N553" s="17"/>
      <c r="O553" s="16" t="s">
        <v>27</v>
      </c>
      <c r="P553" s="16" t="s">
        <v>185</v>
      </c>
    </row>
    <row r="554" spans="1:16" ht="30">
      <c r="A554" s="16" t="s">
        <v>184</v>
      </c>
      <c r="B554" s="16" t="s">
        <v>449</v>
      </c>
      <c r="C554" s="16" t="s">
        <v>28</v>
      </c>
      <c r="D554" s="16" t="s">
        <v>33</v>
      </c>
      <c r="E554" s="16" t="s">
        <v>170</v>
      </c>
      <c r="F554" s="31">
        <v>0</v>
      </c>
      <c r="G554" s="17"/>
      <c r="H554" s="17"/>
      <c r="I554" s="17"/>
      <c r="J554" s="32">
        <v>46218</v>
      </c>
      <c r="K554" s="32">
        <v>46295</v>
      </c>
      <c r="L554" s="13">
        <f t="shared" si="8"/>
        <v>56</v>
      </c>
      <c r="M554" s="16"/>
      <c r="N554" s="17"/>
      <c r="O554" s="16" t="s">
        <v>27</v>
      </c>
      <c r="P554" s="16" t="s">
        <v>185</v>
      </c>
    </row>
    <row r="555" spans="1:16" ht="30">
      <c r="A555" s="16" t="s">
        <v>184</v>
      </c>
      <c r="B555" s="16" t="s">
        <v>449</v>
      </c>
      <c r="C555" s="16" t="s">
        <v>29</v>
      </c>
      <c r="D555" s="16" t="s">
        <v>33</v>
      </c>
      <c r="E555" s="16" t="s">
        <v>170</v>
      </c>
      <c r="F555" s="31">
        <v>0</v>
      </c>
      <c r="G555" s="17"/>
      <c r="H555" s="17"/>
      <c r="I555" s="17"/>
      <c r="J555" s="33">
        <v>46160</v>
      </c>
      <c r="K555" s="33">
        <v>46295</v>
      </c>
      <c r="L555" s="13">
        <f t="shared" si="8"/>
        <v>98</v>
      </c>
      <c r="M555" s="16"/>
      <c r="N555" s="17"/>
      <c r="O555" s="16" t="s">
        <v>27</v>
      </c>
      <c r="P555" s="16" t="s">
        <v>185</v>
      </c>
    </row>
    <row r="556" spans="1:16" ht="30">
      <c r="A556" s="16" t="s">
        <v>184</v>
      </c>
      <c r="B556" s="16" t="s">
        <v>449</v>
      </c>
      <c r="C556" s="16" t="s">
        <v>30</v>
      </c>
      <c r="D556" s="16" t="s">
        <v>33</v>
      </c>
      <c r="E556" s="16" t="s">
        <v>170</v>
      </c>
      <c r="F556" s="31">
        <v>0</v>
      </c>
      <c r="G556" s="17"/>
      <c r="H556" s="17"/>
      <c r="I556" s="17"/>
      <c r="J556" s="30"/>
      <c r="K556" s="30"/>
      <c r="L556" s="13">
        <f t="shared" si="8"/>
        <v>0</v>
      </c>
      <c r="M556" s="16"/>
      <c r="N556" s="17"/>
      <c r="O556" s="17"/>
      <c r="P556" s="16" t="s">
        <v>185</v>
      </c>
    </row>
    <row r="557" spans="1:16" ht="30">
      <c r="A557" s="21" t="s">
        <v>39</v>
      </c>
      <c r="B557" s="13" t="s">
        <v>450</v>
      </c>
      <c r="C557" s="13" t="s">
        <v>18</v>
      </c>
      <c r="D557" s="13" t="s">
        <v>19</v>
      </c>
      <c r="E557" s="13" t="s">
        <v>170</v>
      </c>
      <c r="F557" s="22">
        <v>0</v>
      </c>
      <c r="G557" s="23"/>
      <c r="H557" s="23"/>
      <c r="I557" s="23"/>
      <c r="J557" s="24">
        <v>46127</v>
      </c>
      <c r="K557" s="24">
        <v>46295</v>
      </c>
      <c r="L557" s="13">
        <f t="shared" si="8"/>
        <v>121</v>
      </c>
      <c r="M557" s="13"/>
      <c r="N557" s="23"/>
      <c r="O557" s="23"/>
      <c r="P557" s="13" t="s">
        <v>451</v>
      </c>
    </row>
    <row r="558" spans="1:16" ht="45">
      <c r="A558" s="16" t="s">
        <v>39</v>
      </c>
      <c r="B558" s="14" t="s">
        <v>452</v>
      </c>
      <c r="C558" s="14" t="s">
        <v>22</v>
      </c>
      <c r="D558" s="14" t="s">
        <v>19</v>
      </c>
      <c r="E558" s="14" t="s">
        <v>170</v>
      </c>
      <c r="F558" s="25">
        <v>0</v>
      </c>
      <c r="G558" s="14" t="s">
        <v>147</v>
      </c>
      <c r="H558" s="14" t="s">
        <v>201</v>
      </c>
      <c r="I558" s="14" t="s">
        <v>139</v>
      </c>
      <c r="J558" s="26">
        <v>46127</v>
      </c>
      <c r="K558" s="26">
        <v>46203</v>
      </c>
      <c r="L558" s="13">
        <f t="shared" si="8"/>
        <v>55</v>
      </c>
      <c r="M558" s="14"/>
      <c r="N558" s="23"/>
      <c r="O558" s="14" t="s">
        <v>27</v>
      </c>
      <c r="P558" s="14" t="s">
        <v>451</v>
      </c>
    </row>
    <row r="559" spans="1:16" ht="30">
      <c r="A559" s="16" t="s">
        <v>39</v>
      </c>
      <c r="B559" s="14" t="s">
        <v>452</v>
      </c>
      <c r="C559" s="14" t="s">
        <v>28</v>
      </c>
      <c r="D559" s="14" t="s">
        <v>19</v>
      </c>
      <c r="E559" s="14" t="s">
        <v>170</v>
      </c>
      <c r="F559" s="25">
        <v>0</v>
      </c>
      <c r="G559" s="23"/>
      <c r="H559" s="23"/>
      <c r="I559" s="23"/>
      <c r="J559" s="26">
        <v>46218</v>
      </c>
      <c r="K559" s="26">
        <v>46295</v>
      </c>
      <c r="L559" s="13">
        <f t="shared" si="8"/>
        <v>56</v>
      </c>
      <c r="M559" s="14"/>
      <c r="N559" s="23"/>
      <c r="O559" s="14" t="s">
        <v>27</v>
      </c>
      <c r="P559" s="14" t="s">
        <v>451</v>
      </c>
    </row>
    <row r="560" spans="1:16" ht="30">
      <c r="A560" s="16" t="s">
        <v>39</v>
      </c>
      <c r="B560" s="14" t="s">
        <v>452</v>
      </c>
      <c r="C560" s="14" t="s">
        <v>29</v>
      </c>
      <c r="D560" s="14" t="s">
        <v>19</v>
      </c>
      <c r="E560" s="14" t="s">
        <v>170</v>
      </c>
      <c r="F560" s="25">
        <v>0</v>
      </c>
      <c r="G560" s="23"/>
      <c r="H560" s="23"/>
      <c r="I560" s="23"/>
      <c r="J560" s="27"/>
      <c r="K560" s="27"/>
      <c r="L560" s="13">
        <f t="shared" si="8"/>
        <v>0</v>
      </c>
      <c r="M560" s="14"/>
      <c r="N560" s="23"/>
      <c r="O560" s="23"/>
      <c r="P560" s="14" t="s">
        <v>451</v>
      </c>
    </row>
    <row r="561" spans="1:16" ht="30">
      <c r="A561" s="16" t="s">
        <v>39</v>
      </c>
      <c r="B561" s="14" t="s">
        <v>452</v>
      </c>
      <c r="C561" s="14" t="s">
        <v>30</v>
      </c>
      <c r="D561" s="14" t="s">
        <v>19</v>
      </c>
      <c r="E561" s="14" t="s">
        <v>170</v>
      </c>
      <c r="F561" s="25">
        <v>0</v>
      </c>
      <c r="G561" s="23"/>
      <c r="H561" s="23"/>
      <c r="I561" s="23"/>
      <c r="J561" s="27"/>
      <c r="K561" s="27"/>
      <c r="L561" s="13">
        <f t="shared" si="8"/>
        <v>0</v>
      </c>
      <c r="M561" s="14"/>
      <c r="N561" s="23"/>
      <c r="O561" s="23"/>
      <c r="P561" s="14" t="s">
        <v>451</v>
      </c>
    </row>
    <row r="562" spans="1:16">
      <c r="A562" s="21" t="s">
        <v>39</v>
      </c>
      <c r="B562" s="13" t="s">
        <v>453</v>
      </c>
      <c r="C562" s="13" t="s">
        <v>18</v>
      </c>
      <c r="D562" s="13" t="s">
        <v>19</v>
      </c>
      <c r="E562" s="13" t="s">
        <v>170</v>
      </c>
      <c r="F562" s="22">
        <v>0.5</v>
      </c>
      <c r="G562" s="23"/>
      <c r="H562" s="23"/>
      <c r="I562" s="23"/>
      <c r="J562" s="24">
        <v>46042</v>
      </c>
      <c r="K562" s="24">
        <v>46203</v>
      </c>
      <c r="L562" s="13">
        <f t="shared" si="8"/>
        <v>116</v>
      </c>
      <c r="M562" s="13"/>
      <c r="N562" s="23"/>
      <c r="O562" s="23"/>
      <c r="P562" s="13" t="s">
        <v>454</v>
      </c>
    </row>
    <row r="563" spans="1:16" ht="30">
      <c r="A563" s="16" t="s">
        <v>39</v>
      </c>
      <c r="B563" s="14" t="s">
        <v>455</v>
      </c>
      <c r="C563" s="14" t="s">
        <v>22</v>
      </c>
      <c r="D563" s="14" t="s">
        <v>19</v>
      </c>
      <c r="E563" s="14" t="s">
        <v>170</v>
      </c>
      <c r="F563" s="25">
        <v>0.5</v>
      </c>
      <c r="G563" s="14" t="s">
        <v>147</v>
      </c>
      <c r="H563" s="14" t="s">
        <v>395</v>
      </c>
      <c r="I563" s="14" t="s">
        <v>139</v>
      </c>
      <c r="J563" s="26">
        <v>46042</v>
      </c>
      <c r="K563" s="26">
        <v>46078</v>
      </c>
      <c r="L563" s="13">
        <f t="shared" si="8"/>
        <v>27</v>
      </c>
      <c r="M563" s="14"/>
      <c r="N563" s="14" t="s">
        <v>26</v>
      </c>
      <c r="O563" s="14" t="s">
        <v>26</v>
      </c>
      <c r="P563" s="14" t="s">
        <v>454</v>
      </c>
    </row>
    <row r="564" spans="1:16">
      <c r="A564" s="16" t="s">
        <v>39</v>
      </c>
      <c r="B564" s="14" t="s">
        <v>455</v>
      </c>
      <c r="C564" s="14" t="s">
        <v>28</v>
      </c>
      <c r="D564" s="14" t="s">
        <v>19</v>
      </c>
      <c r="E564" s="14" t="s">
        <v>170</v>
      </c>
      <c r="F564" s="25">
        <v>0</v>
      </c>
      <c r="G564" s="23"/>
      <c r="H564" s="23"/>
      <c r="I564" s="23"/>
      <c r="J564" s="26">
        <v>46127</v>
      </c>
      <c r="K564" s="26">
        <v>46203</v>
      </c>
      <c r="L564" s="13">
        <f t="shared" si="8"/>
        <v>55</v>
      </c>
      <c r="M564" s="14"/>
      <c r="N564" s="23"/>
      <c r="O564" s="14" t="s">
        <v>27</v>
      </c>
      <c r="P564" s="14" t="s">
        <v>454</v>
      </c>
    </row>
    <row r="565" spans="1:16">
      <c r="A565" s="16" t="s">
        <v>39</v>
      </c>
      <c r="B565" s="14" t="s">
        <v>455</v>
      </c>
      <c r="C565" s="14" t="s">
        <v>29</v>
      </c>
      <c r="D565" s="14" t="s">
        <v>19</v>
      </c>
      <c r="E565" s="14" t="s">
        <v>170</v>
      </c>
      <c r="F565" s="25">
        <v>0</v>
      </c>
      <c r="G565" s="23"/>
      <c r="H565" s="23"/>
      <c r="I565" s="23"/>
      <c r="J565" s="27"/>
      <c r="K565" s="27"/>
      <c r="L565" s="13">
        <f t="shared" si="8"/>
        <v>0</v>
      </c>
      <c r="M565" s="14"/>
      <c r="N565" s="23"/>
      <c r="O565" s="23"/>
      <c r="P565" s="14" t="s">
        <v>454</v>
      </c>
    </row>
    <row r="566" spans="1:16">
      <c r="A566" s="16" t="s">
        <v>39</v>
      </c>
      <c r="B566" s="14" t="s">
        <v>455</v>
      </c>
      <c r="C566" s="14" t="s">
        <v>30</v>
      </c>
      <c r="D566" s="14" t="s">
        <v>19</v>
      </c>
      <c r="E566" s="14" t="s">
        <v>170</v>
      </c>
      <c r="F566" s="25">
        <v>0</v>
      </c>
      <c r="G566" s="23"/>
      <c r="H566" s="23"/>
      <c r="I566" s="23"/>
      <c r="J566" s="27"/>
      <c r="K566" s="27"/>
      <c r="L566" s="13">
        <f t="shared" si="8"/>
        <v>0</v>
      </c>
      <c r="M566" s="14"/>
      <c r="N566" s="23"/>
      <c r="O566" s="23"/>
      <c r="P566" s="14" t="s">
        <v>454</v>
      </c>
    </row>
    <row r="567" spans="1:16">
      <c r="A567" s="21" t="s">
        <v>39</v>
      </c>
      <c r="B567" s="13" t="s">
        <v>456</v>
      </c>
      <c r="C567" s="13" t="s">
        <v>18</v>
      </c>
      <c r="D567" s="13" t="s">
        <v>19</v>
      </c>
      <c r="E567" s="13" t="s">
        <v>170</v>
      </c>
      <c r="F567" s="22">
        <v>0</v>
      </c>
      <c r="G567" s="23"/>
      <c r="H567" s="23"/>
      <c r="I567" s="23"/>
      <c r="J567" s="24">
        <v>46127</v>
      </c>
      <c r="K567" s="24">
        <v>46295</v>
      </c>
      <c r="L567" s="13">
        <f t="shared" si="8"/>
        <v>121</v>
      </c>
      <c r="M567" s="13"/>
      <c r="N567" s="23"/>
      <c r="O567" s="23"/>
      <c r="P567" s="13" t="s">
        <v>457</v>
      </c>
    </row>
    <row r="568" spans="1:16" ht="45">
      <c r="A568" s="16" t="s">
        <v>39</v>
      </c>
      <c r="B568" s="14" t="s">
        <v>458</v>
      </c>
      <c r="C568" s="14" t="s">
        <v>22</v>
      </c>
      <c r="D568" s="14" t="s">
        <v>19</v>
      </c>
      <c r="E568" s="14" t="s">
        <v>170</v>
      </c>
      <c r="F568" s="25">
        <v>0</v>
      </c>
      <c r="G568" s="14" t="s">
        <v>48</v>
      </c>
      <c r="H568" s="14" t="s">
        <v>116</v>
      </c>
      <c r="I568" s="14" t="s">
        <v>139</v>
      </c>
      <c r="J568" s="26">
        <v>46127</v>
      </c>
      <c r="K568" s="26">
        <v>46203</v>
      </c>
      <c r="L568" s="13">
        <f t="shared" si="8"/>
        <v>55</v>
      </c>
      <c r="M568" s="14"/>
      <c r="N568" s="23"/>
      <c r="O568" s="14" t="s">
        <v>27</v>
      </c>
      <c r="P568" s="14" t="s">
        <v>457</v>
      </c>
    </row>
    <row r="569" spans="1:16">
      <c r="A569" s="16" t="s">
        <v>39</v>
      </c>
      <c r="B569" s="14" t="s">
        <v>458</v>
      </c>
      <c r="C569" s="14" t="s">
        <v>28</v>
      </c>
      <c r="D569" s="14" t="s">
        <v>19</v>
      </c>
      <c r="E569" s="14" t="s">
        <v>170</v>
      </c>
      <c r="F569" s="25">
        <v>0</v>
      </c>
      <c r="G569" s="23"/>
      <c r="H569" s="23"/>
      <c r="I569" s="23"/>
      <c r="J569" s="26">
        <v>46218</v>
      </c>
      <c r="K569" s="26">
        <v>46295</v>
      </c>
      <c r="L569" s="13">
        <f t="shared" si="8"/>
        <v>56</v>
      </c>
      <c r="M569" s="14"/>
      <c r="N569" s="23"/>
      <c r="O569" s="14" t="s">
        <v>27</v>
      </c>
      <c r="P569" s="14" t="s">
        <v>457</v>
      </c>
    </row>
    <row r="570" spans="1:16">
      <c r="A570" s="16" t="s">
        <v>39</v>
      </c>
      <c r="B570" s="14" t="s">
        <v>458</v>
      </c>
      <c r="C570" s="14" t="s">
        <v>29</v>
      </c>
      <c r="D570" s="14" t="s">
        <v>19</v>
      </c>
      <c r="E570" s="14" t="s">
        <v>170</v>
      </c>
      <c r="F570" s="25">
        <v>0</v>
      </c>
      <c r="G570" s="23"/>
      <c r="H570" s="23"/>
      <c r="I570" s="23"/>
      <c r="J570" s="27"/>
      <c r="K570" s="27"/>
      <c r="L570" s="13">
        <f t="shared" si="8"/>
        <v>0</v>
      </c>
      <c r="M570" s="14"/>
      <c r="N570" s="23"/>
      <c r="O570" s="23"/>
      <c r="P570" s="14" t="s">
        <v>457</v>
      </c>
    </row>
    <row r="571" spans="1:16">
      <c r="A571" s="16" t="s">
        <v>39</v>
      </c>
      <c r="B571" s="14" t="s">
        <v>458</v>
      </c>
      <c r="C571" s="14" t="s">
        <v>30</v>
      </c>
      <c r="D571" s="14" t="s">
        <v>19</v>
      </c>
      <c r="E571" s="14" t="s">
        <v>170</v>
      </c>
      <c r="F571" s="25">
        <v>0</v>
      </c>
      <c r="G571" s="23"/>
      <c r="H571" s="23"/>
      <c r="I571" s="23"/>
      <c r="J571" s="27"/>
      <c r="K571" s="27"/>
      <c r="L571" s="13">
        <f t="shared" si="8"/>
        <v>0</v>
      </c>
      <c r="M571" s="14"/>
      <c r="N571" s="23"/>
      <c r="O571" s="23"/>
      <c r="P571" s="14" t="s">
        <v>457</v>
      </c>
    </row>
    <row r="572" spans="1:16">
      <c r="A572" s="17"/>
      <c r="B572" s="17"/>
      <c r="C572" s="17"/>
      <c r="D572" s="17"/>
      <c r="E572" s="17"/>
      <c r="F572" s="31">
        <v>0</v>
      </c>
      <c r="G572" s="17"/>
      <c r="H572" s="17"/>
      <c r="I572" s="17"/>
      <c r="J572" s="30"/>
      <c r="K572" s="30"/>
      <c r="L572" s="16" t="s">
        <v>459</v>
      </c>
      <c r="M572" s="16"/>
      <c r="N572" s="17"/>
      <c r="O572" s="17"/>
      <c r="P572" s="17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A57D9-8A4F-42B8-83E7-EF49450903E9}">
  <dimension ref="A1:E1431"/>
  <sheetViews>
    <sheetView workbookViewId="0">
      <selection activeCell="E2" sqref="E2"/>
    </sheetView>
  </sheetViews>
  <sheetFormatPr defaultColWidth="11.42578125" defaultRowHeight="15"/>
  <cols>
    <col min="1" max="1" width="16.5703125" customWidth="1"/>
    <col min="2" max="2" width="16.7109375" customWidth="1"/>
    <col min="3" max="3" width="20.5703125" customWidth="1"/>
    <col min="4" max="4" width="20.7109375" customWidth="1"/>
    <col min="5" max="5" width="21" customWidth="1"/>
  </cols>
  <sheetData>
    <row r="1" spans="1:5">
      <c r="A1" s="38" t="s">
        <v>204</v>
      </c>
      <c r="B1" s="38" t="s">
        <v>22</v>
      </c>
      <c r="C1" s="38" t="s">
        <v>28</v>
      </c>
      <c r="D1" s="38" t="s">
        <v>30</v>
      </c>
      <c r="E1" s="38" t="s">
        <v>29</v>
      </c>
    </row>
    <row r="2" spans="1:5">
      <c r="A2" s="5">
        <v>45870</v>
      </c>
      <c r="B2" cm="1">
        <f t="array" ref="B2">SUMPRODUCT((Task_Table_02_26!$C$2:$C$571=$B$1)*(A2&gt;Task_Table_02_26!$J$2:$J$571)*(A2&lt;Task_Table_02_26!$K$2:$K$571))</f>
        <v>0</v>
      </c>
      <c r="C2" cm="1">
        <f t="array" ref="C2">SUMPRODUCT((Task_Table_02_26!$C$2:$C$571=$C$1)*(A2&gt;Task_Table_02_26!$J$2:$J$571)*(A2&lt;Task_Table_02_26!$K$2:$K$571))</f>
        <v>2</v>
      </c>
      <c r="D2" cm="1">
        <f t="array" ref="D2">SUMPRODUCT((Task_Table_02_26!$C$2:$C$571=$D$1)*(A2&gt;Task_Table_02_26!$J$2:$J$571)*(A2&lt;Task_Table_02_26!$K$2:$K$571))</f>
        <v>0</v>
      </c>
      <c r="E2" cm="1">
        <f t="array" ref="E2">SUMPRODUCT((Task_Table_02_26!$C$2:$C$571=$E$1)*(A2&gt;Task_Table_02_26!$J$2:$J$571)*(A2&lt;Task_Table_02_26!$K$2:$K$571))</f>
        <v>0</v>
      </c>
    </row>
    <row r="3" spans="1:5">
      <c r="A3" s="5">
        <v>45871</v>
      </c>
      <c r="B3" cm="1">
        <f t="array" ref="B3">SUMPRODUCT((Task_Table_02_26!$C$2:$C$571=$B$1)*(A3&gt;Task_Table_02_26!$J$2:$J$571)*(A3&lt;Task_Table_02_26!$K$2:$K$571))</f>
        <v>1</v>
      </c>
      <c r="C3" cm="1">
        <f t="array" ref="C3">SUMPRODUCT((Task_Table_02_26!$C$2:$C$571=$C$1)*(A3&gt;Task_Table_02_26!$J$2:$J$571)*(A3&lt;Task_Table_02_26!$K$2:$K$571))</f>
        <v>2</v>
      </c>
      <c r="D3" cm="1">
        <f t="array" ref="D3">SUMPRODUCT((Task_Table_02_26!$C$2:$C$571=$D$1)*(A3&gt;Task_Table_02_26!$J$2:$J$571)*(A3&lt;Task_Table_02_26!$K$2:$K$571))</f>
        <v>0</v>
      </c>
      <c r="E3" cm="1">
        <f t="array" ref="E3">SUMPRODUCT((Task_Table_02_26!$C$2:$C$571=$E$1)*(A3&gt;Task_Table_02_26!$J$2:$J$571)*(A3&lt;Task_Table_02_26!$K$2:$K$571))</f>
        <v>0</v>
      </c>
    </row>
    <row r="4" spans="1:5">
      <c r="A4" s="5">
        <v>45872</v>
      </c>
      <c r="B4" cm="1">
        <f t="array" ref="B4">SUMPRODUCT((Task_Table_02_26!$C$2:$C$571=$B$1)*(A4&gt;Task_Table_02_26!$J$2:$J$571)*(A4&lt;Task_Table_02_26!$K$2:$K$571))</f>
        <v>1</v>
      </c>
      <c r="C4" cm="1">
        <f t="array" ref="C4">SUMPRODUCT((Task_Table_02_26!$C$2:$C$571=$C$1)*(A4&gt;Task_Table_02_26!$J$2:$J$571)*(A4&lt;Task_Table_02_26!$K$2:$K$571))</f>
        <v>2</v>
      </c>
      <c r="D4" cm="1">
        <f t="array" ref="D4">SUMPRODUCT((Task_Table_02_26!$C$2:$C$571=$D$1)*(A4&gt;Task_Table_02_26!$J$2:$J$571)*(A4&lt;Task_Table_02_26!$K$2:$K$571))</f>
        <v>0</v>
      </c>
      <c r="E4" cm="1">
        <f t="array" ref="E4">SUMPRODUCT((Task_Table_02_26!$C$2:$C$571=$E$1)*(A4&gt;Task_Table_02_26!$J$2:$J$571)*(A4&lt;Task_Table_02_26!$K$2:$K$571))</f>
        <v>0</v>
      </c>
    </row>
    <row r="5" spans="1:5">
      <c r="A5" s="5">
        <v>45873</v>
      </c>
      <c r="B5" cm="1">
        <f t="array" ref="B5">SUMPRODUCT((Task_Table_02_26!$C$2:$C$571=$B$1)*(A5&gt;Task_Table_02_26!$J$2:$J$571)*(A5&lt;Task_Table_02_26!$K$2:$K$571))</f>
        <v>1</v>
      </c>
      <c r="C5" cm="1">
        <f t="array" ref="C5">SUMPRODUCT((Task_Table_02_26!$C$2:$C$571=$C$1)*(A5&gt;Task_Table_02_26!$J$2:$J$571)*(A5&lt;Task_Table_02_26!$K$2:$K$571))</f>
        <v>2</v>
      </c>
      <c r="D5" cm="1">
        <f t="array" ref="D5">SUMPRODUCT((Task_Table_02_26!$C$2:$C$571=$D$1)*(A5&gt;Task_Table_02_26!$J$2:$J$571)*(A5&lt;Task_Table_02_26!$K$2:$K$571))</f>
        <v>0</v>
      </c>
      <c r="E5" cm="1">
        <f t="array" ref="E5">SUMPRODUCT((Task_Table_02_26!$C$2:$C$571=$E$1)*(A5&gt;Task_Table_02_26!$J$2:$J$571)*(A5&lt;Task_Table_02_26!$K$2:$K$571))</f>
        <v>0</v>
      </c>
    </row>
    <row r="6" spans="1:5">
      <c r="A6" s="5">
        <v>45874</v>
      </c>
      <c r="B6" cm="1">
        <f t="array" ref="B6">SUMPRODUCT((Task_Table_02_26!$C$2:$C$571=$B$1)*(A6&gt;Task_Table_02_26!$J$2:$J$571)*(A6&lt;Task_Table_02_26!$K$2:$K$571))</f>
        <v>1</v>
      </c>
      <c r="C6" cm="1">
        <f t="array" ref="C6">SUMPRODUCT((Task_Table_02_26!$C$2:$C$571=$C$1)*(A6&gt;Task_Table_02_26!$J$2:$J$571)*(A6&lt;Task_Table_02_26!$K$2:$K$571))</f>
        <v>2</v>
      </c>
      <c r="D6" cm="1">
        <f t="array" ref="D6">SUMPRODUCT((Task_Table_02_26!$C$2:$C$571=$D$1)*(A6&gt;Task_Table_02_26!$J$2:$J$571)*(A6&lt;Task_Table_02_26!$K$2:$K$571))</f>
        <v>0</v>
      </c>
      <c r="E6" cm="1">
        <f t="array" ref="E6">SUMPRODUCT((Task_Table_02_26!$C$2:$C$571=$E$1)*(A6&gt;Task_Table_02_26!$J$2:$J$571)*(A6&lt;Task_Table_02_26!$K$2:$K$571))</f>
        <v>0</v>
      </c>
    </row>
    <row r="7" spans="1:5">
      <c r="A7" s="5">
        <v>45875</v>
      </c>
      <c r="B7" cm="1">
        <f t="array" ref="B7">SUMPRODUCT((Task_Table_02_26!$C$2:$C$571=$B$1)*(A7&gt;Task_Table_02_26!$J$2:$J$571)*(A7&lt;Task_Table_02_26!$K$2:$K$571))</f>
        <v>1</v>
      </c>
      <c r="C7" cm="1">
        <f t="array" ref="C7">SUMPRODUCT((Task_Table_02_26!$C$2:$C$571=$C$1)*(A7&gt;Task_Table_02_26!$J$2:$J$571)*(A7&lt;Task_Table_02_26!$K$2:$K$571))</f>
        <v>2</v>
      </c>
      <c r="D7" cm="1">
        <f t="array" ref="D7">SUMPRODUCT((Task_Table_02_26!$C$2:$C$571=$D$1)*(A7&gt;Task_Table_02_26!$J$2:$J$571)*(A7&lt;Task_Table_02_26!$K$2:$K$571))</f>
        <v>0</v>
      </c>
      <c r="E7" cm="1">
        <f t="array" ref="E7">SUMPRODUCT((Task_Table_02_26!$C$2:$C$571=$E$1)*(A7&gt;Task_Table_02_26!$J$2:$J$571)*(A7&lt;Task_Table_02_26!$K$2:$K$571))</f>
        <v>0</v>
      </c>
    </row>
    <row r="8" spans="1:5">
      <c r="A8" s="5">
        <v>45876</v>
      </c>
      <c r="B8" cm="1">
        <f t="array" ref="B8">SUMPRODUCT((Task_Table_02_26!$C$2:$C$571=$B$1)*(A8&gt;Task_Table_02_26!$J$2:$J$571)*(A8&lt;Task_Table_02_26!$K$2:$K$571))</f>
        <v>1</v>
      </c>
      <c r="C8" cm="1">
        <f t="array" ref="C8">SUMPRODUCT((Task_Table_02_26!$C$2:$C$571=$C$1)*(A8&gt;Task_Table_02_26!$J$2:$J$571)*(A8&lt;Task_Table_02_26!$K$2:$K$571))</f>
        <v>2</v>
      </c>
      <c r="D8" cm="1">
        <f t="array" ref="D8">SUMPRODUCT((Task_Table_02_26!$C$2:$C$571=$D$1)*(A8&gt;Task_Table_02_26!$J$2:$J$571)*(A8&lt;Task_Table_02_26!$K$2:$K$571))</f>
        <v>0</v>
      </c>
      <c r="E8" cm="1">
        <f t="array" ref="E8">SUMPRODUCT((Task_Table_02_26!$C$2:$C$571=$E$1)*(A8&gt;Task_Table_02_26!$J$2:$J$571)*(A8&lt;Task_Table_02_26!$K$2:$K$571))</f>
        <v>0</v>
      </c>
    </row>
    <row r="9" spans="1:5">
      <c r="A9" s="5">
        <v>45877</v>
      </c>
      <c r="B9" cm="1">
        <f t="array" ref="B9">SUMPRODUCT((Task_Table_02_26!$C$2:$C$571=$B$1)*(A9&gt;Task_Table_02_26!$J$2:$J$571)*(A9&lt;Task_Table_02_26!$K$2:$K$571))</f>
        <v>1</v>
      </c>
      <c r="C9" cm="1">
        <f t="array" ref="C9">SUMPRODUCT((Task_Table_02_26!$C$2:$C$571=$C$1)*(A9&gt;Task_Table_02_26!$J$2:$J$571)*(A9&lt;Task_Table_02_26!$K$2:$K$571))</f>
        <v>2</v>
      </c>
      <c r="D9" cm="1">
        <f t="array" ref="D9">SUMPRODUCT((Task_Table_02_26!$C$2:$C$571=$D$1)*(A9&gt;Task_Table_02_26!$J$2:$J$571)*(A9&lt;Task_Table_02_26!$K$2:$K$571))</f>
        <v>0</v>
      </c>
      <c r="E9" cm="1">
        <f t="array" ref="E9">SUMPRODUCT((Task_Table_02_26!$C$2:$C$571=$E$1)*(A9&gt;Task_Table_02_26!$J$2:$J$571)*(A9&lt;Task_Table_02_26!$K$2:$K$571))</f>
        <v>0</v>
      </c>
    </row>
    <row r="10" spans="1:5">
      <c r="A10" s="5">
        <v>45878</v>
      </c>
      <c r="B10" cm="1">
        <f t="array" ref="B10">SUMPRODUCT((Task_Table_02_26!$C$2:$C$571=$B$1)*(A10&gt;Task_Table_02_26!$J$2:$J$571)*(A10&lt;Task_Table_02_26!$K$2:$K$571))</f>
        <v>1</v>
      </c>
      <c r="C10" cm="1">
        <f t="array" ref="C10">SUMPRODUCT((Task_Table_02_26!$C$2:$C$571=$C$1)*(A10&gt;Task_Table_02_26!$J$2:$J$571)*(A10&lt;Task_Table_02_26!$K$2:$K$571))</f>
        <v>2</v>
      </c>
      <c r="D10" cm="1">
        <f t="array" ref="D10">SUMPRODUCT((Task_Table_02_26!$C$2:$C$571=$D$1)*(A10&gt;Task_Table_02_26!$J$2:$J$571)*(A10&lt;Task_Table_02_26!$K$2:$K$571))</f>
        <v>0</v>
      </c>
      <c r="E10" cm="1">
        <f t="array" ref="E10">SUMPRODUCT((Task_Table_02_26!$C$2:$C$571=$E$1)*(A10&gt;Task_Table_02_26!$J$2:$J$571)*(A10&lt;Task_Table_02_26!$K$2:$K$571))</f>
        <v>0</v>
      </c>
    </row>
    <row r="11" spans="1:5">
      <c r="A11" s="5">
        <v>45879</v>
      </c>
      <c r="B11" cm="1">
        <f t="array" ref="B11">SUMPRODUCT((Task_Table_02_26!$C$2:$C$571=$B$1)*(A11&gt;Task_Table_02_26!$J$2:$J$571)*(A11&lt;Task_Table_02_26!$K$2:$K$571))</f>
        <v>1</v>
      </c>
      <c r="C11" cm="1">
        <f t="array" ref="C11">SUMPRODUCT((Task_Table_02_26!$C$2:$C$571=$C$1)*(A11&gt;Task_Table_02_26!$J$2:$J$571)*(A11&lt;Task_Table_02_26!$K$2:$K$571))</f>
        <v>2</v>
      </c>
      <c r="D11" cm="1">
        <f t="array" ref="D11">SUMPRODUCT((Task_Table_02_26!$C$2:$C$571=$D$1)*(A11&gt;Task_Table_02_26!$J$2:$J$571)*(A11&lt;Task_Table_02_26!$K$2:$K$571))</f>
        <v>0</v>
      </c>
      <c r="E11" cm="1">
        <f t="array" ref="E11">SUMPRODUCT((Task_Table_02_26!$C$2:$C$571=$E$1)*(A11&gt;Task_Table_02_26!$J$2:$J$571)*(A11&lt;Task_Table_02_26!$K$2:$K$571))</f>
        <v>0</v>
      </c>
    </row>
    <row r="12" spans="1:5">
      <c r="A12" s="5">
        <v>45880</v>
      </c>
      <c r="B12" cm="1">
        <f t="array" ref="B12">SUMPRODUCT((Task_Table_02_26!$C$2:$C$571=$B$1)*(A12&gt;Task_Table_02_26!$J$2:$J$571)*(A12&lt;Task_Table_02_26!$K$2:$K$571))</f>
        <v>1</v>
      </c>
      <c r="C12" cm="1">
        <f t="array" ref="C12">SUMPRODUCT((Task_Table_02_26!$C$2:$C$571=$C$1)*(A12&gt;Task_Table_02_26!$J$2:$J$571)*(A12&lt;Task_Table_02_26!$K$2:$K$571))</f>
        <v>2</v>
      </c>
      <c r="D12" cm="1">
        <f t="array" ref="D12">SUMPRODUCT((Task_Table_02_26!$C$2:$C$571=$D$1)*(A12&gt;Task_Table_02_26!$J$2:$J$571)*(A12&lt;Task_Table_02_26!$K$2:$K$571))</f>
        <v>0</v>
      </c>
      <c r="E12" cm="1">
        <f t="array" ref="E12">SUMPRODUCT((Task_Table_02_26!$C$2:$C$571=$E$1)*(A12&gt;Task_Table_02_26!$J$2:$J$571)*(A12&lt;Task_Table_02_26!$K$2:$K$571))</f>
        <v>0</v>
      </c>
    </row>
    <row r="13" spans="1:5">
      <c r="A13" s="5">
        <v>45881</v>
      </c>
      <c r="B13" cm="1">
        <f t="array" ref="B13">SUMPRODUCT((Task_Table_02_26!$C$2:$C$571=$B$1)*(A13&gt;Task_Table_02_26!$J$2:$J$571)*(A13&lt;Task_Table_02_26!$K$2:$K$571))</f>
        <v>1</v>
      </c>
      <c r="C13" cm="1">
        <f t="array" ref="C13">SUMPRODUCT((Task_Table_02_26!$C$2:$C$571=$C$1)*(A13&gt;Task_Table_02_26!$J$2:$J$571)*(A13&lt;Task_Table_02_26!$K$2:$K$571))</f>
        <v>2</v>
      </c>
      <c r="D13" cm="1">
        <f t="array" ref="D13">SUMPRODUCT((Task_Table_02_26!$C$2:$C$571=$D$1)*(A13&gt;Task_Table_02_26!$J$2:$J$571)*(A13&lt;Task_Table_02_26!$K$2:$K$571))</f>
        <v>0</v>
      </c>
      <c r="E13" cm="1">
        <f t="array" ref="E13">SUMPRODUCT((Task_Table_02_26!$C$2:$C$571=$E$1)*(A13&gt;Task_Table_02_26!$J$2:$J$571)*(A13&lt;Task_Table_02_26!$K$2:$K$571))</f>
        <v>0</v>
      </c>
    </row>
    <row r="14" spans="1:5">
      <c r="A14" s="5">
        <v>45882</v>
      </c>
      <c r="B14" cm="1">
        <f t="array" ref="B14">SUMPRODUCT((Task_Table_02_26!$C$2:$C$571=$B$1)*(A14&gt;Task_Table_02_26!$J$2:$J$571)*(A14&lt;Task_Table_02_26!$K$2:$K$571))</f>
        <v>1</v>
      </c>
      <c r="C14" cm="1">
        <f t="array" ref="C14">SUMPRODUCT((Task_Table_02_26!$C$2:$C$571=$C$1)*(A14&gt;Task_Table_02_26!$J$2:$J$571)*(A14&lt;Task_Table_02_26!$K$2:$K$571))</f>
        <v>2</v>
      </c>
      <c r="D14" cm="1">
        <f t="array" ref="D14">SUMPRODUCT((Task_Table_02_26!$C$2:$C$571=$D$1)*(A14&gt;Task_Table_02_26!$J$2:$J$571)*(A14&lt;Task_Table_02_26!$K$2:$K$571))</f>
        <v>0</v>
      </c>
      <c r="E14" cm="1">
        <f t="array" ref="E14">SUMPRODUCT((Task_Table_02_26!$C$2:$C$571=$E$1)*(A14&gt;Task_Table_02_26!$J$2:$J$571)*(A14&lt;Task_Table_02_26!$K$2:$K$571))</f>
        <v>0</v>
      </c>
    </row>
    <row r="15" spans="1:5">
      <c r="A15" s="5">
        <v>45883</v>
      </c>
      <c r="B15" cm="1">
        <f t="array" ref="B15">SUMPRODUCT((Task_Table_02_26!$C$2:$C$571=$B$1)*(A15&gt;Task_Table_02_26!$J$2:$J$571)*(A15&lt;Task_Table_02_26!$K$2:$K$571))</f>
        <v>1</v>
      </c>
      <c r="C15" cm="1">
        <f t="array" ref="C15">SUMPRODUCT((Task_Table_02_26!$C$2:$C$571=$C$1)*(A15&gt;Task_Table_02_26!$J$2:$J$571)*(A15&lt;Task_Table_02_26!$K$2:$K$571))</f>
        <v>2</v>
      </c>
      <c r="D15" cm="1">
        <f t="array" ref="D15">SUMPRODUCT((Task_Table_02_26!$C$2:$C$571=$D$1)*(A15&gt;Task_Table_02_26!$J$2:$J$571)*(A15&lt;Task_Table_02_26!$K$2:$K$571))</f>
        <v>0</v>
      </c>
      <c r="E15" cm="1">
        <f t="array" ref="E15">SUMPRODUCT((Task_Table_02_26!$C$2:$C$571=$E$1)*(A15&gt;Task_Table_02_26!$J$2:$J$571)*(A15&lt;Task_Table_02_26!$K$2:$K$571))</f>
        <v>0</v>
      </c>
    </row>
    <row r="16" spans="1:5">
      <c r="A16" s="5">
        <v>45884</v>
      </c>
      <c r="B16" cm="1">
        <f t="array" ref="B16">SUMPRODUCT((Task_Table_02_26!$C$2:$C$571=$B$1)*(A16&gt;Task_Table_02_26!$J$2:$J$571)*(A16&lt;Task_Table_02_26!$K$2:$K$571))</f>
        <v>1</v>
      </c>
      <c r="C16" cm="1">
        <f t="array" ref="C16">SUMPRODUCT((Task_Table_02_26!$C$2:$C$571=$C$1)*(A16&gt;Task_Table_02_26!$J$2:$J$571)*(A16&lt;Task_Table_02_26!$K$2:$K$571))</f>
        <v>1</v>
      </c>
      <c r="D16" cm="1">
        <f t="array" ref="D16">SUMPRODUCT((Task_Table_02_26!$C$2:$C$571=$D$1)*(A16&gt;Task_Table_02_26!$J$2:$J$571)*(A16&lt;Task_Table_02_26!$K$2:$K$571))</f>
        <v>0</v>
      </c>
      <c r="E16" cm="1">
        <f t="array" ref="E16">SUMPRODUCT((Task_Table_02_26!$C$2:$C$571=$E$1)*(A16&gt;Task_Table_02_26!$J$2:$J$571)*(A16&lt;Task_Table_02_26!$K$2:$K$571))</f>
        <v>0</v>
      </c>
    </row>
    <row r="17" spans="1:5">
      <c r="A17" s="5">
        <v>45885</v>
      </c>
      <c r="B17" cm="1">
        <f t="array" ref="B17">SUMPRODUCT((Task_Table_02_26!$C$2:$C$571=$B$1)*(A17&gt;Task_Table_02_26!$J$2:$J$571)*(A17&lt;Task_Table_02_26!$K$2:$K$571))</f>
        <v>1</v>
      </c>
      <c r="C17" cm="1">
        <f t="array" ref="C17">SUMPRODUCT((Task_Table_02_26!$C$2:$C$571=$C$1)*(A17&gt;Task_Table_02_26!$J$2:$J$571)*(A17&lt;Task_Table_02_26!$K$2:$K$571))</f>
        <v>1</v>
      </c>
      <c r="D17" cm="1">
        <f t="array" ref="D17">SUMPRODUCT((Task_Table_02_26!$C$2:$C$571=$D$1)*(A17&gt;Task_Table_02_26!$J$2:$J$571)*(A17&lt;Task_Table_02_26!$K$2:$K$571))</f>
        <v>0</v>
      </c>
      <c r="E17" cm="1">
        <f t="array" ref="E17">SUMPRODUCT((Task_Table_02_26!$C$2:$C$571=$E$1)*(A17&gt;Task_Table_02_26!$J$2:$J$571)*(A17&lt;Task_Table_02_26!$K$2:$K$571))</f>
        <v>0</v>
      </c>
    </row>
    <row r="18" spans="1:5">
      <c r="A18" s="5">
        <v>45886</v>
      </c>
      <c r="B18" cm="1">
        <f t="array" ref="B18">SUMPRODUCT((Task_Table_02_26!$C$2:$C$571=$B$1)*(A18&gt;Task_Table_02_26!$J$2:$J$571)*(A18&lt;Task_Table_02_26!$K$2:$K$571))</f>
        <v>1</v>
      </c>
      <c r="C18" cm="1">
        <f t="array" ref="C18">SUMPRODUCT((Task_Table_02_26!$C$2:$C$571=$C$1)*(A18&gt;Task_Table_02_26!$J$2:$J$571)*(A18&lt;Task_Table_02_26!$K$2:$K$571))</f>
        <v>1</v>
      </c>
      <c r="D18" cm="1">
        <f t="array" ref="D18">SUMPRODUCT((Task_Table_02_26!$C$2:$C$571=$D$1)*(A18&gt;Task_Table_02_26!$J$2:$J$571)*(A18&lt;Task_Table_02_26!$K$2:$K$571))</f>
        <v>0</v>
      </c>
      <c r="E18" cm="1">
        <f t="array" ref="E18">SUMPRODUCT((Task_Table_02_26!$C$2:$C$571=$E$1)*(A18&gt;Task_Table_02_26!$J$2:$J$571)*(A18&lt;Task_Table_02_26!$K$2:$K$571))</f>
        <v>0</v>
      </c>
    </row>
    <row r="19" spans="1:5">
      <c r="A19" s="5">
        <v>45887</v>
      </c>
      <c r="B19" cm="1">
        <f t="array" ref="B19">SUMPRODUCT((Task_Table_02_26!$C$2:$C$571=$B$1)*(A19&gt;Task_Table_02_26!$J$2:$J$571)*(A19&lt;Task_Table_02_26!$K$2:$K$571))</f>
        <v>1</v>
      </c>
      <c r="C19" cm="1">
        <f t="array" ref="C19">SUMPRODUCT((Task_Table_02_26!$C$2:$C$571=$C$1)*(A19&gt;Task_Table_02_26!$J$2:$J$571)*(A19&lt;Task_Table_02_26!$K$2:$K$571))</f>
        <v>1</v>
      </c>
      <c r="D19" cm="1">
        <f t="array" ref="D19">SUMPRODUCT((Task_Table_02_26!$C$2:$C$571=$D$1)*(A19&gt;Task_Table_02_26!$J$2:$J$571)*(A19&lt;Task_Table_02_26!$K$2:$K$571))</f>
        <v>0</v>
      </c>
      <c r="E19" cm="1">
        <f t="array" ref="E19">SUMPRODUCT((Task_Table_02_26!$C$2:$C$571=$E$1)*(A19&gt;Task_Table_02_26!$J$2:$J$571)*(A19&lt;Task_Table_02_26!$K$2:$K$571))</f>
        <v>0</v>
      </c>
    </row>
    <row r="20" spans="1:5">
      <c r="A20" s="5">
        <v>45888</v>
      </c>
      <c r="B20" cm="1">
        <f t="array" ref="B20">SUMPRODUCT((Task_Table_02_26!$C$2:$C$571=$B$1)*(A20&gt;Task_Table_02_26!$J$2:$J$571)*(A20&lt;Task_Table_02_26!$K$2:$K$571))</f>
        <v>1</v>
      </c>
      <c r="C20" cm="1">
        <f t="array" ref="C20">SUMPRODUCT((Task_Table_02_26!$C$2:$C$571=$C$1)*(A20&gt;Task_Table_02_26!$J$2:$J$571)*(A20&lt;Task_Table_02_26!$K$2:$K$571))</f>
        <v>1</v>
      </c>
      <c r="D20" cm="1">
        <f t="array" ref="D20">SUMPRODUCT((Task_Table_02_26!$C$2:$C$571=$D$1)*(A20&gt;Task_Table_02_26!$J$2:$J$571)*(A20&lt;Task_Table_02_26!$K$2:$K$571))</f>
        <v>0</v>
      </c>
      <c r="E20" cm="1">
        <f t="array" ref="E20">SUMPRODUCT((Task_Table_02_26!$C$2:$C$571=$E$1)*(A20&gt;Task_Table_02_26!$J$2:$J$571)*(A20&lt;Task_Table_02_26!$K$2:$K$571))</f>
        <v>0</v>
      </c>
    </row>
    <row r="21" spans="1:5">
      <c r="A21" s="5">
        <v>45889</v>
      </c>
      <c r="B21" cm="1">
        <f t="array" ref="B21">SUMPRODUCT((Task_Table_02_26!$C$2:$C$571=$B$1)*(A21&gt;Task_Table_02_26!$J$2:$J$571)*(A21&lt;Task_Table_02_26!$K$2:$K$571))</f>
        <v>1</v>
      </c>
      <c r="C21" cm="1">
        <f t="array" ref="C21">SUMPRODUCT((Task_Table_02_26!$C$2:$C$571=$C$1)*(A21&gt;Task_Table_02_26!$J$2:$J$571)*(A21&lt;Task_Table_02_26!$K$2:$K$571))</f>
        <v>1</v>
      </c>
      <c r="D21" cm="1">
        <f t="array" ref="D21">SUMPRODUCT((Task_Table_02_26!$C$2:$C$571=$D$1)*(A21&gt;Task_Table_02_26!$J$2:$J$571)*(A21&lt;Task_Table_02_26!$K$2:$K$571))</f>
        <v>0</v>
      </c>
      <c r="E21" cm="1">
        <f t="array" ref="E21">SUMPRODUCT((Task_Table_02_26!$C$2:$C$571=$E$1)*(A21&gt;Task_Table_02_26!$J$2:$J$571)*(A21&lt;Task_Table_02_26!$K$2:$K$571))</f>
        <v>0</v>
      </c>
    </row>
    <row r="22" spans="1:5">
      <c r="A22" s="5">
        <v>45890</v>
      </c>
      <c r="B22" cm="1">
        <f t="array" ref="B22">SUMPRODUCT((Task_Table_02_26!$C$2:$C$571=$B$1)*(A22&gt;Task_Table_02_26!$J$2:$J$571)*(A22&lt;Task_Table_02_26!$K$2:$K$571))</f>
        <v>1</v>
      </c>
      <c r="C22" cm="1">
        <f t="array" ref="C22">SUMPRODUCT((Task_Table_02_26!$C$2:$C$571=$C$1)*(A22&gt;Task_Table_02_26!$J$2:$J$571)*(A22&lt;Task_Table_02_26!$K$2:$K$571))</f>
        <v>1</v>
      </c>
      <c r="D22" cm="1">
        <f t="array" ref="D22">SUMPRODUCT((Task_Table_02_26!$C$2:$C$571=$D$1)*(A22&gt;Task_Table_02_26!$J$2:$J$571)*(A22&lt;Task_Table_02_26!$K$2:$K$571))</f>
        <v>0</v>
      </c>
      <c r="E22" cm="1">
        <f t="array" ref="E22">SUMPRODUCT((Task_Table_02_26!$C$2:$C$571=$E$1)*(A22&gt;Task_Table_02_26!$J$2:$J$571)*(A22&lt;Task_Table_02_26!$K$2:$K$571))</f>
        <v>0</v>
      </c>
    </row>
    <row r="23" spans="1:5">
      <c r="A23" s="5">
        <v>45891</v>
      </c>
      <c r="B23" cm="1">
        <f t="array" ref="B23">SUMPRODUCT((Task_Table_02_26!$C$2:$C$571=$B$1)*(A23&gt;Task_Table_02_26!$J$2:$J$571)*(A23&lt;Task_Table_02_26!$K$2:$K$571))</f>
        <v>1</v>
      </c>
      <c r="C23" cm="1">
        <f t="array" ref="C23">SUMPRODUCT((Task_Table_02_26!$C$2:$C$571=$C$1)*(A23&gt;Task_Table_02_26!$J$2:$J$571)*(A23&lt;Task_Table_02_26!$K$2:$K$571))</f>
        <v>1</v>
      </c>
      <c r="D23" cm="1">
        <f t="array" ref="D23">SUMPRODUCT((Task_Table_02_26!$C$2:$C$571=$D$1)*(A23&gt;Task_Table_02_26!$J$2:$J$571)*(A23&lt;Task_Table_02_26!$K$2:$K$571))</f>
        <v>0</v>
      </c>
      <c r="E23" cm="1">
        <f t="array" ref="E23">SUMPRODUCT((Task_Table_02_26!$C$2:$C$571=$E$1)*(A23&gt;Task_Table_02_26!$J$2:$J$571)*(A23&lt;Task_Table_02_26!$K$2:$K$571))</f>
        <v>0</v>
      </c>
    </row>
    <row r="24" spans="1:5">
      <c r="A24" s="5">
        <v>45892</v>
      </c>
      <c r="B24" cm="1">
        <f t="array" ref="B24">SUMPRODUCT((Task_Table_02_26!$C$2:$C$571=$B$1)*(A24&gt;Task_Table_02_26!$J$2:$J$571)*(A24&lt;Task_Table_02_26!$K$2:$K$571))</f>
        <v>1</v>
      </c>
      <c r="C24" cm="1">
        <f t="array" ref="C24">SUMPRODUCT((Task_Table_02_26!$C$2:$C$571=$C$1)*(A24&gt;Task_Table_02_26!$J$2:$J$571)*(A24&lt;Task_Table_02_26!$K$2:$K$571))</f>
        <v>1</v>
      </c>
      <c r="D24" cm="1">
        <f t="array" ref="D24">SUMPRODUCT((Task_Table_02_26!$C$2:$C$571=$D$1)*(A24&gt;Task_Table_02_26!$J$2:$J$571)*(A24&lt;Task_Table_02_26!$K$2:$K$571))</f>
        <v>0</v>
      </c>
      <c r="E24" cm="1">
        <f t="array" ref="E24">SUMPRODUCT((Task_Table_02_26!$C$2:$C$571=$E$1)*(A24&gt;Task_Table_02_26!$J$2:$J$571)*(A24&lt;Task_Table_02_26!$K$2:$K$571))</f>
        <v>0</v>
      </c>
    </row>
    <row r="25" spans="1:5">
      <c r="A25" s="5">
        <v>45893</v>
      </c>
      <c r="B25" cm="1">
        <f t="array" ref="B25">SUMPRODUCT((Task_Table_02_26!$C$2:$C$571=$B$1)*(A25&gt;Task_Table_02_26!$J$2:$J$571)*(A25&lt;Task_Table_02_26!$K$2:$K$571))</f>
        <v>1</v>
      </c>
      <c r="C25" cm="1">
        <f t="array" ref="C25">SUMPRODUCT((Task_Table_02_26!$C$2:$C$571=$C$1)*(A25&gt;Task_Table_02_26!$J$2:$J$571)*(A25&lt;Task_Table_02_26!$K$2:$K$571))</f>
        <v>1</v>
      </c>
      <c r="D25" cm="1">
        <f t="array" ref="D25">SUMPRODUCT((Task_Table_02_26!$C$2:$C$571=$D$1)*(A25&gt;Task_Table_02_26!$J$2:$J$571)*(A25&lt;Task_Table_02_26!$K$2:$K$571))</f>
        <v>0</v>
      </c>
      <c r="E25" cm="1">
        <f t="array" ref="E25">SUMPRODUCT((Task_Table_02_26!$C$2:$C$571=$E$1)*(A25&gt;Task_Table_02_26!$J$2:$J$571)*(A25&lt;Task_Table_02_26!$K$2:$K$571))</f>
        <v>0</v>
      </c>
    </row>
    <row r="26" spans="1:5">
      <c r="A26" s="5">
        <v>45894</v>
      </c>
      <c r="B26" cm="1">
        <f t="array" ref="B26">SUMPRODUCT((Task_Table_02_26!$C$2:$C$571=$B$1)*(A26&gt;Task_Table_02_26!$J$2:$J$571)*(A26&lt;Task_Table_02_26!$K$2:$K$571))</f>
        <v>1</v>
      </c>
      <c r="C26" cm="1">
        <f t="array" ref="C26">SUMPRODUCT((Task_Table_02_26!$C$2:$C$571=$C$1)*(A26&gt;Task_Table_02_26!$J$2:$J$571)*(A26&lt;Task_Table_02_26!$K$2:$K$571))</f>
        <v>1</v>
      </c>
      <c r="D26" cm="1">
        <f t="array" ref="D26">SUMPRODUCT((Task_Table_02_26!$C$2:$C$571=$D$1)*(A26&gt;Task_Table_02_26!$J$2:$J$571)*(A26&lt;Task_Table_02_26!$K$2:$K$571))</f>
        <v>0</v>
      </c>
      <c r="E26" cm="1">
        <f t="array" ref="E26">SUMPRODUCT((Task_Table_02_26!$C$2:$C$571=$E$1)*(A26&gt;Task_Table_02_26!$J$2:$J$571)*(A26&lt;Task_Table_02_26!$K$2:$K$571))</f>
        <v>0</v>
      </c>
    </row>
    <row r="27" spans="1:5">
      <c r="A27" s="5">
        <v>45895</v>
      </c>
      <c r="B27" cm="1">
        <f t="array" ref="B27">SUMPRODUCT((Task_Table_02_26!$C$2:$C$571=$B$1)*(A27&gt;Task_Table_02_26!$J$2:$J$571)*(A27&lt;Task_Table_02_26!$K$2:$K$571))</f>
        <v>1</v>
      </c>
      <c r="C27" cm="1">
        <f t="array" ref="C27">SUMPRODUCT((Task_Table_02_26!$C$2:$C$571=$C$1)*(A27&gt;Task_Table_02_26!$J$2:$J$571)*(A27&lt;Task_Table_02_26!$K$2:$K$571))</f>
        <v>1</v>
      </c>
      <c r="D27" cm="1">
        <f t="array" ref="D27">SUMPRODUCT((Task_Table_02_26!$C$2:$C$571=$D$1)*(A27&gt;Task_Table_02_26!$J$2:$J$571)*(A27&lt;Task_Table_02_26!$K$2:$K$571))</f>
        <v>0</v>
      </c>
      <c r="E27" cm="1">
        <f t="array" ref="E27">SUMPRODUCT((Task_Table_02_26!$C$2:$C$571=$E$1)*(A27&gt;Task_Table_02_26!$J$2:$J$571)*(A27&lt;Task_Table_02_26!$K$2:$K$571))</f>
        <v>0</v>
      </c>
    </row>
    <row r="28" spans="1:5">
      <c r="A28" s="5">
        <v>45896</v>
      </c>
      <c r="B28" cm="1">
        <f t="array" ref="B28">SUMPRODUCT((Task_Table_02_26!$C$2:$C$571=$B$1)*(A28&gt;Task_Table_02_26!$J$2:$J$571)*(A28&lt;Task_Table_02_26!$K$2:$K$571))</f>
        <v>1</v>
      </c>
      <c r="C28" cm="1">
        <f t="array" ref="C28">SUMPRODUCT((Task_Table_02_26!$C$2:$C$571=$C$1)*(A28&gt;Task_Table_02_26!$J$2:$J$571)*(A28&lt;Task_Table_02_26!$K$2:$K$571))</f>
        <v>1</v>
      </c>
      <c r="D28" cm="1">
        <f t="array" ref="D28">SUMPRODUCT((Task_Table_02_26!$C$2:$C$571=$D$1)*(A28&gt;Task_Table_02_26!$J$2:$J$571)*(A28&lt;Task_Table_02_26!$K$2:$K$571))</f>
        <v>0</v>
      </c>
      <c r="E28" cm="1">
        <f t="array" ref="E28">SUMPRODUCT((Task_Table_02_26!$C$2:$C$571=$E$1)*(A28&gt;Task_Table_02_26!$J$2:$J$571)*(A28&lt;Task_Table_02_26!$K$2:$K$571))</f>
        <v>0</v>
      </c>
    </row>
    <row r="29" spans="1:5">
      <c r="A29" s="5">
        <v>45897</v>
      </c>
      <c r="B29" cm="1">
        <f t="array" ref="B29">SUMPRODUCT((Task_Table_02_26!$C$2:$C$571=$B$1)*(A29&gt;Task_Table_02_26!$J$2:$J$571)*(A29&lt;Task_Table_02_26!$K$2:$K$571))</f>
        <v>1</v>
      </c>
      <c r="C29" cm="1">
        <f t="array" ref="C29">SUMPRODUCT((Task_Table_02_26!$C$2:$C$571=$C$1)*(A29&gt;Task_Table_02_26!$J$2:$J$571)*(A29&lt;Task_Table_02_26!$K$2:$K$571))</f>
        <v>1</v>
      </c>
      <c r="D29" cm="1">
        <f t="array" ref="D29">SUMPRODUCT((Task_Table_02_26!$C$2:$C$571=$D$1)*(A29&gt;Task_Table_02_26!$J$2:$J$571)*(A29&lt;Task_Table_02_26!$K$2:$K$571))</f>
        <v>0</v>
      </c>
      <c r="E29" cm="1">
        <f t="array" ref="E29">SUMPRODUCT((Task_Table_02_26!$C$2:$C$571=$E$1)*(A29&gt;Task_Table_02_26!$J$2:$J$571)*(A29&lt;Task_Table_02_26!$K$2:$K$571))</f>
        <v>0</v>
      </c>
    </row>
    <row r="30" spans="1:5">
      <c r="A30" s="5">
        <v>45898</v>
      </c>
      <c r="B30" cm="1">
        <f t="array" ref="B30">SUMPRODUCT((Task_Table_02_26!$C$2:$C$571=$B$1)*(A30&gt;Task_Table_02_26!$J$2:$J$571)*(A30&lt;Task_Table_02_26!$K$2:$K$571))</f>
        <v>1</v>
      </c>
      <c r="C30" cm="1">
        <f t="array" ref="C30">SUMPRODUCT((Task_Table_02_26!$C$2:$C$571=$C$1)*(A30&gt;Task_Table_02_26!$J$2:$J$571)*(A30&lt;Task_Table_02_26!$K$2:$K$571))</f>
        <v>1</v>
      </c>
      <c r="D30" cm="1">
        <f t="array" ref="D30">SUMPRODUCT((Task_Table_02_26!$C$2:$C$571=$D$1)*(A30&gt;Task_Table_02_26!$J$2:$J$571)*(A30&lt;Task_Table_02_26!$K$2:$K$571))</f>
        <v>0</v>
      </c>
      <c r="E30" cm="1">
        <f t="array" ref="E30">SUMPRODUCT((Task_Table_02_26!$C$2:$C$571=$E$1)*(A30&gt;Task_Table_02_26!$J$2:$J$571)*(A30&lt;Task_Table_02_26!$K$2:$K$571))</f>
        <v>0</v>
      </c>
    </row>
    <row r="31" spans="1:5">
      <c r="A31" s="5">
        <v>45899</v>
      </c>
      <c r="B31" cm="1">
        <f t="array" ref="B31">SUMPRODUCT((Task_Table_02_26!$C$2:$C$571=$B$1)*(A31&gt;Task_Table_02_26!$J$2:$J$571)*(A31&lt;Task_Table_02_26!$K$2:$K$571))</f>
        <v>1</v>
      </c>
      <c r="C31" cm="1">
        <f t="array" ref="C31">SUMPRODUCT((Task_Table_02_26!$C$2:$C$571=$C$1)*(A31&gt;Task_Table_02_26!$J$2:$J$571)*(A31&lt;Task_Table_02_26!$K$2:$K$571))</f>
        <v>1</v>
      </c>
      <c r="D31" cm="1">
        <f t="array" ref="D31">SUMPRODUCT((Task_Table_02_26!$C$2:$C$571=$D$1)*(A31&gt;Task_Table_02_26!$J$2:$J$571)*(A31&lt;Task_Table_02_26!$K$2:$K$571))</f>
        <v>0</v>
      </c>
      <c r="E31" cm="1">
        <f t="array" ref="E31">SUMPRODUCT((Task_Table_02_26!$C$2:$C$571=$E$1)*(A31&gt;Task_Table_02_26!$J$2:$J$571)*(A31&lt;Task_Table_02_26!$K$2:$K$571))</f>
        <v>0</v>
      </c>
    </row>
    <row r="32" spans="1:5">
      <c r="A32" s="5">
        <v>45900</v>
      </c>
      <c r="B32" cm="1">
        <f t="array" ref="B32">SUMPRODUCT((Task_Table_02_26!$C$2:$C$571=$B$1)*(A32&gt;Task_Table_02_26!$J$2:$J$571)*(A32&lt;Task_Table_02_26!$K$2:$K$571))</f>
        <v>1</v>
      </c>
      <c r="C32" cm="1">
        <f t="array" ref="C32">SUMPRODUCT((Task_Table_02_26!$C$2:$C$571=$C$1)*(A32&gt;Task_Table_02_26!$J$2:$J$571)*(A32&lt;Task_Table_02_26!$K$2:$K$571))</f>
        <v>1</v>
      </c>
      <c r="D32" cm="1">
        <f t="array" ref="D32">SUMPRODUCT((Task_Table_02_26!$C$2:$C$571=$D$1)*(A32&gt;Task_Table_02_26!$J$2:$J$571)*(A32&lt;Task_Table_02_26!$K$2:$K$571))</f>
        <v>0</v>
      </c>
      <c r="E32" cm="1">
        <f t="array" ref="E32">SUMPRODUCT((Task_Table_02_26!$C$2:$C$571=$E$1)*(A32&gt;Task_Table_02_26!$J$2:$J$571)*(A32&lt;Task_Table_02_26!$K$2:$K$571))</f>
        <v>0</v>
      </c>
    </row>
    <row r="33" spans="1:5">
      <c r="A33" s="5">
        <v>45901</v>
      </c>
      <c r="B33" cm="1">
        <f t="array" ref="B33">SUMPRODUCT((Task_Table_02_26!$C$2:$C$571=$B$1)*(A33&gt;Task_Table_02_26!$J$2:$J$571)*(A33&lt;Task_Table_02_26!$K$2:$K$571))</f>
        <v>1</v>
      </c>
      <c r="C33" cm="1">
        <f t="array" ref="C33">SUMPRODUCT((Task_Table_02_26!$C$2:$C$571=$C$1)*(A33&gt;Task_Table_02_26!$J$2:$J$571)*(A33&lt;Task_Table_02_26!$K$2:$K$571))</f>
        <v>1</v>
      </c>
      <c r="D33" cm="1">
        <f t="array" ref="D33">SUMPRODUCT((Task_Table_02_26!$C$2:$C$571=$D$1)*(A33&gt;Task_Table_02_26!$J$2:$J$571)*(A33&lt;Task_Table_02_26!$K$2:$K$571))</f>
        <v>0</v>
      </c>
      <c r="E33" cm="1">
        <f t="array" ref="E33">SUMPRODUCT((Task_Table_02_26!$C$2:$C$571=$E$1)*(A33&gt;Task_Table_02_26!$J$2:$J$571)*(A33&lt;Task_Table_02_26!$K$2:$K$571))</f>
        <v>0</v>
      </c>
    </row>
    <row r="34" spans="1:5">
      <c r="A34" s="5">
        <v>45902</v>
      </c>
      <c r="B34" cm="1">
        <f t="array" ref="B34">SUMPRODUCT((Task_Table_02_26!$C$2:$C$571=$B$1)*(A34&gt;Task_Table_02_26!$J$2:$J$571)*(A34&lt;Task_Table_02_26!$K$2:$K$571))</f>
        <v>1</v>
      </c>
      <c r="C34" cm="1">
        <f t="array" ref="C34">SUMPRODUCT((Task_Table_02_26!$C$2:$C$571=$C$1)*(A34&gt;Task_Table_02_26!$J$2:$J$571)*(A34&lt;Task_Table_02_26!$K$2:$K$571))</f>
        <v>1</v>
      </c>
      <c r="D34" cm="1">
        <f t="array" ref="D34">SUMPRODUCT((Task_Table_02_26!$C$2:$C$571=$D$1)*(A34&gt;Task_Table_02_26!$J$2:$J$571)*(A34&lt;Task_Table_02_26!$K$2:$K$571))</f>
        <v>0</v>
      </c>
      <c r="E34" cm="1">
        <f t="array" ref="E34">SUMPRODUCT((Task_Table_02_26!$C$2:$C$571=$E$1)*(A34&gt;Task_Table_02_26!$J$2:$J$571)*(A34&lt;Task_Table_02_26!$K$2:$K$571))</f>
        <v>0</v>
      </c>
    </row>
    <row r="35" spans="1:5">
      <c r="A35" s="5">
        <v>45903</v>
      </c>
      <c r="B35" cm="1">
        <f t="array" ref="B35">SUMPRODUCT((Task_Table_02_26!$C$2:$C$571=$B$1)*(A35&gt;Task_Table_02_26!$J$2:$J$571)*(A35&lt;Task_Table_02_26!$K$2:$K$571))</f>
        <v>1</v>
      </c>
      <c r="C35" cm="1">
        <f t="array" ref="C35">SUMPRODUCT((Task_Table_02_26!$C$2:$C$571=$C$1)*(A35&gt;Task_Table_02_26!$J$2:$J$571)*(A35&lt;Task_Table_02_26!$K$2:$K$571))</f>
        <v>1</v>
      </c>
      <c r="D35" cm="1">
        <f t="array" ref="D35">SUMPRODUCT((Task_Table_02_26!$C$2:$C$571=$D$1)*(A35&gt;Task_Table_02_26!$J$2:$J$571)*(A35&lt;Task_Table_02_26!$K$2:$K$571))</f>
        <v>0</v>
      </c>
      <c r="E35" cm="1">
        <f t="array" ref="E35">SUMPRODUCT((Task_Table_02_26!$C$2:$C$571=$E$1)*(A35&gt;Task_Table_02_26!$J$2:$J$571)*(A35&lt;Task_Table_02_26!$K$2:$K$571))</f>
        <v>0</v>
      </c>
    </row>
    <row r="36" spans="1:5">
      <c r="A36" s="5">
        <v>45904</v>
      </c>
      <c r="B36" cm="1">
        <f t="array" ref="B36">SUMPRODUCT((Task_Table_02_26!$C$2:$C$571=$B$1)*(A36&gt;Task_Table_02_26!$J$2:$J$571)*(A36&lt;Task_Table_02_26!$K$2:$K$571))</f>
        <v>1</v>
      </c>
      <c r="C36" cm="1">
        <f t="array" ref="C36">SUMPRODUCT((Task_Table_02_26!$C$2:$C$571=$C$1)*(A36&gt;Task_Table_02_26!$J$2:$J$571)*(A36&lt;Task_Table_02_26!$K$2:$K$571))</f>
        <v>1</v>
      </c>
      <c r="D36" cm="1">
        <f t="array" ref="D36">SUMPRODUCT((Task_Table_02_26!$C$2:$C$571=$D$1)*(A36&gt;Task_Table_02_26!$J$2:$J$571)*(A36&lt;Task_Table_02_26!$K$2:$K$571))</f>
        <v>0</v>
      </c>
      <c r="E36" cm="1">
        <f t="array" ref="E36">SUMPRODUCT((Task_Table_02_26!$C$2:$C$571=$E$1)*(A36&gt;Task_Table_02_26!$J$2:$J$571)*(A36&lt;Task_Table_02_26!$K$2:$K$571))</f>
        <v>0</v>
      </c>
    </row>
    <row r="37" spans="1:5">
      <c r="A37" s="5">
        <v>45905</v>
      </c>
      <c r="B37" cm="1">
        <f t="array" ref="B37">SUMPRODUCT((Task_Table_02_26!$C$2:$C$571=$B$1)*(A37&gt;Task_Table_02_26!$J$2:$J$571)*(A37&lt;Task_Table_02_26!$K$2:$K$571))</f>
        <v>1</v>
      </c>
      <c r="C37" cm="1">
        <f t="array" ref="C37">SUMPRODUCT((Task_Table_02_26!$C$2:$C$571=$C$1)*(A37&gt;Task_Table_02_26!$J$2:$J$571)*(A37&lt;Task_Table_02_26!$K$2:$K$571))</f>
        <v>1</v>
      </c>
      <c r="D37" cm="1">
        <f t="array" ref="D37">SUMPRODUCT((Task_Table_02_26!$C$2:$C$571=$D$1)*(A37&gt;Task_Table_02_26!$J$2:$J$571)*(A37&lt;Task_Table_02_26!$K$2:$K$571))</f>
        <v>0</v>
      </c>
      <c r="E37" cm="1">
        <f t="array" ref="E37">SUMPRODUCT((Task_Table_02_26!$C$2:$C$571=$E$1)*(A37&gt;Task_Table_02_26!$J$2:$J$571)*(A37&lt;Task_Table_02_26!$K$2:$K$571))</f>
        <v>0</v>
      </c>
    </row>
    <row r="38" spans="1:5">
      <c r="A38" s="5">
        <v>45906</v>
      </c>
      <c r="B38" cm="1">
        <f t="array" ref="B38">SUMPRODUCT((Task_Table_02_26!$C$2:$C$571=$B$1)*(A38&gt;Task_Table_02_26!$J$2:$J$571)*(A38&lt;Task_Table_02_26!$K$2:$K$571))</f>
        <v>1</v>
      </c>
      <c r="C38" cm="1">
        <f t="array" ref="C38">SUMPRODUCT((Task_Table_02_26!$C$2:$C$571=$C$1)*(A38&gt;Task_Table_02_26!$J$2:$J$571)*(A38&lt;Task_Table_02_26!$K$2:$K$571))</f>
        <v>1</v>
      </c>
      <c r="D38" cm="1">
        <f t="array" ref="D38">SUMPRODUCT((Task_Table_02_26!$C$2:$C$571=$D$1)*(A38&gt;Task_Table_02_26!$J$2:$J$571)*(A38&lt;Task_Table_02_26!$K$2:$K$571))</f>
        <v>0</v>
      </c>
      <c r="E38" cm="1">
        <f t="array" ref="E38">SUMPRODUCT((Task_Table_02_26!$C$2:$C$571=$E$1)*(A38&gt;Task_Table_02_26!$J$2:$J$571)*(A38&lt;Task_Table_02_26!$K$2:$K$571))</f>
        <v>0</v>
      </c>
    </row>
    <row r="39" spans="1:5">
      <c r="A39" s="5">
        <v>45907</v>
      </c>
      <c r="B39" cm="1">
        <f t="array" ref="B39">SUMPRODUCT((Task_Table_02_26!$C$2:$C$571=$B$1)*(A39&gt;Task_Table_02_26!$J$2:$J$571)*(A39&lt;Task_Table_02_26!$K$2:$K$571))</f>
        <v>1</v>
      </c>
      <c r="C39" cm="1">
        <f t="array" ref="C39">SUMPRODUCT((Task_Table_02_26!$C$2:$C$571=$C$1)*(A39&gt;Task_Table_02_26!$J$2:$J$571)*(A39&lt;Task_Table_02_26!$K$2:$K$571))</f>
        <v>1</v>
      </c>
      <c r="D39" cm="1">
        <f t="array" ref="D39">SUMPRODUCT((Task_Table_02_26!$C$2:$C$571=$D$1)*(A39&gt;Task_Table_02_26!$J$2:$J$571)*(A39&lt;Task_Table_02_26!$K$2:$K$571))</f>
        <v>0</v>
      </c>
      <c r="E39" cm="1">
        <f t="array" ref="E39">SUMPRODUCT((Task_Table_02_26!$C$2:$C$571=$E$1)*(A39&gt;Task_Table_02_26!$J$2:$J$571)*(A39&lt;Task_Table_02_26!$K$2:$K$571))</f>
        <v>0</v>
      </c>
    </row>
    <row r="40" spans="1:5">
      <c r="A40" s="5">
        <v>45908</v>
      </c>
      <c r="B40" cm="1">
        <f t="array" ref="B40">SUMPRODUCT((Task_Table_02_26!$C$2:$C$571=$B$1)*(A40&gt;Task_Table_02_26!$J$2:$J$571)*(A40&lt;Task_Table_02_26!$K$2:$K$571))</f>
        <v>1</v>
      </c>
      <c r="C40" cm="1">
        <f t="array" ref="C40">SUMPRODUCT((Task_Table_02_26!$C$2:$C$571=$C$1)*(A40&gt;Task_Table_02_26!$J$2:$J$571)*(A40&lt;Task_Table_02_26!$K$2:$K$571))</f>
        <v>1</v>
      </c>
      <c r="D40" cm="1">
        <f t="array" ref="D40">SUMPRODUCT((Task_Table_02_26!$C$2:$C$571=$D$1)*(A40&gt;Task_Table_02_26!$J$2:$J$571)*(A40&lt;Task_Table_02_26!$K$2:$K$571))</f>
        <v>0</v>
      </c>
      <c r="E40" cm="1">
        <f t="array" ref="E40">SUMPRODUCT((Task_Table_02_26!$C$2:$C$571=$E$1)*(A40&gt;Task_Table_02_26!$J$2:$J$571)*(A40&lt;Task_Table_02_26!$K$2:$K$571))</f>
        <v>0</v>
      </c>
    </row>
    <row r="41" spans="1:5">
      <c r="A41" s="5">
        <v>45909</v>
      </c>
      <c r="B41" cm="1">
        <f t="array" ref="B41">SUMPRODUCT((Task_Table_02_26!$C$2:$C$571=$B$1)*(A41&gt;Task_Table_02_26!$J$2:$J$571)*(A41&lt;Task_Table_02_26!$K$2:$K$571))</f>
        <v>1</v>
      </c>
      <c r="C41" cm="1">
        <f t="array" ref="C41">SUMPRODUCT((Task_Table_02_26!$C$2:$C$571=$C$1)*(A41&gt;Task_Table_02_26!$J$2:$J$571)*(A41&lt;Task_Table_02_26!$K$2:$K$571))</f>
        <v>1</v>
      </c>
      <c r="D41" cm="1">
        <f t="array" ref="D41">SUMPRODUCT((Task_Table_02_26!$C$2:$C$571=$D$1)*(A41&gt;Task_Table_02_26!$J$2:$J$571)*(A41&lt;Task_Table_02_26!$K$2:$K$571))</f>
        <v>0</v>
      </c>
      <c r="E41" cm="1">
        <f t="array" ref="E41">SUMPRODUCT((Task_Table_02_26!$C$2:$C$571=$E$1)*(A41&gt;Task_Table_02_26!$J$2:$J$571)*(A41&lt;Task_Table_02_26!$K$2:$K$571))</f>
        <v>0</v>
      </c>
    </row>
    <row r="42" spans="1:5">
      <c r="A42" s="5">
        <v>45910</v>
      </c>
      <c r="B42" cm="1">
        <f t="array" ref="B42">SUMPRODUCT((Task_Table_02_26!$C$2:$C$571=$B$1)*(A42&gt;Task_Table_02_26!$J$2:$J$571)*(A42&lt;Task_Table_02_26!$K$2:$K$571))</f>
        <v>1</v>
      </c>
      <c r="C42" cm="1">
        <f t="array" ref="C42">SUMPRODUCT((Task_Table_02_26!$C$2:$C$571=$C$1)*(A42&gt;Task_Table_02_26!$J$2:$J$571)*(A42&lt;Task_Table_02_26!$K$2:$K$571))</f>
        <v>1</v>
      </c>
      <c r="D42" cm="1">
        <f t="array" ref="D42">SUMPRODUCT((Task_Table_02_26!$C$2:$C$571=$D$1)*(A42&gt;Task_Table_02_26!$J$2:$J$571)*(A42&lt;Task_Table_02_26!$K$2:$K$571))</f>
        <v>0</v>
      </c>
      <c r="E42" cm="1">
        <f t="array" ref="E42">SUMPRODUCT((Task_Table_02_26!$C$2:$C$571=$E$1)*(A42&gt;Task_Table_02_26!$J$2:$J$571)*(A42&lt;Task_Table_02_26!$K$2:$K$571))</f>
        <v>0</v>
      </c>
    </row>
    <row r="43" spans="1:5">
      <c r="A43" s="5">
        <v>45911</v>
      </c>
      <c r="B43" cm="1">
        <f t="array" ref="B43">SUMPRODUCT((Task_Table_02_26!$C$2:$C$571=$B$1)*(A43&gt;Task_Table_02_26!$J$2:$J$571)*(A43&lt;Task_Table_02_26!$K$2:$K$571))</f>
        <v>1</v>
      </c>
      <c r="C43" cm="1">
        <f t="array" ref="C43">SUMPRODUCT((Task_Table_02_26!$C$2:$C$571=$C$1)*(A43&gt;Task_Table_02_26!$J$2:$J$571)*(A43&lt;Task_Table_02_26!$K$2:$K$571))</f>
        <v>1</v>
      </c>
      <c r="D43" cm="1">
        <f t="array" ref="D43">SUMPRODUCT((Task_Table_02_26!$C$2:$C$571=$D$1)*(A43&gt;Task_Table_02_26!$J$2:$J$571)*(A43&lt;Task_Table_02_26!$K$2:$K$571))</f>
        <v>0</v>
      </c>
      <c r="E43" cm="1">
        <f t="array" ref="E43">SUMPRODUCT((Task_Table_02_26!$C$2:$C$571=$E$1)*(A43&gt;Task_Table_02_26!$J$2:$J$571)*(A43&lt;Task_Table_02_26!$K$2:$K$571))</f>
        <v>0</v>
      </c>
    </row>
    <row r="44" spans="1:5">
      <c r="A44" s="5">
        <v>45912</v>
      </c>
      <c r="B44" cm="1">
        <f t="array" ref="B44">SUMPRODUCT((Task_Table_02_26!$C$2:$C$571=$B$1)*(A44&gt;Task_Table_02_26!$J$2:$J$571)*(A44&lt;Task_Table_02_26!$K$2:$K$571))</f>
        <v>1</v>
      </c>
      <c r="C44" cm="1">
        <f t="array" ref="C44">SUMPRODUCT((Task_Table_02_26!$C$2:$C$571=$C$1)*(A44&gt;Task_Table_02_26!$J$2:$J$571)*(A44&lt;Task_Table_02_26!$K$2:$K$571))</f>
        <v>1</v>
      </c>
      <c r="D44" cm="1">
        <f t="array" ref="D44">SUMPRODUCT((Task_Table_02_26!$C$2:$C$571=$D$1)*(A44&gt;Task_Table_02_26!$J$2:$J$571)*(A44&lt;Task_Table_02_26!$K$2:$K$571))</f>
        <v>0</v>
      </c>
      <c r="E44" cm="1">
        <f t="array" ref="E44">SUMPRODUCT((Task_Table_02_26!$C$2:$C$571=$E$1)*(A44&gt;Task_Table_02_26!$J$2:$J$571)*(A44&lt;Task_Table_02_26!$K$2:$K$571))</f>
        <v>0</v>
      </c>
    </row>
    <row r="45" spans="1:5">
      <c r="A45" s="5">
        <v>45913</v>
      </c>
      <c r="B45" cm="1">
        <f t="array" ref="B45">SUMPRODUCT((Task_Table_02_26!$C$2:$C$571=$B$1)*(A45&gt;Task_Table_02_26!$J$2:$J$571)*(A45&lt;Task_Table_02_26!$K$2:$K$571))</f>
        <v>1</v>
      </c>
      <c r="C45" cm="1">
        <f t="array" ref="C45">SUMPRODUCT((Task_Table_02_26!$C$2:$C$571=$C$1)*(A45&gt;Task_Table_02_26!$J$2:$J$571)*(A45&lt;Task_Table_02_26!$K$2:$K$571))</f>
        <v>1</v>
      </c>
      <c r="D45" cm="1">
        <f t="array" ref="D45">SUMPRODUCT((Task_Table_02_26!$C$2:$C$571=$D$1)*(A45&gt;Task_Table_02_26!$J$2:$J$571)*(A45&lt;Task_Table_02_26!$K$2:$K$571))</f>
        <v>0</v>
      </c>
      <c r="E45" cm="1">
        <f t="array" ref="E45">SUMPRODUCT((Task_Table_02_26!$C$2:$C$571=$E$1)*(A45&gt;Task_Table_02_26!$J$2:$J$571)*(A45&lt;Task_Table_02_26!$K$2:$K$571))</f>
        <v>0</v>
      </c>
    </row>
    <row r="46" spans="1:5">
      <c r="A46" s="5">
        <v>45914</v>
      </c>
      <c r="B46" cm="1">
        <f t="array" ref="B46">SUMPRODUCT((Task_Table_02_26!$C$2:$C$571=$B$1)*(A46&gt;Task_Table_02_26!$J$2:$J$571)*(A46&lt;Task_Table_02_26!$K$2:$K$571))</f>
        <v>1</v>
      </c>
      <c r="C46" cm="1">
        <f t="array" ref="C46">SUMPRODUCT((Task_Table_02_26!$C$2:$C$571=$C$1)*(A46&gt;Task_Table_02_26!$J$2:$J$571)*(A46&lt;Task_Table_02_26!$K$2:$K$571))</f>
        <v>1</v>
      </c>
      <c r="D46" cm="1">
        <f t="array" ref="D46">SUMPRODUCT((Task_Table_02_26!$C$2:$C$571=$D$1)*(A46&gt;Task_Table_02_26!$J$2:$J$571)*(A46&lt;Task_Table_02_26!$K$2:$K$571))</f>
        <v>0</v>
      </c>
      <c r="E46" cm="1">
        <f t="array" ref="E46">SUMPRODUCT((Task_Table_02_26!$C$2:$C$571=$E$1)*(A46&gt;Task_Table_02_26!$J$2:$J$571)*(A46&lt;Task_Table_02_26!$K$2:$K$571))</f>
        <v>0</v>
      </c>
    </row>
    <row r="47" spans="1:5">
      <c r="A47" s="5">
        <v>45915</v>
      </c>
      <c r="B47" cm="1">
        <f t="array" ref="B47">SUMPRODUCT((Task_Table_02_26!$C$2:$C$571=$B$1)*(A47&gt;Task_Table_02_26!$J$2:$J$571)*(A47&lt;Task_Table_02_26!$K$2:$K$571))</f>
        <v>1</v>
      </c>
      <c r="C47" cm="1">
        <f t="array" ref="C47">SUMPRODUCT((Task_Table_02_26!$C$2:$C$571=$C$1)*(A47&gt;Task_Table_02_26!$J$2:$J$571)*(A47&lt;Task_Table_02_26!$K$2:$K$571))</f>
        <v>1</v>
      </c>
      <c r="D47" cm="1">
        <f t="array" ref="D47">SUMPRODUCT((Task_Table_02_26!$C$2:$C$571=$D$1)*(A47&gt;Task_Table_02_26!$J$2:$J$571)*(A47&lt;Task_Table_02_26!$K$2:$K$571))</f>
        <v>0</v>
      </c>
      <c r="E47" cm="1">
        <f t="array" ref="E47">SUMPRODUCT((Task_Table_02_26!$C$2:$C$571=$E$1)*(A47&gt;Task_Table_02_26!$J$2:$J$571)*(A47&lt;Task_Table_02_26!$K$2:$K$571))</f>
        <v>0</v>
      </c>
    </row>
    <row r="48" spans="1:5">
      <c r="A48" s="5">
        <v>45916</v>
      </c>
      <c r="B48" cm="1">
        <f t="array" ref="B48">SUMPRODUCT((Task_Table_02_26!$C$2:$C$571=$B$1)*(A48&gt;Task_Table_02_26!$J$2:$J$571)*(A48&lt;Task_Table_02_26!$K$2:$K$571))</f>
        <v>1</v>
      </c>
      <c r="C48" cm="1">
        <f t="array" ref="C48">SUMPRODUCT((Task_Table_02_26!$C$2:$C$571=$C$1)*(A48&gt;Task_Table_02_26!$J$2:$J$571)*(A48&lt;Task_Table_02_26!$K$2:$K$571))</f>
        <v>1</v>
      </c>
      <c r="D48" cm="1">
        <f t="array" ref="D48">SUMPRODUCT((Task_Table_02_26!$C$2:$C$571=$D$1)*(A48&gt;Task_Table_02_26!$J$2:$J$571)*(A48&lt;Task_Table_02_26!$K$2:$K$571))</f>
        <v>0</v>
      </c>
      <c r="E48" cm="1">
        <f t="array" ref="E48">SUMPRODUCT((Task_Table_02_26!$C$2:$C$571=$E$1)*(A48&gt;Task_Table_02_26!$J$2:$J$571)*(A48&lt;Task_Table_02_26!$K$2:$K$571))</f>
        <v>0</v>
      </c>
    </row>
    <row r="49" spans="1:5">
      <c r="A49" s="5">
        <v>45917</v>
      </c>
      <c r="B49" cm="1">
        <f t="array" ref="B49">SUMPRODUCT((Task_Table_02_26!$C$2:$C$571=$B$1)*(A49&gt;Task_Table_02_26!$J$2:$J$571)*(A49&lt;Task_Table_02_26!$K$2:$K$571))</f>
        <v>1</v>
      </c>
      <c r="C49" cm="1">
        <f t="array" ref="C49">SUMPRODUCT((Task_Table_02_26!$C$2:$C$571=$C$1)*(A49&gt;Task_Table_02_26!$J$2:$J$571)*(A49&lt;Task_Table_02_26!$K$2:$K$571))</f>
        <v>1</v>
      </c>
      <c r="D49" cm="1">
        <f t="array" ref="D49">SUMPRODUCT((Task_Table_02_26!$C$2:$C$571=$D$1)*(A49&gt;Task_Table_02_26!$J$2:$J$571)*(A49&lt;Task_Table_02_26!$K$2:$K$571))</f>
        <v>0</v>
      </c>
      <c r="E49" cm="1">
        <f t="array" ref="E49">SUMPRODUCT((Task_Table_02_26!$C$2:$C$571=$E$1)*(A49&gt;Task_Table_02_26!$J$2:$J$571)*(A49&lt;Task_Table_02_26!$K$2:$K$571))</f>
        <v>0</v>
      </c>
    </row>
    <row r="50" spans="1:5">
      <c r="A50" s="5">
        <v>45918</v>
      </c>
      <c r="B50" cm="1">
        <f t="array" ref="B50">SUMPRODUCT((Task_Table_02_26!$C$2:$C$571=$B$1)*(A50&gt;Task_Table_02_26!$J$2:$J$571)*(A50&lt;Task_Table_02_26!$K$2:$K$571))</f>
        <v>1</v>
      </c>
      <c r="C50" cm="1">
        <f t="array" ref="C50">SUMPRODUCT((Task_Table_02_26!$C$2:$C$571=$C$1)*(A50&gt;Task_Table_02_26!$J$2:$J$571)*(A50&lt;Task_Table_02_26!$K$2:$K$571))</f>
        <v>1</v>
      </c>
      <c r="D50" cm="1">
        <f t="array" ref="D50">SUMPRODUCT((Task_Table_02_26!$C$2:$C$571=$D$1)*(A50&gt;Task_Table_02_26!$J$2:$J$571)*(A50&lt;Task_Table_02_26!$K$2:$K$571))</f>
        <v>0</v>
      </c>
      <c r="E50" cm="1">
        <f t="array" ref="E50">SUMPRODUCT((Task_Table_02_26!$C$2:$C$571=$E$1)*(A50&gt;Task_Table_02_26!$J$2:$J$571)*(A50&lt;Task_Table_02_26!$K$2:$K$571))</f>
        <v>0</v>
      </c>
    </row>
    <row r="51" spans="1:5">
      <c r="A51" s="5">
        <v>45919</v>
      </c>
      <c r="B51" cm="1">
        <f t="array" ref="B51">SUMPRODUCT((Task_Table_02_26!$C$2:$C$571=$B$1)*(A51&gt;Task_Table_02_26!$J$2:$J$571)*(A51&lt;Task_Table_02_26!$K$2:$K$571))</f>
        <v>1</v>
      </c>
      <c r="C51" cm="1">
        <f t="array" ref="C51">SUMPRODUCT((Task_Table_02_26!$C$2:$C$571=$C$1)*(A51&gt;Task_Table_02_26!$J$2:$J$571)*(A51&lt;Task_Table_02_26!$K$2:$K$571))</f>
        <v>1</v>
      </c>
      <c r="D51" cm="1">
        <f t="array" ref="D51">SUMPRODUCT((Task_Table_02_26!$C$2:$C$571=$D$1)*(A51&gt;Task_Table_02_26!$J$2:$J$571)*(A51&lt;Task_Table_02_26!$K$2:$K$571))</f>
        <v>0</v>
      </c>
      <c r="E51" cm="1">
        <f t="array" ref="E51">SUMPRODUCT((Task_Table_02_26!$C$2:$C$571=$E$1)*(A51&gt;Task_Table_02_26!$J$2:$J$571)*(A51&lt;Task_Table_02_26!$K$2:$K$571))</f>
        <v>0</v>
      </c>
    </row>
    <row r="52" spans="1:5">
      <c r="A52" s="5">
        <v>45920</v>
      </c>
      <c r="B52" cm="1">
        <f t="array" ref="B52">SUMPRODUCT((Task_Table_02_26!$C$2:$C$571=$B$1)*(A52&gt;Task_Table_02_26!$J$2:$J$571)*(A52&lt;Task_Table_02_26!$K$2:$K$571))</f>
        <v>1</v>
      </c>
      <c r="C52" cm="1">
        <f t="array" ref="C52">SUMPRODUCT((Task_Table_02_26!$C$2:$C$571=$C$1)*(A52&gt;Task_Table_02_26!$J$2:$J$571)*(A52&lt;Task_Table_02_26!$K$2:$K$571))</f>
        <v>1</v>
      </c>
      <c r="D52" cm="1">
        <f t="array" ref="D52">SUMPRODUCT((Task_Table_02_26!$C$2:$C$571=$D$1)*(A52&gt;Task_Table_02_26!$J$2:$J$571)*(A52&lt;Task_Table_02_26!$K$2:$K$571))</f>
        <v>0</v>
      </c>
      <c r="E52" cm="1">
        <f t="array" ref="E52">SUMPRODUCT((Task_Table_02_26!$C$2:$C$571=$E$1)*(A52&gt;Task_Table_02_26!$J$2:$J$571)*(A52&lt;Task_Table_02_26!$K$2:$K$571))</f>
        <v>0</v>
      </c>
    </row>
    <row r="53" spans="1:5">
      <c r="A53" s="5">
        <v>45921</v>
      </c>
      <c r="B53" cm="1">
        <f t="array" ref="B53">SUMPRODUCT((Task_Table_02_26!$C$2:$C$571=$B$1)*(A53&gt;Task_Table_02_26!$J$2:$J$571)*(A53&lt;Task_Table_02_26!$K$2:$K$571))</f>
        <v>1</v>
      </c>
      <c r="C53" cm="1">
        <f t="array" ref="C53">SUMPRODUCT((Task_Table_02_26!$C$2:$C$571=$C$1)*(A53&gt;Task_Table_02_26!$J$2:$J$571)*(A53&lt;Task_Table_02_26!$K$2:$K$571))</f>
        <v>1</v>
      </c>
      <c r="D53" cm="1">
        <f t="array" ref="D53">SUMPRODUCT((Task_Table_02_26!$C$2:$C$571=$D$1)*(A53&gt;Task_Table_02_26!$J$2:$J$571)*(A53&lt;Task_Table_02_26!$K$2:$K$571))</f>
        <v>0</v>
      </c>
      <c r="E53" cm="1">
        <f t="array" ref="E53">SUMPRODUCT((Task_Table_02_26!$C$2:$C$571=$E$1)*(A53&gt;Task_Table_02_26!$J$2:$J$571)*(A53&lt;Task_Table_02_26!$K$2:$K$571))</f>
        <v>0</v>
      </c>
    </row>
    <row r="54" spans="1:5">
      <c r="A54" s="5">
        <v>45922</v>
      </c>
      <c r="B54" cm="1">
        <f t="array" ref="B54">SUMPRODUCT((Task_Table_02_26!$C$2:$C$571=$B$1)*(A54&gt;Task_Table_02_26!$J$2:$J$571)*(A54&lt;Task_Table_02_26!$K$2:$K$571))</f>
        <v>1</v>
      </c>
      <c r="C54" cm="1">
        <f t="array" ref="C54">SUMPRODUCT((Task_Table_02_26!$C$2:$C$571=$C$1)*(A54&gt;Task_Table_02_26!$J$2:$J$571)*(A54&lt;Task_Table_02_26!$K$2:$K$571))</f>
        <v>1</v>
      </c>
      <c r="D54" cm="1">
        <f t="array" ref="D54">SUMPRODUCT((Task_Table_02_26!$C$2:$C$571=$D$1)*(A54&gt;Task_Table_02_26!$J$2:$J$571)*(A54&lt;Task_Table_02_26!$K$2:$K$571))</f>
        <v>0</v>
      </c>
      <c r="E54" cm="1">
        <f t="array" ref="E54">SUMPRODUCT((Task_Table_02_26!$C$2:$C$571=$E$1)*(A54&gt;Task_Table_02_26!$J$2:$J$571)*(A54&lt;Task_Table_02_26!$K$2:$K$571))</f>
        <v>0</v>
      </c>
    </row>
    <row r="55" spans="1:5">
      <c r="A55" s="5">
        <v>45923</v>
      </c>
      <c r="B55" cm="1">
        <f t="array" ref="B55">SUMPRODUCT((Task_Table_02_26!$C$2:$C$571=$B$1)*(A55&gt;Task_Table_02_26!$J$2:$J$571)*(A55&lt;Task_Table_02_26!$K$2:$K$571))</f>
        <v>1</v>
      </c>
      <c r="C55" cm="1">
        <f t="array" ref="C55">SUMPRODUCT((Task_Table_02_26!$C$2:$C$571=$C$1)*(A55&gt;Task_Table_02_26!$J$2:$J$571)*(A55&lt;Task_Table_02_26!$K$2:$K$571))</f>
        <v>1</v>
      </c>
      <c r="D55" cm="1">
        <f t="array" ref="D55">SUMPRODUCT((Task_Table_02_26!$C$2:$C$571=$D$1)*(A55&gt;Task_Table_02_26!$J$2:$J$571)*(A55&lt;Task_Table_02_26!$K$2:$K$571))</f>
        <v>0</v>
      </c>
      <c r="E55" cm="1">
        <f t="array" ref="E55">SUMPRODUCT((Task_Table_02_26!$C$2:$C$571=$E$1)*(A55&gt;Task_Table_02_26!$J$2:$J$571)*(A55&lt;Task_Table_02_26!$K$2:$K$571))</f>
        <v>0</v>
      </c>
    </row>
    <row r="56" spans="1:5">
      <c r="A56" s="5">
        <v>45924</v>
      </c>
      <c r="B56" cm="1">
        <f t="array" ref="B56">SUMPRODUCT((Task_Table_02_26!$C$2:$C$571=$B$1)*(A56&gt;Task_Table_02_26!$J$2:$J$571)*(A56&lt;Task_Table_02_26!$K$2:$K$571))</f>
        <v>1</v>
      </c>
      <c r="C56" cm="1">
        <f t="array" ref="C56">SUMPRODUCT((Task_Table_02_26!$C$2:$C$571=$C$1)*(A56&gt;Task_Table_02_26!$J$2:$J$571)*(A56&lt;Task_Table_02_26!$K$2:$K$571))</f>
        <v>1</v>
      </c>
      <c r="D56" cm="1">
        <f t="array" ref="D56">SUMPRODUCT((Task_Table_02_26!$C$2:$C$571=$D$1)*(A56&gt;Task_Table_02_26!$J$2:$J$571)*(A56&lt;Task_Table_02_26!$K$2:$K$571))</f>
        <v>0</v>
      </c>
      <c r="E56" cm="1">
        <f t="array" ref="E56">SUMPRODUCT((Task_Table_02_26!$C$2:$C$571=$E$1)*(A56&gt;Task_Table_02_26!$J$2:$J$571)*(A56&lt;Task_Table_02_26!$K$2:$K$571))</f>
        <v>0</v>
      </c>
    </row>
    <row r="57" spans="1:5">
      <c r="A57" s="5">
        <v>45925</v>
      </c>
      <c r="B57" cm="1">
        <f t="array" ref="B57">SUMPRODUCT((Task_Table_02_26!$C$2:$C$571=$B$1)*(A57&gt;Task_Table_02_26!$J$2:$J$571)*(A57&lt;Task_Table_02_26!$K$2:$K$571))</f>
        <v>1</v>
      </c>
      <c r="C57" cm="1">
        <f t="array" ref="C57">SUMPRODUCT((Task_Table_02_26!$C$2:$C$571=$C$1)*(A57&gt;Task_Table_02_26!$J$2:$J$571)*(A57&lt;Task_Table_02_26!$K$2:$K$571))</f>
        <v>1</v>
      </c>
      <c r="D57" cm="1">
        <f t="array" ref="D57">SUMPRODUCT((Task_Table_02_26!$C$2:$C$571=$D$1)*(A57&gt;Task_Table_02_26!$J$2:$J$571)*(A57&lt;Task_Table_02_26!$K$2:$K$571))</f>
        <v>0</v>
      </c>
      <c r="E57" cm="1">
        <f t="array" ref="E57">SUMPRODUCT((Task_Table_02_26!$C$2:$C$571=$E$1)*(A57&gt;Task_Table_02_26!$J$2:$J$571)*(A57&lt;Task_Table_02_26!$K$2:$K$571))</f>
        <v>0</v>
      </c>
    </row>
    <row r="58" spans="1:5">
      <c r="A58" s="5">
        <v>45926</v>
      </c>
      <c r="B58" cm="1">
        <f t="array" ref="B58">SUMPRODUCT((Task_Table_02_26!$C$2:$C$571=$B$1)*(A58&gt;Task_Table_02_26!$J$2:$J$571)*(A58&lt;Task_Table_02_26!$K$2:$K$571))</f>
        <v>1</v>
      </c>
      <c r="C58" cm="1">
        <f t="array" ref="C58">SUMPRODUCT((Task_Table_02_26!$C$2:$C$571=$C$1)*(A58&gt;Task_Table_02_26!$J$2:$J$571)*(A58&lt;Task_Table_02_26!$K$2:$K$571))</f>
        <v>1</v>
      </c>
      <c r="D58" cm="1">
        <f t="array" ref="D58">SUMPRODUCT((Task_Table_02_26!$C$2:$C$571=$D$1)*(A58&gt;Task_Table_02_26!$J$2:$J$571)*(A58&lt;Task_Table_02_26!$K$2:$K$571))</f>
        <v>0</v>
      </c>
      <c r="E58" cm="1">
        <f t="array" ref="E58">SUMPRODUCT((Task_Table_02_26!$C$2:$C$571=$E$1)*(A58&gt;Task_Table_02_26!$J$2:$J$571)*(A58&lt;Task_Table_02_26!$K$2:$K$571))</f>
        <v>0</v>
      </c>
    </row>
    <row r="59" spans="1:5">
      <c r="A59" s="5">
        <v>45927</v>
      </c>
      <c r="B59" cm="1">
        <f t="array" ref="B59">SUMPRODUCT((Task_Table_02_26!$C$2:$C$571=$B$1)*(A59&gt;Task_Table_02_26!$J$2:$J$571)*(A59&lt;Task_Table_02_26!$K$2:$K$571))</f>
        <v>1</v>
      </c>
      <c r="C59" cm="1">
        <f t="array" ref="C59">SUMPRODUCT((Task_Table_02_26!$C$2:$C$571=$C$1)*(A59&gt;Task_Table_02_26!$J$2:$J$571)*(A59&lt;Task_Table_02_26!$K$2:$K$571))</f>
        <v>1</v>
      </c>
      <c r="D59" cm="1">
        <f t="array" ref="D59">SUMPRODUCT((Task_Table_02_26!$C$2:$C$571=$D$1)*(A59&gt;Task_Table_02_26!$J$2:$J$571)*(A59&lt;Task_Table_02_26!$K$2:$K$571))</f>
        <v>0</v>
      </c>
      <c r="E59" cm="1">
        <f t="array" ref="E59">SUMPRODUCT((Task_Table_02_26!$C$2:$C$571=$E$1)*(A59&gt;Task_Table_02_26!$J$2:$J$571)*(A59&lt;Task_Table_02_26!$K$2:$K$571))</f>
        <v>0</v>
      </c>
    </row>
    <row r="60" spans="1:5">
      <c r="A60" s="5">
        <v>45928</v>
      </c>
      <c r="B60" cm="1">
        <f t="array" ref="B60">SUMPRODUCT((Task_Table_02_26!$C$2:$C$571=$B$1)*(A60&gt;Task_Table_02_26!$J$2:$J$571)*(A60&lt;Task_Table_02_26!$K$2:$K$571))</f>
        <v>1</v>
      </c>
      <c r="C60" cm="1">
        <f t="array" ref="C60">SUMPRODUCT((Task_Table_02_26!$C$2:$C$571=$C$1)*(A60&gt;Task_Table_02_26!$J$2:$J$571)*(A60&lt;Task_Table_02_26!$K$2:$K$571))</f>
        <v>1</v>
      </c>
      <c r="D60" cm="1">
        <f t="array" ref="D60">SUMPRODUCT((Task_Table_02_26!$C$2:$C$571=$D$1)*(A60&gt;Task_Table_02_26!$J$2:$J$571)*(A60&lt;Task_Table_02_26!$K$2:$K$571))</f>
        <v>0</v>
      </c>
      <c r="E60" cm="1">
        <f t="array" ref="E60">SUMPRODUCT((Task_Table_02_26!$C$2:$C$571=$E$1)*(A60&gt;Task_Table_02_26!$J$2:$J$571)*(A60&lt;Task_Table_02_26!$K$2:$K$571))</f>
        <v>0</v>
      </c>
    </row>
    <row r="61" spans="1:5">
      <c r="A61" s="5">
        <v>45929</v>
      </c>
      <c r="B61" cm="1">
        <f t="array" ref="B61">SUMPRODUCT((Task_Table_02_26!$C$2:$C$571=$B$1)*(A61&gt;Task_Table_02_26!$J$2:$J$571)*(A61&lt;Task_Table_02_26!$K$2:$K$571))</f>
        <v>1</v>
      </c>
      <c r="C61" cm="1">
        <f t="array" ref="C61">SUMPRODUCT((Task_Table_02_26!$C$2:$C$571=$C$1)*(A61&gt;Task_Table_02_26!$J$2:$J$571)*(A61&lt;Task_Table_02_26!$K$2:$K$571))</f>
        <v>1</v>
      </c>
      <c r="D61" cm="1">
        <f t="array" ref="D61">SUMPRODUCT((Task_Table_02_26!$C$2:$C$571=$D$1)*(A61&gt;Task_Table_02_26!$J$2:$J$571)*(A61&lt;Task_Table_02_26!$K$2:$K$571))</f>
        <v>0</v>
      </c>
      <c r="E61" cm="1">
        <f t="array" ref="E61">SUMPRODUCT((Task_Table_02_26!$C$2:$C$571=$E$1)*(A61&gt;Task_Table_02_26!$J$2:$J$571)*(A61&lt;Task_Table_02_26!$K$2:$K$571))</f>
        <v>0</v>
      </c>
    </row>
    <row r="62" spans="1:5">
      <c r="A62" s="5">
        <v>45930</v>
      </c>
      <c r="B62" cm="1">
        <f t="array" ref="B62">SUMPRODUCT((Task_Table_02_26!$C$2:$C$571=$B$1)*(A62&gt;Task_Table_02_26!$J$2:$J$571)*(A62&lt;Task_Table_02_26!$K$2:$K$571))</f>
        <v>1</v>
      </c>
      <c r="C62" cm="1">
        <f t="array" ref="C62">SUMPRODUCT((Task_Table_02_26!$C$2:$C$571=$C$1)*(A62&gt;Task_Table_02_26!$J$2:$J$571)*(A62&lt;Task_Table_02_26!$K$2:$K$571))</f>
        <v>1</v>
      </c>
      <c r="D62" cm="1">
        <f t="array" ref="D62">SUMPRODUCT((Task_Table_02_26!$C$2:$C$571=$D$1)*(A62&gt;Task_Table_02_26!$J$2:$J$571)*(A62&lt;Task_Table_02_26!$K$2:$K$571))</f>
        <v>0</v>
      </c>
      <c r="E62" cm="1">
        <f t="array" ref="E62">SUMPRODUCT((Task_Table_02_26!$C$2:$C$571=$E$1)*(A62&gt;Task_Table_02_26!$J$2:$J$571)*(A62&lt;Task_Table_02_26!$K$2:$K$571))</f>
        <v>0</v>
      </c>
    </row>
    <row r="63" spans="1:5">
      <c r="A63" s="5">
        <v>45931</v>
      </c>
      <c r="B63" cm="1">
        <f t="array" ref="B63">SUMPRODUCT((Task_Table_02_26!$C$2:$C$571=$B$1)*(A63&gt;Task_Table_02_26!$J$2:$J$571)*(A63&lt;Task_Table_02_26!$K$2:$K$571))</f>
        <v>1</v>
      </c>
      <c r="C63" cm="1">
        <f t="array" ref="C63">SUMPRODUCT((Task_Table_02_26!$C$2:$C$571=$C$1)*(A63&gt;Task_Table_02_26!$J$2:$J$571)*(A63&lt;Task_Table_02_26!$K$2:$K$571))</f>
        <v>1</v>
      </c>
      <c r="D63" cm="1">
        <f t="array" ref="D63">SUMPRODUCT((Task_Table_02_26!$C$2:$C$571=$D$1)*(A63&gt;Task_Table_02_26!$J$2:$J$571)*(A63&lt;Task_Table_02_26!$K$2:$K$571))</f>
        <v>0</v>
      </c>
      <c r="E63" cm="1">
        <f t="array" ref="E63">SUMPRODUCT((Task_Table_02_26!$C$2:$C$571=$E$1)*(A63&gt;Task_Table_02_26!$J$2:$J$571)*(A63&lt;Task_Table_02_26!$K$2:$K$571))</f>
        <v>0</v>
      </c>
    </row>
    <row r="64" spans="1:5">
      <c r="A64" s="5">
        <v>45932</v>
      </c>
      <c r="B64" cm="1">
        <f t="array" ref="B64">SUMPRODUCT((Task_Table_02_26!$C$2:$C$571=$B$1)*(A64&gt;Task_Table_02_26!$J$2:$J$571)*(A64&lt;Task_Table_02_26!$K$2:$K$571))</f>
        <v>3</v>
      </c>
      <c r="C64" cm="1">
        <f t="array" ref="C64">SUMPRODUCT((Task_Table_02_26!$C$2:$C$571=$C$1)*(A64&gt;Task_Table_02_26!$J$2:$J$571)*(A64&lt;Task_Table_02_26!$K$2:$K$571))</f>
        <v>1</v>
      </c>
      <c r="D64" cm="1">
        <f t="array" ref="D64">SUMPRODUCT((Task_Table_02_26!$C$2:$C$571=$D$1)*(A64&gt;Task_Table_02_26!$J$2:$J$571)*(A64&lt;Task_Table_02_26!$K$2:$K$571))</f>
        <v>0</v>
      </c>
      <c r="E64" cm="1">
        <f t="array" ref="E64">SUMPRODUCT((Task_Table_02_26!$C$2:$C$571=$E$1)*(A64&gt;Task_Table_02_26!$J$2:$J$571)*(A64&lt;Task_Table_02_26!$K$2:$K$571))</f>
        <v>0</v>
      </c>
    </row>
    <row r="65" spans="1:5">
      <c r="A65" s="5">
        <v>45933</v>
      </c>
      <c r="B65" cm="1">
        <f t="array" ref="B65">SUMPRODUCT((Task_Table_02_26!$C$2:$C$571=$B$1)*(A65&gt;Task_Table_02_26!$J$2:$J$571)*(A65&lt;Task_Table_02_26!$K$2:$K$571))</f>
        <v>3</v>
      </c>
      <c r="C65" cm="1">
        <f t="array" ref="C65">SUMPRODUCT((Task_Table_02_26!$C$2:$C$571=$C$1)*(A65&gt;Task_Table_02_26!$J$2:$J$571)*(A65&lt;Task_Table_02_26!$K$2:$K$571))</f>
        <v>1</v>
      </c>
      <c r="D65" cm="1">
        <f t="array" ref="D65">SUMPRODUCT((Task_Table_02_26!$C$2:$C$571=$D$1)*(A65&gt;Task_Table_02_26!$J$2:$J$571)*(A65&lt;Task_Table_02_26!$K$2:$K$571))</f>
        <v>0</v>
      </c>
      <c r="E65" cm="1">
        <f t="array" ref="E65">SUMPRODUCT((Task_Table_02_26!$C$2:$C$571=$E$1)*(A65&gt;Task_Table_02_26!$J$2:$J$571)*(A65&lt;Task_Table_02_26!$K$2:$K$571))</f>
        <v>0</v>
      </c>
    </row>
    <row r="66" spans="1:5">
      <c r="A66" s="5">
        <v>45934</v>
      </c>
      <c r="B66" cm="1">
        <f t="array" ref="B66">SUMPRODUCT((Task_Table_02_26!$C$2:$C$571=$B$1)*(A66&gt;Task_Table_02_26!$J$2:$J$571)*(A66&lt;Task_Table_02_26!$K$2:$K$571))</f>
        <v>3</v>
      </c>
      <c r="C66" cm="1">
        <f t="array" ref="C66">SUMPRODUCT((Task_Table_02_26!$C$2:$C$571=$C$1)*(A66&gt;Task_Table_02_26!$J$2:$J$571)*(A66&lt;Task_Table_02_26!$K$2:$K$571))</f>
        <v>1</v>
      </c>
      <c r="D66" cm="1">
        <f t="array" ref="D66">SUMPRODUCT((Task_Table_02_26!$C$2:$C$571=$D$1)*(A66&gt;Task_Table_02_26!$J$2:$J$571)*(A66&lt;Task_Table_02_26!$K$2:$K$571))</f>
        <v>0</v>
      </c>
      <c r="E66" cm="1">
        <f t="array" ref="E66">SUMPRODUCT((Task_Table_02_26!$C$2:$C$571=$E$1)*(A66&gt;Task_Table_02_26!$J$2:$J$571)*(A66&lt;Task_Table_02_26!$K$2:$K$571))</f>
        <v>0</v>
      </c>
    </row>
    <row r="67" spans="1:5">
      <c r="A67" s="5">
        <v>45935</v>
      </c>
      <c r="B67" cm="1">
        <f t="array" ref="B67">SUMPRODUCT((Task_Table_02_26!$C$2:$C$571=$B$1)*(A67&gt;Task_Table_02_26!$J$2:$J$571)*(A67&lt;Task_Table_02_26!$K$2:$K$571))</f>
        <v>3</v>
      </c>
      <c r="C67" cm="1">
        <f t="array" ref="C67">SUMPRODUCT((Task_Table_02_26!$C$2:$C$571=$C$1)*(A67&gt;Task_Table_02_26!$J$2:$J$571)*(A67&lt;Task_Table_02_26!$K$2:$K$571))</f>
        <v>1</v>
      </c>
      <c r="D67" cm="1">
        <f t="array" ref="D67">SUMPRODUCT((Task_Table_02_26!$C$2:$C$571=$D$1)*(A67&gt;Task_Table_02_26!$J$2:$J$571)*(A67&lt;Task_Table_02_26!$K$2:$K$571))</f>
        <v>0</v>
      </c>
      <c r="E67" cm="1">
        <f t="array" ref="E67">SUMPRODUCT((Task_Table_02_26!$C$2:$C$571=$E$1)*(A67&gt;Task_Table_02_26!$J$2:$J$571)*(A67&lt;Task_Table_02_26!$K$2:$K$571))</f>
        <v>0</v>
      </c>
    </row>
    <row r="68" spans="1:5">
      <c r="A68" s="5">
        <v>45936</v>
      </c>
      <c r="B68" cm="1">
        <f t="array" ref="B68">SUMPRODUCT((Task_Table_02_26!$C$2:$C$571=$B$1)*(A68&gt;Task_Table_02_26!$J$2:$J$571)*(A68&lt;Task_Table_02_26!$K$2:$K$571))</f>
        <v>3</v>
      </c>
      <c r="C68" cm="1">
        <f t="array" ref="C68">SUMPRODUCT((Task_Table_02_26!$C$2:$C$571=$C$1)*(A68&gt;Task_Table_02_26!$J$2:$J$571)*(A68&lt;Task_Table_02_26!$K$2:$K$571))</f>
        <v>1</v>
      </c>
      <c r="D68" cm="1">
        <f t="array" ref="D68">SUMPRODUCT((Task_Table_02_26!$C$2:$C$571=$D$1)*(A68&gt;Task_Table_02_26!$J$2:$J$571)*(A68&lt;Task_Table_02_26!$K$2:$K$571))</f>
        <v>0</v>
      </c>
      <c r="E68" cm="1">
        <f t="array" ref="E68">SUMPRODUCT((Task_Table_02_26!$C$2:$C$571=$E$1)*(A68&gt;Task_Table_02_26!$J$2:$J$571)*(A68&lt;Task_Table_02_26!$K$2:$K$571))</f>
        <v>0</v>
      </c>
    </row>
    <row r="69" spans="1:5">
      <c r="A69" s="5">
        <v>45937</v>
      </c>
      <c r="B69" cm="1">
        <f t="array" ref="B69">SUMPRODUCT((Task_Table_02_26!$C$2:$C$571=$B$1)*(A69&gt;Task_Table_02_26!$J$2:$J$571)*(A69&lt;Task_Table_02_26!$K$2:$K$571))</f>
        <v>3</v>
      </c>
      <c r="C69" cm="1">
        <f t="array" ref="C69">SUMPRODUCT((Task_Table_02_26!$C$2:$C$571=$C$1)*(A69&gt;Task_Table_02_26!$J$2:$J$571)*(A69&lt;Task_Table_02_26!$K$2:$K$571))</f>
        <v>1</v>
      </c>
      <c r="D69" cm="1">
        <f t="array" ref="D69">SUMPRODUCT((Task_Table_02_26!$C$2:$C$571=$D$1)*(A69&gt;Task_Table_02_26!$J$2:$J$571)*(A69&lt;Task_Table_02_26!$K$2:$K$571))</f>
        <v>0</v>
      </c>
      <c r="E69" cm="1">
        <f t="array" ref="E69">SUMPRODUCT((Task_Table_02_26!$C$2:$C$571=$E$1)*(A69&gt;Task_Table_02_26!$J$2:$J$571)*(A69&lt;Task_Table_02_26!$K$2:$K$571))</f>
        <v>0</v>
      </c>
    </row>
    <row r="70" spans="1:5">
      <c r="A70" s="5">
        <v>45938</v>
      </c>
      <c r="B70" cm="1">
        <f t="array" ref="B70">SUMPRODUCT((Task_Table_02_26!$C$2:$C$571=$B$1)*(A70&gt;Task_Table_02_26!$J$2:$J$571)*(A70&lt;Task_Table_02_26!$K$2:$K$571))</f>
        <v>3</v>
      </c>
      <c r="C70" cm="1">
        <f t="array" ref="C70">SUMPRODUCT((Task_Table_02_26!$C$2:$C$571=$C$1)*(A70&gt;Task_Table_02_26!$J$2:$J$571)*(A70&lt;Task_Table_02_26!$K$2:$K$571))</f>
        <v>1</v>
      </c>
      <c r="D70" cm="1">
        <f t="array" ref="D70">SUMPRODUCT((Task_Table_02_26!$C$2:$C$571=$D$1)*(A70&gt;Task_Table_02_26!$J$2:$J$571)*(A70&lt;Task_Table_02_26!$K$2:$K$571))</f>
        <v>0</v>
      </c>
      <c r="E70" cm="1">
        <f t="array" ref="E70">SUMPRODUCT((Task_Table_02_26!$C$2:$C$571=$E$1)*(A70&gt;Task_Table_02_26!$J$2:$J$571)*(A70&lt;Task_Table_02_26!$K$2:$K$571))</f>
        <v>0</v>
      </c>
    </row>
    <row r="71" spans="1:5">
      <c r="A71" s="5">
        <v>45939</v>
      </c>
      <c r="B71" cm="1">
        <f t="array" ref="B71">SUMPRODUCT((Task_Table_02_26!$C$2:$C$571=$B$1)*(A71&gt;Task_Table_02_26!$J$2:$J$571)*(A71&lt;Task_Table_02_26!$K$2:$K$571))</f>
        <v>3</v>
      </c>
      <c r="C71" cm="1">
        <f t="array" ref="C71">SUMPRODUCT((Task_Table_02_26!$C$2:$C$571=$C$1)*(A71&gt;Task_Table_02_26!$J$2:$J$571)*(A71&lt;Task_Table_02_26!$K$2:$K$571))</f>
        <v>1</v>
      </c>
      <c r="D71" cm="1">
        <f t="array" ref="D71">SUMPRODUCT((Task_Table_02_26!$C$2:$C$571=$D$1)*(A71&gt;Task_Table_02_26!$J$2:$J$571)*(A71&lt;Task_Table_02_26!$K$2:$K$571))</f>
        <v>0</v>
      </c>
      <c r="E71" cm="1">
        <f t="array" ref="E71">SUMPRODUCT((Task_Table_02_26!$C$2:$C$571=$E$1)*(A71&gt;Task_Table_02_26!$J$2:$J$571)*(A71&lt;Task_Table_02_26!$K$2:$K$571))</f>
        <v>0</v>
      </c>
    </row>
    <row r="72" spans="1:5">
      <c r="A72" s="5">
        <v>45940</v>
      </c>
      <c r="B72" cm="1">
        <f t="array" ref="B72">SUMPRODUCT((Task_Table_02_26!$C$2:$C$571=$B$1)*(A72&gt;Task_Table_02_26!$J$2:$J$571)*(A72&lt;Task_Table_02_26!$K$2:$K$571))</f>
        <v>3</v>
      </c>
      <c r="C72" cm="1">
        <f t="array" ref="C72">SUMPRODUCT((Task_Table_02_26!$C$2:$C$571=$C$1)*(A72&gt;Task_Table_02_26!$J$2:$J$571)*(A72&lt;Task_Table_02_26!$K$2:$K$571))</f>
        <v>1</v>
      </c>
      <c r="D72" cm="1">
        <f t="array" ref="D72">SUMPRODUCT((Task_Table_02_26!$C$2:$C$571=$D$1)*(A72&gt;Task_Table_02_26!$J$2:$J$571)*(A72&lt;Task_Table_02_26!$K$2:$K$571))</f>
        <v>0</v>
      </c>
      <c r="E72" cm="1">
        <f t="array" ref="E72">SUMPRODUCT((Task_Table_02_26!$C$2:$C$571=$E$1)*(A72&gt;Task_Table_02_26!$J$2:$J$571)*(A72&lt;Task_Table_02_26!$K$2:$K$571))</f>
        <v>0</v>
      </c>
    </row>
    <row r="73" spans="1:5">
      <c r="A73" s="5">
        <v>45941</v>
      </c>
      <c r="B73" cm="1">
        <f t="array" ref="B73">SUMPRODUCT((Task_Table_02_26!$C$2:$C$571=$B$1)*(A73&gt;Task_Table_02_26!$J$2:$J$571)*(A73&lt;Task_Table_02_26!$K$2:$K$571))</f>
        <v>3</v>
      </c>
      <c r="C73" cm="1">
        <f t="array" ref="C73">SUMPRODUCT((Task_Table_02_26!$C$2:$C$571=$C$1)*(A73&gt;Task_Table_02_26!$J$2:$J$571)*(A73&lt;Task_Table_02_26!$K$2:$K$571))</f>
        <v>1</v>
      </c>
      <c r="D73" cm="1">
        <f t="array" ref="D73">SUMPRODUCT((Task_Table_02_26!$C$2:$C$571=$D$1)*(A73&gt;Task_Table_02_26!$J$2:$J$571)*(A73&lt;Task_Table_02_26!$K$2:$K$571))</f>
        <v>0</v>
      </c>
      <c r="E73" cm="1">
        <f t="array" ref="E73">SUMPRODUCT((Task_Table_02_26!$C$2:$C$571=$E$1)*(A73&gt;Task_Table_02_26!$J$2:$J$571)*(A73&lt;Task_Table_02_26!$K$2:$K$571))</f>
        <v>0</v>
      </c>
    </row>
    <row r="74" spans="1:5">
      <c r="A74" s="5">
        <v>45942</v>
      </c>
      <c r="B74" cm="1">
        <f t="array" ref="B74">SUMPRODUCT((Task_Table_02_26!$C$2:$C$571=$B$1)*(A74&gt;Task_Table_02_26!$J$2:$J$571)*(A74&lt;Task_Table_02_26!$K$2:$K$571))</f>
        <v>3</v>
      </c>
      <c r="C74" cm="1">
        <f t="array" ref="C74">SUMPRODUCT((Task_Table_02_26!$C$2:$C$571=$C$1)*(A74&gt;Task_Table_02_26!$J$2:$J$571)*(A74&lt;Task_Table_02_26!$K$2:$K$571))</f>
        <v>1</v>
      </c>
      <c r="D74" cm="1">
        <f t="array" ref="D74">SUMPRODUCT((Task_Table_02_26!$C$2:$C$571=$D$1)*(A74&gt;Task_Table_02_26!$J$2:$J$571)*(A74&lt;Task_Table_02_26!$K$2:$K$571))</f>
        <v>0</v>
      </c>
      <c r="E74" cm="1">
        <f t="array" ref="E74">SUMPRODUCT((Task_Table_02_26!$C$2:$C$571=$E$1)*(A74&gt;Task_Table_02_26!$J$2:$J$571)*(A74&lt;Task_Table_02_26!$K$2:$K$571))</f>
        <v>0</v>
      </c>
    </row>
    <row r="75" spans="1:5">
      <c r="A75" s="5">
        <v>45943</v>
      </c>
      <c r="B75" cm="1">
        <f t="array" ref="B75">SUMPRODUCT((Task_Table_02_26!$C$2:$C$571=$B$1)*(A75&gt;Task_Table_02_26!$J$2:$J$571)*(A75&lt;Task_Table_02_26!$K$2:$K$571))</f>
        <v>3</v>
      </c>
      <c r="C75" cm="1">
        <f t="array" ref="C75">SUMPRODUCT((Task_Table_02_26!$C$2:$C$571=$C$1)*(A75&gt;Task_Table_02_26!$J$2:$J$571)*(A75&lt;Task_Table_02_26!$K$2:$K$571))</f>
        <v>1</v>
      </c>
      <c r="D75" cm="1">
        <f t="array" ref="D75">SUMPRODUCT((Task_Table_02_26!$C$2:$C$571=$D$1)*(A75&gt;Task_Table_02_26!$J$2:$J$571)*(A75&lt;Task_Table_02_26!$K$2:$K$571))</f>
        <v>0</v>
      </c>
      <c r="E75" cm="1">
        <f t="array" ref="E75">SUMPRODUCT((Task_Table_02_26!$C$2:$C$571=$E$1)*(A75&gt;Task_Table_02_26!$J$2:$J$571)*(A75&lt;Task_Table_02_26!$K$2:$K$571))</f>
        <v>0</v>
      </c>
    </row>
    <row r="76" spans="1:5">
      <c r="A76" s="5">
        <v>45944</v>
      </c>
      <c r="B76" cm="1">
        <f t="array" ref="B76">SUMPRODUCT((Task_Table_02_26!$C$2:$C$571=$B$1)*(A76&gt;Task_Table_02_26!$J$2:$J$571)*(A76&lt;Task_Table_02_26!$K$2:$K$571))</f>
        <v>3</v>
      </c>
      <c r="C76" cm="1">
        <f t="array" ref="C76">SUMPRODUCT((Task_Table_02_26!$C$2:$C$571=$C$1)*(A76&gt;Task_Table_02_26!$J$2:$J$571)*(A76&lt;Task_Table_02_26!$K$2:$K$571))</f>
        <v>1</v>
      </c>
      <c r="D76" cm="1">
        <f t="array" ref="D76">SUMPRODUCT((Task_Table_02_26!$C$2:$C$571=$D$1)*(A76&gt;Task_Table_02_26!$J$2:$J$571)*(A76&lt;Task_Table_02_26!$K$2:$K$571))</f>
        <v>0</v>
      </c>
      <c r="E76" cm="1">
        <f t="array" ref="E76">SUMPRODUCT((Task_Table_02_26!$C$2:$C$571=$E$1)*(A76&gt;Task_Table_02_26!$J$2:$J$571)*(A76&lt;Task_Table_02_26!$K$2:$K$571))</f>
        <v>0</v>
      </c>
    </row>
    <row r="77" spans="1:5">
      <c r="A77" s="5">
        <v>45945</v>
      </c>
      <c r="B77" cm="1">
        <f t="array" ref="B77">SUMPRODUCT((Task_Table_02_26!$C$2:$C$571=$B$1)*(A77&gt;Task_Table_02_26!$J$2:$J$571)*(A77&lt;Task_Table_02_26!$K$2:$K$571))</f>
        <v>2</v>
      </c>
      <c r="C77" cm="1">
        <f t="array" ref="C77">SUMPRODUCT((Task_Table_02_26!$C$2:$C$571=$C$1)*(A77&gt;Task_Table_02_26!$J$2:$J$571)*(A77&lt;Task_Table_02_26!$K$2:$K$571))</f>
        <v>1</v>
      </c>
      <c r="D77" cm="1">
        <f t="array" ref="D77">SUMPRODUCT((Task_Table_02_26!$C$2:$C$571=$D$1)*(A77&gt;Task_Table_02_26!$J$2:$J$571)*(A77&lt;Task_Table_02_26!$K$2:$K$571))</f>
        <v>0</v>
      </c>
      <c r="E77" cm="1">
        <f t="array" ref="E77">SUMPRODUCT((Task_Table_02_26!$C$2:$C$571=$E$1)*(A77&gt;Task_Table_02_26!$J$2:$J$571)*(A77&lt;Task_Table_02_26!$K$2:$K$571))</f>
        <v>0</v>
      </c>
    </row>
    <row r="78" spans="1:5">
      <c r="A78" s="5">
        <v>45946</v>
      </c>
      <c r="B78" cm="1">
        <f t="array" ref="B78">SUMPRODUCT((Task_Table_02_26!$C$2:$C$571=$B$1)*(A78&gt;Task_Table_02_26!$J$2:$J$571)*(A78&lt;Task_Table_02_26!$K$2:$K$571))</f>
        <v>2</v>
      </c>
      <c r="C78" cm="1">
        <f t="array" ref="C78">SUMPRODUCT((Task_Table_02_26!$C$2:$C$571=$C$1)*(A78&gt;Task_Table_02_26!$J$2:$J$571)*(A78&lt;Task_Table_02_26!$K$2:$K$571))</f>
        <v>1</v>
      </c>
      <c r="D78" cm="1">
        <f t="array" ref="D78">SUMPRODUCT((Task_Table_02_26!$C$2:$C$571=$D$1)*(A78&gt;Task_Table_02_26!$J$2:$J$571)*(A78&lt;Task_Table_02_26!$K$2:$K$571))</f>
        <v>0</v>
      </c>
      <c r="E78" cm="1">
        <f t="array" ref="E78">SUMPRODUCT((Task_Table_02_26!$C$2:$C$571=$E$1)*(A78&gt;Task_Table_02_26!$J$2:$J$571)*(A78&lt;Task_Table_02_26!$K$2:$K$571))</f>
        <v>0</v>
      </c>
    </row>
    <row r="79" spans="1:5">
      <c r="A79" s="5">
        <v>45947</v>
      </c>
      <c r="B79" cm="1">
        <f t="array" ref="B79">SUMPRODUCT((Task_Table_02_26!$C$2:$C$571=$B$1)*(A79&gt;Task_Table_02_26!$J$2:$J$571)*(A79&lt;Task_Table_02_26!$K$2:$K$571))</f>
        <v>10</v>
      </c>
      <c r="C79" cm="1">
        <f t="array" ref="C79">SUMPRODUCT((Task_Table_02_26!$C$2:$C$571=$C$1)*(A79&gt;Task_Table_02_26!$J$2:$J$571)*(A79&lt;Task_Table_02_26!$K$2:$K$571))</f>
        <v>1</v>
      </c>
      <c r="D79" cm="1">
        <f t="array" ref="D79">SUMPRODUCT((Task_Table_02_26!$C$2:$C$571=$D$1)*(A79&gt;Task_Table_02_26!$J$2:$J$571)*(A79&lt;Task_Table_02_26!$K$2:$K$571))</f>
        <v>0</v>
      </c>
      <c r="E79" cm="1">
        <f t="array" ref="E79">SUMPRODUCT((Task_Table_02_26!$C$2:$C$571=$E$1)*(A79&gt;Task_Table_02_26!$J$2:$J$571)*(A79&lt;Task_Table_02_26!$K$2:$K$571))</f>
        <v>2</v>
      </c>
    </row>
    <row r="80" spans="1:5">
      <c r="A80" s="5">
        <v>45948</v>
      </c>
      <c r="B80" cm="1">
        <f t="array" ref="B80">SUMPRODUCT((Task_Table_02_26!$C$2:$C$571=$B$1)*(A80&gt;Task_Table_02_26!$J$2:$J$571)*(A80&lt;Task_Table_02_26!$K$2:$K$571))</f>
        <v>10</v>
      </c>
      <c r="C80" cm="1">
        <f t="array" ref="C80">SUMPRODUCT((Task_Table_02_26!$C$2:$C$571=$C$1)*(A80&gt;Task_Table_02_26!$J$2:$J$571)*(A80&lt;Task_Table_02_26!$K$2:$K$571))</f>
        <v>1</v>
      </c>
      <c r="D80" cm="1">
        <f t="array" ref="D80">SUMPRODUCT((Task_Table_02_26!$C$2:$C$571=$D$1)*(A80&gt;Task_Table_02_26!$J$2:$J$571)*(A80&lt;Task_Table_02_26!$K$2:$K$571))</f>
        <v>0</v>
      </c>
      <c r="E80" cm="1">
        <f t="array" ref="E80">SUMPRODUCT((Task_Table_02_26!$C$2:$C$571=$E$1)*(A80&gt;Task_Table_02_26!$J$2:$J$571)*(A80&lt;Task_Table_02_26!$K$2:$K$571))</f>
        <v>2</v>
      </c>
    </row>
    <row r="81" spans="1:5">
      <c r="A81" s="5">
        <v>45949</v>
      </c>
      <c r="B81" cm="1">
        <f t="array" ref="B81">SUMPRODUCT((Task_Table_02_26!$C$2:$C$571=$B$1)*(A81&gt;Task_Table_02_26!$J$2:$J$571)*(A81&lt;Task_Table_02_26!$K$2:$K$571))</f>
        <v>10</v>
      </c>
      <c r="C81" cm="1">
        <f t="array" ref="C81">SUMPRODUCT((Task_Table_02_26!$C$2:$C$571=$C$1)*(A81&gt;Task_Table_02_26!$J$2:$J$571)*(A81&lt;Task_Table_02_26!$K$2:$K$571))</f>
        <v>1</v>
      </c>
      <c r="D81" cm="1">
        <f t="array" ref="D81">SUMPRODUCT((Task_Table_02_26!$C$2:$C$571=$D$1)*(A81&gt;Task_Table_02_26!$J$2:$J$571)*(A81&lt;Task_Table_02_26!$K$2:$K$571))</f>
        <v>0</v>
      </c>
      <c r="E81" cm="1">
        <f t="array" ref="E81">SUMPRODUCT((Task_Table_02_26!$C$2:$C$571=$E$1)*(A81&gt;Task_Table_02_26!$J$2:$J$571)*(A81&lt;Task_Table_02_26!$K$2:$K$571))</f>
        <v>2</v>
      </c>
    </row>
    <row r="82" spans="1:5">
      <c r="A82" s="5">
        <v>45950</v>
      </c>
      <c r="B82" cm="1">
        <f t="array" ref="B82">SUMPRODUCT((Task_Table_02_26!$C$2:$C$571=$B$1)*(A82&gt;Task_Table_02_26!$J$2:$J$571)*(A82&lt;Task_Table_02_26!$K$2:$K$571))</f>
        <v>10</v>
      </c>
      <c r="C82" cm="1">
        <f t="array" ref="C82">SUMPRODUCT((Task_Table_02_26!$C$2:$C$571=$C$1)*(A82&gt;Task_Table_02_26!$J$2:$J$571)*(A82&lt;Task_Table_02_26!$K$2:$K$571))</f>
        <v>1</v>
      </c>
      <c r="D82" cm="1">
        <f t="array" ref="D82">SUMPRODUCT((Task_Table_02_26!$C$2:$C$571=$D$1)*(A82&gt;Task_Table_02_26!$J$2:$J$571)*(A82&lt;Task_Table_02_26!$K$2:$K$571))</f>
        <v>0</v>
      </c>
      <c r="E82" cm="1">
        <f t="array" ref="E82">SUMPRODUCT((Task_Table_02_26!$C$2:$C$571=$E$1)*(A82&gt;Task_Table_02_26!$J$2:$J$571)*(A82&lt;Task_Table_02_26!$K$2:$K$571))</f>
        <v>2</v>
      </c>
    </row>
    <row r="83" spans="1:5">
      <c r="A83" s="5">
        <v>45951</v>
      </c>
      <c r="B83" cm="1">
        <f t="array" ref="B83">SUMPRODUCT((Task_Table_02_26!$C$2:$C$571=$B$1)*(A83&gt;Task_Table_02_26!$J$2:$J$571)*(A83&lt;Task_Table_02_26!$K$2:$K$571))</f>
        <v>10</v>
      </c>
      <c r="C83" cm="1">
        <f t="array" ref="C83">SUMPRODUCT((Task_Table_02_26!$C$2:$C$571=$C$1)*(A83&gt;Task_Table_02_26!$J$2:$J$571)*(A83&lt;Task_Table_02_26!$K$2:$K$571))</f>
        <v>1</v>
      </c>
      <c r="D83" cm="1">
        <f t="array" ref="D83">SUMPRODUCT((Task_Table_02_26!$C$2:$C$571=$D$1)*(A83&gt;Task_Table_02_26!$J$2:$J$571)*(A83&lt;Task_Table_02_26!$K$2:$K$571))</f>
        <v>0</v>
      </c>
      <c r="E83" cm="1">
        <f t="array" ref="E83">SUMPRODUCT((Task_Table_02_26!$C$2:$C$571=$E$1)*(A83&gt;Task_Table_02_26!$J$2:$J$571)*(A83&lt;Task_Table_02_26!$K$2:$K$571))</f>
        <v>2</v>
      </c>
    </row>
    <row r="84" spans="1:5">
      <c r="A84" s="5">
        <v>45952</v>
      </c>
      <c r="B84" cm="1">
        <f t="array" ref="B84">SUMPRODUCT((Task_Table_02_26!$C$2:$C$571=$B$1)*(A84&gt;Task_Table_02_26!$J$2:$J$571)*(A84&lt;Task_Table_02_26!$K$2:$K$571))</f>
        <v>10</v>
      </c>
      <c r="C84" cm="1">
        <f t="array" ref="C84">SUMPRODUCT((Task_Table_02_26!$C$2:$C$571=$C$1)*(A84&gt;Task_Table_02_26!$J$2:$J$571)*(A84&lt;Task_Table_02_26!$K$2:$K$571))</f>
        <v>1</v>
      </c>
      <c r="D84" cm="1">
        <f t="array" ref="D84">SUMPRODUCT((Task_Table_02_26!$C$2:$C$571=$D$1)*(A84&gt;Task_Table_02_26!$J$2:$J$571)*(A84&lt;Task_Table_02_26!$K$2:$K$571))</f>
        <v>0</v>
      </c>
      <c r="E84" cm="1">
        <f t="array" ref="E84">SUMPRODUCT((Task_Table_02_26!$C$2:$C$571=$E$1)*(A84&gt;Task_Table_02_26!$J$2:$J$571)*(A84&lt;Task_Table_02_26!$K$2:$K$571))</f>
        <v>2</v>
      </c>
    </row>
    <row r="85" spans="1:5">
      <c r="A85" s="5">
        <v>45953</v>
      </c>
      <c r="B85" cm="1">
        <f t="array" ref="B85">SUMPRODUCT((Task_Table_02_26!$C$2:$C$571=$B$1)*(A85&gt;Task_Table_02_26!$J$2:$J$571)*(A85&lt;Task_Table_02_26!$K$2:$K$571))</f>
        <v>10</v>
      </c>
      <c r="C85" cm="1">
        <f t="array" ref="C85">SUMPRODUCT((Task_Table_02_26!$C$2:$C$571=$C$1)*(A85&gt;Task_Table_02_26!$J$2:$J$571)*(A85&lt;Task_Table_02_26!$K$2:$K$571))</f>
        <v>1</v>
      </c>
      <c r="D85" cm="1">
        <f t="array" ref="D85">SUMPRODUCT((Task_Table_02_26!$C$2:$C$571=$D$1)*(A85&gt;Task_Table_02_26!$J$2:$J$571)*(A85&lt;Task_Table_02_26!$K$2:$K$571))</f>
        <v>0</v>
      </c>
      <c r="E85" cm="1">
        <f t="array" ref="E85">SUMPRODUCT((Task_Table_02_26!$C$2:$C$571=$E$1)*(A85&gt;Task_Table_02_26!$J$2:$J$571)*(A85&lt;Task_Table_02_26!$K$2:$K$571))</f>
        <v>2</v>
      </c>
    </row>
    <row r="86" spans="1:5">
      <c r="A86" s="5">
        <v>45954</v>
      </c>
      <c r="B86" cm="1">
        <f t="array" ref="B86">SUMPRODUCT((Task_Table_02_26!$C$2:$C$571=$B$1)*(A86&gt;Task_Table_02_26!$J$2:$J$571)*(A86&lt;Task_Table_02_26!$K$2:$K$571))</f>
        <v>10</v>
      </c>
      <c r="C86" cm="1">
        <f t="array" ref="C86">SUMPRODUCT((Task_Table_02_26!$C$2:$C$571=$C$1)*(A86&gt;Task_Table_02_26!$J$2:$J$571)*(A86&lt;Task_Table_02_26!$K$2:$K$571))</f>
        <v>1</v>
      </c>
      <c r="D86" cm="1">
        <f t="array" ref="D86">SUMPRODUCT((Task_Table_02_26!$C$2:$C$571=$D$1)*(A86&gt;Task_Table_02_26!$J$2:$J$571)*(A86&lt;Task_Table_02_26!$K$2:$K$571))</f>
        <v>0</v>
      </c>
      <c r="E86" cm="1">
        <f t="array" ref="E86">SUMPRODUCT((Task_Table_02_26!$C$2:$C$571=$E$1)*(A86&gt;Task_Table_02_26!$J$2:$J$571)*(A86&lt;Task_Table_02_26!$K$2:$K$571))</f>
        <v>2</v>
      </c>
    </row>
    <row r="87" spans="1:5">
      <c r="A87" s="5">
        <v>45955</v>
      </c>
      <c r="B87" cm="1">
        <f t="array" ref="B87">SUMPRODUCT((Task_Table_02_26!$C$2:$C$571=$B$1)*(A87&gt;Task_Table_02_26!$J$2:$J$571)*(A87&lt;Task_Table_02_26!$K$2:$K$571))</f>
        <v>10</v>
      </c>
      <c r="C87" cm="1">
        <f t="array" ref="C87">SUMPRODUCT((Task_Table_02_26!$C$2:$C$571=$C$1)*(A87&gt;Task_Table_02_26!$J$2:$J$571)*(A87&lt;Task_Table_02_26!$K$2:$K$571))</f>
        <v>1</v>
      </c>
      <c r="D87" cm="1">
        <f t="array" ref="D87">SUMPRODUCT((Task_Table_02_26!$C$2:$C$571=$D$1)*(A87&gt;Task_Table_02_26!$J$2:$J$571)*(A87&lt;Task_Table_02_26!$K$2:$K$571))</f>
        <v>0</v>
      </c>
      <c r="E87" cm="1">
        <f t="array" ref="E87">SUMPRODUCT((Task_Table_02_26!$C$2:$C$571=$E$1)*(A87&gt;Task_Table_02_26!$J$2:$J$571)*(A87&lt;Task_Table_02_26!$K$2:$K$571))</f>
        <v>2</v>
      </c>
    </row>
    <row r="88" spans="1:5">
      <c r="A88" s="5">
        <v>45956</v>
      </c>
      <c r="B88" cm="1">
        <f t="array" ref="B88">SUMPRODUCT((Task_Table_02_26!$C$2:$C$571=$B$1)*(A88&gt;Task_Table_02_26!$J$2:$J$571)*(A88&lt;Task_Table_02_26!$K$2:$K$571))</f>
        <v>10</v>
      </c>
      <c r="C88" cm="1">
        <f t="array" ref="C88">SUMPRODUCT((Task_Table_02_26!$C$2:$C$571=$C$1)*(A88&gt;Task_Table_02_26!$J$2:$J$571)*(A88&lt;Task_Table_02_26!$K$2:$K$571))</f>
        <v>1</v>
      </c>
      <c r="D88" cm="1">
        <f t="array" ref="D88">SUMPRODUCT((Task_Table_02_26!$C$2:$C$571=$D$1)*(A88&gt;Task_Table_02_26!$J$2:$J$571)*(A88&lt;Task_Table_02_26!$K$2:$K$571))</f>
        <v>0</v>
      </c>
      <c r="E88" cm="1">
        <f t="array" ref="E88">SUMPRODUCT((Task_Table_02_26!$C$2:$C$571=$E$1)*(A88&gt;Task_Table_02_26!$J$2:$J$571)*(A88&lt;Task_Table_02_26!$K$2:$K$571))</f>
        <v>2</v>
      </c>
    </row>
    <row r="89" spans="1:5">
      <c r="A89" s="5">
        <v>45957</v>
      </c>
      <c r="B89" cm="1">
        <f t="array" ref="B89">SUMPRODUCT((Task_Table_02_26!$C$2:$C$571=$B$1)*(A89&gt;Task_Table_02_26!$J$2:$J$571)*(A89&lt;Task_Table_02_26!$K$2:$K$571))</f>
        <v>10</v>
      </c>
      <c r="C89" cm="1">
        <f t="array" ref="C89">SUMPRODUCT((Task_Table_02_26!$C$2:$C$571=$C$1)*(A89&gt;Task_Table_02_26!$J$2:$J$571)*(A89&lt;Task_Table_02_26!$K$2:$K$571))</f>
        <v>1</v>
      </c>
      <c r="D89" cm="1">
        <f t="array" ref="D89">SUMPRODUCT((Task_Table_02_26!$C$2:$C$571=$D$1)*(A89&gt;Task_Table_02_26!$J$2:$J$571)*(A89&lt;Task_Table_02_26!$K$2:$K$571))</f>
        <v>0</v>
      </c>
      <c r="E89" cm="1">
        <f t="array" ref="E89">SUMPRODUCT((Task_Table_02_26!$C$2:$C$571=$E$1)*(A89&gt;Task_Table_02_26!$J$2:$J$571)*(A89&lt;Task_Table_02_26!$K$2:$K$571))</f>
        <v>2</v>
      </c>
    </row>
    <row r="90" spans="1:5">
      <c r="A90" s="5">
        <v>45958</v>
      </c>
      <c r="B90" cm="1">
        <f t="array" ref="B90">SUMPRODUCT((Task_Table_02_26!$C$2:$C$571=$B$1)*(A90&gt;Task_Table_02_26!$J$2:$J$571)*(A90&lt;Task_Table_02_26!$K$2:$K$571))</f>
        <v>10</v>
      </c>
      <c r="C90" cm="1">
        <f t="array" ref="C90">SUMPRODUCT((Task_Table_02_26!$C$2:$C$571=$C$1)*(A90&gt;Task_Table_02_26!$J$2:$J$571)*(A90&lt;Task_Table_02_26!$K$2:$K$571))</f>
        <v>1</v>
      </c>
      <c r="D90" cm="1">
        <f t="array" ref="D90">SUMPRODUCT((Task_Table_02_26!$C$2:$C$571=$D$1)*(A90&gt;Task_Table_02_26!$J$2:$J$571)*(A90&lt;Task_Table_02_26!$K$2:$K$571))</f>
        <v>0</v>
      </c>
      <c r="E90" cm="1">
        <f t="array" ref="E90">SUMPRODUCT((Task_Table_02_26!$C$2:$C$571=$E$1)*(A90&gt;Task_Table_02_26!$J$2:$J$571)*(A90&lt;Task_Table_02_26!$K$2:$K$571))</f>
        <v>2</v>
      </c>
    </row>
    <row r="91" spans="1:5">
      <c r="A91" s="5">
        <v>45959</v>
      </c>
      <c r="B91" cm="1">
        <f t="array" ref="B91">SUMPRODUCT((Task_Table_02_26!$C$2:$C$571=$B$1)*(A91&gt;Task_Table_02_26!$J$2:$J$571)*(A91&lt;Task_Table_02_26!$K$2:$K$571))</f>
        <v>10</v>
      </c>
      <c r="C91" cm="1">
        <f t="array" ref="C91">SUMPRODUCT((Task_Table_02_26!$C$2:$C$571=$C$1)*(A91&gt;Task_Table_02_26!$J$2:$J$571)*(A91&lt;Task_Table_02_26!$K$2:$K$571))</f>
        <v>1</v>
      </c>
      <c r="D91" cm="1">
        <f t="array" ref="D91">SUMPRODUCT((Task_Table_02_26!$C$2:$C$571=$D$1)*(A91&gt;Task_Table_02_26!$J$2:$J$571)*(A91&lt;Task_Table_02_26!$K$2:$K$571))</f>
        <v>0</v>
      </c>
      <c r="E91" cm="1">
        <f t="array" ref="E91">SUMPRODUCT((Task_Table_02_26!$C$2:$C$571=$E$1)*(A91&gt;Task_Table_02_26!$J$2:$J$571)*(A91&lt;Task_Table_02_26!$K$2:$K$571))</f>
        <v>2</v>
      </c>
    </row>
    <row r="92" spans="1:5">
      <c r="A92" s="5">
        <v>45960</v>
      </c>
      <c r="B92" cm="1">
        <f t="array" ref="B92">SUMPRODUCT((Task_Table_02_26!$C$2:$C$571=$B$1)*(A92&gt;Task_Table_02_26!$J$2:$J$571)*(A92&lt;Task_Table_02_26!$K$2:$K$571))</f>
        <v>10</v>
      </c>
      <c r="C92" cm="1">
        <f t="array" ref="C92">SUMPRODUCT((Task_Table_02_26!$C$2:$C$571=$C$1)*(A92&gt;Task_Table_02_26!$J$2:$J$571)*(A92&lt;Task_Table_02_26!$K$2:$K$571))</f>
        <v>1</v>
      </c>
      <c r="D92" cm="1">
        <f t="array" ref="D92">SUMPRODUCT((Task_Table_02_26!$C$2:$C$571=$D$1)*(A92&gt;Task_Table_02_26!$J$2:$J$571)*(A92&lt;Task_Table_02_26!$K$2:$K$571))</f>
        <v>0</v>
      </c>
      <c r="E92" cm="1">
        <f t="array" ref="E92">SUMPRODUCT((Task_Table_02_26!$C$2:$C$571=$E$1)*(A92&gt;Task_Table_02_26!$J$2:$J$571)*(A92&lt;Task_Table_02_26!$K$2:$K$571))</f>
        <v>2</v>
      </c>
    </row>
    <row r="93" spans="1:5">
      <c r="A93" s="5">
        <v>45961</v>
      </c>
      <c r="B93" cm="1">
        <f t="array" ref="B93">SUMPRODUCT((Task_Table_02_26!$C$2:$C$571=$B$1)*(A93&gt;Task_Table_02_26!$J$2:$J$571)*(A93&lt;Task_Table_02_26!$K$2:$K$571))</f>
        <v>9</v>
      </c>
      <c r="C93" cm="1">
        <f t="array" ref="C93">SUMPRODUCT((Task_Table_02_26!$C$2:$C$571=$C$1)*(A93&gt;Task_Table_02_26!$J$2:$J$571)*(A93&lt;Task_Table_02_26!$K$2:$K$571))</f>
        <v>1</v>
      </c>
      <c r="D93" cm="1">
        <f t="array" ref="D93">SUMPRODUCT((Task_Table_02_26!$C$2:$C$571=$D$1)*(A93&gt;Task_Table_02_26!$J$2:$J$571)*(A93&lt;Task_Table_02_26!$K$2:$K$571))</f>
        <v>0</v>
      </c>
      <c r="E93" cm="1">
        <f t="array" ref="E93">SUMPRODUCT((Task_Table_02_26!$C$2:$C$571=$E$1)*(A93&gt;Task_Table_02_26!$J$2:$J$571)*(A93&lt;Task_Table_02_26!$K$2:$K$571))</f>
        <v>2</v>
      </c>
    </row>
    <row r="94" spans="1:5">
      <c r="A94" s="5">
        <v>45962</v>
      </c>
      <c r="B94" cm="1">
        <f t="array" ref="B94">SUMPRODUCT((Task_Table_02_26!$C$2:$C$571=$B$1)*(A94&gt;Task_Table_02_26!$J$2:$J$571)*(A94&lt;Task_Table_02_26!$K$2:$K$571))</f>
        <v>9</v>
      </c>
      <c r="C94" cm="1">
        <f t="array" ref="C94">SUMPRODUCT((Task_Table_02_26!$C$2:$C$571=$C$1)*(A94&gt;Task_Table_02_26!$J$2:$J$571)*(A94&lt;Task_Table_02_26!$K$2:$K$571))</f>
        <v>1</v>
      </c>
      <c r="D94" cm="1">
        <f t="array" ref="D94">SUMPRODUCT((Task_Table_02_26!$C$2:$C$571=$D$1)*(A94&gt;Task_Table_02_26!$J$2:$J$571)*(A94&lt;Task_Table_02_26!$K$2:$K$571))</f>
        <v>0</v>
      </c>
      <c r="E94" cm="1">
        <f t="array" ref="E94">SUMPRODUCT((Task_Table_02_26!$C$2:$C$571=$E$1)*(A94&gt;Task_Table_02_26!$J$2:$J$571)*(A94&lt;Task_Table_02_26!$K$2:$K$571))</f>
        <v>2</v>
      </c>
    </row>
    <row r="95" spans="1:5">
      <c r="A95" s="5">
        <v>45963</v>
      </c>
      <c r="B95" cm="1">
        <f t="array" ref="B95">SUMPRODUCT((Task_Table_02_26!$C$2:$C$571=$B$1)*(A95&gt;Task_Table_02_26!$J$2:$J$571)*(A95&lt;Task_Table_02_26!$K$2:$K$571))</f>
        <v>9</v>
      </c>
      <c r="C95" cm="1">
        <f t="array" ref="C95">SUMPRODUCT((Task_Table_02_26!$C$2:$C$571=$C$1)*(A95&gt;Task_Table_02_26!$J$2:$J$571)*(A95&lt;Task_Table_02_26!$K$2:$K$571))</f>
        <v>1</v>
      </c>
      <c r="D95" cm="1">
        <f t="array" ref="D95">SUMPRODUCT((Task_Table_02_26!$C$2:$C$571=$D$1)*(A95&gt;Task_Table_02_26!$J$2:$J$571)*(A95&lt;Task_Table_02_26!$K$2:$K$571))</f>
        <v>0</v>
      </c>
      <c r="E95" cm="1">
        <f t="array" ref="E95">SUMPRODUCT((Task_Table_02_26!$C$2:$C$571=$E$1)*(A95&gt;Task_Table_02_26!$J$2:$J$571)*(A95&lt;Task_Table_02_26!$K$2:$K$571))</f>
        <v>2</v>
      </c>
    </row>
    <row r="96" spans="1:5">
      <c r="A96" s="5">
        <v>45964</v>
      </c>
      <c r="B96" cm="1">
        <f t="array" ref="B96">SUMPRODUCT((Task_Table_02_26!$C$2:$C$571=$B$1)*(A96&gt;Task_Table_02_26!$J$2:$J$571)*(A96&lt;Task_Table_02_26!$K$2:$K$571))</f>
        <v>9</v>
      </c>
      <c r="C96" cm="1">
        <f t="array" ref="C96">SUMPRODUCT((Task_Table_02_26!$C$2:$C$571=$C$1)*(A96&gt;Task_Table_02_26!$J$2:$J$571)*(A96&lt;Task_Table_02_26!$K$2:$K$571))</f>
        <v>1</v>
      </c>
      <c r="D96" cm="1">
        <f t="array" ref="D96">SUMPRODUCT((Task_Table_02_26!$C$2:$C$571=$D$1)*(A96&gt;Task_Table_02_26!$J$2:$J$571)*(A96&lt;Task_Table_02_26!$K$2:$K$571))</f>
        <v>0</v>
      </c>
      <c r="E96" cm="1">
        <f t="array" ref="E96">SUMPRODUCT((Task_Table_02_26!$C$2:$C$571=$E$1)*(A96&gt;Task_Table_02_26!$J$2:$J$571)*(A96&lt;Task_Table_02_26!$K$2:$K$571))</f>
        <v>2</v>
      </c>
    </row>
    <row r="97" spans="1:5">
      <c r="A97" s="5">
        <v>45965</v>
      </c>
      <c r="B97" cm="1">
        <f t="array" ref="B97">SUMPRODUCT((Task_Table_02_26!$C$2:$C$571=$B$1)*(A97&gt;Task_Table_02_26!$J$2:$J$571)*(A97&lt;Task_Table_02_26!$K$2:$K$571))</f>
        <v>9</v>
      </c>
      <c r="C97" cm="1">
        <f t="array" ref="C97">SUMPRODUCT((Task_Table_02_26!$C$2:$C$571=$C$1)*(A97&gt;Task_Table_02_26!$J$2:$J$571)*(A97&lt;Task_Table_02_26!$K$2:$K$571))</f>
        <v>1</v>
      </c>
      <c r="D97" cm="1">
        <f t="array" ref="D97">SUMPRODUCT((Task_Table_02_26!$C$2:$C$571=$D$1)*(A97&gt;Task_Table_02_26!$J$2:$J$571)*(A97&lt;Task_Table_02_26!$K$2:$K$571))</f>
        <v>0</v>
      </c>
      <c r="E97" cm="1">
        <f t="array" ref="E97">SUMPRODUCT((Task_Table_02_26!$C$2:$C$571=$E$1)*(A97&gt;Task_Table_02_26!$J$2:$J$571)*(A97&lt;Task_Table_02_26!$K$2:$K$571))</f>
        <v>3</v>
      </c>
    </row>
    <row r="98" spans="1:5">
      <c r="A98" s="5">
        <v>45966</v>
      </c>
      <c r="B98" cm="1">
        <f t="array" ref="B98">SUMPRODUCT((Task_Table_02_26!$C$2:$C$571=$B$1)*(A98&gt;Task_Table_02_26!$J$2:$J$571)*(A98&lt;Task_Table_02_26!$K$2:$K$571))</f>
        <v>9</v>
      </c>
      <c r="C98" cm="1">
        <f t="array" ref="C98">SUMPRODUCT((Task_Table_02_26!$C$2:$C$571=$C$1)*(A98&gt;Task_Table_02_26!$J$2:$J$571)*(A98&lt;Task_Table_02_26!$K$2:$K$571))</f>
        <v>1</v>
      </c>
      <c r="D98" cm="1">
        <f t="array" ref="D98">SUMPRODUCT((Task_Table_02_26!$C$2:$C$571=$D$1)*(A98&gt;Task_Table_02_26!$J$2:$J$571)*(A98&lt;Task_Table_02_26!$K$2:$K$571))</f>
        <v>0</v>
      </c>
      <c r="E98" cm="1">
        <f t="array" ref="E98">SUMPRODUCT((Task_Table_02_26!$C$2:$C$571=$E$1)*(A98&gt;Task_Table_02_26!$J$2:$J$571)*(A98&lt;Task_Table_02_26!$K$2:$K$571))</f>
        <v>3</v>
      </c>
    </row>
    <row r="99" spans="1:5">
      <c r="A99" s="5">
        <v>45967</v>
      </c>
      <c r="B99" cm="1">
        <f t="array" ref="B99">SUMPRODUCT((Task_Table_02_26!$C$2:$C$571=$B$1)*(A99&gt;Task_Table_02_26!$J$2:$J$571)*(A99&lt;Task_Table_02_26!$K$2:$K$571))</f>
        <v>9</v>
      </c>
      <c r="C99" cm="1">
        <f t="array" ref="C99">SUMPRODUCT((Task_Table_02_26!$C$2:$C$571=$C$1)*(A99&gt;Task_Table_02_26!$J$2:$J$571)*(A99&lt;Task_Table_02_26!$K$2:$K$571))</f>
        <v>1</v>
      </c>
      <c r="D99" cm="1">
        <f t="array" ref="D99">SUMPRODUCT((Task_Table_02_26!$C$2:$C$571=$D$1)*(A99&gt;Task_Table_02_26!$J$2:$J$571)*(A99&lt;Task_Table_02_26!$K$2:$K$571))</f>
        <v>0</v>
      </c>
      <c r="E99" cm="1">
        <f t="array" ref="E99">SUMPRODUCT((Task_Table_02_26!$C$2:$C$571=$E$1)*(A99&gt;Task_Table_02_26!$J$2:$J$571)*(A99&lt;Task_Table_02_26!$K$2:$K$571))</f>
        <v>3</v>
      </c>
    </row>
    <row r="100" spans="1:5">
      <c r="A100" s="5">
        <v>45968</v>
      </c>
      <c r="B100" cm="1">
        <f t="array" ref="B100">SUMPRODUCT((Task_Table_02_26!$C$2:$C$571=$B$1)*(A100&gt;Task_Table_02_26!$J$2:$J$571)*(A100&lt;Task_Table_02_26!$K$2:$K$571))</f>
        <v>9</v>
      </c>
      <c r="C100" cm="1">
        <f t="array" ref="C100">SUMPRODUCT((Task_Table_02_26!$C$2:$C$571=$C$1)*(A100&gt;Task_Table_02_26!$J$2:$J$571)*(A100&lt;Task_Table_02_26!$K$2:$K$571))</f>
        <v>1</v>
      </c>
      <c r="D100" cm="1">
        <f t="array" ref="D100">SUMPRODUCT((Task_Table_02_26!$C$2:$C$571=$D$1)*(A100&gt;Task_Table_02_26!$J$2:$J$571)*(A100&lt;Task_Table_02_26!$K$2:$K$571))</f>
        <v>0</v>
      </c>
      <c r="E100" cm="1">
        <f t="array" ref="E100">SUMPRODUCT((Task_Table_02_26!$C$2:$C$571=$E$1)*(A100&gt;Task_Table_02_26!$J$2:$J$571)*(A100&lt;Task_Table_02_26!$K$2:$K$571))</f>
        <v>3</v>
      </c>
    </row>
    <row r="101" spans="1:5">
      <c r="A101" s="5">
        <v>45969</v>
      </c>
      <c r="B101" cm="1">
        <f t="array" ref="B101">SUMPRODUCT((Task_Table_02_26!$C$2:$C$571=$B$1)*(A101&gt;Task_Table_02_26!$J$2:$J$571)*(A101&lt;Task_Table_02_26!$K$2:$K$571))</f>
        <v>9</v>
      </c>
      <c r="C101" cm="1">
        <f t="array" ref="C101">SUMPRODUCT((Task_Table_02_26!$C$2:$C$571=$C$1)*(A101&gt;Task_Table_02_26!$J$2:$J$571)*(A101&lt;Task_Table_02_26!$K$2:$K$571))</f>
        <v>1</v>
      </c>
      <c r="D101" cm="1">
        <f t="array" ref="D101">SUMPRODUCT((Task_Table_02_26!$C$2:$C$571=$D$1)*(A101&gt;Task_Table_02_26!$J$2:$J$571)*(A101&lt;Task_Table_02_26!$K$2:$K$571))</f>
        <v>0</v>
      </c>
      <c r="E101" cm="1">
        <f t="array" ref="E101">SUMPRODUCT((Task_Table_02_26!$C$2:$C$571=$E$1)*(A101&gt;Task_Table_02_26!$J$2:$J$571)*(A101&lt;Task_Table_02_26!$K$2:$K$571))</f>
        <v>3</v>
      </c>
    </row>
    <row r="102" spans="1:5">
      <c r="A102" s="5">
        <v>45970</v>
      </c>
      <c r="B102" cm="1">
        <f t="array" ref="B102">SUMPRODUCT((Task_Table_02_26!$C$2:$C$571=$B$1)*(A102&gt;Task_Table_02_26!$J$2:$J$571)*(A102&lt;Task_Table_02_26!$K$2:$K$571))</f>
        <v>9</v>
      </c>
      <c r="C102" cm="1">
        <f t="array" ref="C102">SUMPRODUCT((Task_Table_02_26!$C$2:$C$571=$C$1)*(A102&gt;Task_Table_02_26!$J$2:$J$571)*(A102&lt;Task_Table_02_26!$K$2:$K$571))</f>
        <v>1</v>
      </c>
      <c r="D102" cm="1">
        <f t="array" ref="D102">SUMPRODUCT((Task_Table_02_26!$C$2:$C$571=$D$1)*(A102&gt;Task_Table_02_26!$J$2:$J$571)*(A102&lt;Task_Table_02_26!$K$2:$K$571))</f>
        <v>0</v>
      </c>
      <c r="E102" cm="1">
        <f t="array" ref="E102">SUMPRODUCT((Task_Table_02_26!$C$2:$C$571=$E$1)*(A102&gt;Task_Table_02_26!$J$2:$J$571)*(A102&lt;Task_Table_02_26!$K$2:$K$571))</f>
        <v>3</v>
      </c>
    </row>
    <row r="103" spans="1:5">
      <c r="A103" s="5">
        <v>45971</v>
      </c>
      <c r="B103" cm="1">
        <f t="array" ref="B103">SUMPRODUCT((Task_Table_02_26!$C$2:$C$571=$B$1)*(A103&gt;Task_Table_02_26!$J$2:$J$571)*(A103&lt;Task_Table_02_26!$K$2:$K$571))</f>
        <v>9</v>
      </c>
      <c r="C103" cm="1">
        <f t="array" ref="C103">SUMPRODUCT((Task_Table_02_26!$C$2:$C$571=$C$1)*(A103&gt;Task_Table_02_26!$J$2:$J$571)*(A103&lt;Task_Table_02_26!$K$2:$K$571))</f>
        <v>1</v>
      </c>
      <c r="D103" cm="1">
        <f t="array" ref="D103">SUMPRODUCT((Task_Table_02_26!$C$2:$C$571=$D$1)*(A103&gt;Task_Table_02_26!$J$2:$J$571)*(A103&lt;Task_Table_02_26!$K$2:$K$571))</f>
        <v>0</v>
      </c>
      <c r="E103" cm="1">
        <f t="array" ref="E103">SUMPRODUCT((Task_Table_02_26!$C$2:$C$571=$E$1)*(A103&gt;Task_Table_02_26!$J$2:$J$571)*(A103&lt;Task_Table_02_26!$K$2:$K$571))</f>
        <v>3</v>
      </c>
    </row>
    <row r="104" spans="1:5">
      <c r="A104" s="5">
        <v>45972</v>
      </c>
      <c r="B104" cm="1">
        <f t="array" ref="B104">SUMPRODUCT((Task_Table_02_26!$C$2:$C$571=$B$1)*(A104&gt;Task_Table_02_26!$J$2:$J$571)*(A104&lt;Task_Table_02_26!$K$2:$K$571))</f>
        <v>10</v>
      </c>
      <c r="C104" cm="1">
        <f t="array" ref="C104">SUMPRODUCT((Task_Table_02_26!$C$2:$C$571=$C$1)*(A104&gt;Task_Table_02_26!$J$2:$J$571)*(A104&lt;Task_Table_02_26!$K$2:$K$571))</f>
        <v>1</v>
      </c>
      <c r="D104" cm="1">
        <f t="array" ref="D104">SUMPRODUCT((Task_Table_02_26!$C$2:$C$571=$D$1)*(A104&gt;Task_Table_02_26!$J$2:$J$571)*(A104&lt;Task_Table_02_26!$K$2:$K$571))</f>
        <v>0</v>
      </c>
      <c r="E104" cm="1">
        <f t="array" ref="E104">SUMPRODUCT((Task_Table_02_26!$C$2:$C$571=$E$1)*(A104&gt;Task_Table_02_26!$J$2:$J$571)*(A104&lt;Task_Table_02_26!$K$2:$K$571))</f>
        <v>3</v>
      </c>
    </row>
    <row r="105" spans="1:5">
      <c r="A105" s="5">
        <v>45973</v>
      </c>
      <c r="B105" cm="1">
        <f t="array" ref="B105">SUMPRODUCT((Task_Table_02_26!$C$2:$C$571=$B$1)*(A105&gt;Task_Table_02_26!$J$2:$J$571)*(A105&lt;Task_Table_02_26!$K$2:$K$571))</f>
        <v>18</v>
      </c>
      <c r="C105" cm="1">
        <f t="array" ref="C105">SUMPRODUCT((Task_Table_02_26!$C$2:$C$571=$C$1)*(A105&gt;Task_Table_02_26!$J$2:$J$571)*(A105&lt;Task_Table_02_26!$K$2:$K$571))</f>
        <v>1</v>
      </c>
      <c r="D105" cm="1">
        <f t="array" ref="D105">SUMPRODUCT((Task_Table_02_26!$C$2:$C$571=$D$1)*(A105&gt;Task_Table_02_26!$J$2:$J$571)*(A105&lt;Task_Table_02_26!$K$2:$K$571))</f>
        <v>0</v>
      </c>
      <c r="E105" cm="1">
        <f t="array" ref="E105">SUMPRODUCT((Task_Table_02_26!$C$2:$C$571=$E$1)*(A105&gt;Task_Table_02_26!$J$2:$J$571)*(A105&lt;Task_Table_02_26!$K$2:$K$571))</f>
        <v>3</v>
      </c>
    </row>
    <row r="106" spans="1:5">
      <c r="A106" s="5">
        <v>45974</v>
      </c>
      <c r="B106" cm="1">
        <f t="array" ref="B106">SUMPRODUCT((Task_Table_02_26!$C$2:$C$571=$B$1)*(A106&gt;Task_Table_02_26!$J$2:$J$571)*(A106&lt;Task_Table_02_26!$K$2:$K$571))</f>
        <v>18</v>
      </c>
      <c r="C106" cm="1">
        <f t="array" ref="C106">SUMPRODUCT((Task_Table_02_26!$C$2:$C$571=$C$1)*(A106&gt;Task_Table_02_26!$J$2:$J$571)*(A106&lt;Task_Table_02_26!$K$2:$K$571))</f>
        <v>1</v>
      </c>
      <c r="D106" cm="1">
        <f t="array" ref="D106">SUMPRODUCT((Task_Table_02_26!$C$2:$C$571=$D$1)*(A106&gt;Task_Table_02_26!$J$2:$J$571)*(A106&lt;Task_Table_02_26!$K$2:$K$571))</f>
        <v>0</v>
      </c>
      <c r="E106" cm="1">
        <f t="array" ref="E106">SUMPRODUCT((Task_Table_02_26!$C$2:$C$571=$E$1)*(A106&gt;Task_Table_02_26!$J$2:$J$571)*(A106&lt;Task_Table_02_26!$K$2:$K$571))</f>
        <v>3</v>
      </c>
    </row>
    <row r="107" spans="1:5">
      <c r="A107" s="5">
        <v>45975</v>
      </c>
      <c r="B107" cm="1">
        <f t="array" ref="B107">SUMPRODUCT((Task_Table_02_26!$C$2:$C$571=$B$1)*(A107&gt;Task_Table_02_26!$J$2:$J$571)*(A107&lt;Task_Table_02_26!$K$2:$K$571))</f>
        <v>18</v>
      </c>
      <c r="C107" cm="1">
        <f t="array" ref="C107">SUMPRODUCT((Task_Table_02_26!$C$2:$C$571=$C$1)*(A107&gt;Task_Table_02_26!$J$2:$J$571)*(A107&lt;Task_Table_02_26!$K$2:$K$571))</f>
        <v>1</v>
      </c>
      <c r="D107" cm="1">
        <f t="array" ref="D107">SUMPRODUCT((Task_Table_02_26!$C$2:$C$571=$D$1)*(A107&gt;Task_Table_02_26!$J$2:$J$571)*(A107&lt;Task_Table_02_26!$K$2:$K$571))</f>
        <v>0</v>
      </c>
      <c r="E107" cm="1">
        <f t="array" ref="E107">SUMPRODUCT((Task_Table_02_26!$C$2:$C$571=$E$1)*(A107&gt;Task_Table_02_26!$J$2:$J$571)*(A107&lt;Task_Table_02_26!$K$2:$K$571))</f>
        <v>3</v>
      </c>
    </row>
    <row r="108" spans="1:5">
      <c r="A108" s="5">
        <v>45976</v>
      </c>
      <c r="B108" cm="1">
        <f t="array" ref="B108">SUMPRODUCT((Task_Table_02_26!$C$2:$C$571=$B$1)*(A108&gt;Task_Table_02_26!$J$2:$J$571)*(A108&lt;Task_Table_02_26!$K$2:$K$571))</f>
        <v>18</v>
      </c>
      <c r="C108" cm="1">
        <f t="array" ref="C108">SUMPRODUCT((Task_Table_02_26!$C$2:$C$571=$C$1)*(A108&gt;Task_Table_02_26!$J$2:$J$571)*(A108&lt;Task_Table_02_26!$K$2:$K$571))</f>
        <v>1</v>
      </c>
      <c r="D108" cm="1">
        <f t="array" ref="D108">SUMPRODUCT((Task_Table_02_26!$C$2:$C$571=$D$1)*(A108&gt;Task_Table_02_26!$J$2:$J$571)*(A108&lt;Task_Table_02_26!$K$2:$K$571))</f>
        <v>0</v>
      </c>
      <c r="E108" cm="1">
        <f t="array" ref="E108">SUMPRODUCT((Task_Table_02_26!$C$2:$C$571=$E$1)*(A108&gt;Task_Table_02_26!$J$2:$J$571)*(A108&lt;Task_Table_02_26!$K$2:$K$571))</f>
        <v>3</v>
      </c>
    </row>
    <row r="109" spans="1:5">
      <c r="A109" s="5">
        <v>45977</v>
      </c>
      <c r="B109" cm="1">
        <f t="array" ref="B109">SUMPRODUCT((Task_Table_02_26!$C$2:$C$571=$B$1)*(A109&gt;Task_Table_02_26!$J$2:$J$571)*(A109&lt;Task_Table_02_26!$K$2:$K$571))</f>
        <v>18</v>
      </c>
      <c r="C109" cm="1">
        <f t="array" ref="C109">SUMPRODUCT((Task_Table_02_26!$C$2:$C$571=$C$1)*(A109&gt;Task_Table_02_26!$J$2:$J$571)*(A109&lt;Task_Table_02_26!$K$2:$K$571))</f>
        <v>1</v>
      </c>
      <c r="D109" cm="1">
        <f t="array" ref="D109">SUMPRODUCT((Task_Table_02_26!$C$2:$C$571=$D$1)*(A109&gt;Task_Table_02_26!$J$2:$J$571)*(A109&lt;Task_Table_02_26!$K$2:$K$571))</f>
        <v>0</v>
      </c>
      <c r="E109" cm="1">
        <f t="array" ref="E109">SUMPRODUCT((Task_Table_02_26!$C$2:$C$571=$E$1)*(A109&gt;Task_Table_02_26!$J$2:$J$571)*(A109&lt;Task_Table_02_26!$K$2:$K$571))</f>
        <v>3</v>
      </c>
    </row>
    <row r="110" spans="1:5">
      <c r="A110" s="5">
        <v>45978</v>
      </c>
      <c r="B110" cm="1">
        <f t="array" ref="B110">SUMPRODUCT((Task_Table_02_26!$C$2:$C$571=$B$1)*(A110&gt;Task_Table_02_26!$J$2:$J$571)*(A110&lt;Task_Table_02_26!$K$2:$K$571))</f>
        <v>18</v>
      </c>
      <c r="C110" cm="1">
        <f t="array" ref="C110">SUMPRODUCT((Task_Table_02_26!$C$2:$C$571=$C$1)*(A110&gt;Task_Table_02_26!$J$2:$J$571)*(A110&lt;Task_Table_02_26!$K$2:$K$571))</f>
        <v>1</v>
      </c>
      <c r="D110" cm="1">
        <f t="array" ref="D110">SUMPRODUCT((Task_Table_02_26!$C$2:$C$571=$D$1)*(A110&gt;Task_Table_02_26!$J$2:$J$571)*(A110&lt;Task_Table_02_26!$K$2:$K$571))</f>
        <v>0</v>
      </c>
      <c r="E110" cm="1">
        <f t="array" ref="E110">SUMPRODUCT((Task_Table_02_26!$C$2:$C$571=$E$1)*(A110&gt;Task_Table_02_26!$J$2:$J$571)*(A110&lt;Task_Table_02_26!$K$2:$K$571))</f>
        <v>3</v>
      </c>
    </row>
    <row r="111" spans="1:5">
      <c r="A111" s="5">
        <v>45979</v>
      </c>
      <c r="B111" cm="1">
        <f t="array" ref="B111">SUMPRODUCT((Task_Table_02_26!$C$2:$C$571=$B$1)*(A111&gt;Task_Table_02_26!$J$2:$J$571)*(A111&lt;Task_Table_02_26!$K$2:$K$571))</f>
        <v>18</v>
      </c>
      <c r="C111" cm="1">
        <f t="array" ref="C111">SUMPRODUCT((Task_Table_02_26!$C$2:$C$571=$C$1)*(A111&gt;Task_Table_02_26!$J$2:$J$571)*(A111&lt;Task_Table_02_26!$K$2:$K$571))</f>
        <v>1</v>
      </c>
      <c r="D111" cm="1">
        <f t="array" ref="D111">SUMPRODUCT((Task_Table_02_26!$C$2:$C$571=$D$1)*(A111&gt;Task_Table_02_26!$J$2:$J$571)*(A111&lt;Task_Table_02_26!$K$2:$K$571))</f>
        <v>0</v>
      </c>
      <c r="E111" cm="1">
        <f t="array" ref="E111">SUMPRODUCT((Task_Table_02_26!$C$2:$C$571=$E$1)*(A111&gt;Task_Table_02_26!$J$2:$J$571)*(A111&lt;Task_Table_02_26!$K$2:$K$571))</f>
        <v>3</v>
      </c>
    </row>
    <row r="112" spans="1:5">
      <c r="A112" s="5">
        <v>45980</v>
      </c>
      <c r="B112" cm="1">
        <f t="array" ref="B112">SUMPRODUCT((Task_Table_02_26!$C$2:$C$571=$B$1)*(A112&gt;Task_Table_02_26!$J$2:$J$571)*(A112&lt;Task_Table_02_26!$K$2:$K$571))</f>
        <v>18</v>
      </c>
      <c r="C112" cm="1">
        <f t="array" ref="C112">SUMPRODUCT((Task_Table_02_26!$C$2:$C$571=$C$1)*(A112&gt;Task_Table_02_26!$J$2:$J$571)*(A112&lt;Task_Table_02_26!$K$2:$K$571))</f>
        <v>1</v>
      </c>
      <c r="D112" cm="1">
        <f t="array" ref="D112">SUMPRODUCT((Task_Table_02_26!$C$2:$C$571=$D$1)*(A112&gt;Task_Table_02_26!$J$2:$J$571)*(A112&lt;Task_Table_02_26!$K$2:$K$571))</f>
        <v>0</v>
      </c>
      <c r="E112" cm="1">
        <f t="array" ref="E112">SUMPRODUCT((Task_Table_02_26!$C$2:$C$571=$E$1)*(A112&gt;Task_Table_02_26!$J$2:$J$571)*(A112&lt;Task_Table_02_26!$K$2:$K$571))</f>
        <v>3</v>
      </c>
    </row>
    <row r="113" spans="1:5">
      <c r="A113" s="5">
        <v>45981</v>
      </c>
      <c r="B113" cm="1">
        <f t="array" ref="B113">SUMPRODUCT((Task_Table_02_26!$C$2:$C$571=$B$1)*(A113&gt;Task_Table_02_26!$J$2:$J$571)*(A113&lt;Task_Table_02_26!$K$2:$K$571))</f>
        <v>18</v>
      </c>
      <c r="C113" cm="1">
        <f t="array" ref="C113">SUMPRODUCT((Task_Table_02_26!$C$2:$C$571=$C$1)*(A113&gt;Task_Table_02_26!$J$2:$J$571)*(A113&lt;Task_Table_02_26!$K$2:$K$571))</f>
        <v>1</v>
      </c>
      <c r="D113" cm="1">
        <f t="array" ref="D113">SUMPRODUCT((Task_Table_02_26!$C$2:$C$571=$D$1)*(A113&gt;Task_Table_02_26!$J$2:$J$571)*(A113&lt;Task_Table_02_26!$K$2:$K$571))</f>
        <v>0</v>
      </c>
      <c r="E113" cm="1">
        <f t="array" ref="E113">SUMPRODUCT((Task_Table_02_26!$C$2:$C$571=$E$1)*(A113&gt;Task_Table_02_26!$J$2:$J$571)*(A113&lt;Task_Table_02_26!$K$2:$K$571))</f>
        <v>3</v>
      </c>
    </row>
    <row r="114" spans="1:5">
      <c r="A114" s="5">
        <v>45982</v>
      </c>
      <c r="B114" cm="1">
        <f t="array" ref="B114">SUMPRODUCT((Task_Table_02_26!$C$2:$C$571=$B$1)*(A114&gt;Task_Table_02_26!$J$2:$J$571)*(A114&lt;Task_Table_02_26!$K$2:$K$571))</f>
        <v>18</v>
      </c>
      <c r="C114" cm="1">
        <f t="array" ref="C114">SUMPRODUCT((Task_Table_02_26!$C$2:$C$571=$C$1)*(A114&gt;Task_Table_02_26!$J$2:$J$571)*(A114&lt;Task_Table_02_26!$K$2:$K$571))</f>
        <v>1</v>
      </c>
      <c r="D114" cm="1">
        <f t="array" ref="D114">SUMPRODUCT((Task_Table_02_26!$C$2:$C$571=$D$1)*(A114&gt;Task_Table_02_26!$J$2:$J$571)*(A114&lt;Task_Table_02_26!$K$2:$K$571))</f>
        <v>0</v>
      </c>
      <c r="E114" cm="1">
        <f t="array" ref="E114">SUMPRODUCT((Task_Table_02_26!$C$2:$C$571=$E$1)*(A114&gt;Task_Table_02_26!$J$2:$J$571)*(A114&lt;Task_Table_02_26!$K$2:$K$571))</f>
        <v>3</v>
      </c>
    </row>
    <row r="115" spans="1:5">
      <c r="A115" s="5">
        <v>45983</v>
      </c>
      <c r="B115" cm="1">
        <f t="array" ref="B115">SUMPRODUCT((Task_Table_02_26!$C$2:$C$571=$B$1)*(A115&gt;Task_Table_02_26!$J$2:$J$571)*(A115&lt;Task_Table_02_26!$K$2:$K$571))</f>
        <v>18</v>
      </c>
      <c r="C115" cm="1">
        <f t="array" ref="C115">SUMPRODUCT((Task_Table_02_26!$C$2:$C$571=$C$1)*(A115&gt;Task_Table_02_26!$J$2:$J$571)*(A115&lt;Task_Table_02_26!$K$2:$K$571))</f>
        <v>1</v>
      </c>
      <c r="D115" cm="1">
        <f t="array" ref="D115">SUMPRODUCT((Task_Table_02_26!$C$2:$C$571=$D$1)*(A115&gt;Task_Table_02_26!$J$2:$J$571)*(A115&lt;Task_Table_02_26!$K$2:$K$571))</f>
        <v>0</v>
      </c>
      <c r="E115" cm="1">
        <f t="array" ref="E115">SUMPRODUCT((Task_Table_02_26!$C$2:$C$571=$E$1)*(A115&gt;Task_Table_02_26!$J$2:$J$571)*(A115&lt;Task_Table_02_26!$K$2:$K$571))</f>
        <v>3</v>
      </c>
    </row>
    <row r="116" spans="1:5">
      <c r="A116" s="5">
        <v>45984</v>
      </c>
      <c r="B116" cm="1">
        <f t="array" ref="B116">SUMPRODUCT((Task_Table_02_26!$C$2:$C$571=$B$1)*(A116&gt;Task_Table_02_26!$J$2:$J$571)*(A116&lt;Task_Table_02_26!$K$2:$K$571))</f>
        <v>18</v>
      </c>
      <c r="C116" cm="1">
        <f t="array" ref="C116">SUMPRODUCT((Task_Table_02_26!$C$2:$C$571=$C$1)*(A116&gt;Task_Table_02_26!$J$2:$J$571)*(A116&lt;Task_Table_02_26!$K$2:$K$571))</f>
        <v>1</v>
      </c>
      <c r="D116" cm="1">
        <f t="array" ref="D116">SUMPRODUCT((Task_Table_02_26!$C$2:$C$571=$D$1)*(A116&gt;Task_Table_02_26!$J$2:$J$571)*(A116&lt;Task_Table_02_26!$K$2:$K$571))</f>
        <v>0</v>
      </c>
      <c r="E116" cm="1">
        <f t="array" ref="E116">SUMPRODUCT((Task_Table_02_26!$C$2:$C$571=$E$1)*(A116&gt;Task_Table_02_26!$J$2:$J$571)*(A116&lt;Task_Table_02_26!$K$2:$K$571))</f>
        <v>3</v>
      </c>
    </row>
    <row r="117" spans="1:5">
      <c r="A117" s="5">
        <v>45985</v>
      </c>
      <c r="B117" cm="1">
        <f t="array" ref="B117">SUMPRODUCT((Task_Table_02_26!$C$2:$C$571=$B$1)*(A117&gt;Task_Table_02_26!$J$2:$J$571)*(A117&lt;Task_Table_02_26!$K$2:$K$571))</f>
        <v>18</v>
      </c>
      <c r="C117" cm="1">
        <f t="array" ref="C117">SUMPRODUCT((Task_Table_02_26!$C$2:$C$571=$C$1)*(A117&gt;Task_Table_02_26!$J$2:$J$571)*(A117&lt;Task_Table_02_26!$K$2:$K$571))</f>
        <v>1</v>
      </c>
      <c r="D117" cm="1">
        <f t="array" ref="D117">SUMPRODUCT((Task_Table_02_26!$C$2:$C$571=$D$1)*(A117&gt;Task_Table_02_26!$J$2:$J$571)*(A117&lt;Task_Table_02_26!$K$2:$K$571))</f>
        <v>0</v>
      </c>
      <c r="E117" cm="1">
        <f t="array" ref="E117">SUMPRODUCT((Task_Table_02_26!$C$2:$C$571=$E$1)*(A117&gt;Task_Table_02_26!$J$2:$J$571)*(A117&lt;Task_Table_02_26!$K$2:$K$571))</f>
        <v>3</v>
      </c>
    </row>
    <row r="118" spans="1:5">
      <c r="A118" s="5">
        <v>45986</v>
      </c>
      <c r="B118" cm="1">
        <f t="array" ref="B118">SUMPRODUCT((Task_Table_02_26!$C$2:$C$571=$B$1)*(A118&gt;Task_Table_02_26!$J$2:$J$571)*(A118&lt;Task_Table_02_26!$K$2:$K$571))</f>
        <v>18</v>
      </c>
      <c r="C118" cm="1">
        <f t="array" ref="C118">SUMPRODUCT((Task_Table_02_26!$C$2:$C$571=$C$1)*(A118&gt;Task_Table_02_26!$J$2:$J$571)*(A118&lt;Task_Table_02_26!$K$2:$K$571))</f>
        <v>1</v>
      </c>
      <c r="D118" cm="1">
        <f t="array" ref="D118">SUMPRODUCT((Task_Table_02_26!$C$2:$C$571=$D$1)*(A118&gt;Task_Table_02_26!$J$2:$J$571)*(A118&lt;Task_Table_02_26!$K$2:$K$571))</f>
        <v>0</v>
      </c>
      <c r="E118" cm="1">
        <f t="array" ref="E118">SUMPRODUCT((Task_Table_02_26!$C$2:$C$571=$E$1)*(A118&gt;Task_Table_02_26!$J$2:$J$571)*(A118&lt;Task_Table_02_26!$K$2:$K$571))</f>
        <v>3</v>
      </c>
    </row>
    <row r="119" spans="1:5">
      <c r="A119" s="5">
        <v>45987</v>
      </c>
      <c r="B119" cm="1">
        <f t="array" ref="B119">SUMPRODUCT((Task_Table_02_26!$C$2:$C$571=$B$1)*(A119&gt;Task_Table_02_26!$J$2:$J$571)*(A119&lt;Task_Table_02_26!$K$2:$K$571))</f>
        <v>18</v>
      </c>
      <c r="C119" cm="1">
        <f t="array" ref="C119">SUMPRODUCT((Task_Table_02_26!$C$2:$C$571=$C$1)*(A119&gt;Task_Table_02_26!$J$2:$J$571)*(A119&lt;Task_Table_02_26!$K$2:$K$571))</f>
        <v>1</v>
      </c>
      <c r="D119" cm="1">
        <f t="array" ref="D119">SUMPRODUCT((Task_Table_02_26!$C$2:$C$571=$D$1)*(A119&gt;Task_Table_02_26!$J$2:$J$571)*(A119&lt;Task_Table_02_26!$K$2:$K$571))</f>
        <v>0</v>
      </c>
      <c r="E119" cm="1">
        <f t="array" ref="E119">SUMPRODUCT((Task_Table_02_26!$C$2:$C$571=$E$1)*(A119&gt;Task_Table_02_26!$J$2:$J$571)*(A119&lt;Task_Table_02_26!$K$2:$K$571))</f>
        <v>3</v>
      </c>
    </row>
    <row r="120" spans="1:5">
      <c r="A120" s="5">
        <v>45988</v>
      </c>
      <c r="B120" cm="1">
        <f t="array" ref="B120">SUMPRODUCT((Task_Table_02_26!$C$2:$C$571=$B$1)*(A120&gt;Task_Table_02_26!$J$2:$J$571)*(A120&lt;Task_Table_02_26!$K$2:$K$571))</f>
        <v>18</v>
      </c>
      <c r="C120" cm="1">
        <f t="array" ref="C120">SUMPRODUCT((Task_Table_02_26!$C$2:$C$571=$C$1)*(A120&gt;Task_Table_02_26!$J$2:$J$571)*(A120&lt;Task_Table_02_26!$K$2:$K$571))</f>
        <v>1</v>
      </c>
      <c r="D120" cm="1">
        <f t="array" ref="D120">SUMPRODUCT((Task_Table_02_26!$C$2:$C$571=$D$1)*(A120&gt;Task_Table_02_26!$J$2:$J$571)*(A120&lt;Task_Table_02_26!$K$2:$K$571))</f>
        <v>0</v>
      </c>
      <c r="E120" cm="1">
        <f t="array" ref="E120">SUMPRODUCT((Task_Table_02_26!$C$2:$C$571=$E$1)*(A120&gt;Task_Table_02_26!$J$2:$J$571)*(A120&lt;Task_Table_02_26!$K$2:$K$571))</f>
        <v>3</v>
      </c>
    </row>
    <row r="121" spans="1:5">
      <c r="A121" s="5">
        <v>45989</v>
      </c>
      <c r="B121" cm="1">
        <f t="array" ref="B121">SUMPRODUCT((Task_Table_02_26!$C$2:$C$571=$B$1)*(A121&gt;Task_Table_02_26!$J$2:$J$571)*(A121&lt;Task_Table_02_26!$K$2:$K$571))</f>
        <v>18</v>
      </c>
      <c r="C121" cm="1">
        <f t="array" ref="C121">SUMPRODUCT((Task_Table_02_26!$C$2:$C$571=$C$1)*(A121&gt;Task_Table_02_26!$J$2:$J$571)*(A121&lt;Task_Table_02_26!$K$2:$K$571))</f>
        <v>1</v>
      </c>
      <c r="D121" cm="1">
        <f t="array" ref="D121">SUMPRODUCT((Task_Table_02_26!$C$2:$C$571=$D$1)*(A121&gt;Task_Table_02_26!$J$2:$J$571)*(A121&lt;Task_Table_02_26!$K$2:$K$571))</f>
        <v>0</v>
      </c>
      <c r="E121" cm="1">
        <f t="array" ref="E121">SUMPRODUCT((Task_Table_02_26!$C$2:$C$571=$E$1)*(A121&gt;Task_Table_02_26!$J$2:$J$571)*(A121&lt;Task_Table_02_26!$K$2:$K$571))</f>
        <v>3</v>
      </c>
    </row>
    <row r="122" spans="1:5">
      <c r="A122" s="5">
        <v>45990</v>
      </c>
      <c r="B122" cm="1">
        <f t="array" ref="B122">SUMPRODUCT((Task_Table_02_26!$C$2:$C$571=$B$1)*(A122&gt;Task_Table_02_26!$J$2:$J$571)*(A122&lt;Task_Table_02_26!$K$2:$K$571))</f>
        <v>18</v>
      </c>
      <c r="C122" cm="1">
        <f t="array" ref="C122">SUMPRODUCT((Task_Table_02_26!$C$2:$C$571=$C$1)*(A122&gt;Task_Table_02_26!$J$2:$J$571)*(A122&lt;Task_Table_02_26!$K$2:$K$571))</f>
        <v>1</v>
      </c>
      <c r="D122" cm="1">
        <f t="array" ref="D122">SUMPRODUCT((Task_Table_02_26!$C$2:$C$571=$D$1)*(A122&gt;Task_Table_02_26!$J$2:$J$571)*(A122&lt;Task_Table_02_26!$K$2:$K$571))</f>
        <v>0</v>
      </c>
      <c r="E122" cm="1">
        <f t="array" ref="E122">SUMPRODUCT((Task_Table_02_26!$C$2:$C$571=$E$1)*(A122&gt;Task_Table_02_26!$J$2:$J$571)*(A122&lt;Task_Table_02_26!$K$2:$K$571))</f>
        <v>3</v>
      </c>
    </row>
    <row r="123" spans="1:5">
      <c r="A123" s="5">
        <v>45991</v>
      </c>
      <c r="B123" cm="1">
        <f t="array" ref="B123">SUMPRODUCT((Task_Table_02_26!$C$2:$C$571=$B$1)*(A123&gt;Task_Table_02_26!$J$2:$J$571)*(A123&lt;Task_Table_02_26!$K$2:$K$571))</f>
        <v>17</v>
      </c>
      <c r="C123" cm="1">
        <f t="array" ref="C123">SUMPRODUCT((Task_Table_02_26!$C$2:$C$571=$C$1)*(A123&gt;Task_Table_02_26!$J$2:$J$571)*(A123&lt;Task_Table_02_26!$K$2:$K$571))</f>
        <v>1</v>
      </c>
      <c r="D123" cm="1">
        <f t="array" ref="D123">SUMPRODUCT((Task_Table_02_26!$C$2:$C$571=$D$1)*(A123&gt;Task_Table_02_26!$J$2:$J$571)*(A123&lt;Task_Table_02_26!$K$2:$K$571))</f>
        <v>0</v>
      </c>
      <c r="E123" cm="1">
        <f t="array" ref="E123">SUMPRODUCT((Task_Table_02_26!$C$2:$C$571=$E$1)*(A123&gt;Task_Table_02_26!$J$2:$J$571)*(A123&lt;Task_Table_02_26!$K$2:$K$571))</f>
        <v>3</v>
      </c>
    </row>
    <row r="124" spans="1:5">
      <c r="A124" s="5">
        <v>45992</v>
      </c>
      <c r="B124" cm="1">
        <f t="array" ref="B124">SUMPRODUCT((Task_Table_02_26!$C$2:$C$571=$B$1)*(A124&gt;Task_Table_02_26!$J$2:$J$571)*(A124&lt;Task_Table_02_26!$K$2:$K$571))</f>
        <v>17</v>
      </c>
      <c r="C124" cm="1">
        <f t="array" ref="C124">SUMPRODUCT((Task_Table_02_26!$C$2:$C$571=$C$1)*(A124&gt;Task_Table_02_26!$J$2:$J$571)*(A124&lt;Task_Table_02_26!$K$2:$K$571))</f>
        <v>1</v>
      </c>
      <c r="D124" cm="1">
        <f t="array" ref="D124">SUMPRODUCT((Task_Table_02_26!$C$2:$C$571=$D$1)*(A124&gt;Task_Table_02_26!$J$2:$J$571)*(A124&lt;Task_Table_02_26!$K$2:$K$571))</f>
        <v>0</v>
      </c>
      <c r="E124" cm="1">
        <f t="array" ref="E124">SUMPRODUCT((Task_Table_02_26!$C$2:$C$571=$E$1)*(A124&gt;Task_Table_02_26!$J$2:$J$571)*(A124&lt;Task_Table_02_26!$K$2:$K$571))</f>
        <v>3</v>
      </c>
    </row>
    <row r="125" spans="1:5">
      <c r="A125" s="5">
        <v>45993</v>
      </c>
      <c r="B125" cm="1">
        <f t="array" ref="B125">SUMPRODUCT((Task_Table_02_26!$C$2:$C$571=$B$1)*(A125&gt;Task_Table_02_26!$J$2:$J$571)*(A125&lt;Task_Table_02_26!$K$2:$K$571))</f>
        <v>17</v>
      </c>
      <c r="C125" cm="1">
        <f t="array" ref="C125">SUMPRODUCT((Task_Table_02_26!$C$2:$C$571=$C$1)*(A125&gt;Task_Table_02_26!$J$2:$J$571)*(A125&lt;Task_Table_02_26!$K$2:$K$571))</f>
        <v>1</v>
      </c>
      <c r="D125" cm="1">
        <f t="array" ref="D125">SUMPRODUCT((Task_Table_02_26!$C$2:$C$571=$D$1)*(A125&gt;Task_Table_02_26!$J$2:$J$571)*(A125&lt;Task_Table_02_26!$K$2:$K$571))</f>
        <v>0</v>
      </c>
      <c r="E125" cm="1">
        <f t="array" ref="E125">SUMPRODUCT((Task_Table_02_26!$C$2:$C$571=$E$1)*(A125&gt;Task_Table_02_26!$J$2:$J$571)*(A125&lt;Task_Table_02_26!$K$2:$K$571))</f>
        <v>4</v>
      </c>
    </row>
    <row r="126" spans="1:5">
      <c r="A126" s="5">
        <v>45994</v>
      </c>
      <c r="B126" cm="1">
        <f t="array" ref="B126">SUMPRODUCT((Task_Table_02_26!$C$2:$C$571=$B$1)*(A126&gt;Task_Table_02_26!$J$2:$J$571)*(A126&lt;Task_Table_02_26!$K$2:$K$571))</f>
        <v>17</v>
      </c>
      <c r="C126" cm="1">
        <f t="array" ref="C126">SUMPRODUCT((Task_Table_02_26!$C$2:$C$571=$C$1)*(A126&gt;Task_Table_02_26!$J$2:$J$571)*(A126&lt;Task_Table_02_26!$K$2:$K$571))</f>
        <v>1</v>
      </c>
      <c r="D126" cm="1">
        <f t="array" ref="D126">SUMPRODUCT((Task_Table_02_26!$C$2:$C$571=$D$1)*(A126&gt;Task_Table_02_26!$J$2:$J$571)*(A126&lt;Task_Table_02_26!$K$2:$K$571))</f>
        <v>0</v>
      </c>
      <c r="E126" cm="1">
        <f t="array" ref="E126">SUMPRODUCT((Task_Table_02_26!$C$2:$C$571=$E$1)*(A126&gt;Task_Table_02_26!$J$2:$J$571)*(A126&lt;Task_Table_02_26!$K$2:$K$571))</f>
        <v>4</v>
      </c>
    </row>
    <row r="127" spans="1:5">
      <c r="A127" s="5">
        <v>45995</v>
      </c>
      <c r="B127" cm="1">
        <f t="array" ref="B127">SUMPRODUCT((Task_Table_02_26!$C$2:$C$571=$B$1)*(A127&gt;Task_Table_02_26!$J$2:$J$571)*(A127&lt;Task_Table_02_26!$K$2:$K$571))</f>
        <v>17</v>
      </c>
      <c r="C127" cm="1">
        <f t="array" ref="C127">SUMPRODUCT((Task_Table_02_26!$C$2:$C$571=$C$1)*(A127&gt;Task_Table_02_26!$J$2:$J$571)*(A127&lt;Task_Table_02_26!$K$2:$K$571))</f>
        <v>1</v>
      </c>
      <c r="D127" cm="1">
        <f t="array" ref="D127">SUMPRODUCT((Task_Table_02_26!$C$2:$C$571=$D$1)*(A127&gt;Task_Table_02_26!$J$2:$J$571)*(A127&lt;Task_Table_02_26!$K$2:$K$571))</f>
        <v>0</v>
      </c>
      <c r="E127" cm="1">
        <f t="array" ref="E127">SUMPRODUCT((Task_Table_02_26!$C$2:$C$571=$E$1)*(A127&gt;Task_Table_02_26!$J$2:$J$571)*(A127&lt;Task_Table_02_26!$K$2:$K$571))</f>
        <v>4</v>
      </c>
    </row>
    <row r="128" spans="1:5">
      <c r="A128" s="5">
        <v>45996</v>
      </c>
      <c r="B128" cm="1">
        <f t="array" ref="B128">SUMPRODUCT((Task_Table_02_26!$C$2:$C$571=$B$1)*(A128&gt;Task_Table_02_26!$J$2:$J$571)*(A128&lt;Task_Table_02_26!$K$2:$K$571))</f>
        <v>17</v>
      </c>
      <c r="C128" cm="1">
        <f t="array" ref="C128">SUMPRODUCT((Task_Table_02_26!$C$2:$C$571=$C$1)*(A128&gt;Task_Table_02_26!$J$2:$J$571)*(A128&lt;Task_Table_02_26!$K$2:$K$571))</f>
        <v>1</v>
      </c>
      <c r="D128" cm="1">
        <f t="array" ref="D128">SUMPRODUCT((Task_Table_02_26!$C$2:$C$571=$D$1)*(A128&gt;Task_Table_02_26!$J$2:$J$571)*(A128&lt;Task_Table_02_26!$K$2:$K$571))</f>
        <v>0</v>
      </c>
      <c r="E128" cm="1">
        <f t="array" ref="E128">SUMPRODUCT((Task_Table_02_26!$C$2:$C$571=$E$1)*(A128&gt;Task_Table_02_26!$J$2:$J$571)*(A128&lt;Task_Table_02_26!$K$2:$K$571))</f>
        <v>4</v>
      </c>
    </row>
    <row r="129" spans="1:5">
      <c r="A129" s="5">
        <v>45997</v>
      </c>
      <c r="B129" cm="1">
        <f t="array" ref="B129">SUMPRODUCT((Task_Table_02_26!$C$2:$C$571=$B$1)*(A129&gt;Task_Table_02_26!$J$2:$J$571)*(A129&lt;Task_Table_02_26!$K$2:$K$571))</f>
        <v>17</v>
      </c>
      <c r="C129" cm="1">
        <f t="array" ref="C129">SUMPRODUCT((Task_Table_02_26!$C$2:$C$571=$C$1)*(A129&gt;Task_Table_02_26!$J$2:$J$571)*(A129&lt;Task_Table_02_26!$K$2:$K$571))</f>
        <v>1</v>
      </c>
      <c r="D129" cm="1">
        <f t="array" ref="D129">SUMPRODUCT((Task_Table_02_26!$C$2:$C$571=$D$1)*(A129&gt;Task_Table_02_26!$J$2:$J$571)*(A129&lt;Task_Table_02_26!$K$2:$K$571))</f>
        <v>0</v>
      </c>
      <c r="E129" cm="1">
        <f t="array" ref="E129">SUMPRODUCT((Task_Table_02_26!$C$2:$C$571=$E$1)*(A129&gt;Task_Table_02_26!$J$2:$J$571)*(A129&lt;Task_Table_02_26!$K$2:$K$571))</f>
        <v>4</v>
      </c>
    </row>
    <row r="130" spans="1:5">
      <c r="A130" s="5">
        <v>45998</v>
      </c>
      <c r="B130" cm="1">
        <f t="array" ref="B130">SUMPRODUCT((Task_Table_02_26!$C$2:$C$571=$B$1)*(A130&gt;Task_Table_02_26!$J$2:$J$571)*(A130&lt;Task_Table_02_26!$K$2:$K$571))</f>
        <v>17</v>
      </c>
      <c r="C130" cm="1">
        <f t="array" ref="C130">SUMPRODUCT((Task_Table_02_26!$C$2:$C$571=$C$1)*(A130&gt;Task_Table_02_26!$J$2:$J$571)*(A130&lt;Task_Table_02_26!$K$2:$K$571))</f>
        <v>1</v>
      </c>
      <c r="D130" cm="1">
        <f t="array" ref="D130">SUMPRODUCT((Task_Table_02_26!$C$2:$C$571=$D$1)*(A130&gt;Task_Table_02_26!$J$2:$J$571)*(A130&lt;Task_Table_02_26!$K$2:$K$571))</f>
        <v>0</v>
      </c>
      <c r="E130" cm="1">
        <f t="array" ref="E130">SUMPRODUCT((Task_Table_02_26!$C$2:$C$571=$E$1)*(A130&gt;Task_Table_02_26!$J$2:$J$571)*(A130&lt;Task_Table_02_26!$K$2:$K$571))</f>
        <v>4</v>
      </c>
    </row>
    <row r="131" spans="1:5">
      <c r="A131" s="5">
        <v>45999</v>
      </c>
      <c r="B131" cm="1">
        <f t="array" ref="B131">SUMPRODUCT((Task_Table_02_26!$C$2:$C$571=$B$1)*(A131&gt;Task_Table_02_26!$J$2:$J$571)*(A131&lt;Task_Table_02_26!$K$2:$K$571))</f>
        <v>17</v>
      </c>
      <c r="C131" cm="1">
        <f t="array" ref="C131">SUMPRODUCT((Task_Table_02_26!$C$2:$C$571=$C$1)*(A131&gt;Task_Table_02_26!$J$2:$J$571)*(A131&lt;Task_Table_02_26!$K$2:$K$571))</f>
        <v>1</v>
      </c>
      <c r="D131" cm="1">
        <f t="array" ref="D131">SUMPRODUCT((Task_Table_02_26!$C$2:$C$571=$D$1)*(A131&gt;Task_Table_02_26!$J$2:$J$571)*(A131&lt;Task_Table_02_26!$K$2:$K$571))</f>
        <v>0</v>
      </c>
      <c r="E131" cm="1">
        <f t="array" ref="E131">SUMPRODUCT((Task_Table_02_26!$C$2:$C$571=$E$1)*(A131&gt;Task_Table_02_26!$J$2:$J$571)*(A131&lt;Task_Table_02_26!$K$2:$K$571))</f>
        <v>4</v>
      </c>
    </row>
    <row r="132" spans="1:5">
      <c r="A132" s="5">
        <v>46000</v>
      </c>
      <c r="B132" cm="1">
        <f t="array" ref="B132">SUMPRODUCT((Task_Table_02_26!$C$2:$C$571=$B$1)*(A132&gt;Task_Table_02_26!$J$2:$J$571)*(A132&lt;Task_Table_02_26!$K$2:$K$571))</f>
        <v>17</v>
      </c>
      <c r="C132" cm="1">
        <f t="array" ref="C132">SUMPRODUCT((Task_Table_02_26!$C$2:$C$571=$C$1)*(A132&gt;Task_Table_02_26!$J$2:$J$571)*(A132&lt;Task_Table_02_26!$K$2:$K$571))</f>
        <v>1</v>
      </c>
      <c r="D132" cm="1">
        <f t="array" ref="D132">SUMPRODUCT((Task_Table_02_26!$C$2:$C$571=$D$1)*(A132&gt;Task_Table_02_26!$J$2:$J$571)*(A132&lt;Task_Table_02_26!$K$2:$K$571))</f>
        <v>0</v>
      </c>
      <c r="E132" cm="1">
        <f t="array" ref="E132">SUMPRODUCT((Task_Table_02_26!$C$2:$C$571=$E$1)*(A132&gt;Task_Table_02_26!$J$2:$J$571)*(A132&lt;Task_Table_02_26!$K$2:$K$571))</f>
        <v>4</v>
      </c>
    </row>
    <row r="133" spans="1:5">
      <c r="A133" s="5">
        <v>46001</v>
      </c>
      <c r="B133" cm="1">
        <f t="array" ref="B133">SUMPRODUCT((Task_Table_02_26!$C$2:$C$571=$B$1)*(A133&gt;Task_Table_02_26!$J$2:$J$571)*(A133&lt;Task_Table_02_26!$K$2:$K$571))</f>
        <v>9</v>
      </c>
      <c r="C133" cm="1">
        <f t="array" ref="C133">SUMPRODUCT((Task_Table_02_26!$C$2:$C$571=$C$1)*(A133&gt;Task_Table_02_26!$J$2:$J$571)*(A133&lt;Task_Table_02_26!$K$2:$K$571))</f>
        <v>1</v>
      </c>
      <c r="D133" cm="1">
        <f t="array" ref="D133">SUMPRODUCT((Task_Table_02_26!$C$2:$C$571=$D$1)*(A133&gt;Task_Table_02_26!$J$2:$J$571)*(A133&lt;Task_Table_02_26!$K$2:$K$571))</f>
        <v>0</v>
      </c>
      <c r="E133" cm="1">
        <f t="array" ref="E133">SUMPRODUCT((Task_Table_02_26!$C$2:$C$571=$E$1)*(A133&gt;Task_Table_02_26!$J$2:$J$571)*(A133&lt;Task_Table_02_26!$K$2:$K$571))</f>
        <v>4</v>
      </c>
    </row>
    <row r="134" spans="1:5">
      <c r="A134" s="5">
        <v>46002</v>
      </c>
      <c r="B134" cm="1">
        <f t="array" ref="B134">SUMPRODUCT((Task_Table_02_26!$C$2:$C$571=$B$1)*(A134&gt;Task_Table_02_26!$J$2:$J$571)*(A134&lt;Task_Table_02_26!$K$2:$K$571))</f>
        <v>9</v>
      </c>
      <c r="C134" cm="1">
        <f t="array" ref="C134">SUMPRODUCT((Task_Table_02_26!$C$2:$C$571=$C$1)*(A134&gt;Task_Table_02_26!$J$2:$J$571)*(A134&lt;Task_Table_02_26!$K$2:$K$571))</f>
        <v>1</v>
      </c>
      <c r="D134" cm="1">
        <f t="array" ref="D134">SUMPRODUCT((Task_Table_02_26!$C$2:$C$571=$D$1)*(A134&gt;Task_Table_02_26!$J$2:$J$571)*(A134&lt;Task_Table_02_26!$K$2:$K$571))</f>
        <v>0</v>
      </c>
      <c r="E134" cm="1">
        <f t="array" ref="E134">SUMPRODUCT((Task_Table_02_26!$C$2:$C$571=$E$1)*(A134&gt;Task_Table_02_26!$J$2:$J$571)*(A134&lt;Task_Table_02_26!$K$2:$K$571))</f>
        <v>4</v>
      </c>
    </row>
    <row r="135" spans="1:5">
      <c r="A135" s="5">
        <v>46003</v>
      </c>
      <c r="B135" cm="1">
        <f t="array" ref="B135">SUMPRODUCT((Task_Table_02_26!$C$2:$C$571=$B$1)*(A135&gt;Task_Table_02_26!$J$2:$J$571)*(A135&lt;Task_Table_02_26!$K$2:$K$571))</f>
        <v>9</v>
      </c>
      <c r="C135" cm="1">
        <f t="array" ref="C135">SUMPRODUCT((Task_Table_02_26!$C$2:$C$571=$C$1)*(A135&gt;Task_Table_02_26!$J$2:$J$571)*(A135&lt;Task_Table_02_26!$K$2:$K$571))</f>
        <v>1</v>
      </c>
      <c r="D135" cm="1">
        <f t="array" ref="D135">SUMPRODUCT((Task_Table_02_26!$C$2:$C$571=$D$1)*(A135&gt;Task_Table_02_26!$J$2:$J$571)*(A135&lt;Task_Table_02_26!$K$2:$K$571))</f>
        <v>0</v>
      </c>
      <c r="E135" cm="1">
        <f t="array" ref="E135">SUMPRODUCT((Task_Table_02_26!$C$2:$C$571=$E$1)*(A135&gt;Task_Table_02_26!$J$2:$J$571)*(A135&lt;Task_Table_02_26!$K$2:$K$571))</f>
        <v>4</v>
      </c>
    </row>
    <row r="136" spans="1:5">
      <c r="A136" s="5">
        <v>46004</v>
      </c>
      <c r="B136" cm="1">
        <f t="array" ref="B136">SUMPRODUCT((Task_Table_02_26!$C$2:$C$571=$B$1)*(A136&gt;Task_Table_02_26!$J$2:$J$571)*(A136&lt;Task_Table_02_26!$K$2:$K$571))</f>
        <v>9</v>
      </c>
      <c r="C136" cm="1">
        <f t="array" ref="C136">SUMPRODUCT((Task_Table_02_26!$C$2:$C$571=$C$1)*(A136&gt;Task_Table_02_26!$J$2:$J$571)*(A136&lt;Task_Table_02_26!$K$2:$K$571))</f>
        <v>1</v>
      </c>
      <c r="D136" cm="1">
        <f t="array" ref="D136">SUMPRODUCT((Task_Table_02_26!$C$2:$C$571=$D$1)*(A136&gt;Task_Table_02_26!$J$2:$J$571)*(A136&lt;Task_Table_02_26!$K$2:$K$571))</f>
        <v>0</v>
      </c>
      <c r="E136" cm="1">
        <f t="array" ref="E136">SUMPRODUCT((Task_Table_02_26!$C$2:$C$571=$E$1)*(A136&gt;Task_Table_02_26!$J$2:$J$571)*(A136&lt;Task_Table_02_26!$K$2:$K$571))</f>
        <v>4</v>
      </c>
    </row>
    <row r="137" spans="1:5">
      <c r="A137" s="5">
        <v>46005</v>
      </c>
      <c r="B137" cm="1">
        <f t="array" ref="B137">SUMPRODUCT((Task_Table_02_26!$C$2:$C$571=$B$1)*(A137&gt;Task_Table_02_26!$J$2:$J$571)*(A137&lt;Task_Table_02_26!$K$2:$K$571))</f>
        <v>9</v>
      </c>
      <c r="C137" cm="1">
        <f t="array" ref="C137">SUMPRODUCT((Task_Table_02_26!$C$2:$C$571=$C$1)*(A137&gt;Task_Table_02_26!$J$2:$J$571)*(A137&lt;Task_Table_02_26!$K$2:$K$571))</f>
        <v>1</v>
      </c>
      <c r="D137" cm="1">
        <f t="array" ref="D137">SUMPRODUCT((Task_Table_02_26!$C$2:$C$571=$D$1)*(A137&gt;Task_Table_02_26!$J$2:$J$571)*(A137&lt;Task_Table_02_26!$K$2:$K$571))</f>
        <v>0</v>
      </c>
      <c r="E137" cm="1">
        <f t="array" ref="E137">SUMPRODUCT((Task_Table_02_26!$C$2:$C$571=$E$1)*(A137&gt;Task_Table_02_26!$J$2:$J$571)*(A137&lt;Task_Table_02_26!$K$2:$K$571))</f>
        <v>4</v>
      </c>
    </row>
    <row r="138" spans="1:5">
      <c r="A138" s="5">
        <v>46006</v>
      </c>
      <c r="B138" cm="1">
        <f t="array" ref="B138">SUMPRODUCT((Task_Table_02_26!$C$2:$C$571=$B$1)*(A138&gt;Task_Table_02_26!$J$2:$J$571)*(A138&lt;Task_Table_02_26!$K$2:$K$571))</f>
        <v>9</v>
      </c>
      <c r="C138" cm="1">
        <f t="array" ref="C138">SUMPRODUCT((Task_Table_02_26!$C$2:$C$571=$C$1)*(A138&gt;Task_Table_02_26!$J$2:$J$571)*(A138&lt;Task_Table_02_26!$K$2:$K$571))</f>
        <v>1</v>
      </c>
      <c r="D138" cm="1">
        <f t="array" ref="D138">SUMPRODUCT((Task_Table_02_26!$C$2:$C$571=$D$1)*(A138&gt;Task_Table_02_26!$J$2:$J$571)*(A138&lt;Task_Table_02_26!$K$2:$K$571))</f>
        <v>0</v>
      </c>
      <c r="E138" cm="1">
        <f t="array" ref="E138">SUMPRODUCT((Task_Table_02_26!$C$2:$C$571=$E$1)*(A138&gt;Task_Table_02_26!$J$2:$J$571)*(A138&lt;Task_Table_02_26!$K$2:$K$571))</f>
        <v>4</v>
      </c>
    </row>
    <row r="139" spans="1:5">
      <c r="A139" s="5">
        <v>46007</v>
      </c>
      <c r="B139" cm="1">
        <f t="array" ref="B139">SUMPRODUCT((Task_Table_02_26!$C$2:$C$571=$B$1)*(A139&gt;Task_Table_02_26!$J$2:$J$571)*(A139&lt;Task_Table_02_26!$K$2:$K$571))</f>
        <v>9</v>
      </c>
      <c r="C139" cm="1">
        <f t="array" ref="C139">SUMPRODUCT((Task_Table_02_26!$C$2:$C$571=$C$1)*(A139&gt;Task_Table_02_26!$J$2:$J$571)*(A139&lt;Task_Table_02_26!$K$2:$K$571))</f>
        <v>1</v>
      </c>
      <c r="D139" cm="1">
        <f t="array" ref="D139">SUMPRODUCT((Task_Table_02_26!$C$2:$C$571=$D$1)*(A139&gt;Task_Table_02_26!$J$2:$J$571)*(A139&lt;Task_Table_02_26!$K$2:$K$571))</f>
        <v>0</v>
      </c>
      <c r="E139" cm="1">
        <f t="array" ref="E139">SUMPRODUCT((Task_Table_02_26!$C$2:$C$571=$E$1)*(A139&gt;Task_Table_02_26!$J$2:$J$571)*(A139&lt;Task_Table_02_26!$K$2:$K$571))</f>
        <v>4</v>
      </c>
    </row>
    <row r="140" spans="1:5">
      <c r="A140" s="5">
        <v>46008</v>
      </c>
      <c r="B140" cm="1">
        <f t="array" ref="B140">SUMPRODUCT((Task_Table_02_26!$C$2:$C$571=$B$1)*(A140&gt;Task_Table_02_26!$J$2:$J$571)*(A140&lt;Task_Table_02_26!$K$2:$K$571))</f>
        <v>9</v>
      </c>
      <c r="C140" cm="1">
        <f t="array" ref="C140">SUMPRODUCT((Task_Table_02_26!$C$2:$C$571=$C$1)*(A140&gt;Task_Table_02_26!$J$2:$J$571)*(A140&lt;Task_Table_02_26!$K$2:$K$571))</f>
        <v>1</v>
      </c>
      <c r="D140" cm="1">
        <f t="array" ref="D140">SUMPRODUCT((Task_Table_02_26!$C$2:$C$571=$D$1)*(A140&gt;Task_Table_02_26!$J$2:$J$571)*(A140&lt;Task_Table_02_26!$K$2:$K$571))</f>
        <v>0</v>
      </c>
      <c r="E140" cm="1">
        <f t="array" ref="E140">SUMPRODUCT((Task_Table_02_26!$C$2:$C$571=$E$1)*(A140&gt;Task_Table_02_26!$J$2:$J$571)*(A140&lt;Task_Table_02_26!$K$2:$K$571))</f>
        <v>4</v>
      </c>
    </row>
    <row r="141" spans="1:5">
      <c r="A141" s="5">
        <v>46009</v>
      </c>
      <c r="B141" cm="1">
        <f t="array" ref="B141">SUMPRODUCT((Task_Table_02_26!$C$2:$C$571=$B$1)*(A141&gt;Task_Table_02_26!$J$2:$J$571)*(A141&lt;Task_Table_02_26!$K$2:$K$571))</f>
        <v>9</v>
      </c>
      <c r="C141" cm="1">
        <f t="array" ref="C141">SUMPRODUCT((Task_Table_02_26!$C$2:$C$571=$C$1)*(A141&gt;Task_Table_02_26!$J$2:$J$571)*(A141&lt;Task_Table_02_26!$K$2:$K$571))</f>
        <v>1</v>
      </c>
      <c r="D141" cm="1">
        <f t="array" ref="D141">SUMPRODUCT((Task_Table_02_26!$C$2:$C$571=$D$1)*(A141&gt;Task_Table_02_26!$J$2:$J$571)*(A141&lt;Task_Table_02_26!$K$2:$K$571))</f>
        <v>0</v>
      </c>
      <c r="E141" cm="1">
        <f t="array" ref="E141">SUMPRODUCT((Task_Table_02_26!$C$2:$C$571=$E$1)*(A141&gt;Task_Table_02_26!$J$2:$J$571)*(A141&lt;Task_Table_02_26!$K$2:$K$571))</f>
        <v>4</v>
      </c>
    </row>
    <row r="142" spans="1:5">
      <c r="A142" s="5">
        <v>46010</v>
      </c>
      <c r="B142" cm="1">
        <f t="array" ref="B142">SUMPRODUCT((Task_Table_02_26!$C$2:$C$571=$B$1)*(A142&gt;Task_Table_02_26!$J$2:$J$571)*(A142&lt;Task_Table_02_26!$K$2:$K$571))</f>
        <v>9</v>
      </c>
      <c r="C142" cm="1">
        <f t="array" ref="C142">SUMPRODUCT((Task_Table_02_26!$C$2:$C$571=$C$1)*(A142&gt;Task_Table_02_26!$J$2:$J$571)*(A142&lt;Task_Table_02_26!$K$2:$K$571))</f>
        <v>1</v>
      </c>
      <c r="D142" cm="1">
        <f t="array" ref="D142">SUMPRODUCT((Task_Table_02_26!$C$2:$C$571=$D$1)*(A142&gt;Task_Table_02_26!$J$2:$J$571)*(A142&lt;Task_Table_02_26!$K$2:$K$571))</f>
        <v>0</v>
      </c>
      <c r="E142" cm="1">
        <f t="array" ref="E142">SUMPRODUCT((Task_Table_02_26!$C$2:$C$571=$E$1)*(A142&gt;Task_Table_02_26!$J$2:$J$571)*(A142&lt;Task_Table_02_26!$K$2:$K$571))</f>
        <v>4</v>
      </c>
    </row>
    <row r="143" spans="1:5">
      <c r="A143" s="5">
        <v>46011</v>
      </c>
      <c r="B143" cm="1">
        <f t="array" ref="B143">SUMPRODUCT((Task_Table_02_26!$C$2:$C$571=$B$1)*(A143&gt;Task_Table_02_26!$J$2:$J$571)*(A143&lt;Task_Table_02_26!$K$2:$K$571))</f>
        <v>9</v>
      </c>
      <c r="C143" cm="1">
        <f t="array" ref="C143">SUMPRODUCT((Task_Table_02_26!$C$2:$C$571=$C$1)*(A143&gt;Task_Table_02_26!$J$2:$J$571)*(A143&lt;Task_Table_02_26!$K$2:$K$571))</f>
        <v>1</v>
      </c>
      <c r="D143" cm="1">
        <f t="array" ref="D143">SUMPRODUCT((Task_Table_02_26!$C$2:$C$571=$D$1)*(A143&gt;Task_Table_02_26!$J$2:$J$571)*(A143&lt;Task_Table_02_26!$K$2:$K$571))</f>
        <v>0</v>
      </c>
      <c r="E143" cm="1">
        <f t="array" ref="E143">SUMPRODUCT((Task_Table_02_26!$C$2:$C$571=$E$1)*(A143&gt;Task_Table_02_26!$J$2:$J$571)*(A143&lt;Task_Table_02_26!$K$2:$K$571))</f>
        <v>4</v>
      </c>
    </row>
    <row r="144" spans="1:5">
      <c r="A144" s="5">
        <v>46012</v>
      </c>
      <c r="B144" cm="1">
        <f t="array" ref="B144">SUMPRODUCT((Task_Table_02_26!$C$2:$C$571=$B$1)*(A144&gt;Task_Table_02_26!$J$2:$J$571)*(A144&lt;Task_Table_02_26!$K$2:$K$571))</f>
        <v>9</v>
      </c>
      <c r="C144" cm="1">
        <f t="array" ref="C144">SUMPRODUCT((Task_Table_02_26!$C$2:$C$571=$C$1)*(A144&gt;Task_Table_02_26!$J$2:$J$571)*(A144&lt;Task_Table_02_26!$K$2:$K$571))</f>
        <v>1</v>
      </c>
      <c r="D144" cm="1">
        <f t="array" ref="D144">SUMPRODUCT((Task_Table_02_26!$C$2:$C$571=$D$1)*(A144&gt;Task_Table_02_26!$J$2:$J$571)*(A144&lt;Task_Table_02_26!$K$2:$K$571))</f>
        <v>0</v>
      </c>
      <c r="E144" cm="1">
        <f t="array" ref="E144">SUMPRODUCT((Task_Table_02_26!$C$2:$C$571=$E$1)*(A144&gt;Task_Table_02_26!$J$2:$J$571)*(A144&lt;Task_Table_02_26!$K$2:$K$571))</f>
        <v>4</v>
      </c>
    </row>
    <row r="145" spans="1:5">
      <c r="A145" s="5">
        <v>46013</v>
      </c>
      <c r="B145" cm="1">
        <f t="array" ref="B145">SUMPRODUCT((Task_Table_02_26!$C$2:$C$571=$B$1)*(A145&gt;Task_Table_02_26!$J$2:$J$571)*(A145&lt;Task_Table_02_26!$K$2:$K$571))</f>
        <v>9</v>
      </c>
      <c r="C145" cm="1">
        <f t="array" ref="C145">SUMPRODUCT((Task_Table_02_26!$C$2:$C$571=$C$1)*(A145&gt;Task_Table_02_26!$J$2:$J$571)*(A145&lt;Task_Table_02_26!$K$2:$K$571))</f>
        <v>1</v>
      </c>
      <c r="D145" cm="1">
        <f t="array" ref="D145">SUMPRODUCT((Task_Table_02_26!$C$2:$C$571=$D$1)*(A145&gt;Task_Table_02_26!$J$2:$J$571)*(A145&lt;Task_Table_02_26!$K$2:$K$571))</f>
        <v>0</v>
      </c>
      <c r="E145" cm="1">
        <f t="array" ref="E145">SUMPRODUCT((Task_Table_02_26!$C$2:$C$571=$E$1)*(A145&gt;Task_Table_02_26!$J$2:$J$571)*(A145&lt;Task_Table_02_26!$K$2:$K$571))</f>
        <v>4</v>
      </c>
    </row>
    <row r="146" spans="1:5">
      <c r="A146" s="5">
        <v>46014</v>
      </c>
      <c r="B146" cm="1">
        <f t="array" ref="B146">SUMPRODUCT((Task_Table_02_26!$C$2:$C$571=$B$1)*(A146&gt;Task_Table_02_26!$J$2:$J$571)*(A146&lt;Task_Table_02_26!$K$2:$K$571))</f>
        <v>8</v>
      </c>
      <c r="C146" cm="1">
        <f t="array" ref="C146">SUMPRODUCT((Task_Table_02_26!$C$2:$C$571=$C$1)*(A146&gt;Task_Table_02_26!$J$2:$J$571)*(A146&lt;Task_Table_02_26!$K$2:$K$571))</f>
        <v>1</v>
      </c>
      <c r="D146" cm="1">
        <f t="array" ref="D146">SUMPRODUCT((Task_Table_02_26!$C$2:$C$571=$D$1)*(A146&gt;Task_Table_02_26!$J$2:$J$571)*(A146&lt;Task_Table_02_26!$K$2:$K$571))</f>
        <v>0</v>
      </c>
      <c r="E146" cm="1">
        <f t="array" ref="E146">SUMPRODUCT((Task_Table_02_26!$C$2:$C$571=$E$1)*(A146&gt;Task_Table_02_26!$J$2:$J$571)*(A146&lt;Task_Table_02_26!$K$2:$K$571))</f>
        <v>4</v>
      </c>
    </row>
    <row r="147" spans="1:5">
      <c r="A147" s="5">
        <v>46015</v>
      </c>
      <c r="B147" cm="1">
        <f t="array" ref="B147">SUMPRODUCT((Task_Table_02_26!$C$2:$C$571=$B$1)*(A147&gt;Task_Table_02_26!$J$2:$J$571)*(A147&lt;Task_Table_02_26!$K$2:$K$571))</f>
        <v>8</v>
      </c>
      <c r="C147" cm="1">
        <f t="array" ref="C147">SUMPRODUCT((Task_Table_02_26!$C$2:$C$571=$C$1)*(A147&gt;Task_Table_02_26!$J$2:$J$571)*(A147&lt;Task_Table_02_26!$K$2:$K$571))</f>
        <v>1</v>
      </c>
      <c r="D147" cm="1">
        <f t="array" ref="D147">SUMPRODUCT((Task_Table_02_26!$C$2:$C$571=$D$1)*(A147&gt;Task_Table_02_26!$J$2:$J$571)*(A147&lt;Task_Table_02_26!$K$2:$K$571))</f>
        <v>0</v>
      </c>
      <c r="E147" cm="1">
        <f t="array" ref="E147">SUMPRODUCT((Task_Table_02_26!$C$2:$C$571=$E$1)*(A147&gt;Task_Table_02_26!$J$2:$J$571)*(A147&lt;Task_Table_02_26!$K$2:$K$571))</f>
        <v>4</v>
      </c>
    </row>
    <row r="148" spans="1:5">
      <c r="A148" s="5">
        <v>46016</v>
      </c>
      <c r="B148" cm="1">
        <f t="array" ref="B148">SUMPRODUCT((Task_Table_02_26!$C$2:$C$571=$B$1)*(A148&gt;Task_Table_02_26!$J$2:$J$571)*(A148&lt;Task_Table_02_26!$K$2:$K$571))</f>
        <v>8</v>
      </c>
      <c r="C148" cm="1">
        <f t="array" ref="C148">SUMPRODUCT((Task_Table_02_26!$C$2:$C$571=$C$1)*(A148&gt;Task_Table_02_26!$J$2:$J$571)*(A148&lt;Task_Table_02_26!$K$2:$K$571))</f>
        <v>1</v>
      </c>
      <c r="D148" cm="1">
        <f t="array" ref="D148">SUMPRODUCT((Task_Table_02_26!$C$2:$C$571=$D$1)*(A148&gt;Task_Table_02_26!$J$2:$J$571)*(A148&lt;Task_Table_02_26!$K$2:$K$571))</f>
        <v>0</v>
      </c>
      <c r="E148" cm="1">
        <f t="array" ref="E148">SUMPRODUCT((Task_Table_02_26!$C$2:$C$571=$E$1)*(A148&gt;Task_Table_02_26!$J$2:$J$571)*(A148&lt;Task_Table_02_26!$K$2:$K$571))</f>
        <v>4</v>
      </c>
    </row>
    <row r="149" spans="1:5">
      <c r="A149" s="5">
        <v>46017</v>
      </c>
      <c r="B149" cm="1">
        <f t="array" ref="B149">SUMPRODUCT((Task_Table_02_26!$C$2:$C$571=$B$1)*(A149&gt;Task_Table_02_26!$J$2:$J$571)*(A149&lt;Task_Table_02_26!$K$2:$K$571))</f>
        <v>8</v>
      </c>
      <c r="C149" cm="1">
        <f t="array" ref="C149">SUMPRODUCT((Task_Table_02_26!$C$2:$C$571=$C$1)*(A149&gt;Task_Table_02_26!$J$2:$J$571)*(A149&lt;Task_Table_02_26!$K$2:$K$571))</f>
        <v>1</v>
      </c>
      <c r="D149" cm="1">
        <f t="array" ref="D149">SUMPRODUCT((Task_Table_02_26!$C$2:$C$571=$D$1)*(A149&gt;Task_Table_02_26!$J$2:$J$571)*(A149&lt;Task_Table_02_26!$K$2:$K$571))</f>
        <v>0</v>
      </c>
      <c r="E149" cm="1">
        <f t="array" ref="E149">SUMPRODUCT((Task_Table_02_26!$C$2:$C$571=$E$1)*(A149&gt;Task_Table_02_26!$J$2:$J$571)*(A149&lt;Task_Table_02_26!$K$2:$K$571))</f>
        <v>4</v>
      </c>
    </row>
    <row r="150" spans="1:5">
      <c r="A150" s="5">
        <v>46018</v>
      </c>
      <c r="B150" cm="1">
        <f t="array" ref="B150">SUMPRODUCT((Task_Table_02_26!$C$2:$C$571=$B$1)*(A150&gt;Task_Table_02_26!$J$2:$J$571)*(A150&lt;Task_Table_02_26!$K$2:$K$571))</f>
        <v>8</v>
      </c>
      <c r="C150" cm="1">
        <f t="array" ref="C150">SUMPRODUCT((Task_Table_02_26!$C$2:$C$571=$C$1)*(A150&gt;Task_Table_02_26!$J$2:$J$571)*(A150&lt;Task_Table_02_26!$K$2:$K$571))</f>
        <v>1</v>
      </c>
      <c r="D150" cm="1">
        <f t="array" ref="D150">SUMPRODUCT((Task_Table_02_26!$C$2:$C$571=$D$1)*(A150&gt;Task_Table_02_26!$J$2:$J$571)*(A150&lt;Task_Table_02_26!$K$2:$K$571))</f>
        <v>0</v>
      </c>
      <c r="E150" cm="1">
        <f t="array" ref="E150">SUMPRODUCT((Task_Table_02_26!$C$2:$C$571=$E$1)*(A150&gt;Task_Table_02_26!$J$2:$J$571)*(A150&lt;Task_Table_02_26!$K$2:$K$571))</f>
        <v>4</v>
      </c>
    </row>
    <row r="151" spans="1:5">
      <c r="A151" s="5">
        <v>46019</v>
      </c>
      <c r="B151" cm="1">
        <f t="array" ref="B151">SUMPRODUCT((Task_Table_02_26!$C$2:$C$571=$B$1)*(A151&gt;Task_Table_02_26!$J$2:$J$571)*(A151&lt;Task_Table_02_26!$K$2:$K$571))</f>
        <v>8</v>
      </c>
      <c r="C151" cm="1">
        <f t="array" ref="C151">SUMPRODUCT((Task_Table_02_26!$C$2:$C$571=$C$1)*(A151&gt;Task_Table_02_26!$J$2:$J$571)*(A151&lt;Task_Table_02_26!$K$2:$K$571))</f>
        <v>1</v>
      </c>
      <c r="D151" cm="1">
        <f t="array" ref="D151">SUMPRODUCT((Task_Table_02_26!$C$2:$C$571=$D$1)*(A151&gt;Task_Table_02_26!$J$2:$J$571)*(A151&lt;Task_Table_02_26!$K$2:$K$571))</f>
        <v>0</v>
      </c>
      <c r="E151" cm="1">
        <f t="array" ref="E151">SUMPRODUCT((Task_Table_02_26!$C$2:$C$571=$E$1)*(A151&gt;Task_Table_02_26!$J$2:$J$571)*(A151&lt;Task_Table_02_26!$K$2:$K$571))</f>
        <v>4</v>
      </c>
    </row>
    <row r="152" spans="1:5">
      <c r="A152" s="5">
        <v>46020</v>
      </c>
      <c r="B152" cm="1">
        <f t="array" ref="B152">SUMPRODUCT((Task_Table_02_26!$C$2:$C$571=$B$1)*(A152&gt;Task_Table_02_26!$J$2:$J$571)*(A152&lt;Task_Table_02_26!$K$2:$K$571))</f>
        <v>8</v>
      </c>
      <c r="C152" cm="1">
        <f t="array" ref="C152">SUMPRODUCT((Task_Table_02_26!$C$2:$C$571=$C$1)*(A152&gt;Task_Table_02_26!$J$2:$J$571)*(A152&lt;Task_Table_02_26!$K$2:$K$571))</f>
        <v>1</v>
      </c>
      <c r="D152" cm="1">
        <f t="array" ref="D152">SUMPRODUCT((Task_Table_02_26!$C$2:$C$571=$D$1)*(A152&gt;Task_Table_02_26!$J$2:$J$571)*(A152&lt;Task_Table_02_26!$K$2:$K$571))</f>
        <v>0</v>
      </c>
      <c r="E152" cm="1">
        <f t="array" ref="E152">SUMPRODUCT((Task_Table_02_26!$C$2:$C$571=$E$1)*(A152&gt;Task_Table_02_26!$J$2:$J$571)*(A152&lt;Task_Table_02_26!$K$2:$K$571))</f>
        <v>4</v>
      </c>
    </row>
    <row r="153" spans="1:5">
      <c r="A153" s="5">
        <v>46021</v>
      </c>
      <c r="B153" cm="1">
        <f t="array" ref="B153">SUMPRODUCT((Task_Table_02_26!$C$2:$C$571=$B$1)*(A153&gt;Task_Table_02_26!$J$2:$J$571)*(A153&lt;Task_Table_02_26!$K$2:$K$571))</f>
        <v>8</v>
      </c>
      <c r="C153" cm="1">
        <f t="array" ref="C153">SUMPRODUCT((Task_Table_02_26!$C$2:$C$571=$C$1)*(A153&gt;Task_Table_02_26!$J$2:$J$571)*(A153&lt;Task_Table_02_26!$K$2:$K$571))</f>
        <v>1</v>
      </c>
      <c r="D153" cm="1">
        <f t="array" ref="D153">SUMPRODUCT((Task_Table_02_26!$C$2:$C$571=$D$1)*(A153&gt;Task_Table_02_26!$J$2:$J$571)*(A153&lt;Task_Table_02_26!$K$2:$K$571))</f>
        <v>0</v>
      </c>
      <c r="E153" cm="1">
        <f t="array" ref="E153">SUMPRODUCT((Task_Table_02_26!$C$2:$C$571=$E$1)*(A153&gt;Task_Table_02_26!$J$2:$J$571)*(A153&lt;Task_Table_02_26!$K$2:$K$571))</f>
        <v>4</v>
      </c>
    </row>
    <row r="154" spans="1:5">
      <c r="A154" s="5">
        <v>46022</v>
      </c>
      <c r="B154" cm="1">
        <f t="array" ref="B154">SUMPRODUCT((Task_Table_02_26!$C$2:$C$571=$B$1)*(A154&gt;Task_Table_02_26!$J$2:$J$571)*(A154&lt;Task_Table_02_26!$K$2:$K$571))</f>
        <v>6</v>
      </c>
      <c r="C154" cm="1">
        <f t="array" ref="C154">SUMPRODUCT((Task_Table_02_26!$C$2:$C$571=$C$1)*(A154&gt;Task_Table_02_26!$J$2:$J$571)*(A154&lt;Task_Table_02_26!$K$2:$K$571))</f>
        <v>1</v>
      </c>
      <c r="D154" cm="1">
        <f t="array" ref="D154">SUMPRODUCT((Task_Table_02_26!$C$2:$C$571=$D$1)*(A154&gt;Task_Table_02_26!$J$2:$J$571)*(A154&lt;Task_Table_02_26!$K$2:$K$571))</f>
        <v>0</v>
      </c>
      <c r="E154" cm="1">
        <f t="array" ref="E154">SUMPRODUCT((Task_Table_02_26!$C$2:$C$571=$E$1)*(A154&gt;Task_Table_02_26!$J$2:$J$571)*(A154&lt;Task_Table_02_26!$K$2:$K$571))</f>
        <v>3</v>
      </c>
    </row>
    <row r="155" spans="1:5">
      <c r="A155" s="5">
        <v>46023</v>
      </c>
      <c r="B155" cm="1">
        <f t="array" ref="B155">SUMPRODUCT((Task_Table_02_26!$C$2:$C$571=$B$1)*(A155&gt;Task_Table_02_26!$J$2:$J$571)*(A155&lt;Task_Table_02_26!$K$2:$K$571))</f>
        <v>6</v>
      </c>
      <c r="C155" cm="1">
        <f t="array" ref="C155">SUMPRODUCT((Task_Table_02_26!$C$2:$C$571=$C$1)*(A155&gt;Task_Table_02_26!$J$2:$J$571)*(A155&lt;Task_Table_02_26!$K$2:$K$571))</f>
        <v>1</v>
      </c>
      <c r="D155" cm="1">
        <f t="array" ref="D155">SUMPRODUCT((Task_Table_02_26!$C$2:$C$571=$D$1)*(A155&gt;Task_Table_02_26!$J$2:$J$571)*(A155&lt;Task_Table_02_26!$K$2:$K$571))</f>
        <v>0</v>
      </c>
      <c r="E155" cm="1">
        <f t="array" ref="E155">SUMPRODUCT((Task_Table_02_26!$C$2:$C$571=$E$1)*(A155&gt;Task_Table_02_26!$J$2:$J$571)*(A155&lt;Task_Table_02_26!$K$2:$K$571))</f>
        <v>3</v>
      </c>
    </row>
    <row r="156" spans="1:5">
      <c r="A156" s="5">
        <v>46024</v>
      </c>
      <c r="B156" cm="1">
        <f t="array" ref="B156">SUMPRODUCT((Task_Table_02_26!$C$2:$C$571=$B$1)*(A156&gt;Task_Table_02_26!$J$2:$J$571)*(A156&lt;Task_Table_02_26!$K$2:$K$571))</f>
        <v>6</v>
      </c>
      <c r="C156" cm="1">
        <f t="array" ref="C156">SUMPRODUCT((Task_Table_02_26!$C$2:$C$571=$C$1)*(A156&gt;Task_Table_02_26!$J$2:$J$571)*(A156&lt;Task_Table_02_26!$K$2:$K$571))</f>
        <v>1</v>
      </c>
      <c r="D156" cm="1">
        <f t="array" ref="D156">SUMPRODUCT((Task_Table_02_26!$C$2:$C$571=$D$1)*(A156&gt;Task_Table_02_26!$J$2:$J$571)*(A156&lt;Task_Table_02_26!$K$2:$K$571))</f>
        <v>0</v>
      </c>
      <c r="E156" cm="1">
        <f t="array" ref="E156">SUMPRODUCT((Task_Table_02_26!$C$2:$C$571=$E$1)*(A156&gt;Task_Table_02_26!$J$2:$J$571)*(A156&lt;Task_Table_02_26!$K$2:$K$571))</f>
        <v>6</v>
      </c>
    </row>
    <row r="157" spans="1:5">
      <c r="A157" s="5">
        <v>46025</v>
      </c>
      <c r="B157" cm="1">
        <f t="array" ref="B157">SUMPRODUCT((Task_Table_02_26!$C$2:$C$571=$B$1)*(A157&gt;Task_Table_02_26!$J$2:$J$571)*(A157&lt;Task_Table_02_26!$K$2:$K$571))</f>
        <v>6</v>
      </c>
      <c r="C157" cm="1">
        <f t="array" ref="C157">SUMPRODUCT((Task_Table_02_26!$C$2:$C$571=$C$1)*(A157&gt;Task_Table_02_26!$J$2:$J$571)*(A157&lt;Task_Table_02_26!$K$2:$K$571))</f>
        <v>1</v>
      </c>
      <c r="D157" cm="1">
        <f t="array" ref="D157">SUMPRODUCT((Task_Table_02_26!$C$2:$C$571=$D$1)*(A157&gt;Task_Table_02_26!$J$2:$J$571)*(A157&lt;Task_Table_02_26!$K$2:$K$571))</f>
        <v>0</v>
      </c>
      <c r="E157" cm="1">
        <f t="array" ref="E157">SUMPRODUCT((Task_Table_02_26!$C$2:$C$571=$E$1)*(A157&gt;Task_Table_02_26!$J$2:$J$571)*(A157&lt;Task_Table_02_26!$K$2:$K$571))</f>
        <v>6</v>
      </c>
    </row>
    <row r="158" spans="1:5">
      <c r="A158" s="5">
        <v>46026</v>
      </c>
      <c r="B158" cm="1">
        <f t="array" ref="B158">SUMPRODUCT((Task_Table_02_26!$C$2:$C$571=$B$1)*(A158&gt;Task_Table_02_26!$J$2:$J$571)*(A158&lt;Task_Table_02_26!$K$2:$K$571))</f>
        <v>6</v>
      </c>
      <c r="C158" cm="1">
        <f t="array" ref="C158">SUMPRODUCT((Task_Table_02_26!$C$2:$C$571=$C$1)*(A158&gt;Task_Table_02_26!$J$2:$J$571)*(A158&lt;Task_Table_02_26!$K$2:$K$571))</f>
        <v>1</v>
      </c>
      <c r="D158" cm="1">
        <f t="array" ref="D158">SUMPRODUCT((Task_Table_02_26!$C$2:$C$571=$D$1)*(A158&gt;Task_Table_02_26!$J$2:$J$571)*(A158&lt;Task_Table_02_26!$K$2:$K$571))</f>
        <v>0</v>
      </c>
      <c r="E158" cm="1">
        <f t="array" ref="E158">SUMPRODUCT((Task_Table_02_26!$C$2:$C$571=$E$1)*(A158&gt;Task_Table_02_26!$J$2:$J$571)*(A158&lt;Task_Table_02_26!$K$2:$K$571))</f>
        <v>6</v>
      </c>
    </row>
    <row r="159" spans="1:5">
      <c r="A159" s="5">
        <v>46027</v>
      </c>
      <c r="B159" cm="1">
        <f t="array" ref="B159">SUMPRODUCT((Task_Table_02_26!$C$2:$C$571=$B$1)*(A159&gt;Task_Table_02_26!$J$2:$J$571)*(A159&lt;Task_Table_02_26!$K$2:$K$571))</f>
        <v>6</v>
      </c>
      <c r="C159" cm="1">
        <f t="array" ref="C159">SUMPRODUCT((Task_Table_02_26!$C$2:$C$571=$C$1)*(A159&gt;Task_Table_02_26!$J$2:$J$571)*(A159&lt;Task_Table_02_26!$K$2:$K$571))</f>
        <v>1</v>
      </c>
      <c r="D159" cm="1">
        <f t="array" ref="D159">SUMPRODUCT((Task_Table_02_26!$C$2:$C$571=$D$1)*(A159&gt;Task_Table_02_26!$J$2:$J$571)*(A159&lt;Task_Table_02_26!$K$2:$K$571))</f>
        <v>0</v>
      </c>
      <c r="E159" cm="1">
        <f t="array" ref="E159">SUMPRODUCT((Task_Table_02_26!$C$2:$C$571=$E$1)*(A159&gt;Task_Table_02_26!$J$2:$J$571)*(A159&lt;Task_Table_02_26!$K$2:$K$571))</f>
        <v>6</v>
      </c>
    </row>
    <row r="160" spans="1:5">
      <c r="A160" s="5">
        <v>46028</v>
      </c>
      <c r="B160" cm="1">
        <f t="array" ref="B160">SUMPRODUCT((Task_Table_02_26!$C$2:$C$571=$B$1)*(A160&gt;Task_Table_02_26!$J$2:$J$571)*(A160&lt;Task_Table_02_26!$K$2:$K$571))</f>
        <v>6</v>
      </c>
      <c r="C160" cm="1">
        <f t="array" ref="C160">SUMPRODUCT((Task_Table_02_26!$C$2:$C$571=$C$1)*(A160&gt;Task_Table_02_26!$J$2:$J$571)*(A160&lt;Task_Table_02_26!$K$2:$K$571))</f>
        <v>1</v>
      </c>
      <c r="D160" cm="1">
        <f t="array" ref="D160">SUMPRODUCT((Task_Table_02_26!$C$2:$C$571=$D$1)*(A160&gt;Task_Table_02_26!$J$2:$J$571)*(A160&lt;Task_Table_02_26!$K$2:$K$571))</f>
        <v>0</v>
      </c>
      <c r="E160" cm="1">
        <f t="array" ref="E160">SUMPRODUCT((Task_Table_02_26!$C$2:$C$571=$E$1)*(A160&gt;Task_Table_02_26!$J$2:$J$571)*(A160&lt;Task_Table_02_26!$K$2:$K$571))</f>
        <v>6</v>
      </c>
    </row>
    <row r="161" spans="1:5">
      <c r="A161" s="5">
        <v>46029</v>
      </c>
      <c r="B161" cm="1">
        <f t="array" ref="B161">SUMPRODUCT((Task_Table_02_26!$C$2:$C$571=$B$1)*(A161&gt;Task_Table_02_26!$J$2:$J$571)*(A161&lt;Task_Table_02_26!$K$2:$K$571))</f>
        <v>6</v>
      </c>
      <c r="C161" cm="1">
        <f t="array" ref="C161">SUMPRODUCT((Task_Table_02_26!$C$2:$C$571=$C$1)*(A161&gt;Task_Table_02_26!$J$2:$J$571)*(A161&lt;Task_Table_02_26!$K$2:$K$571))</f>
        <v>1</v>
      </c>
      <c r="D161" cm="1">
        <f t="array" ref="D161">SUMPRODUCT((Task_Table_02_26!$C$2:$C$571=$D$1)*(A161&gt;Task_Table_02_26!$J$2:$J$571)*(A161&lt;Task_Table_02_26!$K$2:$K$571))</f>
        <v>0</v>
      </c>
      <c r="E161" cm="1">
        <f t="array" ref="E161">SUMPRODUCT((Task_Table_02_26!$C$2:$C$571=$E$1)*(A161&gt;Task_Table_02_26!$J$2:$J$571)*(A161&lt;Task_Table_02_26!$K$2:$K$571))</f>
        <v>6</v>
      </c>
    </row>
    <row r="162" spans="1:5">
      <c r="A162" s="5">
        <v>46030</v>
      </c>
      <c r="B162" cm="1">
        <f t="array" ref="B162">SUMPRODUCT((Task_Table_02_26!$C$2:$C$571=$B$1)*(A162&gt;Task_Table_02_26!$J$2:$J$571)*(A162&lt;Task_Table_02_26!$K$2:$K$571))</f>
        <v>13</v>
      </c>
      <c r="C162" cm="1">
        <f t="array" ref="C162">SUMPRODUCT((Task_Table_02_26!$C$2:$C$571=$C$1)*(A162&gt;Task_Table_02_26!$J$2:$J$571)*(A162&lt;Task_Table_02_26!$K$2:$K$571))</f>
        <v>2</v>
      </c>
      <c r="D162" cm="1">
        <f t="array" ref="D162">SUMPRODUCT((Task_Table_02_26!$C$2:$C$571=$D$1)*(A162&gt;Task_Table_02_26!$J$2:$J$571)*(A162&lt;Task_Table_02_26!$K$2:$K$571))</f>
        <v>0</v>
      </c>
      <c r="E162" cm="1">
        <f t="array" ref="E162">SUMPRODUCT((Task_Table_02_26!$C$2:$C$571=$E$1)*(A162&gt;Task_Table_02_26!$J$2:$J$571)*(A162&lt;Task_Table_02_26!$K$2:$K$571))</f>
        <v>6</v>
      </c>
    </row>
    <row r="163" spans="1:5">
      <c r="A163" s="5">
        <v>46031</v>
      </c>
      <c r="B163" cm="1">
        <f t="array" ref="B163">SUMPRODUCT((Task_Table_02_26!$C$2:$C$571=$B$1)*(A163&gt;Task_Table_02_26!$J$2:$J$571)*(A163&lt;Task_Table_02_26!$K$2:$K$571))</f>
        <v>13</v>
      </c>
      <c r="C163" cm="1">
        <f t="array" ref="C163">SUMPRODUCT((Task_Table_02_26!$C$2:$C$571=$C$1)*(A163&gt;Task_Table_02_26!$J$2:$J$571)*(A163&lt;Task_Table_02_26!$K$2:$K$571))</f>
        <v>2</v>
      </c>
      <c r="D163" cm="1">
        <f t="array" ref="D163">SUMPRODUCT((Task_Table_02_26!$C$2:$C$571=$D$1)*(A163&gt;Task_Table_02_26!$J$2:$J$571)*(A163&lt;Task_Table_02_26!$K$2:$K$571))</f>
        <v>0</v>
      </c>
      <c r="E163" cm="1">
        <f t="array" ref="E163">SUMPRODUCT((Task_Table_02_26!$C$2:$C$571=$E$1)*(A163&gt;Task_Table_02_26!$J$2:$J$571)*(A163&lt;Task_Table_02_26!$K$2:$K$571))</f>
        <v>6</v>
      </c>
    </row>
    <row r="164" spans="1:5">
      <c r="A164" s="5">
        <v>46032</v>
      </c>
      <c r="B164" cm="1">
        <f t="array" ref="B164">SUMPRODUCT((Task_Table_02_26!$C$2:$C$571=$B$1)*(A164&gt;Task_Table_02_26!$J$2:$J$571)*(A164&lt;Task_Table_02_26!$K$2:$K$571))</f>
        <v>13</v>
      </c>
      <c r="C164" cm="1">
        <f t="array" ref="C164">SUMPRODUCT((Task_Table_02_26!$C$2:$C$571=$C$1)*(A164&gt;Task_Table_02_26!$J$2:$J$571)*(A164&lt;Task_Table_02_26!$K$2:$K$571))</f>
        <v>2</v>
      </c>
      <c r="D164" cm="1">
        <f t="array" ref="D164">SUMPRODUCT((Task_Table_02_26!$C$2:$C$571=$D$1)*(A164&gt;Task_Table_02_26!$J$2:$J$571)*(A164&lt;Task_Table_02_26!$K$2:$K$571))</f>
        <v>0</v>
      </c>
      <c r="E164" cm="1">
        <f t="array" ref="E164">SUMPRODUCT((Task_Table_02_26!$C$2:$C$571=$E$1)*(A164&gt;Task_Table_02_26!$J$2:$J$571)*(A164&lt;Task_Table_02_26!$K$2:$K$571))</f>
        <v>6</v>
      </c>
    </row>
    <row r="165" spans="1:5">
      <c r="A165" s="5">
        <v>46033</v>
      </c>
      <c r="B165" cm="1">
        <f t="array" ref="B165">SUMPRODUCT((Task_Table_02_26!$C$2:$C$571=$B$1)*(A165&gt;Task_Table_02_26!$J$2:$J$571)*(A165&lt;Task_Table_02_26!$K$2:$K$571))</f>
        <v>13</v>
      </c>
      <c r="C165" cm="1">
        <f t="array" ref="C165">SUMPRODUCT((Task_Table_02_26!$C$2:$C$571=$C$1)*(A165&gt;Task_Table_02_26!$J$2:$J$571)*(A165&lt;Task_Table_02_26!$K$2:$K$571))</f>
        <v>2</v>
      </c>
      <c r="D165" cm="1">
        <f t="array" ref="D165">SUMPRODUCT((Task_Table_02_26!$C$2:$C$571=$D$1)*(A165&gt;Task_Table_02_26!$J$2:$J$571)*(A165&lt;Task_Table_02_26!$K$2:$K$571))</f>
        <v>0</v>
      </c>
      <c r="E165" cm="1">
        <f t="array" ref="E165">SUMPRODUCT((Task_Table_02_26!$C$2:$C$571=$E$1)*(A165&gt;Task_Table_02_26!$J$2:$J$571)*(A165&lt;Task_Table_02_26!$K$2:$K$571))</f>
        <v>6</v>
      </c>
    </row>
    <row r="166" spans="1:5">
      <c r="A166" s="5">
        <v>46034</v>
      </c>
      <c r="B166" cm="1">
        <f t="array" ref="B166">SUMPRODUCT((Task_Table_02_26!$C$2:$C$571=$B$1)*(A166&gt;Task_Table_02_26!$J$2:$J$571)*(A166&lt;Task_Table_02_26!$K$2:$K$571))</f>
        <v>13</v>
      </c>
      <c r="C166" cm="1">
        <f t="array" ref="C166">SUMPRODUCT((Task_Table_02_26!$C$2:$C$571=$C$1)*(A166&gt;Task_Table_02_26!$J$2:$J$571)*(A166&lt;Task_Table_02_26!$K$2:$K$571))</f>
        <v>2</v>
      </c>
      <c r="D166" cm="1">
        <f t="array" ref="D166">SUMPRODUCT((Task_Table_02_26!$C$2:$C$571=$D$1)*(A166&gt;Task_Table_02_26!$J$2:$J$571)*(A166&lt;Task_Table_02_26!$K$2:$K$571))</f>
        <v>0</v>
      </c>
      <c r="E166" cm="1">
        <f t="array" ref="E166">SUMPRODUCT((Task_Table_02_26!$C$2:$C$571=$E$1)*(A166&gt;Task_Table_02_26!$J$2:$J$571)*(A166&lt;Task_Table_02_26!$K$2:$K$571))</f>
        <v>6</v>
      </c>
    </row>
    <row r="167" spans="1:5">
      <c r="A167" s="5">
        <v>46035</v>
      </c>
      <c r="B167" cm="1">
        <f t="array" ref="B167">SUMPRODUCT((Task_Table_02_26!$C$2:$C$571=$B$1)*(A167&gt;Task_Table_02_26!$J$2:$J$571)*(A167&lt;Task_Table_02_26!$K$2:$K$571))</f>
        <v>23</v>
      </c>
      <c r="C167" cm="1">
        <f t="array" ref="C167">SUMPRODUCT((Task_Table_02_26!$C$2:$C$571=$C$1)*(A167&gt;Task_Table_02_26!$J$2:$J$571)*(A167&lt;Task_Table_02_26!$K$2:$K$571))</f>
        <v>2</v>
      </c>
      <c r="D167" cm="1">
        <f t="array" ref="D167">SUMPRODUCT((Task_Table_02_26!$C$2:$C$571=$D$1)*(A167&gt;Task_Table_02_26!$J$2:$J$571)*(A167&lt;Task_Table_02_26!$K$2:$K$571))</f>
        <v>0</v>
      </c>
      <c r="E167" cm="1">
        <f t="array" ref="E167">SUMPRODUCT((Task_Table_02_26!$C$2:$C$571=$E$1)*(A167&gt;Task_Table_02_26!$J$2:$J$571)*(A167&lt;Task_Table_02_26!$K$2:$K$571))</f>
        <v>6</v>
      </c>
    </row>
    <row r="168" spans="1:5">
      <c r="A168" s="5">
        <v>46036</v>
      </c>
      <c r="B168" cm="1">
        <f t="array" ref="B168">SUMPRODUCT((Task_Table_02_26!$C$2:$C$571=$B$1)*(A168&gt;Task_Table_02_26!$J$2:$J$571)*(A168&lt;Task_Table_02_26!$K$2:$K$571))</f>
        <v>25</v>
      </c>
      <c r="C168" cm="1">
        <f t="array" ref="C168">SUMPRODUCT((Task_Table_02_26!$C$2:$C$571=$C$1)*(A168&gt;Task_Table_02_26!$J$2:$J$571)*(A168&lt;Task_Table_02_26!$K$2:$K$571))</f>
        <v>2</v>
      </c>
      <c r="D168" cm="1">
        <f t="array" ref="D168">SUMPRODUCT((Task_Table_02_26!$C$2:$C$571=$D$1)*(A168&gt;Task_Table_02_26!$J$2:$J$571)*(A168&lt;Task_Table_02_26!$K$2:$K$571))</f>
        <v>0</v>
      </c>
      <c r="E168" cm="1">
        <f t="array" ref="E168">SUMPRODUCT((Task_Table_02_26!$C$2:$C$571=$E$1)*(A168&gt;Task_Table_02_26!$J$2:$J$571)*(A168&lt;Task_Table_02_26!$K$2:$K$571))</f>
        <v>6</v>
      </c>
    </row>
    <row r="169" spans="1:5">
      <c r="A169" s="5">
        <v>46037</v>
      </c>
      <c r="B169" cm="1">
        <f t="array" ref="B169">SUMPRODUCT((Task_Table_02_26!$C$2:$C$571=$B$1)*(A169&gt;Task_Table_02_26!$J$2:$J$571)*(A169&lt;Task_Table_02_26!$K$2:$K$571))</f>
        <v>26</v>
      </c>
      <c r="C169" cm="1">
        <f t="array" ref="C169">SUMPRODUCT((Task_Table_02_26!$C$2:$C$571=$C$1)*(A169&gt;Task_Table_02_26!$J$2:$J$571)*(A169&lt;Task_Table_02_26!$K$2:$K$571))</f>
        <v>2</v>
      </c>
      <c r="D169" cm="1">
        <f t="array" ref="D169">SUMPRODUCT((Task_Table_02_26!$C$2:$C$571=$D$1)*(A169&gt;Task_Table_02_26!$J$2:$J$571)*(A169&lt;Task_Table_02_26!$K$2:$K$571))</f>
        <v>0</v>
      </c>
      <c r="E169" cm="1">
        <f t="array" ref="E169">SUMPRODUCT((Task_Table_02_26!$C$2:$C$571=$E$1)*(A169&gt;Task_Table_02_26!$J$2:$J$571)*(A169&lt;Task_Table_02_26!$K$2:$K$571))</f>
        <v>6</v>
      </c>
    </row>
    <row r="170" spans="1:5">
      <c r="A170" s="5">
        <v>46038</v>
      </c>
      <c r="B170" cm="1">
        <f t="array" ref="B170">SUMPRODUCT((Task_Table_02_26!$C$2:$C$571=$B$1)*(A170&gt;Task_Table_02_26!$J$2:$J$571)*(A170&lt;Task_Table_02_26!$K$2:$K$571))</f>
        <v>29</v>
      </c>
      <c r="C170" cm="1">
        <f t="array" ref="C170">SUMPRODUCT((Task_Table_02_26!$C$2:$C$571=$C$1)*(A170&gt;Task_Table_02_26!$J$2:$J$571)*(A170&lt;Task_Table_02_26!$K$2:$K$571))</f>
        <v>2</v>
      </c>
      <c r="D170" cm="1">
        <f t="array" ref="D170">SUMPRODUCT((Task_Table_02_26!$C$2:$C$571=$D$1)*(A170&gt;Task_Table_02_26!$J$2:$J$571)*(A170&lt;Task_Table_02_26!$K$2:$K$571))</f>
        <v>0</v>
      </c>
      <c r="E170" cm="1">
        <f t="array" ref="E170">SUMPRODUCT((Task_Table_02_26!$C$2:$C$571=$E$1)*(A170&gt;Task_Table_02_26!$J$2:$J$571)*(A170&lt;Task_Table_02_26!$K$2:$K$571))</f>
        <v>6</v>
      </c>
    </row>
    <row r="171" spans="1:5">
      <c r="A171" s="5">
        <v>46039</v>
      </c>
      <c r="B171" cm="1">
        <f t="array" ref="B171">SUMPRODUCT((Task_Table_02_26!$C$2:$C$571=$B$1)*(A171&gt;Task_Table_02_26!$J$2:$J$571)*(A171&lt;Task_Table_02_26!$K$2:$K$571))</f>
        <v>29</v>
      </c>
      <c r="C171" cm="1">
        <f t="array" ref="C171">SUMPRODUCT((Task_Table_02_26!$C$2:$C$571=$C$1)*(A171&gt;Task_Table_02_26!$J$2:$J$571)*(A171&lt;Task_Table_02_26!$K$2:$K$571))</f>
        <v>1</v>
      </c>
      <c r="D171" cm="1">
        <f t="array" ref="D171">SUMPRODUCT((Task_Table_02_26!$C$2:$C$571=$D$1)*(A171&gt;Task_Table_02_26!$J$2:$J$571)*(A171&lt;Task_Table_02_26!$K$2:$K$571))</f>
        <v>0</v>
      </c>
      <c r="E171" cm="1">
        <f t="array" ref="E171">SUMPRODUCT((Task_Table_02_26!$C$2:$C$571=$E$1)*(A171&gt;Task_Table_02_26!$J$2:$J$571)*(A171&lt;Task_Table_02_26!$K$2:$K$571))</f>
        <v>6</v>
      </c>
    </row>
    <row r="172" spans="1:5">
      <c r="A172" s="5">
        <v>46040</v>
      </c>
      <c r="B172" cm="1">
        <f t="array" ref="B172">SUMPRODUCT((Task_Table_02_26!$C$2:$C$571=$B$1)*(A172&gt;Task_Table_02_26!$J$2:$J$571)*(A172&lt;Task_Table_02_26!$K$2:$K$571))</f>
        <v>29</v>
      </c>
      <c r="C172" cm="1">
        <f t="array" ref="C172">SUMPRODUCT((Task_Table_02_26!$C$2:$C$571=$C$1)*(A172&gt;Task_Table_02_26!$J$2:$J$571)*(A172&lt;Task_Table_02_26!$K$2:$K$571))</f>
        <v>1</v>
      </c>
      <c r="D172" cm="1">
        <f t="array" ref="D172">SUMPRODUCT((Task_Table_02_26!$C$2:$C$571=$D$1)*(A172&gt;Task_Table_02_26!$J$2:$J$571)*(A172&lt;Task_Table_02_26!$K$2:$K$571))</f>
        <v>0</v>
      </c>
      <c r="E172" cm="1">
        <f t="array" ref="E172">SUMPRODUCT((Task_Table_02_26!$C$2:$C$571=$E$1)*(A172&gt;Task_Table_02_26!$J$2:$J$571)*(A172&lt;Task_Table_02_26!$K$2:$K$571))</f>
        <v>6</v>
      </c>
    </row>
    <row r="173" spans="1:5">
      <c r="A173" s="5">
        <v>46041</v>
      </c>
      <c r="B173" cm="1">
        <f t="array" ref="B173">SUMPRODUCT((Task_Table_02_26!$C$2:$C$571=$B$1)*(A173&gt;Task_Table_02_26!$J$2:$J$571)*(A173&lt;Task_Table_02_26!$K$2:$K$571))</f>
        <v>29</v>
      </c>
      <c r="C173" cm="1">
        <f t="array" ref="C173">SUMPRODUCT((Task_Table_02_26!$C$2:$C$571=$C$1)*(A173&gt;Task_Table_02_26!$J$2:$J$571)*(A173&lt;Task_Table_02_26!$K$2:$K$571))</f>
        <v>1</v>
      </c>
      <c r="D173" cm="1">
        <f t="array" ref="D173">SUMPRODUCT((Task_Table_02_26!$C$2:$C$571=$D$1)*(A173&gt;Task_Table_02_26!$J$2:$J$571)*(A173&lt;Task_Table_02_26!$K$2:$K$571))</f>
        <v>0</v>
      </c>
      <c r="E173" cm="1">
        <f t="array" ref="E173">SUMPRODUCT((Task_Table_02_26!$C$2:$C$571=$E$1)*(A173&gt;Task_Table_02_26!$J$2:$J$571)*(A173&lt;Task_Table_02_26!$K$2:$K$571))</f>
        <v>6</v>
      </c>
    </row>
    <row r="174" spans="1:5">
      <c r="A174" s="5">
        <v>46042</v>
      </c>
      <c r="B174" cm="1">
        <f t="array" ref="B174">SUMPRODUCT((Task_Table_02_26!$C$2:$C$571=$B$1)*(A174&gt;Task_Table_02_26!$J$2:$J$571)*(A174&lt;Task_Table_02_26!$K$2:$K$571))</f>
        <v>29</v>
      </c>
      <c r="C174" cm="1">
        <f t="array" ref="C174">SUMPRODUCT((Task_Table_02_26!$C$2:$C$571=$C$1)*(A174&gt;Task_Table_02_26!$J$2:$J$571)*(A174&lt;Task_Table_02_26!$K$2:$K$571))</f>
        <v>1</v>
      </c>
      <c r="D174" cm="1">
        <f t="array" ref="D174">SUMPRODUCT((Task_Table_02_26!$C$2:$C$571=$D$1)*(A174&gt;Task_Table_02_26!$J$2:$J$571)*(A174&lt;Task_Table_02_26!$K$2:$K$571))</f>
        <v>0</v>
      </c>
      <c r="E174" cm="1">
        <f t="array" ref="E174">SUMPRODUCT((Task_Table_02_26!$C$2:$C$571=$E$1)*(A174&gt;Task_Table_02_26!$J$2:$J$571)*(A174&lt;Task_Table_02_26!$K$2:$K$571))</f>
        <v>6</v>
      </c>
    </row>
    <row r="175" spans="1:5">
      <c r="A175" s="5">
        <v>46043</v>
      </c>
      <c r="B175" cm="1">
        <f t="array" ref="B175">SUMPRODUCT((Task_Table_02_26!$C$2:$C$571=$B$1)*(A175&gt;Task_Table_02_26!$J$2:$J$571)*(A175&lt;Task_Table_02_26!$K$2:$K$571))</f>
        <v>30</v>
      </c>
      <c r="C175" cm="1">
        <f t="array" ref="C175">SUMPRODUCT((Task_Table_02_26!$C$2:$C$571=$C$1)*(A175&gt;Task_Table_02_26!$J$2:$J$571)*(A175&lt;Task_Table_02_26!$K$2:$K$571))</f>
        <v>1</v>
      </c>
      <c r="D175" cm="1">
        <f t="array" ref="D175">SUMPRODUCT((Task_Table_02_26!$C$2:$C$571=$D$1)*(A175&gt;Task_Table_02_26!$J$2:$J$571)*(A175&lt;Task_Table_02_26!$K$2:$K$571))</f>
        <v>0</v>
      </c>
      <c r="E175" cm="1">
        <f t="array" ref="E175">SUMPRODUCT((Task_Table_02_26!$C$2:$C$571=$E$1)*(A175&gt;Task_Table_02_26!$J$2:$J$571)*(A175&lt;Task_Table_02_26!$K$2:$K$571))</f>
        <v>6</v>
      </c>
    </row>
    <row r="176" spans="1:5">
      <c r="A176" s="5">
        <v>46044</v>
      </c>
      <c r="B176" cm="1">
        <f t="array" ref="B176">SUMPRODUCT((Task_Table_02_26!$C$2:$C$571=$B$1)*(A176&gt;Task_Table_02_26!$J$2:$J$571)*(A176&lt;Task_Table_02_26!$K$2:$K$571))</f>
        <v>30</v>
      </c>
      <c r="C176" cm="1">
        <f t="array" ref="C176">SUMPRODUCT((Task_Table_02_26!$C$2:$C$571=$C$1)*(A176&gt;Task_Table_02_26!$J$2:$J$571)*(A176&lt;Task_Table_02_26!$K$2:$K$571))</f>
        <v>1</v>
      </c>
      <c r="D176" cm="1">
        <f t="array" ref="D176">SUMPRODUCT((Task_Table_02_26!$C$2:$C$571=$D$1)*(A176&gt;Task_Table_02_26!$J$2:$J$571)*(A176&lt;Task_Table_02_26!$K$2:$K$571))</f>
        <v>0</v>
      </c>
      <c r="E176" cm="1">
        <f t="array" ref="E176">SUMPRODUCT((Task_Table_02_26!$C$2:$C$571=$E$1)*(A176&gt;Task_Table_02_26!$J$2:$J$571)*(A176&lt;Task_Table_02_26!$K$2:$K$571))</f>
        <v>6</v>
      </c>
    </row>
    <row r="177" spans="1:5">
      <c r="A177" s="5">
        <v>46045</v>
      </c>
      <c r="B177" cm="1">
        <f t="array" ref="B177">SUMPRODUCT((Task_Table_02_26!$C$2:$C$571=$B$1)*(A177&gt;Task_Table_02_26!$J$2:$J$571)*(A177&lt;Task_Table_02_26!$K$2:$K$571))</f>
        <v>30</v>
      </c>
      <c r="C177" cm="1">
        <f t="array" ref="C177">SUMPRODUCT((Task_Table_02_26!$C$2:$C$571=$C$1)*(A177&gt;Task_Table_02_26!$J$2:$J$571)*(A177&lt;Task_Table_02_26!$K$2:$K$571))</f>
        <v>1</v>
      </c>
      <c r="D177" cm="1">
        <f t="array" ref="D177">SUMPRODUCT((Task_Table_02_26!$C$2:$C$571=$D$1)*(A177&gt;Task_Table_02_26!$J$2:$J$571)*(A177&lt;Task_Table_02_26!$K$2:$K$571))</f>
        <v>0</v>
      </c>
      <c r="E177" cm="1">
        <f t="array" ref="E177">SUMPRODUCT((Task_Table_02_26!$C$2:$C$571=$E$1)*(A177&gt;Task_Table_02_26!$J$2:$J$571)*(A177&lt;Task_Table_02_26!$K$2:$K$571))</f>
        <v>6</v>
      </c>
    </row>
    <row r="178" spans="1:5">
      <c r="A178" s="5">
        <v>46046</v>
      </c>
      <c r="B178" cm="1">
        <f t="array" ref="B178">SUMPRODUCT((Task_Table_02_26!$C$2:$C$571=$B$1)*(A178&gt;Task_Table_02_26!$J$2:$J$571)*(A178&lt;Task_Table_02_26!$K$2:$K$571))</f>
        <v>30</v>
      </c>
      <c r="C178" cm="1">
        <f t="array" ref="C178">SUMPRODUCT((Task_Table_02_26!$C$2:$C$571=$C$1)*(A178&gt;Task_Table_02_26!$J$2:$J$571)*(A178&lt;Task_Table_02_26!$K$2:$K$571))</f>
        <v>1</v>
      </c>
      <c r="D178" cm="1">
        <f t="array" ref="D178">SUMPRODUCT((Task_Table_02_26!$C$2:$C$571=$D$1)*(A178&gt;Task_Table_02_26!$J$2:$J$571)*(A178&lt;Task_Table_02_26!$K$2:$K$571))</f>
        <v>0</v>
      </c>
      <c r="E178" cm="1">
        <f t="array" ref="E178">SUMPRODUCT((Task_Table_02_26!$C$2:$C$571=$E$1)*(A178&gt;Task_Table_02_26!$J$2:$J$571)*(A178&lt;Task_Table_02_26!$K$2:$K$571))</f>
        <v>6</v>
      </c>
    </row>
    <row r="179" spans="1:5">
      <c r="A179" s="5">
        <v>46047</v>
      </c>
      <c r="B179" cm="1">
        <f t="array" ref="B179">SUMPRODUCT((Task_Table_02_26!$C$2:$C$571=$B$1)*(A179&gt;Task_Table_02_26!$J$2:$J$571)*(A179&lt;Task_Table_02_26!$K$2:$K$571))</f>
        <v>30</v>
      </c>
      <c r="C179" cm="1">
        <f t="array" ref="C179">SUMPRODUCT((Task_Table_02_26!$C$2:$C$571=$C$1)*(A179&gt;Task_Table_02_26!$J$2:$J$571)*(A179&lt;Task_Table_02_26!$K$2:$K$571))</f>
        <v>1</v>
      </c>
      <c r="D179" cm="1">
        <f t="array" ref="D179">SUMPRODUCT((Task_Table_02_26!$C$2:$C$571=$D$1)*(A179&gt;Task_Table_02_26!$J$2:$J$571)*(A179&lt;Task_Table_02_26!$K$2:$K$571))</f>
        <v>0</v>
      </c>
      <c r="E179" cm="1">
        <f t="array" ref="E179">SUMPRODUCT((Task_Table_02_26!$C$2:$C$571=$E$1)*(A179&gt;Task_Table_02_26!$J$2:$J$571)*(A179&lt;Task_Table_02_26!$K$2:$K$571))</f>
        <v>6</v>
      </c>
    </row>
    <row r="180" spans="1:5">
      <c r="A180" s="5">
        <v>46048</v>
      </c>
      <c r="B180" cm="1">
        <f t="array" ref="B180">SUMPRODUCT((Task_Table_02_26!$C$2:$C$571=$B$1)*(A180&gt;Task_Table_02_26!$J$2:$J$571)*(A180&lt;Task_Table_02_26!$K$2:$K$571))</f>
        <v>30</v>
      </c>
      <c r="C180" cm="1">
        <f t="array" ref="C180">SUMPRODUCT((Task_Table_02_26!$C$2:$C$571=$C$1)*(A180&gt;Task_Table_02_26!$J$2:$J$571)*(A180&lt;Task_Table_02_26!$K$2:$K$571))</f>
        <v>1</v>
      </c>
      <c r="D180" cm="1">
        <f t="array" ref="D180">SUMPRODUCT((Task_Table_02_26!$C$2:$C$571=$D$1)*(A180&gt;Task_Table_02_26!$J$2:$J$571)*(A180&lt;Task_Table_02_26!$K$2:$K$571))</f>
        <v>0</v>
      </c>
      <c r="E180" cm="1">
        <f t="array" ref="E180">SUMPRODUCT((Task_Table_02_26!$C$2:$C$571=$E$1)*(A180&gt;Task_Table_02_26!$J$2:$J$571)*(A180&lt;Task_Table_02_26!$K$2:$K$571))</f>
        <v>6</v>
      </c>
    </row>
    <row r="181" spans="1:5">
      <c r="A181" s="5">
        <v>46049</v>
      </c>
      <c r="B181" cm="1">
        <f t="array" ref="B181">SUMPRODUCT((Task_Table_02_26!$C$2:$C$571=$B$1)*(A181&gt;Task_Table_02_26!$J$2:$J$571)*(A181&lt;Task_Table_02_26!$K$2:$K$571))</f>
        <v>30</v>
      </c>
      <c r="C181" cm="1">
        <f t="array" ref="C181">SUMPRODUCT((Task_Table_02_26!$C$2:$C$571=$C$1)*(A181&gt;Task_Table_02_26!$J$2:$J$571)*(A181&lt;Task_Table_02_26!$K$2:$K$571))</f>
        <v>1</v>
      </c>
      <c r="D181" cm="1">
        <f t="array" ref="D181">SUMPRODUCT((Task_Table_02_26!$C$2:$C$571=$D$1)*(A181&gt;Task_Table_02_26!$J$2:$J$571)*(A181&lt;Task_Table_02_26!$K$2:$K$571))</f>
        <v>0</v>
      </c>
      <c r="E181" cm="1">
        <f t="array" ref="E181">SUMPRODUCT((Task_Table_02_26!$C$2:$C$571=$E$1)*(A181&gt;Task_Table_02_26!$J$2:$J$571)*(A181&lt;Task_Table_02_26!$K$2:$K$571))</f>
        <v>6</v>
      </c>
    </row>
    <row r="182" spans="1:5">
      <c r="A182" s="5">
        <v>46050</v>
      </c>
      <c r="B182" cm="1">
        <f t="array" ref="B182">SUMPRODUCT((Task_Table_02_26!$C$2:$C$571=$B$1)*(A182&gt;Task_Table_02_26!$J$2:$J$571)*(A182&lt;Task_Table_02_26!$K$2:$K$571))</f>
        <v>30</v>
      </c>
      <c r="C182" cm="1">
        <f t="array" ref="C182">SUMPRODUCT((Task_Table_02_26!$C$2:$C$571=$C$1)*(A182&gt;Task_Table_02_26!$J$2:$J$571)*(A182&lt;Task_Table_02_26!$K$2:$K$571))</f>
        <v>1</v>
      </c>
      <c r="D182" cm="1">
        <f t="array" ref="D182">SUMPRODUCT((Task_Table_02_26!$C$2:$C$571=$D$1)*(A182&gt;Task_Table_02_26!$J$2:$J$571)*(A182&lt;Task_Table_02_26!$K$2:$K$571))</f>
        <v>0</v>
      </c>
      <c r="E182" cm="1">
        <f t="array" ref="E182">SUMPRODUCT((Task_Table_02_26!$C$2:$C$571=$E$1)*(A182&gt;Task_Table_02_26!$J$2:$J$571)*(A182&lt;Task_Table_02_26!$K$2:$K$571))</f>
        <v>6</v>
      </c>
    </row>
    <row r="183" spans="1:5">
      <c r="A183" s="5">
        <v>46051</v>
      </c>
      <c r="B183" cm="1">
        <f t="array" ref="B183">SUMPRODUCT((Task_Table_02_26!$C$2:$C$571=$B$1)*(A183&gt;Task_Table_02_26!$J$2:$J$571)*(A183&lt;Task_Table_02_26!$K$2:$K$571))</f>
        <v>29</v>
      </c>
      <c r="C183" cm="1">
        <f t="array" ref="C183">SUMPRODUCT((Task_Table_02_26!$C$2:$C$571=$C$1)*(A183&gt;Task_Table_02_26!$J$2:$J$571)*(A183&lt;Task_Table_02_26!$K$2:$K$571))</f>
        <v>1</v>
      </c>
      <c r="D183" cm="1">
        <f t="array" ref="D183">SUMPRODUCT((Task_Table_02_26!$C$2:$C$571=$D$1)*(A183&gt;Task_Table_02_26!$J$2:$J$571)*(A183&lt;Task_Table_02_26!$K$2:$K$571))</f>
        <v>0</v>
      </c>
      <c r="E183" cm="1">
        <f t="array" ref="E183">SUMPRODUCT((Task_Table_02_26!$C$2:$C$571=$E$1)*(A183&gt;Task_Table_02_26!$J$2:$J$571)*(A183&lt;Task_Table_02_26!$K$2:$K$571))</f>
        <v>6</v>
      </c>
    </row>
    <row r="184" spans="1:5">
      <c r="A184" s="5">
        <v>46052</v>
      </c>
      <c r="B184" cm="1">
        <f t="array" ref="B184">SUMPRODUCT((Task_Table_02_26!$C$2:$C$571=$B$1)*(A184&gt;Task_Table_02_26!$J$2:$J$571)*(A184&lt;Task_Table_02_26!$K$2:$K$571))</f>
        <v>28</v>
      </c>
      <c r="C184" cm="1">
        <f t="array" ref="C184">SUMPRODUCT((Task_Table_02_26!$C$2:$C$571=$C$1)*(A184&gt;Task_Table_02_26!$J$2:$J$571)*(A184&lt;Task_Table_02_26!$K$2:$K$571))</f>
        <v>1</v>
      </c>
      <c r="D184" cm="1">
        <f t="array" ref="D184">SUMPRODUCT((Task_Table_02_26!$C$2:$C$571=$D$1)*(A184&gt;Task_Table_02_26!$J$2:$J$571)*(A184&lt;Task_Table_02_26!$K$2:$K$571))</f>
        <v>0</v>
      </c>
      <c r="E184" cm="1">
        <f t="array" ref="E184">SUMPRODUCT((Task_Table_02_26!$C$2:$C$571=$E$1)*(A184&gt;Task_Table_02_26!$J$2:$J$571)*(A184&lt;Task_Table_02_26!$K$2:$K$571))</f>
        <v>6</v>
      </c>
    </row>
    <row r="185" spans="1:5">
      <c r="A185" s="5">
        <v>46053</v>
      </c>
      <c r="B185" cm="1">
        <f t="array" ref="B185">SUMPRODUCT((Task_Table_02_26!$C$2:$C$571=$B$1)*(A185&gt;Task_Table_02_26!$J$2:$J$571)*(A185&lt;Task_Table_02_26!$K$2:$K$571))</f>
        <v>27</v>
      </c>
      <c r="C185" cm="1">
        <f t="array" ref="C185">SUMPRODUCT((Task_Table_02_26!$C$2:$C$571=$C$1)*(A185&gt;Task_Table_02_26!$J$2:$J$571)*(A185&lt;Task_Table_02_26!$K$2:$K$571))</f>
        <v>1</v>
      </c>
      <c r="D185" cm="1">
        <f t="array" ref="D185">SUMPRODUCT((Task_Table_02_26!$C$2:$C$571=$D$1)*(A185&gt;Task_Table_02_26!$J$2:$J$571)*(A185&lt;Task_Table_02_26!$K$2:$K$571))</f>
        <v>0</v>
      </c>
      <c r="E185" cm="1">
        <f t="array" ref="E185">SUMPRODUCT((Task_Table_02_26!$C$2:$C$571=$E$1)*(A185&gt;Task_Table_02_26!$J$2:$J$571)*(A185&lt;Task_Table_02_26!$K$2:$K$571))</f>
        <v>6</v>
      </c>
    </row>
    <row r="186" spans="1:5">
      <c r="A186" s="5">
        <v>46054</v>
      </c>
      <c r="B186" cm="1">
        <f t="array" ref="B186">SUMPRODUCT((Task_Table_02_26!$C$2:$C$571=$B$1)*(A186&gt;Task_Table_02_26!$J$2:$J$571)*(A186&lt;Task_Table_02_26!$K$2:$K$571))</f>
        <v>27</v>
      </c>
      <c r="C186" cm="1">
        <f t="array" ref="C186">SUMPRODUCT((Task_Table_02_26!$C$2:$C$571=$C$1)*(A186&gt;Task_Table_02_26!$J$2:$J$571)*(A186&lt;Task_Table_02_26!$K$2:$K$571))</f>
        <v>1</v>
      </c>
      <c r="D186" cm="1">
        <f t="array" ref="D186">SUMPRODUCT((Task_Table_02_26!$C$2:$C$571=$D$1)*(A186&gt;Task_Table_02_26!$J$2:$J$571)*(A186&lt;Task_Table_02_26!$K$2:$K$571))</f>
        <v>0</v>
      </c>
      <c r="E186" cm="1">
        <f t="array" ref="E186">SUMPRODUCT((Task_Table_02_26!$C$2:$C$571=$E$1)*(A186&gt;Task_Table_02_26!$J$2:$J$571)*(A186&lt;Task_Table_02_26!$K$2:$K$571))</f>
        <v>6</v>
      </c>
    </row>
    <row r="187" spans="1:5">
      <c r="A187" s="5">
        <v>46055</v>
      </c>
      <c r="B187" cm="1">
        <f t="array" ref="B187">SUMPRODUCT((Task_Table_02_26!$C$2:$C$571=$B$1)*(A187&gt;Task_Table_02_26!$J$2:$J$571)*(A187&lt;Task_Table_02_26!$K$2:$K$571))</f>
        <v>27</v>
      </c>
      <c r="C187" cm="1">
        <f t="array" ref="C187">SUMPRODUCT((Task_Table_02_26!$C$2:$C$571=$C$1)*(A187&gt;Task_Table_02_26!$J$2:$J$571)*(A187&lt;Task_Table_02_26!$K$2:$K$571))</f>
        <v>1</v>
      </c>
      <c r="D187" cm="1">
        <f t="array" ref="D187">SUMPRODUCT((Task_Table_02_26!$C$2:$C$571=$D$1)*(A187&gt;Task_Table_02_26!$J$2:$J$571)*(A187&lt;Task_Table_02_26!$K$2:$K$571))</f>
        <v>0</v>
      </c>
      <c r="E187" cm="1">
        <f t="array" ref="E187">SUMPRODUCT((Task_Table_02_26!$C$2:$C$571=$E$1)*(A187&gt;Task_Table_02_26!$J$2:$J$571)*(A187&lt;Task_Table_02_26!$K$2:$K$571))</f>
        <v>5</v>
      </c>
    </row>
    <row r="188" spans="1:5">
      <c r="A188" s="5">
        <v>46056</v>
      </c>
      <c r="B188" cm="1">
        <f t="array" ref="B188">SUMPRODUCT((Task_Table_02_26!$C$2:$C$571=$B$1)*(A188&gt;Task_Table_02_26!$J$2:$J$571)*(A188&lt;Task_Table_02_26!$K$2:$K$571))</f>
        <v>28</v>
      </c>
      <c r="C188" cm="1">
        <f t="array" ref="C188">SUMPRODUCT((Task_Table_02_26!$C$2:$C$571=$C$1)*(A188&gt;Task_Table_02_26!$J$2:$J$571)*(A188&lt;Task_Table_02_26!$K$2:$K$571))</f>
        <v>2</v>
      </c>
      <c r="D188" cm="1">
        <f t="array" ref="D188">SUMPRODUCT((Task_Table_02_26!$C$2:$C$571=$D$1)*(A188&gt;Task_Table_02_26!$J$2:$J$571)*(A188&lt;Task_Table_02_26!$K$2:$K$571))</f>
        <v>0</v>
      </c>
      <c r="E188" cm="1">
        <f t="array" ref="E188">SUMPRODUCT((Task_Table_02_26!$C$2:$C$571=$E$1)*(A188&gt;Task_Table_02_26!$J$2:$J$571)*(A188&lt;Task_Table_02_26!$K$2:$K$571))</f>
        <v>7</v>
      </c>
    </row>
    <row r="189" spans="1:5">
      <c r="A189" s="5">
        <v>46057</v>
      </c>
      <c r="B189" cm="1">
        <f t="array" ref="B189">SUMPRODUCT((Task_Table_02_26!$C$2:$C$571=$B$1)*(A189&gt;Task_Table_02_26!$J$2:$J$571)*(A189&lt;Task_Table_02_26!$K$2:$K$571))</f>
        <v>28</v>
      </c>
      <c r="C189" cm="1">
        <f t="array" ref="C189">SUMPRODUCT((Task_Table_02_26!$C$2:$C$571=$C$1)*(A189&gt;Task_Table_02_26!$J$2:$J$571)*(A189&lt;Task_Table_02_26!$K$2:$K$571))</f>
        <v>2</v>
      </c>
      <c r="D189" cm="1">
        <f t="array" ref="D189">SUMPRODUCT((Task_Table_02_26!$C$2:$C$571=$D$1)*(A189&gt;Task_Table_02_26!$J$2:$J$571)*(A189&lt;Task_Table_02_26!$K$2:$K$571))</f>
        <v>0</v>
      </c>
      <c r="E189" cm="1">
        <f t="array" ref="E189">SUMPRODUCT((Task_Table_02_26!$C$2:$C$571=$E$1)*(A189&gt;Task_Table_02_26!$J$2:$J$571)*(A189&lt;Task_Table_02_26!$K$2:$K$571))</f>
        <v>7</v>
      </c>
    </row>
    <row r="190" spans="1:5">
      <c r="A190" s="5">
        <v>46058</v>
      </c>
      <c r="B190" cm="1">
        <f t="array" ref="B190">SUMPRODUCT((Task_Table_02_26!$C$2:$C$571=$B$1)*(A190&gt;Task_Table_02_26!$J$2:$J$571)*(A190&lt;Task_Table_02_26!$K$2:$K$571))</f>
        <v>28</v>
      </c>
      <c r="C190" cm="1">
        <f t="array" ref="C190">SUMPRODUCT((Task_Table_02_26!$C$2:$C$571=$C$1)*(A190&gt;Task_Table_02_26!$J$2:$J$571)*(A190&lt;Task_Table_02_26!$K$2:$K$571))</f>
        <v>2</v>
      </c>
      <c r="D190" cm="1">
        <f t="array" ref="D190">SUMPRODUCT((Task_Table_02_26!$C$2:$C$571=$D$1)*(A190&gt;Task_Table_02_26!$J$2:$J$571)*(A190&lt;Task_Table_02_26!$K$2:$K$571))</f>
        <v>0</v>
      </c>
      <c r="E190" cm="1">
        <f t="array" ref="E190">SUMPRODUCT((Task_Table_02_26!$C$2:$C$571=$E$1)*(A190&gt;Task_Table_02_26!$J$2:$J$571)*(A190&lt;Task_Table_02_26!$K$2:$K$571))</f>
        <v>7</v>
      </c>
    </row>
    <row r="191" spans="1:5">
      <c r="A191" s="5">
        <v>46059</v>
      </c>
      <c r="B191" cm="1">
        <f t="array" ref="B191">SUMPRODUCT((Task_Table_02_26!$C$2:$C$571=$B$1)*(A191&gt;Task_Table_02_26!$J$2:$J$571)*(A191&lt;Task_Table_02_26!$K$2:$K$571))</f>
        <v>29</v>
      </c>
      <c r="C191" cm="1">
        <f t="array" ref="C191">SUMPRODUCT((Task_Table_02_26!$C$2:$C$571=$C$1)*(A191&gt;Task_Table_02_26!$J$2:$J$571)*(A191&lt;Task_Table_02_26!$K$2:$K$571))</f>
        <v>2</v>
      </c>
      <c r="D191" cm="1">
        <f t="array" ref="D191">SUMPRODUCT((Task_Table_02_26!$C$2:$C$571=$D$1)*(A191&gt;Task_Table_02_26!$J$2:$J$571)*(A191&lt;Task_Table_02_26!$K$2:$K$571))</f>
        <v>0</v>
      </c>
      <c r="E191" cm="1">
        <f t="array" ref="E191">SUMPRODUCT((Task_Table_02_26!$C$2:$C$571=$E$1)*(A191&gt;Task_Table_02_26!$J$2:$J$571)*(A191&lt;Task_Table_02_26!$K$2:$K$571))</f>
        <v>7</v>
      </c>
    </row>
    <row r="192" spans="1:5">
      <c r="A192" s="5">
        <v>46060</v>
      </c>
      <c r="B192" cm="1">
        <f t="array" ref="B192">SUMPRODUCT((Task_Table_02_26!$C$2:$C$571=$B$1)*(A192&gt;Task_Table_02_26!$J$2:$J$571)*(A192&lt;Task_Table_02_26!$K$2:$K$571))</f>
        <v>29</v>
      </c>
      <c r="C192" cm="1">
        <f t="array" ref="C192">SUMPRODUCT((Task_Table_02_26!$C$2:$C$571=$C$1)*(A192&gt;Task_Table_02_26!$J$2:$J$571)*(A192&lt;Task_Table_02_26!$K$2:$K$571))</f>
        <v>2</v>
      </c>
      <c r="D192" cm="1">
        <f t="array" ref="D192">SUMPRODUCT((Task_Table_02_26!$C$2:$C$571=$D$1)*(A192&gt;Task_Table_02_26!$J$2:$J$571)*(A192&lt;Task_Table_02_26!$K$2:$K$571))</f>
        <v>0</v>
      </c>
      <c r="E192" cm="1">
        <f t="array" ref="E192">SUMPRODUCT((Task_Table_02_26!$C$2:$C$571=$E$1)*(A192&gt;Task_Table_02_26!$J$2:$J$571)*(A192&lt;Task_Table_02_26!$K$2:$K$571))</f>
        <v>7</v>
      </c>
    </row>
    <row r="193" spans="1:5">
      <c r="A193" s="5">
        <v>46061</v>
      </c>
      <c r="B193" cm="1">
        <f t="array" ref="B193">SUMPRODUCT((Task_Table_02_26!$C$2:$C$571=$B$1)*(A193&gt;Task_Table_02_26!$J$2:$J$571)*(A193&lt;Task_Table_02_26!$K$2:$K$571))</f>
        <v>29</v>
      </c>
      <c r="C193" cm="1">
        <f t="array" ref="C193">SUMPRODUCT((Task_Table_02_26!$C$2:$C$571=$C$1)*(A193&gt;Task_Table_02_26!$J$2:$J$571)*(A193&lt;Task_Table_02_26!$K$2:$K$571))</f>
        <v>2</v>
      </c>
      <c r="D193" cm="1">
        <f t="array" ref="D193">SUMPRODUCT((Task_Table_02_26!$C$2:$C$571=$D$1)*(A193&gt;Task_Table_02_26!$J$2:$J$571)*(A193&lt;Task_Table_02_26!$K$2:$K$571))</f>
        <v>0</v>
      </c>
      <c r="E193" cm="1">
        <f t="array" ref="E193">SUMPRODUCT((Task_Table_02_26!$C$2:$C$571=$E$1)*(A193&gt;Task_Table_02_26!$J$2:$J$571)*(A193&lt;Task_Table_02_26!$K$2:$K$571))</f>
        <v>7</v>
      </c>
    </row>
    <row r="194" spans="1:5">
      <c r="A194" s="5">
        <v>46062</v>
      </c>
      <c r="B194" cm="1">
        <f t="array" ref="B194">SUMPRODUCT((Task_Table_02_26!$C$2:$C$571=$B$1)*(A194&gt;Task_Table_02_26!$J$2:$J$571)*(A194&lt;Task_Table_02_26!$K$2:$K$571))</f>
        <v>29</v>
      </c>
      <c r="C194" cm="1">
        <f t="array" ref="C194">SUMPRODUCT((Task_Table_02_26!$C$2:$C$571=$C$1)*(A194&gt;Task_Table_02_26!$J$2:$J$571)*(A194&lt;Task_Table_02_26!$K$2:$K$571))</f>
        <v>2</v>
      </c>
      <c r="D194" cm="1">
        <f t="array" ref="D194">SUMPRODUCT((Task_Table_02_26!$C$2:$C$571=$D$1)*(A194&gt;Task_Table_02_26!$J$2:$J$571)*(A194&lt;Task_Table_02_26!$K$2:$K$571))</f>
        <v>0</v>
      </c>
      <c r="E194" cm="1">
        <f t="array" ref="E194">SUMPRODUCT((Task_Table_02_26!$C$2:$C$571=$E$1)*(A194&gt;Task_Table_02_26!$J$2:$J$571)*(A194&lt;Task_Table_02_26!$K$2:$K$571))</f>
        <v>7</v>
      </c>
    </row>
    <row r="195" spans="1:5">
      <c r="A195" s="5">
        <v>46063</v>
      </c>
      <c r="B195" cm="1">
        <f t="array" ref="B195">SUMPRODUCT((Task_Table_02_26!$C$2:$C$571=$B$1)*(A195&gt;Task_Table_02_26!$J$2:$J$571)*(A195&lt;Task_Table_02_26!$K$2:$K$571))</f>
        <v>30</v>
      </c>
      <c r="C195" cm="1">
        <f t="array" ref="C195">SUMPRODUCT((Task_Table_02_26!$C$2:$C$571=$C$1)*(A195&gt;Task_Table_02_26!$J$2:$J$571)*(A195&lt;Task_Table_02_26!$K$2:$K$571))</f>
        <v>2</v>
      </c>
      <c r="D195" cm="1">
        <f t="array" ref="D195">SUMPRODUCT((Task_Table_02_26!$C$2:$C$571=$D$1)*(A195&gt;Task_Table_02_26!$J$2:$J$571)*(A195&lt;Task_Table_02_26!$K$2:$K$571))</f>
        <v>0</v>
      </c>
      <c r="E195" cm="1">
        <f t="array" ref="E195">SUMPRODUCT((Task_Table_02_26!$C$2:$C$571=$E$1)*(A195&gt;Task_Table_02_26!$J$2:$J$571)*(A195&lt;Task_Table_02_26!$K$2:$K$571))</f>
        <v>7</v>
      </c>
    </row>
    <row r="196" spans="1:5">
      <c r="A196" s="5">
        <v>46064</v>
      </c>
      <c r="B196" cm="1">
        <f t="array" ref="B196">SUMPRODUCT((Task_Table_02_26!$C$2:$C$571=$B$1)*(A196&gt;Task_Table_02_26!$J$2:$J$571)*(A196&lt;Task_Table_02_26!$K$2:$K$571))</f>
        <v>30</v>
      </c>
      <c r="C196" cm="1">
        <f t="array" ref="C196">SUMPRODUCT((Task_Table_02_26!$C$2:$C$571=$C$1)*(A196&gt;Task_Table_02_26!$J$2:$J$571)*(A196&lt;Task_Table_02_26!$K$2:$K$571))</f>
        <v>2</v>
      </c>
      <c r="D196" cm="1">
        <f t="array" ref="D196">SUMPRODUCT((Task_Table_02_26!$C$2:$C$571=$D$1)*(A196&gt;Task_Table_02_26!$J$2:$J$571)*(A196&lt;Task_Table_02_26!$K$2:$K$571))</f>
        <v>0</v>
      </c>
      <c r="E196" cm="1">
        <f t="array" ref="E196">SUMPRODUCT((Task_Table_02_26!$C$2:$C$571=$E$1)*(A196&gt;Task_Table_02_26!$J$2:$J$571)*(A196&lt;Task_Table_02_26!$K$2:$K$571))</f>
        <v>7</v>
      </c>
    </row>
    <row r="197" spans="1:5">
      <c r="A197" s="5">
        <v>46065</v>
      </c>
      <c r="B197" cm="1">
        <f t="array" ref="B197">SUMPRODUCT((Task_Table_02_26!$C$2:$C$571=$B$1)*(A197&gt;Task_Table_02_26!$J$2:$J$571)*(A197&lt;Task_Table_02_26!$K$2:$K$571))</f>
        <v>30</v>
      </c>
      <c r="C197" cm="1">
        <f t="array" ref="C197">SUMPRODUCT((Task_Table_02_26!$C$2:$C$571=$C$1)*(A197&gt;Task_Table_02_26!$J$2:$J$571)*(A197&lt;Task_Table_02_26!$K$2:$K$571))</f>
        <v>2</v>
      </c>
      <c r="D197" cm="1">
        <f t="array" ref="D197">SUMPRODUCT((Task_Table_02_26!$C$2:$C$571=$D$1)*(A197&gt;Task_Table_02_26!$J$2:$J$571)*(A197&lt;Task_Table_02_26!$K$2:$K$571))</f>
        <v>0</v>
      </c>
      <c r="E197" cm="1">
        <f t="array" ref="E197">SUMPRODUCT((Task_Table_02_26!$C$2:$C$571=$E$1)*(A197&gt;Task_Table_02_26!$J$2:$J$571)*(A197&lt;Task_Table_02_26!$K$2:$K$571))</f>
        <v>7</v>
      </c>
    </row>
    <row r="198" spans="1:5">
      <c r="A198" s="5">
        <v>46066</v>
      </c>
      <c r="B198" cm="1">
        <f t="array" ref="B198">SUMPRODUCT((Task_Table_02_26!$C$2:$C$571=$B$1)*(A198&gt;Task_Table_02_26!$J$2:$J$571)*(A198&lt;Task_Table_02_26!$K$2:$K$571))</f>
        <v>30</v>
      </c>
      <c r="C198" cm="1">
        <f t="array" ref="C198">SUMPRODUCT((Task_Table_02_26!$C$2:$C$571=$C$1)*(A198&gt;Task_Table_02_26!$J$2:$J$571)*(A198&lt;Task_Table_02_26!$K$2:$K$571))</f>
        <v>2</v>
      </c>
      <c r="D198" cm="1">
        <f t="array" ref="D198">SUMPRODUCT((Task_Table_02_26!$C$2:$C$571=$D$1)*(A198&gt;Task_Table_02_26!$J$2:$J$571)*(A198&lt;Task_Table_02_26!$K$2:$K$571))</f>
        <v>0</v>
      </c>
      <c r="E198" cm="1">
        <f t="array" ref="E198">SUMPRODUCT((Task_Table_02_26!$C$2:$C$571=$E$1)*(A198&gt;Task_Table_02_26!$J$2:$J$571)*(A198&lt;Task_Table_02_26!$K$2:$K$571))</f>
        <v>7</v>
      </c>
    </row>
    <row r="199" spans="1:5">
      <c r="A199" s="5">
        <v>46067</v>
      </c>
      <c r="B199" cm="1">
        <f t="array" ref="B199">SUMPRODUCT((Task_Table_02_26!$C$2:$C$571=$B$1)*(A199&gt;Task_Table_02_26!$J$2:$J$571)*(A199&lt;Task_Table_02_26!$K$2:$K$571))</f>
        <v>30</v>
      </c>
      <c r="C199" cm="1">
        <f t="array" ref="C199">SUMPRODUCT((Task_Table_02_26!$C$2:$C$571=$C$1)*(A199&gt;Task_Table_02_26!$J$2:$J$571)*(A199&lt;Task_Table_02_26!$K$2:$K$571))</f>
        <v>2</v>
      </c>
      <c r="D199" cm="1">
        <f t="array" ref="D199">SUMPRODUCT((Task_Table_02_26!$C$2:$C$571=$D$1)*(A199&gt;Task_Table_02_26!$J$2:$J$571)*(A199&lt;Task_Table_02_26!$K$2:$K$571))</f>
        <v>0</v>
      </c>
      <c r="E199" cm="1">
        <f t="array" ref="E199">SUMPRODUCT((Task_Table_02_26!$C$2:$C$571=$E$1)*(A199&gt;Task_Table_02_26!$J$2:$J$571)*(A199&lt;Task_Table_02_26!$K$2:$K$571))</f>
        <v>7</v>
      </c>
    </row>
    <row r="200" spans="1:5">
      <c r="A200" s="5">
        <v>46068</v>
      </c>
      <c r="B200" cm="1">
        <f t="array" ref="B200">SUMPRODUCT((Task_Table_02_26!$C$2:$C$571=$B$1)*(A200&gt;Task_Table_02_26!$J$2:$J$571)*(A200&lt;Task_Table_02_26!$K$2:$K$571))</f>
        <v>29</v>
      </c>
      <c r="C200" cm="1">
        <f t="array" ref="C200">SUMPRODUCT((Task_Table_02_26!$C$2:$C$571=$C$1)*(A200&gt;Task_Table_02_26!$J$2:$J$571)*(A200&lt;Task_Table_02_26!$K$2:$K$571))</f>
        <v>2</v>
      </c>
      <c r="D200" cm="1">
        <f t="array" ref="D200">SUMPRODUCT((Task_Table_02_26!$C$2:$C$571=$D$1)*(A200&gt;Task_Table_02_26!$J$2:$J$571)*(A200&lt;Task_Table_02_26!$K$2:$K$571))</f>
        <v>0</v>
      </c>
      <c r="E200" cm="1">
        <f t="array" ref="E200">SUMPRODUCT((Task_Table_02_26!$C$2:$C$571=$E$1)*(A200&gt;Task_Table_02_26!$J$2:$J$571)*(A200&lt;Task_Table_02_26!$K$2:$K$571))</f>
        <v>7</v>
      </c>
    </row>
    <row r="201" spans="1:5">
      <c r="A201" s="5">
        <v>46069</v>
      </c>
      <c r="B201" cm="1">
        <f t="array" ref="B201">SUMPRODUCT((Task_Table_02_26!$C$2:$C$571=$B$1)*(A201&gt;Task_Table_02_26!$J$2:$J$571)*(A201&lt;Task_Table_02_26!$K$2:$K$571))</f>
        <v>29</v>
      </c>
      <c r="C201" cm="1">
        <f t="array" ref="C201">SUMPRODUCT((Task_Table_02_26!$C$2:$C$571=$C$1)*(A201&gt;Task_Table_02_26!$J$2:$J$571)*(A201&lt;Task_Table_02_26!$K$2:$K$571))</f>
        <v>2</v>
      </c>
      <c r="D201" cm="1">
        <f t="array" ref="D201">SUMPRODUCT((Task_Table_02_26!$C$2:$C$571=$D$1)*(A201&gt;Task_Table_02_26!$J$2:$J$571)*(A201&lt;Task_Table_02_26!$K$2:$K$571))</f>
        <v>0</v>
      </c>
      <c r="E201" cm="1">
        <f t="array" ref="E201">SUMPRODUCT((Task_Table_02_26!$C$2:$C$571=$E$1)*(A201&gt;Task_Table_02_26!$J$2:$J$571)*(A201&lt;Task_Table_02_26!$K$2:$K$571))</f>
        <v>7</v>
      </c>
    </row>
    <row r="202" spans="1:5">
      <c r="A202" s="5">
        <v>46070</v>
      </c>
      <c r="B202" cm="1">
        <f t="array" ref="B202">SUMPRODUCT((Task_Table_02_26!$C$2:$C$571=$B$1)*(A202&gt;Task_Table_02_26!$J$2:$J$571)*(A202&lt;Task_Table_02_26!$K$2:$K$571))</f>
        <v>31</v>
      </c>
      <c r="C202" cm="1">
        <f t="array" ref="C202">SUMPRODUCT((Task_Table_02_26!$C$2:$C$571=$C$1)*(A202&gt;Task_Table_02_26!$J$2:$J$571)*(A202&lt;Task_Table_02_26!$K$2:$K$571))</f>
        <v>3</v>
      </c>
      <c r="D202" cm="1">
        <f t="array" ref="D202">SUMPRODUCT((Task_Table_02_26!$C$2:$C$571=$D$1)*(A202&gt;Task_Table_02_26!$J$2:$J$571)*(A202&lt;Task_Table_02_26!$K$2:$K$571))</f>
        <v>0</v>
      </c>
      <c r="E202" cm="1">
        <f t="array" ref="E202">SUMPRODUCT((Task_Table_02_26!$C$2:$C$571=$E$1)*(A202&gt;Task_Table_02_26!$J$2:$J$571)*(A202&lt;Task_Table_02_26!$K$2:$K$571))</f>
        <v>8</v>
      </c>
    </row>
    <row r="203" spans="1:5">
      <c r="A203" s="5">
        <v>46071</v>
      </c>
      <c r="B203" cm="1">
        <f t="array" ref="B203">SUMPRODUCT((Task_Table_02_26!$C$2:$C$571=$B$1)*(A203&gt;Task_Table_02_26!$J$2:$J$571)*(A203&lt;Task_Table_02_26!$K$2:$K$571))</f>
        <v>31</v>
      </c>
      <c r="C203" cm="1">
        <f t="array" ref="C203">SUMPRODUCT((Task_Table_02_26!$C$2:$C$571=$C$1)*(A203&gt;Task_Table_02_26!$J$2:$J$571)*(A203&lt;Task_Table_02_26!$K$2:$K$571))</f>
        <v>3</v>
      </c>
      <c r="D203" cm="1">
        <f t="array" ref="D203">SUMPRODUCT((Task_Table_02_26!$C$2:$C$571=$D$1)*(A203&gt;Task_Table_02_26!$J$2:$J$571)*(A203&lt;Task_Table_02_26!$K$2:$K$571))</f>
        <v>0</v>
      </c>
      <c r="E203" cm="1">
        <f t="array" ref="E203">SUMPRODUCT((Task_Table_02_26!$C$2:$C$571=$E$1)*(A203&gt;Task_Table_02_26!$J$2:$J$571)*(A203&lt;Task_Table_02_26!$K$2:$K$571))</f>
        <v>8</v>
      </c>
    </row>
    <row r="204" spans="1:5">
      <c r="A204" s="5">
        <v>46072</v>
      </c>
      <c r="B204" cm="1">
        <f t="array" ref="B204">SUMPRODUCT((Task_Table_02_26!$C$2:$C$571=$B$1)*(A204&gt;Task_Table_02_26!$J$2:$J$571)*(A204&lt;Task_Table_02_26!$K$2:$K$571))</f>
        <v>31</v>
      </c>
      <c r="C204" cm="1">
        <f t="array" ref="C204">SUMPRODUCT((Task_Table_02_26!$C$2:$C$571=$C$1)*(A204&gt;Task_Table_02_26!$J$2:$J$571)*(A204&lt;Task_Table_02_26!$K$2:$K$571))</f>
        <v>3</v>
      </c>
      <c r="D204" cm="1">
        <f t="array" ref="D204">SUMPRODUCT((Task_Table_02_26!$C$2:$C$571=$D$1)*(A204&gt;Task_Table_02_26!$J$2:$J$571)*(A204&lt;Task_Table_02_26!$K$2:$K$571))</f>
        <v>0</v>
      </c>
      <c r="E204" cm="1">
        <f t="array" ref="E204">SUMPRODUCT((Task_Table_02_26!$C$2:$C$571=$E$1)*(A204&gt;Task_Table_02_26!$J$2:$J$571)*(A204&lt;Task_Table_02_26!$K$2:$K$571))</f>
        <v>8</v>
      </c>
    </row>
    <row r="205" spans="1:5">
      <c r="A205" s="5">
        <v>46073</v>
      </c>
      <c r="B205" cm="1">
        <f t="array" ref="B205">SUMPRODUCT((Task_Table_02_26!$C$2:$C$571=$B$1)*(A205&gt;Task_Table_02_26!$J$2:$J$571)*(A205&lt;Task_Table_02_26!$K$2:$K$571))</f>
        <v>31</v>
      </c>
      <c r="C205" cm="1">
        <f t="array" ref="C205">SUMPRODUCT((Task_Table_02_26!$C$2:$C$571=$C$1)*(A205&gt;Task_Table_02_26!$J$2:$J$571)*(A205&lt;Task_Table_02_26!$K$2:$K$571))</f>
        <v>3</v>
      </c>
      <c r="D205" cm="1">
        <f t="array" ref="D205">SUMPRODUCT((Task_Table_02_26!$C$2:$C$571=$D$1)*(A205&gt;Task_Table_02_26!$J$2:$J$571)*(A205&lt;Task_Table_02_26!$K$2:$K$571))</f>
        <v>0</v>
      </c>
      <c r="E205" cm="1">
        <f t="array" ref="E205">SUMPRODUCT((Task_Table_02_26!$C$2:$C$571=$E$1)*(A205&gt;Task_Table_02_26!$J$2:$J$571)*(A205&lt;Task_Table_02_26!$K$2:$K$571))</f>
        <v>8</v>
      </c>
    </row>
    <row r="206" spans="1:5">
      <c r="A206" s="5">
        <v>46074</v>
      </c>
      <c r="B206" cm="1">
        <f t="array" ref="B206">SUMPRODUCT((Task_Table_02_26!$C$2:$C$571=$B$1)*(A206&gt;Task_Table_02_26!$J$2:$J$571)*(A206&lt;Task_Table_02_26!$K$2:$K$571))</f>
        <v>31</v>
      </c>
      <c r="C206" cm="1">
        <f t="array" ref="C206">SUMPRODUCT((Task_Table_02_26!$C$2:$C$571=$C$1)*(A206&gt;Task_Table_02_26!$J$2:$J$571)*(A206&lt;Task_Table_02_26!$K$2:$K$571))</f>
        <v>3</v>
      </c>
      <c r="D206" cm="1">
        <f t="array" ref="D206">SUMPRODUCT((Task_Table_02_26!$C$2:$C$571=$D$1)*(A206&gt;Task_Table_02_26!$J$2:$J$571)*(A206&lt;Task_Table_02_26!$K$2:$K$571))</f>
        <v>0</v>
      </c>
      <c r="E206" cm="1">
        <f t="array" ref="E206">SUMPRODUCT((Task_Table_02_26!$C$2:$C$571=$E$1)*(A206&gt;Task_Table_02_26!$J$2:$J$571)*(A206&lt;Task_Table_02_26!$K$2:$K$571))</f>
        <v>8</v>
      </c>
    </row>
    <row r="207" spans="1:5">
      <c r="A207" s="5">
        <v>46075</v>
      </c>
      <c r="B207" cm="1">
        <f t="array" ref="B207">SUMPRODUCT((Task_Table_02_26!$C$2:$C$571=$B$1)*(A207&gt;Task_Table_02_26!$J$2:$J$571)*(A207&lt;Task_Table_02_26!$K$2:$K$571))</f>
        <v>31</v>
      </c>
      <c r="C207" cm="1">
        <f t="array" ref="C207">SUMPRODUCT((Task_Table_02_26!$C$2:$C$571=$C$1)*(A207&gt;Task_Table_02_26!$J$2:$J$571)*(A207&lt;Task_Table_02_26!$K$2:$K$571))</f>
        <v>3</v>
      </c>
      <c r="D207" cm="1">
        <f t="array" ref="D207">SUMPRODUCT((Task_Table_02_26!$C$2:$C$571=$D$1)*(A207&gt;Task_Table_02_26!$J$2:$J$571)*(A207&lt;Task_Table_02_26!$K$2:$K$571))</f>
        <v>0</v>
      </c>
      <c r="E207" cm="1">
        <f t="array" ref="E207">SUMPRODUCT((Task_Table_02_26!$C$2:$C$571=$E$1)*(A207&gt;Task_Table_02_26!$J$2:$J$571)*(A207&lt;Task_Table_02_26!$K$2:$K$571))</f>
        <v>8</v>
      </c>
    </row>
    <row r="208" spans="1:5">
      <c r="A208" s="5">
        <v>46076</v>
      </c>
      <c r="B208" cm="1">
        <f t="array" ref="B208">SUMPRODUCT((Task_Table_02_26!$C$2:$C$571=$B$1)*(A208&gt;Task_Table_02_26!$J$2:$J$571)*(A208&lt;Task_Table_02_26!$K$2:$K$571))</f>
        <v>31</v>
      </c>
      <c r="C208" cm="1">
        <f t="array" ref="C208">SUMPRODUCT((Task_Table_02_26!$C$2:$C$571=$C$1)*(A208&gt;Task_Table_02_26!$J$2:$J$571)*(A208&lt;Task_Table_02_26!$K$2:$K$571))</f>
        <v>3</v>
      </c>
      <c r="D208" cm="1">
        <f t="array" ref="D208">SUMPRODUCT((Task_Table_02_26!$C$2:$C$571=$D$1)*(A208&gt;Task_Table_02_26!$J$2:$J$571)*(A208&lt;Task_Table_02_26!$K$2:$K$571))</f>
        <v>0</v>
      </c>
      <c r="E208" cm="1">
        <f t="array" ref="E208">SUMPRODUCT((Task_Table_02_26!$C$2:$C$571=$E$1)*(A208&gt;Task_Table_02_26!$J$2:$J$571)*(A208&lt;Task_Table_02_26!$K$2:$K$571))</f>
        <v>8</v>
      </c>
    </row>
    <row r="209" spans="1:5">
      <c r="A209" s="5">
        <v>46077</v>
      </c>
      <c r="B209" cm="1">
        <f t="array" ref="B209">SUMPRODUCT((Task_Table_02_26!$C$2:$C$571=$B$1)*(A209&gt;Task_Table_02_26!$J$2:$J$571)*(A209&lt;Task_Table_02_26!$K$2:$K$571))</f>
        <v>32</v>
      </c>
      <c r="C209" cm="1">
        <f t="array" ref="C209">SUMPRODUCT((Task_Table_02_26!$C$2:$C$571=$C$1)*(A209&gt;Task_Table_02_26!$J$2:$J$571)*(A209&lt;Task_Table_02_26!$K$2:$K$571))</f>
        <v>3</v>
      </c>
      <c r="D209" cm="1">
        <f t="array" ref="D209">SUMPRODUCT((Task_Table_02_26!$C$2:$C$571=$D$1)*(A209&gt;Task_Table_02_26!$J$2:$J$571)*(A209&lt;Task_Table_02_26!$K$2:$K$571))</f>
        <v>0</v>
      </c>
      <c r="E209" cm="1">
        <f t="array" ref="E209">SUMPRODUCT((Task_Table_02_26!$C$2:$C$571=$E$1)*(A209&gt;Task_Table_02_26!$J$2:$J$571)*(A209&lt;Task_Table_02_26!$K$2:$K$571))</f>
        <v>8</v>
      </c>
    </row>
    <row r="210" spans="1:5">
      <c r="A210" s="5">
        <v>46078</v>
      </c>
      <c r="B210" cm="1">
        <f t="array" ref="B210">SUMPRODUCT((Task_Table_02_26!$C$2:$C$571=$B$1)*(A210&gt;Task_Table_02_26!$J$2:$J$571)*(A210&lt;Task_Table_02_26!$K$2:$K$571))</f>
        <v>28</v>
      </c>
      <c r="C210" cm="1">
        <f t="array" ref="C210">SUMPRODUCT((Task_Table_02_26!$C$2:$C$571=$C$1)*(A210&gt;Task_Table_02_26!$J$2:$J$571)*(A210&lt;Task_Table_02_26!$K$2:$K$571))</f>
        <v>3</v>
      </c>
      <c r="D210" cm="1">
        <f t="array" ref="D210">SUMPRODUCT((Task_Table_02_26!$C$2:$C$571=$D$1)*(A210&gt;Task_Table_02_26!$J$2:$J$571)*(A210&lt;Task_Table_02_26!$K$2:$K$571))</f>
        <v>0</v>
      </c>
      <c r="E210" cm="1">
        <f t="array" ref="E210">SUMPRODUCT((Task_Table_02_26!$C$2:$C$571=$E$1)*(A210&gt;Task_Table_02_26!$J$2:$J$571)*(A210&lt;Task_Table_02_26!$K$2:$K$571))</f>
        <v>8</v>
      </c>
    </row>
    <row r="211" spans="1:5">
      <c r="A211" s="5">
        <v>46079</v>
      </c>
      <c r="B211" cm="1">
        <f t="array" ref="B211">SUMPRODUCT((Task_Table_02_26!$C$2:$C$571=$B$1)*(A211&gt;Task_Table_02_26!$J$2:$J$571)*(A211&lt;Task_Table_02_26!$K$2:$K$571))</f>
        <v>28</v>
      </c>
      <c r="C211" cm="1">
        <f t="array" ref="C211">SUMPRODUCT((Task_Table_02_26!$C$2:$C$571=$C$1)*(A211&gt;Task_Table_02_26!$J$2:$J$571)*(A211&lt;Task_Table_02_26!$K$2:$K$571))</f>
        <v>3</v>
      </c>
      <c r="D211" cm="1">
        <f t="array" ref="D211">SUMPRODUCT((Task_Table_02_26!$C$2:$C$571=$D$1)*(A211&gt;Task_Table_02_26!$J$2:$J$571)*(A211&lt;Task_Table_02_26!$K$2:$K$571))</f>
        <v>0</v>
      </c>
      <c r="E211" cm="1">
        <f t="array" ref="E211">SUMPRODUCT((Task_Table_02_26!$C$2:$C$571=$E$1)*(A211&gt;Task_Table_02_26!$J$2:$J$571)*(A211&lt;Task_Table_02_26!$K$2:$K$571))</f>
        <v>8</v>
      </c>
    </row>
    <row r="212" spans="1:5">
      <c r="A212" s="5">
        <v>46080</v>
      </c>
      <c r="B212" cm="1">
        <f t="array" ref="B212">SUMPRODUCT((Task_Table_02_26!$C$2:$C$571=$B$1)*(A212&gt;Task_Table_02_26!$J$2:$J$571)*(A212&lt;Task_Table_02_26!$K$2:$K$571))</f>
        <v>28</v>
      </c>
      <c r="C212" cm="1">
        <f t="array" ref="C212">SUMPRODUCT((Task_Table_02_26!$C$2:$C$571=$C$1)*(A212&gt;Task_Table_02_26!$J$2:$J$571)*(A212&lt;Task_Table_02_26!$K$2:$K$571))</f>
        <v>3</v>
      </c>
      <c r="D212" cm="1">
        <f t="array" ref="D212">SUMPRODUCT((Task_Table_02_26!$C$2:$C$571=$D$1)*(A212&gt;Task_Table_02_26!$J$2:$J$571)*(A212&lt;Task_Table_02_26!$K$2:$K$571))</f>
        <v>0</v>
      </c>
      <c r="E212" cm="1">
        <f t="array" ref="E212">SUMPRODUCT((Task_Table_02_26!$C$2:$C$571=$E$1)*(A212&gt;Task_Table_02_26!$J$2:$J$571)*(A212&lt;Task_Table_02_26!$K$2:$K$571))</f>
        <v>8</v>
      </c>
    </row>
    <row r="213" spans="1:5">
      <c r="A213" s="5">
        <v>46081</v>
      </c>
      <c r="B213" cm="1">
        <f t="array" ref="B213">SUMPRODUCT((Task_Table_02_26!$C$2:$C$571=$B$1)*(A213&gt;Task_Table_02_26!$J$2:$J$571)*(A213&lt;Task_Table_02_26!$K$2:$K$571))</f>
        <v>28</v>
      </c>
      <c r="C213" cm="1">
        <f t="array" ref="C213">SUMPRODUCT((Task_Table_02_26!$C$2:$C$571=$C$1)*(A213&gt;Task_Table_02_26!$J$2:$J$571)*(A213&lt;Task_Table_02_26!$K$2:$K$571))</f>
        <v>3</v>
      </c>
      <c r="D213" cm="1">
        <f t="array" ref="D213">SUMPRODUCT((Task_Table_02_26!$C$2:$C$571=$D$1)*(A213&gt;Task_Table_02_26!$J$2:$J$571)*(A213&lt;Task_Table_02_26!$K$2:$K$571))</f>
        <v>0</v>
      </c>
      <c r="E213" cm="1">
        <f t="array" ref="E213">SUMPRODUCT((Task_Table_02_26!$C$2:$C$571=$E$1)*(A213&gt;Task_Table_02_26!$J$2:$J$571)*(A213&lt;Task_Table_02_26!$K$2:$K$571))</f>
        <v>7</v>
      </c>
    </row>
    <row r="214" spans="1:5">
      <c r="A214" s="5">
        <v>46082</v>
      </c>
      <c r="B214" cm="1">
        <f t="array" ref="B214">SUMPRODUCT((Task_Table_02_26!$C$2:$C$571=$B$1)*(A214&gt;Task_Table_02_26!$J$2:$J$571)*(A214&lt;Task_Table_02_26!$K$2:$K$571))</f>
        <v>28</v>
      </c>
      <c r="C214" cm="1">
        <f t="array" ref="C214">SUMPRODUCT((Task_Table_02_26!$C$2:$C$571=$C$1)*(A214&gt;Task_Table_02_26!$J$2:$J$571)*(A214&lt;Task_Table_02_26!$K$2:$K$571))</f>
        <v>3</v>
      </c>
      <c r="D214" cm="1">
        <f t="array" ref="D214">SUMPRODUCT((Task_Table_02_26!$C$2:$C$571=$D$1)*(A214&gt;Task_Table_02_26!$J$2:$J$571)*(A214&lt;Task_Table_02_26!$K$2:$K$571))</f>
        <v>0</v>
      </c>
      <c r="E214" cm="1">
        <f t="array" ref="E214">SUMPRODUCT((Task_Table_02_26!$C$2:$C$571=$E$1)*(A214&gt;Task_Table_02_26!$J$2:$J$571)*(A214&lt;Task_Table_02_26!$K$2:$K$571))</f>
        <v>7</v>
      </c>
    </row>
    <row r="215" spans="1:5">
      <c r="A215" s="5">
        <v>46083</v>
      </c>
      <c r="B215" cm="1">
        <f t="array" ref="B215">SUMPRODUCT((Task_Table_02_26!$C$2:$C$571=$B$1)*(A215&gt;Task_Table_02_26!$J$2:$J$571)*(A215&lt;Task_Table_02_26!$K$2:$K$571))</f>
        <v>28</v>
      </c>
      <c r="C215" cm="1">
        <f t="array" ref="C215">SUMPRODUCT((Task_Table_02_26!$C$2:$C$571=$C$1)*(A215&gt;Task_Table_02_26!$J$2:$J$571)*(A215&lt;Task_Table_02_26!$K$2:$K$571))</f>
        <v>3</v>
      </c>
      <c r="D215" cm="1">
        <f t="array" ref="D215">SUMPRODUCT((Task_Table_02_26!$C$2:$C$571=$D$1)*(A215&gt;Task_Table_02_26!$J$2:$J$571)*(A215&lt;Task_Table_02_26!$K$2:$K$571))</f>
        <v>0</v>
      </c>
      <c r="E215" cm="1">
        <f t="array" ref="E215">SUMPRODUCT((Task_Table_02_26!$C$2:$C$571=$E$1)*(A215&gt;Task_Table_02_26!$J$2:$J$571)*(A215&lt;Task_Table_02_26!$K$2:$K$571))</f>
        <v>7</v>
      </c>
    </row>
    <row r="216" spans="1:5">
      <c r="A216" s="5">
        <v>46084</v>
      </c>
      <c r="B216" cm="1">
        <f t="array" ref="B216">SUMPRODUCT((Task_Table_02_26!$C$2:$C$571=$B$1)*(A216&gt;Task_Table_02_26!$J$2:$J$571)*(A216&lt;Task_Table_02_26!$K$2:$K$571))</f>
        <v>28</v>
      </c>
      <c r="C216" cm="1">
        <f t="array" ref="C216">SUMPRODUCT((Task_Table_02_26!$C$2:$C$571=$C$1)*(A216&gt;Task_Table_02_26!$J$2:$J$571)*(A216&lt;Task_Table_02_26!$K$2:$K$571))</f>
        <v>3</v>
      </c>
      <c r="D216" cm="1">
        <f t="array" ref="D216">SUMPRODUCT((Task_Table_02_26!$C$2:$C$571=$D$1)*(A216&gt;Task_Table_02_26!$J$2:$J$571)*(A216&lt;Task_Table_02_26!$K$2:$K$571))</f>
        <v>0</v>
      </c>
      <c r="E216" cm="1">
        <f t="array" ref="E216">SUMPRODUCT((Task_Table_02_26!$C$2:$C$571=$E$1)*(A216&gt;Task_Table_02_26!$J$2:$J$571)*(A216&lt;Task_Table_02_26!$K$2:$K$571))</f>
        <v>7</v>
      </c>
    </row>
    <row r="217" spans="1:5">
      <c r="A217" s="5">
        <v>46085</v>
      </c>
      <c r="B217" cm="1">
        <f t="array" ref="B217">SUMPRODUCT((Task_Table_02_26!$C$2:$C$571=$B$1)*(A217&gt;Task_Table_02_26!$J$2:$J$571)*(A217&lt;Task_Table_02_26!$K$2:$K$571))</f>
        <v>28</v>
      </c>
      <c r="C217" cm="1">
        <f t="array" ref="C217">SUMPRODUCT((Task_Table_02_26!$C$2:$C$571=$C$1)*(A217&gt;Task_Table_02_26!$J$2:$J$571)*(A217&lt;Task_Table_02_26!$K$2:$K$571))</f>
        <v>3</v>
      </c>
      <c r="D217" cm="1">
        <f t="array" ref="D217">SUMPRODUCT((Task_Table_02_26!$C$2:$C$571=$D$1)*(A217&gt;Task_Table_02_26!$J$2:$J$571)*(A217&lt;Task_Table_02_26!$K$2:$K$571))</f>
        <v>0</v>
      </c>
      <c r="E217" cm="1">
        <f t="array" ref="E217">SUMPRODUCT((Task_Table_02_26!$C$2:$C$571=$E$1)*(A217&gt;Task_Table_02_26!$J$2:$J$571)*(A217&lt;Task_Table_02_26!$K$2:$K$571))</f>
        <v>7</v>
      </c>
    </row>
    <row r="218" spans="1:5">
      <c r="A218" s="5">
        <v>46086</v>
      </c>
      <c r="B218" cm="1">
        <f t="array" ref="B218">SUMPRODUCT((Task_Table_02_26!$C$2:$C$571=$B$1)*(A218&gt;Task_Table_02_26!$J$2:$J$571)*(A218&lt;Task_Table_02_26!$K$2:$K$571))</f>
        <v>28</v>
      </c>
      <c r="C218" cm="1">
        <f t="array" ref="C218">SUMPRODUCT((Task_Table_02_26!$C$2:$C$571=$C$1)*(A218&gt;Task_Table_02_26!$J$2:$J$571)*(A218&lt;Task_Table_02_26!$K$2:$K$571))</f>
        <v>3</v>
      </c>
      <c r="D218" cm="1">
        <f t="array" ref="D218">SUMPRODUCT((Task_Table_02_26!$C$2:$C$571=$D$1)*(A218&gt;Task_Table_02_26!$J$2:$J$571)*(A218&lt;Task_Table_02_26!$K$2:$K$571))</f>
        <v>0</v>
      </c>
      <c r="E218" cm="1">
        <f t="array" ref="E218">SUMPRODUCT((Task_Table_02_26!$C$2:$C$571=$E$1)*(A218&gt;Task_Table_02_26!$J$2:$J$571)*(A218&lt;Task_Table_02_26!$K$2:$K$571))</f>
        <v>7</v>
      </c>
    </row>
    <row r="219" spans="1:5">
      <c r="A219" s="5">
        <v>46087</v>
      </c>
      <c r="B219" cm="1">
        <f t="array" ref="B219">SUMPRODUCT((Task_Table_02_26!$C$2:$C$571=$B$1)*(A219&gt;Task_Table_02_26!$J$2:$J$571)*(A219&lt;Task_Table_02_26!$K$2:$K$571))</f>
        <v>28</v>
      </c>
      <c r="C219" cm="1">
        <f t="array" ref="C219">SUMPRODUCT((Task_Table_02_26!$C$2:$C$571=$C$1)*(A219&gt;Task_Table_02_26!$J$2:$J$571)*(A219&lt;Task_Table_02_26!$K$2:$K$571))</f>
        <v>3</v>
      </c>
      <c r="D219" cm="1">
        <f t="array" ref="D219">SUMPRODUCT((Task_Table_02_26!$C$2:$C$571=$D$1)*(A219&gt;Task_Table_02_26!$J$2:$J$571)*(A219&lt;Task_Table_02_26!$K$2:$K$571))</f>
        <v>0</v>
      </c>
      <c r="E219" cm="1">
        <f t="array" ref="E219">SUMPRODUCT((Task_Table_02_26!$C$2:$C$571=$E$1)*(A219&gt;Task_Table_02_26!$J$2:$J$571)*(A219&lt;Task_Table_02_26!$K$2:$K$571))</f>
        <v>7</v>
      </c>
    </row>
    <row r="220" spans="1:5">
      <c r="A220" s="5">
        <v>46088</v>
      </c>
      <c r="B220" cm="1">
        <f t="array" ref="B220">SUMPRODUCT((Task_Table_02_26!$C$2:$C$571=$B$1)*(A220&gt;Task_Table_02_26!$J$2:$J$571)*(A220&lt;Task_Table_02_26!$K$2:$K$571))</f>
        <v>28</v>
      </c>
      <c r="C220" cm="1">
        <f t="array" ref="C220">SUMPRODUCT((Task_Table_02_26!$C$2:$C$571=$C$1)*(A220&gt;Task_Table_02_26!$J$2:$J$571)*(A220&lt;Task_Table_02_26!$K$2:$K$571))</f>
        <v>3</v>
      </c>
      <c r="D220" cm="1">
        <f t="array" ref="D220">SUMPRODUCT((Task_Table_02_26!$C$2:$C$571=$D$1)*(A220&gt;Task_Table_02_26!$J$2:$J$571)*(A220&lt;Task_Table_02_26!$K$2:$K$571))</f>
        <v>0</v>
      </c>
      <c r="E220" cm="1">
        <f t="array" ref="E220">SUMPRODUCT((Task_Table_02_26!$C$2:$C$571=$E$1)*(A220&gt;Task_Table_02_26!$J$2:$J$571)*(A220&lt;Task_Table_02_26!$K$2:$K$571))</f>
        <v>7</v>
      </c>
    </row>
    <row r="221" spans="1:5">
      <c r="A221" s="5">
        <v>46089</v>
      </c>
      <c r="B221" cm="1">
        <f t="array" ref="B221">SUMPRODUCT((Task_Table_02_26!$C$2:$C$571=$B$1)*(A221&gt;Task_Table_02_26!$J$2:$J$571)*(A221&lt;Task_Table_02_26!$K$2:$K$571))</f>
        <v>28</v>
      </c>
      <c r="C221" cm="1">
        <f t="array" ref="C221">SUMPRODUCT((Task_Table_02_26!$C$2:$C$571=$C$1)*(A221&gt;Task_Table_02_26!$J$2:$J$571)*(A221&lt;Task_Table_02_26!$K$2:$K$571))</f>
        <v>3</v>
      </c>
      <c r="D221" cm="1">
        <f t="array" ref="D221">SUMPRODUCT((Task_Table_02_26!$C$2:$C$571=$D$1)*(A221&gt;Task_Table_02_26!$J$2:$J$571)*(A221&lt;Task_Table_02_26!$K$2:$K$571))</f>
        <v>0</v>
      </c>
      <c r="E221" cm="1">
        <f t="array" ref="E221">SUMPRODUCT((Task_Table_02_26!$C$2:$C$571=$E$1)*(A221&gt;Task_Table_02_26!$J$2:$J$571)*(A221&lt;Task_Table_02_26!$K$2:$K$571))</f>
        <v>7</v>
      </c>
    </row>
    <row r="222" spans="1:5">
      <c r="A222" s="5">
        <v>46090</v>
      </c>
      <c r="B222" cm="1">
        <f t="array" ref="B222">SUMPRODUCT((Task_Table_02_26!$C$2:$C$571=$B$1)*(A222&gt;Task_Table_02_26!$J$2:$J$571)*(A222&lt;Task_Table_02_26!$K$2:$K$571))</f>
        <v>28</v>
      </c>
      <c r="C222" cm="1">
        <f t="array" ref="C222">SUMPRODUCT((Task_Table_02_26!$C$2:$C$571=$C$1)*(A222&gt;Task_Table_02_26!$J$2:$J$571)*(A222&lt;Task_Table_02_26!$K$2:$K$571))</f>
        <v>3</v>
      </c>
      <c r="D222" cm="1">
        <f t="array" ref="D222">SUMPRODUCT((Task_Table_02_26!$C$2:$C$571=$D$1)*(A222&gt;Task_Table_02_26!$J$2:$J$571)*(A222&lt;Task_Table_02_26!$K$2:$K$571))</f>
        <v>0</v>
      </c>
      <c r="E222" cm="1">
        <f t="array" ref="E222">SUMPRODUCT((Task_Table_02_26!$C$2:$C$571=$E$1)*(A222&gt;Task_Table_02_26!$J$2:$J$571)*(A222&lt;Task_Table_02_26!$K$2:$K$571))</f>
        <v>7</v>
      </c>
    </row>
    <row r="223" spans="1:5">
      <c r="A223" s="5">
        <v>46091</v>
      </c>
      <c r="B223" cm="1">
        <f t="array" ref="B223">SUMPRODUCT((Task_Table_02_26!$C$2:$C$571=$B$1)*(A223&gt;Task_Table_02_26!$J$2:$J$571)*(A223&lt;Task_Table_02_26!$K$2:$K$571))</f>
        <v>28</v>
      </c>
      <c r="C223" cm="1">
        <f t="array" ref="C223">SUMPRODUCT((Task_Table_02_26!$C$2:$C$571=$C$1)*(A223&gt;Task_Table_02_26!$J$2:$J$571)*(A223&lt;Task_Table_02_26!$K$2:$K$571))</f>
        <v>3</v>
      </c>
      <c r="D223" cm="1">
        <f t="array" ref="D223">SUMPRODUCT((Task_Table_02_26!$C$2:$C$571=$D$1)*(A223&gt;Task_Table_02_26!$J$2:$J$571)*(A223&lt;Task_Table_02_26!$K$2:$K$571))</f>
        <v>0</v>
      </c>
      <c r="E223" cm="1">
        <f t="array" ref="E223">SUMPRODUCT((Task_Table_02_26!$C$2:$C$571=$E$1)*(A223&gt;Task_Table_02_26!$J$2:$J$571)*(A223&lt;Task_Table_02_26!$K$2:$K$571))</f>
        <v>7</v>
      </c>
    </row>
    <row r="224" spans="1:5">
      <c r="A224" s="5">
        <v>46092</v>
      </c>
      <c r="B224" cm="1">
        <f t="array" ref="B224">SUMPRODUCT((Task_Table_02_26!$C$2:$C$571=$B$1)*(A224&gt;Task_Table_02_26!$J$2:$J$571)*(A224&lt;Task_Table_02_26!$K$2:$K$571))</f>
        <v>28</v>
      </c>
      <c r="C224" cm="1">
        <f t="array" ref="C224">SUMPRODUCT((Task_Table_02_26!$C$2:$C$571=$C$1)*(A224&gt;Task_Table_02_26!$J$2:$J$571)*(A224&lt;Task_Table_02_26!$K$2:$K$571))</f>
        <v>3</v>
      </c>
      <c r="D224" cm="1">
        <f t="array" ref="D224">SUMPRODUCT((Task_Table_02_26!$C$2:$C$571=$D$1)*(A224&gt;Task_Table_02_26!$J$2:$J$571)*(A224&lt;Task_Table_02_26!$K$2:$K$571))</f>
        <v>0</v>
      </c>
      <c r="E224" cm="1">
        <f t="array" ref="E224">SUMPRODUCT((Task_Table_02_26!$C$2:$C$571=$E$1)*(A224&gt;Task_Table_02_26!$J$2:$J$571)*(A224&lt;Task_Table_02_26!$K$2:$K$571))</f>
        <v>7</v>
      </c>
    </row>
    <row r="225" spans="1:5">
      <c r="A225" s="5">
        <v>46093</v>
      </c>
      <c r="B225" cm="1">
        <f t="array" ref="B225">SUMPRODUCT((Task_Table_02_26!$C$2:$C$571=$B$1)*(A225&gt;Task_Table_02_26!$J$2:$J$571)*(A225&lt;Task_Table_02_26!$K$2:$K$571))</f>
        <v>28</v>
      </c>
      <c r="C225" cm="1">
        <f t="array" ref="C225">SUMPRODUCT((Task_Table_02_26!$C$2:$C$571=$C$1)*(A225&gt;Task_Table_02_26!$J$2:$J$571)*(A225&lt;Task_Table_02_26!$K$2:$K$571))</f>
        <v>3</v>
      </c>
      <c r="D225" cm="1">
        <f t="array" ref="D225">SUMPRODUCT((Task_Table_02_26!$C$2:$C$571=$D$1)*(A225&gt;Task_Table_02_26!$J$2:$J$571)*(A225&lt;Task_Table_02_26!$K$2:$K$571))</f>
        <v>0</v>
      </c>
      <c r="E225" cm="1">
        <f t="array" ref="E225">SUMPRODUCT((Task_Table_02_26!$C$2:$C$571=$E$1)*(A225&gt;Task_Table_02_26!$J$2:$J$571)*(A225&lt;Task_Table_02_26!$K$2:$K$571))</f>
        <v>7</v>
      </c>
    </row>
    <row r="226" spans="1:5">
      <c r="A226" s="5">
        <v>46094</v>
      </c>
      <c r="B226" cm="1">
        <f t="array" ref="B226">SUMPRODUCT((Task_Table_02_26!$C$2:$C$571=$B$1)*(A226&gt;Task_Table_02_26!$J$2:$J$571)*(A226&lt;Task_Table_02_26!$K$2:$K$571))</f>
        <v>28</v>
      </c>
      <c r="C226" cm="1">
        <f t="array" ref="C226">SUMPRODUCT((Task_Table_02_26!$C$2:$C$571=$C$1)*(A226&gt;Task_Table_02_26!$J$2:$J$571)*(A226&lt;Task_Table_02_26!$K$2:$K$571))</f>
        <v>3</v>
      </c>
      <c r="D226" cm="1">
        <f t="array" ref="D226">SUMPRODUCT((Task_Table_02_26!$C$2:$C$571=$D$1)*(A226&gt;Task_Table_02_26!$J$2:$J$571)*(A226&lt;Task_Table_02_26!$K$2:$K$571))</f>
        <v>0</v>
      </c>
      <c r="E226" cm="1">
        <f t="array" ref="E226">SUMPRODUCT((Task_Table_02_26!$C$2:$C$571=$E$1)*(A226&gt;Task_Table_02_26!$J$2:$J$571)*(A226&lt;Task_Table_02_26!$K$2:$K$571))</f>
        <v>7</v>
      </c>
    </row>
    <row r="227" spans="1:5">
      <c r="A227" s="5">
        <v>46095</v>
      </c>
      <c r="B227" cm="1">
        <f t="array" ref="B227">SUMPRODUCT((Task_Table_02_26!$C$2:$C$571=$B$1)*(A227&gt;Task_Table_02_26!$J$2:$J$571)*(A227&lt;Task_Table_02_26!$K$2:$K$571))</f>
        <v>28</v>
      </c>
      <c r="C227" cm="1">
        <f t="array" ref="C227">SUMPRODUCT((Task_Table_02_26!$C$2:$C$571=$C$1)*(A227&gt;Task_Table_02_26!$J$2:$J$571)*(A227&lt;Task_Table_02_26!$K$2:$K$571))</f>
        <v>3</v>
      </c>
      <c r="D227" cm="1">
        <f t="array" ref="D227">SUMPRODUCT((Task_Table_02_26!$C$2:$C$571=$D$1)*(A227&gt;Task_Table_02_26!$J$2:$J$571)*(A227&lt;Task_Table_02_26!$K$2:$K$571))</f>
        <v>0</v>
      </c>
      <c r="E227" cm="1">
        <f t="array" ref="E227">SUMPRODUCT((Task_Table_02_26!$C$2:$C$571=$E$1)*(A227&gt;Task_Table_02_26!$J$2:$J$571)*(A227&lt;Task_Table_02_26!$K$2:$K$571))</f>
        <v>7</v>
      </c>
    </row>
    <row r="228" spans="1:5">
      <c r="A228" s="5">
        <v>46096</v>
      </c>
      <c r="B228" cm="1">
        <f t="array" ref="B228">SUMPRODUCT((Task_Table_02_26!$C$2:$C$571=$B$1)*(A228&gt;Task_Table_02_26!$J$2:$J$571)*(A228&lt;Task_Table_02_26!$K$2:$K$571))</f>
        <v>28</v>
      </c>
      <c r="C228" cm="1">
        <f t="array" ref="C228">SUMPRODUCT((Task_Table_02_26!$C$2:$C$571=$C$1)*(A228&gt;Task_Table_02_26!$J$2:$J$571)*(A228&lt;Task_Table_02_26!$K$2:$K$571))</f>
        <v>3</v>
      </c>
      <c r="D228" cm="1">
        <f t="array" ref="D228">SUMPRODUCT((Task_Table_02_26!$C$2:$C$571=$D$1)*(A228&gt;Task_Table_02_26!$J$2:$J$571)*(A228&lt;Task_Table_02_26!$K$2:$K$571))</f>
        <v>0</v>
      </c>
      <c r="E228" cm="1">
        <f t="array" ref="E228">SUMPRODUCT((Task_Table_02_26!$C$2:$C$571=$E$1)*(A228&gt;Task_Table_02_26!$J$2:$J$571)*(A228&lt;Task_Table_02_26!$K$2:$K$571))</f>
        <v>7</v>
      </c>
    </row>
    <row r="229" spans="1:5">
      <c r="A229" s="5">
        <v>46097</v>
      </c>
      <c r="B229" cm="1">
        <f t="array" ref="B229">SUMPRODUCT((Task_Table_02_26!$C$2:$C$571=$B$1)*(A229&gt;Task_Table_02_26!$J$2:$J$571)*(A229&lt;Task_Table_02_26!$K$2:$K$571))</f>
        <v>22</v>
      </c>
      <c r="C229" cm="1">
        <f t="array" ref="C229">SUMPRODUCT((Task_Table_02_26!$C$2:$C$571=$C$1)*(A229&gt;Task_Table_02_26!$J$2:$J$571)*(A229&lt;Task_Table_02_26!$K$2:$K$571))</f>
        <v>3</v>
      </c>
      <c r="D229" cm="1">
        <f t="array" ref="D229">SUMPRODUCT((Task_Table_02_26!$C$2:$C$571=$D$1)*(A229&gt;Task_Table_02_26!$J$2:$J$571)*(A229&lt;Task_Table_02_26!$K$2:$K$571))</f>
        <v>0</v>
      </c>
      <c r="E229" cm="1">
        <f t="array" ref="E229">SUMPRODUCT((Task_Table_02_26!$C$2:$C$571=$E$1)*(A229&gt;Task_Table_02_26!$J$2:$J$571)*(A229&lt;Task_Table_02_26!$K$2:$K$571))</f>
        <v>7</v>
      </c>
    </row>
    <row r="230" spans="1:5">
      <c r="A230" s="5">
        <v>46098</v>
      </c>
      <c r="B230" cm="1">
        <f t="array" ref="B230">SUMPRODUCT((Task_Table_02_26!$C$2:$C$571=$B$1)*(A230&gt;Task_Table_02_26!$J$2:$J$571)*(A230&lt;Task_Table_02_26!$K$2:$K$571))</f>
        <v>22</v>
      </c>
      <c r="C230" cm="1">
        <f t="array" ref="C230">SUMPRODUCT((Task_Table_02_26!$C$2:$C$571=$C$1)*(A230&gt;Task_Table_02_26!$J$2:$J$571)*(A230&lt;Task_Table_02_26!$K$2:$K$571))</f>
        <v>3</v>
      </c>
      <c r="D230" cm="1">
        <f t="array" ref="D230">SUMPRODUCT((Task_Table_02_26!$C$2:$C$571=$D$1)*(A230&gt;Task_Table_02_26!$J$2:$J$571)*(A230&lt;Task_Table_02_26!$K$2:$K$571))</f>
        <v>0</v>
      </c>
      <c r="E230" cm="1">
        <f t="array" ref="E230">SUMPRODUCT((Task_Table_02_26!$C$2:$C$571=$E$1)*(A230&gt;Task_Table_02_26!$J$2:$J$571)*(A230&lt;Task_Table_02_26!$K$2:$K$571))</f>
        <v>7</v>
      </c>
    </row>
    <row r="231" spans="1:5">
      <c r="A231" s="5">
        <v>46099</v>
      </c>
      <c r="B231" cm="1">
        <f t="array" ref="B231">SUMPRODUCT((Task_Table_02_26!$C$2:$C$571=$B$1)*(A231&gt;Task_Table_02_26!$J$2:$J$571)*(A231&lt;Task_Table_02_26!$K$2:$K$571))</f>
        <v>22</v>
      </c>
      <c r="C231" cm="1">
        <f t="array" ref="C231">SUMPRODUCT((Task_Table_02_26!$C$2:$C$571=$C$1)*(A231&gt;Task_Table_02_26!$J$2:$J$571)*(A231&lt;Task_Table_02_26!$K$2:$K$571))</f>
        <v>3</v>
      </c>
      <c r="D231" cm="1">
        <f t="array" ref="D231">SUMPRODUCT((Task_Table_02_26!$C$2:$C$571=$D$1)*(A231&gt;Task_Table_02_26!$J$2:$J$571)*(A231&lt;Task_Table_02_26!$K$2:$K$571))</f>
        <v>0</v>
      </c>
      <c r="E231" cm="1">
        <f t="array" ref="E231">SUMPRODUCT((Task_Table_02_26!$C$2:$C$571=$E$1)*(A231&gt;Task_Table_02_26!$J$2:$J$571)*(A231&lt;Task_Table_02_26!$K$2:$K$571))</f>
        <v>7</v>
      </c>
    </row>
    <row r="232" spans="1:5">
      <c r="A232" s="5">
        <v>46100</v>
      </c>
      <c r="B232" cm="1">
        <f t="array" ref="B232">SUMPRODUCT((Task_Table_02_26!$C$2:$C$571=$B$1)*(A232&gt;Task_Table_02_26!$J$2:$J$571)*(A232&lt;Task_Table_02_26!$K$2:$K$571))</f>
        <v>22</v>
      </c>
      <c r="C232" cm="1">
        <f t="array" ref="C232">SUMPRODUCT((Task_Table_02_26!$C$2:$C$571=$C$1)*(A232&gt;Task_Table_02_26!$J$2:$J$571)*(A232&lt;Task_Table_02_26!$K$2:$K$571))</f>
        <v>3</v>
      </c>
      <c r="D232" cm="1">
        <f t="array" ref="D232">SUMPRODUCT((Task_Table_02_26!$C$2:$C$571=$D$1)*(A232&gt;Task_Table_02_26!$J$2:$J$571)*(A232&lt;Task_Table_02_26!$K$2:$K$571))</f>
        <v>0</v>
      </c>
      <c r="E232" cm="1">
        <f t="array" ref="E232">SUMPRODUCT((Task_Table_02_26!$C$2:$C$571=$E$1)*(A232&gt;Task_Table_02_26!$J$2:$J$571)*(A232&lt;Task_Table_02_26!$K$2:$K$571))</f>
        <v>7</v>
      </c>
    </row>
    <row r="233" spans="1:5">
      <c r="A233" s="5">
        <v>46101</v>
      </c>
      <c r="B233" cm="1">
        <f t="array" ref="B233">SUMPRODUCT((Task_Table_02_26!$C$2:$C$571=$B$1)*(A233&gt;Task_Table_02_26!$J$2:$J$571)*(A233&lt;Task_Table_02_26!$K$2:$K$571))</f>
        <v>22</v>
      </c>
      <c r="C233" cm="1">
        <f t="array" ref="C233">SUMPRODUCT((Task_Table_02_26!$C$2:$C$571=$C$1)*(A233&gt;Task_Table_02_26!$J$2:$J$571)*(A233&lt;Task_Table_02_26!$K$2:$K$571))</f>
        <v>3</v>
      </c>
      <c r="D233" cm="1">
        <f t="array" ref="D233">SUMPRODUCT((Task_Table_02_26!$C$2:$C$571=$D$1)*(A233&gt;Task_Table_02_26!$J$2:$J$571)*(A233&lt;Task_Table_02_26!$K$2:$K$571))</f>
        <v>0</v>
      </c>
      <c r="E233" cm="1">
        <f t="array" ref="E233">SUMPRODUCT((Task_Table_02_26!$C$2:$C$571=$E$1)*(A233&gt;Task_Table_02_26!$J$2:$J$571)*(A233&lt;Task_Table_02_26!$K$2:$K$571))</f>
        <v>7</v>
      </c>
    </row>
    <row r="234" spans="1:5">
      <c r="A234" s="5">
        <v>46102</v>
      </c>
      <c r="B234" cm="1">
        <f t="array" ref="B234">SUMPRODUCT((Task_Table_02_26!$C$2:$C$571=$B$1)*(A234&gt;Task_Table_02_26!$J$2:$J$571)*(A234&lt;Task_Table_02_26!$K$2:$K$571))</f>
        <v>22</v>
      </c>
      <c r="C234" cm="1">
        <f t="array" ref="C234">SUMPRODUCT((Task_Table_02_26!$C$2:$C$571=$C$1)*(A234&gt;Task_Table_02_26!$J$2:$J$571)*(A234&lt;Task_Table_02_26!$K$2:$K$571))</f>
        <v>3</v>
      </c>
      <c r="D234" cm="1">
        <f t="array" ref="D234">SUMPRODUCT((Task_Table_02_26!$C$2:$C$571=$D$1)*(A234&gt;Task_Table_02_26!$J$2:$J$571)*(A234&lt;Task_Table_02_26!$K$2:$K$571))</f>
        <v>0</v>
      </c>
      <c r="E234" cm="1">
        <f t="array" ref="E234">SUMPRODUCT((Task_Table_02_26!$C$2:$C$571=$E$1)*(A234&gt;Task_Table_02_26!$J$2:$J$571)*(A234&lt;Task_Table_02_26!$K$2:$K$571))</f>
        <v>7</v>
      </c>
    </row>
    <row r="235" spans="1:5">
      <c r="A235" s="5">
        <v>46103</v>
      </c>
      <c r="B235" cm="1">
        <f t="array" ref="B235">SUMPRODUCT((Task_Table_02_26!$C$2:$C$571=$B$1)*(A235&gt;Task_Table_02_26!$J$2:$J$571)*(A235&lt;Task_Table_02_26!$K$2:$K$571))</f>
        <v>22</v>
      </c>
      <c r="C235" cm="1">
        <f t="array" ref="C235">SUMPRODUCT((Task_Table_02_26!$C$2:$C$571=$C$1)*(A235&gt;Task_Table_02_26!$J$2:$J$571)*(A235&lt;Task_Table_02_26!$K$2:$K$571))</f>
        <v>3</v>
      </c>
      <c r="D235" cm="1">
        <f t="array" ref="D235">SUMPRODUCT((Task_Table_02_26!$C$2:$C$571=$D$1)*(A235&gt;Task_Table_02_26!$J$2:$J$571)*(A235&lt;Task_Table_02_26!$K$2:$K$571))</f>
        <v>0</v>
      </c>
      <c r="E235" cm="1">
        <f t="array" ref="E235">SUMPRODUCT((Task_Table_02_26!$C$2:$C$571=$E$1)*(A235&gt;Task_Table_02_26!$J$2:$J$571)*(A235&lt;Task_Table_02_26!$K$2:$K$571))</f>
        <v>7</v>
      </c>
    </row>
    <row r="236" spans="1:5">
      <c r="A236" s="5">
        <v>46104</v>
      </c>
      <c r="B236" cm="1">
        <f t="array" ref="B236">SUMPRODUCT((Task_Table_02_26!$C$2:$C$571=$B$1)*(A236&gt;Task_Table_02_26!$J$2:$J$571)*(A236&lt;Task_Table_02_26!$K$2:$K$571))</f>
        <v>20</v>
      </c>
      <c r="C236" cm="1">
        <f t="array" ref="C236">SUMPRODUCT((Task_Table_02_26!$C$2:$C$571=$C$1)*(A236&gt;Task_Table_02_26!$J$2:$J$571)*(A236&lt;Task_Table_02_26!$K$2:$K$571))</f>
        <v>3</v>
      </c>
      <c r="D236" cm="1">
        <f t="array" ref="D236">SUMPRODUCT((Task_Table_02_26!$C$2:$C$571=$D$1)*(A236&gt;Task_Table_02_26!$J$2:$J$571)*(A236&lt;Task_Table_02_26!$K$2:$K$571))</f>
        <v>0</v>
      </c>
      <c r="E236" cm="1">
        <f t="array" ref="E236">SUMPRODUCT((Task_Table_02_26!$C$2:$C$571=$E$1)*(A236&gt;Task_Table_02_26!$J$2:$J$571)*(A236&lt;Task_Table_02_26!$K$2:$K$571))</f>
        <v>7</v>
      </c>
    </row>
    <row r="237" spans="1:5">
      <c r="A237" s="5">
        <v>46105</v>
      </c>
      <c r="B237" cm="1">
        <f t="array" ref="B237">SUMPRODUCT((Task_Table_02_26!$C$2:$C$571=$B$1)*(A237&gt;Task_Table_02_26!$J$2:$J$571)*(A237&lt;Task_Table_02_26!$K$2:$K$571))</f>
        <v>20</v>
      </c>
      <c r="C237" cm="1">
        <f t="array" ref="C237">SUMPRODUCT((Task_Table_02_26!$C$2:$C$571=$C$1)*(A237&gt;Task_Table_02_26!$J$2:$J$571)*(A237&lt;Task_Table_02_26!$K$2:$K$571))</f>
        <v>3</v>
      </c>
      <c r="D237" cm="1">
        <f t="array" ref="D237">SUMPRODUCT((Task_Table_02_26!$C$2:$C$571=$D$1)*(A237&gt;Task_Table_02_26!$J$2:$J$571)*(A237&lt;Task_Table_02_26!$K$2:$K$571))</f>
        <v>0</v>
      </c>
      <c r="E237" cm="1">
        <f t="array" ref="E237">SUMPRODUCT((Task_Table_02_26!$C$2:$C$571=$E$1)*(A237&gt;Task_Table_02_26!$J$2:$J$571)*(A237&lt;Task_Table_02_26!$K$2:$K$571))</f>
        <v>7</v>
      </c>
    </row>
    <row r="238" spans="1:5">
      <c r="A238" s="5">
        <v>46106</v>
      </c>
      <c r="B238" cm="1">
        <f t="array" ref="B238">SUMPRODUCT((Task_Table_02_26!$C$2:$C$571=$B$1)*(A238&gt;Task_Table_02_26!$J$2:$J$571)*(A238&lt;Task_Table_02_26!$K$2:$K$571))</f>
        <v>20</v>
      </c>
      <c r="C238" cm="1">
        <f t="array" ref="C238">SUMPRODUCT((Task_Table_02_26!$C$2:$C$571=$C$1)*(A238&gt;Task_Table_02_26!$J$2:$J$571)*(A238&lt;Task_Table_02_26!$K$2:$K$571))</f>
        <v>3</v>
      </c>
      <c r="D238" cm="1">
        <f t="array" ref="D238">SUMPRODUCT((Task_Table_02_26!$C$2:$C$571=$D$1)*(A238&gt;Task_Table_02_26!$J$2:$J$571)*(A238&lt;Task_Table_02_26!$K$2:$K$571))</f>
        <v>0</v>
      </c>
      <c r="E238" cm="1">
        <f t="array" ref="E238">SUMPRODUCT((Task_Table_02_26!$C$2:$C$571=$E$1)*(A238&gt;Task_Table_02_26!$J$2:$J$571)*(A238&lt;Task_Table_02_26!$K$2:$K$571))</f>
        <v>7</v>
      </c>
    </row>
    <row r="239" spans="1:5">
      <c r="A239" s="5">
        <v>46107</v>
      </c>
      <c r="B239" cm="1">
        <f t="array" ref="B239">SUMPRODUCT((Task_Table_02_26!$C$2:$C$571=$B$1)*(A239&gt;Task_Table_02_26!$J$2:$J$571)*(A239&lt;Task_Table_02_26!$K$2:$K$571))</f>
        <v>20</v>
      </c>
      <c r="C239" cm="1">
        <f t="array" ref="C239">SUMPRODUCT((Task_Table_02_26!$C$2:$C$571=$C$1)*(A239&gt;Task_Table_02_26!$J$2:$J$571)*(A239&lt;Task_Table_02_26!$K$2:$K$571))</f>
        <v>3</v>
      </c>
      <c r="D239" cm="1">
        <f t="array" ref="D239">SUMPRODUCT((Task_Table_02_26!$C$2:$C$571=$D$1)*(A239&gt;Task_Table_02_26!$J$2:$J$571)*(A239&lt;Task_Table_02_26!$K$2:$K$571))</f>
        <v>0</v>
      </c>
      <c r="E239" cm="1">
        <f t="array" ref="E239">SUMPRODUCT((Task_Table_02_26!$C$2:$C$571=$E$1)*(A239&gt;Task_Table_02_26!$J$2:$J$571)*(A239&lt;Task_Table_02_26!$K$2:$K$571))</f>
        <v>7</v>
      </c>
    </row>
    <row r="240" spans="1:5">
      <c r="A240" s="5">
        <v>46108</v>
      </c>
      <c r="B240" cm="1">
        <f t="array" ref="B240">SUMPRODUCT((Task_Table_02_26!$C$2:$C$571=$B$1)*(A240&gt;Task_Table_02_26!$J$2:$J$571)*(A240&lt;Task_Table_02_26!$K$2:$K$571))</f>
        <v>20</v>
      </c>
      <c r="C240" cm="1">
        <f t="array" ref="C240">SUMPRODUCT((Task_Table_02_26!$C$2:$C$571=$C$1)*(A240&gt;Task_Table_02_26!$J$2:$J$571)*(A240&lt;Task_Table_02_26!$K$2:$K$571))</f>
        <v>3</v>
      </c>
      <c r="D240" cm="1">
        <f t="array" ref="D240">SUMPRODUCT((Task_Table_02_26!$C$2:$C$571=$D$1)*(A240&gt;Task_Table_02_26!$J$2:$J$571)*(A240&lt;Task_Table_02_26!$K$2:$K$571))</f>
        <v>0</v>
      </c>
      <c r="E240" cm="1">
        <f t="array" ref="E240">SUMPRODUCT((Task_Table_02_26!$C$2:$C$571=$E$1)*(A240&gt;Task_Table_02_26!$J$2:$J$571)*(A240&lt;Task_Table_02_26!$K$2:$K$571))</f>
        <v>7</v>
      </c>
    </row>
    <row r="241" spans="1:5">
      <c r="A241" s="5">
        <v>46109</v>
      </c>
      <c r="B241" cm="1">
        <f t="array" ref="B241">SUMPRODUCT((Task_Table_02_26!$C$2:$C$571=$B$1)*(A241&gt;Task_Table_02_26!$J$2:$J$571)*(A241&lt;Task_Table_02_26!$K$2:$K$571))</f>
        <v>20</v>
      </c>
      <c r="C241" cm="1">
        <f t="array" ref="C241">SUMPRODUCT((Task_Table_02_26!$C$2:$C$571=$C$1)*(A241&gt;Task_Table_02_26!$J$2:$J$571)*(A241&lt;Task_Table_02_26!$K$2:$K$571))</f>
        <v>3</v>
      </c>
      <c r="D241" cm="1">
        <f t="array" ref="D241">SUMPRODUCT((Task_Table_02_26!$C$2:$C$571=$D$1)*(A241&gt;Task_Table_02_26!$J$2:$J$571)*(A241&lt;Task_Table_02_26!$K$2:$K$571))</f>
        <v>0</v>
      </c>
      <c r="E241" cm="1">
        <f t="array" ref="E241">SUMPRODUCT((Task_Table_02_26!$C$2:$C$571=$E$1)*(A241&gt;Task_Table_02_26!$J$2:$J$571)*(A241&lt;Task_Table_02_26!$K$2:$K$571))</f>
        <v>7</v>
      </c>
    </row>
    <row r="242" spans="1:5">
      <c r="A242" s="5">
        <v>46110</v>
      </c>
      <c r="B242" cm="1">
        <f t="array" ref="B242">SUMPRODUCT((Task_Table_02_26!$C$2:$C$571=$B$1)*(A242&gt;Task_Table_02_26!$J$2:$J$571)*(A242&lt;Task_Table_02_26!$K$2:$K$571))</f>
        <v>20</v>
      </c>
      <c r="C242" cm="1">
        <f t="array" ref="C242">SUMPRODUCT((Task_Table_02_26!$C$2:$C$571=$C$1)*(A242&gt;Task_Table_02_26!$J$2:$J$571)*(A242&lt;Task_Table_02_26!$K$2:$K$571))</f>
        <v>3</v>
      </c>
      <c r="D242" cm="1">
        <f t="array" ref="D242">SUMPRODUCT((Task_Table_02_26!$C$2:$C$571=$D$1)*(A242&gt;Task_Table_02_26!$J$2:$J$571)*(A242&lt;Task_Table_02_26!$K$2:$K$571))</f>
        <v>0</v>
      </c>
      <c r="E242" cm="1">
        <f t="array" ref="E242">SUMPRODUCT((Task_Table_02_26!$C$2:$C$571=$E$1)*(A242&gt;Task_Table_02_26!$J$2:$J$571)*(A242&lt;Task_Table_02_26!$K$2:$K$571))</f>
        <v>7</v>
      </c>
    </row>
    <row r="243" spans="1:5">
      <c r="A243" s="5">
        <v>46111</v>
      </c>
      <c r="B243" cm="1">
        <f t="array" ref="B243">SUMPRODUCT((Task_Table_02_26!$C$2:$C$571=$B$1)*(A243&gt;Task_Table_02_26!$J$2:$J$571)*(A243&lt;Task_Table_02_26!$K$2:$K$571))</f>
        <v>11</v>
      </c>
      <c r="C243" cm="1">
        <f t="array" ref="C243">SUMPRODUCT((Task_Table_02_26!$C$2:$C$571=$C$1)*(A243&gt;Task_Table_02_26!$J$2:$J$571)*(A243&lt;Task_Table_02_26!$K$2:$K$571))</f>
        <v>3</v>
      </c>
      <c r="D243" cm="1">
        <f t="array" ref="D243">SUMPRODUCT((Task_Table_02_26!$C$2:$C$571=$D$1)*(A243&gt;Task_Table_02_26!$J$2:$J$571)*(A243&lt;Task_Table_02_26!$K$2:$K$571))</f>
        <v>0</v>
      </c>
      <c r="E243" cm="1">
        <f t="array" ref="E243">SUMPRODUCT((Task_Table_02_26!$C$2:$C$571=$E$1)*(A243&gt;Task_Table_02_26!$J$2:$J$571)*(A243&lt;Task_Table_02_26!$K$2:$K$571))</f>
        <v>7</v>
      </c>
    </row>
    <row r="244" spans="1:5">
      <c r="A244" s="5">
        <v>46112</v>
      </c>
      <c r="B244" cm="1">
        <f t="array" ref="B244">SUMPRODUCT((Task_Table_02_26!$C$2:$C$571=$B$1)*(A244&gt;Task_Table_02_26!$J$2:$J$571)*(A244&lt;Task_Table_02_26!$K$2:$K$571))</f>
        <v>7</v>
      </c>
      <c r="C244" cm="1">
        <f t="array" ref="C244">SUMPRODUCT((Task_Table_02_26!$C$2:$C$571=$C$1)*(A244&gt;Task_Table_02_26!$J$2:$J$571)*(A244&lt;Task_Table_02_26!$K$2:$K$571))</f>
        <v>3</v>
      </c>
      <c r="D244" cm="1">
        <f t="array" ref="D244">SUMPRODUCT((Task_Table_02_26!$C$2:$C$571=$D$1)*(A244&gt;Task_Table_02_26!$J$2:$J$571)*(A244&lt;Task_Table_02_26!$K$2:$K$571))</f>
        <v>0</v>
      </c>
      <c r="E244" cm="1">
        <f t="array" ref="E244">SUMPRODUCT((Task_Table_02_26!$C$2:$C$571=$E$1)*(A244&gt;Task_Table_02_26!$J$2:$J$571)*(A244&lt;Task_Table_02_26!$K$2:$K$571))</f>
        <v>5</v>
      </c>
    </row>
    <row r="245" spans="1:5">
      <c r="A245" s="5">
        <v>46113</v>
      </c>
      <c r="B245" cm="1">
        <f t="array" ref="B245">SUMPRODUCT((Task_Table_02_26!$C$2:$C$571=$B$1)*(A245&gt;Task_Table_02_26!$J$2:$J$571)*(A245&lt;Task_Table_02_26!$K$2:$K$571))</f>
        <v>7</v>
      </c>
      <c r="C245" cm="1">
        <f t="array" ref="C245">SUMPRODUCT((Task_Table_02_26!$C$2:$C$571=$C$1)*(A245&gt;Task_Table_02_26!$J$2:$J$571)*(A245&lt;Task_Table_02_26!$K$2:$K$571))</f>
        <v>3</v>
      </c>
      <c r="D245" cm="1">
        <f t="array" ref="D245">SUMPRODUCT((Task_Table_02_26!$C$2:$C$571=$D$1)*(A245&gt;Task_Table_02_26!$J$2:$J$571)*(A245&lt;Task_Table_02_26!$K$2:$K$571))</f>
        <v>0</v>
      </c>
      <c r="E245" cm="1">
        <f t="array" ref="E245">SUMPRODUCT((Task_Table_02_26!$C$2:$C$571=$E$1)*(A245&gt;Task_Table_02_26!$J$2:$J$571)*(A245&lt;Task_Table_02_26!$K$2:$K$571))</f>
        <v>5</v>
      </c>
    </row>
    <row r="246" spans="1:5">
      <c r="A246" s="5">
        <v>46114</v>
      </c>
      <c r="B246" cm="1">
        <f t="array" ref="B246">SUMPRODUCT((Task_Table_02_26!$C$2:$C$571=$B$1)*(A246&gt;Task_Table_02_26!$J$2:$J$571)*(A246&lt;Task_Table_02_26!$K$2:$K$571))</f>
        <v>9</v>
      </c>
      <c r="C246" cm="1">
        <f t="array" ref="C246">SUMPRODUCT((Task_Table_02_26!$C$2:$C$571=$C$1)*(A246&gt;Task_Table_02_26!$J$2:$J$571)*(A246&lt;Task_Table_02_26!$K$2:$K$571))</f>
        <v>9</v>
      </c>
      <c r="D246" cm="1">
        <f t="array" ref="D246">SUMPRODUCT((Task_Table_02_26!$C$2:$C$571=$D$1)*(A246&gt;Task_Table_02_26!$J$2:$J$571)*(A246&lt;Task_Table_02_26!$K$2:$K$571))</f>
        <v>0</v>
      </c>
      <c r="E246" cm="1">
        <f t="array" ref="E246">SUMPRODUCT((Task_Table_02_26!$C$2:$C$571=$E$1)*(A246&gt;Task_Table_02_26!$J$2:$J$571)*(A246&lt;Task_Table_02_26!$K$2:$K$571))</f>
        <v>9</v>
      </c>
    </row>
    <row r="247" spans="1:5">
      <c r="A247" s="5">
        <v>46115</v>
      </c>
      <c r="B247" cm="1">
        <f t="array" ref="B247">SUMPRODUCT((Task_Table_02_26!$C$2:$C$571=$B$1)*(A247&gt;Task_Table_02_26!$J$2:$J$571)*(A247&lt;Task_Table_02_26!$K$2:$K$571))</f>
        <v>9</v>
      </c>
      <c r="C247" cm="1">
        <f t="array" ref="C247">SUMPRODUCT((Task_Table_02_26!$C$2:$C$571=$C$1)*(A247&gt;Task_Table_02_26!$J$2:$J$571)*(A247&lt;Task_Table_02_26!$K$2:$K$571))</f>
        <v>9</v>
      </c>
      <c r="D247" cm="1">
        <f t="array" ref="D247">SUMPRODUCT((Task_Table_02_26!$C$2:$C$571=$D$1)*(A247&gt;Task_Table_02_26!$J$2:$J$571)*(A247&lt;Task_Table_02_26!$K$2:$K$571))</f>
        <v>0</v>
      </c>
      <c r="E247" cm="1">
        <f t="array" ref="E247">SUMPRODUCT((Task_Table_02_26!$C$2:$C$571=$E$1)*(A247&gt;Task_Table_02_26!$J$2:$J$571)*(A247&lt;Task_Table_02_26!$K$2:$K$571))</f>
        <v>9</v>
      </c>
    </row>
    <row r="248" spans="1:5">
      <c r="A248" s="5">
        <v>46116</v>
      </c>
      <c r="B248" cm="1">
        <f t="array" ref="B248">SUMPRODUCT((Task_Table_02_26!$C$2:$C$571=$B$1)*(A248&gt;Task_Table_02_26!$J$2:$J$571)*(A248&lt;Task_Table_02_26!$K$2:$K$571))</f>
        <v>9</v>
      </c>
      <c r="C248" cm="1">
        <f t="array" ref="C248">SUMPRODUCT((Task_Table_02_26!$C$2:$C$571=$C$1)*(A248&gt;Task_Table_02_26!$J$2:$J$571)*(A248&lt;Task_Table_02_26!$K$2:$K$571))</f>
        <v>9</v>
      </c>
      <c r="D248" cm="1">
        <f t="array" ref="D248">SUMPRODUCT((Task_Table_02_26!$C$2:$C$571=$D$1)*(A248&gt;Task_Table_02_26!$J$2:$J$571)*(A248&lt;Task_Table_02_26!$K$2:$K$571))</f>
        <v>0</v>
      </c>
      <c r="E248" cm="1">
        <f t="array" ref="E248">SUMPRODUCT((Task_Table_02_26!$C$2:$C$571=$E$1)*(A248&gt;Task_Table_02_26!$J$2:$J$571)*(A248&lt;Task_Table_02_26!$K$2:$K$571))</f>
        <v>9</v>
      </c>
    </row>
    <row r="249" spans="1:5">
      <c r="A249" s="5">
        <v>46117</v>
      </c>
      <c r="B249" cm="1">
        <f t="array" ref="B249">SUMPRODUCT((Task_Table_02_26!$C$2:$C$571=$B$1)*(A249&gt;Task_Table_02_26!$J$2:$J$571)*(A249&lt;Task_Table_02_26!$K$2:$K$571))</f>
        <v>9</v>
      </c>
      <c r="C249" cm="1">
        <f t="array" ref="C249">SUMPRODUCT((Task_Table_02_26!$C$2:$C$571=$C$1)*(A249&gt;Task_Table_02_26!$J$2:$J$571)*(A249&lt;Task_Table_02_26!$K$2:$K$571))</f>
        <v>9</v>
      </c>
      <c r="D249" cm="1">
        <f t="array" ref="D249">SUMPRODUCT((Task_Table_02_26!$C$2:$C$571=$D$1)*(A249&gt;Task_Table_02_26!$J$2:$J$571)*(A249&lt;Task_Table_02_26!$K$2:$K$571))</f>
        <v>0</v>
      </c>
      <c r="E249" cm="1">
        <f t="array" ref="E249">SUMPRODUCT((Task_Table_02_26!$C$2:$C$571=$E$1)*(A249&gt;Task_Table_02_26!$J$2:$J$571)*(A249&lt;Task_Table_02_26!$K$2:$K$571))</f>
        <v>9</v>
      </c>
    </row>
    <row r="250" spans="1:5">
      <c r="A250" s="5">
        <v>46118</v>
      </c>
      <c r="B250" cm="1">
        <f t="array" ref="B250">SUMPRODUCT((Task_Table_02_26!$C$2:$C$571=$B$1)*(A250&gt;Task_Table_02_26!$J$2:$J$571)*(A250&lt;Task_Table_02_26!$K$2:$K$571))</f>
        <v>8</v>
      </c>
      <c r="C250" cm="1">
        <f t="array" ref="C250">SUMPRODUCT((Task_Table_02_26!$C$2:$C$571=$C$1)*(A250&gt;Task_Table_02_26!$J$2:$J$571)*(A250&lt;Task_Table_02_26!$K$2:$K$571))</f>
        <v>9</v>
      </c>
      <c r="D250" cm="1">
        <f t="array" ref="D250">SUMPRODUCT((Task_Table_02_26!$C$2:$C$571=$D$1)*(A250&gt;Task_Table_02_26!$J$2:$J$571)*(A250&lt;Task_Table_02_26!$K$2:$K$571))</f>
        <v>0</v>
      </c>
      <c r="E250" cm="1">
        <f t="array" ref="E250">SUMPRODUCT((Task_Table_02_26!$C$2:$C$571=$E$1)*(A250&gt;Task_Table_02_26!$J$2:$J$571)*(A250&lt;Task_Table_02_26!$K$2:$K$571))</f>
        <v>9</v>
      </c>
    </row>
    <row r="251" spans="1:5">
      <c r="A251" s="5">
        <v>46119</v>
      </c>
      <c r="B251" cm="1">
        <f t="array" ref="B251">SUMPRODUCT((Task_Table_02_26!$C$2:$C$571=$B$1)*(A251&gt;Task_Table_02_26!$J$2:$J$571)*(A251&lt;Task_Table_02_26!$K$2:$K$571))</f>
        <v>8</v>
      </c>
      <c r="C251" cm="1">
        <f t="array" ref="C251">SUMPRODUCT((Task_Table_02_26!$C$2:$C$571=$C$1)*(A251&gt;Task_Table_02_26!$J$2:$J$571)*(A251&lt;Task_Table_02_26!$K$2:$K$571))</f>
        <v>11</v>
      </c>
      <c r="D251" cm="1">
        <f t="array" ref="D251">SUMPRODUCT((Task_Table_02_26!$C$2:$C$571=$D$1)*(A251&gt;Task_Table_02_26!$J$2:$J$571)*(A251&lt;Task_Table_02_26!$K$2:$K$571))</f>
        <v>0</v>
      </c>
      <c r="E251" cm="1">
        <f t="array" ref="E251">SUMPRODUCT((Task_Table_02_26!$C$2:$C$571=$E$1)*(A251&gt;Task_Table_02_26!$J$2:$J$571)*(A251&lt;Task_Table_02_26!$K$2:$K$571))</f>
        <v>9</v>
      </c>
    </row>
    <row r="252" spans="1:5">
      <c r="A252" s="5">
        <v>46120</v>
      </c>
      <c r="B252" cm="1">
        <f t="array" ref="B252">SUMPRODUCT((Task_Table_02_26!$C$2:$C$571=$B$1)*(A252&gt;Task_Table_02_26!$J$2:$J$571)*(A252&lt;Task_Table_02_26!$K$2:$K$571))</f>
        <v>8</v>
      </c>
      <c r="C252" cm="1">
        <f t="array" ref="C252">SUMPRODUCT((Task_Table_02_26!$C$2:$C$571=$C$1)*(A252&gt;Task_Table_02_26!$J$2:$J$571)*(A252&lt;Task_Table_02_26!$K$2:$K$571))</f>
        <v>12</v>
      </c>
      <c r="D252" cm="1">
        <f t="array" ref="D252">SUMPRODUCT((Task_Table_02_26!$C$2:$C$571=$D$1)*(A252&gt;Task_Table_02_26!$J$2:$J$571)*(A252&lt;Task_Table_02_26!$K$2:$K$571))</f>
        <v>0</v>
      </c>
      <c r="E252" cm="1">
        <f t="array" ref="E252">SUMPRODUCT((Task_Table_02_26!$C$2:$C$571=$E$1)*(A252&gt;Task_Table_02_26!$J$2:$J$571)*(A252&lt;Task_Table_02_26!$K$2:$K$571))</f>
        <v>9</v>
      </c>
    </row>
    <row r="253" spans="1:5">
      <c r="A253" s="5">
        <v>46121</v>
      </c>
      <c r="B253" cm="1">
        <f t="array" ref="B253">SUMPRODUCT((Task_Table_02_26!$C$2:$C$571=$B$1)*(A253&gt;Task_Table_02_26!$J$2:$J$571)*(A253&lt;Task_Table_02_26!$K$2:$K$571))</f>
        <v>8</v>
      </c>
      <c r="C253" cm="1">
        <f t="array" ref="C253">SUMPRODUCT((Task_Table_02_26!$C$2:$C$571=$C$1)*(A253&gt;Task_Table_02_26!$J$2:$J$571)*(A253&lt;Task_Table_02_26!$K$2:$K$571))</f>
        <v>12</v>
      </c>
      <c r="D253" cm="1">
        <f t="array" ref="D253">SUMPRODUCT((Task_Table_02_26!$C$2:$C$571=$D$1)*(A253&gt;Task_Table_02_26!$J$2:$J$571)*(A253&lt;Task_Table_02_26!$K$2:$K$571))</f>
        <v>0</v>
      </c>
      <c r="E253" cm="1">
        <f t="array" ref="E253">SUMPRODUCT((Task_Table_02_26!$C$2:$C$571=$E$1)*(A253&gt;Task_Table_02_26!$J$2:$J$571)*(A253&lt;Task_Table_02_26!$K$2:$K$571))</f>
        <v>9</v>
      </c>
    </row>
    <row r="254" spans="1:5">
      <c r="A254" s="5">
        <v>46122</v>
      </c>
      <c r="B254" cm="1">
        <f t="array" ref="B254">SUMPRODUCT((Task_Table_02_26!$C$2:$C$571=$B$1)*(A254&gt;Task_Table_02_26!$J$2:$J$571)*(A254&lt;Task_Table_02_26!$K$2:$K$571))</f>
        <v>8</v>
      </c>
      <c r="C254" cm="1">
        <f t="array" ref="C254">SUMPRODUCT((Task_Table_02_26!$C$2:$C$571=$C$1)*(A254&gt;Task_Table_02_26!$J$2:$J$571)*(A254&lt;Task_Table_02_26!$K$2:$K$571))</f>
        <v>12</v>
      </c>
      <c r="D254" cm="1">
        <f t="array" ref="D254">SUMPRODUCT((Task_Table_02_26!$C$2:$C$571=$D$1)*(A254&gt;Task_Table_02_26!$J$2:$J$571)*(A254&lt;Task_Table_02_26!$K$2:$K$571))</f>
        <v>0</v>
      </c>
      <c r="E254" cm="1">
        <f t="array" ref="E254">SUMPRODUCT((Task_Table_02_26!$C$2:$C$571=$E$1)*(A254&gt;Task_Table_02_26!$J$2:$J$571)*(A254&lt;Task_Table_02_26!$K$2:$K$571))</f>
        <v>9</v>
      </c>
    </row>
    <row r="255" spans="1:5">
      <c r="A255" s="5">
        <v>46123</v>
      </c>
      <c r="B255" cm="1">
        <f t="array" ref="B255">SUMPRODUCT((Task_Table_02_26!$C$2:$C$571=$B$1)*(A255&gt;Task_Table_02_26!$J$2:$J$571)*(A255&lt;Task_Table_02_26!$K$2:$K$571))</f>
        <v>8</v>
      </c>
      <c r="C255" cm="1">
        <f t="array" ref="C255">SUMPRODUCT((Task_Table_02_26!$C$2:$C$571=$C$1)*(A255&gt;Task_Table_02_26!$J$2:$J$571)*(A255&lt;Task_Table_02_26!$K$2:$K$571))</f>
        <v>12</v>
      </c>
      <c r="D255" cm="1">
        <f t="array" ref="D255">SUMPRODUCT((Task_Table_02_26!$C$2:$C$571=$D$1)*(A255&gt;Task_Table_02_26!$J$2:$J$571)*(A255&lt;Task_Table_02_26!$K$2:$K$571))</f>
        <v>0</v>
      </c>
      <c r="E255" cm="1">
        <f t="array" ref="E255">SUMPRODUCT((Task_Table_02_26!$C$2:$C$571=$E$1)*(A255&gt;Task_Table_02_26!$J$2:$J$571)*(A255&lt;Task_Table_02_26!$K$2:$K$571))</f>
        <v>9</v>
      </c>
    </row>
    <row r="256" spans="1:5">
      <c r="A256" s="5">
        <v>46124</v>
      </c>
      <c r="B256" cm="1">
        <f t="array" ref="B256">SUMPRODUCT((Task_Table_02_26!$C$2:$C$571=$B$1)*(A256&gt;Task_Table_02_26!$J$2:$J$571)*(A256&lt;Task_Table_02_26!$K$2:$K$571))</f>
        <v>8</v>
      </c>
      <c r="C256" cm="1">
        <f t="array" ref="C256">SUMPRODUCT((Task_Table_02_26!$C$2:$C$571=$C$1)*(A256&gt;Task_Table_02_26!$J$2:$J$571)*(A256&lt;Task_Table_02_26!$K$2:$K$571))</f>
        <v>12</v>
      </c>
      <c r="D256" cm="1">
        <f t="array" ref="D256">SUMPRODUCT((Task_Table_02_26!$C$2:$C$571=$D$1)*(A256&gt;Task_Table_02_26!$J$2:$J$571)*(A256&lt;Task_Table_02_26!$K$2:$K$571))</f>
        <v>0</v>
      </c>
      <c r="E256" cm="1">
        <f t="array" ref="E256">SUMPRODUCT((Task_Table_02_26!$C$2:$C$571=$E$1)*(A256&gt;Task_Table_02_26!$J$2:$J$571)*(A256&lt;Task_Table_02_26!$K$2:$K$571))</f>
        <v>9</v>
      </c>
    </row>
    <row r="257" spans="1:5">
      <c r="A257" s="5">
        <v>46125</v>
      </c>
      <c r="B257" cm="1">
        <f t="array" ref="B257">SUMPRODUCT((Task_Table_02_26!$C$2:$C$571=$B$1)*(A257&gt;Task_Table_02_26!$J$2:$J$571)*(A257&lt;Task_Table_02_26!$K$2:$K$571))</f>
        <v>8</v>
      </c>
      <c r="C257" cm="1">
        <f t="array" ref="C257">SUMPRODUCT((Task_Table_02_26!$C$2:$C$571=$C$1)*(A257&gt;Task_Table_02_26!$J$2:$J$571)*(A257&lt;Task_Table_02_26!$K$2:$K$571))</f>
        <v>12</v>
      </c>
      <c r="D257" cm="1">
        <f t="array" ref="D257">SUMPRODUCT((Task_Table_02_26!$C$2:$C$571=$D$1)*(A257&gt;Task_Table_02_26!$J$2:$J$571)*(A257&lt;Task_Table_02_26!$K$2:$K$571))</f>
        <v>0</v>
      </c>
      <c r="E257" cm="1">
        <f t="array" ref="E257">SUMPRODUCT((Task_Table_02_26!$C$2:$C$571=$E$1)*(A257&gt;Task_Table_02_26!$J$2:$J$571)*(A257&lt;Task_Table_02_26!$K$2:$K$571))</f>
        <v>9</v>
      </c>
    </row>
    <row r="258" spans="1:5">
      <c r="A258" s="5">
        <v>46126</v>
      </c>
      <c r="B258" cm="1">
        <f t="array" ref="B258">SUMPRODUCT((Task_Table_02_26!$C$2:$C$571=$B$1)*(A258&gt;Task_Table_02_26!$J$2:$J$571)*(A258&lt;Task_Table_02_26!$K$2:$K$571))</f>
        <v>8</v>
      </c>
      <c r="C258" cm="1">
        <f t="array" ref="C258">SUMPRODUCT((Task_Table_02_26!$C$2:$C$571=$C$1)*(A258&gt;Task_Table_02_26!$J$2:$J$571)*(A258&lt;Task_Table_02_26!$K$2:$K$571))</f>
        <v>12</v>
      </c>
      <c r="D258" cm="1">
        <f t="array" ref="D258">SUMPRODUCT((Task_Table_02_26!$C$2:$C$571=$D$1)*(A258&gt;Task_Table_02_26!$J$2:$J$571)*(A258&lt;Task_Table_02_26!$K$2:$K$571))</f>
        <v>0</v>
      </c>
      <c r="E258" cm="1">
        <f t="array" ref="E258">SUMPRODUCT((Task_Table_02_26!$C$2:$C$571=$E$1)*(A258&gt;Task_Table_02_26!$J$2:$J$571)*(A258&lt;Task_Table_02_26!$K$2:$K$571))</f>
        <v>9</v>
      </c>
    </row>
    <row r="259" spans="1:5">
      <c r="A259" s="5">
        <v>46127</v>
      </c>
      <c r="B259" cm="1">
        <f t="array" ref="B259">SUMPRODUCT((Task_Table_02_26!$C$2:$C$571=$B$1)*(A259&gt;Task_Table_02_26!$J$2:$J$571)*(A259&lt;Task_Table_02_26!$K$2:$K$571))</f>
        <v>8</v>
      </c>
      <c r="C259" cm="1">
        <f t="array" ref="C259">SUMPRODUCT((Task_Table_02_26!$C$2:$C$571=$C$1)*(A259&gt;Task_Table_02_26!$J$2:$J$571)*(A259&lt;Task_Table_02_26!$K$2:$K$571))</f>
        <v>12</v>
      </c>
      <c r="D259" cm="1">
        <f t="array" ref="D259">SUMPRODUCT((Task_Table_02_26!$C$2:$C$571=$D$1)*(A259&gt;Task_Table_02_26!$J$2:$J$571)*(A259&lt;Task_Table_02_26!$K$2:$K$571))</f>
        <v>0</v>
      </c>
      <c r="E259" cm="1">
        <f t="array" ref="E259">SUMPRODUCT((Task_Table_02_26!$C$2:$C$571=$E$1)*(A259&gt;Task_Table_02_26!$J$2:$J$571)*(A259&lt;Task_Table_02_26!$K$2:$K$571))</f>
        <v>9</v>
      </c>
    </row>
    <row r="260" spans="1:5">
      <c r="A260" s="5">
        <v>46128</v>
      </c>
      <c r="B260" cm="1">
        <f t="array" ref="B260">SUMPRODUCT((Task_Table_02_26!$C$2:$C$571=$B$1)*(A260&gt;Task_Table_02_26!$J$2:$J$571)*(A260&lt;Task_Table_02_26!$K$2:$K$571))</f>
        <v>14</v>
      </c>
      <c r="C260" cm="1">
        <f t="array" ref="C260">SUMPRODUCT((Task_Table_02_26!$C$2:$C$571=$C$1)*(A260&gt;Task_Table_02_26!$J$2:$J$571)*(A260&lt;Task_Table_02_26!$K$2:$K$571))</f>
        <v>21</v>
      </c>
      <c r="D260" cm="1">
        <f t="array" ref="D260">SUMPRODUCT((Task_Table_02_26!$C$2:$C$571=$D$1)*(A260&gt;Task_Table_02_26!$J$2:$J$571)*(A260&lt;Task_Table_02_26!$K$2:$K$571))</f>
        <v>0</v>
      </c>
      <c r="E260" cm="1">
        <f t="array" ref="E260">SUMPRODUCT((Task_Table_02_26!$C$2:$C$571=$E$1)*(A260&gt;Task_Table_02_26!$J$2:$J$571)*(A260&lt;Task_Table_02_26!$K$2:$K$571))</f>
        <v>9</v>
      </c>
    </row>
    <row r="261" spans="1:5">
      <c r="A261" s="5">
        <v>46129</v>
      </c>
      <c r="B261" cm="1">
        <f t="array" ref="B261">SUMPRODUCT((Task_Table_02_26!$C$2:$C$571=$B$1)*(A261&gt;Task_Table_02_26!$J$2:$J$571)*(A261&lt;Task_Table_02_26!$K$2:$K$571))</f>
        <v>14</v>
      </c>
      <c r="C261" cm="1">
        <f t="array" ref="C261">SUMPRODUCT((Task_Table_02_26!$C$2:$C$571=$C$1)*(A261&gt;Task_Table_02_26!$J$2:$J$571)*(A261&lt;Task_Table_02_26!$K$2:$K$571))</f>
        <v>21</v>
      </c>
      <c r="D261" cm="1">
        <f t="array" ref="D261">SUMPRODUCT((Task_Table_02_26!$C$2:$C$571=$D$1)*(A261&gt;Task_Table_02_26!$J$2:$J$571)*(A261&lt;Task_Table_02_26!$K$2:$K$571))</f>
        <v>0</v>
      </c>
      <c r="E261" cm="1">
        <f t="array" ref="E261">SUMPRODUCT((Task_Table_02_26!$C$2:$C$571=$E$1)*(A261&gt;Task_Table_02_26!$J$2:$J$571)*(A261&lt;Task_Table_02_26!$K$2:$K$571))</f>
        <v>9</v>
      </c>
    </row>
    <row r="262" spans="1:5">
      <c r="A262" s="5">
        <v>46130</v>
      </c>
      <c r="B262" cm="1">
        <f t="array" ref="B262">SUMPRODUCT((Task_Table_02_26!$C$2:$C$571=$B$1)*(A262&gt;Task_Table_02_26!$J$2:$J$571)*(A262&lt;Task_Table_02_26!$K$2:$K$571))</f>
        <v>14</v>
      </c>
      <c r="C262" cm="1">
        <f t="array" ref="C262">SUMPRODUCT((Task_Table_02_26!$C$2:$C$571=$C$1)*(A262&gt;Task_Table_02_26!$J$2:$J$571)*(A262&lt;Task_Table_02_26!$K$2:$K$571))</f>
        <v>21</v>
      </c>
      <c r="D262" cm="1">
        <f t="array" ref="D262">SUMPRODUCT((Task_Table_02_26!$C$2:$C$571=$D$1)*(A262&gt;Task_Table_02_26!$J$2:$J$571)*(A262&lt;Task_Table_02_26!$K$2:$K$571))</f>
        <v>0</v>
      </c>
      <c r="E262" cm="1">
        <f t="array" ref="E262">SUMPRODUCT((Task_Table_02_26!$C$2:$C$571=$E$1)*(A262&gt;Task_Table_02_26!$J$2:$J$571)*(A262&lt;Task_Table_02_26!$K$2:$K$571))</f>
        <v>9</v>
      </c>
    </row>
    <row r="263" spans="1:5">
      <c r="A263" s="5">
        <v>46131</v>
      </c>
      <c r="B263" cm="1">
        <f t="array" ref="B263">SUMPRODUCT((Task_Table_02_26!$C$2:$C$571=$B$1)*(A263&gt;Task_Table_02_26!$J$2:$J$571)*(A263&lt;Task_Table_02_26!$K$2:$K$571))</f>
        <v>14</v>
      </c>
      <c r="C263" cm="1">
        <f t="array" ref="C263">SUMPRODUCT((Task_Table_02_26!$C$2:$C$571=$C$1)*(A263&gt;Task_Table_02_26!$J$2:$J$571)*(A263&lt;Task_Table_02_26!$K$2:$K$571))</f>
        <v>21</v>
      </c>
      <c r="D263" cm="1">
        <f t="array" ref="D263">SUMPRODUCT((Task_Table_02_26!$C$2:$C$571=$D$1)*(A263&gt;Task_Table_02_26!$J$2:$J$571)*(A263&lt;Task_Table_02_26!$K$2:$K$571))</f>
        <v>0</v>
      </c>
      <c r="E263" cm="1">
        <f t="array" ref="E263">SUMPRODUCT((Task_Table_02_26!$C$2:$C$571=$E$1)*(A263&gt;Task_Table_02_26!$J$2:$J$571)*(A263&lt;Task_Table_02_26!$K$2:$K$571))</f>
        <v>9</v>
      </c>
    </row>
    <row r="264" spans="1:5">
      <c r="A264" s="5">
        <v>46132</v>
      </c>
      <c r="B264" cm="1">
        <f t="array" ref="B264">SUMPRODUCT((Task_Table_02_26!$C$2:$C$571=$B$1)*(A264&gt;Task_Table_02_26!$J$2:$J$571)*(A264&lt;Task_Table_02_26!$K$2:$K$571))</f>
        <v>14</v>
      </c>
      <c r="C264" cm="1">
        <f t="array" ref="C264">SUMPRODUCT((Task_Table_02_26!$C$2:$C$571=$C$1)*(A264&gt;Task_Table_02_26!$J$2:$J$571)*(A264&lt;Task_Table_02_26!$K$2:$K$571))</f>
        <v>21</v>
      </c>
      <c r="D264" cm="1">
        <f t="array" ref="D264">SUMPRODUCT((Task_Table_02_26!$C$2:$C$571=$D$1)*(A264&gt;Task_Table_02_26!$J$2:$J$571)*(A264&lt;Task_Table_02_26!$K$2:$K$571))</f>
        <v>0</v>
      </c>
      <c r="E264" cm="1">
        <f t="array" ref="E264">SUMPRODUCT((Task_Table_02_26!$C$2:$C$571=$E$1)*(A264&gt;Task_Table_02_26!$J$2:$J$571)*(A264&lt;Task_Table_02_26!$K$2:$K$571))</f>
        <v>9</v>
      </c>
    </row>
    <row r="265" spans="1:5">
      <c r="A265" s="5">
        <v>46133</v>
      </c>
      <c r="B265" cm="1">
        <f t="array" ref="B265">SUMPRODUCT((Task_Table_02_26!$C$2:$C$571=$B$1)*(A265&gt;Task_Table_02_26!$J$2:$J$571)*(A265&lt;Task_Table_02_26!$K$2:$K$571))</f>
        <v>14</v>
      </c>
      <c r="C265" cm="1">
        <f t="array" ref="C265">SUMPRODUCT((Task_Table_02_26!$C$2:$C$571=$C$1)*(A265&gt;Task_Table_02_26!$J$2:$J$571)*(A265&lt;Task_Table_02_26!$K$2:$K$571))</f>
        <v>21</v>
      </c>
      <c r="D265" cm="1">
        <f t="array" ref="D265">SUMPRODUCT((Task_Table_02_26!$C$2:$C$571=$D$1)*(A265&gt;Task_Table_02_26!$J$2:$J$571)*(A265&lt;Task_Table_02_26!$K$2:$K$571))</f>
        <v>0</v>
      </c>
      <c r="E265" cm="1">
        <f t="array" ref="E265">SUMPRODUCT((Task_Table_02_26!$C$2:$C$571=$E$1)*(A265&gt;Task_Table_02_26!$J$2:$J$571)*(A265&lt;Task_Table_02_26!$K$2:$K$571))</f>
        <v>9</v>
      </c>
    </row>
    <row r="266" spans="1:5">
      <c r="A266" s="5">
        <v>46134</v>
      </c>
      <c r="B266" cm="1">
        <f t="array" ref="B266">SUMPRODUCT((Task_Table_02_26!$C$2:$C$571=$B$1)*(A266&gt;Task_Table_02_26!$J$2:$J$571)*(A266&lt;Task_Table_02_26!$K$2:$K$571))</f>
        <v>14</v>
      </c>
      <c r="C266" cm="1">
        <f t="array" ref="C266">SUMPRODUCT((Task_Table_02_26!$C$2:$C$571=$C$1)*(A266&gt;Task_Table_02_26!$J$2:$J$571)*(A266&lt;Task_Table_02_26!$K$2:$K$571))</f>
        <v>21</v>
      </c>
      <c r="D266" cm="1">
        <f t="array" ref="D266">SUMPRODUCT((Task_Table_02_26!$C$2:$C$571=$D$1)*(A266&gt;Task_Table_02_26!$J$2:$J$571)*(A266&lt;Task_Table_02_26!$K$2:$K$571))</f>
        <v>0</v>
      </c>
      <c r="E266" cm="1">
        <f t="array" ref="E266">SUMPRODUCT((Task_Table_02_26!$C$2:$C$571=$E$1)*(A266&gt;Task_Table_02_26!$J$2:$J$571)*(A266&lt;Task_Table_02_26!$K$2:$K$571))</f>
        <v>9</v>
      </c>
    </row>
    <row r="267" spans="1:5">
      <c r="A267" s="5">
        <v>46135</v>
      </c>
      <c r="B267" cm="1">
        <f t="array" ref="B267">SUMPRODUCT((Task_Table_02_26!$C$2:$C$571=$B$1)*(A267&gt;Task_Table_02_26!$J$2:$J$571)*(A267&lt;Task_Table_02_26!$K$2:$K$571))</f>
        <v>14</v>
      </c>
      <c r="C267" cm="1">
        <f t="array" ref="C267">SUMPRODUCT((Task_Table_02_26!$C$2:$C$571=$C$1)*(A267&gt;Task_Table_02_26!$J$2:$J$571)*(A267&lt;Task_Table_02_26!$K$2:$K$571))</f>
        <v>22</v>
      </c>
      <c r="D267" cm="1">
        <f t="array" ref="D267">SUMPRODUCT((Task_Table_02_26!$C$2:$C$571=$D$1)*(A267&gt;Task_Table_02_26!$J$2:$J$571)*(A267&lt;Task_Table_02_26!$K$2:$K$571))</f>
        <v>0</v>
      </c>
      <c r="E267" cm="1">
        <f t="array" ref="E267">SUMPRODUCT((Task_Table_02_26!$C$2:$C$571=$E$1)*(A267&gt;Task_Table_02_26!$J$2:$J$571)*(A267&lt;Task_Table_02_26!$K$2:$K$571))</f>
        <v>9</v>
      </c>
    </row>
    <row r="268" spans="1:5">
      <c r="A268" s="5">
        <v>46136</v>
      </c>
      <c r="B268" cm="1">
        <f t="array" ref="B268">SUMPRODUCT((Task_Table_02_26!$C$2:$C$571=$B$1)*(A268&gt;Task_Table_02_26!$J$2:$J$571)*(A268&lt;Task_Table_02_26!$K$2:$K$571))</f>
        <v>13</v>
      </c>
      <c r="C268" cm="1">
        <f t="array" ref="C268">SUMPRODUCT((Task_Table_02_26!$C$2:$C$571=$C$1)*(A268&gt;Task_Table_02_26!$J$2:$J$571)*(A268&lt;Task_Table_02_26!$K$2:$K$571))</f>
        <v>22</v>
      </c>
      <c r="D268" cm="1">
        <f t="array" ref="D268">SUMPRODUCT((Task_Table_02_26!$C$2:$C$571=$D$1)*(A268&gt;Task_Table_02_26!$J$2:$J$571)*(A268&lt;Task_Table_02_26!$K$2:$K$571))</f>
        <v>0</v>
      </c>
      <c r="E268" cm="1">
        <f t="array" ref="E268">SUMPRODUCT((Task_Table_02_26!$C$2:$C$571=$E$1)*(A268&gt;Task_Table_02_26!$J$2:$J$571)*(A268&lt;Task_Table_02_26!$K$2:$K$571))</f>
        <v>9</v>
      </c>
    </row>
    <row r="269" spans="1:5">
      <c r="A269" s="5">
        <v>46137</v>
      </c>
      <c r="B269" cm="1">
        <f t="array" ref="B269">SUMPRODUCT((Task_Table_02_26!$C$2:$C$571=$B$1)*(A269&gt;Task_Table_02_26!$J$2:$J$571)*(A269&lt;Task_Table_02_26!$K$2:$K$571))</f>
        <v>13</v>
      </c>
      <c r="C269" cm="1">
        <f t="array" ref="C269">SUMPRODUCT((Task_Table_02_26!$C$2:$C$571=$C$1)*(A269&gt;Task_Table_02_26!$J$2:$J$571)*(A269&lt;Task_Table_02_26!$K$2:$K$571))</f>
        <v>23</v>
      </c>
      <c r="D269" cm="1">
        <f t="array" ref="D269">SUMPRODUCT((Task_Table_02_26!$C$2:$C$571=$D$1)*(A269&gt;Task_Table_02_26!$J$2:$J$571)*(A269&lt;Task_Table_02_26!$K$2:$K$571))</f>
        <v>0</v>
      </c>
      <c r="E269" cm="1">
        <f t="array" ref="E269">SUMPRODUCT((Task_Table_02_26!$C$2:$C$571=$E$1)*(A269&gt;Task_Table_02_26!$J$2:$J$571)*(A269&lt;Task_Table_02_26!$K$2:$K$571))</f>
        <v>9</v>
      </c>
    </row>
    <row r="270" spans="1:5">
      <c r="A270" s="5">
        <v>46138</v>
      </c>
      <c r="B270" cm="1">
        <f t="array" ref="B270">SUMPRODUCT((Task_Table_02_26!$C$2:$C$571=$B$1)*(A270&gt;Task_Table_02_26!$J$2:$J$571)*(A270&lt;Task_Table_02_26!$K$2:$K$571))</f>
        <v>13</v>
      </c>
      <c r="C270" cm="1">
        <f t="array" ref="C270">SUMPRODUCT((Task_Table_02_26!$C$2:$C$571=$C$1)*(A270&gt;Task_Table_02_26!$J$2:$J$571)*(A270&lt;Task_Table_02_26!$K$2:$K$571))</f>
        <v>23</v>
      </c>
      <c r="D270" cm="1">
        <f t="array" ref="D270">SUMPRODUCT((Task_Table_02_26!$C$2:$C$571=$D$1)*(A270&gt;Task_Table_02_26!$J$2:$J$571)*(A270&lt;Task_Table_02_26!$K$2:$K$571))</f>
        <v>0</v>
      </c>
      <c r="E270" cm="1">
        <f t="array" ref="E270">SUMPRODUCT((Task_Table_02_26!$C$2:$C$571=$E$1)*(A270&gt;Task_Table_02_26!$J$2:$J$571)*(A270&lt;Task_Table_02_26!$K$2:$K$571))</f>
        <v>9</v>
      </c>
    </row>
    <row r="271" spans="1:5">
      <c r="A271" s="5">
        <v>46139</v>
      </c>
      <c r="B271" cm="1">
        <f t="array" ref="B271">SUMPRODUCT((Task_Table_02_26!$C$2:$C$571=$B$1)*(A271&gt;Task_Table_02_26!$J$2:$J$571)*(A271&lt;Task_Table_02_26!$K$2:$K$571))</f>
        <v>13</v>
      </c>
      <c r="C271" cm="1">
        <f t="array" ref="C271">SUMPRODUCT((Task_Table_02_26!$C$2:$C$571=$C$1)*(A271&gt;Task_Table_02_26!$J$2:$J$571)*(A271&lt;Task_Table_02_26!$K$2:$K$571))</f>
        <v>23</v>
      </c>
      <c r="D271" cm="1">
        <f t="array" ref="D271">SUMPRODUCT((Task_Table_02_26!$C$2:$C$571=$D$1)*(A271&gt;Task_Table_02_26!$J$2:$J$571)*(A271&lt;Task_Table_02_26!$K$2:$K$571))</f>
        <v>0</v>
      </c>
      <c r="E271" cm="1">
        <f t="array" ref="E271">SUMPRODUCT((Task_Table_02_26!$C$2:$C$571=$E$1)*(A271&gt;Task_Table_02_26!$J$2:$J$571)*(A271&lt;Task_Table_02_26!$K$2:$K$571))</f>
        <v>9</v>
      </c>
    </row>
    <row r="272" spans="1:5">
      <c r="A272" s="5">
        <v>46140</v>
      </c>
      <c r="B272" cm="1">
        <f t="array" ref="B272">SUMPRODUCT((Task_Table_02_26!$C$2:$C$571=$B$1)*(A272&gt;Task_Table_02_26!$J$2:$J$571)*(A272&lt;Task_Table_02_26!$K$2:$K$571))</f>
        <v>13</v>
      </c>
      <c r="C272" cm="1">
        <f t="array" ref="C272">SUMPRODUCT((Task_Table_02_26!$C$2:$C$571=$C$1)*(A272&gt;Task_Table_02_26!$J$2:$J$571)*(A272&lt;Task_Table_02_26!$K$2:$K$571))</f>
        <v>23</v>
      </c>
      <c r="D272" cm="1">
        <f t="array" ref="D272">SUMPRODUCT((Task_Table_02_26!$C$2:$C$571=$D$1)*(A272&gt;Task_Table_02_26!$J$2:$J$571)*(A272&lt;Task_Table_02_26!$K$2:$K$571))</f>
        <v>0</v>
      </c>
      <c r="E272" cm="1">
        <f t="array" ref="E272">SUMPRODUCT((Task_Table_02_26!$C$2:$C$571=$E$1)*(A272&gt;Task_Table_02_26!$J$2:$J$571)*(A272&lt;Task_Table_02_26!$K$2:$K$571))</f>
        <v>9</v>
      </c>
    </row>
    <row r="273" spans="1:5">
      <c r="A273" s="5">
        <v>46141</v>
      </c>
      <c r="B273" cm="1">
        <f t="array" ref="B273">SUMPRODUCT((Task_Table_02_26!$C$2:$C$571=$B$1)*(A273&gt;Task_Table_02_26!$J$2:$J$571)*(A273&lt;Task_Table_02_26!$K$2:$K$571))</f>
        <v>13</v>
      </c>
      <c r="C273" cm="1">
        <f t="array" ref="C273">SUMPRODUCT((Task_Table_02_26!$C$2:$C$571=$C$1)*(A273&gt;Task_Table_02_26!$J$2:$J$571)*(A273&lt;Task_Table_02_26!$K$2:$K$571))</f>
        <v>23</v>
      </c>
      <c r="D273" cm="1">
        <f t="array" ref="D273">SUMPRODUCT((Task_Table_02_26!$C$2:$C$571=$D$1)*(A273&gt;Task_Table_02_26!$J$2:$J$571)*(A273&lt;Task_Table_02_26!$K$2:$K$571))</f>
        <v>0</v>
      </c>
      <c r="E273" cm="1">
        <f t="array" ref="E273">SUMPRODUCT((Task_Table_02_26!$C$2:$C$571=$E$1)*(A273&gt;Task_Table_02_26!$J$2:$J$571)*(A273&lt;Task_Table_02_26!$K$2:$K$571))</f>
        <v>9</v>
      </c>
    </row>
    <row r="274" spans="1:5">
      <c r="A274" s="5">
        <v>46142</v>
      </c>
      <c r="B274" cm="1">
        <f t="array" ref="B274">SUMPRODUCT((Task_Table_02_26!$C$2:$C$571=$B$1)*(A274&gt;Task_Table_02_26!$J$2:$J$571)*(A274&lt;Task_Table_02_26!$K$2:$K$571))</f>
        <v>12</v>
      </c>
      <c r="C274" cm="1">
        <f t="array" ref="C274">SUMPRODUCT((Task_Table_02_26!$C$2:$C$571=$C$1)*(A274&gt;Task_Table_02_26!$J$2:$J$571)*(A274&lt;Task_Table_02_26!$K$2:$K$571))</f>
        <v>20</v>
      </c>
      <c r="D274" cm="1">
        <f t="array" ref="D274">SUMPRODUCT((Task_Table_02_26!$C$2:$C$571=$D$1)*(A274&gt;Task_Table_02_26!$J$2:$J$571)*(A274&lt;Task_Table_02_26!$K$2:$K$571))</f>
        <v>0</v>
      </c>
      <c r="E274" cm="1">
        <f t="array" ref="E274">SUMPRODUCT((Task_Table_02_26!$C$2:$C$571=$E$1)*(A274&gt;Task_Table_02_26!$J$2:$J$571)*(A274&lt;Task_Table_02_26!$K$2:$K$571))</f>
        <v>8</v>
      </c>
    </row>
    <row r="275" spans="1:5">
      <c r="A275" s="5">
        <v>46143</v>
      </c>
      <c r="B275" cm="1">
        <f t="array" ref="B275">SUMPRODUCT((Task_Table_02_26!$C$2:$C$571=$B$1)*(A275&gt;Task_Table_02_26!$J$2:$J$571)*(A275&lt;Task_Table_02_26!$K$2:$K$571))</f>
        <v>12</v>
      </c>
      <c r="C275" cm="1">
        <f t="array" ref="C275">SUMPRODUCT((Task_Table_02_26!$C$2:$C$571=$C$1)*(A275&gt;Task_Table_02_26!$J$2:$J$571)*(A275&lt;Task_Table_02_26!$K$2:$K$571))</f>
        <v>20</v>
      </c>
      <c r="D275" cm="1">
        <f t="array" ref="D275">SUMPRODUCT((Task_Table_02_26!$C$2:$C$571=$D$1)*(A275&gt;Task_Table_02_26!$J$2:$J$571)*(A275&lt;Task_Table_02_26!$K$2:$K$571))</f>
        <v>0</v>
      </c>
      <c r="E275" cm="1">
        <f t="array" ref="E275">SUMPRODUCT((Task_Table_02_26!$C$2:$C$571=$E$1)*(A275&gt;Task_Table_02_26!$J$2:$J$571)*(A275&lt;Task_Table_02_26!$K$2:$K$571))</f>
        <v>8</v>
      </c>
    </row>
    <row r="276" spans="1:5">
      <c r="A276" s="5">
        <v>46144</v>
      </c>
      <c r="B276" cm="1">
        <f t="array" ref="B276">SUMPRODUCT((Task_Table_02_26!$C$2:$C$571=$B$1)*(A276&gt;Task_Table_02_26!$J$2:$J$571)*(A276&lt;Task_Table_02_26!$K$2:$K$571))</f>
        <v>12</v>
      </c>
      <c r="C276" cm="1">
        <f t="array" ref="C276">SUMPRODUCT((Task_Table_02_26!$C$2:$C$571=$C$1)*(A276&gt;Task_Table_02_26!$J$2:$J$571)*(A276&lt;Task_Table_02_26!$K$2:$K$571))</f>
        <v>20</v>
      </c>
      <c r="D276" cm="1">
        <f t="array" ref="D276">SUMPRODUCT((Task_Table_02_26!$C$2:$C$571=$D$1)*(A276&gt;Task_Table_02_26!$J$2:$J$571)*(A276&lt;Task_Table_02_26!$K$2:$K$571))</f>
        <v>0</v>
      </c>
      <c r="E276" cm="1">
        <f t="array" ref="E276">SUMPRODUCT((Task_Table_02_26!$C$2:$C$571=$E$1)*(A276&gt;Task_Table_02_26!$J$2:$J$571)*(A276&lt;Task_Table_02_26!$K$2:$K$571))</f>
        <v>8</v>
      </c>
    </row>
    <row r="277" spans="1:5">
      <c r="A277" s="5">
        <v>46145</v>
      </c>
      <c r="B277" cm="1">
        <f t="array" ref="B277">SUMPRODUCT((Task_Table_02_26!$C$2:$C$571=$B$1)*(A277&gt;Task_Table_02_26!$J$2:$J$571)*(A277&lt;Task_Table_02_26!$K$2:$K$571))</f>
        <v>12</v>
      </c>
      <c r="C277" cm="1">
        <f t="array" ref="C277">SUMPRODUCT((Task_Table_02_26!$C$2:$C$571=$C$1)*(A277&gt;Task_Table_02_26!$J$2:$J$571)*(A277&lt;Task_Table_02_26!$K$2:$K$571))</f>
        <v>20</v>
      </c>
      <c r="D277" cm="1">
        <f t="array" ref="D277">SUMPRODUCT((Task_Table_02_26!$C$2:$C$571=$D$1)*(A277&gt;Task_Table_02_26!$J$2:$J$571)*(A277&lt;Task_Table_02_26!$K$2:$K$571))</f>
        <v>0</v>
      </c>
      <c r="E277" cm="1">
        <f t="array" ref="E277">SUMPRODUCT((Task_Table_02_26!$C$2:$C$571=$E$1)*(A277&gt;Task_Table_02_26!$J$2:$J$571)*(A277&lt;Task_Table_02_26!$K$2:$K$571))</f>
        <v>8</v>
      </c>
    </row>
    <row r="278" spans="1:5">
      <c r="A278" s="5">
        <v>46146</v>
      </c>
      <c r="B278" cm="1">
        <f t="array" ref="B278">SUMPRODUCT((Task_Table_02_26!$C$2:$C$571=$B$1)*(A278&gt;Task_Table_02_26!$J$2:$J$571)*(A278&lt;Task_Table_02_26!$K$2:$K$571))</f>
        <v>11</v>
      </c>
      <c r="C278" cm="1">
        <f t="array" ref="C278">SUMPRODUCT((Task_Table_02_26!$C$2:$C$571=$C$1)*(A278&gt;Task_Table_02_26!$J$2:$J$571)*(A278&lt;Task_Table_02_26!$K$2:$K$571))</f>
        <v>20</v>
      </c>
      <c r="D278" cm="1">
        <f t="array" ref="D278">SUMPRODUCT((Task_Table_02_26!$C$2:$C$571=$D$1)*(A278&gt;Task_Table_02_26!$J$2:$J$571)*(A278&lt;Task_Table_02_26!$K$2:$K$571))</f>
        <v>0</v>
      </c>
      <c r="E278" cm="1">
        <f t="array" ref="E278">SUMPRODUCT((Task_Table_02_26!$C$2:$C$571=$E$1)*(A278&gt;Task_Table_02_26!$J$2:$J$571)*(A278&lt;Task_Table_02_26!$K$2:$K$571))</f>
        <v>8</v>
      </c>
    </row>
    <row r="279" spans="1:5">
      <c r="A279" s="5">
        <v>46147</v>
      </c>
      <c r="B279" cm="1">
        <f t="array" ref="B279">SUMPRODUCT((Task_Table_02_26!$C$2:$C$571=$B$1)*(A279&gt;Task_Table_02_26!$J$2:$J$571)*(A279&lt;Task_Table_02_26!$K$2:$K$571))</f>
        <v>11</v>
      </c>
      <c r="C279" cm="1">
        <f t="array" ref="C279">SUMPRODUCT((Task_Table_02_26!$C$2:$C$571=$C$1)*(A279&gt;Task_Table_02_26!$J$2:$J$571)*(A279&lt;Task_Table_02_26!$K$2:$K$571))</f>
        <v>20</v>
      </c>
      <c r="D279" cm="1">
        <f t="array" ref="D279">SUMPRODUCT((Task_Table_02_26!$C$2:$C$571=$D$1)*(A279&gt;Task_Table_02_26!$J$2:$J$571)*(A279&lt;Task_Table_02_26!$K$2:$K$571))</f>
        <v>0</v>
      </c>
      <c r="E279" cm="1">
        <f t="array" ref="E279">SUMPRODUCT((Task_Table_02_26!$C$2:$C$571=$E$1)*(A279&gt;Task_Table_02_26!$J$2:$J$571)*(A279&lt;Task_Table_02_26!$K$2:$K$571))</f>
        <v>10</v>
      </c>
    </row>
    <row r="280" spans="1:5">
      <c r="A280" s="5">
        <v>46148</v>
      </c>
      <c r="B280" cm="1">
        <f t="array" ref="B280">SUMPRODUCT((Task_Table_02_26!$C$2:$C$571=$B$1)*(A280&gt;Task_Table_02_26!$J$2:$J$571)*(A280&lt;Task_Table_02_26!$K$2:$K$571))</f>
        <v>11</v>
      </c>
      <c r="C280" cm="1">
        <f t="array" ref="C280">SUMPRODUCT((Task_Table_02_26!$C$2:$C$571=$C$1)*(A280&gt;Task_Table_02_26!$J$2:$J$571)*(A280&lt;Task_Table_02_26!$K$2:$K$571))</f>
        <v>20</v>
      </c>
      <c r="D280" cm="1">
        <f t="array" ref="D280">SUMPRODUCT((Task_Table_02_26!$C$2:$C$571=$D$1)*(A280&gt;Task_Table_02_26!$J$2:$J$571)*(A280&lt;Task_Table_02_26!$K$2:$K$571))</f>
        <v>0</v>
      </c>
      <c r="E280" cm="1">
        <f t="array" ref="E280">SUMPRODUCT((Task_Table_02_26!$C$2:$C$571=$E$1)*(A280&gt;Task_Table_02_26!$J$2:$J$571)*(A280&lt;Task_Table_02_26!$K$2:$K$571))</f>
        <v>10</v>
      </c>
    </row>
    <row r="281" spans="1:5">
      <c r="A281" s="5">
        <v>46149</v>
      </c>
      <c r="B281" cm="1">
        <f t="array" ref="B281">SUMPRODUCT((Task_Table_02_26!$C$2:$C$571=$B$1)*(A281&gt;Task_Table_02_26!$J$2:$J$571)*(A281&lt;Task_Table_02_26!$K$2:$K$571))</f>
        <v>11</v>
      </c>
      <c r="C281" cm="1">
        <f t="array" ref="C281">SUMPRODUCT((Task_Table_02_26!$C$2:$C$571=$C$1)*(A281&gt;Task_Table_02_26!$J$2:$J$571)*(A281&lt;Task_Table_02_26!$K$2:$K$571))</f>
        <v>20</v>
      </c>
      <c r="D281" cm="1">
        <f t="array" ref="D281">SUMPRODUCT((Task_Table_02_26!$C$2:$C$571=$D$1)*(A281&gt;Task_Table_02_26!$J$2:$J$571)*(A281&lt;Task_Table_02_26!$K$2:$K$571))</f>
        <v>0</v>
      </c>
      <c r="E281" cm="1">
        <f t="array" ref="E281">SUMPRODUCT((Task_Table_02_26!$C$2:$C$571=$E$1)*(A281&gt;Task_Table_02_26!$J$2:$J$571)*(A281&lt;Task_Table_02_26!$K$2:$K$571))</f>
        <v>10</v>
      </c>
    </row>
    <row r="282" spans="1:5">
      <c r="A282" s="5">
        <v>46150</v>
      </c>
      <c r="B282" cm="1">
        <f t="array" ref="B282">SUMPRODUCT((Task_Table_02_26!$C$2:$C$571=$B$1)*(A282&gt;Task_Table_02_26!$J$2:$J$571)*(A282&lt;Task_Table_02_26!$K$2:$K$571))</f>
        <v>11</v>
      </c>
      <c r="C282" cm="1">
        <f t="array" ref="C282">SUMPRODUCT((Task_Table_02_26!$C$2:$C$571=$C$1)*(A282&gt;Task_Table_02_26!$J$2:$J$571)*(A282&lt;Task_Table_02_26!$K$2:$K$571))</f>
        <v>20</v>
      </c>
      <c r="D282" cm="1">
        <f t="array" ref="D282">SUMPRODUCT((Task_Table_02_26!$C$2:$C$571=$D$1)*(A282&gt;Task_Table_02_26!$J$2:$J$571)*(A282&lt;Task_Table_02_26!$K$2:$K$571))</f>
        <v>0</v>
      </c>
      <c r="E282" cm="1">
        <f t="array" ref="E282">SUMPRODUCT((Task_Table_02_26!$C$2:$C$571=$E$1)*(A282&gt;Task_Table_02_26!$J$2:$J$571)*(A282&lt;Task_Table_02_26!$K$2:$K$571))</f>
        <v>10</v>
      </c>
    </row>
    <row r="283" spans="1:5">
      <c r="A283" s="5">
        <v>46151</v>
      </c>
      <c r="B283" cm="1">
        <f t="array" ref="B283">SUMPRODUCT((Task_Table_02_26!$C$2:$C$571=$B$1)*(A283&gt;Task_Table_02_26!$J$2:$J$571)*(A283&lt;Task_Table_02_26!$K$2:$K$571))</f>
        <v>11</v>
      </c>
      <c r="C283" cm="1">
        <f t="array" ref="C283">SUMPRODUCT((Task_Table_02_26!$C$2:$C$571=$C$1)*(A283&gt;Task_Table_02_26!$J$2:$J$571)*(A283&lt;Task_Table_02_26!$K$2:$K$571))</f>
        <v>20</v>
      </c>
      <c r="D283" cm="1">
        <f t="array" ref="D283">SUMPRODUCT((Task_Table_02_26!$C$2:$C$571=$D$1)*(A283&gt;Task_Table_02_26!$J$2:$J$571)*(A283&lt;Task_Table_02_26!$K$2:$K$571))</f>
        <v>0</v>
      </c>
      <c r="E283" cm="1">
        <f t="array" ref="E283">SUMPRODUCT((Task_Table_02_26!$C$2:$C$571=$E$1)*(A283&gt;Task_Table_02_26!$J$2:$J$571)*(A283&lt;Task_Table_02_26!$K$2:$K$571))</f>
        <v>10</v>
      </c>
    </row>
    <row r="284" spans="1:5">
      <c r="A284" s="5">
        <v>46152</v>
      </c>
      <c r="B284" cm="1">
        <f t="array" ref="B284">SUMPRODUCT((Task_Table_02_26!$C$2:$C$571=$B$1)*(A284&gt;Task_Table_02_26!$J$2:$J$571)*(A284&lt;Task_Table_02_26!$K$2:$K$571))</f>
        <v>11</v>
      </c>
      <c r="C284" cm="1">
        <f t="array" ref="C284">SUMPRODUCT((Task_Table_02_26!$C$2:$C$571=$C$1)*(A284&gt;Task_Table_02_26!$J$2:$J$571)*(A284&lt;Task_Table_02_26!$K$2:$K$571))</f>
        <v>20</v>
      </c>
      <c r="D284" cm="1">
        <f t="array" ref="D284">SUMPRODUCT((Task_Table_02_26!$C$2:$C$571=$D$1)*(A284&gt;Task_Table_02_26!$J$2:$J$571)*(A284&lt;Task_Table_02_26!$K$2:$K$571))</f>
        <v>0</v>
      </c>
      <c r="E284" cm="1">
        <f t="array" ref="E284">SUMPRODUCT((Task_Table_02_26!$C$2:$C$571=$E$1)*(A284&gt;Task_Table_02_26!$J$2:$J$571)*(A284&lt;Task_Table_02_26!$K$2:$K$571))</f>
        <v>10</v>
      </c>
    </row>
    <row r="285" spans="1:5">
      <c r="A285" s="5">
        <v>46153</v>
      </c>
      <c r="B285" cm="1">
        <f t="array" ref="B285">SUMPRODUCT((Task_Table_02_26!$C$2:$C$571=$B$1)*(A285&gt;Task_Table_02_26!$J$2:$J$571)*(A285&lt;Task_Table_02_26!$K$2:$K$571))</f>
        <v>11</v>
      </c>
      <c r="C285" cm="1">
        <f t="array" ref="C285">SUMPRODUCT((Task_Table_02_26!$C$2:$C$571=$C$1)*(A285&gt;Task_Table_02_26!$J$2:$J$571)*(A285&lt;Task_Table_02_26!$K$2:$K$571))</f>
        <v>20</v>
      </c>
      <c r="D285" cm="1">
        <f t="array" ref="D285">SUMPRODUCT((Task_Table_02_26!$C$2:$C$571=$D$1)*(A285&gt;Task_Table_02_26!$J$2:$J$571)*(A285&lt;Task_Table_02_26!$K$2:$K$571))</f>
        <v>0</v>
      </c>
      <c r="E285" cm="1">
        <f t="array" ref="E285">SUMPRODUCT((Task_Table_02_26!$C$2:$C$571=$E$1)*(A285&gt;Task_Table_02_26!$J$2:$J$571)*(A285&lt;Task_Table_02_26!$K$2:$K$571))</f>
        <v>10</v>
      </c>
    </row>
    <row r="286" spans="1:5">
      <c r="A286" s="5">
        <v>46154</v>
      </c>
      <c r="B286" cm="1">
        <f t="array" ref="B286">SUMPRODUCT((Task_Table_02_26!$C$2:$C$571=$B$1)*(A286&gt;Task_Table_02_26!$J$2:$J$571)*(A286&lt;Task_Table_02_26!$K$2:$K$571))</f>
        <v>11</v>
      </c>
      <c r="C286" cm="1">
        <f t="array" ref="C286">SUMPRODUCT((Task_Table_02_26!$C$2:$C$571=$C$1)*(A286&gt;Task_Table_02_26!$J$2:$J$571)*(A286&lt;Task_Table_02_26!$K$2:$K$571))</f>
        <v>20</v>
      </c>
      <c r="D286" cm="1">
        <f t="array" ref="D286">SUMPRODUCT((Task_Table_02_26!$C$2:$C$571=$D$1)*(A286&gt;Task_Table_02_26!$J$2:$J$571)*(A286&lt;Task_Table_02_26!$K$2:$K$571))</f>
        <v>0</v>
      </c>
      <c r="E286" cm="1">
        <f t="array" ref="E286">SUMPRODUCT((Task_Table_02_26!$C$2:$C$571=$E$1)*(A286&gt;Task_Table_02_26!$J$2:$J$571)*(A286&lt;Task_Table_02_26!$K$2:$K$571))</f>
        <v>10</v>
      </c>
    </row>
    <row r="287" spans="1:5">
      <c r="A287" s="5">
        <v>46155</v>
      </c>
      <c r="B287" cm="1">
        <f t="array" ref="B287">SUMPRODUCT((Task_Table_02_26!$C$2:$C$571=$B$1)*(A287&gt;Task_Table_02_26!$J$2:$J$571)*(A287&lt;Task_Table_02_26!$K$2:$K$571))</f>
        <v>11</v>
      </c>
      <c r="C287" cm="1">
        <f t="array" ref="C287">SUMPRODUCT((Task_Table_02_26!$C$2:$C$571=$C$1)*(A287&gt;Task_Table_02_26!$J$2:$J$571)*(A287&lt;Task_Table_02_26!$K$2:$K$571))</f>
        <v>20</v>
      </c>
      <c r="D287" cm="1">
        <f t="array" ref="D287">SUMPRODUCT((Task_Table_02_26!$C$2:$C$571=$D$1)*(A287&gt;Task_Table_02_26!$J$2:$J$571)*(A287&lt;Task_Table_02_26!$K$2:$K$571))</f>
        <v>0</v>
      </c>
      <c r="E287" cm="1">
        <f t="array" ref="E287">SUMPRODUCT((Task_Table_02_26!$C$2:$C$571=$E$1)*(A287&gt;Task_Table_02_26!$J$2:$J$571)*(A287&lt;Task_Table_02_26!$K$2:$K$571))</f>
        <v>10</v>
      </c>
    </row>
    <row r="288" spans="1:5">
      <c r="A288" s="5">
        <v>46156</v>
      </c>
      <c r="B288" cm="1">
        <f t="array" ref="B288">SUMPRODUCT((Task_Table_02_26!$C$2:$C$571=$B$1)*(A288&gt;Task_Table_02_26!$J$2:$J$571)*(A288&lt;Task_Table_02_26!$K$2:$K$571))</f>
        <v>11</v>
      </c>
      <c r="C288" cm="1">
        <f t="array" ref="C288">SUMPRODUCT((Task_Table_02_26!$C$2:$C$571=$C$1)*(A288&gt;Task_Table_02_26!$J$2:$J$571)*(A288&lt;Task_Table_02_26!$K$2:$K$571))</f>
        <v>20</v>
      </c>
      <c r="D288" cm="1">
        <f t="array" ref="D288">SUMPRODUCT((Task_Table_02_26!$C$2:$C$571=$D$1)*(A288&gt;Task_Table_02_26!$J$2:$J$571)*(A288&lt;Task_Table_02_26!$K$2:$K$571))</f>
        <v>0</v>
      </c>
      <c r="E288" cm="1">
        <f t="array" ref="E288">SUMPRODUCT((Task_Table_02_26!$C$2:$C$571=$E$1)*(A288&gt;Task_Table_02_26!$J$2:$J$571)*(A288&lt;Task_Table_02_26!$K$2:$K$571))</f>
        <v>10</v>
      </c>
    </row>
    <row r="289" spans="1:5">
      <c r="A289" s="5">
        <v>46157</v>
      </c>
      <c r="B289" cm="1">
        <f t="array" ref="B289">SUMPRODUCT((Task_Table_02_26!$C$2:$C$571=$B$1)*(A289&gt;Task_Table_02_26!$J$2:$J$571)*(A289&lt;Task_Table_02_26!$K$2:$K$571))</f>
        <v>9</v>
      </c>
      <c r="C289" cm="1">
        <f t="array" ref="C289">SUMPRODUCT((Task_Table_02_26!$C$2:$C$571=$C$1)*(A289&gt;Task_Table_02_26!$J$2:$J$571)*(A289&lt;Task_Table_02_26!$K$2:$K$571))</f>
        <v>20</v>
      </c>
      <c r="D289" cm="1">
        <f t="array" ref="D289">SUMPRODUCT((Task_Table_02_26!$C$2:$C$571=$D$1)*(A289&gt;Task_Table_02_26!$J$2:$J$571)*(A289&lt;Task_Table_02_26!$K$2:$K$571))</f>
        <v>0</v>
      </c>
      <c r="E289" cm="1">
        <f t="array" ref="E289">SUMPRODUCT((Task_Table_02_26!$C$2:$C$571=$E$1)*(A289&gt;Task_Table_02_26!$J$2:$J$571)*(A289&lt;Task_Table_02_26!$K$2:$K$571))</f>
        <v>10</v>
      </c>
    </row>
    <row r="290" spans="1:5">
      <c r="A290" s="5">
        <v>46158</v>
      </c>
      <c r="B290" cm="1">
        <f t="array" ref="B290">SUMPRODUCT((Task_Table_02_26!$C$2:$C$571=$B$1)*(A290&gt;Task_Table_02_26!$J$2:$J$571)*(A290&lt;Task_Table_02_26!$K$2:$K$571))</f>
        <v>9</v>
      </c>
      <c r="C290" cm="1">
        <f t="array" ref="C290">SUMPRODUCT((Task_Table_02_26!$C$2:$C$571=$C$1)*(A290&gt;Task_Table_02_26!$J$2:$J$571)*(A290&lt;Task_Table_02_26!$K$2:$K$571))</f>
        <v>20</v>
      </c>
      <c r="D290" cm="1">
        <f t="array" ref="D290">SUMPRODUCT((Task_Table_02_26!$C$2:$C$571=$D$1)*(A290&gt;Task_Table_02_26!$J$2:$J$571)*(A290&lt;Task_Table_02_26!$K$2:$K$571))</f>
        <v>0</v>
      </c>
      <c r="E290" cm="1">
        <f t="array" ref="E290">SUMPRODUCT((Task_Table_02_26!$C$2:$C$571=$E$1)*(A290&gt;Task_Table_02_26!$J$2:$J$571)*(A290&lt;Task_Table_02_26!$K$2:$K$571))</f>
        <v>10</v>
      </c>
    </row>
    <row r="291" spans="1:5">
      <c r="A291" s="5">
        <v>46159</v>
      </c>
      <c r="B291" cm="1">
        <f t="array" ref="B291">SUMPRODUCT((Task_Table_02_26!$C$2:$C$571=$B$1)*(A291&gt;Task_Table_02_26!$J$2:$J$571)*(A291&lt;Task_Table_02_26!$K$2:$K$571))</f>
        <v>9</v>
      </c>
      <c r="C291" cm="1">
        <f t="array" ref="C291">SUMPRODUCT((Task_Table_02_26!$C$2:$C$571=$C$1)*(A291&gt;Task_Table_02_26!$J$2:$J$571)*(A291&lt;Task_Table_02_26!$K$2:$K$571))</f>
        <v>20</v>
      </c>
      <c r="D291" cm="1">
        <f t="array" ref="D291">SUMPRODUCT((Task_Table_02_26!$C$2:$C$571=$D$1)*(A291&gt;Task_Table_02_26!$J$2:$J$571)*(A291&lt;Task_Table_02_26!$K$2:$K$571))</f>
        <v>0</v>
      </c>
      <c r="E291" cm="1">
        <f t="array" ref="E291">SUMPRODUCT((Task_Table_02_26!$C$2:$C$571=$E$1)*(A291&gt;Task_Table_02_26!$J$2:$J$571)*(A291&lt;Task_Table_02_26!$K$2:$K$571))</f>
        <v>10</v>
      </c>
    </row>
    <row r="292" spans="1:5">
      <c r="A292" s="5">
        <v>46160</v>
      </c>
      <c r="B292" cm="1">
        <f t="array" ref="B292">SUMPRODUCT((Task_Table_02_26!$C$2:$C$571=$B$1)*(A292&gt;Task_Table_02_26!$J$2:$J$571)*(A292&lt;Task_Table_02_26!$K$2:$K$571))</f>
        <v>9</v>
      </c>
      <c r="C292" cm="1">
        <f t="array" ref="C292">SUMPRODUCT((Task_Table_02_26!$C$2:$C$571=$C$1)*(A292&gt;Task_Table_02_26!$J$2:$J$571)*(A292&lt;Task_Table_02_26!$K$2:$K$571))</f>
        <v>20</v>
      </c>
      <c r="D292" cm="1">
        <f t="array" ref="D292">SUMPRODUCT((Task_Table_02_26!$C$2:$C$571=$D$1)*(A292&gt;Task_Table_02_26!$J$2:$J$571)*(A292&lt;Task_Table_02_26!$K$2:$K$571))</f>
        <v>0</v>
      </c>
      <c r="E292" cm="1">
        <f t="array" ref="E292">SUMPRODUCT((Task_Table_02_26!$C$2:$C$571=$E$1)*(A292&gt;Task_Table_02_26!$J$2:$J$571)*(A292&lt;Task_Table_02_26!$K$2:$K$571))</f>
        <v>10</v>
      </c>
    </row>
    <row r="293" spans="1:5">
      <c r="A293" s="5">
        <v>46161</v>
      </c>
      <c r="B293" cm="1">
        <f t="array" ref="B293">SUMPRODUCT((Task_Table_02_26!$C$2:$C$571=$B$1)*(A293&gt;Task_Table_02_26!$J$2:$J$571)*(A293&lt;Task_Table_02_26!$K$2:$K$571))</f>
        <v>9</v>
      </c>
      <c r="C293" cm="1">
        <f t="array" ref="C293">SUMPRODUCT((Task_Table_02_26!$C$2:$C$571=$C$1)*(A293&gt;Task_Table_02_26!$J$2:$J$571)*(A293&lt;Task_Table_02_26!$K$2:$K$571))</f>
        <v>21</v>
      </c>
      <c r="D293" cm="1">
        <f t="array" ref="D293">SUMPRODUCT((Task_Table_02_26!$C$2:$C$571=$D$1)*(A293&gt;Task_Table_02_26!$J$2:$J$571)*(A293&lt;Task_Table_02_26!$K$2:$K$571))</f>
        <v>0</v>
      </c>
      <c r="E293" cm="1">
        <f t="array" ref="E293">SUMPRODUCT((Task_Table_02_26!$C$2:$C$571=$E$1)*(A293&gt;Task_Table_02_26!$J$2:$J$571)*(A293&lt;Task_Table_02_26!$K$2:$K$571))</f>
        <v>11</v>
      </c>
    </row>
    <row r="294" spans="1:5">
      <c r="A294" s="5">
        <v>46162</v>
      </c>
      <c r="B294" cm="1">
        <f t="array" ref="B294">SUMPRODUCT((Task_Table_02_26!$C$2:$C$571=$B$1)*(A294&gt;Task_Table_02_26!$J$2:$J$571)*(A294&lt;Task_Table_02_26!$K$2:$K$571))</f>
        <v>9</v>
      </c>
      <c r="C294" cm="1">
        <f t="array" ref="C294">SUMPRODUCT((Task_Table_02_26!$C$2:$C$571=$C$1)*(A294&gt;Task_Table_02_26!$J$2:$J$571)*(A294&lt;Task_Table_02_26!$K$2:$K$571))</f>
        <v>21</v>
      </c>
      <c r="D294" cm="1">
        <f t="array" ref="D294">SUMPRODUCT((Task_Table_02_26!$C$2:$C$571=$D$1)*(A294&gt;Task_Table_02_26!$J$2:$J$571)*(A294&lt;Task_Table_02_26!$K$2:$K$571))</f>
        <v>0</v>
      </c>
      <c r="E294" cm="1">
        <f t="array" ref="E294">SUMPRODUCT((Task_Table_02_26!$C$2:$C$571=$E$1)*(A294&gt;Task_Table_02_26!$J$2:$J$571)*(A294&lt;Task_Table_02_26!$K$2:$K$571))</f>
        <v>11</v>
      </c>
    </row>
    <row r="295" spans="1:5">
      <c r="A295" s="5">
        <v>46163</v>
      </c>
      <c r="B295" cm="1">
        <f t="array" ref="B295">SUMPRODUCT((Task_Table_02_26!$C$2:$C$571=$B$1)*(A295&gt;Task_Table_02_26!$J$2:$J$571)*(A295&lt;Task_Table_02_26!$K$2:$K$571))</f>
        <v>9</v>
      </c>
      <c r="C295" cm="1">
        <f t="array" ref="C295">SUMPRODUCT((Task_Table_02_26!$C$2:$C$571=$C$1)*(A295&gt;Task_Table_02_26!$J$2:$J$571)*(A295&lt;Task_Table_02_26!$K$2:$K$571))</f>
        <v>21</v>
      </c>
      <c r="D295" cm="1">
        <f t="array" ref="D295">SUMPRODUCT((Task_Table_02_26!$C$2:$C$571=$D$1)*(A295&gt;Task_Table_02_26!$J$2:$J$571)*(A295&lt;Task_Table_02_26!$K$2:$K$571))</f>
        <v>0</v>
      </c>
      <c r="E295" cm="1">
        <f t="array" ref="E295">SUMPRODUCT((Task_Table_02_26!$C$2:$C$571=$E$1)*(A295&gt;Task_Table_02_26!$J$2:$J$571)*(A295&lt;Task_Table_02_26!$K$2:$K$571))</f>
        <v>11</v>
      </c>
    </row>
    <row r="296" spans="1:5">
      <c r="A296" s="5">
        <v>46164</v>
      </c>
      <c r="B296" cm="1">
        <f t="array" ref="B296">SUMPRODUCT((Task_Table_02_26!$C$2:$C$571=$B$1)*(A296&gt;Task_Table_02_26!$J$2:$J$571)*(A296&lt;Task_Table_02_26!$K$2:$K$571))</f>
        <v>9</v>
      </c>
      <c r="C296" cm="1">
        <f t="array" ref="C296">SUMPRODUCT((Task_Table_02_26!$C$2:$C$571=$C$1)*(A296&gt;Task_Table_02_26!$J$2:$J$571)*(A296&lt;Task_Table_02_26!$K$2:$K$571))</f>
        <v>21</v>
      </c>
      <c r="D296" cm="1">
        <f t="array" ref="D296">SUMPRODUCT((Task_Table_02_26!$C$2:$C$571=$D$1)*(A296&gt;Task_Table_02_26!$J$2:$J$571)*(A296&lt;Task_Table_02_26!$K$2:$K$571))</f>
        <v>0</v>
      </c>
      <c r="E296" cm="1">
        <f t="array" ref="E296">SUMPRODUCT((Task_Table_02_26!$C$2:$C$571=$E$1)*(A296&gt;Task_Table_02_26!$J$2:$J$571)*(A296&lt;Task_Table_02_26!$K$2:$K$571))</f>
        <v>11</v>
      </c>
    </row>
    <row r="297" spans="1:5">
      <c r="A297" s="5">
        <v>46165</v>
      </c>
      <c r="B297" cm="1">
        <f t="array" ref="B297">SUMPRODUCT((Task_Table_02_26!$C$2:$C$571=$B$1)*(A297&gt;Task_Table_02_26!$J$2:$J$571)*(A297&lt;Task_Table_02_26!$K$2:$K$571))</f>
        <v>9</v>
      </c>
      <c r="C297" cm="1">
        <f t="array" ref="C297">SUMPRODUCT((Task_Table_02_26!$C$2:$C$571=$C$1)*(A297&gt;Task_Table_02_26!$J$2:$J$571)*(A297&lt;Task_Table_02_26!$K$2:$K$571))</f>
        <v>21</v>
      </c>
      <c r="D297" cm="1">
        <f t="array" ref="D297">SUMPRODUCT((Task_Table_02_26!$C$2:$C$571=$D$1)*(A297&gt;Task_Table_02_26!$J$2:$J$571)*(A297&lt;Task_Table_02_26!$K$2:$K$571))</f>
        <v>0</v>
      </c>
      <c r="E297" cm="1">
        <f t="array" ref="E297">SUMPRODUCT((Task_Table_02_26!$C$2:$C$571=$E$1)*(A297&gt;Task_Table_02_26!$J$2:$J$571)*(A297&lt;Task_Table_02_26!$K$2:$K$571))</f>
        <v>11</v>
      </c>
    </row>
    <row r="298" spans="1:5">
      <c r="A298" s="5">
        <v>46166</v>
      </c>
      <c r="B298" cm="1">
        <f t="array" ref="B298">SUMPRODUCT((Task_Table_02_26!$C$2:$C$571=$B$1)*(A298&gt;Task_Table_02_26!$J$2:$J$571)*(A298&lt;Task_Table_02_26!$K$2:$K$571))</f>
        <v>9</v>
      </c>
      <c r="C298" cm="1">
        <f t="array" ref="C298">SUMPRODUCT((Task_Table_02_26!$C$2:$C$571=$C$1)*(A298&gt;Task_Table_02_26!$J$2:$J$571)*(A298&lt;Task_Table_02_26!$K$2:$K$571))</f>
        <v>21</v>
      </c>
      <c r="D298" cm="1">
        <f t="array" ref="D298">SUMPRODUCT((Task_Table_02_26!$C$2:$C$571=$D$1)*(A298&gt;Task_Table_02_26!$J$2:$J$571)*(A298&lt;Task_Table_02_26!$K$2:$K$571))</f>
        <v>0</v>
      </c>
      <c r="E298" cm="1">
        <f t="array" ref="E298">SUMPRODUCT((Task_Table_02_26!$C$2:$C$571=$E$1)*(A298&gt;Task_Table_02_26!$J$2:$J$571)*(A298&lt;Task_Table_02_26!$K$2:$K$571))</f>
        <v>11</v>
      </c>
    </row>
    <row r="299" spans="1:5">
      <c r="A299" s="5">
        <v>46167</v>
      </c>
      <c r="B299" cm="1">
        <f t="array" ref="B299">SUMPRODUCT((Task_Table_02_26!$C$2:$C$571=$B$1)*(A299&gt;Task_Table_02_26!$J$2:$J$571)*(A299&lt;Task_Table_02_26!$K$2:$K$571))</f>
        <v>9</v>
      </c>
      <c r="C299" cm="1">
        <f t="array" ref="C299">SUMPRODUCT((Task_Table_02_26!$C$2:$C$571=$C$1)*(A299&gt;Task_Table_02_26!$J$2:$J$571)*(A299&lt;Task_Table_02_26!$K$2:$K$571))</f>
        <v>21</v>
      </c>
      <c r="D299" cm="1">
        <f t="array" ref="D299">SUMPRODUCT((Task_Table_02_26!$C$2:$C$571=$D$1)*(A299&gt;Task_Table_02_26!$J$2:$J$571)*(A299&lt;Task_Table_02_26!$K$2:$K$571))</f>
        <v>0</v>
      </c>
      <c r="E299" cm="1">
        <f t="array" ref="E299">SUMPRODUCT((Task_Table_02_26!$C$2:$C$571=$E$1)*(A299&gt;Task_Table_02_26!$J$2:$J$571)*(A299&lt;Task_Table_02_26!$K$2:$K$571))</f>
        <v>11</v>
      </c>
    </row>
    <row r="300" spans="1:5">
      <c r="A300" s="5">
        <v>46168</v>
      </c>
      <c r="B300" cm="1">
        <f t="array" ref="B300">SUMPRODUCT((Task_Table_02_26!$C$2:$C$571=$B$1)*(A300&gt;Task_Table_02_26!$J$2:$J$571)*(A300&lt;Task_Table_02_26!$K$2:$K$571))</f>
        <v>9</v>
      </c>
      <c r="C300" cm="1">
        <f t="array" ref="C300">SUMPRODUCT((Task_Table_02_26!$C$2:$C$571=$C$1)*(A300&gt;Task_Table_02_26!$J$2:$J$571)*(A300&lt;Task_Table_02_26!$K$2:$K$571))</f>
        <v>21</v>
      </c>
      <c r="D300" cm="1">
        <f t="array" ref="D300">SUMPRODUCT((Task_Table_02_26!$C$2:$C$571=$D$1)*(A300&gt;Task_Table_02_26!$J$2:$J$571)*(A300&lt;Task_Table_02_26!$K$2:$K$571))</f>
        <v>0</v>
      </c>
      <c r="E300" cm="1">
        <f t="array" ref="E300">SUMPRODUCT((Task_Table_02_26!$C$2:$C$571=$E$1)*(A300&gt;Task_Table_02_26!$J$2:$J$571)*(A300&lt;Task_Table_02_26!$K$2:$K$571))</f>
        <v>11</v>
      </c>
    </row>
    <row r="301" spans="1:5">
      <c r="A301" s="5">
        <v>46169</v>
      </c>
      <c r="B301" cm="1">
        <f t="array" ref="B301">SUMPRODUCT((Task_Table_02_26!$C$2:$C$571=$B$1)*(A301&gt;Task_Table_02_26!$J$2:$J$571)*(A301&lt;Task_Table_02_26!$K$2:$K$571))</f>
        <v>9</v>
      </c>
      <c r="C301" cm="1">
        <f t="array" ref="C301">SUMPRODUCT((Task_Table_02_26!$C$2:$C$571=$C$1)*(A301&gt;Task_Table_02_26!$J$2:$J$571)*(A301&lt;Task_Table_02_26!$K$2:$K$571))</f>
        <v>21</v>
      </c>
      <c r="D301" cm="1">
        <f t="array" ref="D301">SUMPRODUCT((Task_Table_02_26!$C$2:$C$571=$D$1)*(A301&gt;Task_Table_02_26!$J$2:$J$571)*(A301&lt;Task_Table_02_26!$K$2:$K$571))</f>
        <v>0</v>
      </c>
      <c r="E301" cm="1">
        <f t="array" ref="E301">SUMPRODUCT((Task_Table_02_26!$C$2:$C$571=$E$1)*(A301&gt;Task_Table_02_26!$J$2:$J$571)*(A301&lt;Task_Table_02_26!$K$2:$K$571))</f>
        <v>11</v>
      </c>
    </row>
    <row r="302" spans="1:5">
      <c r="A302" s="5">
        <v>46170</v>
      </c>
      <c r="B302" cm="1">
        <f t="array" ref="B302">SUMPRODUCT((Task_Table_02_26!$C$2:$C$571=$B$1)*(A302&gt;Task_Table_02_26!$J$2:$J$571)*(A302&lt;Task_Table_02_26!$K$2:$K$571))</f>
        <v>9</v>
      </c>
      <c r="C302" cm="1">
        <f t="array" ref="C302">SUMPRODUCT((Task_Table_02_26!$C$2:$C$571=$C$1)*(A302&gt;Task_Table_02_26!$J$2:$J$571)*(A302&lt;Task_Table_02_26!$K$2:$K$571))</f>
        <v>21</v>
      </c>
      <c r="D302" cm="1">
        <f t="array" ref="D302">SUMPRODUCT((Task_Table_02_26!$C$2:$C$571=$D$1)*(A302&gt;Task_Table_02_26!$J$2:$J$571)*(A302&lt;Task_Table_02_26!$K$2:$K$571))</f>
        <v>0</v>
      </c>
      <c r="E302" cm="1">
        <f t="array" ref="E302">SUMPRODUCT((Task_Table_02_26!$C$2:$C$571=$E$1)*(A302&gt;Task_Table_02_26!$J$2:$J$571)*(A302&lt;Task_Table_02_26!$K$2:$K$571))</f>
        <v>11</v>
      </c>
    </row>
    <row r="303" spans="1:5">
      <c r="A303" s="5">
        <v>46171</v>
      </c>
      <c r="B303" cm="1">
        <f t="array" ref="B303">SUMPRODUCT((Task_Table_02_26!$C$2:$C$571=$B$1)*(A303&gt;Task_Table_02_26!$J$2:$J$571)*(A303&lt;Task_Table_02_26!$K$2:$K$571))</f>
        <v>9</v>
      </c>
      <c r="C303" cm="1">
        <f t="array" ref="C303">SUMPRODUCT((Task_Table_02_26!$C$2:$C$571=$C$1)*(A303&gt;Task_Table_02_26!$J$2:$J$571)*(A303&lt;Task_Table_02_26!$K$2:$K$571))</f>
        <v>21</v>
      </c>
      <c r="D303" cm="1">
        <f t="array" ref="D303">SUMPRODUCT((Task_Table_02_26!$C$2:$C$571=$D$1)*(A303&gt;Task_Table_02_26!$J$2:$J$571)*(A303&lt;Task_Table_02_26!$K$2:$K$571))</f>
        <v>0</v>
      </c>
      <c r="E303" cm="1">
        <f t="array" ref="E303">SUMPRODUCT((Task_Table_02_26!$C$2:$C$571=$E$1)*(A303&gt;Task_Table_02_26!$J$2:$J$571)*(A303&lt;Task_Table_02_26!$K$2:$K$571))</f>
        <v>11</v>
      </c>
    </row>
    <row r="304" spans="1:5">
      <c r="A304" s="5">
        <v>46172</v>
      </c>
      <c r="B304" cm="1">
        <f t="array" ref="B304">SUMPRODUCT((Task_Table_02_26!$C$2:$C$571=$B$1)*(A304&gt;Task_Table_02_26!$J$2:$J$571)*(A304&lt;Task_Table_02_26!$K$2:$K$571))</f>
        <v>9</v>
      </c>
      <c r="C304" cm="1">
        <f t="array" ref="C304">SUMPRODUCT((Task_Table_02_26!$C$2:$C$571=$C$1)*(A304&gt;Task_Table_02_26!$J$2:$J$571)*(A304&lt;Task_Table_02_26!$K$2:$K$571))</f>
        <v>21</v>
      </c>
      <c r="D304" cm="1">
        <f t="array" ref="D304">SUMPRODUCT((Task_Table_02_26!$C$2:$C$571=$D$1)*(A304&gt;Task_Table_02_26!$J$2:$J$571)*(A304&lt;Task_Table_02_26!$K$2:$K$571))</f>
        <v>0</v>
      </c>
      <c r="E304" cm="1">
        <f t="array" ref="E304">SUMPRODUCT((Task_Table_02_26!$C$2:$C$571=$E$1)*(A304&gt;Task_Table_02_26!$J$2:$J$571)*(A304&lt;Task_Table_02_26!$K$2:$K$571))</f>
        <v>11</v>
      </c>
    </row>
    <row r="305" spans="1:5">
      <c r="A305" s="5">
        <v>46173</v>
      </c>
      <c r="B305" cm="1">
        <f t="array" ref="B305">SUMPRODUCT((Task_Table_02_26!$C$2:$C$571=$B$1)*(A305&gt;Task_Table_02_26!$J$2:$J$571)*(A305&lt;Task_Table_02_26!$K$2:$K$571))</f>
        <v>9</v>
      </c>
      <c r="C305" cm="1">
        <f t="array" ref="C305">SUMPRODUCT((Task_Table_02_26!$C$2:$C$571=$C$1)*(A305&gt;Task_Table_02_26!$J$2:$J$571)*(A305&lt;Task_Table_02_26!$K$2:$K$571))</f>
        <v>21</v>
      </c>
      <c r="D305" cm="1">
        <f t="array" ref="D305">SUMPRODUCT((Task_Table_02_26!$C$2:$C$571=$D$1)*(A305&gt;Task_Table_02_26!$J$2:$J$571)*(A305&lt;Task_Table_02_26!$K$2:$K$571))</f>
        <v>0</v>
      </c>
      <c r="E305" cm="1">
        <f t="array" ref="E305">SUMPRODUCT((Task_Table_02_26!$C$2:$C$571=$E$1)*(A305&gt;Task_Table_02_26!$J$2:$J$571)*(A305&lt;Task_Table_02_26!$K$2:$K$571))</f>
        <v>10</v>
      </c>
    </row>
    <row r="306" spans="1:5">
      <c r="A306" s="5">
        <v>46174</v>
      </c>
      <c r="B306" cm="1">
        <f t="array" ref="B306">SUMPRODUCT((Task_Table_02_26!$C$2:$C$571=$B$1)*(A306&gt;Task_Table_02_26!$J$2:$J$571)*(A306&lt;Task_Table_02_26!$K$2:$K$571))</f>
        <v>9</v>
      </c>
      <c r="C306" cm="1">
        <f t="array" ref="C306">SUMPRODUCT((Task_Table_02_26!$C$2:$C$571=$C$1)*(A306&gt;Task_Table_02_26!$J$2:$J$571)*(A306&lt;Task_Table_02_26!$K$2:$K$571))</f>
        <v>21</v>
      </c>
      <c r="D306" cm="1">
        <f t="array" ref="D306">SUMPRODUCT((Task_Table_02_26!$C$2:$C$571=$D$1)*(A306&gt;Task_Table_02_26!$J$2:$J$571)*(A306&lt;Task_Table_02_26!$K$2:$K$571))</f>
        <v>0</v>
      </c>
      <c r="E306" cm="1">
        <f t="array" ref="E306">SUMPRODUCT((Task_Table_02_26!$C$2:$C$571=$E$1)*(A306&gt;Task_Table_02_26!$J$2:$J$571)*(A306&lt;Task_Table_02_26!$K$2:$K$571))</f>
        <v>10</v>
      </c>
    </row>
    <row r="307" spans="1:5">
      <c r="A307" s="5">
        <v>46175</v>
      </c>
      <c r="B307" cm="1">
        <f t="array" ref="B307">SUMPRODUCT((Task_Table_02_26!$C$2:$C$571=$B$1)*(A307&gt;Task_Table_02_26!$J$2:$J$571)*(A307&lt;Task_Table_02_26!$K$2:$K$571))</f>
        <v>9</v>
      </c>
      <c r="C307" cm="1">
        <f t="array" ref="C307">SUMPRODUCT((Task_Table_02_26!$C$2:$C$571=$C$1)*(A307&gt;Task_Table_02_26!$J$2:$J$571)*(A307&lt;Task_Table_02_26!$K$2:$K$571))</f>
        <v>21</v>
      </c>
      <c r="D307" cm="1">
        <f t="array" ref="D307">SUMPRODUCT((Task_Table_02_26!$C$2:$C$571=$D$1)*(A307&gt;Task_Table_02_26!$J$2:$J$571)*(A307&lt;Task_Table_02_26!$K$2:$K$571))</f>
        <v>0</v>
      </c>
      <c r="E307" cm="1">
        <f t="array" ref="E307">SUMPRODUCT((Task_Table_02_26!$C$2:$C$571=$E$1)*(A307&gt;Task_Table_02_26!$J$2:$J$571)*(A307&lt;Task_Table_02_26!$K$2:$K$571))</f>
        <v>10</v>
      </c>
    </row>
    <row r="308" spans="1:5">
      <c r="A308" s="5">
        <v>46176</v>
      </c>
      <c r="B308" cm="1">
        <f t="array" ref="B308">SUMPRODUCT((Task_Table_02_26!$C$2:$C$571=$B$1)*(A308&gt;Task_Table_02_26!$J$2:$J$571)*(A308&lt;Task_Table_02_26!$K$2:$K$571))</f>
        <v>9</v>
      </c>
      <c r="C308" cm="1">
        <f t="array" ref="C308">SUMPRODUCT((Task_Table_02_26!$C$2:$C$571=$C$1)*(A308&gt;Task_Table_02_26!$J$2:$J$571)*(A308&lt;Task_Table_02_26!$K$2:$K$571))</f>
        <v>21</v>
      </c>
      <c r="D308" cm="1">
        <f t="array" ref="D308">SUMPRODUCT((Task_Table_02_26!$C$2:$C$571=$D$1)*(A308&gt;Task_Table_02_26!$J$2:$J$571)*(A308&lt;Task_Table_02_26!$K$2:$K$571))</f>
        <v>0</v>
      </c>
      <c r="E308" cm="1">
        <f t="array" ref="E308">SUMPRODUCT((Task_Table_02_26!$C$2:$C$571=$E$1)*(A308&gt;Task_Table_02_26!$J$2:$J$571)*(A308&lt;Task_Table_02_26!$K$2:$K$571))</f>
        <v>10</v>
      </c>
    </row>
    <row r="309" spans="1:5">
      <c r="A309" s="5">
        <v>46177</v>
      </c>
      <c r="B309" cm="1">
        <f t="array" ref="B309">SUMPRODUCT((Task_Table_02_26!$C$2:$C$571=$B$1)*(A309&gt;Task_Table_02_26!$J$2:$J$571)*(A309&lt;Task_Table_02_26!$K$2:$K$571))</f>
        <v>9</v>
      </c>
      <c r="C309" cm="1">
        <f t="array" ref="C309">SUMPRODUCT((Task_Table_02_26!$C$2:$C$571=$C$1)*(A309&gt;Task_Table_02_26!$J$2:$J$571)*(A309&lt;Task_Table_02_26!$K$2:$K$571))</f>
        <v>21</v>
      </c>
      <c r="D309" cm="1">
        <f t="array" ref="D309">SUMPRODUCT((Task_Table_02_26!$C$2:$C$571=$D$1)*(A309&gt;Task_Table_02_26!$J$2:$J$571)*(A309&lt;Task_Table_02_26!$K$2:$K$571))</f>
        <v>0</v>
      </c>
      <c r="E309" cm="1">
        <f t="array" ref="E309">SUMPRODUCT((Task_Table_02_26!$C$2:$C$571=$E$1)*(A309&gt;Task_Table_02_26!$J$2:$J$571)*(A309&lt;Task_Table_02_26!$K$2:$K$571))</f>
        <v>10</v>
      </c>
    </row>
    <row r="310" spans="1:5">
      <c r="A310" s="5">
        <v>46178</v>
      </c>
      <c r="B310" cm="1">
        <f t="array" ref="B310">SUMPRODUCT((Task_Table_02_26!$C$2:$C$571=$B$1)*(A310&gt;Task_Table_02_26!$J$2:$J$571)*(A310&lt;Task_Table_02_26!$K$2:$K$571))</f>
        <v>9</v>
      </c>
      <c r="C310" cm="1">
        <f t="array" ref="C310">SUMPRODUCT((Task_Table_02_26!$C$2:$C$571=$C$1)*(A310&gt;Task_Table_02_26!$J$2:$J$571)*(A310&lt;Task_Table_02_26!$K$2:$K$571))</f>
        <v>21</v>
      </c>
      <c r="D310" cm="1">
        <f t="array" ref="D310">SUMPRODUCT((Task_Table_02_26!$C$2:$C$571=$D$1)*(A310&gt;Task_Table_02_26!$J$2:$J$571)*(A310&lt;Task_Table_02_26!$K$2:$K$571))</f>
        <v>0</v>
      </c>
      <c r="E310" cm="1">
        <f t="array" ref="E310">SUMPRODUCT((Task_Table_02_26!$C$2:$C$571=$E$1)*(A310&gt;Task_Table_02_26!$J$2:$J$571)*(A310&lt;Task_Table_02_26!$K$2:$K$571))</f>
        <v>10</v>
      </c>
    </row>
    <row r="311" spans="1:5">
      <c r="A311" s="5">
        <v>46179</v>
      </c>
      <c r="B311" cm="1">
        <f t="array" ref="B311">SUMPRODUCT((Task_Table_02_26!$C$2:$C$571=$B$1)*(A311&gt;Task_Table_02_26!$J$2:$J$571)*(A311&lt;Task_Table_02_26!$K$2:$K$571))</f>
        <v>9</v>
      </c>
      <c r="C311" cm="1">
        <f t="array" ref="C311">SUMPRODUCT((Task_Table_02_26!$C$2:$C$571=$C$1)*(A311&gt;Task_Table_02_26!$J$2:$J$571)*(A311&lt;Task_Table_02_26!$K$2:$K$571))</f>
        <v>21</v>
      </c>
      <c r="D311" cm="1">
        <f t="array" ref="D311">SUMPRODUCT((Task_Table_02_26!$C$2:$C$571=$D$1)*(A311&gt;Task_Table_02_26!$J$2:$J$571)*(A311&lt;Task_Table_02_26!$K$2:$K$571))</f>
        <v>0</v>
      </c>
      <c r="E311" cm="1">
        <f t="array" ref="E311">SUMPRODUCT((Task_Table_02_26!$C$2:$C$571=$E$1)*(A311&gt;Task_Table_02_26!$J$2:$J$571)*(A311&lt;Task_Table_02_26!$K$2:$K$571))</f>
        <v>10</v>
      </c>
    </row>
    <row r="312" spans="1:5">
      <c r="A312" s="5">
        <v>46180</v>
      </c>
      <c r="B312" cm="1">
        <f t="array" ref="B312">SUMPRODUCT((Task_Table_02_26!$C$2:$C$571=$B$1)*(A312&gt;Task_Table_02_26!$J$2:$J$571)*(A312&lt;Task_Table_02_26!$K$2:$K$571))</f>
        <v>9</v>
      </c>
      <c r="C312" cm="1">
        <f t="array" ref="C312">SUMPRODUCT((Task_Table_02_26!$C$2:$C$571=$C$1)*(A312&gt;Task_Table_02_26!$J$2:$J$571)*(A312&lt;Task_Table_02_26!$K$2:$K$571))</f>
        <v>21</v>
      </c>
      <c r="D312" cm="1">
        <f t="array" ref="D312">SUMPRODUCT((Task_Table_02_26!$C$2:$C$571=$D$1)*(A312&gt;Task_Table_02_26!$J$2:$J$571)*(A312&lt;Task_Table_02_26!$K$2:$K$571))</f>
        <v>0</v>
      </c>
      <c r="E312" cm="1">
        <f t="array" ref="E312">SUMPRODUCT((Task_Table_02_26!$C$2:$C$571=$E$1)*(A312&gt;Task_Table_02_26!$J$2:$J$571)*(A312&lt;Task_Table_02_26!$K$2:$K$571))</f>
        <v>10</v>
      </c>
    </row>
    <row r="313" spans="1:5">
      <c r="A313" s="5">
        <v>46181</v>
      </c>
      <c r="B313" cm="1">
        <f t="array" ref="B313">SUMPRODUCT((Task_Table_02_26!$C$2:$C$571=$B$1)*(A313&gt;Task_Table_02_26!$J$2:$J$571)*(A313&lt;Task_Table_02_26!$K$2:$K$571))</f>
        <v>9</v>
      </c>
      <c r="C313" cm="1">
        <f t="array" ref="C313">SUMPRODUCT((Task_Table_02_26!$C$2:$C$571=$C$1)*(A313&gt;Task_Table_02_26!$J$2:$J$571)*(A313&lt;Task_Table_02_26!$K$2:$K$571))</f>
        <v>21</v>
      </c>
      <c r="D313" cm="1">
        <f t="array" ref="D313">SUMPRODUCT((Task_Table_02_26!$C$2:$C$571=$D$1)*(A313&gt;Task_Table_02_26!$J$2:$J$571)*(A313&lt;Task_Table_02_26!$K$2:$K$571))</f>
        <v>0</v>
      </c>
      <c r="E313" cm="1">
        <f t="array" ref="E313">SUMPRODUCT((Task_Table_02_26!$C$2:$C$571=$E$1)*(A313&gt;Task_Table_02_26!$J$2:$J$571)*(A313&lt;Task_Table_02_26!$K$2:$K$571))</f>
        <v>10</v>
      </c>
    </row>
    <row r="314" spans="1:5">
      <c r="A314" s="5">
        <v>46182</v>
      </c>
      <c r="B314" cm="1">
        <f t="array" ref="B314">SUMPRODUCT((Task_Table_02_26!$C$2:$C$571=$B$1)*(A314&gt;Task_Table_02_26!$J$2:$J$571)*(A314&lt;Task_Table_02_26!$K$2:$K$571))</f>
        <v>9</v>
      </c>
      <c r="C314" cm="1">
        <f t="array" ref="C314">SUMPRODUCT((Task_Table_02_26!$C$2:$C$571=$C$1)*(A314&gt;Task_Table_02_26!$J$2:$J$571)*(A314&lt;Task_Table_02_26!$K$2:$K$571))</f>
        <v>21</v>
      </c>
      <c r="D314" cm="1">
        <f t="array" ref="D314">SUMPRODUCT((Task_Table_02_26!$C$2:$C$571=$D$1)*(A314&gt;Task_Table_02_26!$J$2:$J$571)*(A314&lt;Task_Table_02_26!$K$2:$K$571))</f>
        <v>0</v>
      </c>
      <c r="E314" cm="1">
        <f t="array" ref="E314">SUMPRODUCT((Task_Table_02_26!$C$2:$C$571=$E$1)*(A314&gt;Task_Table_02_26!$J$2:$J$571)*(A314&lt;Task_Table_02_26!$K$2:$K$571))</f>
        <v>10</v>
      </c>
    </row>
    <row r="315" spans="1:5">
      <c r="A315" s="5">
        <v>46183</v>
      </c>
      <c r="B315" cm="1">
        <f t="array" ref="B315">SUMPRODUCT((Task_Table_02_26!$C$2:$C$571=$B$1)*(A315&gt;Task_Table_02_26!$J$2:$J$571)*(A315&lt;Task_Table_02_26!$K$2:$K$571))</f>
        <v>9</v>
      </c>
      <c r="C315" cm="1">
        <f t="array" ref="C315">SUMPRODUCT((Task_Table_02_26!$C$2:$C$571=$C$1)*(A315&gt;Task_Table_02_26!$J$2:$J$571)*(A315&lt;Task_Table_02_26!$K$2:$K$571))</f>
        <v>21</v>
      </c>
      <c r="D315" cm="1">
        <f t="array" ref="D315">SUMPRODUCT((Task_Table_02_26!$C$2:$C$571=$D$1)*(A315&gt;Task_Table_02_26!$J$2:$J$571)*(A315&lt;Task_Table_02_26!$K$2:$K$571))</f>
        <v>0</v>
      </c>
      <c r="E315" cm="1">
        <f t="array" ref="E315">SUMPRODUCT((Task_Table_02_26!$C$2:$C$571=$E$1)*(A315&gt;Task_Table_02_26!$J$2:$J$571)*(A315&lt;Task_Table_02_26!$K$2:$K$571))</f>
        <v>10</v>
      </c>
    </row>
    <row r="316" spans="1:5">
      <c r="A316" s="5">
        <v>46184</v>
      </c>
      <c r="B316" cm="1">
        <f t="array" ref="B316">SUMPRODUCT((Task_Table_02_26!$C$2:$C$571=$B$1)*(A316&gt;Task_Table_02_26!$J$2:$J$571)*(A316&lt;Task_Table_02_26!$K$2:$K$571))</f>
        <v>9</v>
      </c>
      <c r="C316" cm="1">
        <f t="array" ref="C316">SUMPRODUCT((Task_Table_02_26!$C$2:$C$571=$C$1)*(A316&gt;Task_Table_02_26!$J$2:$J$571)*(A316&lt;Task_Table_02_26!$K$2:$K$571))</f>
        <v>21</v>
      </c>
      <c r="D316" cm="1">
        <f t="array" ref="D316">SUMPRODUCT((Task_Table_02_26!$C$2:$C$571=$D$1)*(A316&gt;Task_Table_02_26!$J$2:$J$571)*(A316&lt;Task_Table_02_26!$K$2:$K$571))</f>
        <v>0</v>
      </c>
      <c r="E316" cm="1">
        <f t="array" ref="E316">SUMPRODUCT((Task_Table_02_26!$C$2:$C$571=$E$1)*(A316&gt;Task_Table_02_26!$J$2:$J$571)*(A316&lt;Task_Table_02_26!$K$2:$K$571))</f>
        <v>10</v>
      </c>
    </row>
    <row r="317" spans="1:5">
      <c r="A317" s="5">
        <v>46185</v>
      </c>
      <c r="B317" cm="1">
        <f t="array" ref="B317">SUMPRODUCT((Task_Table_02_26!$C$2:$C$571=$B$1)*(A317&gt;Task_Table_02_26!$J$2:$J$571)*(A317&lt;Task_Table_02_26!$K$2:$K$571))</f>
        <v>9</v>
      </c>
      <c r="C317" cm="1">
        <f t="array" ref="C317">SUMPRODUCT((Task_Table_02_26!$C$2:$C$571=$C$1)*(A317&gt;Task_Table_02_26!$J$2:$J$571)*(A317&lt;Task_Table_02_26!$K$2:$K$571))</f>
        <v>21</v>
      </c>
      <c r="D317" cm="1">
        <f t="array" ref="D317">SUMPRODUCT((Task_Table_02_26!$C$2:$C$571=$D$1)*(A317&gt;Task_Table_02_26!$J$2:$J$571)*(A317&lt;Task_Table_02_26!$K$2:$K$571))</f>
        <v>0</v>
      </c>
      <c r="E317" cm="1">
        <f t="array" ref="E317">SUMPRODUCT((Task_Table_02_26!$C$2:$C$571=$E$1)*(A317&gt;Task_Table_02_26!$J$2:$J$571)*(A317&lt;Task_Table_02_26!$K$2:$K$571))</f>
        <v>10</v>
      </c>
    </row>
    <row r="318" spans="1:5">
      <c r="A318" s="5">
        <v>46186</v>
      </c>
      <c r="B318" cm="1">
        <f t="array" ref="B318">SUMPRODUCT((Task_Table_02_26!$C$2:$C$571=$B$1)*(A318&gt;Task_Table_02_26!$J$2:$J$571)*(A318&lt;Task_Table_02_26!$K$2:$K$571))</f>
        <v>9</v>
      </c>
      <c r="C318" cm="1">
        <f t="array" ref="C318">SUMPRODUCT((Task_Table_02_26!$C$2:$C$571=$C$1)*(A318&gt;Task_Table_02_26!$J$2:$J$571)*(A318&lt;Task_Table_02_26!$K$2:$K$571))</f>
        <v>21</v>
      </c>
      <c r="D318" cm="1">
        <f t="array" ref="D318">SUMPRODUCT((Task_Table_02_26!$C$2:$C$571=$D$1)*(A318&gt;Task_Table_02_26!$J$2:$J$571)*(A318&lt;Task_Table_02_26!$K$2:$K$571))</f>
        <v>0</v>
      </c>
      <c r="E318" cm="1">
        <f t="array" ref="E318">SUMPRODUCT((Task_Table_02_26!$C$2:$C$571=$E$1)*(A318&gt;Task_Table_02_26!$J$2:$J$571)*(A318&lt;Task_Table_02_26!$K$2:$K$571))</f>
        <v>10</v>
      </c>
    </row>
    <row r="319" spans="1:5">
      <c r="A319" s="5">
        <v>46187</v>
      </c>
      <c r="B319" cm="1">
        <f t="array" ref="B319">SUMPRODUCT((Task_Table_02_26!$C$2:$C$571=$B$1)*(A319&gt;Task_Table_02_26!$J$2:$J$571)*(A319&lt;Task_Table_02_26!$K$2:$K$571))</f>
        <v>9</v>
      </c>
      <c r="C319" cm="1">
        <f t="array" ref="C319">SUMPRODUCT((Task_Table_02_26!$C$2:$C$571=$C$1)*(A319&gt;Task_Table_02_26!$J$2:$J$571)*(A319&lt;Task_Table_02_26!$K$2:$K$571))</f>
        <v>21</v>
      </c>
      <c r="D319" cm="1">
        <f t="array" ref="D319">SUMPRODUCT((Task_Table_02_26!$C$2:$C$571=$D$1)*(A319&gt;Task_Table_02_26!$J$2:$J$571)*(A319&lt;Task_Table_02_26!$K$2:$K$571))</f>
        <v>0</v>
      </c>
      <c r="E319" cm="1">
        <f t="array" ref="E319">SUMPRODUCT((Task_Table_02_26!$C$2:$C$571=$E$1)*(A319&gt;Task_Table_02_26!$J$2:$J$571)*(A319&lt;Task_Table_02_26!$K$2:$K$571))</f>
        <v>10</v>
      </c>
    </row>
    <row r="320" spans="1:5">
      <c r="A320" s="5">
        <v>46188</v>
      </c>
      <c r="B320" cm="1">
        <f t="array" ref="B320">SUMPRODUCT((Task_Table_02_26!$C$2:$C$571=$B$1)*(A320&gt;Task_Table_02_26!$J$2:$J$571)*(A320&lt;Task_Table_02_26!$K$2:$K$571))</f>
        <v>5</v>
      </c>
      <c r="C320" cm="1">
        <f t="array" ref="C320">SUMPRODUCT((Task_Table_02_26!$C$2:$C$571=$C$1)*(A320&gt;Task_Table_02_26!$J$2:$J$571)*(A320&lt;Task_Table_02_26!$K$2:$K$571))</f>
        <v>14</v>
      </c>
      <c r="D320" cm="1">
        <f t="array" ref="D320">SUMPRODUCT((Task_Table_02_26!$C$2:$C$571=$D$1)*(A320&gt;Task_Table_02_26!$J$2:$J$571)*(A320&lt;Task_Table_02_26!$K$2:$K$571))</f>
        <v>0</v>
      </c>
      <c r="E320" cm="1">
        <f t="array" ref="E320">SUMPRODUCT((Task_Table_02_26!$C$2:$C$571=$E$1)*(A320&gt;Task_Table_02_26!$J$2:$J$571)*(A320&lt;Task_Table_02_26!$K$2:$K$571))</f>
        <v>8</v>
      </c>
    </row>
    <row r="321" spans="1:5">
      <c r="A321" s="5">
        <v>46189</v>
      </c>
      <c r="B321" cm="1">
        <f t="array" ref="B321">SUMPRODUCT((Task_Table_02_26!$C$2:$C$571=$B$1)*(A321&gt;Task_Table_02_26!$J$2:$J$571)*(A321&lt;Task_Table_02_26!$K$2:$K$571))</f>
        <v>5</v>
      </c>
      <c r="C321" cm="1">
        <f t="array" ref="C321">SUMPRODUCT((Task_Table_02_26!$C$2:$C$571=$C$1)*(A321&gt;Task_Table_02_26!$J$2:$J$571)*(A321&lt;Task_Table_02_26!$K$2:$K$571))</f>
        <v>14</v>
      </c>
      <c r="D321" cm="1">
        <f t="array" ref="D321">SUMPRODUCT((Task_Table_02_26!$C$2:$C$571=$D$1)*(A321&gt;Task_Table_02_26!$J$2:$J$571)*(A321&lt;Task_Table_02_26!$K$2:$K$571))</f>
        <v>0</v>
      </c>
      <c r="E321" cm="1">
        <f t="array" ref="E321">SUMPRODUCT((Task_Table_02_26!$C$2:$C$571=$E$1)*(A321&gt;Task_Table_02_26!$J$2:$J$571)*(A321&lt;Task_Table_02_26!$K$2:$K$571))</f>
        <v>8</v>
      </c>
    </row>
    <row r="322" spans="1:5">
      <c r="A322" s="5">
        <v>46190</v>
      </c>
      <c r="B322" cm="1">
        <f t="array" ref="B322">SUMPRODUCT((Task_Table_02_26!$C$2:$C$571=$B$1)*(A322&gt;Task_Table_02_26!$J$2:$J$571)*(A322&lt;Task_Table_02_26!$K$2:$K$571))</f>
        <v>5</v>
      </c>
      <c r="C322" cm="1">
        <f t="array" ref="C322">SUMPRODUCT((Task_Table_02_26!$C$2:$C$571=$C$1)*(A322&gt;Task_Table_02_26!$J$2:$J$571)*(A322&lt;Task_Table_02_26!$K$2:$K$571))</f>
        <v>14</v>
      </c>
      <c r="D322" cm="1">
        <f t="array" ref="D322">SUMPRODUCT((Task_Table_02_26!$C$2:$C$571=$D$1)*(A322&gt;Task_Table_02_26!$J$2:$J$571)*(A322&lt;Task_Table_02_26!$K$2:$K$571))</f>
        <v>0</v>
      </c>
      <c r="E322" cm="1">
        <f t="array" ref="E322">SUMPRODUCT((Task_Table_02_26!$C$2:$C$571=$E$1)*(A322&gt;Task_Table_02_26!$J$2:$J$571)*(A322&lt;Task_Table_02_26!$K$2:$K$571))</f>
        <v>8</v>
      </c>
    </row>
    <row r="323" spans="1:5">
      <c r="A323" s="5">
        <v>46191</v>
      </c>
      <c r="B323" cm="1">
        <f t="array" ref="B323">SUMPRODUCT((Task_Table_02_26!$C$2:$C$571=$B$1)*(A323&gt;Task_Table_02_26!$J$2:$J$571)*(A323&lt;Task_Table_02_26!$K$2:$K$571))</f>
        <v>5</v>
      </c>
      <c r="C323" cm="1">
        <f t="array" ref="C323">SUMPRODUCT((Task_Table_02_26!$C$2:$C$571=$C$1)*(A323&gt;Task_Table_02_26!$J$2:$J$571)*(A323&lt;Task_Table_02_26!$K$2:$K$571))</f>
        <v>14</v>
      </c>
      <c r="D323" cm="1">
        <f t="array" ref="D323">SUMPRODUCT((Task_Table_02_26!$C$2:$C$571=$D$1)*(A323&gt;Task_Table_02_26!$J$2:$J$571)*(A323&lt;Task_Table_02_26!$K$2:$K$571))</f>
        <v>0</v>
      </c>
      <c r="E323" cm="1">
        <f t="array" ref="E323">SUMPRODUCT((Task_Table_02_26!$C$2:$C$571=$E$1)*(A323&gt;Task_Table_02_26!$J$2:$J$571)*(A323&lt;Task_Table_02_26!$K$2:$K$571))</f>
        <v>8</v>
      </c>
    </row>
    <row r="324" spans="1:5">
      <c r="A324" s="5">
        <v>46192</v>
      </c>
      <c r="B324" cm="1">
        <f t="array" ref="B324">SUMPRODUCT((Task_Table_02_26!$C$2:$C$571=$B$1)*(A324&gt;Task_Table_02_26!$J$2:$J$571)*(A324&lt;Task_Table_02_26!$K$2:$K$571))</f>
        <v>5</v>
      </c>
      <c r="C324" cm="1">
        <f t="array" ref="C324">SUMPRODUCT((Task_Table_02_26!$C$2:$C$571=$C$1)*(A324&gt;Task_Table_02_26!$J$2:$J$571)*(A324&lt;Task_Table_02_26!$K$2:$K$571))</f>
        <v>14</v>
      </c>
      <c r="D324" cm="1">
        <f t="array" ref="D324">SUMPRODUCT((Task_Table_02_26!$C$2:$C$571=$D$1)*(A324&gt;Task_Table_02_26!$J$2:$J$571)*(A324&lt;Task_Table_02_26!$K$2:$K$571))</f>
        <v>0</v>
      </c>
      <c r="E324" cm="1">
        <f t="array" ref="E324">SUMPRODUCT((Task_Table_02_26!$C$2:$C$571=$E$1)*(A324&gt;Task_Table_02_26!$J$2:$J$571)*(A324&lt;Task_Table_02_26!$K$2:$K$571))</f>
        <v>8</v>
      </c>
    </row>
    <row r="325" spans="1:5">
      <c r="A325" s="5">
        <v>46193</v>
      </c>
      <c r="B325" cm="1">
        <f t="array" ref="B325">SUMPRODUCT((Task_Table_02_26!$C$2:$C$571=$B$1)*(A325&gt;Task_Table_02_26!$J$2:$J$571)*(A325&lt;Task_Table_02_26!$K$2:$K$571))</f>
        <v>5</v>
      </c>
      <c r="C325" cm="1">
        <f t="array" ref="C325">SUMPRODUCT((Task_Table_02_26!$C$2:$C$571=$C$1)*(A325&gt;Task_Table_02_26!$J$2:$J$571)*(A325&lt;Task_Table_02_26!$K$2:$K$571))</f>
        <v>14</v>
      </c>
      <c r="D325" cm="1">
        <f t="array" ref="D325">SUMPRODUCT((Task_Table_02_26!$C$2:$C$571=$D$1)*(A325&gt;Task_Table_02_26!$J$2:$J$571)*(A325&lt;Task_Table_02_26!$K$2:$K$571))</f>
        <v>0</v>
      </c>
      <c r="E325" cm="1">
        <f t="array" ref="E325">SUMPRODUCT((Task_Table_02_26!$C$2:$C$571=$E$1)*(A325&gt;Task_Table_02_26!$J$2:$J$571)*(A325&lt;Task_Table_02_26!$K$2:$K$571))</f>
        <v>8</v>
      </c>
    </row>
    <row r="326" spans="1:5">
      <c r="A326" s="5">
        <v>46194</v>
      </c>
      <c r="B326" cm="1">
        <f t="array" ref="B326">SUMPRODUCT((Task_Table_02_26!$C$2:$C$571=$B$1)*(A326&gt;Task_Table_02_26!$J$2:$J$571)*(A326&lt;Task_Table_02_26!$K$2:$K$571))</f>
        <v>5</v>
      </c>
      <c r="C326" cm="1">
        <f t="array" ref="C326">SUMPRODUCT((Task_Table_02_26!$C$2:$C$571=$C$1)*(A326&gt;Task_Table_02_26!$J$2:$J$571)*(A326&lt;Task_Table_02_26!$K$2:$K$571))</f>
        <v>14</v>
      </c>
      <c r="D326" cm="1">
        <f t="array" ref="D326">SUMPRODUCT((Task_Table_02_26!$C$2:$C$571=$D$1)*(A326&gt;Task_Table_02_26!$J$2:$J$571)*(A326&lt;Task_Table_02_26!$K$2:$K$571))</f>
        <v>0</v>
      </c>
      <c r="E326" cm="1">
        <f t="array" ref="E326">SUMPRODUCT((Task_Table_02_26!$C$2:$C$571=$E$1)*(A326&gt;Task_Table_02_26!$J$2:$J$571)*(A326&lt;Task_Table_02_26!$K$2:$K$571))</f>
        <v>8</v>
      </c>
    </row>
    <row r="327" spans="1:5">
      <c r="A327" s="5">
        <v>46195</v>
      </c>
      <c r="B327" cm="1">
        <f t="array" ref="B327">SUMPRODUCT((Task_Table_02_26!$C$2:$C$571=$B$1)*(A327&gt;Task_Table_02_26!$J$2:$J$571)*(A327&lt;Task_Table_02_26!$K$2:$K$571))</f>
        <v>5</v>
      </c>
      <c r="C327" cm="1">
        <f t="array" ref="C327">SUMPRODUCT((Task_Table_02_26!$C$2:$C$571=$C$1)*(A327&gt;Task_Table_02_26!$J$2:$J$571)*(A327&lt;Task_Table_02_26!$K$2:$K$571))</f>
        <v>12</v>
      </c>
      <c r="D327" cm="1">
        <f t="array" ref="D327">SUMPRODUCT((Task_Table_02_26!$C$2:$C$571=$D$1)*(A327&gt;Task_Table_02_26!$J$2:$J$571)*(A327&lt;Task_Table_02_26!$K$2:$K$571))</f>
        <v>0</v>
      </c>
      <c r="E327" cm="1">
        <f t="array" ref="E327">SUMPRODUCT((Task_Table_02_26!$C$2:$C$571=$E$1)*(A327&gt;Task_Table_02_26!$J$2:$J$571)*(A327&lt;Task_Table_02_26!$K$2:$K$571))</f>
        <v>8</v>
      </c>
    </row>
    <row r="328" spans="1:5">
      <c r="A328" s="5">
        <v>46196</v>
      </c>
      <c r="B328" cm="1">
        <f t="array" ref="B328">SUMPRODUCT((Task_Table_02_26!$C$2:$C$571=$B$1)*(A328&gt;Task_Table_02_26!$J$2:$J$571)*(A328&lt;Task_Table_02_26!$K$2:$K$571))</f>
        <v>5</v>
      </c>
      <c r="C328" cm="1">
        <f t="array" ref="C328">SUMPRODUCT((Task_Table_02_26!$C$2:$C$571=$C$1)*(A328&gt;Task_Table_02_26!$J$2:$J$571)*(A328&lt;Task_Table_02_26!$K$2:$K$571))</f>
        <v>12</v>
      </c>
      <c r="D328" cm="1">
        <f t="array" ref="D328">SUMPRODUCT((Task_Table_02_26!$C$2:$C$571=$D$1)*(A328&gt;Task_Table_02_26!$J$2:$J$571)*(A328&lt;Task_Table_02_26!$K$2:$K$571))</f>
        <v>0</v>
      </c>
      <c r="E328" cm="1">
        <f t="array" ref="E328">SUMPRODUCT((Task_Table_02_26!$C$2:$C$571=$E$1)*(A328&gt;Task_Table_02_26!$J$2:$J$571)*(A328&lt;Task_Table_02_26!$K$2:$K$571))</f>
        <v>8</v>
      </c>
    </row>
    <row r="329" spans="1:5">
      <c r="A329" s="5">
        <v>46197</v>
      </c>
      <c r="B329" cm="1">
        <f t="array" ref="B329">SUMPRODUCT((Task_Table_02_26!$C$2:$C$571=$B$1)*(A329&gt;Task_Table_02_26!$J$2:$J$571)*(A329&lt;Task_Table_02_26!$K$2:$K$571))</f>
        <v>5</v>
      </c>
      <c r="C329" cm="1">
        <f t="array" ref="C329">SUMPRODUCT((Task_Table_02_26!$C$2:$C$571=$C$1)*(A329&gt;Task_Table_02_26!$J$2:$J$571)*(A329&lt;Task_Table_02_26!$K$2:$K$571))</f>
        <v>12</v>
      </c>
      <c r="D329" cm="1">
        <f t="array" ref="D329">SUMPRODUCT((Task_Table_02_26!$C$2:$C$571=$D$1)*(A329&gt;Task_Table_02_26!$J$2:$J$571)*(A329&lt;Task_Table_02_26!$K$2:$K$571))</f>
        <v>0</v>
      </c>
      <c r="E329" cm="1">
        <f t="array" ref="E329">SUMPRODUCT((Task_Table_02_26!$C$2:$C$571=$E$1)*(A329&gt;Task_Table_02_26!$J$2:$J$571)*(A329&lt;Task_Table_02_26!$K$2:$K$571))</f>
        <v>8</v>
      </c>
    </row>
    <row r="330" spans="1:5">
      <c r="A330" s="5">
        <v>46198</v>
      </c>
      <c r="B330" cm="1">
        <f t="array" ref="B330">SUMPRODUCT((Task_Table_02_26!$C$2:$C$571=$B$1)*(A330&gt;Task_Table_02_26!$J$2:$J$571)*(A330&lt;Task_Table_02_26!$K$2:$K$571))</f>
        <v>5</v>
      </c>
      <c r="C330" cm="1">
        <f t="array" ref="C330">SUMPRODUCT((Task_Table_02_26!$C$2:$C$571=$C$1)*(A330&gt;Task_Table_02_26!$J$2:$J$571)*(A330&lt;Task_Table_02_26!$K$2:$K$571))</f>
        <v>12</v>
      </c>
      <c r="D330" cm="1">
        <f t="array" ref="D330">SUMPRODUCT((Task_Table_02_26!$C$2:$C$571=$D$1)*(A330&gt;Task_Table_02_26!$J$2:$J$571)*(A330&lt;Task_Table_02_26!$K$2:$K$571))</f>
        <v>0</v>
      </c>
      <c r="E330" cm="1">
        <f t="array" ref="E330">SUMPRODUCT((Task_Table_02_26!$C$2:$C$571=$E$1)*(A330&gt;Task_Table_02_26!$J$2:$J$571)*(A330&lt;Task_Table_02_26!$K$2:$K$571))</f>
        <v>8</v>
      </c>
    </row>
    <row r="331" spans="1:5">
      <c r="A331" s="5">
        <v>46199</v>
      </c>
      <c r="B331" cm="1">
        <f t="array" ref="B331">SUMPRODUCT((Task_Table_02_26!$C$2:$C$571=$B$1)*(A331&gt;Task_Table_02_26!$J$2:$J$571)*(A331&lt;Task_Table_02_26!$K$2:$K$571))</f>
        <v>5</v>
      </c>
      <c r="C331" cm="1">
        <f t="array" ref="C331">SUMPRODUCT((Task_Table_02_26!$C$2:$C$571=$C$1)*(A331&gt;Task_Table_02_26!$J$2:$J$571)*(A331&lt;Task_Table_02_26!$K$2:$K$571))</f>
        <v>12</v>
      </c>
      <c r="D331" cm="1">
        <f t="array" ref="D331">SUMPRODUCT((Task_Table_02_26!$C$2:$C$571=$D$1)*(A331&gt;Task_Table_02_26!$J$2:$J$571)*(A331&lt;Task_Table_02_26!$K$2:$K$571))</f>
        <v>0</v>
      </c>
      <c r="E331" cm="1">
        <f t="array" ref="E331">SUMPRODUCT((Task_Table_02_26!$C$2:$C$571=$E$1)*(A331&gt;Task_Table_02_26!$J$2:$J$571)*(A331&lt;Task_Table_02_26!$K$2:$K$571))</f>
        <v>8</v>
      </c>
    </row>
    <row r="332" spans="1:5">
      <c r="A332" s="5">
        <v>46200</v>
      </c>
      <c r="B332" cm="1">
        <f t="array" ref="B332">SUMPRODUCT((Task_Table_02_26!$C$2:$C$571=$B$1)*(A332&gt;Task_Table_02_26!$J$2:$J$571)*(A332&lt;Task_Table_02_26!$K$2:$K$571))</f>
        <v>5</v>
      </c>
      <c r="C332" cm="1">
        <f t="array" ref="C332">SUMPRODUCT((Task_Table_02_26!$C$2:$C$571=$C$1)*(A332&gt;Task_Table_02_26!$J$2:$J$571)*(A332&lt;Task_Table_02_26!$K$2:$K$571))</f>
        <v>12</v>
      </c>
      <c r="D332" cm="1">
        <f t="array" ref="D332">SUMPRODUCT((Task_Table_02_26!$C$2:$C$571=$D$1)*(A332&gt;Task_Table_02_26!$J$2:$J$571)*(A332&lt;Task_Table_02_26!$K$2:$K$571))</f>
        <v>0</v>
      </c>
      <c r="E332" cm="1">
        <f t="array" ref="E332">SUMPRODUCT((Task_Table_02_26!$C$2:$C$571=$E$1)*(A332&gt;Task_Table_02_26!$J$2:$J$571)*(A332&lt;Task_Table_02_26!$K$2:$K$571))</f>
        <v>8</v>
      </c>
    </row>
    <row r="333" spans="1:5">
      <c r="A333" s="5">
        <v>46201</v>
      </c>
      <c r="B333" cm="1">
        <f t="array" ref="B333">SUMPRODUCT((Task_Table_02_26!$C$2:$C$571=$B$1)*(A333&gt;Task_Table_02_26!$J$2:$J$571)*(A333&lt;Task_Table_02_26!$K$2:$K$571))</f>
        <v>5</v>
      </c>
      <c r="C333" cm="1">
        <f t="array" ref="C333">SUMPRODUCT((Task_Table_02_26!$C$2:$C$571=$C$1)*(A333&gt;Task_Table_02_26!$J$2:$J$571)*(A333&lt;Task_Table_02_26!$K$2:$K$571))</f>
        <v>12</v>
      </c>
      <c r="D333" cm="1">
        <f t="array" ref="D333">SUMPRODUCT((Task_Table_02_26!$C$2:$C$571=$D$1)*(A333&gt;Task_Table_02_26!$J$2:$J$571)*(A333&lt;Task_Table_02_26!$K$2:$K$571))</f>
        <v>0</v>
      </c>
      <c r="E333" cm="1">
        <f t="array" ref="E333">SUMPRODUCT((Task_Table_02_26!$C$2:$C$571=$E$1)*(A333&gt;Task_Table_02_26!$J$2:$J$571)*(A333&lt;Task_Table_02_26!$K$2:$K$571))</f>
        <v>8</v>
      </c>
    </row>
    <row r="334" spans="1:5">
      <c r="A334" s="5">
        <v>46202</v>
      </c>
      <c r="B334" cm="1">
        <f t="array" ref="B334">SUMPRODUCT((Task_Table_02_26!$C$2:$C$571=$B$1)*(A334&gt;Task_Table_02_26!$J$2:$J$571)*(A334&lt;Task_Table_02_26!$K$2:$K$571))</f>
        <v>5</v>
      </c>
      <c r="C334" cm="1">
        <f t="array" ref="C334">SUMPRODUCT((Task_Table_02_26!$C$2:$C$571=$C$1)*(A334&gt;Task_Table_02_26!$J$2:$J$571)*(A334&lt;Task_Table_02_26!$K$2:$K$571))</f>
        <v>11</v>
      </c>
      <c r="D334" cm="1">
        <f t="array" ref="D334">SUMPRODUCT((Task_Table_02_26!$C$2:$C$571=$D$1)*(A334&gt;Task_Table_02_26!$J$2:$J$571)*(A334&lt;Task_Table_02_26!$K$2:$K$571))</f>
        <v>0</v>
      </c>
      <c r="E334" cm="1">
        <f t="array" ref="E334">SUMPRODUCT((Task_Table_02_26!$C$2:$C$571=$E$1)*(A334&gt;Task_Table_02_26!$J$2:$J$571)*(A334&lt;Task_Table_02_26!$K$2:$K$571))</f>
        <v>8</v>
      </c>
    </row>
    <row r="335" spans="1:5">
      <c r="A335" s="5">
        <v>46203</v>
      </c>
      <c r="B335" cm="1">
        <f t="array" ref="B335">SUMPRODUCT((Task_Table_02_26!$C$2:$C$571=$B$1)*(A335&gt;Task_Table_02_26!$J$2:$J$571)*(A335&lt;Task_Table_02_26!$K$2:$K$571))</f>
        <v>1</v>
      </c>
      <c r="C335" cm="1">
        <f t="array" ref="C335">SUMPRODUCT((Task_Table_02_26!$C$2:$C$571=$C$1)*(A335&gt;Task_Table_02_26!$J$2:$J$571)*(A335&lt;Task_Table_02_26!$K$2:$K$571))</f>
        <v>2</v>
      </c>
      <c r="D335" cm="1">
        <f t="array" ref="D335">SUMPRODUCT((Task_Table_02_26!$C$2:$C$571=$D$1)*(A335&gt;Task_Table_02_26!$J$2:$J$571)*(A335&lt;Task_Table_02_26!$K$2:$K$571))</f>
        <v>0</v>
      </c>
      <c r="E335" cm="1">
        <f t="array" ref="E335">SUMPRODUCT((Task_Table_02_26!$C$2:$C$571=$E$1)*(A335&gt;Task_Table_02_26!$J$2:$J$571)*(A335&lt;Task_Table_02_26!$K$2:$K$571))</f>
        <v>8</v>
      </c>
    </row>
    <row r="336" spans="1:5">
      <c r="A336" s="5">
        <v>46204</v>
      </c>
      <c r="B336" cm="1">
        <f t="array" ref="B336">SUMPRODUCT((Task_Table_02_26!$C$2:$C$571=$B$1)*(A336&gt;Task_Table_02_26!$J$2:$J$571)*(A336&lt;Task_Table_02_26!$K$2:$K$571))</f>
        <v>1</v>
      </c>
      <c r="C336" cm="1">
        <f t="array" ref="C336">SUMPRODUCT((Task_Table_02_26!$C$2:$C$571=$C$1)*(A336&gt;Task_Table_02_26!$J$2:$J$571)*(A336&lt;Task_Table_02_26!$K$2:$K$571))</f>
        <v>2</v>
      </c>
      <c r="D336" cm="1">
        <f t="array" ref="D336">SUMPRODUCT((Task_Table_02_26!$C$2:$C$571=$D$1)*(A336&gt;Task_Table_02_26!$J$2:$J$571)*(A336&lt;Task_Table_02_26!$K$2:$K$571))</f>
        <v>0</v>
      </c>
      <c r="E336" cm="1">
        <f t="array" ref="E336">SUMPRODUCT((Task_Table_02_26!$C$2:$C$571=$E$1)*(A336&gt;Task_Table_02_26!$J$2:$J$571)*(A336&lt;Task_Table_02_26!$K$2:$K$571))</f>
        <v>7</v>
      </c>
    </row>
    <row r="337" spans="1:5">
      <c r="A337" s="5">
        <v>46205</v>
      </c>
      <c r="B337" cm="1">
        <f t="array" ref="B337">SUMPRODUCT((Task_Table_02_26!$C$2:$C$571=$B$1)*(A337&gt;Task_Table_02_26!$J$2:$J$571)*(A337&lt;Task_Table_02_26!$K$2:$K$571))</f>
        <v>1</v>
      </c>
      <c r="C337" cm="1">
        <f t="array" ref="C337">SUMPRODUCT((Task_Table_02_26!$C$2:$C$571=$C$1)*(A337&gt;Task_Table_02_26!$J$2:$J$571)*(A337&lt;Task_Table_02_26!$K$2:$K$571))</f>
        <v>1</v>
      </c>
      <c r="D337" cm="1">
        <f t="array" ref="D337">SUMPRODUCT((Task_Table_02_26!$C$2:$C$571=$D$1)*(A337&gt;Task_Table_02_26!$J$2:$J$571)*(A337&lt;Task_Table_02_26!$K$2:$K$571))</f>
        <v>0</v>
      </c>
      <c r="E337" cm="1">
        <f t="array" ref="E337">SUMPRODUCT((Task_Table_02_26!$C$2:$C$571=$E$1)*(A337&gt;Task_Table_02_26!$J$2:$J$571)*(A337&lt;Task_Table_02_26!$K$2:$K$571))</f>
        <v>8</v>
      </c>
    </row>
    <row r="338" spans="1:5">
      <c r="A338" s="5">
        <v>46206</v>
      </c>
      <c r="B338" cm="1">
        <f t="array" ref="B338">SUMPRODUCT((Task_Table_02_26!$C$2:$C$571=$B$1)*(A338&gt;Task_Table_02_26!$J$2:$J$571)*(A338&lt;Task_Table_02_26!$K$2:$K$571))</f>
        <v>1</v>
      </c>
      <c r="C338" cm="1">
        <f t="array" ref="C338">SUMPRODUCT((Task_Table_02_26!$C$2:$C$571=$C$1)*(A338&gt;Task_Table_02_26!$J$2:$J$571)*(A338&lt;Task_Table_02_26!$K$2:$K$571))</f>
        <v>1</v>
      </c>
      <c r="D338" cm="1">
        <f t="array" ref="D338">SUMPRODUCT((Task_Table_02_26!$C$2:$C$571=$D$1)*(A338&gt;Task_Table_02_26!$J$2:$J$571)*(A338&lt;Task_Table_02_26!$K$2:$K$571))</f>
        <v>0</v>
      </c>
      <c r="E338" cm="1">
        <f t="array" ref="E338">SUMPRODUCT((Task_Table_02_26!$C$2:$C$571=$E$1)*(A338&gt;Task_Table_02_26!$J$2:$J$571)*(A338&lt;Task_Table_02_26!$K$2:$K$571))</f>
        <v>8</v>
      </c>
    </row>
    <row r="339" spans="1:5">
      <c r="A339" s="5">
        <v>46207</v>
      </c>
      <c r="B339" cm="1">
        <f t="array" ref="B339">SUMPRODUCT((Task_Table_02_26!$C$2:$C$571=$B$1)*(A339&gt;Task_Table_02_26!$J$2:$J$571)*(A339&lt;Task_Table_02_26!$K$2:$K$571))</f>
        <v>1</v>
      </c>
      <c r="C339" cm="1">
        <f t="array" ref="C339">SUMPRODUCT((Task_Table_02_26!$C$2:$C$571=$C$1)*(A339&gt;Task_Table_02_26!$J$2:$J$571)*(A339&lt;Task_Table_02_26!$K$2:$K$571))</f>
        <v>1</v>
      </c>
      <c r="D339" cm="1">
        <f t="array" ref="D339">SUMPRODUCT((Task_Table_02_26!$C$2:$C$571=$D$1)*(A339&gt;Task_Table_02_26!$J$2:$J$571)*(A339&lt;Task_Table_02_26!$K$2:$K$571))</f>
        <v>0</v>
      </c>
      <c r="E339" cm="1">
        <f t="array" ref="E339">SUMPRODUCT((Task_Table_02_26!$C$2:$C$571=$E$1)*(A339&gt;Task_Table_02_26!$J$2:$J$571)*(A339&lt;Task_Table_02_26!$K$2:$K$571))</f>
        <v>8</v>
      </c>
    </row>
    <row r="340" spans="1:5">
      <c r="A340" s="5">
        <v>46208</v>
      </c>
      <c r="B340" cm="1">
        <f t="array" ref="B340">SUMPRODUCT((Task_Table_02_26!$C$2:$C$571=$B$1)*(A340&gt;Task_Table_02_26!$J$2:$J$571)*(A340&lt;Task_Table_02_26!$K$2:$K$571))</f>
        <v>1</v>
      </c>
      <c r="C340" cm="1">
        <f t="array" ref="C340">SUMPRODUCT((Task_Table_02_26!$C$2:$C$571=$C$1)*(A340&gt;Task_Table_02_26!$J$2:$J$571)*(A340&lt;Task_Table_02_26!$K$2:$K$571))</f>
        <v>1</v>
      </c>
      <c r="D340" cm="1">
        <f t="array" ref="D340">SUMPRODUCT((Task_Table_02_26!$C$2:$C$571=$D$1)*(A340&gt;Task_Table_02_26!$J$2:$J$571)*(A340&lt;Task_Table_02_26!$K$2:$K$571))</f>
        <v>0</v>
      </c>
      <c r="E340" cm="1">
        <f t="array" ref="E340">SUMPRODUCT((Task_Table_02_26!$C$2:$C$571=$E$1)*(A340&gt;Task_Table_02_26!$J$2:$J$571)*(A340&lt;Task_Table_02_26!$K$2:$K$571))</f>
        <v>8</v>
      </c>
    </row>
    <row r="341" spans="1:5">
      <c r="A341" s="5">
        <v>46209</v>
      </c>
      <c r="B341" cm="1">
        <f t="array" ref="B341">SUMPRODUCT((Task_Table_02_26!$C$2:$C$571=$B$1)*(A341&gt;Task_Table_02_26!$J$2:$J$571)*(A341&lt;Task_Table_02_26!$K$2:$K$571))</f>
        <v>1</v>
      </c>
      <c r="C341" cm="1">
        <f t="array" ref="C341">SUMPRODUCT((Task_Table_02_26!$C$2:$C$571=$C$1)*(A341&gt;Task_Table_02_26!$J$2:$J$571)*(A341&lt;Task_Table_02_26!$K$2:$K$571))</f>
        <v>1</v>
      </c>
      <c r="D341" cm="1">
        <f t="array" ref="D341">SUMPRODUCT((Task_Table_02_26!$C$2:$C$571=$D$1)*(A341&gt;Task_Table_02_26!$J$2:$J$571)*(A341&lt;Task_Table_02_26!$K$2:$K$571))</f>
        <v>0</v>
      </c>
      <c r="E341" cm="1">
        <f t="array" ref="E341">SUMPRODUCT((Task_Table_02_26!$C$2:$C$571=$E$1)*(A341&gt;Task_Table_02_26!$J$2:$J$571)*(A341&lt;Task_Table_02_26!$K$2:$K$571))</f>
        <v>8</v>
      </c>
    </row>
    <row r="342" spans="1:5">
      <c r="A342" s="5">
        <v>46210</v>
      </c>
      <c r="B342" cm="1">
        <f t="array" ref="B342">SUMPRODUCT((Task_Table_02_26!$C$2:$C$571=$B$1)*(A342&gt;Task_Table_02_26!$J$2:$J$571)*(A342&lt;Task_Table_02_26!$K$2:$K$571))</f>
        <v>1</v>
      </c>
      <c r="C342" cm="1">
        <f t="array" ref="C342">SUMPRODUCT((Task_Table_02_26!$C$2:$C$571=$C$1)*(A342&gt;Task_Table_02_26!$J$2:$J$571)*(A342&lt;Task_Table_02_26!$K$2:$K$571))</f>
        <v>1</v>
      </c>
      <c r="D342" cm="1">
        <f t="array" ref="D342">SUMPRODUCT((Task_Table_02_26!$C$2:$C$571=$D$1)*(A342&gt;Task_Table_02_26!$J$2:$J$571)*(A342&lt;Task_Table_02_26!$K$2:$K$571))</f>
        <v>0</v>
      </c>
      <c r="E342" cm="1">
        <f t="array" ref="E342">SUMPRODUCT((Task_Table_02_26!$C$2:$C$571=$E$1)*(A342&gt;Task_Table_02_26!$J$2:$J$571)*(A342&lt;Task_Table_02_26!$K$2:$K$571))</f>
        <v>8</v>
      </c>
    </row>
    <row r="343" spans="1:5">
      <c r="A343" s="5">
        <v>46211</v>
      </c>
      <c r="B343" cm="1">
        <f t="array" ref="B343">SUMPRODUCT((Task_Table_02_26!$C$2:$C$571=$B$1)*(A343&gt;Task_Table_02_26!$J$2:$J$571)*(A343&lt;Task_Table_02_26!$K$2:$K$571))</f>
        <v>1</v>
      </c>
      <c r="C343" cm="1">
        <f t="array" ref="C343">SUMPRODUCT((Task_Table_02_26!$C$2:$C$571=$C$1)*(A343&gt;Task_Table_02_26!$J$2:$J$571)*(A343&lt;Task_Table_02_26!$K$2:$K$571))</f>
        <v>1</v>
      </c>
      <c r="D343" cm="1">
        <f t="array" ref="D343">SUMPRODUCT((Task_Table_02_26!$C$2:$C$571=$D$1)*(A343&gt;Task_Table_02_26!$J$2:$J$571)*(A343&lt;Task_Table_02_26!$K$2:$K$571))</f>
        <v>0</v>
      </c>
      <c r="E343" cm="1">
        <f t="array" ref="E343">SUMPRODUCT((Task_Table_02_26!$C$2:$C$571=$E$1)*(A343&gt;Task_Table_02_26!$J$2:$J$571)*(A343&lt;Task_Table_02_26!$K$2:$K$571))</f>
        <v>8</v>
      </c>
    </row>
    <row r="344" spans="1:5">
      <c r="A344" s="5">
        <v>46212</v>
      </c>
      <c r="B344" cm="1">
        <f t="array" ref="B344">SUMPRODUCT((Task_Table_02_26!$C$2:$C$571=$B$1)*(A344&gt;Task_Table_02_26!$J$2:$J$571)*(A344&lt;Task_Table_02_26!$K$2:$K$571))</f>
        <v>1</v>
      </c>
      <c r="C344" cm="1">
        <f t="array" ref="C344">SUMPRODUCT((Task_Table_02_26!$C$2:$C$571=$C$1)*(A344&gt;Task_Table_02_26!$J$2:$J$571)*(A344&lt;Task_Table_02_26!$K$2:$K$571))</f>
        <v>1</v>
      </c>
      <c r="D344" cm="1">
        <f t="array" ref="D344">SUMPRODUCT((Task_Table_02_26!$C$2:$C$571=$D$1)*(A344&gt;Task_Table_02_26!$J$2:$J$571)*(A344&lt;Task_Table_02_26!$K$2:$K$571))</f>
        <v>0</v>
      </c>
      <c r="E344" cm="1">
        <f t="array" ref="E344">SUMPRODUCT((Task_Table_02_26!$C$2:$C$571=$E$1)*(A344&gt;Task_Table_02_26!$J$2:$J$571)*(A344&lt;Task_Table_02_26!$K$2:$K$571))</f>
        <v>8</v>
      </c>
    </row>
    <row r="345" spans="1:5">
      <c r="A345" s="5">
        <v>46213</v>
      </c>
      <c r="B345" cm="1">
        <f t="array" ref="B345">SUMPRODUCT((Task_Table_02_26!$C$2:$C$571=$B$1)*(A345&gt;Task_Table_02_26!$J$2:$J$571)*(A345&lt;Task_Table_02_26!$K$2:$K$571))</f>
        <v>1</v>
      </c>
      <c r="C345" cm="1">
        <f t="array" ref="C345">SUMPRODUCT((Task_Table_02_26!$C$2:$C$571=$C$1)*(A345&gt;Task_Table_02_26!$J$2:$J$571)*(A345&lt;Task_Table_02_26!$K$2:$K$571))</f>
        <v>1</v>
      </c>
      <c r="D345" cm="1">
        <f t="array" ref="D345">SUMPRODUCT((Task_Table_02_26!$C$2:$C$571=$D$1)*(A345&gt;Task_Table_02_26!$J$2:$J$571)*(A345&lt;Task_Table_02_26!$K$2:$K$571))</f>
        <v>0</v>
      </c>
      <c r="E345" cm="1">
        <f t="array" ref="E345">SUMPRODUCT((Task_Table_02_26!$C$2:$C$571=$E$1)*(A345&gt;Task_Table_02_26!$J$2:$J$571)*(A345&lt;Task_Table_02_26!$K$2:$K$571))</f>
        <v>8</v>
      </c>
    </row>
    <row r="346" spans="1:5">
      <c r="A346" s="5">
        <v>46214</v>
      </c>
      <c r="B346" cm="1">
        <f t="array" ref="B346">SUMPRODUCT((Task_Table_02_26!$C$2:$C$571=$B$1)*(A346&gt;Task_Table_02_26!$J$2:$J$571)*(A346&lt;Task_Table_02_26!$K$2:$K$571))</f>
        <v>1</v>
      </c>
      <c r="C346" cm="1">
        <f t="array" ref="C346">SUMPRODUCT((Task_Table_02_26!$C$2:$C$571=$C$1)*(A346&gt;Task_Table_02_26!$J$2:$J$571)*(A346&lt;Task_Table_02_26!$K$2:$K$571))</f>
        <v>1</v>
      </c>
      <c r="D346" cm="1">
        <f t="array" ref="D346">SUMPRODUCT((Task_Table_02_26!$C$2:$C$571=$D$1)*(A346&gt;Task_Table_02_26!$J$2:$J$571)*(A346&lt;Task_Table_02_26!$K$2:$K$571))</f>
        <v>0</v>
      </c>
      <c r="E346" cm="1">
        <f t="array" ref="E346">SUMPRODUCT((Task_Table_02_26!$C$2:$C$571=$E$1)*(A346&gt;Task_Table_02_26!$J$2:$J$571)*(A346&lt;Task_Table_02_26!$K$2:$K$571))</f>
        <v>8</v>
      </c>
    </row>
    <row r="347" spans="1:5">
      <c r="A347" s="5">
        <v>46215</v>
      </c>
      <c r="B347" cm="1">
        <f t="array" ref="B347">SUMPRODUCT((Task_Table_02_26!$C$2:$C$571=$B$1)*(A347&gt;Task_Table_02_26!$J$2:$J$571)*(A347&lt;Task_Table_02_26!$K$2:$K$571))</f>
        <v>1</v>
      </c>
      <c r="C347" cm="1">
        <f t="array" ref="C347">SUMPRODUCT((Task_Table_02_26!$C$2:$C$571=$C$1)*(A347&gt;Task_Table_02_26!$J$2:$J$571)*(A347&lt;Task_Table_02_26!$K$2:$K$571))</f>
        <v>1</v>
      </c>
      <c r="D347" cm="1">
        <f t="array" ref="D347">SUMPRODUCT((Task_Table_02_26!$C$2:$C$571=$D$1)*(A347&gt;Task_Table_02_26!$J$2:$J$571)*(A347&lt;Task_Table_02_26!$K$2:$K$571))</f>
        <v>0</v>
      </c>
      <c r="E347" cm="1">
        <f t="array" ref="E347">SUMPRODUCT((Task_Table_02_26!$C$2:$C$571=$E$1)*(A347&gt;Task_Table_02_26!$J$2:$J$571)*(A347&lt;Task_Table_02_26!$K$2:$K$571))</f>
        <v>8</v>
      </c>
    </row>
    <row r="348" spans="1:5">
      <c r="A348" s="5">
        <v>46216</v>
      </c>
      <c r="B348" cm="1">
        <f t="array" ref="B348">SUMPRODUCT((Task_Table_02_26!$C$2:$C$571=$B$1)*(A348&gt;Task_Table_02_26!$J$2:$J$571)*(A348&lt;Task_Table_02_26!$K$2:$K$571))</f>
        <v>1</v>
      </c>
      <c r="C348" cm="1">
        <f t="array" ref="C348">SUMPRODUCT((Task_Table_02_26!$C$2:$C$571=$C$1)*(A348&gt;Task_Table_02_26!$J$2:$J$571)*(A348&lt;Task_Table_02_26!$K$2:$K$571))</f>
        <v>1</v>
      </c>
      <c r="D348" cm="1">
        <f t="array" ref="D348">SUMPRODUCT((Task_Table_02_26!$C$2:$C$571=$D$1)*(A348&gt;Task_Table_02_26!$J$2:$J$571)*(A348&lt;Task_Table_02_26!$K$2:$K$571))</f>
        <v>0</v>
      </c>
      <c r="E348" cm="1">
        <f t="array" ref="E348">SUMPRODUCT((Task_Table_02_26!$C$2:$C$571=$E$1)*(A348&gt;Task_Table_02_26!$J$2:$J$571)*(A348&lt;Task_Table_02_26!$K$2:$K$571))</f>
        <v>8</v>
      </c>
    </row>
    <row r="349" spans="1:5">
      <c r="A349" s="5">
        <v>46217</v>
      </c>
      <c r="B349" cm="1">
        <f t="array" ref="B349">SUMPRODUCT((Task_Table_02_26!$C$2:$C$571=$B$1)*(A349&gt;Task_Table_02_26!$J$2:$J$571)*(A349&lt;Task_Table_02_26!$K$2:$K$571))</f>
        <v>1</v>
      </c>
      <c r="C349" cm="1">
        <f t="array" ref="C349">SUMPRODUCT((Task_Table_02_26!$C$2:$C$571=$C$1)*(A349&gt;Task_Table_02_26!$J$2:$J$571)*(A349&lt;Task_Table_02_26!$K$2:$K$571))</f>
        <v>2</v>
      </c>
      <c r="D349" cm="1">
        <f t="array" ref="D349">SUMPRODUCT((Task_Table_02_26!$C$2:$C$571=$D$1)*(A349&gt;Task_Table_02_26!$J$2:$J$571)*(A349&lt;Task_Table_02_26!$K$2:$K$571))</f>
        <v>0</v>
      </c>
      <c r="E349" cm="1">
        <f t="array" ref="E349">SUMPRODUCT((Task_Table_02_26!$C$2:$C$571=$E$1)*(A349&gt;Task_Table_02_26!$J$2:$J$571)*(A349&lt;Task_Table_02_26!$K$2:$K$571))</f>
        <v>8</v>
      </c>
    </row>
    <row r="350" spans="1:5">
      <c r="A350" s="5">
        <v>46218</v>
      </c>
      <c r="B350" cm="1">
        <f t="array" ref="B350">SUMPRODUCT((Task_Table_02_26!$C$2:$C$571=$B$1)*(A350&gt;Task_Table_02_26!$J$2:$J$571)*(A350&lt;Task_Table_02_26!$K$2:$K$571))</f>
        <v>1</v>
      </c>
      <c r="C350" cm="1">
        <f t="array" ref="C350">SUMPRODUCT((Task_Table_02_26!$C$2:$C$571=$C$1)*(A350&gt;Task_Table_02_26!$J$2:$J$571)*(A350&lt;Task_Table_02_26!$K$2:$K$571))</f>
        <v>2</v>
      </c>
      <c r="D350" cm="1">
        <f t="array" ref="D350">SUMPRODUCT((Task_Table_02_26!$C$2:$C$571=$D$1)*(A350&gt;Task_Table_02_26!$J$2:$J$571)*(A350&lt;Task_Table_02_26!$K$2:$K$571))</f>
        <v>0</v>
      </c>
      <c r="E350" cm="1">
        <f t="array" ref="E350">SUMPRODUCT((Task_Table_02_26!$C$2:$C$571=$E$1)*(A350&gt;Task_Table_02_26!$J$2:$J$571)*(A350&lt;Task_Table_02_26!$K$2:$K$571))</f>
        <v>8</v>
      </c>
    </row>
    <row r="351" spans="1:5">
      <c r="A351" s="5">
        <v>46219</v>
      </c>
      <c r="B351" cm="1">
        <f t="array" ref="B351">SUMPRODUCT((Task_Table_02_26!$C$2:$C$571=$B$1)*(A351&gt;Task_Table_02_26!$J$2:$J$571)*(A351&lt;Task_Table_02_26!$K$2:$K$571))</f>
        <v>1</v>
      </c>
      <c r="C351" cm="1">
        <f t="array" ref="C351">SUMPRODUCT((Task_Table_02_26!$C$2:$C$571=$C$1)*(A351&gt;Task_Table_02_26!$J$2:$J$571)*(A351&lt;Task_Table_02_26!$K$2:$K$571))</f>
        <v>9</v>
      </c>
      <c r="D351" cm="1">
        <f t="array" ref="D351">SUMPRODUCT((Task_Table_02_26!$C$2:$C$571=$D$1)*(A351&gt;Task_Table_02_26!$J$2:$J$571)*(A351&lt;Task_Table_02_26!$K$2:$K$571))</f>
        <v>0</v>
      </c>
      <c r="E351" cm="1">
        <f t="array" ref="E351">SUMPRODUCT((Task_Table_02_26!$C$2:$C$571=$E$1)*(A351&gt;Task_Table_02_26!$J$2:$J$571)*(A351&lt;Task_Table_02_26!$K$2:$K$571))</f>
        <v>8</v>
      </c>
    </row>
    <row r="352" spans="1:5">
      <c r="A352" s="5">
        <v>46220</v>
      </c>
      <c r="B352" cm="1">
        <f t="array" ref="B352">SUMPRODUCT((Task_Table_02_26!$C$2:$C$571=$B$1)*(A352&gt;Task_Table_02_26!$J$2:$J$571)*(A352&lt;Task_Table_02_26!$K$2:$K$571))</f>
        <v>1</v>
      </c>
      <c r="C352" cm="1">
        <f t="array" ref="C352">SUMPRODUCT((Task_Table_02_26!$C$2:$C$571=$C$1)*(A352&gt;Task_Table_02_26!$J$2:$J$571)*(A352&lt;Task_Table_02_26!$K$2:$K$571))</f>
        <v>9</v>
      </c>
      <c r="D352" cm="1">
        <f t="array" ref="D352">SUMPRODUCT((Task_Table_02_26!$C$2:$C$571=$D$1)*(A352&gt;Task_Table_02_26!$J$2:$J$571)*(A352&lt;Task_Table_02_26!$K$2:$K$571))</f>
        <v>0</v>
      </c>
      <c r="E352" cm="1">
        <f t="array" ref="E352">SUMPRODUCT((Task_Table_02_26!$C$2:$C$571=$E$1)*(A352&gt;Task_Table_02_26!$J$2:$J$571)*(A352&lt;Task_Table_02_26!$K$2:$K$571))</f>
        <v>8</v>
      </c>
    </row>
    <row r="353" spans="1:5">
      <c r="A353" s="5">
        <v>46221</v>
      </c>
      <c r="B353" cm="1">
        <f t="array" ref="B353">SUMPRODUCT((Task_Table_02_26!$C$2:$C$571=$B$1)*(A353&gt;Task_Table_02_26!$J$2:$J$571)*(A353&lt;Task_Table_02_26!$K$2:$K$571))</f>
        <v>1</v>
      </c>
      <c r="C353" cm="1">
        <f t="array" ref="C353">SUMPRODUCT((Task_Table_02_26!$C$2:$C$571=$C$1)*(A353&gt;Task_Table_02_26!$J$2:$J$571)*(A353&lt;Task_Table_02_26!$K$2:$K$571))</f>
        <v>9</v>
      </c>
      <c r="D353" cm="1">
        <f t="array" ref="D353">SUMPRODUCT((Task_Table_02_26!$C$2:$C$571=$D$1)*(A353&gt;Task_Table_02_26!$J$2:$J$571)*(A353&lt;Task_Table_02_26!$K$2:$K$571))</f>
        <v>0</v>
      </c>
      <c r="E353" cm="1">
        <f t="array" ref="E353">SUMPRODUCT((Task_Table_02_26!$C$2:$C$571=$E$1)*(A353&gt;Task_Table_02_26!$J$2:$J$571)*(A353&lt;Task_Table_02_26!$K$2:$K$571))</f>
        <v>8</v>
      </c>
    </row>
    <row r="354" spans="1:5">
      <c r="A354" s="5">
        <v>46222</v>
      </c>
      <c r="B354" cm="1">
        <f t="array" ref="B354">SUMPRODUCT((Task_Table_02_26!$C$2:$C$571=$B$1)*(A354&gt;Task_Table_02_26!$J$2:$J$571)*(A354&lt;Task_Table_02_26!$K$2:$K$571))</f>
        <v>1</v>
      </c>
      <c r="C354" cm="1">
        <f t="array" ref="C354">SUMPRODUCT((Task_Table_02_26!$C$2:$C$571=$C$1)*(A354&gt;Task_Table_02_26!$J$2:$J$571)*(A354&lt;Task_Table_02_26!$K$2:$K$571))</f>
        <v>9</v>
      </c>
      <c r="D354" cm="1">
        <f t="array" ref="D354">SUMPRODUCT((Task_Table_02_26!$C$2:$C$571=$D$1)*(A354&gt;Task_Table_02_26!$J$2:$J$571)*(A354&lt;Task_Table_02_26!$K$2:$K$571))</f>
        <v>0</v>
      </c>
      <c r="E354" cm="1">
        <f t="array" ref="E354">SUMPRODUCT((Task_Table_02_26!$C$2:$C$571=$E$1)*(A354&gt;Task_Table_02_26!$J$2:$J$571)*(A354&lt;Task_Table_02_26!$K$2:$K$571))</f>
        <v>8</v>
      </c>
    </row>
    <row r="355" spans="1:5">
      <c r="A355" s="5">
        <v>46223</v>
      </c>
      <c r="B355" cm="1">
        <f t="array" ref="B355">SUMPRODUCT((Task_Table_02_26!$C$2:$C$571=$B$1)*(A355&gt;Task_Table_02_26!$J$2:$J$571)*(A355&lt;Task_Table_02_26!$K$2:$K$571))</f>
        <v>1</v>
      </c>
      <c r="C355" cm="1">
        <f t="array" ref="C355">SUMPRODUCT((Task_Table_02_26!$C$2:$C$571=$C$1)*(A355&gt;Task_Table_02_26!$J$2:$J$571)*(A355&lt;Task_Table_02_26!$K$2:$K$571))</f>
        <v>9</v>
      </c>
      <c r="D355" cm="1">
        <f t="array" ref="D355">SUMPRODUCT((Task_Table_02_26!$C$2:$C$571=$D$1)*(A355&gt;Task_Table_02_26!$J$2:$J$571)*(A355&lt;Task_Table_02_26!$K$2:$K$571))</f>
        <v>0</v>
      </c>
      <c r="E355" cm="1">
        <f t="array" ref="E355">SUMPRODUCT((Task_Table_02_26!$C$2:$C$571=$E$1)*(A355&gt;Task_Table_02_26!$J$2:$J$571)*(A355&lt;Task_Table_02_26!$K$2:$K$571))</f>
        <v>8</v>
      </c>
    </row>
    <row r="356" spans="1:5">
      <c r="A356" s="5">
        <v>46224</v>
      </c>
      <c r="B356" cm="1">
        <f t="array" ref="B356">SUMPRODUCT((Task_Table_02_26!$C$2:$C$571=$B$1)*(A356&gt;Task_Table_02_26!$J$2:$J$571)*(A356&lt;Task_Table_02_26!$K$2:$K$571))</f>
        <v>1</v>
      </c>
      <c r="C356" cm="1">
        <f t="array" ref="C356">SUMPRODUCT((Task_Table_02_26!$C$2:$C$571=$C$1)*(A356&gt;Task_Table_02_26!$J$2:$J$571)*(A356&lt;Task_Table_02_26!$K$2:$K$571))</f>
        <v>9</v>
      </c>
      <c r="D356" cm="1">
        <f t="array" ref="D356">SUMPRODUCT((Task_Table_02_26!$C$2:$C$571=$D$1)*(A356&gt;Task_Table_02_26!$J$2:$J$571)*(A356&lt;Task_Table_02_26!$K$2:$K$571))</f>
        <v>0</v>
      </c>
      <c r="E356" cm="1">
        <f t="array" ref="E356">SUMPRODUCT((Task_Table_02_26!$C$2:$C$571=$E$1)*(A356&gt;Task_Table_02_26!$J$2:$J$571)*(A356&lt;Task_Table_02_26!$K$2:$K$571))</f>
        <v>8</v>
      </c>
    </row>
    <row r="357" spans="1:5">
      <c r="A357" s="5">
        <v>46225</v>
      </c>
      <c r="B357" cm="1">
        <f t="array" ref="B357">SUMPRODUCT((Task_Table_02_26!$C$2:$C$571=$B$1)*(A357&gt;Task_Table_02_26!$J$2:$J$571)*(A357&lt;Task_Table_02_26!$K$2:$K$571))</f>
        <v>1</v>
      </c>
      <c r="C357" cm="1">
        <f t="array" ref="C357">SUMPRODUCT((Task_Table_02_26!$C$2:$C$571=$C$1)*(A357&gt;Task_Table_02_26!$J$2:$J$571)*(A357&lt;Task_Table_02_26!$K$2:$K$571))</f>
        <v>9</v>
      </c>
      <c r="D357" cm="1">
        <f t="array" ref="D357">SUMPRODUCT((Task_Table_02_26!$C$2:$C$571=$D$1)*(A357&gt;Task_Table_02_26!$J$2:$J$571)*(A357&lt;Task_Table_02_26!$K$2:$K$571))</f>
        <v>0</v>
      </c>
      <c r="E357" cm="1">
        <f t="array" ref="E357">SUMPRODUCT((Task_Table_02_26!$C$2:$C$571=$E$1)*(A357&gt;Task_Table_02_26!$J$2:$J$571)*(A357&lt;Task_Table_02_26!$K$2:$K$571))</f>
        <v>8</v>
      </c>
    </row>
    <row r="358" spans="1:5">
      <c r="A358" s="5">
        <v>46226</v>
      </c>
      <c r="B358" cm="1">
        <f t="array" ref="B358">SUMPRODUCT((Task_Table_02_26!$C$2:$C$571=$B$1)*(A358&gt;Task_Table_02_26!$J$2:$J$571)*(A358&lt;Task_Table_02_26!$K$2:$K$571))</f>
        <v>1</v>
      </c>
      <c r="C358" cm="1">
        <f t="array" ref="C358">SUMPRODUCT((Task_Table_02_26!$C$2:$C$571=$C$1)*(A358&gt;Task_Table_02_26!$J$2:$J$571)*(A358&lt;Task_Table_02_26!$K$2:$K$571))</f>
        <v>9</v>
      </c>
      <c r="D358" cm="1">
        <f t="array" ref="D358">SUMPRODUCT((Task_Table_02_26!$C$2:$C$571=$D$1)*(A358&gt;Task_Table_02_26!$J$2:$J$571)*(A358&lt;Task_Table_02_26!$K$2:$K$571))</f>
        <v>0</v>
      </c>
      <c r="E358" cm="1">
        <f t="array" ref="E358">SUMPRODUCT((Task_Table_02_26!$C$2:$C$571=$E$1)*(A358&gt;Task_Table_02_26!$J$2:$J$571)*(A358&lt;Task_Table_02_26!$K$2:$K$571))</f>
        <v>8</v>
      </c>
    </row>
    <row r="359" spans="1:5">
      <c r="A359" s="5">
        <v>46227</v>
      </c>
      <c r="B359" cm="1">
        <f t="array" ref="B359">SUMPRODUCT((Task_Table_02_26!$C$2:$C$571=$B$1)*(A359&gt;Task_Table_02_26!$J$2:$J$571)*(A359&lt;Task_Table_02_26!$K$2:$K$571))</f>
        <v>1</v>
      </c>
      <c r="C359" cm="1">
        <f t="array" ref="C359">SUMPRODUCT((Task_Table_02_26!$C$2:$C$571=$C$1)*(A359&gt;Task_Table_02_26!$J$2:$J$571)*(A359&lt;Task_Table_02_26!$K$2:$K$571))</f>
        <v>9</v>
      </c>
      <c r="D359" cm="1">
        <f t="array" ref="D359">SUMPRODUCT((Task_Table_02_26!$C$2:$C$571=$D$1)*(A359&gt;Task_Table_02_26!$J$2:$J$571)*(A359&lt;Task_Table_02_26!$K$2:$K$571))</f>
        <v>0</v>
      </c>
      <c r="E359" cm="1">
        <f t="array" ref="E359">SUMPRODUCT((Task_Table_02_26!$C$2:$C$571=$E$1)*(A359&gt;Task_Table_02_26!$J$2:$J$571)*(A359&lt;Task_Table_02_26!$K$2:$K$571))</f>
        <v>8</v>
      </c>
    </row>
    <row r="360" spans="1:5">
      <c r="A360" s="5">
        <v>46228</v>
      </c>
      <c r="B360" cm="1">
        <f t="array" ref="B360">SUMPRODUCT((Task_Table_02_26!$C$2:$C$571=$B$1)*(A360&gt;Task_Table_02_26!$J$2:$J$571)*(A360&lt;Task_Table_02_26!$K$2:$K$571))</f>
        <v>1</v>
      </c>
      <c r="C360" cm="1">
        <f t="array" ref="C360">SUMPRODUCT((Task_Table_02_26!$C$2:$C$571=$C$1)*(A360&gt;Task_Table_02_26!$J$2:$J$571)*(A360&lt;Task_Table_02_26!$K$2:$K$571))</f>
        <v>9</v>
      </c>
      <c r="D360" cm="1">
        <f t="array" ref="D360">SUMPRODUCT((Task_Table_02_26!$C$2:$C$571=$D$1)*(A360&gt;Task_Table_02_26!$J$2:$J$571)*(A360&lt;Task_Table_02_26!$K$2:$K$571))</f>
        <v>0</v>
      </c>
      <c r="E360" cm="1">
        <f t="array" ref="E360">SUMPRODUCT((Task_Table_02_26!$C$2:$C$571=$E$1)*(A360&gt;Task_Table_02_26!$J$2:$J$571)*(A360&lt;Task_Table_02_26!$K$2:$K$571))</f>
        <v>8</v>
      </c>
    </row>
    <row r="361" spans="1:5">
      <c r="A361" s="5">
        <v>46229</v>
      </c>
      <c r="B361" cm="1">
        <f t="array" ref="B361">SUMPRODUCT((Task_Table_02_26!$C$2:$C$571=$B$1)*(A361&gt;Task_Table_02_26!$J$2:$J$571)*(A361&lt;Task_Table_02_26!$K$2:$K$571))</f>
        <v>1</v>
      </c>
      <c r="C361" cm="1">
        <f t="array" ref="C361">SUMPRODUCT((Task_Table_02_26!$C$2:$C$571=$C$1)*(A361&gt;Task_Table_02_26!$J$2:$J$571)*(A361&lt;Task_Table_02_26!$K$2:$K$571))</f>
        <v>9</v>
      </c>
      <c r="D361" cm="1">
        <f t="array" ref="D361">SUMPRODUCT((Task_Table_02_26!$C$2:$C$571=$D$1)*(A361&gt;Task_Table_02_26!$J$2:$J$571)*(A361&lt;Task_Table_02_26!$K$2:$K$571))</f>
        <v>0</v>
      </c>
      <c r="E361" cm="1">
        <f t="array" ref="E361">SUMPRODUCT((Task_Table_02_26!$C$2:$C$571=$E$1)*(A361&gt;Task_Table_02_26!$J$2:$J$571)*(A361&lt;Task_Table_02_26!$K$2:$K$571))</f>
        <v>8</v>
      </c>
    </row>
    <row r="362" spans="1:5">
      <c r="A362" s="5">
        <v>46230</v>
      </c>
      <c r="B362" cm="1">
        <f t="array" ref="B362">SUMPRODUCT((Task_Table_02_26!$C$2:$C$571=$B$1)*(A362&gt;Task_Table_02_26!$J$2:$J$571)*(A362&lt;Task_Table_02_26!$K$2:$K$571))</f>
        <v>1</v>
      </c>
      <c r="C362" cm="1">
        <f t="array" ref="C362">SUMPRODUCT((Task_Table_02_26!$C$2:$C$571=$C$1)*(A362&gt;Task_Table_02_26!$J$2:$J$571)*(A362&lt;Task_Table_02_26!$K$2:$K$571))</f>
        <v>9</v>
      </c>
      <c r="D362" cm="1">
        <f t="array" ref="D362">SUMPRODUCT((Task_Table_02_26!$C$2:$C$571=$D$1)*(A362&gt;Task_Table_02_26!$J$2:$J$571)*(A362&lt;Task_Table_02_26!$K$2:$K$571))</f>
        <v>0</v>
      </c>
      <c r="E362" cm="1">
        <f t="array" ref="E362">SUMPRODUCT((Task_Table_02_26!$C$2:$C$571=$E$1)*(A362&gt;Task_Table_02_26!$J$2:$J$571)*(A362&lt;Task_Table_02_26!$K$2:$K$571))</f>
        <v>8</v>
      </c>
    </row>
    <row r="363" spans="1:5">
      <c r="A363" s="5">
        <v>46231</v>
      </c>
      <c r="B363" cm="1">
        <f t="array" ref="B363">SUMPRODUCT((Task_Table_02_26!$C$2:$C$571=$B$1)*(A363&gt;Task_Table_02_26!$J$2:$J$571)*(A363&lt;Task_Table_02_26!$K$2:$K$571))</f>
        <v>1</v>
      </c>
      <c r="C363" cm="1">
        <f t="array" ref="C363">SUMPRODUCT((Task_Table_02_26!$C$2:$C$571=$C$1)*(A363&gt;Task_Table_02_26!$J$2:$J$571)*(A363&lt;Task_Table_02_26!$K$2:$K$571))</f>
        <v>9</v>
      </c>
      <c r="D363" cm="1">
        <f t="array" ref="D363">SUMPRODUCT((Task_Table_02_26!$C$2:$C$571=$D$1)*(A363&gt;Task_Table_02_26!$J$2:$J$571)*(A363&lt;Task_Table_02_26!$K$2:$K$571))</f>
        <v>0</v>
      </c>
      <c r="E363" cm="1">
        <f t="array" ref="E363">SUMPRODUCT((Task_Table_02_26!$C$2:$C$571=$E$1)*(A363&gt;Task_Table_02_26!$J$2:$J$571)*(A363&lt;Task_Table_02_26!$K$2:$K$571))</f>
        <v>8</v>
      </c>
    </row>
    <row r="364" spans="1:5">
      <c r="A364" s="5">
        <v>46232</v>
      </c>
      <c r="B364" cm="1">
        <f t="array" ref="B364">SUMPRODUCT((Task_Table_02_26!$C$2:$C$571=$B$1)*(A364&gt;Task_Table_02_26!$J$2:$J$571)*(A364&lt;Task_Table_02_26!$K$2:$K$571))</f>
        <v>1</v>
      </c>
      <c r="C364" cm="1">
        <f t="array" ref="C364">SUMPRODUCT((Task_Table_02_26!$C$2:$C$571=$C$1)*(A364&gt;Task_Table_02_26!$J$2:$J$571)*(A364&lt;Task_Table_02_26!$K$2:$K$571))</f>
        <v>9</v>
      </c>
      <c r="D364" cm="1">
        <f t="array" ref="D364">SUMPRODUCT((Task_Table_02_26!$C$2:$C$571=$D$1)*(A364&gt;Task_Table_02_26!$J$2:$J$571)*(A364&lt;Task_Table_02_26!$K$2:$K$571))</f>
        <v>0</v>
      </c>
      <c r="E364" cm="1">
        <f t="array" ref="E364">SUMPRODUCT((Task_Table_02_26!$C$2:$C$571=$E$1)*(A364&gt;Task_Table_02_26!$J$2:$J$571)*(A364&lt;Task_Table_02_26!$K$2:$K$571))</f>
        <v>8</v>
      </c>
    </row>
    <row r="365" spans="1:5">
      <c r="A365" s="5">
        <v>46233</v>
      </c>
      <c r="B365" cm="1">
        <f t="array" ref="B365">SUMPRODUCT((Task_Table_02_26!$C$2:$C$571=$B$1)*(A365&gt;Task_Table_02_26!$J$2:$J$571)*(A365&lt;Task_Table_02_26!$K$2:$K$571))</f>
        <v>1</v>
      </c>
      <c r="C365" cm="1">
        <f t="array" ref="C365">SUMPRODUCT((Task_Table_02_26!$C$2:$C$571=$C$1)*(A365&gt;Task_Table_02_26!$J$2:$J$571)*(A365&lt;Task_Table_02_26!$K$2:$K$571))</f>
        <v>9</v>
      </c>
      <c r="D365" cm="1">
        <f t="array" ref="D365">SUMPRODUCT((Task_Table_02_26!$C$2:$C$571=$D$1)*(A365&gt;Task_Table_02_26!$J$2:$J$571)*(A365&lt;Task_Table_02_26!$K$2:$K$571))</f>
        <v>0</v>
      </c>
      <c r="E365" cm="1">
        <f t="array" ref="E365">SUMPRODUCT((Task_Table_02_26!$C$2:$C$571=$E$1)*(A365&gt;Task_Table_02_26!$J$2:$J$571)*(A365&lt;Task_Table_02_26!$K$2:$K$571))</f>
        <v>8</v>
      </c>
    </row>
    <row r="366" spans="1:5">
      <c r="A366" s="5">
        <v>46234</v>
      </c>
      <c r="B366" cm="1">
        <f t="array" ref="B366">SUMPRODUCT((Task_Table_02_26!$C$2:$C$571=$B$1)*(A366&gt;Task_Table_02_26!$J$2:$J$571)*(A366&lt;Task_Table_02_26!$K$2:$K$571))</f>
        <v>1</v>
      </c>
      <c r="C366" cm="1">
        <f t="array" ref="C366">SUMPRODUCT((Task_Table_02_26!$C$2:$C$571=$C$1)*(A366&gt;Task_Table_02_26!$J$2:$J$571)*(A366&lt;Task_Table_02_26!$K$2:$K$571))</f>
        <v>9</v>
      </c>
      <c r="D366" cm="1">
        <f t="array" ref="D366">SUMPRODUCT((Task_Table_02_26!$C$2:$C$571=$D$1)*(A366&gt;Task_Table_02_26!$J$2:$J$571)*(A366&lt;Task_Table_02_26!$K$2:$K$571))</f>
        <v>0</v>
      </c>
      <c r="E366" cm="1">
        <f t="array" ref="E366">SUMPRODUCT((Task_Table_02_26!$C$2:$C$571=$E$1)*(A366&gt;Task_Table_02_26!$J$2:$J$571)*(A366&lt;Task_Table_02_26!$K$2:$K$571))</f>
        <v>8</v>
      </c>
    </row>
    <row r="367" spans="1:5">
      <c r="A367" s="5">
        <v>46235</v>
      </c>
      <c r="B367" cm="1">
        <f t="array" ref="B367">SUMPRODUCT((Task_Table_02_26!$C$2:$C$571=$B$1)*(A367&gt;Task_Table_02_26!$J$2:$J$571)*(A367&lt;Task_Table_02_26!$K$2:$K$571))</f>
        <v>1</v>
      </c>
      <c r="C367" cm="1">
        <f t="array" ref="C367">SUMPRODUCT((Task_Table_02_26!$C$2:$C$571=$C$1)*(A367&gt;Task_Table_02_26!$J$2:$J$571)*(A367&lt;Task_Table_02_26!$K$2:$K$571))</f>
        <v>9</v>
      </c>
      <c r="D367" cm="1">
        <f t="array" ref="D367">SUMPRODUCT((Task_Table_02_26!$C$2:$C$571=$D$1)*(A367&gt;Task_Table_02_26!$J$2:$J$571)*(A367&lt;Task_Table_02_26!$K$2:$K$571))</f>
        <v>0</v>
      </c>
      <c r="E367" cm="1">
        <f t="array" ref="E367">SUMPRODUCT((Task_Table_02_26!$C$2:$C$571=$E$1)*(A367&gt;Task_Table_02_26!$J$2:$J$571)*(A367&lt;Task_Table_02_26!$K$2:$K$571))</f>
        <v>8</v>
      </c>
    </row>
    <row r="368" spans="1:5">
      <c r="A368" s="5">
        <v>46236</v>
      </c>
      <c r="B368" cm="1">
        <f t="array" ref="B368">SUMPRODUCT((Task_Table_02_26!$C$2:$C$571=$B$1)*(A368&gt;Task_Table_02_26!$J$2:$J$571)*(A368&lt;Task_Table_02_26!$K$2:$K$571))</f>
        <v>1</v>
      </c>
      <c r="C368" cm="1">
        <f t="array" ref="C368">SUMPRODUCT((Task_Table_02_26!$C$2:$C$571=$C$1)*(A368&gt;Task_Table_02_26!$J$2:$J$571)*(A368&lt;Task_Table_02_26!$K$2:$K$571))</f>
        <v>9</v>
      </c>
      <c r="D368" cm="1">
        <f t="array" ref="D368">SUMPRODUCT((Task_Table_02_26!$C$2:$C$571=$D$1)*(A368&gt;Task_Table_02_26!$J$2:$J$571)*(A368&lt;Task_Table_02_26!$K$2:$K$571))</f>
        <v>0</v>
      </c>
      <c r="E368" cm="1">
        <f t="array" ref="E368">SUMPRODUCT((Task_Table_02_26!$C$2:$C$571=$E$1)*(A368&gt;Task_Table_02_26!$J$2:$J$571)*(A368&lt;Task_Table_02_26!$K$2:$K$571))</f>
        <v>8</v>
      </c>
    </row>
    <row r="369" spans="1:5">
      <c r="A369" s="5">
        <v>46237</v>
      </c>
      <c r="B369" cm="1">
        <f t="array" ref="B369">SUMPRODUCT((Task_Table_02_26!$C$2:$C$571=$B$1)*(A369&gt;Task_Table_02_26!$J$2:$J$571)*(A369&lt;Task_Table_02_26!$K$2:$K$571))</f>
        <v>1</v>
      </c>
      <c r="C369" cm="1">
        <f t="array" ref="C369">SUMPRODUCT((Task_Table_02_26!$C$2:$C$571=$C$1)*(A369&gt;Task_Table_02_26!$J$2:$J$571)*(A369&lt;Task_Table_02_26!$K$2:$K$571))</f>
        <v>9</v>
      </c>
      <c r="D369" cm="1">
        <f t="array" ref="D369">SUMPRODUCT((Task_Table_02_26!$C$2:$C$571=$D$1)*(A369&gt;Task_Table_02_26!$J$2:$J$571)*(A369&lt;Task_Table_02_26!$K$2:$K$571))</f>
        <v>0</v>
      </c>
      <c r="E369" cm="1">
        <f t="array" ref="E369">SUMPRODUCT((Task_Table_02_26!$C$2:$C$571=$E$1)*(A369&gt;Task_Table_02_26!$J$2:$J$571)*(A369&lt;Task_Table_02_26!$K$2:$K$571))</f>
        <v>8</v>
      </c>
    </row>
    <row r="370" spans="1:5">
      <c r="A370" s="5">
        <v>46238</v>
      </c>
      <c r="B370" cm="1">
        <f t="array" ref="B370">SUMPRODUCT((Task_Table_02_26!$C$2:$C$571=$B$1)*(A370&gt;Task_Table_02_26!$J$2:$J$571)*(A370&lt;Task_Table_02_26!$K$2:$K$571))</f>
        <v>1</v>
      </c>
      <c r="C370" cm="1">
        <f t="array" ref="C370">SUMPRODUCT((Task_Table_02_26!$C$2:$C$571=$C$1)*(A370&gt;Task_Table_02_26!$J$2:$J$571)*(A370&lt;Task_Table_02_26!$K$2:$K$571))</f>
        <v>9</v>
      </c>
      <c r="D370" cm="1">
        <f t="array" ref="D370">SUMPRODUCT((Task_Table_02_26!$C$2:$C$571=$D$1)*(A370&gt;Task_Table_02_26!$J$2:$J$571)*(A370&lt;Task_Table_02_26!$K$2:$K$571))</f>
        <v>0</v>
      </c>
      <c r="E370" cm="1">
        <f t="array" ref="E370">SUMPRODUCT((Task_Table_02_26!$C$2:$C$571=$E$1)*(A370&gt;Task_Table_02_26!$J$2:$J$571)*(A370&lt;Task_Table_02_26!$K$2:$K$571))</f>
        <v>8</v>
      </c>
    </row>
    <row r="371" spans="1:5">
      <c r="A371" s="5">
        <v>46239</v>
      </c>
      <c r="B371" cm="1">
        <f t="array" ref="B371">SUMPRODUCT((Task_Table_02_26!$C$2:$C$571=$B$1)*(A371&gt;Task_Table_02_26!$J$2:$J$571)*(A371&lt;Task_Table_02_26!$K$2:$K$571))</f>
        <v>1</v>
      </c>
      <c r="C371" cm="1">
        <f t="array" ref="C371">SUMPRODUCT((Task_Table_02_26!$C$2:$C$571=$C$1)*(A371&gt;Task_Table_02_26!$J$2:$J$571)*(A371&lt;Task_Table_02_26!$K$2:$K$571))</f>
        <v>9</v>
      </c>
      <c r="D371" cm="1">
        <f t="array" ref="D371">SUMPRODUCT((Task_Table_02_26!$C$2:$C$571=$D$1)*(A371&gt;Task_Table_02_26!$J$2:$J$571)*(A371&lt;Task_Table_02_26!$K$2:$K$571))</f>
        <v>0</v>
      </c>
      <c r="E371" cm="1">
        <f t="array" ref="E371">SUMPRODUCT((Task_Table_02_26!$C$2:$C$571=$E$1)*(A371&gt;Task_Table_02_26!$J$2:$J$571)*(A371&lt;Task_Table_02_26!$K$2:$K$571))</f>
        <v>8</v>
      </c>
    </row>
    <row r="372" spans="1:5">
      <c r="A372" s="5">
        <v>46240</v>
      </c>
      <c r="B372" cm="1">
        <f t="array" ref="B372">SUMPRODUCT((Task_Table_02_26!$C$2:$C$571=$B$1)*(A372&gt;Task_Table_02_26!$J$2:$J$571)*(A372&lt;Task_Table_02_26!$K$2:$K$571))</f>
        <v>1</v>
      </c>
      <c r="C372" cm="1">
        <f t="array" ref="C372">SUMPRODUCT((Task_Table_02_26!$C$2:$C$571=$C$1)*(A372&gt;Task_Table_02_26!$J$2:$J$571)*(A372&lt;Task_Table_02_26!$K$2:$K$571))</f>
        <v>9</v>
      </c>
      <c r="D372" cm="1">
        <f t="array" ref="D372">SUMPRODUCT((Task_Table_02_26!$C$2:$C$571=$D$1)*(A372&gt;Task_Table_02_26!$J$2:$J$571)*(A372&lt;Task_Table_02_26!$K$2:$K$571))</f>
        <v>0</v>
      </c>
      <c r="E372" cm="1">
        <f t="array" ref="E372">SUMPRODUCT((Task_Table_02_26!$C$2:$C$571=$E$1)*(A372&gt;Task_Table_02_26!$J$2:$J$571)*(A372&lt;Task_Table_02_26!$K$2:$K$571))</f>
        <v>8</v>
      </c>
    </row>
    <row r="373" spans="1:5">
      <c r="A373" s="5">
        <v>46241</v>
      </c>
      <c r="B373" cm="1">
        <f t="array" ref="B373">SUMPRODUCT((Task_Table_02_26!$C$2:$C$571=$B$1)*(A373&gt;Task_Table_02_26!$J$2:$J$571)*(A373&lt;Task_Table_02_26!$K$2:$K$571))</f>
        <v>1</v>
      </c>
      <c r="C373" cm="1">
        <f t="array" ref="C373">SUMPRODUCT((Task_Table_02_26!$C$2:$C$571=$C$1)*(A373&gt;Task_Table_02_26!$J$2:$J$571)*(A373&lt;Task_Table_02_26!$K$2:$K$571))</f>
        <v>9</v>
      </c>
      <c r="D373" cm="1">
        <f t="array" ref="D373">SUMPRODUCT((Task_Table_02_26!$C$2:$C$571=$D$1)*(A373&gt;Task_Table_02_26!$J$2:$J$571)*(A373&lt;Task_Table_02_26!$K$2:$K$571))</f>
        <v>0</v>
      </c>
      <c r="E373" cm="1">
        <f t="array" ref="E373">SUMPRODUCT((Task_Table_02_26!$C$2:$C$571=$E$1)*(A373&gt;Task_Table_02_26!$J$2:$J$571)*(A373&lt;Task_Table_02_26!$K$2:$K$571))</f>
        <v>8</v>
      </c>
    </row>
    <row r="374" spans="1:5">
      <c r="A374" s="5">
        <v>46242</v>
      </c>
      <c r="B374" cm="1">
        <f t="array" ref="B374">SUMPRODUCT((Task_Table_02_26!$C$2:$C$571=$B$1)*(A374&gt;Task_Table_02_26!$J$2:$J$571)*(A374&lt;Task_Table_02_26!$K$2:$K$571))</f>
        <v>1</v>
      </c>
      <c r="C374" cm="1">
        <f t="array" ref="C374">SUMPRODUCT((Task_Table_02_26!$C$2:$C$571=$C$1)*(A374&gt;Task_Table_02_26!$J$2:$J$571)*(A374&lt;Task_Table_02_26!$K$2:$K$571))</f>
        <v>9</v>
      </c>
      <c r="D374" cm="1">
        <f t="array" ref="D374">SUMPRODUCT((Task_Table_02_26!$C$2:$C$571=$D$1)*(A374&gt;Task_Table_02_26!$J$2:$J$571)*(A374&lt;Task_Table_02_26!$K$2:$K$571))</f>
        <v>0</v>
      </c>
      <c r="E374" cm="1">
        <f t="array" ref="E374">SUMPRODUCT((Task_Table_02_26!$C$2:$C$571=$E$1)*(A374&gt;Task_Table_02_26!$J$2:$J$571)*(A374&lt;Task_Table_02_26!$K$2:$K$571))</f>
        <v>8</v>
      </c>
    </row>
    <row r="375" spans="1:5">
      <c r="A375" s="5">
        <v>46243</v>
      </c>
      <c r="B375" cm="1">
        <f t="array" ref="B375">SUMPRODUCT((Task_Table_02_26!$C$2:$C$571=$B$1)*(A375&gt;Task_Table_02_26!$J$2:$J$571)*(A375&lt;Task_Table_02_26!$K$2:$K$571))</f>
        <v>1</v>
      </c>
      <c r="C375" cm="1">
        <f t="array" ref="C375">SUMPRODUCT((Task_Table_02_26!$C$2:$C$571=$C$1)*(A375&gt;Task_Table_02_26!$J$2:$J$571)*(A375&lt;Task_Table_02_26!$K$2:$K$571))</f>
        <v>9</v>
      </c>
      <c r="D375" cm="1">
        <f t="array" ref="D375">SUMPRODUCT((Task_Table_02_26!$C$2:$C$571=$D$1)*(A375&gt;Task_Table_02_26!$J$2:$J$571)*(A375&lt;Task_Table_02_26!$K$2:$K$571))</f>
        <v>0</v>
      </c>
      <c r="E375" cm="1">
        <f t="array" ref="E375">SUMPRODUCT((Task_Table_02_26!$C$2:$C$571=$E$1)*(A375&gt;Task_Table_02_26!$J$2:$J$571)*(A375&lt;Task_Table_02_26!$K$2:$K$571))</f>
        <v>8</v>
      </c>
    </row>
    <row r="376" spans="1:5">
      <c r="A376" s="5">
        <v>46244</v>
      </c>
      <c r="B376" cm="1">
        <f t="array" ref="B376">SUMPRODUCT((Task_Table_02_26!$C$2:$C$571=$B$1)*(A376&gt;Task_Table_02_26!$J$2:$J$571)*(A376&lt;Task_Table_02_26!$K$2:$K$571))</f>
        <v>1</v>
      </c>
      <c r="C376" cm="1">
        <f t="array" ref="C376">SUMPRODUCT((Task_Table_02_26!$C$2:$C$571=$C$1)*(A376&gt;Task_Table_02_26!$J$2:$J$571)*(A376&lt;Task_Table_02_26!$K$2:$K$571))</f>
        <v>9</v>
      </c>
      <c r="D376" cm="1">
        <f t="array" ref="D376">SUMPRODUCT((Task_Table_02_26!$C$2:$C$571=$D$1)*(A376&gt;Task_Table_02_26!$J$2:$J$571)*(A376&lt;Task_Table_02_26!$K$2:$K$571))</f>
        <v>0</v>
      </c>
      <c r="E376" cm="1">
        <f t="array" ref="E376">SUMPRODUCT((Task_Table_02_26!$C$2:$C$571=$E$1)*(A376&gt;Task_Table_02_26!$J$2:$J$571)*(A376&lt;Task_Table_02_26!$K$2:$K$571))</f>
        <v>8</v>
      </c>
    </row>
    <row r="377" spans="1:5">
      <c r="A377" s="5">
        <v>46245</v>
      </c>
      <c r="B377" cm="1">
        <f t="array" ref="B377">SUMPRODUCT((Task_Table_02_26!$C$2:$C$571=$B$1)*(A377&gt;Task_Table_02_26!$J$2:$J$571)*(A377&lt;Task_Table_02_26!$K$2:$K$571))</f>
        <v>1</v>
      </c>
      <c r="C377" cm="1">
        <f t="array" ref="C377">SUMPRODUCT((Task_Table_02_26!$C$2:$C$571=$C$1)*(A377&gt;Task_Table_02_26!$J$2:$J$571)*(A377&lt;Task_Table_02_26!$K$2:$K$571))</f>
        <v>9</v>
      </c>
      <c r="D377" cm="1">
        <f t="array" ref="D377">SUMPRODUCT((Task_Table_02_26!$C$2:$C$571=$D$1)*(A377&gt;Task_Table_02_26!$J$2:$J$571)*(A377&lt;Task_Table_02_26!$K$2:$K$571))</f>
        <v>0</v>
      </c>
      <c r="E377" cm="1">
        <f t="array" ref="E377">SUMPRODUCT((Task_Table_02_26!$C$2:$C$571=$E$1)*(A377&gt;Task_Table_02_26!$J$2:$J$571)*(A377&lt;Task_Table_02_26!$K$2:$K$571))</f>
        <v>8</v>
      </c>
    </row>
    <row r="378" spans="1:5">
      <c r="A378" s="5">
        <v>46246</v>
      </c>
      <c r="B378" cm="1">
        <f t="array" ref="B378">SUMPRODUCT((Task_Table_02_26!$C$2:$C$571=$B$1)*(A378&gt;Task_Table_02_26!$J$2:$J$571)*(A378&lt;Task_Table_02_26!$K$2:$K$571))</f>
        <v>1</v>
      </c>
      <c r="C378" cm="1">
        <f t="array" ref="C378">SUMPRODUCT((Task_Table_02_26!$C$2:$C$571=$C$1)*(A378&gt;Task_Table_02_26!$J$2:$J$571)*(A378&lt;Task_Table_02_26!$K$2:$K$571))</f>
        <v>9</v>
      </c>
      <c r="D378" cm="1">
        <f t="array" ref="D378">SUMPRODUCT((Task_Table_02_26!$C$2:$C$571=$D$1)*(A378&gt;Task_Table_02_26!$J$2:$J$571)*(A378&lt;Task_Table_02_26!$K$2:$K$571))</f>
        <v>0</v>
      </c>
      <c r="E378" cm="1">
        <f t="array" ref="E378">SUMPRODUCT((Task_Table_02_26!$C$2:$C$571=$E$1)*(A378&gt;Task_Table_02_26!$J$2:$J$571)*(A378&lt;Task_Table_02_26!$K$2:$K$571))</f>
        <v>8</v>
      </c>
    </row>
    <row r="379" spans="1:5">
      <c r="A379" s="5">
        <v>46247</v>
      </c>
      <c r="B379" cm="1">
        <f t="array" ref="B379">SUMPRODUCT((Task_Table_02_26!$C$2:$C$571=$B$1)*(A379&gt;Task_Table_02_26!$J$2:$J$571)*(A379&lt;Task_Table_02_26!$K$2:$K$571))</f>
        <v>1</v>
      </c>
      <c r="C379" cm="1">
        <f t="array" ref="C379">SUMPRODUCT((Task_Table_02_26!$C$2:$C$571=$C$1)*(A379&gt;Task_Table_02_26!$J$2:$J$571)*(A379&lt;Task_Table_02_26!$K$2:$K$571))</f>
        <v>9</v>
      </c>
      <c r="D379" cm="1">
        <f t="array" ref="D379">SUMPRODUCT((Task_Table_02_26!$C$2:$C$571=$D$1)*(A379&gt;Task_Table_02_26!$J$2:$J$571)*(A379&lt;Task_Table_02_26!$K$2:$K$571))</f>
        <v>0</v>
      </c>
      <c r="E379" cm="1">
        <f t="array" ref="E379">SUMPRODUCT((Task_Table_02_26!$C$2:$C$571=$E$1)*(A379&gt;Task_Table_02_26!$J$2:$J$571)*(A379&lt;Task_Table_02_26!$K$2:$K$571))</f>
        <v>8</v>
      </c>
    </row>
    <row r="380" spans="1:5">
      <c r="A380" s="5">
        <v>46248</v>
      </c>
      <c r="B380" cm="1">
        <f t="array" ref="B380">SUMPRODUCT((Task_Table_02_26!$C$2:$C$571=$B$1)*(A380&gt;Task_Table_02_26!$J$2:$J$571)*(A380&lt;Task_Table_02_26!$K$2:$K$571))</f>
        <v>1</v>
      </c>
      <c r="C380" cm="1">
        <f t="array" ref="C380">SUMPRODUCT((Task_Table_02_26!$C$2:$C$571=$C$1)*(A380&gt;Task_Table_02_26!$J$2:$J$571)*(A380&lt;Task_Table_02_26!$K$2:$K$571))</f>
        <v>8</v>
      </c>
      <c r="D380" cm="1">
        <f t="array" ref="D380">SUMPRODUCT((Task_Table_02_26!$C$2:$C$571=$D$1)*(A380&gt;Task_Table_02_26!$J$2:$J$571)*(A380&lt;Task_Table_02_26!$K$2:$K$571))</f>
        <v>0</v>
      </c>
      <c r="E380" cm="1">
        <f t="array" ref="E380">SUMPRODUCT((Task_Table_02_26!$C$2:$C$571=$E$1)*(A380&gt;Task_Table_02_26!$J$2:$J$571)*(A380&lt;Task_Table_02_26!$K$2:$K$571))</f>
        <v>8</v>
      </c>
    </row>
    <row r="381" spans="1:5">
      <c r="A381" s="5">
        <v>46249</v>
      </c>
      <c r="B381" cm="1">
        <f t="array" ref="B381">SUMPRODUCT((Task_Table_02_26!$C$2:$C$571=$B$1)*(A381&gt;Task_Table_02_26!$J$2:$J$571)*(A381&lt;Task_Table_02_26!$K$2:$K$571))</f>
        <v>1</v>
      </c>
      <c r="C381" cm="1">
        <f t="array" ref="C381">SUMPRODUCT((Task_Table_02_26!$C$2:$C$571=$C$1)*(A381&gt;Task_Table_02_26!$J$2:$J$571)*(A381&lt;Task_Table_02_26!$K$2:$K$571))</f>
        <v>8</v>
      </c>
      <c r="D381" cm="1">
        <f t="array" ref="D381">SUMPRODUCT((Task_Table_02_26!$C$2:$C$571=$D$1)*(A381&gt;Task_Table_02_26!$J$2:$J$571)*(A381&lt;Task_Table_02_26!$K$2:$K$571))</f>
        <v>0</v>
      </c>
      <c r="E381" cm="1">
        <f t="array" ref="E381">SUMPRODUCT((Task_Table_02_26!$C$2:$C$571=$E$1)*(A381&gt;Task_Table_02_26!$J$2:$J$571)*(A381&lt;Task_Table_02_26!$K$2:$K$571))</f>
        <v>8</v>
      </c>
    </row>
    <row r="382" spans="1:5">
      <c r="A382" s="5">
        <v>46250</v>
      </c>
      <c r="B382" cm="1">
        <f t="array" ref="B382">SUMPRODUCT((Task_Table_02_26!$C$2:$C$571=$B$1)*(A382&gt;Task_Table_02_26!$J$2:$J$571)*(A382&lt;Task_Table_02_26!$K$2:$K$571))</f>
        <v>1</v>
      </c>
      <c r="C382" cm="1">
        <f t="array" ref="C382">SUMPRODUCT((Task_Table_02_26!$C$2:$C$571=$C$1)*(A382&gt;Task_Table_02_26!$J$2:$J$571)*(A382&lt;Task_Table_02_26!$K$2:$K$571))</f>
        <v>8</v>
      </c>
      <c r="D382" cm="1">
        <f t="array" ref="D382">SUMPRODUCT((Task_Table_02_26!$C$2:$C$571=$D$1)*(A382&gt;Task_Table_02_26!$J$2:$J$571)*(A382&lt;Task_Table_02_26!$K$2:$K$571))</f>
        <v>0</v>
      </c>
      <c r="E382" cm="1">
        <f t="array" ref="E382">SUMPRODUCT((Task_Table_02_26!$C$2:$C$571=$E$1)*(A382&gt;Task_Table_02_26!$J$2:$J$571)*(A382&lt;Task_Table_02_26!$K$2:$K$571))</f>
        <v>8</v>
      </c>
    </row>
    <row r="383" spans="1:5">
      <c r="A383" s="5">
        <v>46251</v>
      </c>
      <c r="B383" cm="1">
        <f t="array" ref="B383">SUMPRODUCT((Task_Table_02_26!$C$2:$C$571=$B$1)*(A383&gt;Task_Table_02_26!$J$2:$J$571)*(A383&lt;Task_Table_02_26!$K$2:$K$571))</f>
        <v>1</v>
      </c>
      <c r="C383" cm="1">
        <f t="array" ref="C383">SUMPRODUCT((Task_Table_02_26!$C$2:$C$571=$C$1)*(A383&gt;Task_Table_02_26!$J$2:$J$571)*(A383&lt;Task_Table_02_26!$K$2:$K$571))</f>
        <v>8</v>
      </c>
      <c r="D383" cm="1">
        <f t="array" ref="D383">SUMPRODUCT((Task_Table_02_26!$C$2:$C$571=$D$1)*(A383&gt;Task_Table_02_26!$J$2:$J$571)*(A383&lt;Task_Table_02_26!$K$2:$K$571))</f>
        <v>0</v>
      </c>
      <c r="E383" cm="1">
        <f t="array" ref="E383">SUMPRODUCT((Task_Table_02_26!$C$2:$C$571=$E$1)*(A383&gt;Task_Table_02_26!$J$2:$J$571)*(A383&lt;Task_Table_02_26!$K$2:$K$571))</f>
        <v>8</v>
      </c>
    </row>
    <row r="384" spans="1:5">
      <c r="A384" s="5">
        <v>46252</v>
      </c>
      <c r="B384" cm="1">
        <f t="array" ref="B384">SUMPRODUCT((Task_Table_02_26!$C$2:$C$571=$B$1)*(A384&gt;Task_Table_02_26!$J$2:$J$571)*(A384&lt;Task_Table_02_26!$K$2:$K$571))</f>
        <v>1</v>
      </c>
      <c r="C384" cm="1">
        <f t="array" ref="C384">SUMPRODUCT((Task_Table_02_26!$C$2:$C$571=$C$1)*(A384&gt;Task_Table_02_26!$J$2:$J$571)*(A384&lt;Task_Table_02_26!$K$2:$K$571))</f>
        <v>8</v>
      </c>
      <c r="D384" cm="1">
        <f t="array" ref="D384">SUMPRODUCT((Task_Table_02_26!$C$2:$C$571=$D$1)*(A384&gt;Task_Table_02_26!$J$2:$J$571)*(A384&lt;Task_Table_02_26!$K$2:$K$571))</f>
        <v>0</v>
      </c>
      <c r="E384" cm="1">
        <f t="array" ref="E384">SUMPRODUCT((Task_Table_02_26!$C$2:$C$571=$E$1)*(A384&gt;Task_Table_02_26!$J$2:$J$571)*(A384&lt;Task_Table_02_26!$K$2:$K$571))</f>
        <v>8</v>
      </c>
    </row>
    <row r="385" spans="1:5">
      <c r="A385" s="5">
        <v>46253</v>
      </c>
      <c r="B385" cm="1">
        <f t="array" ref="B385">SUMPRODUCT((Task_Table_02_26!$C$2:$C$571=$B$1)*(A385&gt;Task_Table_02_26!$J$2:$J$571)*(A385&lt;Task_Table_02_26!$K$2:$K$571))</f>
        <v>1</v>
      </c>
      <c r="C385" cm="1">
        <f t="array" ref="C385">SUMPRODUCT((Task_Table_02_26!$C$2:$C$571=$C$1)*(A385&gt;Task_Table_02_26!$J$2:$J$571)*(A385&lt;Task_Table_02_26!$K$2:$K$571))</f>
        <v>8</v>
      </c>
      <c r="D385" cm="1">
        <f t="array" ref="D385">SUMPRODUCT((Task_Table_02_26!$C$2:$C$571=$D$1)*(A385&gt;Task_Table_02_26!$J$2:$J$571)*(A385&lt;Task_Table_02_26!$K$2:$K$571))</f>
        <v>0</v>
      </c>
      <c r="E385" cm="1">
        <f t="array" ref="E385">SUMPRODUCT((Task_Table_02_26!$C$2:$C$571=$E$1)*(A385&gt;Task_Table_02_26!$J$2:$J$571)*(A385&lt;Task_Table_02_26!$K$2:$K$571))</f>
        <v>8</v>
      </c>
    </row>
    <row r="386" spans="1:5">
      <c r="A386" s="5">
        <v>46254</v>
      </c>
      <c r="B386" cm="1">
        <f t="array" ref="B386">SUMPRODUCT((Task_Table_02_26!$C$2:$C$571=$B$1)*(A386&gt;Task_Table_02_26!$J$2:$J$571)*(A386&lt;Task_Table_02_26!$K$2:$K$571))</f>
        <v>1</v>
      </c>
      <c r="C386" cm="1">
        <f t="array" ref="C386">SUMPRODUCT((Task_Table_02_26!$C$2:$C$571=$C$1)*(A386&gt;Task_Table_02_26!$J$2:$J$571)*(A386&lt;Task_Table_02_26!$K$2:$K$571))</f>
        <v>8</v>
      </c>
      <c r="D386" cm="1">
        <f t="array" ref="D386">SUMPRODUCT((Task_Table_02_26!$C$2:$C$571=$D$1)*(A386&gt;Task_Table_02_26!$J$2:$J$571)*(A386&lt;Task_Table_02_26!$K$2:$K$571))</f>
        <v>0</v>
      </c>
      <c r="E386" cm="1">
        <f t="array" ref="E386">SUMPRODUCT((Task_Table_02_26!$C$2:$C$571=$E$1)*(A386&gt;Task_Table_02_26!$J$2:$J$571)*(A386&lt;Task_Table_02_26!$K$2:$K$571))</f>
        <v>8</v>
      </c>
    </row>
    <row r="387" spans="1:5">
      <c r="A387" s="5">
        <v>46255</v>
      </c>
      <c r="B387" cm="1">
        <f t="array" ref="B387">SUMPRODUCT((Task_Table_02_26!$C$2:$C$571=$B$1)*(A387&gt;Task_Table_02_26!$J$2:$J$571)*(A387&lt;Task_Table_02_26!$K$2:$K$571))</f>
        <v>1</v>
      </c>
      <c r="C387" cm="1">
        <f t="array" ref="C387">SUMPRODUCT((Task_Table_02_26!$C$2:$C$571=$C$1)*(A387&gt;Task_Table_02_26!$J$2:$J$571)*(A387&lt;Task_Table_02_26!$K$2:$K$571))</f>
        <v>8</v>
      </c>
      <c r="D387" cm="1">
        <f t="array" ref="D387">SUMPRODUCT((Task_Table_02_26!$C$2:$C$571=$D$1)*(A387&gt;Task_Table_02_26!$J$2:$J$571)*(A387&lt;Task_Table_02_26!$K$2:$K$571))</f>
        <v>0</v>
      </c>
      <c r="E387" cm="1">
        <f t="array" ref="E387">SUMPRODUCT((Task_Table_02_26!$C$2:$C$571=$E$1)*(A387&gt;Task_Table_02_26!$J$2:$J$571)*(A387&lt;Task_Table_02_26!$K$2:$K$571))</f>
        <v>8</v>
      </c>
    </row>
    <row r="388" spans="1:5">
      <c r="A388" s="5">
        <v>46256</v>
      </c>
      <c r="B388" cm="1">
        <f t="array" ref="B388">SUMPRODUCT((Task_Table_02_26!$C$2:$C$571=$B$1)*(A388&gt;Task_Table_02_26!$J$2:$J$571)*(A388&lt;Task_Table_02_26!$K$2:$K$571))</f>
        <v>1</v>
      </c>
      <c r="C388" cm="1">
        <f t="array" ref="C388">SUMPRODUCT((Task_Table_02_26!$C$2:$C$571=$C$1)*(A388&gt;Task_Table_02_26!$J$2:$J$571)*(A388&lt;Task_Table_02_26!$K$2:$K$571))</f>
        <v>8</v>
      </c>
      <c r="D388" cm="1">
        <f t="array" ref="D388">SUMPRODUCT((Task_Table_02_26!$C$2:$C$571=$D$1)*(A388&gt;Task_Table_02_26!$J$2:$J$571)*(A388&lt;Task_Table_02_26!$K$2:$K$571))</f>
        <v>0</v>
      </c>
      <c r="E388" cm="1">
        <f t="array" ref="E388">SUMPRODUCT((Task_Table_02_26!$C$2:$C$571=$E$1)*(A388&gt;Task_Table_02_26!$J$2:$J$571)*(A388&lt;Task_Table_02_26!$K$2:$K$571))</f>
        <v>8</v>
      </c>
    </row>
    <row r="389" spans="1:5">
      <c r="A389" s="5">
        <v>46257</v>
      </c>
      <c r="B389" cm="1">
        <f t="array" ref="B389">SUMPRODUCT((Task_Table_02_26!$C$2:$C$571=$B$1)*(A389&gt;Task_Table_02_26!$J$2:$J$571)*(A389&lt;Task_Table_02_26!$K$2:$K$571))</f>
        <v>1</v>
      </c>
      <c r="C389" cm="1">
        <f t="array" ref="C389">SUMPRODUCT((Task_Table_02_26!$C$2:$C$571=$C$1)*(A389&gt;Task_Table_02_26!$J$2:$J$571)*(A389&lt;Task_Table_02_26!$K$2:$K$571))</f>
        <v>8</v>
      </c>
      <c r="D389" cm="1">
        <f t="array" ref="D389">SUMPRODUCT((Task_Table_02_26!$C$2:$C$571=$D$1)*(A389&gt;Task_Table_02_26!$J$2:$J$571)*(A389&lt;Task_Table_02_26!$K$2:$K$571))</f>
        <v>0</v>
      </c>
      <c r="E389" cm="1">
        <f t="array" ref="E389">SUMPRODUCT((Task_Table_02_26!$C$2:$C$571=$E$1)*(A389&gt;Task_Table_02_26!$J$2:$J$571)*(A389&lt;Task_Table_02_26!$K$2:$K$571))</f>
        <v>8</v>
      </c>
    </row>
    <row r="390" spans="1:5">
      <c r="A390" s="5">
        <v>46258</v>
      </c>
      <c r="B390" cm="1">
        <f t="array" ref="B390">SUMPRODUCT((Task_Table_02_26!$C$2:$C$571=$B$1)*(A390&gt;Task_Table_02_26!$J$2:$J$571)*(A390&lt;Task_Table_02_26!$K$2:$K$571))</f>
        <v>1</v>
      </c>
      <c r="C390" cm="1">
        <f t="array" ref="C390">SUMPRODUCT((Task_Table_02_26!$C$2:$C$571=$C$1)*(A390&gt;Task_Table_02_26!$J$2:$J$571)*(A390&lt;Task_Table_02_26!$K$2:$K$571))</f>
        <v>8</v>
      </c>
      <c r="D390" cm="1">
        <f t="array" ref="D390">SUMPRODUCT((Task_Table_02_26!$C$2:$C$571=$D$1)*(A390&gt;Task_Table_02_26!$J$2:$J$571)*(A390&lt;Task_Table_02_26!$K$2:$K$571))</f>
        <v>0</v>
      </c>
      <c r="E390" cm="1">
        <f t="array" ref="E390">SUMPRODUCT((Task_Table_02_26!$C$2:$C$571=$E$1)*(A390&gt;Task_Table_02_26!$J$2:$J$571)*(A390&lt;Task_Table_02_26!$K$2:$K$571))</f>
        <v>8</v>
      </c>
    </row>
    <row r="391" spans="1:5">
      <c r="A391" s="5">
        <v>46259</v>
      </c>
      <c r="B391" cm="1">
        <f t="array" ref="B391">SUMPRODUCT((Task_Table_02_26!$C$2:$C$571=$B$1)*(A391&gt;Task_Table_02_26!$J$2:$J$571)*(A391&lt;Task_Table_02_26!$K$2:$K$571))</f>
        <v>1</v>
      </c>
      <c r="C391" cm="1">
        <f t="array" ref="C391">SUMPRODUCT((Task_Table_02_26!$C$2:$C$571=$C$1)*(A391&gt;Task_Table_02_26!$J$2:$J$571)*(A391&lt;Task_Table_02_26!$K$2:$K$571))</f>
        <v>8</v>
      </c>
      <c r="D391" cm="1">
        <f t="array" ref="D391">SUMPRODUCT((Task_Table_02_26!$C$2:$C$571=$D$1)*(A391&gt;Task_Table_02_26!$J$2:$J$571)*(A391&lt;Task_Table_02_26!$K$2:$K$571))</f>
        <v>0</v>
      </c>
      <c r="E391" cm="1">
        <f t="array" ref="E391">SUMPRODUCT((Task_Table_02_26!$C$2:$C$571=$E$1)*(A391&gt;Task_Table_02_26!$J$2:$J$571)*(A391&lt;Task_Table_02_26!$K$2:$K$571))</f>
        <v>8</v>
      </c>
    </row>
    <row r="392" spans="1:5">
      <c r="A392" s="5">
        <v>46260</v>
      </c>
      <c r="B392" cm="1">
        <f t="array" ref="B392">SUMPRODUCT((Task_Table_02_26!$C$2:$C$571=$B$1)*(A392&gt;Task_Table_02_26!$J$2:$J$571)*(A392&lt;Task_Table_02_26!$K$2:$K$571))</f>
        <v>1</v>
      </c>
      <c r="C392" cm="1">
        <f t="array" ref="C392">SUMPRODUCT((Task_Table_02_26!$C$2:$C$571=$C$1)*(A392&gt;Task_Table_02_26!$J$2:$J$571)*(A392&lt;Task_Table_02_26!$K$2:$K$571))</f>
        <v>8</v>
      </c>
      <c r="D392" cm="1">
        <f t="array" ref="D392">SUMPRODUCT((Task_Table_02_26!$C$2:$C$571=$D$1)*(A392&gt;Task_Table_02_26!$J$2:$J$571)*(A392&lt;Task_Table_02_26!$K$2:$K$571))</f>
        <v>0</v>
      </c>
      <c r="E392" cm="1">
        <f t="array" ref="E392">SUMPRODUCT((Task_Table_02_26!$C$2:$C$571=$E$1)*(A392&gt;Task_Table_02_26!$J$2:$J$571)*(A392&lt;Task_Table_02_26!$K$2:$K$571))</f>
        <v>8</v>
      </c>
    </row>
    <row r="393" spans="1:5">
      <c r="A393" s="5">
        <v>46261</v>
      </c>
      <c r="B393" cm="1">
        <f t="array" ref="B393">SUMPRODUCT((Task_Table_02_26!$C$2:$C$571=$B$1)*(A393&gt;Task_Table_02_26!$J$2:$J$571)*(A393&lt;Task_Table_02_26!$K$2:$K$571))</f>
        <v>1</v>
      </c>
      <c r="C393" cm="1">
        <f t="array" ref="C393">SUMPRODUCT((Task_Table_02_26!$C$2:$C$571=$C$1)*(A393&gt;Task_Table_02_26!$J$2:$J$571)*(A393&lt;Task_Table_02_26!$K$2:$K$571))</f>
        <v>8</v>
      </c>
      <c r="D393" cm="1">
        <f t="array" ref="D393">SUMPRODUCT((Task_Table_02_26!$C$2:$C$571=$D$1)*(A393&gt;Task_Table_02_26!$J$2:$J$571)*(A393&lt;Task_Table_02_26!$K$2:$K$571))</f>
        <v>0</v>
      </c>
      <c r="E393" cm="1">
        <f t="array" ref="E393">SUMPRODUCT((Task_Table_02_26!$C$2:$C$571=$E$1)*(A393&gt;Task_Table_02_26!$J$2:$J$571)*(A393&lt;Task_Table_02_26!$K$2:$K$571))</f>
        <v>8</v>
      </c>
    </row>
    <row r="394" spans="1:5">
      <c r="A394" s="5">
        <v>46262</v>
      </c>
      <c r="B394" cm="1">
        <f t="array" ref="B394">SUMPRODUCT((Task_Table_02_26!$C$2:$C$571=$B$1)*(A394&gt;Task_Table_02_26!$J$2:$J$571)*(A394&lt;Task_Table_02_26!$K$2:$K$571))</f>
        <v>1</v>
      </c>
      <c r="C394" cm="1">
        <f t="array" ref="C394">SUMPRODUCT((Task_Table_02_26!$C$2:$C$571=$C$1)*(A394&gt;Task_Table_02_26!$J$2:$J$571)*(A394&lt;Task_Table_02_26!$K$2:$K$571))</f>
        <v>8</v>
      </c>
      <c r="D394" cm="1">
        <f t="array" ref="D394">SUMPRODUCT((Task_Table_02_26!$C$2:$C$571=$D$1)*(A394&gt;Task_Table_02_26!$J$2:$J$571)*(A394&lt;Task_Table_02_26!$K$2:$K$571))</f>
        <v>0</v>
      </c>
      <c r="E394" cm="1">
        <f t="array" ref="E394">SUMPRODUCT((Task_Table_02_26!$C$2:$C$571=$E$1)*(A394&gt;Task_Table_02_26!$J$2:$J$571)*(A394&lt;Task_Table_02_26!$K$2:$K$571))</f>
        <v>8</v>
      </c>
    </row>
    <row r="395" spans="1:5">
      <c r="A395" s="5">
        <v>46263</v>
      </c>
      <c r="B395" cm="1">
        <f t="array" ref="B395">SUMPRODUCT((Task_Table_02_26!$C$2:$C$571=$B$1)*(A395&gt;Task_Table_02_26!$J$2:$J$571)*(A395&lt;Task_Table_02_26!$K$2:$K$571))</f>
        <v>1</v>
      </c>
      <c r="C395" cm="1">
        <f t="array" ref="C395">SUMPRODUCT((Task_Table_02_26!$C$2:$C$571=$C$1)*(A395&gt;Task_Table_02_26!$J$2:$J$571)*(A395&lt;Task_Table_02_26!$K$2:$K$571))</f>
        <v>8</v>
      </c>
      <c r="D395" cm="1">
        <f t="array" ref="D395">SUMPRODUCT((Task_Table_02_26!$C$2:$C$571=$D$1)*(A395&gt;Task_Table_02_26!$J$2:$J$571)*(A395&lt;Task_Table_02_26!$K$2:$K$571))</f>
        <v>0</v>
      </c>
      <c r="E395" cm="1">
        <f t="array" ref="E395">SUMPRODUCT((Task_Table_02_26!$C$2:$C$571=$E$1)*(A395&gt;Task_Table_02_26!$J$2:$J$571)*(A395&lt;Task_Table_02_26!$K$2:$K$571))</f>
        <v>8</v>
      </c>
    </row>
    <row r="396" spans="1:5">
      <c r="A396" s="5">
        <v>46264</v>
      </c>
      <c r="B396" cm="1">
        <f t="array" ref="B396">SUMPRODUCT((Task_Table_02_26!$C$2:$C$571=$B$1)*(A396&gt;Task_Table_02_26!$J$2:$J$571)*(A396&lt;Task_Table_02_26!$K$2:$K$571))</f>
        <v>1</v>
      </c>
      <c r="C396" cm="1">
        <f t="array" ref="C396">SUMPRODUCT((Task_Table_02_26!$C$2:$C$571=$C$1)*(A396&gt;Task_Table_02_26!$J$2:$J$571)*(A396&lt;Task_Table_02_26!$K$2:$K$571))</f>
        <v>8</v>
      </c>
      <c r="D396" cm="1">
        <f t="array" ref="D396">SUMPRODUCT((Task_Table_02_26!$C$2:$C$571=$D$1)*(A396&gt;Task_Table_02_26!$J$2:$J$571)*(A396&lt;Task_Table_02_26!$K$2:$K$571))</f>
        <v>0</v>
      </c>
      <c r="E396" cm="1">
        <f t="array" ref="E396">SUMPRODUCT((Task_Table_02_26!$C$2:$C$571=$E$1)*(A396&gt;Task_Table_02_26!$J$2:$J$571)*(A396&lt;Task_Table_02_26!$K$2:$K$571))</f>
        <v>8</v>
      </c>
    </row>
    <row r="397" spans="1:5">
      <c r="A397" s="5">
        <v>46265</v>
      </c>
      <c r="B397" cm="1">
        <f t="array" ref="B397">SUMPRODUCT((Task_Table_02_26!$C$2:$C$571=$B$1)*(A397&gt;Task_Table_02_26!$J$2:$J$571)*(A397&lt;Task_Table_02_26!$K$2:$K$571))</f>
        <v>1</v>
      </c>
      <c r="C397" cm="1">
        <f t="array" ref="C397">SUMPRODUCT((Task_Table_02_26!$C$2:$C$571=$C$1)*(A397&gt;Task_Table_02_26!$J$2:$J$571)*(A397&lt;Task_Table_02_26!$K$2:$K$571))</f>
        <v>6</v>
      </c>
      <c r="D397" cm="1">
        <f t="array" ref="D397">SUMPRODUCT((Task_Table_02_26!$C$2:$C$571=$D$1)*(A397&gt;Task_Table_02_26!$J$2:$J$571)*(A397&lt;Task_Table_02_26!$K$2:$K$571))</f>
        <v>0</v>
      </c>
      <c r="E397" cm="1">
        <f t="array" ref="E397">SUMPRODUCT((Task_Table_02_26!$C$2:$C$571=$E$1)*(A397&gt;Task_Table_02_26!$J$2:$J$571)*(A397&lt;Task_Table_02_26!$K$2:$K$571))</f>
        <v>8</v>
      </c>
    </row>
    <row r="398" spans="1:5">
      <c r="A398" s="5">
        <v>46266</v>
      </c>
      <c r="B398" cm="1">
        <f t="array" ref="B398">SUMPRODUCT((Task_Table_02_26!$C$2:$C$571=$B$1)*(A398&gt;Task_Table_02_26!$J$2:$J$571)*(A398&lt;Task_Table_02_26!$K$2:$K$571))</f>
        <v>1</v>
      </c>
      <c r="C398" cm="1">
        <f t="array" ref="C398">SUMPRODUCT((Task_Table_02_26!$C$2:$C$571=$C$1)*(A398&gt;Task_Table_02_26!$J$2:$J$571)*(A398&lt;Task_Table_02_26!$K$2:$K$571))</f>
        <v>6</v>
      </c>
      <c r="D398" cm="1">
        <f t="array" ref="D398">SUMPRODUCT((Task_Table_02_26!$C$2:$C$571=$D$1)*(A398&gt;Task_Table_02_26!$J$2:$J$571)*(A398&lt;Task_Table_02_26!$K$2:$K$571))</f>
        <v>0</v>
      </c>
      <c r="E398" cm="1">
        <f t="array" ref="E398">SUMPRODUCT((Task_Table_02_26!$C$2:$C$571=$E$1)*(A398&gt;Task_Table_02_26!$J$2:$J$571)*(A398&lt;Task_Table_02_26!$K$2:$K$571))</f>
        <v>8</v>
      </c>
    </row>
    <row r="399" spans="1:5">
      <c r="A399" s="5">
        <v>46267</v>
      </c>
      <c r="B399" cm="1">
        <f t="array" ref="B399">SUMPRODUCT((Task_Table_02_26!$C$2:$C$571=$B$1)*(A399&gt;Task_Table_02_26!$J$2:$J$571)*(A399&lt;Task_Table_02_26!$K$2:$K$571))</f>
        <v>1</v>
      </c>
      <c r="C399" cm="1">
        <f t="array" ref="C399">SUMPRODUCT((Task_Table_02_26!$C$2:$C$571=$C$1)*(A399&gt;Task_Table_02_26!$J$2:$J$571)*(A399&lt;Task_Table_02_26!$K$2:$K$571))</f>
        <v>6</v>
      </c>
      <c r="D399" cm="1">
        <f t="array" ref="D399">SUMPRODUCT((Task_Table_02_26!$C$2:$C$571=$D$1)*(A399&gt;Task_Table_02_26!$J$2:$J$571)*(A399&lt;Task_Table_02_26!$K$2:$K$571))</f>
        <v>0</v>
      </c>
      <c r="E399" cm="1">
        <f t="array" ref="E399">SUMPRODUCT((Task_Table_02_26!$C$2:$C$571=$E$1)*(A399&gt;Task_Table_02_26!$J$2:$J$571)*(A399&lt;Task_Table_02_26!$K$2:$K$571))</f>
        <v>8</v>
      </c>
    </row>
    <row r="400" spans="1:5">
      <c r="A400" s="5">
        <v>46268</v>
      </c>
      <c r="B400" cm="1">
        <f t="array" ref="B400">SUMPRODUCT((Task_Table_02_26!$C$2:$C$571=$B$1)*(A400&gt;Task_Table_02_26!$J$2:$J$571)*(A400&lt;Task_Table_02_26!$K$2:$K$571))</f>
        <v>1</v>
      </c>
      <c r="C400" cm="1">
        <f t="array" ref="C400">SUMPRODUCT((Task_Table_02_26!$C$2:$C$571=$C$1)*(A400&gt;Task_Table_02_26!$J$2:$J$571)*(A400&lt;Task_Table_02_26!$K$2:$K$571))</f>
        <v>6</v>
      </c>
      <c r="D400" cm="1">
        <f t="array" ref="D400">SUMPRODUCT((Task_Table_02_26!$C$2:$C$571=$D$1)*(A400&gt;Task_Table_02_26!$J$2:$J$571)*(A400&lt;Task_Table_02_26!$K$2:$K$571))</f>
        <v>0</v>
      </c>
      <c r="E400" cm="1">
        <f t="array" ref="E400">SUMPRODUCT((Task_Table_02_26!$C$2:$C$571=$E$1)*(A400&gt;Task_Table_02_26!$J$2:$J$571)*(A400&lt;Task_Table_02_26!$K$2:$K$571))</f>
        <v>8</v>
      </c>
    </row>
    <row r="401" spans="1:5">
      <c r="A401" s="5">
        <v>46269</v>
      </c>
      <c r="B401" cm="1">
        <f t="array" ref="B401">SUMPRODUCT((Task_Table_02_26!$C$2:$C$571=$B$1)*(A401&gt;Task_Table_02_26!$J$2:$J$571)*(A401&lt;Task_Table_02_26!$K$2:$K$571))</f>
        <v>1</v>
      </c>
      <c r="C401" cm="1">
        <f t="array" ref="C401">SUMPRODUCT((Task_Table_02_26!$C$2:$C$571=$C$1)*(A401&gt;Task_Table_02_26!$J$2:$J$571)*(A401&lt;Task_Table_02_26!$K$2:$K$571))</f>
        <v>6</v>
      </c>
      <c r="D401" cm="1">
        <f t="array" ref="D401">SUMPRODUCT((Task_Table_02_26!$C$2:$C$571=$D$1)*(A401&gt;Task_Table_02_26!$J$2:$J$571)*(A401&lt;Task_Table_02_26!$K$2:$K$571))</f>
        <v>0</v>
      </c>
      <c r="E401" cm="1">
        <f t="array" ref="E401">SUMPRODUCT((Task_Table_02_26!$C$2:$C$571=$E$1)*(A401&gt;Task_Table_02_26!$J$2:$J$571)*(A401&lt;Task_Table_02_26!$K$2:$K$571))</f>
        <v>8</v>
      </c>
    </row>
    <row r="402" spans="1:5">
      <c r="A402" s="5">
        <v>46270</v>
      </c>
      <c r="B402" cm="1">
        <f t="array" ref="B402">SUMPRODUCT((Task_Table_02_26!$C$2:$C$571=$B$1)*(A402&gt;Task_Table_02_26!$J$2:$J$571)*(A402&lt;Task_Table_02_26!$K$2:$K$571))</f>
        <v>1</v>
      </c>
      <c r="C402" cm="1">
        <f t="array" ref="C402">SUMPRODUCT((Task_Table_02_26!$C$2:$C$571=$C$1)*(A402&gt;Task_Table_02_26!$J$2:$J$571)*(A402&lt;Task_Table_02_26!$K$2:$K$571))</f>
        <v>6</v>
      </c>
      <c r="D402" cm="1">
        <f t="array" ref="D402">SUMPRODUCT((Task_Table_02_26!$C$2:$C$571=$D$1)*(A402&gt;Task_Table_02_26!$J$2:$J$571)*(A402&lt;Task_Table_02_26!$K$2:$K$571))</f>
        <v>0</v>
      </c>
      <c r="E402" cm="1">
        <f t="array" ref="E402">SUMPRODUCT((Task_Table_02_26!$C$2:$C$571=$E$1)*(A402&gt;Task_Table_02_26!$J$2:$J$571)*(A402&lt;Task_Table_02_26!$K$2:$K$571))</f>
        <v>8</v>
      </c>
    </row>
    <row r="403" spans="1:5">
      <c r="A403" s="5">
        <v>46271</v>
      </c>
      <c r="B403" cm="1">
        <f t="array" ref="B403">SUMPRODUCT((Task_Table_02_26!$C$2:$C$571=$B$1)*(A403&gt;Task_Table_02_26!$J$2:$J$571)*(A403&lt;Task_Table_02_26!$K$2:$K$571))</f>
        <v>1</v>
      </c>
      <c r="C403" cm="1">
        <f t="array" ref="C403">SUMPRODUCT((Task_Table_02_26!$C$2:$C$571=$C$1)*(A403&gt;Task_Table_02_26!$J$2:$J$571)*(A403&lt;Task_Table_02_26!$K$2:$K$571))</f>
        <v>6</v>
      </c>
      <c r="D403" cm="1">
        <f t="array" ref="D403">SUMPRODUCT((Task_Table_02_26!$C$2:$C$571=$D$1)*(A403&gt;Task_Table_02_26!$J$2:$J$571)*(A403&lt;Task_Table_02_26!$K$2:$K$571))</f>
        <v>0</v>
      </c>
      <c r="E403" cm="1">
        <f t="array" ref="E403">SUMPRODUCT((Task_Table_02_26!$C$2:$C$571=$E$1)*(A403&gt;Task_Table_02_26!$J$2:$J$571)*(A403&lt;Task_Table_02_26!$K$2:$K$571))</f>
        <v>8</v>
      </c>
    </row>
    <row r="404" spans="1:5">
      <c r="A404" s="5">
        <v>46272</v>
      </c>
      <c r="B404" cm="1">
        <f t="array" ref="B404">SUMPRODUCT((Task_Table_02_26!$C$2:$C$571=$B$1)*(A404&gt;Task_Table_02_26!$J$2:$J$571)*(A404&lt;Task_Table_02_26!$K$2:$K$571))</f>
        <v>1</v>
      </c>
      <c r="C404" cm="1">
        <f t="array" ref="C404">SUMPRODUCT((Task_Table_02_26!$C$2:$C$571=$C$1)*(A404&gt;Task_Table_02_26!$J$2:$J$571)*(A404&lt;Task_Table_02_26!$K$2:$K$571))</f>
        <v>6</v>
      </c>
      <c r="D404" cm="1">
        <f t="array" ref="D404">SUMPRODUCT((Task_Table_02_26!$C$2:$C$571=$D$1)*(A404&gt;Task_Table_02_26!$J$2:$J$571)*(A404&lt;Task_Table_02_26!$K$2:$K$571))</f>
        <v>0</v>
      </c>
      <c r="E404" cm="1">
        <f t="array" ref="E404">SUMPRODUCT((Task_Table_02_26!$C$2:$C$571=$E$1)*(A404&gt;Task_Table_02_26!$J$2:$J$571)*(A404&lt;Task_Table_02_26!$K$2:$K$571))</f>
        <v>8</v>
      </c>
    </row>
    <row r="405" spans="1:5">
      <c r="A405" s="5">
        <v>46273</v>
      </c>
      <c r="B405" cm="1">
        <f t="array" ref="B405">SUMPRODUCT((Task_Table_02_26!$C$2:$C$571=$B$1)*(A405&gt;Task_Table_02_26!$J$2:$J$571)*(A405&lt;Task_Table_02_26!$K$2:$K$571))</f>
        <v>1</v>
      </c>
      <c r="C405" cm="1">
        <f t="array" ref="C405">SUMPRODUCT((Task_Table_02_26!$C$2:$C$571=$C$1)*(A405&gt;Task_Table_02_26!$J$2:$J$571)*(A405&lt;Task_Table_02_26!$K$2:$K$571))</f>
        <v>6</v>
      </c>
      <c r="D405" cm="1">
        <f t="array" ref="D405">SUMPRODUCT((Task_Table_02_26!$C$2:$C$571=$D$1)*(A405&gt;Task_Table_02_26!$J$2:$J$571)*(A405&lt;Task_Table_02_26!$K$2:$K$571))</f>
        <v>0</v>
      </c>
      <c r="E405" cm="1">
        <f t="array" ref="E405">SUMPRODUCT((Task_Table_02_26!$C$2:$C$571=$E$1)*(A405&gt;Task_Table_02_26!$J$2:$J$571)*(A405&lt;Task_Table_02_26!$K$2:$K$571))</f>
        <v>8</v>
      </c>
    </row>
    <row r="406" spans="1:5">
      <c r="A406" s="5">
        <v>46274</v>
      </c>
      <c r="B406" cm="1">
        <f t="array" ref="B406">SUMPRODUCT((Task_Table_02_26!$C$2:$C$571=$B$1)*(A406&gt;Task_Table_02_26!$J$2:$J$571)*(A406&lt;Task_Table_02_26!$K$2:$K$571))</f>
        <v>1</v>
      </c>
      <c r="C406" cm="1">
        <f t="array" ref="C406">SUMPRODUCT((Task_Table_02_26!$C$2:$C$571=$C$1)*(A406&gt;Task_Table_02_26!$J$2:$J$571)*(A406&lt;Task_Table_02_26!$K$2:$K$571))</f>
        <v>6</v>
      </c>
      <c r="D406" cm="1">
        <f t="array" ref="D406">SUMPRODUCT((Task_Table_02_26!$C$2:$C$571=$D$1)*(A406&gt;Task_Table_02_26!$J$2:$J$571)*(A406&lt;Task_Table_02_26!$K$2:$K$571))</f>
        <v>0</v>
      </c>
      <c r="E406" cm="1">
        <f t="array" ref="E406">SUMPRODUCT((Task_Table_02_26!$C$2:$C$571=$E$1)*(A406&gt;Task_Table_02_26!$J$2:$J$571)*(A406&lt;Task_Table_02_26!$K$2:$K$571))</f>
        <v>8</v>
      </c>
    </row>
    <row r="407" spans="1:5">
      <c r="A407" s="5">
        <v>46275</v>
      </c>
      <c r="B407" cm="1">
        <f t="array" ref="B407">SUMPRODUCT((Task_Table_02_26!$C$2:$C$571=$B$1)*(A407&gt;Task_Table_02_26!$J$2:$J$571)*(A407&lt;Task_Table_02_26!$K$2:$K$571))</f>
        <v>1</v>
      </c>
      <c r="C407" cm="1">
        <f t="array" ref="C407">SUMPRODUCT((Task_Table_02_26!$C$2:$C$571=$C$1)*(A407&gt;Task_Table_02_26!$J$2:$J$571)*(A407&lt;Task_Table_02_26!$K$2:$K$571))</f>
        <v>6</v>
      </c>
      <c r="D407" cm="1">
        <f t="array" ref="D407">SUMPRODUCT((Task_Table_02_26!$C$2:$C$571=$D$1)*(A407&gt;Task_Table_02_26!$J$2:$J$571)*(A407&lt;Task_Table_02_26!$K$2:$K$571))</f>
        <v>0</v>
      </c>
      <c r="E407" cm="1">
        <f t="array" ref="E407">SUMPRODUCT((Task_Table_02_26!$C$2:$C$571=$E$1)*(A407&gt;Task_Table_02_26!$J$2:$J$571)*(A407&lt;Task_Table_02_26!$K$2:$K$571))</f>
        <v>8</v>
      </c>
    </row>
    <row r="408" spans="1:5">
      <c r="A408" s="5">
        <v>46276</v>
      </c>
      <c r="B408" cm="1">
        <f t="array" ref="B408">SUMPRODUCT((Task_Table_02_26!$C$2:$C$571=$B$1)*(A408&gt;Task_Table_02_26!$J$2:$J$571)*(A408&lt;Task_Table_02_26!$K$2:$K$571))</f>
        <v>1</v>
      </c>
      <c r="C408" cm="1">
        <f t="array" ref="C408">SUMPRODUCT((Task_Table_02_26!$C$2:$C$571=$C$1)*(A408&gt;Task_Table_02_26!$J$2:$J$571)*(A408&lt;Task_Table_02_26!$K$2:$K$571))</f>
        <v>6</v>
      </c>
      <c r="D408" cm="1">
        <f t="array" ref="D408">SUMPRODUCT((Task_Table_02_26!$C$2:$C$571=$D$1)*(A408&gt;Task_Table_02_26!$J$2:$J$571)*(A408&lt;Task_Table_02_26!$K$2:$K$571))</f>
        <v>0</v>
      </c>
      <c r="E408" cm="1">
        <f t="array" ref="E408">SUMPRODUCT((Task_Table_02_26!$C$2:$C$571=$E$1)*(A408&gt;Task_Table_02_26!$J$2:$J$571)*(A408&lt;Task_Table_02_26!$K$2:$K$571))</f>
        <v>8</v>
      </c>
    </row>
    <row r="409" spans="1:5">
      <c r="A409" s="5">
        <v>46277</v>
      </c>
      <c r="B409" cm="1">
        <f t="array" ref="B409">SUMPRODUCT((Task_Table_02_26!$C$2:$C$571=$B$1)*(A409&gt;Task_Table_02_26!$J$2:$J$571)*(A409&lt;Task_Table_02_26!$K$2:$K$571))</f>
        <v>1</v>
      </c>
      <c r="C409" cm="1">
        <f t="array" ref="C409">SUMPRODUCT((Task_Table_02_26!$C$2:$C$571=$C$1)*(A409&gt;Task_Table_02_26!$J$2:$J$571)*(A409&lt;Task_Table_02_26!$K$2:$K$571))</f>
        <v>6</v>
      </c>
      <c r="D409" cm="1">
        <f t="array" ref="D409">SUMPRODUCT((Task_Table_02_26!$C$2:$C$571=$D$1)*(A409&gt;Task_Table_02_26!$J$2:$J$571)*(A409&lt;Task_Table_02_26!$K$2:$K$571))</f>
        <v>0</v>
      </c>
      <c r="E409" cm="1">
        <f t="array" ref="E409">SUMPRODUCT((Task_Table_02_26!$C$2:$C$571=$E$1)*(A409&gt;Task_Table_02_26!$J$2:$J$571)*(A409&lt;Task_Table_02_26!$K$2:$K$571))</f>
        <v>8</v>
      </c>
    </row>
    <row r="410" spans="1:5">
      <c r="A410" s="5">
        <v>46278</v>
      </c>
      <c r="B410" cm="1">
        <f t="array" ref="B410">SUMPRODUCT((Task_Table_02_26!$C$2:$C$571=$B$1)*(A410&gt;Task_Table_02_26!$J$2:$J$571)*(A410&lt;Task_Table_02_26!$K$2:$K$571))</f>
        <v>1</v>
      </c>
      <c r="C410" cm="1">
        <f t="array" ref="C410">SUMPRODUCT((Task_Table_02_26!$C$2:$C$571=$C$1)*(A410&gt;Task_Table_02_26!$J$2:$J$571)*(A410&lt;Task_Table_02_26!$K$2:$K$571))</f>
        <v>6</v>
      </c>
      <c r="D410" cm="1">
        <f t="array" ref="D410">SUMPRODUCT((Task_Table_02_26!$C$2:$C$571=$D$1)*(A410&gt;Task_Table_02_26!$J$2:$J$571)*(A410&lt;Task_Table_02_26!$K$2:$K$571))</f>
        <v>0</v>
      </c>
      <c r="E410" cm="1">
        <f t="array" ref="E410">SUMPRODUCT((Task_Table_02_26!$C$2:$C$571=$E$1)*(A410&gt;Task_Table_02_26!$J$2:$J$571)*(A410&lt;Task_Table_02_26!$K$2:$K$571))</f>
        <v>8</v>
      </c>
    </row>
    <row r="411" spans="1:5">
      <c r="A411" s="5">
        <v>46279</v>
      </c>
      <c r="B411" cm="1">
        <f t="array" ref="B411">SUMPRODUCT((Task_Table_02_26!$C$2:$C$571=$B$1)*(A411&gt;Task_Table_02_26!$J$2:$J$571)*(A411&lt;Task_Table_02_26!$K$2:$K$571))</f>
        <v>1</v>
      </c>
      <c r="C411" cm="1">
        <f t="array" ref="C411">SUMPRODUCT((Task_Table_02_26!$C$2:$C$571=$C$1)*(A411&gt;Task_Table_02_26!$J$2:$J$571)*(A411&lt;Task_Table_02_26!$K$2:$K$571))</f>
        <v>6</v>
      </c>
      <c r="D411" cm="1">
        <f t="array" ref="D411">SUMPRODUCT((Task_Table_02_26!$C$2:$C$571=$D$1)*(A411&gt;Task_Table_02_26!$J$2:$J$571)*(A411&lt;Task_Table_02_26!$K$2:$K$571))</f>
        <v>0</v>
      </c>
      <c r="E411" cm="1">
        <f t="array" ref="E411">SUMPRODUCT((Task_Table_02_26!$C$2:$C$571=$E$1)*(A411&gt;Task_Table_02_26!$J$2:$J$571)*(A411&lt;Task_Table_02_26!$K$2:$K$571))</f>
        <v>8</v>
      </c>
    </row>
    <row r="412" spans="1:5">
      <c r="A412" s="5">
        <v>46280</v>
      </c>
      <c r="B412" cm="1">
        <f t="array" ref="B412">SUMPRODUCT((Task_Table_02_26!$C$2:$C$571=$B$1)*(A412&gt;Task_Table_02_26!$J$2:$J$571)*(A412&lt;Task_Table_02_26!$K$2:$K$571))</f>
        <v>1</v>
      </c>
      <c r="C412" cm="1">
        <f t="array" ref="C412">SUMPRODUCT((Task_Table_02_26!$C$2:$C$571=$C$1)*(A412&gt;Task_Table_02_26!$J$2:$J$571)*(A412&lt;Task_Table_02_26!$K$2:$K$571))</f>
        <v>6</v>
      </c>
      <c r="D412" cm="1">
        <f t="array" ref="D412">SUMPRODUCT((Task_Table_02_26!$C$2:$C$571=$D$1)*(A412&gt;Task_Table_02_26!$J$2:$J$571)*(A412&lt;Task_Table_02_26!$K$2:$K$571))</f>
        <v>0</v>
      </c>
      <c r="E412" cm="1">
        <f t="array" ref="E412">SUMPRODUCT((Task_Table_02_26!$C$2:$C$571=$E$1)*(A412&gt;Task_Table_02_26!$J$2:$J$571)*(A412&lt;Task_Table_02_26!$K$2:$K$571))</f>
        <v>8</v>
      </c>
    </row>
    <row r="413" spans="1:5">
      <c r="A413" s="5">
        <v>46281</v>
      </c>
      <c r="B413" cm="1">
        <f t="array" ref="B413">SUMPRODUCT((Task_Table_02_26!$C$2:$C$571=$B$1)*(A413&gt;Task_Table_02_26!$J$2:$J$571)*(A413&lt;Task_Table_02_26!$K$2:$K$571))</f>
        <v>1</v>
      </c>
      <c r="C413" cm="1">
        <f t="array" ref="C413">SUMPRODUCT((Task_Table_02_26!$C$2:$C$571=$C$1)*(A413&gt;Task_Table_02_26!$J$2:$J$571)*(A413&lt;Task_Table_02_26!$K$2:$K$571))</f>
        <v>6</v>
      </c>
      <c r="D413" cm="1">
        <f t="array" ref="D413">SUMPRODUCT((Task_Table_02_26!$C$2:$C$571=$D$1)*(A413&gt;Task_Table_02_26!$J$2:$J$571)*(A413&lt;Task_Table_02_26!$K$2:$K$571))</f>
        <v>0</v>
      </c>
      <c r="E413" cm="1">
        <f t="array" ref="E413">SUMPRODUCT((Task_Table_02_26!$C$2:$C$571=$E$1)*(A413&gt;Task_Table_02_26!$J$2:$J$571)*(A413&lt;Task_Table_02_26!$K$2:$K$571))</f>
        <v>8</v>
      </c>
    </row>
    <row r="414" spans="1:5">
      <c r="A414" s="5">
        <v>46282</v>
      </c>
      <c r="B414" cm="1">
        <f t="array" ref="B414">SUMPRODUCT((Task_Table_02_26!$C$2:$C$571=$B$1)*(A414&gt;Task_Table_02_26!$J$2:$J$571)*(A414&lt;Task_Table_02_26!$K$2:$K$571))</f>
        <v>1</v>
      </c>
      <c r="C414" cm="1">
        <f t="array" ref="C414">SUMPRODUCT((Task_Table_02_26!$C$2:$C$571=$C$1)*(A414&gt;Task_Table_02_26!$J$2:$J$571)*(A414&lt;Task_Table_02_26!$K$2:$K$571))</f>
        <v>6</v>
      </c>
      <c r="D414" cm="1">
        <f t="array" ref="D414">SUMPRODUCT((Task_Table_02_26!$C$2:$C$571=$D$1)*(A414&gt;Task_Table_02_26!$J$2:$J$571)*(A414&lt;Task_Table_02_26!$K$2:$K$571))</f>
        <v>0</v>
      </c>
      <c r="E414" cm="1">
        <f t="array" ref="E414">SUMPRODUCT((Task_Table_02_26!$C$2:$C$571=$E$1)*(A414&gt;Task_Table_02_26!$J$2:$J$571)*(A414&lt;Task_Table_02_26!$K$2:$K$571))</f>
        <v>8</v>
      </c>
    </row>
    <row r="415" spans="1:5">
      <c r="A415" s="5">
        <v>46283</v>
      </c>
      <c r="B415" cm="1">
        <f t="array" ref="B415">SUMPRODUCT((Task_Table_02_26!$C$2:$C$571=$B$1)*(A415&gt;Task_Table_02_26!$J$2:$J$571)*(A415&lt;Task_Table_02_26!$K$2:$K$571))</f>
        <v>1</v>
      </c>
      <c r="C415" cm="1">
        <f t="array" ref="C415">SUMPRODUCT((Task_Table_02_26!$C$2:$C$571=$C$1)*(A415&gt;Task_Table_02_26!$J$2:$J$571)*(A415&lt;Task_Table_02_26!$K$2:$K$571))</f>
        <v>6</v>
      </c>
      <c r="D415" cm="1">
        <f t="array" ref="D415">SUMPRODUCT((Task_Table_02_26!$C$2:$C$571=$D$1)*(A415&gt;Task_Table_02_26!$J$2:$J$571)*(A415&lt;Task_Table_02_26!$K$2:$K$571))</f>
        <v>0</v>
      </c>
      <c r="E415" cm="1">
        <f t="array" ref="E415">SUMPRODUCT((Task_Table_02_26!$C$2:$C$571=$E$1)*(A415&gt;Task_Table_02_26!$J$2:$J$571)*(A415&lt;Task_Table_02_26!$K$2:$K$571))</f>
        <v>8</v>
      </c>
    </row>
    <row r="416" spans="1:5">
      <c r="A416" s="5">
        <v>46284</v>
      </c>
      <c r="B416" cm="1">
        <f t="array" ref="B416">SUMPRODUCT((Task_Table_02_26!$C$2:$C$571=$B$1)*(A416&gt;Task_Table_02_26!$J$2:$J$571)*(A416&lt;Task_Table_02_26!$K$2:$K$571))</f>
        <v>1</v>
      </c>
      <c r="C416" cm="1">
        <f t="array" ref="C416">SUMPRODUCT((Task_Table_02_26!$C$2:$C$571=$C$1)*(A416&gt;Task_Table_02_26!$J$2:$J$571)*(A416&lt;Task_Table_02_26!$K$2:$K$571))</f>
        <v>6</v>
      </c>
      <c r="D416" cm="1">
        <f t="array" ref="D416">SUMPRODUCT((Task_Table_02_26!$C$2:$C$571=$D$1)*(A416&gt;Task_Table_02_26!$J$2:$J$571)*(A416&lt;Task_Table_02_26!$K$2:$K$571))</f>
        <v>0</v>
      </c>
      <c r="E416" cm="1">
        <f t="array" ref="E416">SUMPRODUCT((Task_Table_02_26!$C$2:$C$571=$E$1)*(A416&gt;Task_Table_02_26!$J$2:$J$571)*(A416&lt;Task_Table_02_26!$K$2:$K$571))</f>
        <v>8</v>
      </c>
    </row>
    <row r="417" spans="1:5">
      <c r="A417" s="5">
        <v>46285</v>
      </c>
      <c r="B417" cm="1">
        <f t="array" ref="B417">SUMPRODUCT((Task_Table_02_26!$C$2:$C$571=$B$1)*(A417&gt;Task_Table_02_26!$J$2:$J$571)*(A417&lt;Task_Table_02_26!$K$2:$K$571))</f>
        <v>1</v>
      </c>
      <c r="C417" cm="1">
        <f t="array" ref="C417">SUMPRODUCT((Task_Table_02_26!$C$2:$C$571=$C$1)*(A417&gt;Task_Table_02_26!$J$2:$J$571)*(A417&lt;Task_Table_02_26!$K$2:$K$571))</f>
        <v>6</v>
      </c>
      <c r="D417" cm="1">
        <f t="array" ref="D417">SUMPRODUCT((Task_Table_02_26!$C$2:$C$571=$D$1)*(A417&gt;Task_Table_02_26!$J$2:$J$571)*(A417&lt;Task_Table_02_26!$K$2:$K$571))</f>
        <v>0</v>
      </c>
      <c r="E417" cm="1">
        <f t="array" ref="E417">SUMPRODUCT((Task_Table_02_26!$C$2:$C$571=$E$1)*(A417&gt;Task_Table_02_26!$J$2:$J$571)*(A417&lt;Task_Table_02_26!$K$2:$K$571))</f>
        <v>8</v>
      </c>
    </row>
    <row r="418" spans="1:5">
      <c r="A418" s="5">
        <v>46286</v>
      </c>
      <c r="B418" cm="1">
        <f t="array" ref="B418">SUMPRODUCT((Task_Table_02_26!$C$2:$C$571=$B$1)*(A418&gt;Task_Table_02_26!$J$2:$J$571)*(A418&lt;Task_Table_02_26!$K$2:$K$571))</f>
        <v>1</v>
      </c>
      <c r="C418" cm="1">
        <f t="array" ref="C418">SUMPRODUCT((Task_Table_02_26!$C$2:$C$571=$C$1)*(A418&gt;Task_Table_02_26!$J$2:$J$571)*(A418&lt;Task_Table_02_26!$K$2:$K$571))</f>
        <v>6</v>
      </c>
      <c r="D418" cm="1">
        <f t="array" ref="D418">SUMPRODUCT((Task_Table_02_26!$C$2:$C$571=$D$1)*(A418&gt;Task_Table_02_26!$J$2:$J$571)*(A418&lt;Task_Table_02_26!$K$2:$K$571))</f>
        <v>0</v>
      </c>
      <c r="E418" cm="1">
        <f t="array" ref="E418">SUMPRODUCT((Task_Table_02_26!$C$2:$C$571=$E$1)*(A418&gt;Task_Table_02_26!$J$2:$J$571)*(A418&lt;Task_Table_02_26!$K$2:$K$571))</f>
        <v>8</v>
      </c>
    </row>
    <row r="419" spans="1:5">
      <c r="A419" s="5">
        <v>46287</v>
      </c>
      <c r="B419" cm="1">
        <f t="array" ref="B419">SUMPRODUCT((Task_Table_02_26!$C$2:$C$571=$B$1)*(A419&gt;Task_Table_02_26!$J$2:$J$571)*(A419&lt;Task_Table_02_26!$K$2:$K$571))</f>
        <v>1</v>
      </c>
      <c r="C419" cm="1">
        <f t="array" ref="C419">SUMPRODUCT((Task_Table_02_26!$C$2:$C$571=$C$1)*(A419&gt;Task_Table_02_26!$J$2:$J$571)*(A419&lt;Task_Table_02_26!$K$2:$K$571))</f>
        <v>6</v>
      </c>
      <c r="D419" cm="1">
        <f t="array" ref="D419">SUMPRODUCT((Task_Table_02_26!$C$2:$C$571=$D$1)*(A419&gt;Task_Table_02_26!$J$2:$J$571)*(A419&lt;Task_Table_02_26!$K$2:$K$571))</f>
        <v>0</v>
      </c>
      <c r="E419" cm="1">
        <f t="array" ref="E419">SUMPRODUCT((Task_Table_02_26!$C$2:$C$571=$E$1)*(A419&gt;Task_Table_02_26!$J$2:$J$571)*(A419&lt;Task_Table_02_26!$K$2:$K$571))</f>
        <v>8</v>
      </c>
    </row>
    <row r="420" spans="1:5">
      <c r="A420" s="5">
        <v>46288</v>
      </c>
      <c r="B420" cm="1">
        <f t="array" ref="B420">SUMPRODUCT((Task_Table_02_26!$C$2:$C$571=$B$1)*(A420&gt;Task_Table_02_26!$J$2:$J$571)*(A420&lt;Task_Table_02_26!$K$2:$K$571))</f>
        <v>1</v>
      </c>
      <c r="C420" cm="1">
        <f t="array" ref="C420">SUMPRODUCT((Task_Table_02_26!$C$2:$C$571=$C$1)*(A420&gt;Task_Table_02_26!$J$2:$J$571)*(A420&lt;Task_Table_02_26!$K$2:$K$571))</f>
        <v>6</v>
      </c>
      <c r="D420" cm="1">
        <f t="array" ref="D420">SUMPRODUCT((Task_Table_02_26!$C$2:$C$571=$D$1)*(A420&gt;Task_Table_02_26!$J$2:$J$571)*(A420&lt;Task_Table_02_26!$K$2:$K$571))</f>
        <v>0</v>
      </c>
      <c r="E420" cm="1">
        <f t="array" ref="E420">SUMPRODUCT((Task_Table_02_26!$C$2:$C$571=$E$1)*(A420&gt;Task_Table_02_26!$J$2:$J$571)*(A420&lt;Task_Table_02_26!$K$2:$K$571))</f>
        <v>8</v>
      </c>
    </row>
    <row r="421" spans="1:5">
      <c r="A421" s="5">
        <v>46289</v>
      </c>
      <c r="B421" cm="1">
        <f t="array" ref="B421">SUMPRODUCT((Task_Table_02_26!$C$2:$C$571=$B$1)*(A421&gt;Task_Table_02_26!$J$2:$J$571)*(A421&lt;Task_Table_02_26!$K$2:$K$571))</f>
        <v>1</v>
      </c>
      <c r="C421" cm="1">
        <f t="array" ref="C421">SUMPRODUCT((Task_Table_02_26!$C$2:$C$571=$C$1)*(A421&gt;Task_Table_02_26!$J$2:$J$571)*(A421&lt;Task_Table_02_26!$K$2:$K$571))</f>
        <v>6</v>
      </c>
      <c r="D421" cm="1">
        <f t="array" ref="D421">SUMPRODUCT((Task_Table_02_26!$C$2:$C$571=$D$1)*(A421&gt;Task_Table_02_26!$J$2:$J$571)*(A421&lt;Task_Table_02_26!$K$2:$K$571))</f>
        <v>0</v>
      </c>
      <c r="E421" cm="1">
        <f t="array" ref="E421">SUMPRODUCT((Task_Table_02_26!$C$2:$C$571=$E$1)*(A421&gt;Task_Table_02_26!$J$2:$J$571)*(A421&lt;Task_Table_02_26!$K$2:$K$571))</f>
        <v>8</v>
      </c>
    </row>
    <row r="422" spans="1:5">
      <c r="A422" s="5">
        <v>46290</v>
      </c>
      <c r="B422" cm="1">
        <f t="array" ref="B422">SUMPRODUCT((Task_Table_02_26!$C$2:$C$571=$B$1)*(A422&gt;Task_Table_02_26!$J$2:$J$571)*(A422&lt;Task_Table_02_26!$K$2:$K$571))</f>
        <v>1</v>
      </c>
      <c r="C422" cm="1">
        <f t="array" ref="C422">SUMPRODUCT((Task_Table_02_26!$C$2:$C$571=$C$1)*(A422&gt;Task_Table_02_26!$J$2:$J$571)*(A422&lt;Task_Table_02_26!$K$2:$K$571))</f>
        <v>6</v>
      </c>
      <c r="D422" cm="1">
        <f t="array" ref="D422">SUMPRODUCT((Task_Table_02_26!$C$2:$C$571=$D$1)*(A422&gt;Task_Table_02_26!$J$2:$J$571)*(A422&lt;Task_Table_02_26!$K$2:$K$571))</f>
        <v>0</v>
      </c>
      <c r="E422" cm="1">
        <f t="array" ref="E422">SUMPRODUCT((Task_Table_02_26!$C$2:$C$571=$E$1)*(A422&gt;Task_Table_02_26!$J$2:$J$571)*(A422&lt;Task_Table_02_26!$K$2:$K$571))</f>
        <v>8</v>
      </c>
    </row>
    <row r="423" spans="1:5">
      <c r="A423" s="5">
        <v>46291</v>
      </c>
      <c r="B423" cm="1">
        <f t="array" ref="B423">SUMPRODUCT((Task_Table_02_26!$C$2:$C$571=$B$1)*(A423&gt;Task_Table_02_26!$J$2:$J$571)*(A423&lt;Task_Table_02_26!$K$2:$K$571))</f>
        <v>1</v>
      </c>
      <c r="C423" cm="1">
        <f t="array" ref="C423">SUMPRODUCT((Task_Table_02_26!$C$2:$C$571=$C$1)*(A423&gt;Task_Table_02_26!$J$2:$J$571)*(A423&lt;Task_Table_02_26!$K$2:$K$571))</f>
        <v>6</v>
      </c>
      <c r="D423" cm="1">
        <f t="array" ref="D423">SUMPRODUCT((Task_Table_02_26!$C$2:$C$571=$D$1)*(A423&gt;Task_Table_02_26!$J$2:$J$571)*(A423&lt;Task_Table_02_26!$K$2:$K$571))</f>
        <v>0</v>
      </c>
      <c r="E423" cm="1">
        <f t="array" ref="E423">SUMPRODUCT((Task_Table_02_26!$C$2:$C$571=$E$1)*(A423&gt;Task_Table_02_26!$J$2:$J$571)*(A423&lt;Task_Table_02_26!$K$2:$K$571))</f>
        <v>8</v>
      </c>
    </row>
    <row r="424" spans="1:5">
      <c r="A424" s="5">
        <v>46292</v>
      </c>
      <c r="B424" cm="1">
        <f t="array" ref="B424">SUMPRODUCT((Task_Table_02_26!$C$2:$C$571=$B$1)*(A424&gt;Task_Table_02_26!$J$2:$J$571)*(A424&lt;Task_Table_02_26!$K$2:$K$571))</f>
        <v>1</v>
      </c>
      <c r="C424" cm="1">
        <f t="array" ref="C424">SUMPRODUCT((Task_Table_02_26!$C$2:$C$571=$C$1)*(A424&gt;Task_Table_02_26!$J$2:$J$571)*(A424&lt;Task_Table_02_26!$K$2:$K$571))</f>
        <v>6</v>
      </c>
      <c r="D424" cm="1">
        <f t="array" ref="D424">SUMPRODUCT((Task_Table_02_26!$C$2:$C$571=$D$1)*(A424&gt;Task_Table_02_26!$J$2:$J$571)*(A424&lt;Task_Table_02_26!$K$2:$K$571))</f>
        <v>0</v>
      </c>
      <c r="E424" cm="1">
        <f t="array" ref="E424">SUMPRODUCT((Task_Table_02_26!$C$2:$C$571=$E$1)*(A424&gt;Task_Table_02_26!$J$2:$J$571)*(A424&lt;Task_Table_02_26!$K$2:$K$571))</f>
        <v>8</v>
      </c>
    </row>
    <row r="425" spans="1:5">
      <c r="A425" s="5">
        <v>46293</v>
      </c>
      <c r="B425" cm="1">
        <f t="array" ref="B425">SUMPRODUCT((Task_Table_02_26!$C$2:$C$571=$B$1)*(A425&gt;Task_Table_02_26!$J$2:$J$571)*(A425&lt;Task_Table_02_26!$K$2:$K$571))</f>
        <v>1</v>
      </c>
      <c r="C425" cm="1">
        <f t="array" ref="C425">SUMPRODUCT((Task_Table_02_26!$C$2:$C$571=$C$1)*(A425&gt;Task_Table_02_26!$J$2:$J$571)*(A425&lt;Task_Table_02_26!$K$2:$K$571))</f>
        <v>6</v>
      </c>
      <c r="D425" cm="1">
        <f t="array" ref="D425">SUMPRODUCT((Task_Table_02_26!$C$2:$C$571=$D$1)*(A425&gt;Task_Table_02_26!$J$2:$J$571)*(A425&lt;Task_Table_02_26!$K$2:$K$571))</f>
        <v>0</v>
      </c>
      <c r="E425" cm="1">
        <f t="array" ref="E425">SUMPRODUCT((Task_Table_02_26!$C$2:$C$571=$E$1)*(A425&gt;Task_Table_02_26!$J$2:$J$571)*(A425&lt;Task_Table_02_26!$K$2:$K$571))</f>
        <v>8</v>
      </c>
    </row>
    <row r="426" spans="1:5">
      <c r="A426" s="5">
        <v>46294</v>
      </c>
      <c r="B426" cm="1">
        <f t="array" ref="B426">SUMPRODUCT((Task_Table_02_26!$C$2:$C$571=$B$1)*(A426&gt;Task_Table_02_26!$J$2:$J$571)*(A426&lt;Task_Table_02_26!$K$2:$K$571))</f>
        <v>1</v>
      </c>
      <c r="C426" cm="1">
        <f t="array" ref="C426">SUMPRODUCT((Task_Table_02_26!$C$2:$C$571=$C$1)*(A426&gt;Task_Table_02_26!$J$2:$J$571)*(A426&lt;Task_Table_02_26!$K$2:$K$571))</f>
        <v>6</v>
      </c>
      <c r="D426" cm="1">
        <f t="array" ref="D426">SUMPRODUCT((Task_Table_02_26!$C$2:$C$571=$D$1)*(A426&gt;Task_Table_02_26!$J$2:$J$571)*(A426&lt;Task_Table_02_26!$K$2:$K$571))</f>
        <v>0</v>
      </c>
      <c r="E426" cm="1">
        <f t="array" ref="E426">SUMPRODUCT((Task_Table_02_26!$C$2:$C$571=$E$1)*(A426&gt;Task_Table_02_26!$J$2:$J$571)*(A426&lt;Task_Table_02_26!$K$2:$K$571))</f>
        <v>8</v>
      </c>
    </row>
    <row r="427" spans="1:5">
      <c r="A427" s="5">
        <v>46295</v>
      </c>
      <c r="B427" cm="1">
        <f t="array" ref="B427">SUMPRODUCT((Task_Table_02_26!$C$2:$C$571=$B$1)*(A427&gt;Task_Table_02_26!$J$2:$J$571)*(A427&lt;Task_Table_02_26!$K$2:$K$571))</f>
        <v>1</v>
      </c>
      <c r="C427" cm="1">
        <f t="array" ref="C427">SUMPRODUCT((Task_Table_02_26!$C$2:$C$571=$C$1)*(A427&gt;Task_Table_02_26!$J$2:$J$571)*(A427&lt;Task_Table_02_26!$K$2:$K$571))</f>
        <v>0</v>
      </c>
      <c r="D427" cm="1">
        <f t="array" ref="D427">SUMPRODUCT((Task_Table_02_26!$C$2:$C$571=$D$1)*(A427&gt;Task_Table_02_26!$J$2:$J$571)*(A427&lt;Task_Table_02_26!$K$2:$K$571))</f>
        <v>0</v>
      </c>
      <c r="E427" cm="1">
        <f t="array" ref="E427">SUMPRODUCT((Task_Table_02_26!$C$2:$C$571=$E$1)*(A427&gt;Task_Table_02_26!$J$2:$J$571)*(A427&lt;Task_Table_02_26!$K$2:$K$571))</f>
        <v>5</v>
      </c>
    </row>
    <row r="428" spans="1:5">
      <c r="A428" s="5">
        <v>46296</v>
      </c>
      <c r="B428" cm="1">
        <f t="array" ref="B428">SUMPRODUCT((Task_Table_02_26!$C$2:$C$571=$B$1)*(A428&gt;Task_Table_02_26!$J$2:$J$571)*(A428&lt;Task_Table_02_26!$K$2:$K$571))</f>
        <v>1</v>
      </c>
      <c r="C428" cm="1">
        <f t="array" ref="C428">SUMPRODUCT((Task_Table_02_26!$C$2:$C$571=$C$1)*(A428&gt;Task_Table_02_26!$J$2:$J$571)*(A428&lt;Task_Table_02_26!$K$2:$K$571))</f>
        <v>0</v>
      </c>
      <c r="D428" cm="1">
        <f t="array" ref="D428">SUMPRODUCT((Task_Table_02_26!$C$2:$C$571=$D$1)*(A428&gt;Task_Table_02_26!$J$2:$J$571)*(A428&lt;Task_Table_02_26!$K$2:$K$571))</f>
        <v>0</v>
      </c>
      <c r="E428" cm="1">
        <f t="array" ref="E428">SUMPRODUCT((Task_Table_02_26!$C$2:$C$571=$E$1)*(A428&gt;Task_Table_02_26!$J$2:$J$571)*(A428&lt;Task_Table_02_26!$K$2:$K$571))</f>
        <v>5</v>
      </c>
    </row>
    <row r="429" spans="1:5">
      <c r="A429" s="5">
        <v>46297</v>
      </c>
      <c r="B429" cm="1">
        <f t="array" ref="B429">SUMPRODUCT((Task_Table_02_26!$C$2:$C$571=$B$1)*(A429&gt;Task_Table_02_26!$J$2:$J$571)*(A429&lt;Task_Table_02_26!$K$2:$K$571))</f>
        <v>1</v>
      </c>
      <c r="C429" cm="1">
        <f t="array" ref="C429">SUMPRODUCT((Task_Table_02_26!$C$2:$C$571=$C$1)*(A429&gt;Task_Table_02_26!$J$2:$J$571)*(A429&lt;Task_Table_02_26!$K$2:$K$571))</f>
        <v>0</v>
      </c>
      <c r="D429" cm="1">
        <f t="array" ref="D429">SUMPRODUCT((Task_Table_02_26!$C$2:$C$571=$D$1)*(A429&gt;Task_Table_02_26!$J$2:$J$571)*(A429&lt;Task_Table_02_26!$K$2:$K$571))</f>
        <v>0</v>
      </c>
      <c r="E429" cm="1">
        <f t="array" ref="E429">SUMPRODUCT((Task_Table_02_26!$C$2:$C$571=$E$1)*(A429&gt;Task_Table_02_26!$J$2:$J$571)*(A429&lt;Task_Table_02_26!$K$2:$K$571))</f>
        <v>5</v>
      </c>
    </row>
    <row r="430" spans="1:5">
      <c r="A430" s="5">
        <v>46298</v>
      </c>
      <c r="B430" cm="1">
        <f t="array" ref="B430">SUMPRODUCT((Task_Table_02_26!$C$2:$C$571=$B$1)*(A430&gt;Task_Table_02_26!$J$2:$J$571)*(A430&lt;Task_Table_02_26!$K$2:$K$571))</f>
        <v>1</v>
      </c>
      <c r="C430" cm="1">
        <f t="array" ref="C430">SUMPRODUCT((Task_Table_02_26!$C$2:$C$571=$C$1)*(A430&gt;Task_Table_02_26!$J$2:$J$571)*(A430&lt;Task_Table_02_26!$K$2:$K$571))</f>
        <v>0</v>
      </c>
      <c r="D430" cm="1">
        <f t="array" ref="D430">SUMPRODUCT((Task_Table_02_26!$C$2:$C$571=$D$1)*(A430&gt;Task_Table_02_26!$J$2:$J$571)*(A430&lt;Task_Table_02_26!$K$2:$K$571))</f>
        <v>0</v>
      </c>
      <c r="E430" cm="1">
        <f t="array" ref="E430">SUMPRODUCT((Task_Table_02_26!$C$2:$C$571=$E$1)*(A430&gt;Task_Table_02_26!$J$2:$J$571)*(A430&lt;Task_Table_02_26!$K$2:$K$571))</f>
        <v>5</v>
      </c>
    </row>
    <row r="431" spans="1:5">
      <c r="A431" s="5">
        <v>46299</v>
      </c>
      <c r="B431" cm="1">
        <f t="array" ref="B431">SUMPRODUCT((Task_Table_02_26!$C$2:$C$571=$B$1)*(A431&gt;Task_Table_02_26!$J$2:$J$571)*(A431&lt;Task_Table_02_26!$K$2:$K$571))</f>
        <v>1</v>
      </c>
      <c r="C431" cm="1">
        <f t="array" ref="C431">SUMPRODUCT((Task_Table_02_26!$C$2:$C$571=$C$1)*(A431&gt;Task_Table_02_26!$J$2:$J$571)*(A431&lt;Task_Table_02_26!$K$2:$K$571))</f>
        <v>0</v>
      </c>
      <c r="D431" cm="1">
        <f t="array" ref="D431">SUMPRODUCT((Task_Table_02_26!$C$2:$C$571=$D$1)*(A431&gt;Task_Table_02_26!$J$2:$J$571)*(A431&lt;Task_Table_02_26!$K$2:$K$571))</f>
        <v>0</v>
      </c>
      <c r="E431" cm="1">
        <f t="array" ref="E431">SUMPRODUCT((Task_Table_02_26!$C$2:$C$571=$E$1)*(A431&gt;Task_Table_02_26!$J$2:$J$571)*(A431&lt;Task_Table_02_26!$K$2:$K$571))</f>
        <v>5</v>
      </c>
    </row>
    <row r="432" spans="1:5">
      <c r="A432" s="5">
        <v>46300</v>
      </c>
      <c r="B432" cm="1">
        <f t="array" ref="B432">SUMPRODUCT((Task_Table_02_26!$C$2:$C$571=$B$1)*(A432&gt;Task_Table_02_26!$J$2:$J$571)*(A432&lt;Task_Table_02_26!$K$2:$K$571))</f>
        <v>1</v>
      </c>
      <c r="C432" cm="1">
        <f t="array" ref="C432">SUMPRODUCT((Task_Table_02_26!$C$2:$C$571=$C$1)*(A432&gt;Task_Table_02_26!$J$2:$J$571)*(A432&lt;Task_Table_02_26!$K$2:$K$571))</f>
        <v>0</v>
      </c>
      <c r="D432" cm="1">
        <f t="array" ref="D432">SUMPRODUCT((Task_Table_02_26!$C$2:$C$571=$D$1)*(A432&gt;Task_Table_02_26!$J$2:$J$571)*(A432&lt;Task_Table_02_26!$K$2:$K$571))</f>
        <v>0</v>
      </c>
      <c r="E432" cm="1">
        <f t="array" ref="E432">SUMPRODUCT((Task_Table_02_26!$C$2:$C$571=$E$1)*(A432&gt;Task_Table_02_26!$J$2:$J$571)*(A432&lt;Task_Table_02_26!$K$2:$K$571))</f>
        <v>5</v>
      </c>
    </row>
    <row r="433" spans="1:5">
      <c r="A433" s="5">
        <v>46301</v>
      </c>
      <c r="B433" cm="1">
        <f t="array" ref="B433">SUMPRODUCT((Task_Table_02_26!$C$2:$C$571=$B$1)*(A433&gt;Task_Table_02_26!$J$2:$J$571)*(A433&lt;Task_Table_02_26!$K$2:$K$571))</f>
        <v>1</v>
      </c>
      <c r="C433" cm="1">
        <f t="array" ref="C433">SUMPRODUCT((Task_Table_02_26!$C$2:$C$571=$C$1)*(A433&gt;Task_Table_02_26!$J$2:$J$571)*(A433&lt;Task_Table_02_26!$K$2:$K$571))</f>
        <v>0</v>
      </c>
      <c r="D433" cm="1">
        <f t="array" ref="D433">SUMPRODUCT((Task_Table_02_26!$C$2:$C$571=$D$1)*(A433&gt;Task_Table_02_26!$J$2:$J$571)*(A433&lt;Task_Table_02_26!$K$2:$K$571))</f>
        <v>0</v>
      </c>
      <c r="E433" cm="1">
        <f t="array" ref="E433">SUMPRODUCT((Task_Table_02_26!$C$2:$C$571=$E$1)*(A433&gt;Task_Table_02_26!$J$2:$J$571)*(A433&lt;Task_Table_02_26!$K$2:$K$571))</f>
        <v>5</v>
      </c>
    </row>
    <row r="434" spans="1:5">
      <c r="A434" s="5">
        <v>46302</v>
      </c>
      <c r="B434" cm="1">
        <f t="array" ref="B434">SUMPRODUCT((Task_Table_02_26!$C$2:$C$571=$B$1)*(A434&gt;Task_Table_02_26!$J$2:$J$571)*(A434&lt;Task_Table_02_26!$K$2:$K$571))</f>
        <v>1</v>
      </c>
      <c r="C434" cm="1">
        <f t="array" ref="C434">SUMPRODUCT((Task_Table_02_26!$C$2:$C$571=$C$1)*(A434&gt;Task_Table_02_26!$J$2:$J$571)*(A434&lt;Task_Table_02_26!$K$2:$K$571))</f>
        <v>0</v>
      </c>
      <c r="D434" cm="1">
        <f t="array" ref="D434">SUMPRODUCT((Task_Table_02_26!$C$2:$C$571=$D$1)*(A434&gt;Task_Table_02_26!$J$2:$J$571)*(A434&lt;Task_Table_02_26!$K$2:$K$571))</f>
        <v>0</v>
      </c>
      <c r="E434" cm="1">
        <f t="array" ref="E434">SUMPRODUCT((Task_Table_02_26!$C$2:$C$571=$E$1)*(A434&gt;Task_Table_02_26!$J$2:$J$571)*(A434&lt;Task_Table_02_26!$K$2:$K$571))</f>
        <v>5</v>
      </c>
    </row>
    <row r="435" spans="1:5">
      <c r="A435" s="5">
        <v>46303</v>
      </c>
      <c r="B435" cm="1">
        <f t="array" ref="B435">SUMPRODUCT((Task_Table_02_26!$C$2:$C$571=$B$1)*(A435&gt;Task_Table_02_26!$J$2:$J$571)*(A435&lt;Task_Table_02_26!$K$2:$K$571))</f>
        <v>1</v>
      </c>
      <c r="C435" cm="1">
        <f t="array" ref="C435">SUMPRODUCT((Task_Table_02_26!$C$2:$C$571=$C$1)*(A435&gt;Task_Table_02_26!$J$2:$J$571)*(A435&lt;Task_Table_02_26!$K$2:$K$571))</f>
        <v>0</v>
      </c>
      <c r="D435" cm="1">
        <f t="array" ref="D435">SUMPRODUCT((Task_Table_02_26!$C$2:$C$571=$D$1)*(A435&gt;Task_Table_02_26!$J$2:$J$571)*(A435&lt;Task_Table_02_26!$K$2:$K$571))</f>
        <v>0</v>
      </c>
      <c r="E435" cm="1">
        <f t="array" ref="E435">SUMPRODUCT((Task_Table_02_26!$C$2:$C$571=$E$1)*(A435&gt;Task_Table_02_26!$J$2:$J$571)*(A435&lt;Task_Table_02_26!$K$2:$K$571))</f>
        <v>5</v>
      </c>
    </row>
    <row r="436" spans="1:5">
      <c r="A436" s="5">
        <v>46304</v>
      </c>
      <c r="B436" cm="1">
        <f t="array" ref="B436">SUMPRODUCT((Task_Table_02_26!$C$2:$C$571=$B$1)*(A436&gt;Task_Table_02_26!$J$2:$J$571)*(A436&lt;Task_Table_02_26!$K$2:$K$571))</f>
        <v>1</v>
      </c>
      <c r="C436" cm="1">
        <f t="array" ref="C436">SUMPRODUCT((Task_Table_02_26!$C$2:$C$571=$C$1)*(A436&gt;Task_Table_02_26!$J$2:$J$571)*(A436&lt;Task_Table_02_26!$K$2:$K$571))</f>
        <v>0</v>
      </c>
      <c r="D436" cm="1">
        <f t="array" ref="D436">SUMPRODUCT((Task_Table_02_26!$C$2:$C$571=$D$1)*(A436&gt;Task_Table_02_26!$J$2:$J$571)*(A436&lt;Task_Table_02_26!$K$2:$K$571))</f>
        <v>0</v>
      </c>
      <c r="E436" cm="1">
        <f t="array" ref="E436">SUMPRODUCT((Task_Table_02_26!$C$2:$C$571=$E$1)*(A436&gt;Task_Table_02_26!$J$2:$J$571)*(A436&lt;Task_Table_02_26!$K$2:$K$571))</f>
        <v>5</v>
      </c>
    </row>
    <row r="437" spans="1:5">
      <c r="A437" s="5">
        <v>46305</v>
      </c>
      <c r="B437" cm="1">
        <f t="array" ref="B437">SUMPRODUCT((Task_Table_02_26!$C$2:$C$571=$B$1)*(A437&gt;Task_Table_02_26!$J$2:$J$571)*(A437&lt;Task_Table_02_26!$K$2:$K$571))</f>
        <v>1</v>
      </c>
      <c r="C437" cm="1">
        <f t="array" ref="C437">SUMPRODUCT((Task_Table_02_26!$C$2:$C$571=$C$1)*(A437&gt;Task_Table_02_26!$J$2:$J$571)*(A437&lt;Task_Table_02_26!$K$2:$K$571))</f>
        <v>0</v>
      </c>
      <c r="D437" cm="1">
        <f t="array" ref="D437">SUMPRODUCT((Task_Table_02_26!$C$2:$C$571=$D$1)*(A437&gt;Task_Table_02_26!$J$2:$J$571)*(A437&lt;Task_Table_02_26!$K$2:$K$571))</f>
        <v>0</v>
      </c>
      <c r="E437" cm="1">
        <f t="array" ref="E437">SUMPRODUCT((Task_Table_02_26!$C$2:$C$571=$E$1)*(A437&gt;Task_Table_02_26!$J$2:$J$571)*(A437&lt;Task_Table_02_26!$K$2:$K$571))</f>
        <v>5</v>
      </c>
    </row>
    <row r="438" spans="1:5">
      <c r="A438" s="5">
        <v>46306</v>
      </c>
      <c r="B438" cm="1">
        <f t="array" ref="B438">SUMPRODUCT((Task_Table_02_26!$C$2:$C$571=$B$1)*(A438&gt;Task_Table_02_26!$J$2:$J$571)*(A438&lt;Task_Table_02_26!$K$2:$K$571))</f>
        <v>1</v>
      </c>
      <c r="C438" cm="1">
        <f t="array" ref="C438">SUMPRODUCT((Task_Table_02_26!$C$2:$C$571=$C$1)*(A438&gt;Task_Table_02_26!$J$2:$J$571)*(A438&lt;Task_Table_02_26!$K$2:$K$571))</f>
        <v>0</v>
      </c>
      <c r="D438" cm="1">
        <f t="array" ref="D438">SUMPRODUCT((Task_Table_02_26!$C$2:$C$571=$D$1)*(A438&gt;Task_Table_02_26!$J$2:$J$571)*(A438&lt;Task_Table_02_26!$K$2:$K$571))</f>
        <v>0</v>
      </c>
      <c r="E438" cm="1">
        <f t="array" ref="E438">SUMPRODUCT((Task_Table_02_26!$C$2:$C$571=$E$1)*(A438&gt;Task_Table_02_26!$J$2:$J$571)*(A438&lt;Task_Table_02_26!$K$2:$K$571))</f>
        <v>5</v>
      </c>
    </row>
    <row r="439" spans="1:5">
      <c r="A439" s="5">
        <v>46307</v>
      </c>
      <c r="B439" cm="1">
        <f t="array" ref="B439">SUMPRODUCT((Task_Table_02_26!$C$2:$C$571=$B$1)*(A439&gt;Task_Table_02_26!$J$2:$J$571)*(A439&lt;Task_Table_02_26!$K$2:$K$571))</f>
        <v>1</v>
      </c>
      <c r="C439" cm="1">
        <f t="array" ref="C439">SUMPRODUCT((Task_Table_02_26!$C$2:$C$571=$C$1)*(A439&gt;Task_Table_02_26!$J$2:$J$571)*(A439&lt;Task_Table_02_26!$K$2:$K$571))</f>
        <v>0</v>
      </c>
      <c r="D439" cm="1">
        <f t="array" ref="D439">SUMPRODUCT((Task_Table_02_26!$C$2:$C$571=$D$1)*(A439&gt;Task_Table_02_26!$J$2:$J$571)*(A439&lt;Task_Table_02_26!$K$2:$K$571))</f>
        <v>0</v>
      </c>
      <c r="E439" cm="1">
        <f t="array" ref="E439">SUMPRODUCT((Task_Table_02_26!$C$2:$C$571=$E$1)*(A439&gt;Task_Table_02_26!$J$2:$J$571)*(A439&lt;Task_Table_02_26!$K$2:$K$571))</f>
        <v>5</v>
      </c>
    </row>
    <row r="440" spans="1:5">
      <c r="A440" s="5">
        <v>46308</v>
      </c>
      <c r="B440" cm="1">
        <f t="array" ref="B440">SUMPRODUCT((Task_Table_02_26!$C$2:$C$571=$B$1)*(A440&gt;Task_Table_02_26!$J$2:$J$571)*(A440&lt;Task_Table_02_26!$K$2:$K$571))</f>
        <v>1</v>
      </c>
      <c r="C440" cm="1">
        <f t="array" ref="C440">SUMPRODUCT((Task_Table_02_26!$C$2:$C$571=$C$1)*(A440&gt;Task_Table_02_26!$J$2:$J$571)*(A440&lt;Task_Table_02_26!$K$2:$K$571))</f>
        <v>0</v>
      </c>
      <c r="D440" cm="1">
        <f t="array" ref="D440">SUMPRODUCT((Task_Table_02_26!$C$2:$C$571=$D$1)*(A440&gt;Task_Table_02_26!$J$2:$J$571)*(A440&lt;Task_Table_02_26!$K$2:$K$571))</f>
        <v>0</v>
      </c>
      <c r="E440" cm="1">
        <f t="array" ref="E440">SUMPRODUCT((Task_Table_02_26!$C$2:$C$571=$E$1)*(A440&gt;Task_Table_02_26!$J$2:$J$571)*(A440&lt;Task_Table_02_26!$K$2:$K$571))</f>
        <v>5</v>
      </c>
    </row>
    <row r="441" spans="1:5">
      <c r="A441" s="5">
        <v>46309</v>
      </c>
      <c r="B441" cm="1">
        <f t="array" ref="B441">SUMPRODUCT((Task_Table_02_26!$C$2:$C$571=$B$1)*(A441&gt;Task_Table_02_26!$J$2:$J$571)*(A441&lt;Task_Table_02_26!$K$2:$K$571))</f>
        <v>1</v>
      </c>
      <c r="C441" cm="1">
        <f t="array" ref="C441">SUMPRODUCT((Task_Table_02_26!$C$2:$C$571=$C$1)*(A441&gt;Task_Table_02_26!$J$2:$J$571)*(A441&lt;Task_Table_02_26!$K$2:$K$571))</f>
        <v>0</v>
      </c>
      <c r="D441" cm="1">
        <f t="array" ref="D441">SUMPRODUCT((Task_Table_02_26!$C$2:$C$571=$D$1)*(A441&gt;Task_Table_02_26!$J$2:$J$571)*(A441&lt;Task_Table_02_26!$K$2:$K$571))</f>
        <v>0</v>
      </c>
      <c r="E441" cm="1">
        <f t="array" ref="E441">SUMPRODUCT((Task_Table_02_26!$C$2:$C$571=$E$1)*(A441&gt;Task_Table_02_26!$J$2:$J$571)*(A441&lt;Task_Table_02_26!$K$2:$K$571))</f>
        <v>5</v>
      </c>
    </row>
    <row r="442" spans="1:5">
      <c r="A442" s="5">
        <v>46310</v>
      </c>
      <c r="B442" cm="1">
        <f t="array" ref="B442">SUMPRODUCT((Task_Table_02_26!$C$2:$C$571=$B$1)*(A442&gt;Task_Table_02_26!$J$2:$J$571)*(A442&lt;Task_Table_02_26!$K$2:$K$571))</f>
        <v>1</v>
      </c>
      <c r="C442" cm="1">
        <f t="array" ref="C442">SUMPRODUCT((Task_Table_02_26!$C$2:$C$571=$C$1)*(A442&gt;Task_Table_02_26!$J$2:$J$571)*(A442&lt;Task_Table_02_26!$K$2:$K$571))</f>
        <v>0</v>
      </c>
      <c r="D442" cm="1">
        <f t="array" ref="D442">SUMPRODUCT((Task_Table_02_26!$C$2:$C$571=$D$1)*(A442&gt;Task_Table_02_26!$J$2:$J$571)*(A442&lt;Task_Table_02_26!$K$2:$K$571))</f>
        <v>0</v>
      </c>
      <c r="E442" cm="1">
        <f t="array" ref="E442">SUMPRODUCT((Task_Table_02_26!$C$2:$C$571=$E$1)*(A442&gt;Task_Table_02_26!$J$2:$J$571)*(A442&lt;Task_Table_02_26!$K$2:$K$571))</f>
        <v>5</v>
      </c>
    </row>
    <row r="443" spans="1:5">
      <c r="A443" s="5">
        <v>46311</v>
      </c>
      <c r="B443" cm="1">
        <f t="array" ref="B443">SUMPRODUCT((Task_Table_02_26!$C$2:$C$571=$B$1)*(A443&gt;Task_Table_02_26!$J$2:$J$571)*(A443&lt;Task_Table_02_26!$K$2:$K$571))</f>
        <v>1</v>
      </c>
      <c r="C443" cm="1">
        <f t="array" ref="C443">SUMPRODUCT((Task_Table_02_26!$C$2:$C$571=$C$1)*(A443&gt;Task_Table_02_26!$J$2:$J$571)*(A443&lt;Task_Table_02_26!$K$2:$K$571))</f>
        <v>3</v>
      </c>
      <c r="D443" cm="1">
        <f t="array" ref="D443">SUMPRODUCT((Task_Table_02_26!$C$2:$C$571=$D$1)*(A443&gt;Task_Table_02_26!$J$2:$J$571)*(A443&lt;Task_Table_02_26!$K$2:$K$571))</f>
        <v>0</v>
      </c>
      <c r="E443" cm="1">
        <f t="array" ref="E443">SUMPRODUCT((Task_Table_02_26!$C$2:$C$571=$E$1)*(A443&gt;Task_Table_02_26!$J$2:$J$571)*(A443&lt;Task_Table_02_26!$K$2:$K$571))</f>
        <v>5</v>
      </c>
    </row>
    <row r="444" spans="1:5">
      <c r="A444" s="5">
        <v>46312</v>
      </c>
      <c r="B444" cm="1">
        <f t="array" ref="B444">SUMPRODUCT((Task_Table_02_26!$C$2:$C$571=$B$1)*(A444&gt;Task_Table_02_26!$J$2:$J$571)*(A444&lt;Task_Table_02_26!$K$2:$K$571))</f>
        <v>1</v>
      </c>
      <c r="C444" cm="1">
        <f t="array" ref="C444">SUMPRODUCT((Task_Table_02_26!$C$2:$C$571=$C$1)*(A444&gt;Task_Table_02_26!$J$2:$J$571)*(A444&lt;Task_Table_02_26!$K$2:$K$571))</f>
        <v>3</v>
      </c>
      <c r="D444" cm="1">
        <f t="array" ref="D444">SUMPRODUCT((Task_Table_02_26!$C$2:$C$571=$D$1)*(A444&gt;Task_Table_02_26!$J$2:$J$571)*(A444&lt;Task_Table_02_26!$K$2:$K$571))</f>
        <v>0</v>
      </c>
      <c r="E444" cm="1">
        <f t="array" ref="E444">SUMPRODUCT((Task_Table_02_26!$C$2:$C$571=$E$1)*(A444&gt;Task_Table_02_26!$J$2:$J$571)*(A444&lt;Task_Table_02_26!$K$2:$K$571))</f>
        <v>5</v>
      </c>
    </row>
    <row r="445" spans="1:5">
      <c r="A445" s="5">
        <v>46313</v>
      </c>
      <c r="B445" cm="1">
        <f t="array" ref="B445">SUMPRODUCT((Task_Table_02_26!$C$2:$C$571=$B$1)*(A445&gt;Task_Table_02_26!$J$2:$J$571)*(A445&lt;Task_Table_02_26!$K$2:$K$571))</f>
        <v>1</v>
      </c>
      <c r="C445" cm="1">
        <f t="array" ref="C445">SUMPRODUCT((Task_Table_02_26!$C$2:$C$571=$C$1)*(A445&gt;Task_Table_02_26!$J$2:$J$571)*(A445&lt;Task_Table_02_26!$K$2:$K$571))</f>
        <v>3</v>
      </c>
      <c r="D445" cm="1">
        <f t="array" ref="D445">SUMPRODUCT((Task_Table_02_26!$C$2:$C$571=$D$1)*(A445&gt;Task_Table_02_26!$J$2:$J$571)*(A445&lt;Task_Table_02_26!$K$2:$K$571))</f>
        <v>0</v>
      </c>
      <c r="E445" cm="1">
        <f t="array" ref="E445">SUMPRODUCT((Task_Table_02_26!$C$2:$C$571=$E$1)*(A445&gt;Task_Table_02_26!$J$2:$J$571)*(A445&lt;Task_Table_02_26!$K$2:$K$571))</f>
        <v>5</v>
      </c>
    </row>
    <row r="446" spans="1:5">
      <c r="A446" s="5">
        <v>46314</v>
      </c>
      <c r="B446" cm="1">
        <f t="array" ref="B446">SUMPRODUCT((Task_Table_02_26!$C$2:$C$571=$B$1)*(A446&gt;Task_Table_02_26!$J$2:$J$571)*(A446&lt;Task_Table_02_26!$K$2:$K$571))</f>
        <v>1</v>
      </c>
      <c r="C446" cm="1">
        <f t="array" ref="C446">SUMPRODUCT((Task_Table_02_26!$C$2:$C$571=$C$1)*(A446&gt;Task_Table_02_26!$J$2:$J$571)*(A446&lt;Task_Table_02_26!$K$2:$K$571))</f>
        <v>3</v>
      </c>
      <c r="D446" cm="1">
        <f t="array" ref="D446">SUMPRODUCT((Task_Table_02_26!$C$2:$C$571=$D$1)*(A446&gt;Task_Table_02_26!$J$2:$J$571)*(A446&lt;Task_Table_02_26!$K$2:$K$571))</f>
        <v>0</v>
      </c>
      <c r="E446" cm="1">
        <f t="array" ref="E446">SUMPRODUCT((Task_Table_02_26!$C$2:$C$571=$E$1)*(A446&gt;Task_Table_02_26!$J$2:$J$571)*(A446&lt;Task_Table_02_26!$K$2:$K$571))</f>
        <v>5</v>
      </c>
    </row>
    <row r="447" spans="1:5">
      <c r="A447" s="5">
        <v>46315</v>
      </c>
      <c r="B447" cm="1">
        <f t="array" ref="B447">SUMPRODUCT((Task_Table_02_26!$C$2:$C$571=$B$1)*(A447&gt;Task_Table_02_26!$J$2:$J$571)*(A447&lt;Task_Table_02_26!$K$2:$K$571))</f>
        <v>1</v>
      </c>
      <c r="C447" cm="1">
        <f t="array" ref="C447">SUMPRODUCT((Task_Table_02_26!$C$2:$C$571=$C$1)*(A447&gt;Task_Table_02_26!$J$2:$J$571)*(A447&lt;Task_Table_02_26!$K$2:$K$571))</f>
        <v>3</v>
      </c>
      <c r="D447" cm="1">
        <f t="array" ref="D447">SUMPRODUCT((Task_Table_02_26!$C$2:$C$571=$D$1)*(A447&gt;Task_Table_02_26!$J$2:$J$571)*(A447&lt;Task_Table_02_26!$K$2:$K$571))</f>
        <v>0</v>
      </c>
      <c r="E447" cm="1">
        <f t="array" ref="E447">SUMPRODUCT((Task_Table_02_26!$C$2:$C$571=$E$1)*(A447&gt;Task_Table_02_26!$J$2:$J$571)*(A447&lt;Task_Table_02_26!$K$2:$K$571))</f>
        <v>5</v>
      </c>
    </row>
    <row r="448" spans="1:5">
      <c r="A448" s="5">
        <v>46316</v>
      </c>
      <c r="B448" cm="1">
        <f t="array" ref="B448">SUMPRODUCT((Task_Table_02_26!$C$2:$C$571=$B$1)*(A448&gt;Task_Table_02_26!$J$2:$J$571)*(A448&lt;Task_Table_02_26!$K$2:$K$571))</f>
        <v>1</v>
      </c>
      <c r="C448" cm="1">
        <f t="array" ref="C448">SUMPRODUCT((Task_Table_02_26!$C$2:$C$571=$C$1)*(A448&gt;Task_Table_02_26!$J$2:$J$571)*(A448&lt;Task_Table_02_26!$K$2:$K$571))</f>
        <v>3</v>
      </c>
      <c r="D448" cm="1">
        <f t="array" ref="D448">SUMPRODUCT((Task_Table_02_26!$C$2:$C$571=$D$1)*(A448&gt;Task_Table_02_26!$J$2:$J$571)*(A448&lt;Task_Table_02_26!$K$2:$K$571))</f>
        <v>0</v>
      </c>
      <c r="E448" cm="1">
        <f t="array" ref="E448">SUMPRODUCT((Task_Table_02_26!$C$2:$C$571=$E$1)*(A448&gt;Task_Table_02_26!$J$2:$J$571)*(A448&lt;Task_Table_02_26!$K$2:$K$571))</f>
        <v>5</v>
      </c>
    </row>
    <row r="449" spans="1:5">
      <c r="A449" s="5">
        <v>46317</v>
      </c>
      <c r="B449" cm="1">
        <f t="array" ref="B449">SUMPRODUCT((Task_Table_02_26!$C$2:$C$571=$B$1)*(A449&gt;Task_Table_02_26!$J$2:$J$571)*(A449&lt;Task_Table_02_26!$K$2:$K$571))</f>
        <v>1</v>
      </c>
      <c r="C449" cm="1">
        <f t="array" ref="C449">SUMPRODUCT((Task_Table_02_26!$C$2:$C$571=$C$1)*(A449&gt;Task_Table_02_26!$J$2:$J$571)*(A449&lt;Task_Table_02_26!$K$2:$K$571))</f>
        <v>3</v>
      </c>
      <c r="D449" cm="1">
        <f t="array" ref="D449">SUMPRODUCT((Task_Table_02_26!$C$2:$C$571=$D$1)*(A449&gt;Task_Table_02_26!$J$2:$J$571)*(A449&lt;Task_Table_02_26!$K$2:$K$571))</f>
        <v>0</v>
      </c>
      <c r="E449" cm="1">
        <f t="array" ref="E449">SUMPRODUCT((Task_Table_02_26!$C$2:$C$571=$E$1)*(A449&gt;Task_Table_02_26!$J$2:$J$571)*(A449&lt;Task_Table_02_26!$K$2:$K$571))</f>
        <v>5</v>
      </c>
    </row>
    <row r="450" spans="1:5">
      <c r="A450" s="5">
        <v>46318</v>
      </c>
      <c r="B450" cm="1">
        <f t="array" ref="B450">SUMPRODUCT((Task_Table_02_26!$C$2:$C$571=$B$1)*(A450&gt;Task_Table_02_26!$J$2:$J$571)*(A450&lt;Task_Table_02_26!$K$2:$K$571))</f>
        <v>1</v>
      </c>
      <c r="C450" cm="1">
        <f t="array" ref="C450">SUMPRODUCT((Task_Table_02_26!$C$2:$C$571=$C$1)*(A450&gt;Task_Table_02_26!$J$2:$J$571)*(A450&lt;Task_Table_02_26!$K$2:$K$571))</f>
        <v>3</v>
      </c>
      <c r="D450" cm="1">
        <f t="array" ref="D450">SUMPRODUCT((Task_Table_02_26!$C$2:$C$571=$D$1)*(A450&gt;Task_Table_02_26!$J$2:$J$571)*(A450&lt;Task_Table_02_26!$K$2:$K$571))</f>
        <v>0</v>
      </c>
      <c r="E450" cm="1">
        <f t="array" ref="E450">SUMPRODUCT((Task_Table_02_26!$C$2:$C$571=$E$1)*(A450&gt;Task_Table_02_26!$J$2:$J$571)*(A450&lt;Task_Table_02_26!$K$2:$K$571))</f>
        <v>5</v>
      </c>
    </row>
    <row r="451" spans="1:5">
      <c r="A451" s="5">
        <v>46319</v>
      </c>
      <c r="B451" cm="1">
        <f t="array" ref="B451">SUMPRODUCT((Task_Table_02_26!$C$2:$C$571=$B$1)*(A451&gt;Task_Table_02_26!$J$2:$J$571)*(A451&lt;Task_Table_02_26!$K$2:$K$571))</f>
        <v>1</v>
      </c>
      <c r="C451" cm="1">
        <f t="array" ref="C451">SUMPRODUCT((Task_Table_02_26!$C$2:$C$571=$C$1)*(A451&gt;Task_Table_02_26!$J$2:$J$571)*(A451&lt;Task_Table_02_26!$K$2:$K$571))</f>
        <v>3</v>
      </c>
      <c r="D451" cm="1">
        <f t="array" ref="D451">SUMPRODUCT((Task_Table_02_26!$C$2:$C$571=$D$1)*(A451&gt;Task_Table_02_26!$J$2:$J$571)*(A451&lt;Task_Table_02_26!$K$2:$K$571))</f>
        <v>0</v>
      </c>
      <c r="E451" cm="1">
        <f t="array" ref="E451">SUMPRODUCT((Task_Table_02_26!$C$2:$C$571=$E$1)*(A451&gt;Task_Table_02_26!$J$2:$J$571)*(A451&lt;Task_Table_02_26!$K$2:$K$571))</f>
        <v>5</v>
      </c>
    </row>
    <row r="452" spans="1:5">
      <c r="A452" s="5">
        <v>46320</v>
      </c>
      <c r="B452" cm="1">
        <f t="array" ref="B452">SUMPRODUCT((Task_Table_02_26!$C$2:$C$571=$B$1)*(A452&gt;Task_Table_02_26!$J$2:$J$571)*(A452&lt;Task_Table_02_26!$K$2:$K$571))</f>
        <v>1</v>
      </c>
      <c r="C452" cm="1">
        <f t="array" ref="C452">SUMPRODUCT((Task_Table_02_26!$C$2:$C$571=$C$1)*(A452&gt;Task_Table_02_26!$J$2:$J$571)*(A452&lt;Task_Table_02_26!$K$2:$K$571))</f>
        <v>3</v>
      </c>
      <c r="D452" cm="1">
        <f t="array" ref="D452">SUMPRODUCT((Task_Table_02_26!$C$2:$C$571=$D$1)*(A452&gt;Task_Table_02_26!$J$2:$J$571)*(A452&lt;Task_Table_02_26!$K$2:$K$571))</f>
        <v>0</v>
      </c>
      <c r="E452" cm="1">
        <f t="array" ref="E452">SUMPRODUCT((Task_Table_02_26!$C$2:$C$571=$E$1)*(A452&gt;Task_Table_02_26!$J$2:$J$571)*(A452&lt;Task_Table_02_26!$K$2:$K$571))</f>
        <v>5</v>
      </c>
    </row>
    <row r="453" spans="1:5">
      <c r="A453" s="5">
        <v>46321</v>
      </c>
      <c r="B453" cm="1">
        <f t="array" ref="B453">SUMPRODUCT((Task_Table_02_26!$C$2:$C$571=$B$1)*(A453&gt;Task_Table_02_26!$J$2:$J$571)*(A453&lt;Task_Table_02_26!$K$2:$K$571))</f>
        <v>1</v>
      </c>
      <c r="C453" cm="1">
        <f t="array" ref="C453">SUMPRODUCT((Task_Table_02_26!$C$2:$C$571=$C$1)*(A453&gt;Task_Table_02_26!$J$2:$J$571)*(A453&lt;Task_Table_02_26!$K$2:$K$571))</f>
        <v>3</v>
      </c>
      <c r="D453" cm="1">
        <f t="array" ref="D453">SUMPRODUCT((Task_Table_02_26!$C$2:$C$571=$D$1)*(A453&gt;Task_Table_02_26!$J$2:$J$571)*(A453&lt;Task_Table_02_26!$K$2:$K$571))</f>
        <v>0</v>
      </c>
      <c r="E453" cm="1">
        <f t="array" ref="E453">SUMPRODUCT((Task_Table_02_26!$C$2:$C$571=$E$1)*(A453&gt;Task_Table_02_26!$J$2:$J$571)*(A453&lt;Task_Table_02_26!$K$2:$K$571))</f>
        <v>5</v>
      </c>
    </row>
    <row r="454" spans="1:5">
      <c r="A454" s="5">
        <v>46322</v>
      </c>
      <c r="B454" cm="1">
        <f t="array" ref="B454">SUMPRODUCT((Task_Table_02_26!$C$2:$C$571=$B$1)*(A454&gt;Task_Table_02_26!$J$2:$J$571)*(A454&lt;Task_Table_02_26!$K$2:$K$571))</f>
        <v>1</v>
      </c>
      <c r="C454" cm="1">
        <f t="array" ref="C454">SUMPRODUCT((Task_Table_02_26!$C$2:$C$571=$C$1)*(A454&gt;Task_Table_02_26!$J$2:$J$571)*(A454&lt;Task_Table_02_26!$K$2:$K$571))</f>
        <v>3</v>
      </c>
      <c r="D454" cm="1">
        <f t="array" ref="D454">SUMPRODUCT((Task_Table_02_26!$C$2:$C$571=$D$1)*(A454&gt;Task_Table_02_26!$J$2:$J$571)*(A454&lt;Task_Table_02_26!$K$2:$K$571))</f>
        <v>0</v>
      </c>
      <c r="E454" cm="1">
        <f t="array" ref="E454">SUMPRODUCT((Task_Table_02_26!$C$2:$C$571=$E$1)*(A454&gt;Task_Table_02_26!$J$2:$J$571)*(A454&lt;Task_Table_02_26!$K$2:$K$571))</f>
        <v>5</v>
      </c>
    </row>
    <row r="455" spans="1:5">
      <c r="A455" s="5">
        <v>46323</v>
      </c>
      <c r="B455" cm="1">
        <f t="array" ref="B455">SUMPRODUCT((Task_Table_02_26!$C$2:$C$571=$B$1)*(A455&gt;Task_Table_02_26!$J$2:$J$571)*(A455&lt;Task_Table_02_26!$K$2:$K$571))</f>
        <v>1</v>
      </c>
      <c r="C455" cm="1">
        <f t="array" ref="C455">SUMPRODUCT((Task_Table_02_26!$C$2:$C$571=$C$1)*(A455&gt;Task_Table_02_26!$J$2:$J$571)*(A455&lt;Task_Table_02_26!$K$2:$K$571))</f>
        <v>3</v>
      </c>
      <c r="D455" cm="1">
        <f t="array" ref="D455">SUMPRODUCT((Task_Table_02_26!$C$2:$C$571=$D$1)*(A455&gt;Task_Table_02_26!$J$2:$J$571)*(A455&lt;Task_Table_02_26!$K$2:$K$571))</f>
        <v>0</v>
      </c>
      <c r="E455" cm="1">
        <f t="array" ref="E455">SUMPRODUCT((Task_Table_02_26!$C$2:$C$571=$E$1)*(A455&gt;Task_Table_02_26!$J$2:$J$571)*(A455&lt;Task_Table_02_26!$K$2:$K$571))</f>
        <v>5</v>
      </c>
    </row>
    <row r="456" spans="1:5">
      <c r="A456" s="5">
        <v>46324</v>
      </c>
      <c r="B456" cm="1">
        <f t="array" ref="B456">SUMPRODUCT((Task_Table_02_26!$C$2:$C$571=$B$1)*(A456&gt;Task_Table_02_26!$J$2:$J$571)*(A456&lt;Task_Table_02_26!$K$2:$K$571))</f>
        <v>1</v>
      </c>
      <c r="C456" cm="1">
        <f t="array" ref="C456">SUMPRODUCT((Task_Table_02_26!$C$2:$C$571=$C$1)*(A456&gt;Task_Table_02_26!$J$2:$J$571)*(A456&lt;Task_Table_02_26!$K$2:$K$571))</f>
        <v>3</v>
      </c>
      <c r="D456" cm="1">
        <f t="array" ref="D456">SUMPRODUCT((Task_Table_02_26!$C$2:$C$571=$D$1)*(A456&gt;Task_Table_02_26!$J$2:$J$571)*(A456&lt;Task_Table_02_26!$K$2:$K$571))</f>
        <v>0</v>
      </c>
      <c r="E456" cm="1">
        <f t="array" ref="E456">SUMPRODUCT((Task_Table_02_26!$C$2:$C$571=$E$1)*(A456&gt;Task_Table_02_26!$J$2:$J$571)*(A456&lt;Task_Table_02_26!$K$2:$K$571))</f>
        <v>5</v>
      </c>
    </row>
    <row r="457" spans="1:5">
      <c r="A457" s="5">
        <v>46325</v>
      </c>
      <c r="B457" cm="1">
        <f t="array" ref="B457">SUMPRODUCT((Task_Table_02_26!$C$2:$C$571=$B$1)*(A457&gt;Task_Table_02_26!$J$2:$J$571)*(A457&lt;Task_Table_02_26!$K$2:$K$571))</f>
        <v>1</v>
      </c>
      <c r="C457" cm="1">
        <f t="array" ref="C457">SUMPRODUCT((Task_Table_02_26!$C$2:$C$571=$C$1)*(A457&gt;Task_Table_02_26!$J$2:$J$571)*(A457&lt;Task_Table_02_26!$K$2:$K$571))</f>
        <v>3</v>
      </c>
      <c r="D457" cm="1">
        <f t="array" ref="D457">SUMPRODUCT((Task_Table_02_26!$C$2:$C$571=$D$1)*(A457&gt;Task_Table_02_26!$J$2:$J$571)*(A457&lt;Task_Table_02_26!$K$2:$K$571))</f>
        <v>0</v>
      </c>
      <c r="E457" cm="1">
        <f t="array" ref="E457">SUMPRODUCT((Task_Table_02_26!$C$2:$C$571=$E$1)*(A457&gt;Task_Table_02_26!$J$2:$J$571)*(A457&lt;Task_Table_02_26!$K$2:$K$571))</f>
        <v>5</v>
      </c>
    </row>
    <row r="458" spans="1:5">
      <c r="A458" s="5">
        <v>46326</v>
      </c>
      <c r="B458" cm="1">
        <f t="array" ref="B458">SUMPRODUCT((Task_Table_02_26!$C$2:$C$571=$B$1)*(A458&gt;Task_Table_02_26!$J$2:$J$571)*(A458&lt;Task_Table_02_26!$K$2:$K$571))</f>
        <v>1</v>
      </c>
      <c r="C458" cm="1">
        <f t="array" ref="C458">SUMPRODUCT((Task_Table_02_26!$C$2:$C$571=$C$1)*(A458&gt;Task_Table_02_26!$J$2:$J$571)*(A458&lt;Task_Table_02_26!$K$2:$K$571))</f>
        <v>3</v>
      </c>
      <c r="D458" cm="1">
        <f t="array" ref="D458">SUMPRODUCT((Task_Table_02_26!$C$2:$C$571=$D$1)*(A458&gt;Task_Table_02_26!$J$2:$J$571)*(A458&lt;Task_Table_02_26!$K$2:$K$571))</f>
        <v>0</v>
      </c>
      <c r="E458" cm="1">
        <f t="array" ref="E458">SUMPRODUCT((Task_Table_02_26!$C$2:$C$571=$E$1)*(A458&gt;Task_Table_02_26!$J$2:$J$571)*(A458&lt;Task_Table_02_26!$K$2:$K$571))</f>
        <v>5</v>
      </c>
    </row>
    <row r="459" spans="1:5">
      <c r="A459" s="5">
        <v>46327</v>
      </c>
      <c r="B459" cm="1">
        <f t="array" ref="B459">SUMPRODUCT((Task_Table_02_26!$C$2:$C$571=$B$1)*(A459&gt;Task_Table_02_26!$J$2:$J$571)*(A459&lt;Task_Table_02_26!$K$2:$K$571))</f>
        <v>1</v>
      </c>
      <c r="C459" cm="1">
        <f t="array" ref="C459">SUMPRODUCT((Task_Table_02_26!$C$2:$C$571=$C$1)*(A459&gt;Task_Table_02_26!$J$2:$J$571)*(A459&lt;Task_Table_02_26!$K$2:$K$571))</f>
        <v>3</v>
      </c>
      <c r="D459" cm="1">
        <f t="array" ref="D459">SUMPRODUCT((Task_Table_02_26!$C$2:$C$571=$D$1)*(A459&gt;Task_Table_02_26!$J$2:$J$571)*(A459&lt;Task_Table_02_26!$K$2:$K$571))</f>
        <v>0</v>
      </c>
      <c r="E459" cm="1">
        <f t="array" ref="E459">SUMPRODUCT((Task_Table_02_26!$C$2:$C$571=$E$1)*(A459&gt;Task_Table_02_26!$J$2:$J$571)*(A459&lt;Task_Table_02_26!$K$2:$K$571))</f>
        <v>5</v>
      </c>
    </row>
    <row r="460" spans="1:5">
      <c r="A460" s="5">
        <v>46328</v>
      </c>
      <c r="B460" cm="1">
        <f t="array" ref="B460">SUMPRODUCT((Task_Table_02_26!$C$2:$C$571=$B$1)*(A460&gt;Task_Table_02_26!$J$2:$J$571)*(A460&lt;Task_Table_02_26!$K$2:$K$571))</f>
        <v>1</v>
      </c>
      <c r="C460" cm="1">
        <f t="array" ref="C460">SUMPRODUCT((Task_Table_02_26!$C$2:$C$571=$C$1)*(A460&gt;Task_Table_02_26!$J$2:$J$571)*(A460&lt;Task_Table_02_26!$K$2:$K$571))</f>
        <v>3</v>
      </c>
      <c r="D460" cm="1">
        <f t="array" ref="D460">SUMPRODUCT((Task_Table_02_26!$C$2:$C$571=$D$1)*(A460&gt;Task_Table_02_26!$J$2:$J$571)*(A460&lt;Task_Table_02_26!$K$2:$K$571))</f>
        <v>0</v>
      </c>
      <c r="E460" cm="1">
        <f t="array" ref="E460">SUMPRODUCT((Task_Table_02_26!$C$2:$C$571=$E$1)*(A460&gt;Task_Table_02_26!$J$2:$J$571)*(A460&lt;Task_Table_02_26!$K$2:$K$571))</f>
        <v>5</v>
      </c>
    </row>
    <row r="461" spans="1:5">
      <c r="A461" s="5">
        <v>46329</v>
      </c>
      <c r="B461" cm="1">
        <f t="array" ref="B461">SUMPRODUCT((Task_Table_02_26!$C$2:$C$571=$B$1)*(A461&gt;Task_Table_02_26!$J$2:$J$571)*(A461&lt;Task_Table_02_26!$K$2:$K$571))</f>
        <v>1</v>
      </c>
      <c r="C461" cm="1">
        <f t="array" ref="C461">SUMPRODUCT((Task_Table_02_26!$C$2:$C$571=$C$1)*(A461&gt;Task_Table_02_26!$J$2:$J$571)*(A461&lt;Task_Table_02_26!$K$2:$K$571))</f>
        <v>3</v>
      </c>
      <c r="D461" cm="1">
        <f t="array" ref="D461">SUMPRODUCT((Task_Table_02_26!$C$2:$C$571=$D$1)*(A461&gt;Task_Table_02_26!$J$2:$J$571)*(A461&lt;Task_Table_02_26!$K$2:$K$571))</f>
        <v>0</v>
      </c>
      <c r="E461" cm="1">
        <f t="array" ref="E461">SUMPRODUCT((Task_Table_02_26!$C$2:$C$571=$E$1)*(A461&gt;Task_Table_02_26!$J$2:$J$571)*(A461&lt;Task_Table_02_26!$K$2:$K$571))</f>
        <v>5</v>
      </c>
    </row>
    <row r="462" spans="1:5">
      <c r="A462" s="5">
        <v>46330</v>
      </c>
      <c r="B462" cm="1">
        <f t="array" ref="B462">SUMPRODUCT((Task_Table_02_26!$C$2:$C$571=$B$1)*(A462&gt;Task_Table_02_26!$J$2:$J$571)*(A462&lt;Task_Table_02_26!$K$2:$K$571))</f>
        <v>1</v>
      </c>
      <c r="C462" cm="1">
        <f t="array" ref="C462">SUMPRODUCT((Task_Table_02_26!$C$2:$C$571=$C$1)*(A462&gt;Task_Table_02_26!$J$2:$J$571)*(A462&lt;Task_Table_02_26!$K$2:$K$571))</f>
        <v>3</v>
      </c>
      <c r="D462" cm="1">
        <f t="array" ref="D462">SUMPRODUCT((Task_Table_02_26!$C$2:$C$571=$D$1)*(A462&gt;Task_Table_02_26!$J$2:$J$571)*(A462&lt;Task_Table_02_26!$K$2:$K$571))</f>
        <v>0</v>
      </c>
      <c r="E462" cm="1">
        <f t="array" ref="E462">SUMPRODUCT((Task_Table_02_26!$C$2:$C$571=$E$1)*(A462&gt;Task_Table_02_26!$J$2:$J$571)*(A462&lt;Task_Table_02_26!$K$2:$K$571))</f>
        <v>5</v>
      </c>
    </row>
    <row r="463" spans="1:5">
      <c r="A463" s="5">
        <v>46331</v>
      </c>
      <c r="B463" cm="1">
        <f t="array" ref="B463">SUMPRODUCT((Task_Table_02_26!$C$2:$C$571=$B$1)*(A463&gt;Task_Table_02_26!$J$2:$J$571)*(A463&lt;Task_Table_02_26!$K$2:$K$571))</f>
        <v>1</v>
      </c>
      <c r="C463" cm="1">
        <f t="array" ref="C463">SUMPRODUCT((Task_Table_02_26!$C$2:$C$571=$C$1)*(A463&gt;Task_Table_02_26!$J$2:$J$571)*(A463&lt;Task_Table_02_26!$K$2:$K$571))</f>
        <v>3</v>
      </c>
      <c r="D463" cm="1">
        <f t="array" ref="D463">SUMPRODUCT((Task_Table_02_26!$C$2:$C$571=$D$1)*(A463&gt;Task_Table_02_26!$J$2:$J$571)*(A463&lt;Task_Table_02_26!$K$2:$K$571))</f>
        <v>0</v>
      </c>
      <c r="E463" cm="1">
        <f t="array" ref="E463">SUMPRODUCT((Task_Table_02_26!$C$2:$C$571=$E$1)*(A463&gt;Task_Table_02_26!$J$2:$J$571)*(A463&lt;Task_Table_02_26!$K$2:$K$571))</f>
        <v>5</v>
      </c>
    </row>
    <row r="464" spans="1:5">
      <c r="A464" s="5">
        <v>46332</v>
      </c>
      <c r="B464" cm="1">
        <f t="array" ref="B464">SUMPRODUCT((Task_Table_02_26!$C$2:$C$571=$B$1)*(A464&gt;Task_Table_02_26!$J$2:$J$571)*(A464&lt;Task_Table_02_26!$K$2:$K$571))</f>
        <v>1</v>
      </c>
      <c r="C464" cm="1">
        <f t="array" ref="C464">SUMPRODUCT((Task_Table_02_26!$C$2:$C$571=$C$1)*(A464&gt;Task_Table_02_26!$J$2:$J$571)*(A464&lt;Task_Table_02_26!$K$2:$K$571))</f>
        <v>3</v>
      </c>
      <c r="D464" cm="1">
        <f t="array" ref="D464">SUMPRODUCT((Task_Table_02_26!$C$2:$C$571=$D$1)*(A464&gt;Task_Table_02_26!$J$2:$J$571)*(A464&lt;Task_Table_02_26!$K$2:$K$571))</f>
        <v>0</v>
      </c>
      <c r="E464" cm="1">
        <f t="array" ref="E464">SUMPRODUCT((Task_Table_02_26!$C$2:$C$571=$E$1)*(A464&gt;Task_Table_02_26!$J$2:$J$571)*(A464&lt;Task_Table_02_26!$K$2:$K$571))</f>
        <v>5</v>
      </c>
    </row>
    <row r="465" spans="1:5">
      <c r="A465" s="5">
        <v>46333</v>
      </c>
      <c r="B465" cm="1">
        <f t="array" ref="B465">SUMPRODUCT((Task_Table_02_26!$C$2:$C$571=$B$1)*(A465&gt;Task_Table_02_26!$J$2:$J$571)*(A465&lt;Task_Table_02_26!$K$2:$K$571))</f>
        <v>1</v>
      </c>
      <c r="C465" cm="1">
        <f t="array" ref="C465">SUMPRODUCT((Task_Table_02_26!$C$2:$C$571=$C$1)*(A465&gt;Task_Table_02_26!$J$2:$J$571)*(A465&lt;Task_Table_02_26!$K$2:$K$571))</f>
        <v>3</v>
      </c>
      <c r="D465" cm="1">
        <f t="array" ref="D465">SUMPRODUCT((Task_Table_02_26!$C$2:$C$571=$D$1)*(A465&gt;Task_Table_02_26!$J$2:$J$571)*(A465&lt;Task_Table_02_26!$K$2:$K$571))</f>
        <v>0</v>
      </c>
      <c r="E465" cm="1">
        <f t="array" ref="E465">SUMPRODUCT((Task_Table_02_26!$C$2:$C$571=$E$1)*(A465&gt;Task_Table_02_26!$J$2:$J$571)*(A465&lt;Task_Table_02_26!$K$2:$K$571))</f>
        <v>5</v>
      </c>
    </row>
    <row r="466" spans="1:5">
      <c r="A466" s="5">
        <v>46334</v>
      </c>
      <c r="B466" cm="1">
        <f t="array" ref="B466">SUMPRODUCT((Task_Table_02_26!$C$2:$C$571=$B$1)*(A466&gt;Task_Table_02_26!$J$2:$J$571)*(A466&lt;Task_Table_02_26!$K$2:$K$571))</f>
        <v>1</v>
      </c>
      <c r="C466" cm="1">
        <f t="array" ref="C466">SUMPRODUCT((Task_Table_02_26!$C$2:$C$571=$C$1)*(A466&gt;Task_Table_02_26!$J$2:$J$571)*(A466&lt;Task_Table_02_26!$K$2:$K$571))</f>
        <v>3</v>
      </c>
      <c r="D466" cm="1">
        <f t="array" ref="D466">SUMPRODUCT((Task_Table_02_26!$C$2:$C$571=$D$1)*(A466&gt;Task_Table_02_26!$J$2:$J$571)*(A466&lt;Task_Table_02_26!$K$2:$K$571))</f>
        <v>0</v>
      </c>
      <c r="E466" cm="1">
        <f t="array" ref="E466">SUMPRODUCT((Task_Table_02_26!$C$2:$C$571=$E$1)*(A466&gt;Task_Table_02_26!$J$2:$J$571)*(A466&lt;Task_Table_02_26!$K$2:$K$571))</f>
        <v>5</v>
      </c>
    </row>
    <row r="467" spans="1:5">
      <c r="A467" s="5">
        <v>46335</v>
      </c>
      <c r="B467" cm="1">
        <f t="array" ref="B467">SUMPRODUCT((Task_Table_02_26!$C$2:$C$571=$B$1)*(A467&gt;Task_Table_02_26!$J$2:$J$571)*(A467&lt;Task_Table_02_26!$K$2:$K$571))</f>
        <v>1</v>
      </c>
      <c r="C467" cm="1">
        <f t="array" ref="C467">SUMPRODUCT((Task_Table_02_26!$C$2:$C$571=$C$1)*(A467&gt;Task_Table_02_26!$J$2:$J$571)*(A467&lt;Task_Table_02_26!$K$2:$K$571))</f>
        <v>3</v>
      </c>
      <c r="D467" cm="1">
        <f t="array" ref="D467">SUMPRODUCT((Task_Table_02_26!$C$2:$C$571=$D$1)*(A467&gt;Task_Table_02_26!$J$2:$J$571)*(A467&lt;Task_Table_02_26!$K$2:$K$571))</f>
        <v>0</v>
      </c>
      <c r="E467" cm="1">
        <f t="array" ref="E467">SUMPRODUCT((Task_Table_02_26!$C$2:$C$571=$E$1)*(A467&gt;Task_Table_02_26!$J$2:$J$571)*(A467&lt;Task_Table_02_26!$K$2:$K$571))</f>
        <v>5</v>
      </c>
    </row>
    <row r="468" spans="1:5">
      <c r="A468" s="5">
        <v>46336</v>
      </c>
      <c r="B468" cm="1">
        <f t="array" ref="B468">SUMPRODUCT((Task_Table_02_26!$C$2:$C$571=$B$1)*(A468&gt;Task_Table_02_26!$J$2:$J$571)*(A468&lt;Task_Table_02_26!$K$2:$K$571))</f>
        <v>1</v>
      </c>
      <c r="C468" cm="1">
        <f t="array" ref="C468">SUMPRODUCT((Task_Table_02_26!$C$2:$C$571=$C$1)*(A468&gt;Task_Table_02_26!$J$2:$J$571)*(A468&lt;Task_Table_02_26!$K$2:$K$571))</f>
        <v>3</v>
      </c>
      <c r="D468" cm="1">
        <f t="array" ref="D468">SUMPRODUCT((Task_Table_02_26!$C$2:$C$571=$D$1)*(A468&gt;Task_Table_02_26!$J$2:$J$571)*(A468&lt;Task_Table_02_26!$K$2:$K$571))</f>
        <v>0</v>
      </c>
      <c r="E468" cm="1">
        <f t="array" ref="E468">SUMPRODUCT((Task_Table_02_26!$C$2:$C$571=$E$1)*(A468&gt;Task_Table_02_26!$J$2:$J$571)*(A468&lt;Task_Table_02_26!$K$2:$K$571))</f>
        <v>5</v>
      </c>
    </row>
    <row r="469" spans="1:5">
      <c r="A469" s="5">
        <v>46337</v>
      </c>
      <c r="B469" cm="1">
        <f t="array" ref="B469">SUMPRODUCT((Task_Table_02_26!$C$2:$C$571=$B$1)*(A469&gt;Task_Table_02_26!$J$2:$J$571)*(A469&lt;Task_Table_02_26!$K$2:$K$571))</f>
        <v>1</v>
      </c>
      <c r="C469" cm="1">
        <f t="array" ref="C469">SUMPRODUCT((Task_Table_02_26!$C$2:$C$571=$C$1)*(A469&gt;Task_Table_02_26!$J$2:$J$571)*(A469&lt;Task_Table_02_26!$K$2:$K$571))</f>
        <v>3</v>
      </c>
      <c r="D469" cm="1">
        <f t="array" ref="D469">SUMPRODUCT((Task_Table_02_26!$C$2:$C$571=$D$1)*(A469&gt;Task_Table_02_26!$J$2:$J$571)*(A469&lt;Task_Table_02_26!$K$2:$K$571))</f>
        <v>0</v>
      </c>
      <c r="E469" cm="1">
        <f t="array" ref="E469">SUMPRODUCT((Task_Table_02_26!$C$2:$C$571=$E$1)*(A469&gt;Task_Table_02_26!$J$2:$J$571)*(A469&lt;Task_Table_02_26!$K$2:$K$571))</f>
        <v>5</v>
      </c>
    </row>
    <row r="470" spans="1:5">
      <c r="A470" s="5">
        <v>46338</v>
      </c>
      <c r="B470" cm="1">
        <f t="array" ref="B470">SUMPRODUCT((Task_Table_02_26!$C$2:$C$571=$B$1)*(A470&gt;Task_Table_02_26!$J$2:$J$571)*(A470&lt;Task_Table_02_26!$K$2:$K$571))</f>
        <v>1</v>
      </c>
      <c r="C470" cm="1">
        <f t="array" ref="C470">SUMPRODUCT((Task_Table_02_26!$C$2:$C$571=$C$1)*(A470&gt;Task_Table_02_26!$J$2:$J$571)*(A470&lt;Task_Table_02_26!$K$2:$K$571))</f>
        <v>3</v>
      </c>
      <c r="D470" cm="1">
        <f t="array" ref="D470">SUMPRODUCT((Task_Table_02_26!$C$2:$C$571=$D$1)*(A470&gt;Task_Table_02_26!$J$2:$J$571)*(A470&lt;Task_Table_02_26!$K$2:$K$571))</f>
        <v>0</v>
      </c>
      <c r="E470" cm="1">
        <f t="array" ref="E470">SUMPRODUCT((Task_Table_02_26!$C$2:$C$571=$E$1)*(A470&gt;Task_Table_02_26!$J$2:$J$571)*(A470&lt;Task_Table_02_26!$K$2:$K$571))</f>
        <v>5</v>
      </c>
    </row>
    <row r="471" spans="1:5">
      <c r="A471" s="5">
        <v>46339</v>
      </c>
      <c r="B471" cm="1">
        <f t="array" ref="B471">SUMPRODUCT((Task_Table_02_26!$C$2:$C$571=$B$1)*(A471&gt;Task_Table_02_26!$J$2:$J$571)*(A471&lt;Task_Table_02_26!$K$2:$K$571))</f>
        <v>1</v>
      </c>
      <c r="C471" cm="1">
        <f t="array" ref="C471">SUMPRODUCT((Task_Table_02_26!$C$2:$C$571=$C$1)*(A471&gt;Task_Table_02_26!$J$2:$J$571)*(A471&lt;Task_Table_02_26!$K$2:$K$571))</f>
        <v>3</v>
      </c>
      <c r="D471" cm="1">
        <f t="array" ref="D471">SUMPRODUCT((Task_Table_02_26!$C$2:$C$571=$D$1)*(A471&gt;Task_Table_02_26!$J$2:$J$571)*(A471&lt;Task_Table_02_26!$K$2:$K$571))</f>
        <v>0</v>
      </c>
      <c r="E471" cm="1">
        <f t="array" ref="E471">SUMPRODUCT((Task_Table_02_26!$C$2:$C$571=$E$1)*(A471&gt;Task_Table_02_26!$J$2:$J$571)*(A471&lt;Task_Table_02_26!$K$2:$K$571))</f>
        <v>5</v>
      </c>
    </row>
    <row r="472" spans="1:5">
      <c r="A472" s="5">
        <v>46340</v>
      </c>
      <c r="B472" cm="1">
        <f t="array" ref="B472">SUMPRODUCT((Task_Table_02_26!$C$2:$C$571=$B$1)*(A472&gt;Task_Table_02_26!$J$2:$J$571)*(A472&lt;Task_Table_02_26!$K$2:$K$571))</f>
        <v>1</v>
      </c>
      <c r="C472" cm="1">
        <f t="array" ref="C472">SUMPRODUCT((Task_Table_02_26!$C$2:$C$571=$C$1)*(A472&gt;Task_Table_02_26!$J$2:$J$571)*(A472&lt;Task_Table_02_26!$K$2:$K$571))</f>
        <v>3</v>
      </c>
      <c r="D472" cm="1">
        <f t="array" ref="D472">SUMPRODUCT((Task_Table_02_26!$C$2:$C$571=$D$1)*(A472&gt;Task_Table_02_26!$J$2:$J$571)*(A472&lt;Task_Table_02_26!$K$2:$K$571))</f>
        <v>0</v>
      </c>
      <c r="E472" cm="1">
        <f t="array" ref="E472">SUMPRODUCT((Task_Table_02_26!$C$2:$C$571=$E$1)*(A472&gt;Task_Table_02_26!$J$2:$J$571)*(A472&lt;Task_Table_02_26!$K$2:$K$571))</f>
        <v>5</v>
      </c>
    </row>
    <row r="473" spans="1:5">
      <c r="A473" s="5">
        <v>46341</v>
      </c>
      <c r="B473" cm="1">
        <f t="array" ref="B473">SUMPRODUCT((Task_Table_02_26!$C$2:$C$571=$B$1)*(A473&gt;Task_Table_02_26!$J$2:$J$571)*(A473&lt;Task_Table_02_26!$K$2:$K$571))</f>
        <v>1</v>
      </c>
      <c r="C473" cm="1">
        <f t="array" ref="C473">SUMPRODUCT((Task_Table_02_26!$C$2:$C$571=$C$1)*(A473&gt;Task_Table_02_26!$J$2:$J$571)*(A473&lt;Task_Table_02_26!$K$2:$K$571))</f>
        <v>3</v>
      </c>
      <c r="D473" cm="1">
        <f t="array" ref="D473">SUMPRODUCT((Task_Table_02_26!$C$2:$C$571=$D$1)*(A473&gt;Task_Table_02_26!$J$2:$J$571)*(A473&lt;Task_Table_02_26!$K$2:$K$571))</f>
        <v>0</v>
      </c>
      <c r="E473" cm="1">
        <f t="array" ref="E473">SUMPRODUCT((Task_Table_02_26!$C$2:$C$571=$E$1)*(A473&gt;Task_Table_02_26!$J$2:$J$571)*(A473&lt;Task_Table_02_26!$K$2:$K$571))</f>
        <v>5</v>
      </c>
    </row>
    <row r="474" spans="1:5">
      <c r="A474" s="5">
        <v>46342</v>
      </c>
      <c r="B474" cm="1">
        <f t="array" ref="B474">SUMPRODUCT((Task_Table_02_26!$C$2:$C$571=$B$1)*(A474&gt;Task_Table_02_26!$J$2:$J$571)*(A474&lt;Task_Table_02_26!$K$2:$K$571))</f>
        <v>1</v>
      </c>
      <c r="C474" cm="1">
        <f t="array" ref="C474">SUMPRODUCT((Task_Table_02_26!$C$2:$C$571=$C$1)*(A474&gt;Task_Table_02_26!$J$2:$J$571)*(A474&lt;Task_Table_02_26!$K$2:$K$571))</f>
        <v>3</v>
      </c>
      <c r="D474" cm="1">
        <f t="array" ref="D474">SUMPRODUCT((Task_Table_02_26!$C$2:$C$571=$D$1)*(A474&gt;Task_Table_02_26!$J$2:$J$571)*(A474&lt;Task_Table_02_26!$K$2:$K$571))</f>
        <v>0</v>
      </c>
      <c r="E474" cm="1">
        <f t="array" ref="E474">SUMPRODUCT((Task_Table_02_26!$C$2:$C$571=$E$1)*(A474&gt;Task_Table_02_26!$J$2:$J$571)*(A474&lt;Task_Table_02_26!$K$2:$K$571))</f>
        <v>5</v>
      </c>
    </row>
    <row r="475" spans="1:5">
      <c r="A475" s="5">
        <v>46343</v>
      </c>
      <c r="B475" cm="1">
        <f t="array" ref="B475">SUMPRODUCT((Task_Table_02_26!$C$2:$C$571=$B$1)*(A475&gt;Task_Table_02_26!$J$2:$J$571)*(A475&lt;Task_Table_02_26!$K$2:$K$571))</f>
        <v>1</v>
      </c>
      <c r="C475" cm="1">
        <f t="array" ref="C475">SUMPRODUCT((Task_Table_02_26!$C$2:$C$571=$C$1)*(A475&gt;Task_Table_02_26!$J$2:$J$571)*(A475&lt;Task_Table_02_26!$K$2:$K$571))</f>
        <v>3</v>
      </c>
      <c r="D475" cm="1">
        <f t="array" ref="D475">SUMPRODUCT((Task_Table_02_26!$C$2:$C$571=$D$1)*(A475&gt;Task_Table_02_26!$J$2:$J$571)*(A475&lt;Task_Table_02_26!$K$2:$K$571))</f>
        <v>0</v>
      </c>
      <c r="E475" cm="1">
        <f t="array" ref="E475">SUMPRODUCT((Task_Table_02_26!$C$2:$C$571=$E$1)*(A475&gt;Task_Table_02_26!$J$2:$J$571)*(A475&lt;Task_Table_02_26!$K$2:$K$571))</f>
        <v>5</v>
      </c>
    </row>
    <row r="476" spans="1:5">
      <c r="A476" s="5">
        <v>46344</v>
      </c>
      <c r="B476" cm="1">
        <f t="array" ref="B476">SUMPRODUCT((Task_Table_02_26!$C$2:$C$571=$B$1)*(A476&gt;Task_Table_02_26!$J$2:$J$571)*(A476&lt;Task_Table_02_26!$K$2:$K$571))</f>
        <v>1</v>
      </c>
      <c r="C476" cm="1">
        <f t="array" ref="C476">SUMPRODUCT((Task_Table_02_26!$C$2:$C$571=$C$1)*(A476&gt;Task_Table_02_26!$J$2:$J$571)*(A476&lt;Task_Table_02_26!$K$2:$K$571))</f>
        <v>3</v>
      </c>
      <c r="D476" cm="1">
        <f t="array" ref="D476">SUMPRODUCT((Task_Table_02_26!$C$2:$C$571=$D$1)*(A476&gt;Task_Table_02_26!$J$2:$J$571)*(A476&lt;Task_Table_02_26!$K$2:$K$571))</f>
        <v>0</v>
      </c>
      <c r="E476" cm="1">
        <f t="array" ref="E476">SUMPRODUCT((Task_Table_02_26!$C$2:$C$571=$E$1)*(A476&gt;Task_Table_02_26!$J$2:$J$571)*(A476&lt;Task_Table_02_26!$K$2:$K$571))</f>
        <v>5</v>
      </c>
    </row>
    <row r="477" spans="1:5">
      <c r="A477" s="5">
        <v>46345</v>
      </c>
      <c r="B477" cm="1">
        <f t="array" ref="B477">SUMPRODUCT((Task_Table_02_26!$C$2:$C$571=$B$1)*(A477&gt;Task_Table_02_26!$J$2:$J$571)*(A477&lt;Task_Table_02_26!$K$2:$K$571))</f>
        <v>1</v>
      </c>
      <c r="C477" cm="1">
        <f t="array" ref="C477">SUMPRODUCT((Task_Table_02_26!$C$2:$C$571=$C$1)*(A477&gt;Task_Table_02_26!$J$2:$J$571)*(A477&lt;Task_Table_02_26!$K$2:$K$571))</f>
        <v>3</v>
      </c>
      <c r="D477" cm="1">
        <f t="array" ref="D477">SUMPRODUCT((Task_Table_02_26!$C$2:$C$571=$D$1)*(A477&gt;Task_Table_02_26!$J$2:$J$571)*(A477&lt;Task_Table_02_26!$K$2:$K$571))</f>
        <v>0</v>
      </c>
      <c r="E477" cm="1">
        <f t="array" ref="E477">SUMPRODUCT((Task_Table_02_26!$C$2:$C$571=$E$1)*(A477&gt;Task_Table_02_26!$J$2:$J$571)*(A477&lt;Task_Table_02_26!$K$2:$K$571))</f>
        <v>5</v>
      </c>
    </row>
    <row r="478" spans="1:5">
      <c r="A478" s="5">
        <v>46346</v>
      </c>
      <c r="B478" cm="1">
        <f t="array" ref="B478">SUMPRODUCT((Task_Table_02_26!$C$2:$C$571=$B$1)*(A478&gt;Task_Table_02_26!$J$2:$J$571)*(A478&lt;Task_Table_02_26!$K$2:$K$571))</f>
        <v>1</v>
      </c>
      <c r="C478" cm="1">
        <f t="array" ref="C478">SUMPRODUCT((Task_Table_02_26!$C$2:$C$571=$C$1)*(A478&gt;Task_Table_02_26!$J$2:$J$571)*(A478&lt;Task_Table_02_26!$K$2:$K$571))</f>
        <v>3</v>
      </c>
      <c r="D478" cm="1">
        <f t="array" ref="D478">SUMPRODUCT((Task_Table_02_26!$C$2:$C$571=$D$1)*(A478&gt;Task_Table_02_26!$J$2:$J$571)*(A478&lt;Task_Table_02_26!$K$2:$K$571))</f>
        <v>0</v>
      </c>
      <c r="E478" cm="1">
        <f t="array" ref="E478">SUMPRODUCT((Task_Table_02_26!$C$2:$C$571=$E$1)*(A478&gt;Task_Table_02_26!$J$2:$J$571)*(A478&lt;Task_Table_02_26!$K$2:$K$571))</f>
        <v>5</v>
      </c>
    </row>
    <row r="479" spans="1:5">
      <c r="A479" s="5">
        <v>46347</v>
      </c>
      <c r="B479" cm="1">
        <f t="array" ref="B479">SUMPRODUCT((Task_Table_02_26!$C$2:$C$571=$B$1)*(A479&gt;Task_Table_02_26!$J$2:$J$571)*(A479&lt;Task_Table_02_26!$K$2:$K$571))</f>
        <v>1</v>
      </c>
      <c r="C479" cm="1">
        <f t="array" ref="C479">SUMPRODUCT((Task_Table_02_26!$C$2:$C$571=$C$1)*(A479&gt;Task_Table_02_26!$J$2:$J$571)*(A479&lt;Task_Table_02_26!$K$2:$K$571))</f>
        <v>3</v>
      </c>
      <c r="D479" cm="1">
        <f t="array" ref="D479">SUMPRODUCT((Task_Table_02_26!$C$2:$C$571=$D$1)*(A479&gt;Task_Table_02_26!$J$2:$J$571)*(A479&lt;Task_Table_02_26!$K$2:$K$571))</f>
        <v>0</v>
      </c>
      <c r="E479" cm="1">
        <f t="array" ref="E479">SUMPRODUCT((Task_Table_02_26!$C$2:$C$571=$E$1)*(A479&gt;Task_Table_02_26!$J$2:$J$571)*(A479&lt;Task_Table_02_26!$K$2:$K$571))</f>
        <v>5</v>
      </c>
    </row>
    <row r="480" spans="1:5">
      <c r="A480" s="5">
        <v>46348</v>
      </c>
      <c r="B480" cm="1">
        <f t="array" ref="B480">SUMPRODUCT((Task_Table_02_26!$C$2:$C$571=$B$1)*(A480&gt;Task_Table_02_26!$J$2:$J$571)*(A480&lt;Task_Table_02_26!$K$2:$K$571))</f>
        <v>1</v>
      </c>
      <c r="C480" cm="1">
        <f t="array" ref="C480">SUMPRODUCT((Task_Table_02_26!$C$2:$C$571=$C$1)*(A480&gt;Task_Table_02_26!$J$2:$J$571)*(A480&lt;Task_Table_02_26!$K$2:$K$571))</f>
        <v>3</v>
      </c>
      <c r="D480" cm="1">
        <f t="array" ref="D480">SUMPRODUCT((Task_Table_02_26!$C$2:$C$571=$D$1)*(A480&gt;Task_Table_02_26!$J$2:$J$571)*(A480&lt;Task_Table_02_26!$K$2:$K$571))</f>
        <v>0</v>
      </c>
      <c r="E480" cm="1">
        <f t="array" ref="E480">SUMPRODUCT((Task_Table_02_26!$C$2:$C$571=$E$1)*(A480&gt;Task_Table_02_26!$J$2:$J$571)*(A480&lt;Task_Table_02_26!$K$2:$K$571))</f>
        <v>5</v>
      </c>
    </row>
    <row r="481" spans="1:5">
      <c r="A481" s="5">
        <v>46349</v>
      </c>
      <c r="B481" cm="1">
        <f t="array" ref="B481">SUMPRODUCT((Task_Table_02_26!$C$2:$C$571=$B$1)*(A481&gt;Task_Table_02_26!$J$2:$J$571)*(A481&lt;Task_Table_02_26!$K$2:$K$571))</f>
        <v>1</v>
      </c>
      <c r="C481" cm="1">
        <f t="array" ref="C481">SUMPRODUCT((Task_Table_02_26!$C$2:$C$571=$C$1)*(A481&gt;Task_Table_02_26!$J$2:$J$571)*(A481&lt;Task_Table_02_26!$K$2:$K$571))</f>
        <v>3</v>
      </c>
      <c r="D481" cm="1">
        <f t="array" ref="D481">SUMPRODUCT((Task_Table_02_26!$C$2:$C$571=$D$1)*(A481&gt;Task_Table_02_26!$J$2:$J$571)*(A481&lt;Task_Table_02_26!$K$2:$K$571))</f>
        <v>0</v>
      </c>
      <c r="E481" cm="1">
        <f t="array" ref="E481">SUMPRODUCT((Task_Table_02_26!$C$2:$C$571=$E$1)*(A481&gt;Task_Table_02_26!$J$2:$J$571)*(A481&lt;Task_Table_02_26!$K$2:$K$571))</f>
        <v>5</v>
      </c>
    </row>
    <row r="482" spans="1:5">
      <c r="A482" s="5">
        <v>46350</v>
      </c>
      <c r="B482" cm="1">
        <f t="array" ref="B482">SUMPRODUCT((Task_Table_02_26!$C$2:$C$571=$B$1)*(A482&gt;Task_Table_02_26!$J$2:$J$571)*(A482&lt;Task_Table_02_26!$K$2:$K$571))</f>
        <v>1</v>
      </c>
      <c r="C482" cm="1">
        <f t="array" ref="C482">SUMPRODUCT((Task_Table_02_26!$C$2:$C$571=$C$1)*(A482&gt;Task_Table_02_26!$J$2:$J$571)*(A482&lt;Task_Table_02_26!$K$2:$K$571))</f>
        <v>3</v>
      </c>
      <c r="D482" cm="1">
        <f t="array" ref="D482">SUMPRODUCT((Task_Table_02_26!$C$2:$C$571=$D$1)*(A482&gt;Task_Table_02_26!$J$2:$J$571)*(A482&lt;Task_Table_02_26!$K$2:$K$571))</f>
        <v>0</v>
      </c>
      <c r="E482" cm="1">
        <f t="array" ref="E482">SUMPRODUCT((Task_Table_02_26!$C$2:$C$571=$E$1)*(A482&gt;Task_Table_02_26!$J$2:$J$571)*(A482&lt;Task_Table_02_26!$K$2:$K$571))</f>
        <v>5</v>
      </c>
    </row>
    <row r="483" spans="1:5">
      <c r="A483" s="5">
        <v>46351</v>
      </c>
      <c r="B483" cm="1">
        <f t="array" ref="B483">SUMPRODUCT((Task_Table_02_26!$C$2:$C$571=$B$1)*(A483&gt;Task_Table_02_26!$J$2:$J$571)*(A483&lt;Task_Table_02_26!$K$2:$K$571))</f>
        <v>1</v>
      </c>
      <c r="C483" cm="1">
        <f t="array" ref="C483">SUMPRODUCT((Task_Table_02_26!$C$2:$C$571=$C$1)*(A483&gt;Task_Table_02_26!$J$2:$J$571)*(A483&lt;Task_Table_02_26!$K$2:$K$571))</f>
        <v>3</v>
      </c>
      <c r="D483" cm="1">
        <f t="array" ref="D483">SUMPRODUCT((Task_Table_02_26!$C$2:$C$571=$D$1)*(A483&gt;Task_Table_02_26!$J$2:$J$571)*(A483&lt;Task_Table_02_26!$K$2:$K$571))</f>
        <v>0</v>
      </c>
      <c r="E483" cm="1">
        <f t="array" ref="E483">SUMPRODUCT((Task_Table_02_26!$C$2:$C$571=$E$1)*(A483&gt;Task_Table_02_26!$J$2:$J$571)*(A483&lt;Task_Table_02_26!$K$2:$K$571))</f>
        <v>5</v>
      </c>
    </row>
    <row r="484" spans="1:5">
      <c r="A484" s="5">
        <v>46352</v>
      </c>
      <c r="B484" cm="1">
        <f t="array" ref="B484">SUMPRODUCT((Task_Table_02_26!$C$2:$C$571=$B$1)*(A484&gt;Task_Table_02_26!$J$2:$J$571)*(A484&lt;Task_Table_02_26!$K$2:$K$571))</f>
        <v>1</v>
      </c>
      <c r="C484" cm="1">
        <f t="array" ref="C484">SUMPRODUCT((Task_Table_02_26!$C$2:$C$571=$C$1)*(A484&gt;Task_Table_02_26!$J$2:$J$571)*(A484&lt;Task_Table_02_26!$K$2:$K$571))</f>
        <v>3</v>
      </c>
      <c r="D484" cm="1">
        <f t="array" ref="D484">SUMPRODUCT((Task_Table_02_26!$C$2:$C$571=$D$1)*(A484&gt;Task_Table_02_26!$J$2:$J$571)*(A484&lt;Task_Table_02_26!$K$2:$K$571))</f>
        <v>0</v>
      </c>
      <c r="E484" cm="1">
        <f t="array" ref="E484">SUMPRODUCT((Task_Table_02_26!$C$2:$C$571=$E$1)*(A484&gt;Task_Table_02_26!$J$2:$J$571)*(A484&lt;Task_Table_02_26!$K$2:$K$571))</f>
        <v>5</v>
      </c>
    </row>
    <row r="485" spans="1:5">
      <c r="A485" s="5">
        <v>46353</v>
      </c>
      <c r="B485" cm="1">
        <f t="array" ref="B485">SUMPRODUCT((Task_Table_02_26!$C$2:$C$571=$B$1)*(A485&gt;Task_Table_02_26!$J$2:$J$571)*(A485&lt;Task_Table_02_26!$K$2:$K$571))</f>
        <v>1</v>
      </c>
      <c r="C485" cm="1">
        <f t="array" ref="C485">SUMPRODUCT((Task_Table_02_26!$C$2:$C$571=$C$1)*(A485&gt;Task_Table_02_26!$J$2:$J$571)*(A485&lt;Task_Table_02_26!$K$2:$K$571))</f>
        <v>3</v>
      </c>
      <c r="D485" cm="1">
        <f t="array" ref="D485">SUMPRODUCT((Task_Table_02_26!$C$2:$C$571=$D$1)*(A485&gt;Task_Table_02_26!$J$2:$J$571)*(A485&lt;Task_Table_02_26!$K$2:$K$571))</f>
        <v>0</v>
      </c>
      <c r="E485" cm="1">
        <f t="array" ref="E485">SUMPRODUCT((Task_Table_02_26!$C$2:$C$571=$E$1)*(A485&gt;Task_Table_02_26!$J$2:$J$571)*(A485&lt;Task_Table_02_26!$K$2:$K$571))</f>
        <v>5</v>
      </c>
    </row>
    <row r="486" spans="1:5">
      <c r="A486" s="5">
        <v>46354</v>
      </c>
      <c r="B486" cm="1">
        <f t="array" ref="B486">SUMPRODUCT((Task_Table_02_26!$C$2:$C$571=$B$1)*(A486&gt;Task_Table_02_26!$J$2:$J$571)*(A486&lt;Task_Table_02_26!$K$2:$K$571))</f>
        <v>1</v>
      </c>
      <c r="C486" cm="1">
        <f t="array" ref="C486">SUMPRODUCT((Task_Table_02_26!$C$2:$C$571=$C$1)*(A486&gt;Task_Table_02_26!$J$2:$J$571)*(A486&lt;Task_Table_02_26!$K$2:$K$571))</f>
        <v>3</v>
      </c>
      <c r="D486" cm="1">
        <f t="array" ref="D486">SUMPRODUCT((Task_Table_02_26!$C$2:$C$571=$D$1)*(A486&gt;Task_Table_02_26!$J$2:$J$571)*(A486&lt;Task_Table_02_26!$K$2:$K$571))</f>
        <v>0</v>
      </c>
      <c r="E486" cm="1">
        <f t="array" ref="E486">SUMPRODUCT((Task_Table_02_26!$C$2:$C$571=$E$1)*(A486&gt;Task_Table_02_26!$J$2:$J$571)*(A486&lt;Task_Table_02_26!$K$2:$K$571))</f>
        <v>5</v>
      </c>
    </row>
    <row r="487" spans="1:5">
      <c r="A487" s="5">
        <v>46355</v>
      </c>
      <c r="B487" cm="1">
        <f t="array" ref="B487">SUMPRODUCT((Task_Table_02_26!$C$2:$C$571=$B$1)*(A487&gt;Task_Table_02_26!$J$2:$J$571)*(A487&lt;Task_Table_02_26!$K$2:$K$571))</f>
        <v>1</v>
      </c>
      <c r="C487" cm="1">
        <f t="array" ref="C487">SUMPRODUCT((Task_Table_02_26!$C$2:$C$571=$C$1)*(A487&gt;Task_Table_02_26!$J$2:$J$571)*(A487&lt;Task_Table_02_26!$K$2:$K$571))</f>
        <v>3</v>
      </c>
      <c r="D487" cm="1">
        <f t="array" ref="D487">SUMPRODUCT((Task_Table_02_26!$C$2:$C$571=$D$1)*(A487&gt;Task_Table_02_26!$J$2:$J$571)*(A487&lt;Task_Table_02_26!$K$2:$K$571))</f>
        <v>0</v>
      </c>
      <c r="E487" cm="1">
        <f t="array" ref="E487">SUMPRODUCT((Task_Table_02_26!$C$2:$C$571=$E$1)*(A487&gt;Task_Table_02_26!$J$2:$J$571)*(A487&lt;Task_Table_02_26!$K$2:$K$571))</f>
        <v>5</v>
      </c>
    </row>
    <row r="488" spans="1:5">
      <c r="A488" s="5">
        <v>46356</v>
      </c>
      <c r="B488" cm="1">
        <f t="array" ref="B488">SUMPRODUCT((Task_Table_02_26!$C$2:$C$571=$B$1)*(A488&gt;Task_Table_02_26!$J$2:$J$571)*(A488&lt;Task_Table_02_26!$K$2:$K$571))</f>
        <v>1</v>
      </c>
      <c r="C488" cm="1">
        <f t="array" ref="C488">SUMPRODUCT((Task_Table_02_26!$C$2:$C$571=$C$1)*(A488&gt;Task_Table_02_26!$J$2:$J$571)*(A488&lt;Task_Table_02_26!$K$2:$K$571))</f>
        <v>3</v>
      </c>
      <c r="D488" cm="1">
        <f t="array" ref="D488">SUMPRODUCT((Task_Table_02_26!$C$2:$C$571=$D$1)*(A488&gt;Task_Table_02_26!$J$2:$J$571)*(A488&lt;Task_Table_02_26!$K$2:$K$571))</f>
        <v>0</v>
      </c>
      <c r="E488" cm="1">
        <f t="array" ref="E488">SUMPRODUCT((Task_Table_02_26!$C$2:$C$571=$E$1)*(A488&gt;Task_Table_02_26!$J$2:$J$571)*(A488&lt;Task_Table_02_26!$K$2:$K$571))</f>
        <v>3</v>
      </c>
    </row>
    <row r="489" spans="1:5">
      <c r="A489" s="5">
        <v>46357</v>
      </c>
      <c r="B489" cm="1">
        <f t="array" ref="B489">SUMPRODUCT((Task_Table_02_26!$C$2:$C$571=$B$1)*(A489&gt;Task_Table_02_26!$J$2:$J$571)*(A489&lt;Task_Table_02_26!$K$2:$K$571))</f>
        <v>1</v>
      </c>
      <c r="C489" cm="1">
        <f t="array" ref="C489">SUMPRODUCT((Task_Table_02_26!$C$2:$C$571=$C$1)*(A489&gt;Task_Table_02_26!$J$2:$J$571)*(A489&lt;Task_Table_02_26!$K$2:$K$571))</f>
        <v>3</v>
      </c>
      <c r="D489" cm="1">
        <f t="array" ref="D489">SUMPRODUCT((Task_Table_02_26!$C$2:$C$571=$D$1)*(A489&gt;Task_Table_02_26!$J$2:$J$571)*(A489&lt;Task_Table_02_26!$K$2:$K$571))</f>
        <v>0</v>
      </c>
      <c r="E489" cm="1">
        <f t="array" ref="E489">SUMPRODUCT((Task_Table_02_26!$C$2:$C$571=$E$1)*(A489&gt;Task_Table_02_26!$J$2:$J$571)*(A489&lt;Task_Table_02_26!$K$2:$K$571))</f>
        <v>3</v>
      </c>
    </row>
    <row r="490" spans="1:5">
      <c r="A490" s="5">
        <v>46358</v>
      </c>
      <c r="B490" cm="1">
        <f t="array" ref="B490">SUMPRODUCT((Task_Table_02_26!$C$2:$C$571=$B$1)*(A490&gt;Task_Table_02_26!$J$2:$J$571)*(A490&lt;Task_Table_02_26!$K$2:$K$571))</f>
        <v>1</v>
      </c>
      <c r="C490" cm="1">
        <f t="array" ref="C490">SUMPRODUCT((Task_Table_02_26!$C$2:$C$571=$C$1)*(A490&gt;Task_Table_02_26!$J$2:$J$571)*(A490&lt;Task_Table_02_26!$K$2:$K$571))</f>
        <v>3</v>
      </c>
      <c r="D490" cm="1">
        <f t="array" ref="D490">SUMPRODUCT((Task_Table_02_26!$C$2:$C$571=$D$1)*(A490&gt;Task_Table_02_26!$J$2:$J$571)*(A490&lt;Task_Table_02_26!$K$2:$K$571))</f>
        <v>0</v>
      </c>
      <c r="E490" cm="1">
        <f t="array" ref="E490">SUMPRODUCT((Task_Table_02_26!$C$2:$C$571=$E$1)*(A490&gt;Task_Table_02_26!$J$2:$J$571)*(A490&lt;Task_Table_02_26!$K$2:$K$571))</f>
        <v>3</v>
      </c>
    </row>
    <row r="491" spans="1:5">
      <c r="A491" s="5">
        <v>46359</v>
      </c>
      <c r="B491" cm="1">
        <f t="array" ref="B491">SUMPRODUCT((Task_Table_02_26!$C$2:$C$571=$B$1)*(A491&gt;Task_Table_02_26!$J$2:$J$571)*(A491&lt;Task_Table_02_26!$K$2:$K$571))</f>
        <v>1</v>
      </c>
      <c r="C491" cm="1">
        <f t="array" ref="C491">SUMPRODUCT((Task_Table_02_26!$C$2:$C$571=$C$1)*(A491&gt;Task_Table_02_26!$J$2:$J$571)*(A491&lt;Task_Table_02_26!$K$2:$K$571))</f>
        <v>3</v>
      </c>
      <c r="D491" cm="1">
        <f t="array" ref="D491">SUMPRODUCT((Task_Table_02_26!$C$2:$C$571=$D$1)*(A491&gt;Task_Table_02_26!$J$2:$J$571)*(A491&lt;Task_Table_02_26!$K$2:$K$571))</f>
        <v>0</v>
      </c>
      <c r="E491" cm="1">
        <f t="array" ref="E491">SUMPRODUCT((Task_Table_02_26!$C$2:$C$571=$E$1)*(A491&gt;Task_Table_02_26!$J$2:$J$571)*(A491&lt;Task_Table_02_26!$K$2:$K$571))</f>
        <v>3</v>
      </c>
    </row>
    <row r="492" spans="1:5">
      <c r="A492" s="5">
        <v>46360</v>
      </c>
      <c r="B492" cm="1">
        <f t="array" ref="B492">SUMPRODUCT((Task_Table_02_26!$C$2:$C$571=$B$1)*(A492&gt;Task_Table_02_26!$J$2:$J$571)*(A492&lt;Task_Table_02_26!$K$2:$K$571))</f>
        <v>1</v>
      </c>
      <c r="C492" cm="1">
        <f t="array" ref="C492">SUMPRODUCT((Task_Table_02_26!$C$2:$C$571=$C$1)*(A492&gt;Task_Table_02_26!$J$2:$J$571)*(A492&lt;Task_Table_02_26!$K$2:$K$571))</f>
        <v>3</v>
      </c>
      <c r="D492" cm="1">
        <f t="array" ref="D492">SUMPRODUCT((Task_Table_02_26!$C$2:$C$571=$D$1)*(A492&gt;Task_Table_02_26!$J$2:$J$571)*(A492&lt;Task_Table_02_26!$K$2:$K$571))</f>
        <v>0</v>
      </c>
      <c r="E492" cm="1">
        <f t="array" ref="E492">SUMPRODUCT((Task_Table_02_26!$C$2:$C$571=$E$1)*(A492&gt;Task_Table_02_26!$J$2:$J$571)*(A492&lt;Task_Table_02_26!$K$2:$K$571))</f>
        <v>3</v>
      </c>
    </row>
    <row r="493" spans="1:5">
      <c r="A493" s="5">
        <v>46361</v>
      </c>
      <c r="B493" cm="1">
        <f t="array" ref="B493">SUMPRODUCT((Task_Table_02_26!$C$2:$C$571=$B$1)*(A493&gt;Task_Table_02_26!$J$2:$J$571)*(A493&lt;Task_Table_02_26!$K$2:$K$571))</f>
        <v>1</v>
      </c>
      <c r="C493" cm="1">
        <f t="array" ref="C493">SUMPRODUCT((Task_Table_02_26!$C$2:$C$571=$C$1)*(A493&gt;Task_Table_02_26!$J$2:$J$571)*(A493&lt;Task_Table_02_26!$K$2:$K$571))</f>
        <v>3</v>
      </c>
      <c r="D493" cm="1">
        <f t="array" ref="D493">SUMPRODUCT((Task_Table_02_26!$C$2:$C$571=$D$1)*(A493&gt;Task_Table_02_26!$J$2:$J$571)*(A493&lt;Task_Table_02_26!$K$2:$K$571))</f>
        <v>0</v>
      </c>
      <c r="E493" cm="1">
        <f t="array" ref="E493">SUMPRODUCT((Task_Table_02_26!$C$2:$C$571=$E$1)*(A493&gt;Task_Table_02_26!$J$2:$J$571)*(A493&lt;Task_Table_02_26!$K$2:$K$571))</f>
        <v>3</v>
      </c>
    </row>
    <row r="494" spans="1:5">
      <c r="A494" s="5">
        <v>46362</v>
      </c>
      <c r="B494" cm="1">
        <f t="array" ref="B494">SUMPRODUCT((Task_Table_02_26!$C$2:$C$571=$B$1)*(A494&gt;Task_Table_02_26!$J$2:$J$571)*(A494&lt;Task_Table_02_26!$K$2:$K$571))</f>
        <v>1</v>
      </c>
      <c r="C494" cm="1">
        <f t="array" ref="C494">SUMPRODUCT((Task_Table_02_26!$C$2:$C$571=$C$1)*(A494&gt;Task_Table_02_26!$J$2:$J$571)*(A494&lt;Task_Table_02_26!$K$2:$K$571))</f>
        <v>3</v>
      </c>
      <c r="D494" cm="1">
        <f t="array" ref="D494">SUMPRODUCT((Task_Table_02_26!$C$2:$C$571=$D$1)*(A494&gt;Task_Table_02_26!$J$2:$J$571)*(A494&lt;Task_Table_02_26!$K$2:$K$571))</f>
        <v>0</v>
      </c>
      <c r="E494" cm="1">
        <f t="array" ref="E494">SUMPRODUCT((Task_Table_02_26!$C$2:$C$571=$E$1)*(A494&gt;Task_Table_02_26!$J$2:$J$571)*(A494&lt;Task_Table_02_26!$K$2:$K$571))</f>
        <v>3</v>
      </c>
    </row>
    <row r="495" spans="1:5">
      <c r="A495" s="5">
        <v>46363</v>
      </c>
      <c r="B495" cm="1">
        <f t="array" ref="B495">SUMPRODUCT((Task_Table_02_26!$C$2:$C$571=$B$1)*(A495&gt;Task_Table_02_26!$J$2:$J$571)*(A495&lt;Task_Table_02_26!$K$2:$K$571))</f>
        <v>1</v>
      </c>
      <c r="C495" cm="1">
        <f t="array" ref="C495">SUMPRODUCT((Task_Table_02_26!$C$2:$C$571=$C$1)*(A495&gt;Task_Table_02_26!$J$2:$J$571)*(A495&lt;Task_Table_02_26!$K$2:$K$571))</f>
        <v>3</v>
      </c>
      <c r="D495" cm="1">
        <f t="array" ref="D495">SUMPRODUCT((Task_Table_02_26!$C$2:$C$571=$D$1)*(A495&gt;Task_Table_02_26!$J$2:$J$571)*(A495&lt;Task_Table_02_26!$K$2:$K$571))</f>
        <v>0</v>
      </c>
      <c r="E495" cm="1">
        <f t="array" ref="E495">SUMPRODUCT((Task_Table_02_26!$C$2:$C$571=$E$1)*(A495&gt;Task_Table_02_26!$J$2:$J$571)*(A495&lt;Task_Table_02_26!$K$2:$K$571))</f>
        <v>3</v>
      </c>
    </row>
    <row r="496" spans="1:5">
      <c r="A496" s="5">
        <v>46364</v>
      </c>
      <c r="B496" cm="1">
        <f t="array" ref="B496">SUMPRODUCT((Task_Table_02_26!$C$2:$C$571=$B$1)*(A496&gt;Task_Table_02_26!$J$2:$J$571)*(A496&lt;Task_Table_02_26!$K$2:$K$571))</f>
        <v>1</v>
      </c>
      <c r="C496" cm="1">
        <f t="array" ref="C496">SUMPRODUCT((Task_Table_02_26!$C$2:$C$571=$C$1)*(A496&gt;Task_Table_02_26!$J$2:$J$571)*(A496&lt;Task_Table_02_26!$K$2:$K$571))</f>
        <v>3</v>
      </c>
      <c r="D496" cm="1">
        <f t="array" ref="D496">SUMPRODUCT((Task_Table_02_26!$C$2:$C$571=$D$1)*(A496&gt;Task_Table_02_26!$J$2:$J$571)*(A496&lt;Task_Table_02_26!$K$2:$K$571))</f>
        <v>0</v>
      </c>
      <c r="E496" cm="1">
        <f t="array" ref="E496">SUMPRODUCT((Task_Table_02_26!$C$2:$C$571=$E$1)*(A496&gt;Task_Table_02_26!$J$2:$J$571)*(A496&lt;Task_Table_02_26!$K$2:$K$571))</f>
        <v>3</v>
      </c>
    </row>
    <row r="497" spans="1:5">
      <c r="A497" s="5">
        <v>46365</v>
      </c>
      <c r="B497" cm="1">
        <f t="array" ref="B497">SUMPRODUCT((Task_Table_02_26!$C$2:$C$571=$B$1)*(A497&gt;Task_Table_02_26!$J$2:$J$571)*(A497&lt;Task_Table_02_26!$K$2:$K$571))</f>
        <v>1</v>
      </c>
      <c r="C497" cm="1">
        <f t="array" ref="C497">SUMPRODUCT((Task_Table_02_26!$C$2:$C$571=$C$1)*(A497&gt;Task_Table_02_26!$J$2:$J$571)*(A497&lt;Task_Table_02_26!$K$2:$K$571))</f>
        <v>3</v>
      </c>
      <c r="D497" cm="1">
        <f t="array" ref="D497">SUMPRODUCT((Task_Table_02_26!$C$2:$C$571=$D$1)*(A497&gt;Task_Table_02_26!$J$2:$J$571)*(A497&lt;Task_Table_02_26!$K$2:$K$571))</f>
        <v>0</v>
      </c>
      <c r="E497" cm="1">
        <f t="array" ref="E497">SUMPRODUCT((Task_Table_02_26!$C$2:$C$571=$E$1)*(A497&gt;Task_Table_02_26!$J$2:$J$571)*(A497&lt;Task_Table_02_26!$K$2:$K$571))</f>
        <v>3</v>
      </c>
    </row>
    <row r="498" spans="1:5">
      <c r="A498" s="5">
        <v>46366</v>
      </c>
      <c r="B498" cm="1">
        <f t="array" ref="B498">SUMPRODUCT((Task_Table_02_26!$C$2:$C$571=$B$1)*(A498&gt;Task_Table_02_26!$J$2:$J$571)*(A498&lt;Task_Table_02_26!$K$2:$K$571))</f>
        <v>1</v>
      </c>
      <c r="C498" cm="1">
        <f t="array" ref="C498">SUMPRODUCT((Task_Table_02_26!$C$2:$C$571=$C$1)*(A498&gt;Task_Table_02_26!$J$2:$J$571)*(A498&lt;Task_Table_02_26!$K$2:$K$571))</f>
        <v>3</v>
      </c>
      <c r="D498" cm="1">
        <f t="array" ref="D498">SUMPRODUCT((Task_Table_02_26!$C$2:$C$571=$D$1)*(A498&gt;Task_Table_02_26!$J$2:$J$571)*(A498&lt;Task_Table_02_26!$K$2:$K$571))</f>
        <v>0</v>
      </c>
      <c r="E498" cm="1">
        <f t="array" ref="E498">SUMPRODUCT((Task_Table_02_26!$C$2:$C$571=$E$1)*(A498&gt;Task_Table_02_26!$J$2:$J$571)*(A498&lt;Task_Table_02_26!$K$2:$K$571))</f>
        <v>3</v>
      </c>
    </row>
    <row r="499" spans="1:5">
      <c r="A499" s="5">
        <v>46367</v>
      </c>
      <c r="B499" cm="1">
        <f t="array" ref="B499">SUMPRODUCT((Task_Table_02_26!$C$2:$C$571=$B$1)*(A499&gt;Task_Table_02_26!$J$2:$J$571)*(A499&lt;Task_Table_02_26!$K$2:$K$571))</f>
        <v>1</v>
      </c>
      <c r="C499" cm="1">
        <f t="array" ref="C499">SUMPRODUCT((Task_Table_02_26!$C$2:$C$571=$C$1)*(A499&gt;Task_Table_02_26!$J$2:$J$571)*(A499&lt;Task_Table_02_26!$K$2:$K$571))</f>
        <v>3</v>
      </c>
      <c r="D499" cm="1">
        <f t="array" ref="D499">SUMPRODUCT((Task_Table_02_26!$C$2:$C$571=$D$1)*(A499&gt;Task_Table_02_26!$J$2:$J$571)*(A499&lt;Task_Table_02_26!$K$2:$K$571))</f>
        <v>0</v>
      </c>
      <c r="E499" cm="1">
        <f t="array" ref="E499">SUMPRODUCT((Task_Table_02_26!$C$2:$C$571=$E$1)*(A499&gt;Task_Table_02_26!$J$2:$J$571)*(A499&lt;Task_Table_02_26!$K$2:$K$571))</f>
        <v>3</v>
      </c>
    </row>
    <row r="500" spans="1:5">
      <c r="A500" s="5">
        <v>46368</v>
      </c>
      <c r="B500" cm="1">
        <f t="array" ref="B500">SUMPRODUCT((Task_Table_02_26!$C$2:$C$571=$B$1)*(A500&gt;Task_Table_02_26!$J$2:$J$571)*(A500&lt;Task_Table_02_26!$K$2:$K$571))</f>
        <v>1</v>
      </c>
      <c r="C500" cm="1">
        <f t="array" ref="C500">SUMPRODUCT((Task_Table_02_26!$C$2:$C$571=$C$1)*(A500&gt;Task_Table_02_26!$J$2:$J$571)*(A500&lt;Task_Table_02_26!$K$2:$K$571))</f>
        <v>3</v>
      </c>
      <c r="D500" cm="1">
        <f t="array" ref="D500">SUMPRODUCT((Task_Table_02_26!$C$2:$C$571=$D$1)*(A500&gt;Task_Table_02_26!$J$2:$J$571)*(A500&lt;Task_Table_02_26!$K$2:$K$571))</f>
        <v>0</v>
      </c>
      <c r="E500" cm="1">
        <f t="array" ref="E500">SUMPRODUCT((Task_Table_02_26!$C$2:$C$571=$E$1)*(A500&gt;Task_Table_02_26!$J$2:$J$571)*(A500&lt;Task_Table_02_26!$K$2:$K$571))</f>
        <v>3</v>
      </c>
    </row>
    <row r="501" spans="1:5">
      <c r="A501" s="5">
        <v>46369</v>
      </c>
      <c r="B501" cm="1">
        <f t="array" ref="B501">SUMPRODUCT((Task_Table_02_26!$C$2:$C$571=$B$1)*(A501&gt;Task_Table_02_26!$J$2:$J$571)*(A501&lt;Task_Table_02_26!$K$2:$K$571))</f>
        <v>1</v>
      </c>
      <c r="C501" cm="1">
        <f t="array" ref="C501">SUMPRODUCT((Task_Table_02_26!$C$2:$C$571=$C$1)*(A501&gt;Task_Table_02_26!$J$2:$J$571)*(A501&lt;Task_Table_02_26!$K$2:$K$571))</f>
        <v>3</v>
      </c>
      <c r="D501" cm="1">
        <f t="array" ref="D501">SUMPRODUCT((Task_Table_02_26!$C$2:$C$571=$D$1)*(A501&gt;Task_Table_02_26!$J$2:$J$571)*(A501&lt;Task_Table_02_26!$K$2:$K$571))</f>
        <v>0</v>
      </c>
      <c r="E501" cm="1">
        <f t="array" ref="E501">SUMPRODUCT((Task_Table_02_26!$C$2:$C$571=$E$1)*(A501&gt;Task_Table_02_26!$J$2:$J$571)*(A501&lt;Task_Table_02_26!$K$2:$K$571))</f>
        <v>3</v>
      </c>
    </row>
    <row r="502" spans="1:5">
      <c r="A502" s="5">
        <v>46370</v>
      </c>
      <c r="B502" cm="1">
        <f t="array" ref="B502">SUMPRODUCT((Task_Table_02_26!$C$2:$C$571=$B$1)*(A502&gt;Task_Table_02_26!$J$2:$J$571)*(A502&lt;Task_Table_02_26!$K$2:$K$571))</f>
        <v>1</v>
      </c>
      <c r="C502" cm="1">
        <f t="array" ref="C502">SUMPRODUCT((Task_Table_02_26!$C$2:$C$571=$C$1)*(A502&gt;Task_Table_02_26!$J$2:$J$571)*(A502&lt;Task_Table_02_26!$K$2:$K$571))</f>
        <v>3</v>
      </c>
      <c r="D502" cm="1">
        <f t="array" ref="D502">SUMPRODUCT((Task_Table_02_26!$C$2:$C$571=$D$1)*(A502&gt;Task_Table_02_26!$J$2:$J$571)*(A502&lt;Task_Table_02_26!$K$2:$K$571))</f>
        <v>0</v>
      </c>
      <c r="E502" cm="1">
        <f t="array" ref="E502">SUMPRODUCT((Task_Table_02_26!$C$2:$C$571=$E$1)*(A502&gt;Task_Table_02_26!$J$2:$J$571)*(A502&lt;Task_Table_02_26!$K$2:$K$571))</f>
        <v>3</v>
      </c>
    </row>
    <row r="503" spans="1:5">
      <c r="A503" s="5">
        <v>46371</v>
      </c>
      <c r="B503" cm="1">
        <f t="array" ref="B503">SUMPRODUCT((Task_Table_02_26!$C$2:$C$571=$B$1)*(A503&gt;Task_Table_02_26!$J$2:$J$571)*(A503&lt;Task_Table_02_26!$K$2:$K$571))</f>
        <v>1</v>
      </c>
      <c r="C503" cm="1">
        <f t="array" ref="C503">SUMPRODUCT((Task_Table_02_26!$C$2:$C$571=$C$1)*(A503&gt;Task_Table_02_26!$J$2:$J$571)*(A503&lt;Task_Table_02_26!$K$2:$K$571))</f>
        <v>3</v>
      </c>
      <c r="D503" cm="1">
        <f t="array" ref="D503">SUMPRODUCT((Task_Table_02_26!$C$2:$C$571=$D$1)*(A503&gt;Task_Table_02_26!$J$2:$J$571)*(A503&lt;Task_Table_02_26!$K$2:$K$571))</f>
        <v>0</v>
      </c>
      <c r="E503" cm="1">
        <f t="array" ref="E503">SUMPRODUCT((Task_Table_02_26!$C$2:$C$571=$E$1)*(A503&gt;Task_Table_02_26!$J$2:$J$571)*(A503&lt;Task_Table_02_26!$K$2:$K$571))</f>
        <v>3</v>
      </c>
    </row>
    <row r="504" spans="1:5">
      <c r="A504" s="5">
        <v>46372</v>
      </c>
      <c r="B504" cm="1">
        <f t="array" ref="B504">SUMPRODUCT((Task_Table_02_26!$C$2:$C$571=$B$1)*(A504&gt;Task_Table_02_26!$J$2:$J$571)*(A504&lt;Task_Table_02_26!$K$2:$K$571))</f>
        <v>1</v>
      </c>
      <c r="C504" cm="1">
        <f t="array" ref="C504">SUMPRODUCT((Task_Table_02_26!$C$2:$C$571=$C$1)*(A504&gt;Task_Table_02_26!$J$2:$J$571)*(A504&lt;Task_Table_02_26!$K$2:$K$571))</f>
        <v>3</v>
      </c>
      <c r="D504" cm="1">
        <f t="array" ref="D504">SUMPRODUCT((Task_Table_02_26!$C$2:$C$571=$D$1)*(A504&gt;Task_Table_02_26!$J$2:$J$571)*(A504&lt;Task_Table_02_26!$K$2:$K$571))</f>
        <v>0</v>
      </c>
      <c r="E504" cm="1">
        <f t="array" ref="E504">SUMPRODUCT((Task_Table_02_26!$C$2:$C$571=$E$1)*(A504&gt;Task_Table_02_26!$J$2:$J$571)*(A504&lt;Task_Table_02_26!$K$2:$K$571))</f>
        <v>3</v>
      </c>
    </row>
    <row r="505" spans="1:5">
      <c r="A505" s="5">
        <v>46373</v>
      </c>
      <c r="B505" cm="1">
        <f t="array" ref="B505">SUMPRODUCT((Task_Table_02_26!$C$2:$C$571=$B$1)*(A505&gt;Task_Table_02_26!$J$2:$J$571)*(A505&lt;Task_Table_02_26!$K$2:$K$571))</f>
        <v>1</v>
      </c>
      <c r="C505" cm="1">
        <f t="array" ref="C505">SUMPRODUCT((Task_Table_02_26!$C$2:$C$571=$C$1)*(A505&gt;Task_Table_02_26!$J$2:$J$571)*(A505&lt;Task_Table_02_26!$K$2:$K$571))</f>
        <v>3</v>
      </c>
      <c r="D505" cm="1">
        <f t="array" ref="D505">SUMPRODUCT((Task_Table_02_26!$C$2:$C$571=$D$1)*(A505&gt;Task_Table_02_26!$J$2:$J$571)*(A505&lt;Task_Table_02_26!$K$2:$K$571))</f>
        <v>0</v>
      </c>
      <c r="E505" cm="1">
        <f t="array" ref="E505">SUMPRODUCT((Task_Table_02_26!$C$2:$C$571=$E$1)*(A505&gt;Task_Table_02_26!$J$2:$J$571)*(A505&lt;Task_Table_02_26!$K$2:$K$571))</f>
        <v>3</v>
      </c>
    </row>
    <row r="506" spans="1:5">
      <c r="A506" s="5">
        <v>46374</v>
      </c>
      <c r="B506" cm="1">
        <f t="array" ref="B506">SUMPRODUCT((Task_Table_02_26!$C$2:$C$571=$B$1)*(A506&gt;Task_Table_02_26!$J$2:$J$571)*(A506&lt;Task_Table_02_26!$K$2:$K$571))</f>
        <v>1</v>
      </c>
      <c r="C506" cm="1">
        <f t="array" ref="C506">SUMPRODUCT((Task_Table_02_26!$C$2:$C$571=$C$1)*(A506&gt;Task_Table_02_26!$J$2:$J$571)*(A506&lt;Task_Table_02_26!$K$2:$K$571))</f>
        <v>3</v>
      </c>
      <c r="D506" cm="1">
        <f t="array" ref="D506">SUMPRODUCT((Task_Table_02_26!$C$2:$C$571=$D$1)*(A506&gt;Task_Table_02_26!$J$2:$J$571)*(A506&lt;Task_Table_02_26!$K$2:$K$571))</f>
        <v>0</v>
      </c>
      <c r="E506" cm="1">
        <f t="array" ref="E506">SUMPRODUCT((Task_Table_02_26!$C$2:$C$571=$E$1)*(A506&gt;Task_Table_02_26!$J$2:$J$571)*(A506&lt;Task_Table_02_26!$K$2:$K$571))</f>
        <v>3</v>
      </c>
    </row>
    <row r="507" spans="1:5">
      <c r="A507" s="5">
        <v>46375</v>
      </c>
      <c r="B507" cm="1">
        <f t="array" ref="B507">SUMPRODUCT((Task_Table_02_26!$C$2:$C$571=$B$1)*(A507&gt;Task_Table_02_26!$J$2:$J$571)*(A507&lt;Task_Table_02_26!$K$2:$K$571))</f>
        <v>1</v>
      </c>
      <c r="C507" cm="1">
        <f t="array" ref="C507">SUMPRODUCT((Task_Table_02_26!$C$2:$C$571=$C$1)*(A507&gt;Task_Table_02_26!$J$2:$J$571)*(A507&lt;Task_Table_02_26!$K$2:$K$571))</f>
        <v>3</v>
      </c>
      <c r="D507" cm="1">
        <f t="array" ref="D507">SUMPRODUCT((Task_Table_02_26!$C$2:$C$571=$D$1)*(A507&gt;Task_Table_02_26!$J$2:$J$571)*(A507&lt;Task_Table_02_26!$K$2:$K$571))</f>
        <v>0</v>
      </c>
      <c r="E507" cm="1">
        <f t="array" ref="E507">SUMPRODUCT((Task_Table_02_26!$C$2:$C$571=$E$1)*(A507&gt;Task_Table_02_26!$J$2:$J$571)*(A507&lt;Task_Table_02_26!$K$2:$K$571))</f>
        <v>3</v>
      </c>
    </row>
    <row r="508" spans="1:5">
      <c r="A508" s="5">
        <v>46376</v>
      </c>
      <c r="B508" cm="1">
        <f t="array" ref="B508">SUMPRODUCT((Task_Table_02_26!$C$2:$C$571=$B$1)*(A508&gt;Task_Table_02_26!$J$2:$J$571)*(A508&lt;Task_Table_02_26!$K$2:$K$571))</f>
        <v>1</v>
      </c>
      <c r="C508" cm="1">
        <f t="array" ref="C508">SUMPRODUCT((Task_Table_02_26!$C$2:$C$571=$C$1)*(A508&gt;Task_Table_02_26!$J$2:$J$571)*(A508&lt;Task_Table_02_26!$K$2:$K$571))</f>
        <v>3</v>
      </c>
      <c r="D508" cm="1">
        <f t="array" ref="D508">SUMPRODUCT((Task_Table_02_26!$C$2:$C$571=$D$1)*(A508&gt;Task_Table_02_26!$J$2:$J$571)*(A508&lt;Task_Table_02_26!$K$2:$K$571))</f>
        <v>0</v>
      </c>
      <c r="E508" cm="1">
        <f t="array" ref="E508">SUMPRODUCT((Task_Table_02_26!$C$2:$C$571=$E$1)*(A508&gt;Task_Table_02_26!$J$2:$J$571)*(A508&lt;Task_Table_02_26!$K$2:$K$571))</f>
        <v>3</v>
      </c>
    </row>
    <row r="509" spans="1:5">
      <c r="A509" s="5">
        <v>46377</v>
      </c>
      <c r="B509" cm="1">
        <f t="array" ref="B509">SUMPRODUCT((Task_Table_02_26!$C$2:$C$571=$B$1)*(A509&gt;Task_Table_02_26!$J$2:$J$571)*(A509&lt;Task_Table_02_26!$K$2:$K$571))</f>
        <v>1</v>
      </c>
      <c r="C509" cm="1">
        <f t="array" ref="C509">SUMPRODUCT((Task_Table_02_26!$C$2:$C$571=$C$1)*(A509&gt;Task_Table_02_26!$J$2:$J$571)*(A509&lt;Task_Table_02_26!$K$2:$K$571))</f>
        <v>3</v>
      </c>
      <c r="D509" cm="1">
        <f t="array" ref="D509">SUMPRODUCT((Task_Table_02_26!$C$2:$C$571=$D$1)*(A509&gt;Task_Table_02_26!$J$2:$J$571)*(A509&lt;Task_Table_02_26!$K$2:$K$571))</f>
        <v>0</v>
      </c>
      <c r="E509" cm="1">
        <f t="array" ref="E509">SUMPRODUCT((Task_Table_02_26!$C$2:$C$571=$E$1)*(A509&gt;Task_Table_02_26!$J$2:$J$571)*(A509&lt;Task_Table_02_26!$K$2:$K$571))</f>
        <v>3</v>
      </c>
    </row>
    <row r="510" spans="1:5">
      <c r="A510" s="5">
        <v>46378</v>
      </c>
      <c r="B510" cm="1">
        <f t="array" ref="B510">SUMPRODUCT((Task_Table_02_26!$C$2:$C$571=$B$1)*(A510&gt;Task_Table_02_26!$J$2:$J$571)*(A510&lt;Task_Table_02_26!$K$2:$K$571))</f>
        <v>1</v>
      </c>
      <c r="C510" cm="1">
        <f t="array" ref="C510">SUMPRODUCT((Task_Table_02_26!$C$2:$C$571=$C$1)*(A510&gt;Task_Table_02_26!$J$2:$J$571)*(A510&lt;Task_Table_02_26!$K$2:$K$571))</f>
        <v>3</v>
      </c>
      <c r="D510" cm="1">
        <f t="array" ref="D510">SUMPRODUCT((Task_Table_02_26!$C$2:$C$571=$D$1)*(A510&gt;Task_Table_02_26!$J$2:$J$571)*(A510&lt;Task_Table_02_26!$K$2:$K$571))</f>
        <v>0</v>
      </c>
      <c r="E510" cm="1">
        <f t="array" ref="E510">SUMPRODUCT((Task_Table_02_26!$C$2:$C$571=$E$1)*(A510&gt;Task_Table_02_26!$J$2:$J$571)*(A510&lt;Task_Table_02_26!$K$2:$K$571))</f>
        <v>3</v>
      </c>
    </row>
    <row r="511" spans="1:5">
      <c r="A511" s="5">
        <v>46379</v>
      </c>
      <c r="B511" cm="1">
        <f t="array" ref="B511">SUMPRODUCT((Task_Table_02_26!$C$2:$C$571=$B$1)*(A511&gt;Task_Table_02_26!$J$2:$J$571)*(A511&lt;Task_Table_02_26!$K$2:$K$571))</f>
        <v>1</v>
      </c>
      <c r="C511" cm="1">
        <f t="array" ref="C511">SUMPRODUCT((Task_Table_02_26!$C$2:$C$571=$C$1)*(A511&gt;Task_Table_02_26!$J$2:$J$571)*(A511&lt;Task_Table_02_26!$K$2:$K$571))</f>
        <v>0</v>
      </c>
      <c r="D511" cm="1">
        <f t="array" ref="D511">SUMPRODUCT((Task_Table_02_26!$C$2:$C$571=$D$1)*(A511&gt;Task_Table_02_26!$J$2:$J$571)*(A511&lt;Task_Table_02_26!$K$2:$K$571))</f>
        <v>0</v>
      </c>
      <c r="E511" cm="1">
        <f t="array" ref="E511">SUMPRODUCT((Task_Table_02_26!$C$2:$C$571=$E$1)*(A511&gt;Task_Table_02_26!$J$2:$J$571)*(A511&lt;Task_Table_02_26!$K$2:$K$571))</f>
        <v>3</v>
      </c>
    </row>
    <row r="512" spans="1:5">
      <c r="A512" s="5">
        <v>46380</v>
      </c>
      <c r="B512" cm="1">
        <f t="array" ref="B512">SUMPRODUCT((Task_Table_02_26!$C$2:$C$571=$B$1)*(A512&gt;Task_Table_02_26!$J$2:$J$571)*(A512&lt;Task_Table_02_26!$K$2:$K$571))</f>
        <v>1</v>
      </c>
      <c r="C512" cm="1">
        <f t="array" ref="C512">SUMPRODUCT((Task_Table_02_26!$C$2:$C$571=$C$1)*(A512&gt;Task_Table_02_26!$J$2:$J$571)*(A512&lt;Task_Table_02_26!$K$2:$K$571))</f>
        <v>0</v>
      </c>
      <c r="D512" cm="1">
        <f t="array" ref="D512">SUMPRODUCT((Task_Table_02_26!$C$2:$C$571=$D$1)*(A512&gt;Task_Table_02_26!$J$2:$J$571)*(A512&lt;Task_Table_02_26!$K$2:$K$571))</f>
        <v>0</v>
      </c>
      <c r="E512" cm="1">
        <f t="array" ref="E512">SUMPRODUCT((Task_Table_02_26!$C$2:$C$571=$E$1)*(A512&gt;Task_Table_02_26!$J$2:$J$571)*(A512&lt;Task_Table_02_26!$K$2:$K$571))</f>
        <v>3</v>
      </c>
    </row>
    <row r="513" spans="1:5">
      <c r="A513" s="5">
        <v>46381</v>
      </c>
      <c r="B513" cm="1">
        <f t="array" ref="B513">SUMPRODUCT((Task_Table_02_26!$C$2:$C$571=$B$1)*(A513&gt;Task_Table_02_26!$J$2:$J$571)*(A513&lt;Task_Table_02_26!$K$2:$K$571))</f>
        <v>1</v>
      </c>
      <c r="C513" cm="1">
        <f t="array" ref="C513">SUMPRODUCT((Task_Table_02_26!$C$2:$C$571=$C$1)*(A513&gt;Task_Table_02_26!$J$2:$J$571)*(A513&lt;Task_Table_02_26!$K$2:$K$571))</f>
        <v>0</v>
      </c>
      <c r="D513" cm="1">
        <f t="array" ref="D513">SUMPRODUCT((Task_Table_02_26!$C$2:$C$571=$D$1)*(A513&gt;Task_Table_02_26!$J$2:$J$571)*(A513&lt;Task_Table_02_26!$K$2:$K$571))</f>
        <v>0</v>
      </c>
      <c r="E513" cm="1">
        <f t="array" ref="E513">SUMPRODUCT((Task_Table_02_26!$C$2:$C$571=$E$1)*(A513&gt;Task_Table_02_26!$J$2:$J$571)*(A513&lt;Task_Table_02_26!$K$2:$K$571))</f>
        <v>3</v>
      </c>
    </row>
    <row r="514" spans="1:5">
      <c r="A514" s="5">
        <v>46382</v>
      </c>
      <c r="B514" cm="1">
        <f t="array" ref="B514">SUMPRODUCT((Task_Table_02_26!$C$2:$C$571=$B$1)*(A514&gt;Task_Table_02_26!$J$2:$J$571)*(A514&lt;Task_Table_02_26!$K$2:$K$571))</f>
        <v>1</v>
      </c>
      <c r="C514" cm="1">
        <f t="array" ref="C514">SUMPRODUCT((Task_Table_02_26!$C$2:$C$571=$C$1)*(A514&gt;Task_Table_02_26!$J$2:$J$571)*(A514&lt;Task_Table_02_26!$K$2:$K$571))</f>
        <v>0</v>
      </c>
      <c r="D514" cm="1">
        <f t="array" ref="D514">SUMPRODUCT((Task_Table_02_26!$C$2:$C$571=$D$1)*(A514&gt;Task_Table_02_26!$J$2:$J$571)*(A514&lt;Task_Table_02_26!$K$2:$K$571))</f>
        <v>0</v>
      </c>
      <c r="E514" cm="1">
        <f t="array" ref="E514">SUMPRODUCT((Task_Table_02_26!$C$2:$C$571=$E$1)*(A514&gt;Task_Table_02_26!$J$2:$J$571)*(A514&lt;Task_Table_02_26!$K$2:$K$571))</f>
        <v>3</v>
      </c>
    </row>
    <row r="515" spans="1:5">
      <c r="A515" s="5">
        <v>46383</v>
      </c>
      <c r="B515" cm="1">
        <f t="array" ref="B515">SUMPRODUCT((Task_Table_02_26!$C$2:$C$571=$B$1)*(A515&gt;Task_Table_02_26!$J$2:$J$571)*(A515&lt;Task_Table_02_26!$K$2:$K$571))</f>
        <v>1</v>
      </c>
      <c r="C515" cm="1">
        <f t="array" ref="C515">SUMPRODUCT((Task_Table_02_26!$C$2:$C$571=$C$1)*(A515&gt;Task_Table_02_26!$J$2:$J$571)*(A515&lt;Task_Table_02_26!$K$2:$K$571))</f>
        <v>0</v>
      </c>
      <c r="D515" cm="1">
        <f t="array" ref="D515">SUMPRODUCT((Task_Table_02_26!$C$2:$C$571=$D$1)*(A515&gt;Task_Table_02_26!$J$2:$J$571)*(A515&lt;Task_Table_02_26!$K$2:$K$571))</f>
        <v>0</v>
      </c>
      <c r="E515" cm="1">
        <f t="array" ref="E515">SUMPRODUCT((Task_Table_02_26!$C$2:$C$571=$E$1)*(A515&gt;Task_Table_02_26!$J$2:$J$571)*(A515&lt;Task_Table_02_26!$K$2:$K$571))</f>
        <v>3</v>
      </c>
    </row>
    <row r="516" spans="1:5">
      <c r="A516" s="5">
        <v>46384</v>
      </c>
      <c r="B516" cm="1">
        <f t="array" ref="B516">SUMPRODUCT((Task_Table_02_26!$C$2:$C$571=$B$1)*(A516&gt;Task_Table_02_26!$J$2:$J$571)*(A516&lt;Task_Table_02_26!$K$2:$K$571))</f>
        <v>1</v>
      </c>
      <c r="C516" cm="1">
        <f t="array" ref="C516">SUMPRODUCT((Task_Table_02_26!$C$2:$C$571=$C$1)*(A516&gt;Task_Table_02_26!$J$2:$J$571)*(A516&lt;Task_Table_02_26!$K$2:$K$571))</f>
        <v>0</v>
      </c>
      <c r="D516" cm="1">
        <f t="array" ref="D516">SUMPRODUCT((Task_Table_02_26!$C$2:$C$571=$D$1)*(A516&gt;Task_Table_02_26!$J$2:$J$571)*(A516&lt;Task_Table_02_26!$K$2:$K$571))</f>
        <v>0</v>
      </c>
      <c r="E516" cm="1">
        <f t="array" ref="E516">SUMPRODUCT((Task_Table_02_26!$C$2:$C$571=$E$1)*(A516&gt;Task_Table_02_26!$J$2:$J$571)*(A516&lt;Task_Table_02_26!$K$2:$K$571))</f>
        <v>3</v>
      </c>
    </row>
    <row r="517" spans="1:5">
      <c r="A517" s="5">
        <v>46385</v>
      </c>
      <c r="B517" cm="1">
        <f t="array" ref="B517">SUMPRODUCT((Task_Table_02_26!$C$2:$C$571=$B$1)*(A517&gt;Task_Table_02_26!$J$2:$J$571)*(A517&lt;Task_Table_02_26!$K$2:$K$571))</f>
        <v>1</v>
      </c>
      <c r="C517" cm="1">
        <f t="array" ref="C517">SUMPRODUCT((Task_Table_02_26!$C$2:$C$571=$C$1)*(A517&gt;Task_Table_02_26!$J$2:$J$571)*(A517&lt;Task_Table_02_26!$K$2:$K$571))</f>
        <v>0</v>
      </c>
      <c r="D517" cm="1">
        <f t="array" ref="D517">SUMPRODUCT((Task_Table_02_26!$C$2:$C$571=$D$1)*(A517&gt;Task_Table_02_26!$J$2:$J$571)*(A517&lt;Task_Table_02_26!$K$2:$K$571))</f>
        <v>0</v>
      </c>
      <c r="E517" cm="1">
        <f t="array" ref="E517">SUMPRODUCT((Task_Table_02_26!$C$2:$C$571=$E$1)*(A517&gt;Task_Table_02_26!$J$2:$J$571)*(A517&lt;Task_Table_02_26!$K$2:$K$571))</f>
        <v>3</v>
      </c>
    </row>
    <row r="518" spans="1:5">
      <c r="A518" s="5">
        <v>46386</v>
      </c>
      <c r="B518" cm="1">
        <f t="array" ref="B518">SUMPRODUCT((Task_Table_02_26!$C$2:$C$571=$B$1)*(A518&gt;Task_Table_02_26!$J$2:$J$571)*(A518&lt;Task_Table_02_26!$K$2:$K$571))</f>
        <v>1</v>
      </c>
      <c r="C518" cm="1">
        <f t="array" ref="C518">SUMPRODUCT((Task_Table_02_26!$C$2:$C$571=$C$1)*(A518&gt;Task_Table_02_26!$J$2:$J$571)*(A518&lt;Task_Table_02_26!$K$2:$K$571))</f>
        <v>0</v>
      </c>
      <c r="D518" cm="1">
        <f t="array" ref="D518">SUMPRODUCT((Task_Table_02_26!$C$2:$C$571=$D$1)*(A518&gt;Task_Table_02_26!$J$2:$J$571)*(A518&lt;Task_Table_02_26!$K$2:$K$571))</f>
        <v>0</v>
      </c>
      <c r="E518" cm="1">
        <f t="array" ref="E518">SUMPRODUCT((Task_Table_02_26!$C$2:$C$571=$E$1)*(A518&gt;Task_Table_02_26!$J$2:$J$571)*(A518&lt;Task_Table_02_26!$K$2:$K$571))</f>
        <v>3</v>
      </c>
    </row>
    <row r="519" spans="1:5">
      <c r="A519" s="5">
        <v>46387</v>
      </c>
      <c r="B519" cm="1">
        <f t="array" ref="B519">SUMPRODUCT((Task_Table_02_26!$C$2:$C$571=$B$1)*(A519&gt;Task_Table_02_26!$J$2:$J$571)*(A519&lt;Task_Table_02_26!$K$2:$K$571))</f>
        <v>1</v>
      </c>
      <c r="C519" cm="1">
        <f t="array" ref="C519">SUMPRODUCT((Task_Table_02_26!$C$2:$C$571=$C$1)*(A519&gt;Task_Table_02_26!$J$2:$J$571)*(A519&lt;Task_Table_02_26!$K$2:$K$571))</f>
        <v>0</v>
      </c>
      <c r="D519" cm="1">
        <f t="array" ref="D519">SUMPRODUCT((Task_Table_02_26!$C$2:$C$571=$D$1)*(A519&gt;Task_Table_02_26!$J$2:$J$571)*(A519&lt;Task_Table_02_26!$K$2:$K$571))</f>
        <v>0</v>
      </c>
      <c r="E519" cm="1">
        <f t="array" ref="E519">SUMPRODUCT((Task_Table_02_26!$C$2:$C$571=$E$1)*(A519&gt;Task_Table_02_26!$J$2:$J$571)*(A519&lt;Task_Table_02_26!$K$2:$K$571))</f>
        <v>0</v>
      </c>
    </row>
    <row r="520" spans="1:5">
      <c r="A520" s="5">
        <v>46388</v>
      </c>
      <c r="B520" cm="1">
        <f t="array" ref="B520">SUMPRODUCT((Task_Table_02_26!$C$2:$C$571=$B$1)*(A520&gt;Task_Table_02_26!$J$2:$J$571)*(A520&lt;Task_Table_02_26!$K$2:$K$571))</f>
        <v>1</v>
      </c>
      <c r="C520" cm="1">
        <f t="array" ref="C520">SUMPRODUCT((Task_Table_02_26!$C$2:$C$571=$C$1)*(A520&gt;Task_Table_02_26!$J$2:$J$571)*(A520&lt;Task_Table_02_26!$K$2:$K$571))</f>
        <v>0</v>
      </c>
      <c r="D520" cm="1">
        <f t="array" ref="D520">SUMPRODUCT((Task_Table_02_26!$C$2:$C$571=$D$1)*(A520&gt;Task_Table_02_26!$J$2:$J$571)*(A520&lt;Task_Table_02_26!$K$2:$K$571))</f>
        <v>0</v>
      </c>
      <c r="E520" cm="1">
        <f t="array" ref="E520">SUMPRODUCT((Task_Table_02_26!$C$2:$C$571=$E$1)*(A520&gt;Task_Table_02_26!$J$2:$J$571)*(A520&lt;Task_Table_02_26!$K$2:$K$571))</f>
        <v>0</v>
      </c>
    </row>
    <row r="521" spans="1:5">
      <c r="A521" s="5"/>
    </row>
    <row r="522" spans="1:5">
      <c r="A522" s="5"/>
    </row>
    <row r="523" spans="1:5">
      <c r="A523" s="5"/>
    </row>
    <row r="524" spans="1:5">
      <c r="A524" s="5"/>
    </row>
    <row r="525" spans="1:5">
      <c r="A525" s="5"/>
    </row>
    <row r="526" spans="1:5">
      <c r="A526" s="5"/>
    </row>
    <row r="527" spans="1:5">
      <c r="A527" s="5"/>
    </row>
    <row r="528" spans="1:5">
      <c r="A528" s="5"/>
    </row>
    <row r="529" spans="1:1">
      <c r="A529" s="5"/>
    </row>
    <row r="530" spans="1:1">
      <c r="A530" s="5"/>
    </row>
    <row r="531" spans="1:1">
      <c r="A531" s="5"/>
    </row>
    <row r="532" spans="1:1">
      <c r="A532" s="5"/>
    </row>
    <row r="533" spans="1:1">
      <c r="A533" s="5"/>
    </row>
    <row r="534" spans="1:1">
      <c r="A534" s="5"/>
    </row>
    <row r="535" spans="1:1">
      <c r="A535" s="5"/>
    </row>
    <row r="536" spans="1:1">
      <c r="A536" s="5"/>
    </row>
    <row r="537" spans="1:1">
      <c r="A537" s="5"/>
    </row>
    <row r="538" spans="1:1">
      <c r="A538" s="5"/>
    </row>
    <row r="539" spans="1:1">
      <c r="A539" s="5"/>
    </row>
    <row r="540" spans="1:1">
      <c r="A540" s="5"/>
    </row>
    <row r="541" spans="1:1">
      <c r="A541" s="5"/>
    </row>
    <row r="542" spans="1:1">
      <c r="A542" s="5"/>
    </row>
    <row r="543" spans="1:1">
      <c r="A543" s="5"/>
    </row>
    <row r="544" spans="1:1">
      <c r="A544" s="5"/>
    </row>
    <row r="545" spans="1:1">
      <c r="A545" s="5"/>
    </row>
    <row r="546" spans="1:1">
      <c r="A546" s="5"/>
    </row>
    <row r="547" spans="1:1">
      <c r="A547" s="5"/>
    </row>
    <row r="548" spans="1:1">
      <c r="A548" s="5"/>
    </row>
    <row r="549" spans="1:1">
      <c r="A549" s="5"/>
    </row>
    <row r="550" spans="1:1">
      <c r="A550" s="5"/>
    </row>
    <row r="551" spans="1:1">
      <c r="A551" s="5"/>
    </row>
    <row r="552" spans="1:1">
      <c r="A552" s="5"/>
    </row>
    <row r="553" spans="1:1">
      <c r="A553" s="5"/>
    </row>
    <row r="554" spans="1:1">
      <c r="A554" s="5"/>
    </row>
    <row r="555" spans="1:1">
      <c r="A555" s="5"/>
    </row>
    <row r="556" spans="1:1">
      <c r="A556" s="5"/>
    </row>
    <row r="557" spans="1:1">
      <c r="A557" s="5"/>
    </row>
    <row r="558" spans="1:1">
      <c r="A558" s="5"/>
    </row>
    <row r="559" spans="1:1">
      <c r="A559" s="5"/>
    </row>
    <row r="560" spans="1:1">
      <c r="A560" s="5"/>
    </row>
    <row r="561" spans="1:1">
      <c r="A561" s="5"/>
    </row>
    <row r="562" spans="1:1">
      <c r="A562" s="5"/>
    </row>
    <row r="563" spans="1:1">
      <c r="A563" s="5"/>
    </row>
    <row r="564" spans="1:1">
      <c r="A564" s="5"/>
    </row>
    <row r="565" spans="1:1">
      <c r="A565" s="5"/>
    </row>
    <row r="566" spans="1:1">
      <c r="A566" s="5"/>
    </row>
    <row r="567" spans="1:1">
      <c r="A567" s="5"/>
    </row>
    <row r="568" spans="1:1">
      <c r="A568" s="5"/>
    </row>
    <row r="569" spans="1:1">
      <c r="A569" s="5"/>
    </row>
    <row r="570" spans="1:1">
      <c r="A570" s="5"/>
    </row>
    <row r="571" spans="1:1">
      <c r="A571" s="5"/>
    </row>
    <row r="572" spans="1:1">
      <c r="A572" s="5"/>
    </row>
    <row r="573" spans="1:1">
      <c r="A573" s="5"/>
    </row>
    <row r="574" spans="1:1">
      <c r="A574" s="5"/>
    </row>
    <row r="575" spans="1:1">
      <c r="A575" s="5"/>
    </row>
    <row r="576" spans="1:1">
      <c r="A576" s="5"/>
    </row>
    <row r="577" spans="1:1">
      <c r="A577" s="5"/>
    </row>
    <row r="578" spans="1:1">
      <c r="A578" s="5"/>
    </row>
    <row r="579" spans="1:1">
      <c r="A579" s="5"/>
    </row>
    <row r="580" spans="1:1">
      <c r="A580" s="5"/>
    </row>
    <row r="581" spans="1:1">
      <c r="A581" s="5"/>
    </row>
    <row r="582" spans="1:1">
      <c r="A582" s="5"/>
    </row>
    <row r="583" spans="1:1">
      <c r="A583" s="5"/>
    </row>
    <row r="584" spans="1:1">
      <c r="A584" s="5"/>
    </row>
    <row r="585" spans="1:1">
      <c r="A585" s="5"/>
    </row>
    <row r="586" spans="1:1">
      <c r="A586" s="5"/>
    </row>
    <row r="587" spans="1:1">
      <c r="A587" s="5"/>
    </row>
    <row r="588" spans="1:1">
      <c r="A588" s="5"/>
    </row>
    <row r="589" spans="1:1">
      <c r="A589" s="5"/>
    </row>
    <row r="590" spans="1:1">
      <c r="A590" s="5"/>
    </row>
    <row r="591" spans="1:1">
      <c r="A591" s="5"/>
    </row>
    <row r="592" spans="1:1">
      <c r="A592" s="5"/>
    </row>
    <row r="593" spans="1:1">
      <c r="A593" s="5"/>
    </row>
    <row r="594" spans="1:1">
      <c r="A594" s="5"/>
    </row>
    <row r="595" spans="1:1">
      <c r="A595" s="5"/>
    </row>
    <row r="596" spans="1:1">
      <c r="A596" s="5"/>
    </row>
    <row r="597" spans="1:1">
      <c r="A597" s="5"/>
    </row>
    <row r="598" spans="1:1">
      <c r="A598" s="5"/>
    </row>
    <row r="599" spans="1:1">
      <c r="A599" s="5"/>
    </row>
    <row r="600" spans="1:1">
      <c r="A600" s="5"/>
    </row>
    <row r="601" spans="1:1">
      <c r="A601" s="5"/>
    </row>
    <row r="602" spans="1:1">
      <c r="A602" s="5"/>
    </row>
    <row r="603" spans="1:1">
      <c r="A603" s="5"/>
    </row>
    <row r="604" spans="1:1">
      <c r="A604" s="5"/>
    </row>
    <row r="605" spans="1:1">
      <c r="A605" s="5"/>
    </row>
    <row r="606" spans="1:1">
      <c r="A606" s="5"/>
    </row>
    <row r="607" spans="1:1">
      <c r="A607" s="5"/>
    </row>
    <row r="608" spans="1:1">
      <c r="A608" s="5"/>
    </row>
    <row r="609" spans="1:1">
      <c r="A609" s="5"/>
    </row>
    <row r="610" spans="1:1">
      <c r="A610" s="5"/>
    </row>
    <row r="611" spans="1:1">
      <c r="A611" s="5"/>
    </row>
    <row r="612" spans="1:1">
      <c r="A612" s="5"/>
    </row>
    <row r="613" spans="1:1">
      <c r="A613" s="5"/>
    </row>
    <row r="614" spans="1:1">
      <c r="A614" s="5"/>
    </row>
    <row r="615" spans="1:1">
      <c r="A615" s="5"/>
    </row>
    <row r="616" spans="1:1">
      <c r="A616" s="5"/>
    </row>
    <row r="617" spans="1:1">
      <c r="A617" s="5"/>
    </row>
    <row r="618" spans="1:1">
      <c r="A618" s="5"/>
    </row>
    <row r="619" spans="1:1">
      <c r="A619" s="5"/>
    </row>
    <row r="620" spans="1:1">
      <c r="A620" s="5"/>
    </row>
    <row r="621" spans="1:1">
      <c r="A621" s="5"/>
    </row>
    <row r="622" spans="1:1">
      <c r="A622" s="5"/>
    </row>
    <row r="623" spans="1:1">
      <c r="A623" s="5"/>
    </row>
    <row r="624" spans="1:1">
      <c r="A624" s="5"/>
    </row>
    <row r="625" spans="1:1">
      <c r="A625" s="5"/>
    </row>
    <row r="626" spans="1:1">
      <c r="A626" s="5"/>
    </row>
    <row r="627" spans="1:1">
      <c r="A627" s="5"/>
    </row>
    <row r="628" spans="1:1">
      <c r="A628" s="5"/>
    </row>
    <row r="629" spans="1:1">
      <c r="A629" s="5"/>
    </row>
    <row r="630" spans="1:1">
      <c r="A630" s="5"/>
    </row>
    <row r="631" spans="1:1">
      <c r="A631" s="5"/>
    </row>
    <row r="632" spans="1:1">
      <c r="A632" s="5"/>
    </row>
    <row r="633" spans="1:1">
      <c r="A633" s="5"/>
    </row>
    <row r="634" spans="1:1">
      <c r="A634" s="5"/>
    </row>
    <row r="635" spans="1:1">
      <c r="A635" s="5"/>
    </row>
    <row r="636" spans="1:1">
      <c r="A636" s="5"/>
    </row>
    <row r="637" spans="1:1">
      <c r="A637" s="5"/>
    </row>
    <row r="638" spans="1:1">
      <c r="A638" s="5"/>
    </row>
    <row r="639" spans="1:1">
      <c r="A639" s="5"/>
    </row>
    <row r="640" spans="1:1">
      <c r="A640" s="5"/>
    </row>
    <row r="641" spans="1:1">
      <c r="A641" s="5"/>
    </row>
    <row r="642" spans="1:1">
      <c r="A642" s="5"/>
    </row>
    <row r="643" spans="1:1">
      <c r="A643" s="5"/>
    </row>
    <row r="644" spans="1:1">
      <c r="A644" s="5"/>
    </row>
    <row r="645" spans="1:1">
      <c r="A645" s="5"/>
    </row>
    <row r="646" spans="1:1">
      <c r="A646" s="5"/>
    </row>
    <row r="647" spans="1:1">
      <c r="A647" s="5"/>
    </row>
    <row r="648" spans="1:1">
      <c r="A648" s="5"/>
    </row>
    <row r="649" spans="1:1">
      <c r="A649" s="5"/>
    </row>
    <row r="650" spans="1:1">
      <c r="A650" s="5"/>
    </row>
    <row r="651" spans="1:1">
      <c r="A651" s="5"/>
    </row>
    <row r="652" spans="1:1">
      <c r="A652" s="5"/>
    </row>
    <row r="653" spans="1:1">
      <c r="A653" s="5"/>
    </row>
    <row r="654" spans="1:1">
      <c r="A654" s="5"/>
    </row>
    <row r="655" spans="1:1">
      <c r="A655" s="5"/>
    </row>
    <row r="656" spans="1:1">
      <c r="A656" s="5"/>
    </row>
    <row r="657" spans="1:1">
      <c r="A657" s="5"/>
    </row>
    <row r="658" spans="1:1">
      <c r="A658" s="5"/>
    </row>
    <row r="659" spans="1:1">
      <c r="A659" s="5"/>
    </row>
    <row r="660" spans="1:1">
      <c r="A660" s="5"/>
    </row>
    <row r="661" spans="1:1">
      <c r="A661" s="5"/>
    </row>
    <row r="662" spans="1:1">
      <c r="A662" s="5"/>
    </row>
    <row r="663" spans="1:1">
      <c r="A663" s="5"/>
    </row>
    <row r="664" spans="1:1">
      <c r="A664" s="5"/>
    </row>
    <row r="665" spans="1:1">
      <c r="A665" s="5"/>
    </row>
    <row r="666" spans="1:1">
      <c r="A666" s="5"/>
    </row>
    <row r="667" spans="1:1">
      <c r="A667" s="5"/>
    </row>
    <row r="668" spans="1:1">
      <c r="A668" s="5"/>
    </row>
    <row r="669" spans="1:1">
      <c r="A669" s="5"/>
    </row>
    <row r="670" spans="1:1">
      <c r="A670" s="5"/>
    </row>
    <row r="671" spans="1:1">
      <c r="A671" s="5"/>
    </row>
    <row r="672" spans="1:1">
      <c r="A672" s="5"/>
    </row>
    <row r="673" spans="1:1">
      <c r="A673" s="5"/>
    </row>
    <row r="674" spans="1:1">
      <c r="A674" s="5"/>
    </row>
    <row r="675" spans="1:1">
      <c r="A675" s="5"/>
    </row>
    <row r="676" spans="1:1">
      <c r="A676" s="5"/>
    </row>
    <row r="677" spans="1:1">
      <c r="A677" s="5"/>
    </row>
    <row r="678" spans="1:1">
      <c r="A678" s="5"/>
    </row>
    <row r="679" spans="1:1">
      <c r="A679" s="5"/>
    </row>
    <row r="680" spans="1:1">
      <c r="A680" s="5"/>
    </row>
    <row r="681" spans="1:1">
      <c r="A681" s="5"/>
    </row>
    <row r="682" spans="1:1">
      <c r="A682" s="5"/>
    </row>
    <row r="683" spans="1:1">
      <c r="A683" s="5"/>
    </row>
    <row r="684" spans="1:1">
      <c r="A684" s="5"/>
    </row>
    <row r="685" spans="1:1">
      <c r="A685" s="5"/>
    </row>
    <row r="686" spans="1:1">
      <c r="A686" s="5"/>
    </row>
    <row r="687" spans="1:1">
      <c r="A687" s="5"/>
    </row>
    <row r="688" spans="1:1">
      <c r="A688" s="5"/>
    </row>
    <row r="689" spans="1:1">
      <c r="A689" s="5"/>
    </row>
    <row r="690" spans="1:1">
      <c r="A690" s="5"/>
    </row>
    <row r="691" spans="1:1">
      <c r="A691" s="5"/>
    </row>
    <row r="692" spans="1:1">
      <c r="A692" s="5"/>
    </row>
    <row r="693" spans="1:1">
      <c r="A693" s="5"/>
    </row>
    <row r="694" spans="1:1">
      <c r="A694" s="5"/>
    </row>
    <row r="695" spans="1:1">
      <c r="A695" s="5"/>
    </row>
    <row r="696" spans="1:1">
      <c r="A696" s="5"/>
    </row>
    <row r="697" spans="1:1">
      <c r="A697" s="5"/>
    </row>
    <row r="698" spans="1:1">
      <c r="A698" s="5"/>
    </row>
    <row r="699" spans="1:1">
      <c r="A699" s="5"/>
    </row>
    <row r="700" spans="1:1">
      <c r="A700" s="5"/>
    </row>
    <row r="701" spans="1:1">
      <c r="A701" s="5"/>
    </row>
    <row r="702" spans="1:1">
      <c r="A702" s="5"/>
    </row>
    <row r="703" spans="1:1">
      <c r="A703" s="5"/>
    </row>
    <row r="704" spans="1:1">
      <c r="A704" s="5"/>
    </row>
    <row r="705" spans="1:1">
      <c r="A705" s="5"/>
    </row>
    <row r="706" spans="1:1">
      <c r="A706" s="5"/>
    </row>
    <row r="707" spans="1:1">
      <c r="A707" s="5"/>
    </row>
    <row r="708" spans="1:1">
      <c r="A708" s="5"/>
    </row>
    <row r="709" spans="1:1">
      <c r="A709" s="5"/>
    </row>
    <row r="710" spans="1:1">
      <c r="A710" s="5"/>
    </row>
    <row r="711" spans="1:1">
      <c r="A711" s="5"/>
    </row>
    <row r="712" spans="1:1">
      <c r="A712" s="5"/>
    </row>
    <row r="713" spans="1:1">
      <c r="A713" s="5"/>
    </row>
    <row r="714" spans="1:1">
      <c r="A714" s="5"/>
    </row>
    <row r="715" spans="1:1">
      <c r="A715" s="5"/>
    </row>
    <row r="716" spans="1:1">
      <c r="A716" s="5"/>
    </row>
    <row r="717" spans="1:1">
      <c r="A717" s="5"/>
    </row>
    <row r="718" spans="1:1">
      <c r="A718" s="5"/>
    </row>
    <row r="719" spans="1:1">
      <c r="A719" s="5"/>
    </row>
    <row r="720" spans="1:1">
      <c r="A720" s="5"/>
    </row>
    <row r="721" spans="1:1">
      <c r="A721" s="5"/>
    </row>
    <row r="722" spans="1:1">
      <c r="A722" s="5"/>
    </row>
    <row r="723" spans="1:1">
      <c r="A723" s="5"/>
    </row>
    <row r="724" spans="1:1">
      <c r="A724" s="5"/>
    </row>
    <row r="725" spans="1:1">
      <c r="A725" s="5"/>
    </row>
    <row r="726" spans="1:1">
      <c r="A726" s="5"/>
    </row>
    <row r="727" spans="1:1">
      <c r="A727" s="5"/>
    </row>
    <row r="728" spans="1:1">
      <c r="A728" s="5"/>
    </row>
    <row r="729" spans="1:1">
      <c r="A729" s="5"/>
    </row>
    <row r="730" spans="1:1">
      <c r="A730" s="5"/>
    </row>
    <row r="731" spans="1:1">
      <c r="A731" s="5"/>
    </row>
    <row r="732" spans="1:1">
      <c r="A732" s="5"/>
    </row>
    <row r="733" spans="1:1">
      <c r="A733" s="5"/>
    </row>
    <row r="734" spans="1:1">
      <c r="A734" s="5"/>
    </row>
    <row r="735" spans="1:1">
      <c r="A735" s="5"/>
    </row>
    <row r="736" spans="1:1">
      <c r="A736" s="5"/>
    </row>
    <row r="737" spans="1:1">
      <c r="A737" s="5"/>
    </row>
    <row r="738" spans="1:1">
      <c r="A738" s="5"/>
    </row>
    <row r="739" spans="1:1">
      <c r="A739" s="5"/>
    </row>
    <row r="740" spans="1:1">
      <c r="A740" s="5"/>
    </row>
    <row r="741" spans="1:1">
      <c r="A741" s="5"/>
    </row>
    <row r="742" spans="1:1">
      <c r="A742" s="5"/>
    </row>
    <row r="743" spans="1:1">
      <c r="A743" s="5"/>
    </row>
    <row r="744" spans="1:1">
      <c r="A744" s="5"/>
    </row>
    <row r="745" spans="1:1">
      <c r="A745" s="5"/>
    </row>
    <row r="746" spans="1:1">
      <c r="A746" s="5"/>
    </row>
    <row r="747" spans="1:1">
      <c r="A747" s="5"/>
    </row>
    <row r="748" spans="1:1">
      <c r="A748" s="5"/>
    </row>
    <row r="749" spans="1:1">
      <c r="A749" s="5"/>
    </row>
    <row r="750" spans="1:1">
      <c r="A750" s="5"/>
    </row>
    <row r="751" spans="1:1">
      <c r="A751" s="5"/>
    </row>
    <row r="752" spans="1:1">
      <c r="A752" s="5"/>
    </row>
    <row r="753" spans="1:1">
      <c r="A753" s="5"/>
    </row>
    <row r="754" spans="1:1">
      <c r="A754" s="5"/>
    </row>
    <row r="755" spans="1:1">
      <c r="A755" s="5"/>
    </row>
    <row r="756" spans="1:1">
      <c r="A756" s="5"/>
    </row>
    <row r="757" spans="1:1">
      <c r="A757" s="5"/>
    </row>
    <row r="758" spans="1:1">
      <c r="A758" s="5"/>
    </row>
    <row r="759" spans="1:1">
      <c r="A759" s="5"/>
    </row>
    <row r="760" spans="1:1">
      <c r="A760" s="5"/>
    </row>
    <row r="761" spans="1:1">
      <c r="A761" s="5"/>
    </row>
    <row r="762" spans="1:1">
      <c r="A762" s="5"/>
    </row>
    <row r="763" spans="1:1">
      <c r="A763" s="5"/>
    </row>
    <row r="764" spans="1:1">
      <c r="A764" s="5"/>
    </row>
    <row r="765" spans="1:1">
      <c r="A765" s="5"/>
    </row>
    <row r="766" spans="1:1">
      <c r="A766" s="5"/>
    </row>
    <row r="767" spans="1:1">
      <c r="A767" s="5"/>
    </row>
    <row r="768" spans="1:1">
      <c r="A768" s="5"/>
    </row>
    <row r="769" spans="1:1">
      <c r="A769" s="5"/>
    </row>
    <row r="770" spans="1:1">
      <c r="A770" s="5"/>
    </row>
    <row r="771" spans="1:1">
      <c r="A771" s="5"/>
    </row>
    <row r="772" spans="1:1">
      <c r="A772" s="5"/>
    </row>
    <row r="773" spans="1:1">
      <c r="A773" s="5"/>
    </row>
    <row r="774" spans="1:1">
      <c r="A774" s="5"/>
    </row>
    <row r="775" spans="1:1">
      <c r="A775" s="5"/>
    </row>
    <row r="776" spans="1:1">
      <c r="A776" s="5"/>
    </row>
    <row r="777" spans="1:1">
      <c r="A777" s="5"/>
    </row>
    <row r="778" spans="1:1">
      <c r="A778" s="5"/>
    </row>
    <row r="779" spans="1:1">
      <c r="A779" s="5"/>
    </row>
    <row r="780" spans="1:1">
      <c r="A780" s="5"/>
    </row>
    <row r="781" spans="1:1">
      <c r="A781" s="5"/>
    </row>
    <row r="782" spans="1:1">
      <c r="A782" s="5"/>
    </row>
    <row r="783" spans="1:1">
      <c r="A783" s="5"/>
    </row>
    <row r="784" spans="1:1">
      <c r="A784" s="5"/>
    </row>
    <row r="785" spans="1:1">
      <c r="A785" s="5"/>
    </row>
    <row r="786" spans="1:1">
      <c r="A786" s="5"/>
    </row>
    <row r="787" spans="1:1">
      <c r="A787" s="5"/>
    </row>
    <row r="788" spans="1:1">
      <c r="A788" s="5"/>
    </row>
    <row r="789" spans="1:1">
      <c r="A789" s="5"/>
    </row>
    <row r="790" spans="1:1">
      <c r="A790" s="5"/>
    </row>
    <row r="791" spans="1:1">
      <c r="A791" s="5"/>
    </row>
    <row r="792" spans="1:1">
      <c r="A792" s="5"/>
    </row>
    <row r="793" spans="1:1">
      <c r="A793" s="5"/>
    </row>
    <row r="794" spans="1:1">
      <c r="A794" s="5"/>
    </row>
    <row r="795" spans="1:1">
      <c r="A795" s="5"/>
    </row>
    <row r="796" spans="1:1">
      <c r="A796" s="5"/>
    </row>
    <row r="797" spans="1:1">
      <c r="A797" s="5"/>
    </row>
    <row r="798" spans="1:1">
      <c r="A798" s="5"/>
    </row>
    <row r="799" spans="1:1">
      <c r="A799" s="5"/>
    </row>
    <row r="800" spans="1:1">
      <c r="A800" s="5"/>
    </row>
    <row r="801" spans="1:1">
      <c r="A801" s="5"/>
    </row>
    <row r="802" spans="1:1">
      <c r="A802" s="5"/>
    </row>
    <row r="803" spans="1:1">
      <c r="A803" s="5"/>
    </row>
    <row r="804" spans="1:1">
      <c r="A804" s="5"/>
    </row>
    <row r="805" spans="1:1">
      <c r="A805" s="5"/>
    </row>
    <row r="806" spans="1:1">
      <c r="A806" s="5"/>
    </row>
    <row r="807" spans="1:1">
      <c r="A807" s="5"/>
    </row>
    <row r="808" spans="1:1">
      <c r="A808" s="5"/>
    </row>
    <row r="809" spans="1:1">
      <c r="A809" s="5"/>
    </row>
    <row r="810" spans="1:1">
      <c r="A810" s="5"/>
    </row>
    <row r="811" spans="1:1">
      <c r="A811" s="5"/>
    </row>
    <row r="812" spans="1:1">
      <c r="A812" s="5"/>
    </row>
    <row r="813" spans="1:1">
      <c r="A813" s="5"/>
    </row>
    <row r="814" spans="1:1">
      <c r="A814" s="5"/>
    </row>
    <row r="815" spans="1:1">
      <c r="A815" s="5"/>
    </row>
    <row r="816" spans="1:1">
      <c r="A816" s="5"/>
    </row>
    <row r="817" spans="1:1">
      <c r="A817" s="5"/>
    </row>
    <row r="818" spans="1:1">
      <c r="A818" s="5"/>
    </row>
    <row r="819" spans="1:1">
      <c r="A819" s="5"/>
    </row>
    <row r="820" spans="1:1">
      <c r="A820" s="5"/>
    </row>
    <row r="821" spans="1:1">
      <c r="A821" s="5"/>
    </row>
    <row r="822" spans="1:1">
      <c r="A822" s="5"/>
    </row>
    <row r="823" spans="1:1">
      <c r="A823" s="5"/>
    </row>
    <row r="824" spans="1:1">
      <c r="A824" s="5"/>
    </row>
    <row r="825" spans="1:1">
      <c r="A825" s="5"/>
    </row>
    <row r="826" spans="1:1">
      <c r="A826" s="5"/>
    </row>
    <row r="827" spans="1:1">
      <c r="A827" s="5"/>
    </row>
    <row r="828" spans="1:1">
      <c r="A828" s="5"/>
    </row>
    <row r="829" spans="1:1">
      <c r="A829" s="5"/>
    </row>
    <row r="830" spans="1:1">
      <c r="A830" s="5"/>
    </row>
    <row r="831" spans="1:1">
      <c r="A831" s="5"/>
    </row>
    <row r="832" spans="1:1">
      <c r="A832" s="5"/>
    </row>
    <row r="833" spans="1:1">
      <c r="A833" s="5"/>
    </row>
    <row r="834" spans="1:1">
      <c r="A834" s="5"/>
    </row>
    <row r="835" spans="1:1">
      <c r="A835" s="5"/>
    </row>
    <row r="836" spans="1:1">
      <c r="A836" s="5"/>
    </row>
    <row r="837" spans="1:1">
      <c r="A837" s="5"/>
    </row>
    <row r="838" spans="1:1">
      <c r="A838" s="5"/>
    </row>
    <row r="839" spans="1:1">
      <c r="A839" s="5"/>
    </row>
    <row r="840" spans="1:1">
      <c r="A840" s="5"/>
    </row>
    <row r="841" spans="1:1">
      <c r="A841" s="5"/>
    </row>
    <row r="842" spans="1:1">
      <c r="A842" s="5"/>
    </row>
    <row r="843" spans="1:1">
      <c r="A843" s="5"/>
    </row>
    <row r="844" spans="1:1">
      <c r="A844" s="5"/>
    </row>
    <row r="845" spans="1:1">
      <c r="A845" s="5"/>
    </row>
    <row r="846" spans="1:1">
      <c r="A846" s="5"/>
    </row>
    <row r="847" spans="1:1">
      <c r="A847" s="5"/>
    </row>
    <row r="848" spans="1:1">
      <c r="A848" s="5"/>
    </row>
    <row r="849" spans="1:1">
      <c r="A849" s="5"/>
    </row>
    <row r="850" spans="1:1">
      <c r="A850" s="5"/>
    </row>
    <row r="851" spans="1:1">
      <c r="A851" s="5"/>
    </row>
    <row r="852" spans="1:1">
      <c r="A852" s="5"/>
    </row>
    <row r="853" spans="1:1">
      <c r="A853" s="5"/>
    </row>
    <row r="854" spans="1:1">
      <c r="A854" s="5"/>
    </row>
    <row r="855" spans="1:1">
      <c r="A855" s="5"/>
    </row>
    <row r="856" spans="1:1">
      <c r="A856" s="5"/>
    </row>
    <row r="857" spans="1:1">
      <c r="A857" s="5"/>
    </row>
    <row r="858" spans="1:1">
      <c r="A858" s="5"/>
    </row>
    <row r="859" spans="1:1">
      <c r="A859" s="5"/>
    </row>
    <row r="860" spans="1:1">
      <c r="A860" s="5"/>
    </row>
    <row r="861" spans="1:1">
      <c r="A861" s="5"/>
    </row>
    <row r="862" spans="1:1">
      <c r="A862" s="5"/>
    </row>
    <row r="863" spans="1:1">
      <c r="A863" s="5"/>
    </row>
    <row r="864" spans="1:1">
      <c r="A864" s="5"/>
    </row>
    <row r="865" spans="1:1">
      <c r="A865" s="5"/>
    </row>
    <row r="866" spans="1:1">
      <c r="A866" s="5"/>
    </row>
    <row r="867" spans="1:1">
      <c r="A867" s="5"/>
    </row>
    <row r="868" spans="1:1">
      <c r="A868" s="5"/>
    </row>
    <row r="869" spans="1:1">
      <c r="A869" s="5"/>
    </row>
    <row r="870" spans="1:1">
      <c r="A870" s="5"/>
    </row>
    <row r="871" spans="1:1">
      <c r="A871" s="5"/>
    </row>
    <row r="872" spans="1:1">
      <c r="A872" s="5"/>
    </row>
    <row r="873" spans="1:1">
      <c r="A873" s="5"/>
    </row>
    <row r="874" spans="1:1">
      <c r="A874" s="5"/>
    </row>
    <row r="875" spans="1:1">
      <c r="A875" s="5"/>
    </row>
    <row r="876" spans="1:1">
      <c r="A876" s="5"/>
    </row>
    <row r="877" spans="1:1">
      <c r="A877" s="5"/>
    </row>
    <row r="878" spans="1:1">
      <c r="A878" s="5"/>
    </row>
    <row r="879" spans="1:1">
      <c r="A879" s="5"/>
    </row>
    <row r="880" spans="1:1">
      <c r="A880" s="5"/>
    </row>
    <row r="881" spans="1:1">
      <c r="A881" s="5"/>
    </row>
    <row r="882" spans="1:1">
      <c r="A882" s="5"/>
    </row>
    <row r="883" spans="1:1">
      <c r="A883" s="5"/>
    </row>
    <row r="884" spans="1:1">
      <c r="A884" s="5"/>
    </row>
    <row r="885" spans="1:1">
      <c r="A885" s="5"/>
    </row>
    <row r="886" spans="1:1">
      <c r="A886" s="5"/>
    </row>
    <row r="887" spans="1:1">
      <c r="A887" s="5"/>
    </row>
    <row r="888" spans="1:1">
      <c r="A888" s="5"/>
    </row>
    <row r="889" spans="1:1">
      <c r="A889" s="5"/>
    </row>
    <row r="890" spans="1:1">
      <c r="A890" s="5"/>
    </row>
    <row r="891" spans="1:1">
      <c r="A891" s="5"/>
    </row>
    <row r="892" spans="1:1">
      <c r="A892" s="5"/>
    </row>
    <row r="893" spans="1:1">
      <c r="A893" s="5"/>
    </row>
    <row r="894" spans="1:1">
      <c r="A894" s="5"/>
    </row>
    <row r="895" spans="1:1">
      <c r="A895" s="5"/>
    </row>
    <row r="896" spans="1:1">
      <c r="A896" s="5"/>
    </row>
    <row r="897" spans="1:1">
      <c r="A897" s="5"/>
    </row>
    <row r="898" spans="1:1">
      <c r="A898" s="5"/>
    </row>
    <row r="899" spans="1:1">
      <c r="A899" s="5"/>
    </row>
    <row r="900" spans="1:1">
      <c r="A900" s="5"/>
    </row>
    <row r="901" spans="1:1">
      <c r="A901" s="5"/>
    </row>
    <row r="902" spans="1:1">
      <c r="A902" s="5"/>
    </row>
    <row r="903" spans="1:1">
      <c r="A903" s="5"/>
    </row>
    <row r="904" spans="1:1">
      <c r="A904" s="5"/>
    </row>
    <row r="905" spans="1:1">
      <c r="A905" s="5"/>
    </row>
    <row r="906" spans="1:1">
      <c r="A906" s="5"/>
    </row>
    <row r="907" spans="1:1">
      <c r="A907" s="5"/>
    </row>
    <row r="908" spans="1:1">
      <c r="A908" s="5"/>
    </row>
    <row r="909" spans="1:1">
      <c r="A909" s="5"/>
    </row>
    <row r="910" spans="1:1">
      <c r="A910" s="5"/>
    </row>
    <row r="911" spans="1:1">
      <c r="A911" s="5"/>
    </row>
    <row r="912" spans="1:1">
      <c r="A912" s="5"/>
    </row>
    <row r="913" spans="1:1">
      <c r="A913" s="5"/>
    </row>
    <row r="914" spans="1:1">
      <c r="A914" s="5"/>
    </row>
    <row r="915" spans="1:1">
      <c r="A915" s="5"/>
    </row>
    <row r="916" spans="1:1">
      <c r="A916" s="5"/>
    </row>
    <row r="917" spans="1:1">
      <c r="A917" s="5"/>
    </row>
    <row r="918" spans="1:1">
      <c r="A918" s="5"/>
    </row>
    <row r="919" spans="1:1">
      <c r="A919" s="5"/>
    </row>
    <row r="920" spans="1:1">
      <c r="A920" s="5"/>
    </row>
    <row r="921" spans="1:1">
      <c r="A921" s="5"/>
    </row>
    <row r="922" spans="1:1">
      <c r="A922" s="5"/>
    </row>
    <row r="923" spans="1:1">
      <c r="A923" s="5"/>
    </row>
    <row r="924" spans="1:1">
      <c r="A924" s="5"/>
    </row>
    <row r="925" spans="1:1">
      <c r="A925" s="5"/>
    </row>
    <row r="926" spans="1:1">
      <c r="A926" s="5"/>
    </row>
    <row r="927" spans="1:1">
      <c r="A927" s="5"/>
    </row>
    <row r="928" spans="1:1">
      <c r="A928" s="5"/>
    </row>
    <row r="929" spans="1:1">
      <c r="A929" s="5"/>
    </row>
    <row r="930" spans="1:1">
      <c r="A930" s="5"/>
    </row>
    <row r="931" spans="1:1">
      <c r="A931" s="5"/>
    </row>
    <row r="932" spans="1:1">
      <c r="A932" s="5"/>
    </row>
    <row r="933" spans="1:1">
      <c r="A933" s="5"/>
    </row>
    <row r="934" spans="1:1">
      <c r="A934" s="5"/>
    </row>
    <row r="935" spans="1:1">
      <c r="A935" s="5"/>
    </row>
    <row r="936" spans="1:1">
      <c r="A936" s="5"/>
    </row>
    <row r="937" spans="1:1">
      <c r="A937" s="5"/>
    </row>
    <row r="938" spans="1:1">
      <c r="A938" s="5"/>
    </row>
    <row r="939" spans="1:1">
      <c r="A939" s="5"/>
    </row>
    <row r="940" spans="1:1">
      <c r="A940" s="5"/>
    </row>
    <row r="941" spans="1:1">
      <c r="A941" s="5"/>
    </row>
    <row r="942" spans="1:1">
      <c r="A942" s="5"/>
    </row>
    <row r="943" spans="1:1">
      <c r="A943" s="5"/>
    </row>
    <row r="944" spans="1:1">
      <c r="A944" s="5"/>
    </row>
    <row r="945" spans="1:1">
      <c r="A945" s="5"/>
    </row>
    <row r="946" spans="1:1">
      <c r="A946" s="5"/>
    </row>
    <row r="947" spans="1:1">
      <c r="A947" s="5"/>
    </row>
    <row r="948" spans="1:1">
      <c r="A948" s="5"/>
    </row>
    <row r="949" spans="1:1">
      <c r="A949" s="5"/>
    </row>
    <row r="950" spans="1:1">
      <c r="A950" s="5"/>
    </row>
    <row r="951" spans="1:1">
      <c r="A951" s="5"/>
    </row>
    <row r="952" spans="1:1">
      <c r="A952" s="5"/>
    </row>
    <row r="953" spans="1:1">
      <c r="A953" s="5"/>
    </row>
    <row r="954" spans="1:1">
      <c r="A954" s="5"/>
    </row>
    <row r="955" spans="1:1">
      <c r="A955" s="5"/>
    </row>
    <row r="956" spans="1:1">
      <c r="A956" s="5"/>
    </row>
    <row r="957" spans="1:1">
      <c r="A957" s="5"/>
    </row>
    <row r="958" spans="1:1">
      <c r="A958" s="5"/>
    </row>
    <row r="959" spans="1:1">
      <c r="A959" s="5"/>
    </row>
    <row r="960" spans="1:1">
      <c r="A960" s="5"/>
    </row>
    <row r="961" spans="1:1">
      <c r="A961" s="5"/>
    </row>
    <row r="962" spans="1:1">
      <c r="A962" s="5"/>
    </row>
    <row r="963" spans="1:1">
      <c r="A963" s="5"/>
    </row>
    <row r="964" spans="1:1">
      <c r="A964" s="5"/>
    </row>
    <row r="965" spans="1:1">
      <c r="A965" s="5"/>
    </row>
    <row r="966" spans="1:1">
      <c r="A966" s="5"/>
    </row>
    <row r="967" spans="1:1">
      <c r="A967" s="5"/>
    </row>
    <row r="968" spans="1:1">
      <c r="A968" s="5"/>
    </row>
    <row r="969" spans="1:1">
      <c r="A969" s="5"/>
    </row>
    <row r="970" spans="1:1">
      <c r="A970" s="5"/>
    </row>
    <row r="971" spans="1:1">
      <c r="A971" s="5"/>
    </row>
    <row r="972" spans="1:1">
      <c r="A972" s="5"/>
    </row>
    <row r="973" spans="1:1">
      <c r="A973" s="5"/>
    </row>
    <row r="974" spans="1:1">
      <c r="A974" s="5"/>
    </row>
    <row r="975" spans="1:1">
      <c r="A975" s="5"/>
    </row>
    <row r="976" spans="1:1">
      <c r="A976" s="5"/>
    </row>
    <row r="977" spans="1:1">
      <c r="A977" s="5"/>
    </row>
    <row r="978" spans="1:1">
      <c r="A978" s="5"/>
    </row>
    <row r="979" spans="1:1">
      <c r="A979" s="5"/>
    </row>
    <row r="980" spans="1:1">
      <c r="A980" s="5"/>
    </row>
    <row r="981" spans="1:1">
      <c r="A981" s="5"/>
    </row>
    <row r="982" spans="1:1">
      <c r="A982" s="5"/>
    </row>
    <row r="983" spans="1:1">
      <c r="A983" s="5"/>
    </row>
    <row r="984" spans="1:1">
      <c r="A984" s="5"/>
    </row>
    <row r="985" spans="1:1">
      <c r="A985" s="5"/>
    </row>
    <row r="986" spans="1:1">
      <c r="A986" s="5"/>
    </row>
    <row r="987" spans="1:1">
      <c r="A987" s="5"/>
    </row>
    <row r="988" spans="1:1">
      <c r="A988" s="5"/>
    </row>
    <row r="989" spans="1:1">
      <c r="A989" s="5"/>
    </row>
    <row r="990" spans="1:1">
      <c r="A990" s="5"/>
    </row>
    <row r="991" spans="1:1">
      <c r="A991" s="5"/>
    </row>
    <row r="992" spans="1:1">
      <c r="A992" s="5"/>
    </row>
    <row r="993" spans="1:1">
      <c r="A993" s="5"/>
    </row>
    <row r="994" spans="1:1">
      <c r="A994" s="5"/>
    </row>
    <row r="995" spans="1:1">
      <c r="A995" s="5"/>
    </row>
    <row r="996" spans="1:1">
      <c r="A996" s="5"/>
    </row>
    <row r="997" spans="1:1">
      <c r="A997" s="5"/>
    </row>
    <row r="998" spans="1:1">
      <c r="A998" s="5"/>
    </row>
    <row r="999" spans="1:1">
      <c r="A999" s="5"/>
    </row>
    <row r="1000" spans="1:1">
      <c r="A1000" s="5"/>
    </row>
    <row r="1001" spans="1:1">
      <c r="A1001" s="5"/>
    </row>
    <row r="1002" spans="1:1">
      <c r="A1002" s="5"/>
    </row>
    <row r="1003" spans="1:1">
      <c r="A1003" s="5"/>
    </row>
    <row r="1004" spans="1:1">
      <c r="A1004" s="5"/>
    </row>
    <row r="1005" spans="1:1">
      <c r="A1005" s="5"/>
    </row>
    <row r="1006" spans="1:1">
      <c r="A1006" s="5"/>
    </row>
    <row r="1007" spans="1:1">
      <c r="A1007" s="5"/>
    </row>
    <row r="1008" spans="1:1">
      <c r="A1008" s="5"/>
    </row>
    <row r="1009" spans="1:1">
      <c r="A1009" s="5"/>
    </row>
    <row r="1010" spans="1:1">
      <c r="A1010" s="5"/>
    </row>
    <row r="1011" spans="1:1">
      <c r="A1011" s="5"/>
    </row>
    <row r="1012" spans="1:1">
      <c r="A1012" s="5"/>
    </row>
    <row r="1013" spans="1:1">
      <c r="A1013" s="5"/>
    </row>
    <row r="1014" spans="1:1">
      <c r="A1014" s="5"/>
    </row>
    <row r="1015" spans="1:1">
      <c r="A1015" s="5"/>
    </row>
    <row r="1016" spans="1:1">
      <c r="A1016" s="5"/>
    </row>
    <row r="1017" spans="1:1">
      <c r="A1017" s="5"/>
    </row>
    <row r="1018" spans="1:1">
      <c r="A1018" s="5"/>
    </row>
    <row r="1019" spans="1:1">
      <c r="A1019" s="5"/>
    </row>
    <row r="1020" spans="1:1">
      <c r="A1020" s="5"/>
    </row>
    <row r="1021" spans="1:1">
      <c r="A1021" s="5"/>
    </row>
    <row r="1022" spans="1:1">
      <c r="A1022" s="5"/>
    </row>
    <row r="1023" spans="1:1">
      <c r="A1023" s="5"/>
    </row>
    <row r="1024" spans="1:1">
      <c r="A1024" s="5"/>
    </row>
    <row r="1025" spans="1:1">
      <c r="A1025" s="5"/>
    </row>
    <row r="1026" spans="1:1">
      <c r="A1026" s="5"/>
    </row>
    <row r="1027" spans="1:1">
      <c r="A1027" s="5"/>
    </row>
    <row r="1028" spans="1:1">
      <c r="A1028" s="5"/>
    </row>
    <row r="1029" spans="1:1">
      <c r="A1029" s="5"/>
    </row>
    <row r="1030" spans="1:1">
      <c r="A1030" s="5"/>
    </row>
    <row r="1031" spans="1:1">
      <c r="A1031" s="5"/>
    </row>
    <row r="1032" spans="1:1">
      <c r="A1032" s="5"/>
    </row>
    <row r="1033" spans="1:1">
      <c r="A1033" s="5"/>
    </row>
    <row r="1034" spans="1:1">
      <c r="A1034" s="5"/>
    </row>
    <row r="1035" spans="1:1">
      <c r="A1035" s="5"/>
    </row>
    <row r="1036" spans="1:1">
      <c r="A1036" s="5"/>
    </row>
    <row r="1037" spans="1:1">
      <c r="A1037" s="5"/>
    </row>
    <row r="1038" spans="1:1">
      <c r="A1038" s="5"/>
    </row>
    <row r="1039" spans="1:1">
      <c r="A1039" s="5"/>
    </row>
    <row r="1040" spans="1:1">
      <c r="A1040" s="5"/>
    </row>
    <row r="1041" spans="1:1">
      <c r="A1041" s="5"/>
    </row>
    <row r="1042" spans="1:1">
      <c r="A1042" s="5"/>
    </row>
    <row r="1043" spans="1:1">
      <c r="A1043" s="5"/>
    </row>
    <row r="1044" spans="1:1">
      <c r="A1044" s="5"/>
    </row>
    <row r="1045" spans="1:1">
      <c r="A1045" s="5"/>
    </row>
    <row r="1046" spans="1:1">
      <c r="A1046" s="5"/>
    </row>
    <row r="1047" spans="1:1">
      <c r="A1047" s="5"/>
    </row>
    <row r="1048" spans="1:1">
      <c r="A1048" s="5"/>
    </row>
    <row r="1049" spans="1:1">
      <c r="A1049" s="5"/>
    </row>
    <row r="1050" spans="1:1">
      <c r="A1050" s="5"/>
    </row>
    <row r="1051" spans="1:1">
      <c r="A1051" s="5"/>
    </row>
    <row r="1052" spans="1:1">
      <c r="A1052" s="5"/>
    </row>
    <row r="1053" spans="1:1">
      <c r="A1053" s="5"/>
    </row>
    <row r="1054" spans="1:1">
      <c r="A1054" s="5"/>
    </row>
    <row r="1055" spans="1:1">
      <c r="A1055" s="5"/>
    </row>
    <row r="1056" spans="1:1">
      <c r="A1056" s="5"/>
    </row>
    <row r="1057" spans="1:1">
      <c r="A1057" s="5"/>
    </row>
    <row r="1058" spans="1:1">
      <c r="A1058" s="5"/>
    </row>
    <row r="1059" spans="1:1">
      <c r="A1059" s="5"/>
    </row>
    <row r="1060" spans="1:1">
      <c r="A1060" s="5"/>
    </row>
    <row r="1061" spans="1:1">
      <c r="A1061" s="5"/>
    </row>
    <row r="1062" spans="1:1">
      <c r="A1062" s="5"/>
    </row>
    <row r="1063" spans="1:1">
      <c r="A1063" s="5"/>
    </row>
    <row r="1064" spans="1:1">
      <c r="A1064" s="5"/>
    </row>
    <row r="1065" spans="1:1">
      <c r="A1065" s="5"/>
    </row>
    <row r="1066" spans="1:1">
      <c r="A1066" s="5"/>
    </row>
    <row r="1067" spans="1:1">
      <c r="A1067" s="5"/>
    </row>
    <row r="1068" spans="1:1">
      <c r="A1068" s="5"/>
    </row>
    <row r="1069" spans="1:1">
      <c r="A1069" s="5"/>
    </row>
    <row r="1070" spans="1:1">
      <c r="A1070" s="5"/>
    </row>
    <row r="1071" spans="1:1">
      <c r="A1071" s="5"/>
    </row>
    <row r="1072" spans="1:1">
      <c r="A1072" s="5"/>
    </row>
    <row r="1073" spans="1:1">
      <c r="A1073" s="5"/>
    </row>
    <row r="1074" spans="1:1">
      <c r="A1074" s="5"/>
    </row>
    <row r="1075" spans="1:1">
      <c r="A1075" s="5"/>
    </row>
    <row r="1076" spans="1:1">
      <c r="A1076" s="5"/>
    </row>
    <row r="1077" spans="1:1">
      <c r="A1077" s="5"/>
    </row>
    <row r="1078" spans="1:1">
      <c r="A1078" s="5"/>
    </row>
    <row r="1079" spans="1:1">
      <c r="A1079" s="5"/>
    </row>
    <row r="1080" spans="1:1">
      <c r="A1080" s="5"/>
    </row>
    <row r="1081" spans="1:1">
      <c r="A1081" s="5"/>
    </row>
    <row r="1082" spans="1:1">
      <c r="A1082" s="5"/>
    </row>
    <row r="1083" spans="1:1">
      <c r="A1083" s="5"/>
    </row>
    <row r="1084" spans="1:1">
      <c r="A1084" s="5"/>
    </row>
    <row r="1085" spans="1:1">
      <c r="A1085" s="5"/>
    </row>
    <row r="1086" spans="1:1">
      <c r="A1086" s="5"/>
    </row>
    <row r="1087" spans="1:1">
      <c r="A1087" s="5"/>
    </row>
    <row r="1088" spans="1:1">
      <c r="A1088" s="5"/>
    </row>
    <row r="1089" spans="1:1">
      <c r="A1089" s="5"/>
    </row>
    <row r="1090" spans="1:1">
      <c r="A1090" s="5"/>
    </row>
    <row r="1091" spans="1:1">
      <c r="A1091" s="5"/>
    </row>
    <row r="1092" spans="1:1">
      <c r="A1092" s="5"/>
    </row>
    <row r="1093" spans="1:1">
      <c r="A1093" s="5"/>
    </row>
    <row r="1094" spans="1:1">
      <c r="A1094" s="5"/>
    </row>
    <row r="1095" spans="1:1">
      <c r="A1095" s="5"/>
    </row>
    <row r="1096" spans="1:1">
      <c r="A1096" s="5"/>
    </row>
    <row r="1097" spans="1:1">
      <c r="A1097" s="5"/>
    </row>
    <row r="1098" spans="1:1">
      <c r="A1098" s="5"/>
    </row>
    <row r="1099" spans="1:1">
      <c r="A1099" s="5"/>
    </row>
    <row r="1100" spans="1:1">
      <c r="A1100" s="5"/>
    </row>
    <row r="1101" spans="1:1">
      <c r="A1101" s="5"/>
    </row>
    <row r="1102" spans="1:1">
      <c r="A1102" s="5"/>
    </row>
    <row r="1103" spans="1:1">
      <c r="A1103" s="5"/>
    </row>
    <row r="1104" spans="1:1">
      <c r="A1104" s="5"/>
    </row>
    <row r="1105" spans="1:1">
      <c r="A1105" s="5"/>
    </row>
    <row r="1106" spans="1:1">
      <c r="A1106" s="5"/>
    </row>
    <row r="1107" spans="1:1">
      <c r="A1107" s="5"/>
    </row>
    <row r="1108" spans="1:1">
      <c r="A1108" s="5"/>
    </row>
    <row r="1109" spans="1:1">
      <c r="A1109" s="5"/>
    </row>
    <row r="1110" spans="1:1">
      <c r="A1110" s="5"/>
    </row>
    <row r="1111" spans="1:1">
      <c r="A1111" s="5"/>
    </row>
    <row r="1112" spans="1:1">
      <c r="A1112" s="5"/>
    </row>
    <row r="1113" spans="1:1">
      <c r="A1113" s="5"/>
    </row>
    <row r="1114" spans="1:1">
      <c r="A1114" s="5"/>
    </row>
    <row r="1115" spans="1:1">
      <c r="A1115" s="5"/>
    </row>
    <row r="1116" spans="1:1">
      <c r="A1116" s="5"/>
    </row>
    <row r="1117" spans="1:1">
      <c r="A1117" s="5"/>
    </row>
    <row r="1118" spans="1:1">
      <c r="A1118" s="5"/>
    </row>
    <row r="1119" spans="1:1">
      <c r="A1119" s="5"/>
    </row>
    <row r="1120" spans="1:1">
      <c r="A1120" s="5"/>
    </row>
    <row r="1121" spans="1:1">
      <c r="A1121" s="5"/>
    </row>
    <row r="1122" spans="1:1">
      <c r="A1122" s="5"/>
    </row>
    <row r="1123" spans="1:1">
      <c r="A1123" s="5"/>
    </row>
    <row r="1124" spans="1:1">
      <c r="A1124" s="5"/>
    </row>
    <row r="1125" spans="1:1">
      <c r="A1125" s="5"/>
    </row>
    <row r="1126" spans="1:1">
      <c r="A1126" s="5"/>
    </row>
    <row r="1127" spans="1:1">
      <c r="A1127" s="5"/>
    </row>
    <row r="1128" spans="1:1">
      <c r="A1128" s="5"/>
    </row>
    <row r="1129" spans="1:1">
      <c r="A1129" s="5"/>
    </row>
    <row r="1130" spans="1:1">
      <c r="A1130" s="5"/>
    </row>
    <row r="1131" spans="1:1">
      <c r="A1131" s="5"/>
    </row>
    <row r="1132" spans="1:1">
      <c r="A1132" s="5"/>
    </row>
    <row r="1133" spans="1:1">
      <c r="A1133" s="5"/>
    </row>
    <row r="1134" spans="1:1">
      <c r="A1134" s="5"/>
    </row>
    <row r="1135" spans="1:1">
      <c r="A1135" s="5"/>
    </row>
    <row r="1136" spans="1:1">
      <c r="A1136" s="5"/>
    </row>
    <row r="1137" spans="1:1">
      <c r="A1137" s="5"/>
    </row>
    <row r="1138" spans="1:1">
      <c r="A1138" s="5"/>
    </row>
    <row r="1139" spans="1:1">
      <c r="A1139" s="5"/>
    </row>
    <row r="1140" spans="1:1">
      <c r="A1140" s="5"/>
    </row>
    <row r="1141" spans="1:1">
      <c r="A1141" s="5"/>
    </row>
    <row r="1142" spans="1:1">
      <c r="A1142" s="5"/>
    </row>
    <row r="1143" spans="1:1">
      <c r="A1143" s="5"/>
    </row>
    <row r="1144" spans="1:1">
      <c r="A1144" s="5"/>
    </row>
    <row r="1145" spans="1:1">
      <c r="A1145" s="5"/>
    </row>
    <row r="1146" spans="1:1">
      <c r="A1146" s="5"/>
    </row>
    <row r="1147" spans="1:1">
      <c r="A1147" s="5"/>
    </row>
    <row r="1148" spans="1:1">
      <c r="A1148" s="5"/>
    </row>
    <row r="1149" spans="1:1">
      <c r="A1149" s="5"/>
    </row>
    <row r="1150" spans="1:1">
      <c r="A1150" s="5"/>
    </row>
    <row r="1151" spans="1:1">
      <c r="A1151" s="5"/>
    </row>
    <row r="1152" spans="1:1">
      <c r="A1152" s="5"/>
    </row>
    <row r="1153" spans="1:1">
      <c r="A1153" s="5"/>
    </row>
    <row r="1154" spans="1:1">
      <c r="A1154" s="5"/>
    </row>
    <row r="1155" spans="1:1">
      <c r="A1155" s="5"/>
    </row>
    <row r="1156" spans="1:1">
      <c r="A1156" s="5"/>
    </row>
    <row r="1157" spans="1:1">
      <c r="A1157" s="5"/>
    </row>
    <row r="1158" spans="1:1">
      <c r="A1158" s="5"/>
    </row>
    <row r="1159" spans="1:1">
      <c r="A1159" s="5"/>
    </row>
    <row r="1160" spans="1:1">
      <c r="A1160" s="5"/>
    </row>
    <row r="1161" spans="1:1">
      <c r="A1161" s="5"/>
    </row>
    <row r="1162" spans="1:1">
      <c r="A1162" s="5"/>
    </row>
    <row r="1163" spans="1:1">
      <c r="A1163" s="5"/>
    </row>
    <row r="1164" spans="1:1">
      <c r="A1164" s="5"/>
    </row>
    <row r="1165" spans="1:1">
      <c r="A1165" s="5"/>
    </row>
    <row r="1166" spans="1:1">
      <c r="A1166" s="5"/>
    </row>
    <row r="1167" spans="1:1">
      <c r="A1167" s="5"/>
    </row>
    <row r="1168" spans="1:1">
      <c r="A1168" s="5"/>
    </row>
    <row r="1169" spans="1:1">
      <c r="A1169" s="5"/>
    </row>
    <row r="1170" spans="1:1">
      <c r="A1170" s="5"/>
    </row>
    <row r="1171" spans="1:1">
      <c r="A1171" s="5"/>
    </row>
    <row r="1172" spans="1:1">
      <c r="A1172" s="5"/>
    </row>
    <row r="1173" spans="1:1">
      <c r="A1173" s="5"/>
    </row>
    <row r="1174" spans="1:1">
      <c r="A1174" s="5"/>
    </row>
    <row r="1175" spans="1:1">
      <c r="A1175" s="5"/>
    </row>
    <row r="1176" spans="1:1">
      <c r="A1176" s="5"/>
    </row>
    <row r="1177" spans="1:1">
      <c r="A1177" s="5"/>
    </row>
    <row r="1178" spans="1:1">
      <c r="A1178" s="5"/>
    </row>
    <row r="1179" spans="1:1">
      <c r="A1179" s="5"/>
    </row>
    <row r="1180" spans="1:1">
      <c r="A1180" s="5"/>
    </row>
    <row r="1181" spans="1:1">
      <c r="A1181" s="5"/>
    </row>
    <row r="1182" spans="1:1">
      <c r="A1182" s="5"/>
    </row>
    <row r="1183" spans="1:1">
      <c r="A1183" s="5"/>
    </row>
    <row r="1184" spans="1:1">
      <c r="A1184" s="5"/>
    </row>
    <row r="1185" spans="1:1">
      <c r="A1185" s="5"/>
    </row>
    <row r="1186" spans="1:1">
      <c r="A1186" s="5"/>
    </row>
    <row r="1187" spans="1:1">
      <c r="A1187" s="5"/>
    </row>
    <row r="1188" spans="1:1">
      <c r="A1188" s="5"/>
    </row>
    <row r="1189" spans="1:1">
      <c r="A1189" s="5"/>
    </row>
    <row r="1190" spans="1:1">
      <c r="A1190" s="5"/>
    </row>
    <row r="1191" spans="1:1">
      <c r="A1191" s="5"/>
    </row>
    <row r="1192" spans="1:1">
      <c r="A1192" s="5"/>
    </row>
    <row r="1193" spans="1:1">
      <c r="A1193" s="5"/>
    </row>
    <row r="1194" spans="1:1">
      <c r="A1194" s="5"/>
    </row>
    <row r="1195" spans="1:1">
      <c r="A1195" s="5"/>
    </row>
    <row r="1196" spans="1:1">
      <c r="A1196" s="5"/>
    </row>
    <row r="1197" spans="1:1">
      <c r="A1197" s="5"/>
    </row>
    <row r="1198" spans="1:1">
      <c r="A1198" s="5"/>
    </row>
    <row r="1199" spans="1:1">
      <c r="A1199" s="5"/>
    </row>
    <row r="1200" spans="1:1">
      <c r="A1200" s="5"/>
    </row>
    <row r="1201" spans="1:1">
      <c r="A1201" s="5"/>
    </row>
    <row r="1202" spans="1:1">
      <c r="A1202" s="5"/>
    </row>
    <row r="1203" spans="1:1">
      <c r="A1203" s="5"/>
    </row>
    <row r="1204" spans="1:1">
      <c r="A1204" s="5"/>
    </row>
    <row r="1205" spans="1:1">
      <c r="A1205" s="5"/>
    </row>
    <row r="1206" spans="1:1">
      <c r="A1206" s="5"/>
    </row>
    <row r="1207" spans="1:1">
      <c r="A1207" s="5"/>
    </row>
    <row r="1208" spans="1:1">
      <c r="A1208" s="5"/>
    </row>
    <row r="1209" spans="1:1">
      <c r="A1209" s="5"/>
    </row>
    <row r="1210" spans="1:1">
      <c r="A1210" s="5"/>
    </row>
    <row r="1211" spans="1:1">
      <c r="A1211" s="5"/>
    </row>
    <row r="1212" spans="1:1">
      <c r="A1212" s="5"/>
    </row>
    <row r="1213" spans="1:1">
      <c r="A1213" s="5"/>
    </row>
    <row r="1214" spans="1:1">
      <c r="A1214" s="5"/>
    </row>
    <row r="1215" spans="1:1">
      <c r="A1215" s="5"/>
    </row>
    <row r="1216" spans="1:1">
      <c r="A1216" s="5"/>
    </row>
    <row r="1217" spans="1:1">
      <c r="A1217" s="5"/>
    </row>
    <row r="1218" spans="1:1">
      <c r="A1218" s="5"/>
    </row>
    <row r="1219" spans="1:1">
      <c r="A1219" s="5"/>
    </row>
    <row r="1220" spans="1:1">
      <c r="A1220" s="5"/>
    </row>
    <row r="1221" spans="1:1">
      <c r="A1221" s="5"/>
    </row>
    <row r="1222" spans="1:1">
      <c r="A1222" s="5"/>
    </row>
    <row r="1223" spans="1:1">
      <c r="A1223" s="5"/>
    </row>
    <row r="1224" spans="1:1">
      <c r="A1224" s="5"/>
    </row>
    <row r="1225" spans="1:1">
      <c r="A1225" s="5"/>
    </row>
    <row r="1226" spans="1:1">
      <c r="A1226" s="5"/>
    </row>
    <row r="1227" spans="1:1">
      <c r="A1227" s="5"/>
    </row>
    <row r="1228" spans="1:1">
      <c r="A1228" s="5"/>
    </row>
    <row r="1229" spans="1:1">
      <c r="A1229" s="5"/>
    </row>
    <row r="1230" spans="1:1">
      <c r="A1230" s="5"/>
    </row>
    <row r="1231" spans="1:1">
      <c r="A1231" s="5"/>
    </row>
    <row r="1232" spans="1:1">
      <c r="A1232" s="5"/>
    </row>
    <row r="1233" spans="1:1">
      <c r="A1233" s="5"/>
    </row>
    <row r="1234" spans="1:1">
      <c r="A1234" s="5"/>
    </row>
    <row r="1235" spans="1:1">
      <c r="A1235" s="5"/>
    </row>
    <row r="1236" spans="1:1">
      <c r="A1236" s="5"/>
    </row>
    <row r="1237" spans="1:1">
      <c r="A1237" s="5"/>
    </row>
    <row r="1238" spans="1:1">
      <c r="A1238" s="5"/>
    </row>
    <row r="1239" spans="1:1">
      <c r="A1239" s="5"/>
    </row>
    <row r="1240" spans="1:1">
      <c r="A1240" s="5"/>
    </row>
    <row r="1241" spans="1:1">
      <c r="A1241" s="5"/>
    </row>
    <row r="1242" spans="1:1">
      <c r="A1242" s="5"/>
    </row>
    <row r="1243" spans="1:1">
      <c r="A1243" s="5"/>
    </row>
    <row r="1244" spans="1:1">
      <c r="A1244" s="5"/>
    </row>
    <row r="1245" spans="1:1">
      <c r="A1245" s="5"/>
    </row>
    <row r="1246" spans="1:1">
      <c r="A1246" s="5"/>
    </row>
    <row r="1247" spans="1:1">
      <c r="A1247" s="5"/>
    </row>
    <row r="1248" spans="1:1">
      <c r="A1248" s="5"/>
    </row>
    <row r="1249" spans="1:1">
      <c r="A1249" s="5"/>
    </row>
    <row r="1250" spans="1:1">
      <c r="A1250" s="5"/>
    </row>
    <row r="1251" spans="1:1">
      <c r="A1251" s="5"/>
    </row>
    <row r="1252" spans="1:1">
      <c r="A1252" s="5"/>
    </row>
    <row r="1253" spans="1:1">
      <c r="A1253" s="5"/>
    </row>
    <row r="1254" spans="1:1">
      <c r="A1254" s="5"/>
    </row>
    <row r="1255" spans="1:1">
      <c r="A1255" s="5"/>
    </row>
    <row r="1256" spans="1:1">
      <c r="A1256" s="5"/>
    </row>
    <row r="1257" spans="1:1">
      <c r="A1257" s="5"/>
    </row>
    <row r="1258" spans="1:1">
      <c r="A1258" s="5"/>
    </row>
    <row r="1259" spans="1:1">
      <c r="A1259" s="5"/>
    </row>
    <row r="1260" spans="1:1">
      <c r="A1260" s="5"/>
    </row>
    <row r="1261" spans="1:1">
      <c r="A1261" s="5"/>
    </row>
    <row r="1262" spans="1:1">
      <c r="A1262" s="5"/>
    </row>
    <row r="1263" spans="1:1">
      <c r="A1263" s="5"/>
    </row>
    <row r="1264" spans="1:1">
      <c r="A1264" s="5"/>
    </row>
    <row r="1265" spans="1:1">
      <c r="A1265" s="5"/>
    </row>
    <row r="1266" spans="1:1">
      <c r="A1266" s="5"/>
    </row>
    <row r="1267" spans="1:1">
      <c r="A1267" s="5"/>
    </row>
    <row r="1268" spans="1:1">
      <c r="A1268" s="5"/>
    </row>
    <row r="1269" spans="1:1">
      <c r="A1269" s="5"/>
    </row>
    <row r="1270" spans="1:1">
      <c r="A1270" s="5"/>
    </row>
    <row r="1271" spans="1:1">
      <c r="A1271" s="5"/>
    </row>
    <row r="1272" spans="1:1">
      <c r="A1272" s="5"/>
    </row>
    <row r="1273" spans="1:1">
      <c r="A1273" s="5"/>
    </row>
    <row r="1274" spans="1:1">
      <c r="A1274" s="5"/>
    </row>
    <row r="1275" spans="1:1">
      <c r="A1275" s="5"/>
    </row>
    <row r="1276" spans="1:1">
      <c r="A1276" s="5"/>
    </row>
    <row r="1277" spans="1:1">
      <c r="A1277" s="5"/>
    </row>
    <row r="1278" spans="1:1">
      <c r="A1278" s="5"/>
    </row>
    <row r="1279" spans="1:1">
      <c r="A1279" s="5"/>
    </row>
    <row r="1280" spans="1:1">
      <c r="A1280" s="5"/>
    </row>
    <row r="1281" spans="1:1">
      <c r="A1281" s="5"/>
    </row>
    <row r="1282" spans="1:1">
      <c r="A1282" s="5"/>
    </row>
    <row r="1283" spans="1:1">
      <c r="A1283" s="5"/>
    </row>
    <row r="1284" spans="1:1">
      <c r="A1284" s="5"/>
    </row>
    <row r="1285" spans="1:1">
      <c r="A1285" s="5"/>
    </row>
    <row r="1286" spans="1:1">
      <c r="A1286" s="5"/>
    </row>
    <row r="1287" spans="1:1">
      <c r="A1287" s="5"/>
    </row>
    <row r="1288" spans="1:1">
      <c r="A1288" s="5"/>
    </row>
    <row r="1289" spans="1:1">
      <c r="A1289" s="5"/>
    </row>
    <row r="1290" spans="1:1">
      <c r="A1290" s="5"/>
    </row>
    <row r="1291" spans="1:1">
      <c r="A1291" s="5"/>
    </row>
    <row r="1292" spans="1:1">
      <c r="A1292" s="5"/>
    </row>
    <row r="1293" spans="1:1">
      <c r="A1293" s="5"/>
    </row>
    <row r="1294" spans="1:1">
      <c r="A1294" s="5"/>
    </row>
    <row r="1295" spans="1:1">
      <c r="A1295" s="5"/>
    </row>
    <row r="1296" spans="1:1">
      <c r="A1296" s="5"/>
    </row>
    <row r="1297" spans="1:1">
      <c r="A1297" s="5"/>
    </row>
    <row r="1298" spans="1:1">
      <c r="A1298" s="5"/>
    </row>
    <row r="1299" spans="1:1">
      <c r="A1299" s="5"/>
    </row>
    <row r="1300" spans="1:1">
      <c r="A1300" s="5"/>
    </row>
    <row r="1301" spans="1:1">
      <c r="A1301" s="5"/>
    </row>
    <row r="1302" spans="1:1">
      <c r="A1302" s="5"/>
    </row>
    <row r="1303" spans="1:1">
      <c r="A1303" s="5"/>
    </row>
    <row r="1304" spans="1:1">
      <c r="A1304" s="5"/>
    </row>
    <row r="1305" spans="1:1">
      <c r="A1305" s="5"/>
    </row>
    <row r="1306" spans="1:1">
      <c r="A1306" s="5"/>
    </row>
    <row r="1307" spans="1:1">
      <c r="A1307" s="5"/>
    </row>
    <row r="1308" spans="1:1">
      <c r="A1308" s="5"/>
    </row>
    <row r="1309" spans="1:1">
      <c r="A1309" s="5"/>
    </row>
    <row r="1310" spans="1:1">
      <c r="A1310" s="5"/>
    </row>
    <row r="1311" spans="1:1">
      <c r="A1311" s="5"/>
    </row>
    <row r="1312" spans="1:1">
      <c r="A1312" s="5"/>
    </row>
    <row r="1313" spans="1:1">
      <c r="A1313" s="5"/>
    </row>
    <row r="1314" spans="1:1">
      <c r="A1314" s="5"/>
    </row>
    <row r="1315" spans="1:1">
      <c r="A1315" s="5"/>
    </row>
    <row r="1316" spans="1:1">
      <c r="A1316" s="5"/>
    </row>
    <row r="1317" spans="1:1">
      <c r="A1317" s="5"/>
    </row>
    <row r="1318" spans="1:1">
      <c r="A1318" s="5"/>
    </row>
    <row r="1319" spans="1:1">
      <c r="A1319" s="5"/>
    </row>
    <row r="1320" spans="1:1">
      <c r="A1320" s="5"/>
    </row>
    <row r="1321" spans="1:1">
      <c r="A1321" s="5"/>
    </row>
    <row r="1322" spans="1:1">
      <c r="A1322" s="5"/>
    </row>
    <row r="1323" spans="1:1">
      <c r="A1323" s="5"/>
    </row>
    <row r="1324" spans="1:1">
      <c r="A1324" s="5"/>
    </row>
    <row r="1325" spans="1:1">
      <c r="A1325" s="5"/>
    </row>
    <row r="1326" spans="1:1">
      <c r="A1326" s="5"/>
    </row>
    <row r="1327" spans="1:1">
      <c r="A1327" s="5"/>
    </row>
    <row r="1328" spans="1:1">
      <c r="A1328" s="5"/>
    </row>
    <row r="1329" spans="1:1">
      <c r="A1329" s="5"/>
    </row>
    <row r="1330" spans="1:1">
      <c r="A1330" s="5"/>
    </row>
    <row r="1331" spans="1:1">
      <c r="A1331" s="5"/>
    </row>
    <row r="1332" spans="1:1">
      <c r="A1332" s="5"/>
    </row>
    <row r="1333" spans="1:1">
      <c r="A1333" s="5"/>
    </row>
    <row r="1334" spans="1:1">
      <c r="A1334" s="5"/>
    </row>
    <row r="1335" spans="1:1">
      <c r="A1335" s="5"/>
    </row>
    <row r="1336" spans="1:1">
      <c r="A1336" s="5"/>
    </row>
    <row r="1337" spans="1:1">
      <c r="A1337" s="5"/>
    </row>
    <row r="1338" spans="1:1">
      <c r="A1338" s="5"/>
    </row>
    <row r="1339" spans="1:1">
      <c r="A1339" s="5"/>
    </row>
    <row r="1340" spans="1:1">
      <c r="A1340" s="5"/>
    </row>
    <row r="1341" spans="1:1">
      <c r="A1341" s="5"/>
    </row>
    <row r="1342" spans="1:1">
      <c r="A1342" s="5"/>
    </row>
    <row r="1343" spans="1:1">
      <c r="A1343" s="5"/>
    </row>
    <row r="1344" spans="1:1">
      <c r="A1344" s="5"/>
    </row>
    <row r="1345" spans="1:1">
      <c r="A1345" s="5"/>
    </row>
    <row r="1346" spans="1:1">
      <c r="A1346" s="5"/>
    </row>
    <row r="1347" spans="1:1">
      <c r="A1347" s="5"/>
    </row>
    <row r="1348" spans="1:1">
      <c r="A1348" s="5"/>
    </row>
    <row r="1349" spans="1:1">
      <c r="A1349" s="5"/>
    </row>
    <row r="1350" spans="1:1">
      <c r="A1350" s="5"/>
    </row>
    <row r="1351" spans="1:1">
      <c r="A1351" s="5"/>
    </row>
    <row r="1352" spans="1:1">
      <c r="A1352" s="5"/>
    </row>
    <row r="1353" spans="1:1">
      <c r="A1353" s="5"/>
    </row>
    <row r="1354" spans="1:1">
      <c r="A1354" s="5"/>
    </row>
    <row r="1355" spans="1:1">
      <c r="A1355" s="5"/>
    </row>
    <row r="1356" spans="1:1">
      <c r="A1356" s="5"/>
    </row>
    <row r="1357" spans="1:1">
      <c r="A1357" s="5"/>
    </row>
    <row r="1358" spans="1:1">
      <c r="A1358" s="5"/>
    </row>
    <row r="1359" spans="1:1">
      <c r="A1359" s="5"/>
    </row>
    <row r="1360" spans="1:1">
      <c r="A1360" s="5"/>
    </row>
    <row r="1361" spans="1:1">
      <c r="A1361" s="5"/>
    </row>
    <row r="1362" spans="1:1">
      <c r="A1362" s="5"/>
    </row>
    <row r="1363" spans="1:1">
      <c r="A1363" s="5"/>
    </row>
    <row r="1364" spans="1:1">
      <c r="A1364" s="5"/>
    </row>
    <row r="1365" spans="1:1">
      <c r="A1365" s="5"/>
    </row>
    <row r="1366" spans="1:1">
      <c r="A1366" s="5"/>
    </row>
    <row r="1367" spans="1:1">
      <c r="A1367" s="5"/>
    </row>
    <row r="1368" spans="1:1">
      <c r="A1368" s="5"/>
    </row>
    <row r="1369" spans="1:1">
      <c r="A1369" s="5"/>
    </row>
    <row r="1370" spans="1:1">
      <c r="A1370" s="5"/>
    </row>
    <row r="1371" spans="1:1">
      <c r="A1371" s="5"/>
    </row>
    <row r="1372" spans="1:1">
      <c r="A1372" s="5"/>
    </row>
    <row r="1373" spans="1:1">
      <c r="A1373" s="5"/>
    </row>
    <row r="1374" spans="1:1">
      <c r="A1374" s="5"/>
    </row>
    <row r="1375" spans="1:1">
      <c r="A1375" s="5"/>
    </row>
    <row r="1376" spans="1:1">
      <c r="A1376" s="5"/>
    </row>
    <row r="1377" spans="1:1">
      <c r="A1377" s="5"/>
    </row>
    <row r="1378" spans="1:1">
      <c r="A1378" s="5"/>
    </row>
    <row r="1379" spans="1:1">
      <c r="A1379" s="5"/>
    </row>
    <row r="1380" spans="1:1">
      <c r="A1380" s="5"/>
    </row>
    <row r="1381" spans="1:1">
      <c r="A1381" s="5"/>
    </row>
    <row r="1382" spans="1:1">
      <c r="A1382" s="5"/>
    </row>
    <row r="1383" spans="1:1">
      <c r="A1383" s="5"/>
    </row>
    <row r="1384" spans="1:1">
      <c r="A1384" s="5"/>
    </row>
    <row r="1385" spans="1:1">
      <c r="A1385" s="5"/>
    </row>
    <row r="1386" spans="1:1">
      <c r="A1386" s="5"/>
    </row>
    <row r="1387" spans="1:1">
      <c r="A1387" s="5"/>
    </row>
    <row r="1388" spans="1:1">
      <c r="A1388" s="5"/>
    </row>
    <row r="1389" spans="1:1">
      <c r="A1389" s="5"/>
    </row>
    <row r="1390" spans="1:1">
      <c r="A1390" s="5"/>
    </row>
    <row r="1391" spans="1:1">
      <c r="A1391" s="5"/>
    </row>
    <row r="1392" spans="1:1">
      <c r="A1392" s="5"/>
    </row>
    <row r="1393" spans="1:1">
      <c r="A1393" s="5"/>
    </row>
    <row r="1394" spans="1:1">
      <c r="A1394" s="5"/>
    </row>
    <row r="1395" spans="1:1">
      <c r="A1395" s="5"/>
    </row>
    <row r="1396" spans="1:1">
      <c r="A1396" s="5"/>
    </row>
    <row r="1397" spans="1:1">
      <c r="A1397" s="5"/>
    </row>
    <row r="1398" spans="1:1">
      <c r="A1398" s="5"/>
    </row>
    <row r="1399" spans="1:1">
      <c r="A1399" s="5"/>
    </row>
    <row r="1400" spans="1:1">
      <c r="A1400" s="5"/>
    </row>
    <row r="1401" spans="1:1">
      <c r="A1401" s="5"/>
    </row>
    <row r="1402" spans="1:1">
      <c r="A1402" s="5"/>
    </row>
    <row r="1403" spans="1:1">
      <c r="A1403" s="5"/>
    </row>
    <row r="1404" spans="1:1">
      <c r="A1404" s="5"/>
    </row>
    <row r="1405" spans="1:1">
      <c r="A1405" s="5"/>
    </row>
    <row r="1406" spans="1:1">
      <c r="A1406" s="5"/>
    </row>
    <row r="1407" spans="1:1">
      <c r="A1407" s="5"/>
    </row>
    <row r="1408" spans="1:1">
      <c r="A1408" s="5"/>
    </row>
    <row r="1409" spans="1:1">
      <c r="A1409" s="5"/>
    </row>
    <row r="1410" spans="1:1">
      <c r="A1410" s="5"/>
    </row>
    <row r="1411" spans="1:1">
      <c r="A1411" s="5"/>
    </row>
    <row r="1412" spans="1:1">
      <c r="A1412" s="5"/>
    </row>
    <row r="1413" spans="1:1">
      <c r="A1413" s="5"/>
    </row>
    <row r="1414" spans="1:1">
      <c r="A1414" s="5"/>
    </row>
    <row r="1415" spans="1:1">
      <c r="A1415" s="5"/>
    </row>
    <row r="1416" spans="1:1">
      <c r="A1416" s="5"/>
    </row>
    <row r="1417" spans="1:1">
      <c r="A1417" s="5"/>
    </row>
    <row r="1418" spans="1:1">
      <c r="A1418" s="5"/>
    </row>
    <row r="1419" spans="1:1">
      <c r="A1419" s="5"/>
    </row>
    <row r="1420" spans="1:1">
      <c r="A1420" s="5"/>
    </row>
    <row r="1421" spans="1:1">
      <c r="A1421" s="5"/>
    </row>
    <row r="1422" spans="1:1">
      <c r="A1422" s="5"/>
    </row>
    <row r="1423" spans="1:1">
      <c r="A1423" s="5"/>
    </row>
    <row r="1424" spans="1:1">
      <c r="A1424" s="5"/>
    </row>
    <row r="1425" spans="1:1">
      <c r="A1425" s="5"/>
    </row>
    <row r="1426" spans="1:1">
      <c r="A1426" s="5"/>
    </row>
    <row r="1427" spans="1:1">
      <c r="A1427" s="5"/>
    </row>
    <row r="1428" spans="1:1">
      <c r="A1428" s="5"/>
    </row>
    <row r="1429" spans="1:1">
      <c r="A1429" s="5"/>
    </row>
    <row r="1430" spans="1:1">
      <c r="A1430" s="5"/>
    </row>
    <row r="1431" spans="1:1">
      <c r="A1431" s="5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E74EC-DC08-48FC-85F9-DFAB913FA274}">
  <dimension ref="A1:S591"/>
  <sheetViews>
    <sheetView topLeftCell="E48" zoomScale="46" workbookViewId="0">
      <selection activeCell="M10" sqref="M10"/>
    </sheetView>
  </sheetViews>
  <sheetFormatPr defaultColWidth="11.5703125" defaultRowHeight="15"/>
  <cols>
    <col min="1" max="1" width="26.7109375" style="39" customWidth="1"/>
    <col min="2" max="2" width="34.7109375" style="39" customWidth="1"/>
    <col min="3" max="3" width="27.7109375" style="39" customWidth="1"/>
    <col min="4" max="4" width="11.5703125" style="39"/>
    <col min="5" max="5" width="8.42578125" style="39" customWidth="1"/>
    <col min="6" max="6" width="8.5703125" style="42" customWidth="1"/>
    <col min="7" max="7" width="36.28515625" style="39" customWidth="1"/>
    <col min="8" max="8" width="23.85546875" style="40" customWidth="1"/>
    <col min="9" max="9" width="20" style="40" customWidth="1"/>
    <col min="10" max="10" width="13.7109375" style="40" customWidth="1"/>
    <col min="11" max="11" width="16.42578125" style="40" customWidth="1"/>
    <col min="12" max="12" width="11" style="41" customWidth="1"/>
    <col min="13" max="13" width="20.28515625" style="40" customWidth="1"/>
    <col min="14" max="14" width="20.28515625" style="39" customWidth="1"/>
    <col min="15" max="15" width="20" style="39" customWidth="1"/>
    <col min="16" max="16" width="27.28515625" style="39" customWidth="1"/>
    <col min="17" max="16384" width="11.5703125" style="39"/>
  </cols>
  <sheetData>
    <row r="1" spans="1:19" ht="36.75">
      <c r="A1" s="73" t="s">
        <v>205</v>
      </c>
      <c r="B1" s="74" t="s">
        <v>206</v>
      </c>
      <c r="C1" s="74" t="s">
        <v>2</v>
      </c>
      <c r="D1" s="74" t="s">
        <v>3</v>
      </c>
      <c r="E1" s="74" t="s">
        <v>207</v>
      </c>
      <c r="F1" s="74" t="s">
        <v>460</v>
      </c>
      <c r="G1" s="74" t="s">
        <v>209</v>
      </c>
      <c r="H1" s="74" t="s">
        <v>461</v>
      </c>
      <c r="I1" s="74" t="s">
        <v>210</v>
      </c>
      <c r="J1" s="74" t="s">
        <v>462</v>
      </c>
      <c r="K1" s="74" t="s">
        <v>463</v>
      </c>
      <c r="L1" s="74" t="s">
        <v>464</v>
      </c>
      <c r="M1" s="74" t="s">
        <v>465</v>
      </c>
      <c r="N1" s="74" t="s">
        <v>213</v>
      </c>
      <c r="O1" s="74" t="s">
        <v>14</v>
      </c>
      <c r="P1" s="74" t="s">
        <v>214</v>
      </c>
      <c r="Q1" s="74"/>
      <c r="R1" s="89" t="s">
        <v>466</v>
      </c>
      <c r="S1" s="89"/>
    </row>
    <row r="2" spans="1:19">
      <c r="A2" s="75" t="s">
        <v>16</v>
      </c>
      <c r="B2" s="76" t="s">
        <v>215</v>
      </c>
      <c r="C2" s="76" t="s">
        <v>18</v>
      </c>
      <c r="D2" s="76" t="s">
        <v>19</v>
      </c>
      <c r="E2" s="76" t="s">
        <v>20</v>
      </c>
      <c r="F2" s="77">
        <v>0.5</v>
      </c>
      <c r="G2" s="78"/>
      <c r="H2" s="78"/>
      <c r="I2" s="78"/>
      <c r="J2" s="76">
        <v>46055</v>
      </c>
      <c r="K2" s="79">
        <v>46232</v>
      </c>
      <c r="L2" s="76">
        <v>128</v>
      </c>
      <c r="M2" s="76" t="s">
        <v>467</v>
      </c>
      <c r="N2" s="78"/>
      <c r="O2" s="76">
        <v>1</v>
      </c>
      <c r="P2" s="76" t="s">
        <v>17</v>
      </c>
      <c r="Q2" s="79"/>
      <c r="R2" s="71" t="s">
        <v>468</v>
      </c>
      <c r="S2" s="72">
        <v>39</v>
      </c>
    </row>
    <row r="3" spans="1:19" ht="30">
      <c r="A3" s="80" t="s">
        <v>16</v>
      </c>
      <c r="B3" s="78" t="s">
        <v>216</v>
      </c>
      <c r="C3" s="78" t="s">
        <v>22</v>
      </c>
      <c r="D3" s="78" t="s">
        <v>19</v>
      </c>
      <c r="E3" s="78" t="s">
        <v>20</v>
      </c>
      <c r="F3" s="81">
        <v>0.5</v>
      </c>
      <c r="G3" s="78" t="s">
        <v>469</v>
      </c>
      <c r="H3" s="78" t="s">
        <v>24</v>
      </c>
      <c r="I3" s="78" t="s">
        <v>25</v>
      </c>
      <c r="J3" s="78">
        <v>46055</v>
      </c>
      <c r="K3" s="79">
        <v>46142</v>
      </c>
      <c r="L3" s="78">
        <v>64</v>
      </c>
      <c r="M3" s="78" t="s">
        <v>470</v>
      </c>
      <c r="N3" s="78" t="s">
        <v>26</v>
      </c>
      <c r="O3" s="78" t="s">
        <v>26</v>
      </c>
      <c r="P3" s="78" t="s">
        <v>17</v>
      </c>
      <c r="Q3" s="79"/>
      <c r="R3"/>
      <c r="S3"/>
    </row>
    <row r="4" spans="1:19">
      <c r="A4" s="80" t="s">
        <v>16</v>
      </c>
      <c r="B4" s="78" t="s">
        <v>216</v>
      </c>
      <c r="C4" s="78" t="s">
        <v>28</v>
      </c>
      <c r="D4" s="78" t="s">
        <v>19</v>
      </c>
      <c r="E4" s="78" t="s">
        <v>20</v>
      </c>
      <c r="F4" s="81">
        <v>0</v>
      </c>
      <c r="G4" s="78"/>
      <c r="H4" s="78"/>
      <c r="I4" s="78"/>
      <c r="J4" s="76">
        <v>46156</v>
      </c>
      <c r="K4" s="79">
        <v>46232</v>
      </c>
      <c r="L4" s="78">
        <v>55</v>
      </c>
      <c r="M4" s="78" t="s">
        <v>470</v>
      </c>
      <c r="N4" s="78"/>
      <c r="O4" s="78" t="s">
        <v>27</v>
      </c>
      <c r="P4" s="78" t="s">
        <v>17</v>
      </c>
      <c r="Q4" s="79"/>
      <c r="R4"/>
      <c r="S4"/>
    </row>
    <row r="5" spans="1:19">
      <c r="A5" s="80" t="s">
        <v>16</v>
      </c>
      <c r="B5" s="78" t="s">
        <v>216</v>
      </c>
      <c r="C5" s="78" t="s">
        <v>29</v>
      </c>
      <c r="D5" s="78" t="s">
        <v>19</v>
      </c>
      <c r="E5" s="78" t="s">
        <v>20</v>
      </c>
      <c r="F5" s="81">
        <v>0</v>
      </c>
      <c r="G5" s="78"/>
      <c r="H5" s="78"/>
      <c r="I5" s="78"/>
      <c r="J5" s="78" t="s">
        <v>229</v>
      </c>
      <c r="K5" s="79" t="s">
        <v>229</v>
      </c>
      <c r="L5" s="78">
        <v>0</v>
      </c>
      <c r="M5" s="78" t="s">
        <v>470</v>
      </c>
      <c r="N5" s="78"/>
      <c r="O5" s="78"/>
      <c r="P5" s="78" t="s">
        <v>17</v>
      </c>
      <c r="Q5" s="79"/>
      <c r="R5"/>
      <c r="S5"/>
    </row>
    <row r="6" spans="1:19">
      <c r="A6" s="80" t="s">
        <v>16</v>
      </c>
      <c r="B6" s="78" t="s">
        <v>216</v>
      </c>
      <c r="C6" s="78" t="s">
        <v>30</v>
      </c>
      <c r="D6" s="78" t="s">
        <v>19</v>
      </c>
      <c r="E6" s="78" t="s">
        <v>20</v>
      </c>
      <c r="F6" s="81">
        <v>0</v>
      </c>
      <c r="G6" s="78"/>
      <c r="H6" s="78"/>
      <c r="I6" s="78"/>
      <c r="J6" s="78" t="s">
        <v>229</v>
      </c>
      <c r="K6" s="79" t="s">
        <v>229</v>
      </c>
      <c r="L6" s="78">
        <v>0</v>
      </c>
      <c r="M6" s="78" t="s">
        <v>470</v>
      </c>
      <c r="N6" s="78"/>
      <c r="O6" s="78"/>
      <c r="P6" s="78" t="s">
        <v>17</v>
      </c>
      <c r="Q6" s="79"/>
      <c r="R6"/>
      <c r="S6"/>
    </row>
    <row r="7" spans="1:19" ht="30">
      <c r="A7" s="82" t="s">
        <v>16</v>
      </c>
      <c r="B7" s="76" t="s">
        <v>217</v>
      </c>
      <c r="C7" s="76" t="s">
        <v>18</v>
      </c>
      <c r="D7" s="76" t="s">
        <v>19</v>
      </c>
      <c r="E7" s="76" t="s">
        <v>20</v>
      </c>
      <c r="F7" s="77">
        <v>0.5</v>
      </c>
      <c r="G7" s="78"/>
      <c r="H7" s="78"/>
      <c r="I7" s="78"/>
      <c r="J7" s="76">
        <v>46029</v>
      </c>
      <c r="K7" s="79">
        <v>46265</v>
      </c>
      <c r="L7" s="76">
        <v>169</v>
      </c>
      <c r="M7" s="76" t="s">
        <v>470</v>
      </c>
      <c r="N7" s="78"/>
      <c r="O7" s="78"/>
      <c r="P7" s="76" t="s">
        <v>31</v>
      </c>
      <c r="Q7" s="79"/>
      <c r="R7"/>
      <c r="S7"/>
    </row>
    <row r="8" spans="1:19" ht="45">
      <c r="A8" s="80" t="s">
        <v>16</v>
      </c>
      <c r="B8" s="78" t="s">
        <v>218</v>
      </c>
      <c r="C8" s="78" t="s">
        <v>22</v>
      </c>
      <c r="D8" s="78" t="s">
        <v>19</v>
      </c>
      <c r="E8" s="78" t="s">
        <v>20</v>
      </c>
      <c r="F8" s="81">
        <v>0.5</v>
      </c>
      <c r="G8" s="78" t="s">
        <v>471</v>
      </c>
      <c r="H8" s="78" t="s">
        <v>24</v>
      </c>
      <c r="I8" s="78" t="s">
        <v>25</v>
      </c>
      <c r="J8" s="78">
        <v>46097</v>
      </c>
      <c r="K8" s="79">
        <v>46163</v>
      </c>
      <c r="L8" s="78">
        <v>49</v>
      </c>
      <c r="M8" s="78" t="s">
        <v>470</v>
      </c>
      <c r="N8" s="78" t="s">
        <v>26</v>
      </c>
      <c r="O8" s="78" t="s">
        <v>26</v>
      </c>
      <c r="P8" s="78" t="s">
        <v>31</v>
      </c>
      <c r="Q8" s="79"/>
      <c r="R8"/>
      <c r="S8"/>
    </row>
    <row r="9" spans="1:19" ht="30">
      <c r="A9" s="80" t="s">
        <v>16</v>
      </c>
      <c r="B9" s="78" t="s">
        <v>218</v>
      </c>
      <c r="C9" s="78" t="s">
        <v>28</v>
      </c>
      <c r="D9" s="78" t="s">
        <v>19</v>
      </c>
      <c r="E9" s="78" t="s">
        <v>20</v>
      </c>
      <c r="F9" s="81">
        <v>0</v>
      </c>
      <c r="G9" s="78"/>
      <c r="H9" s="78"/>
      <c r="I9" s="78"/>
      <c r="J9" s="76">
        <v>46167</v>
      </c>
      <c r="K9" s="79">
        <v>46265</v>
      </c>
      <c r="L9" s="78">
        <v>71</v>
      </c>
      <c r="M9" s="78" t="s">
        <v>470</v>
      </c>
      <c r="N9" s="78"/>
      <c r="O9" s="78" t="s">
        <v>27</v>
      </c>
      <c r="P9" s="78" t="s">
        <v>31</v>
      </c>
      <c r="Q9" s="79"/>
      <c r="R9"/>
      <c r="S9"/>
    </row>
    <row r="10" spans="1:19" ht="30">
      <c r="A10" s="80" t="s">
        <v>16</v>
      </c>
      <c r="B10" s="78" t="s">
        <v>218</v>
      </c>
      <c r="C10" s="78" t="s">
        <v>29</v>
      </c>
      <c r="D10" s="78" t="s">
        <v>19</v>
      </c>
      <c r="E10" s="78" t="s">
        <v>20</v>
      </c>
      <c r="F10" s="81">
        <v>0</v>
      </c>
      <c r="G10" s="78"/>
      <c r="H10" s="78"/>
      <c r="I10" s="78"/>
      <c r="J10" s="78" t="s">
        <v>229</v>
      </c>
      <c r="K10" s="79" t="s">
        <v>229</v>
      </c>
      <c r="L10" s="78">
        <v>0</v>
      </c>
      <c r="M10" s="78" t="s">
        <v>470</v>
      </c>
      <c r="N10" s="78"/>
      <c r="O10" s="78"/>
      <c r="P10" s="78" t="s">
        <v>31</v>
      </c>
      <c r="Q10" s="79"/>
      <c r="R10"/>
      <c r="S10"/>
    </row>
    <row r="11" spans="1:19" ht="30">
      <c r="A11" s="80" t="s">
        <v>16</v>
      </c>
      <c r="B11" s="78" t="s">
        <v>218</v>
      </c>
      <c r="C11" s="78" t="s">
        <v>30</v>
      </c>
      <c r="D11" s="78" t="s">
        <v>19</v>
      </c>
      <c r="E11" s="78" t="s">
        <v>20</v>
      </c>
      <c r="F11" s="81">
        <v>0</v>
      </c>
      <c r="G11" s="78"/>
      <c r="H11" s="78"/>
      <c r="I11" s="78"/>
      <c r="J11" s="78" t="s">
        <v>229</v>
      </c>
      <c r="K11" s="79" t="s">
        <v>229</v>
      </c>
      <c r="L11" s="78">
        <v>0</v>
      </c>
      <c r="M11" s="78" t="s">
        <v>470</v>
      </c>
      <c r="N11" s="78"/>
      <c r="O11" s="78"/>
      <c r="P11" s="78" t="s">
        <v>31</v>
      </c>
      <c r="Q11" s="79"/>
      <c r="R11"/>
      <c r="S11"/>
    </row>
    <row r="12" spans="1:19" ht="30">
      <c r="A12" s="75" t="s">
        <v>16</v>
      </c>
      <c r="B12" s="83" t="s">
        <v>219</v>
      </c>
      <c r="C12" s="83" t="s">
        <v>18</v>
      </c>
      <c r="D12" s="83" t="s">
        <v>33</v>
      </c>
      <c r="E12" s="83" t="s">
        <v>20</v>
      </c>
      <c r="F12" s="84">
        <v>0.25</v>
      </c>
      <c r="G12" s="79"/>
      <c r="H12" s="79"/>
      <c r="I12" s="79"/>
      <c r="J12" s="79">
        <v>46029</v>
      </c>
      <c r="K12" s="79">
        <v>46039</v>
      </c>
      <c r="L12" s="83">
        <v>8</v>
      </c>
      <c r="M12" s="83" t="s">
        <v>470</v>
      </c>
      <c r="N12" s="79"/>
      <c r="O12" s="79"/>
      <c r="P12" s="83" t="s">
        <v>31</v>
      </c>
      <c r="Q12" s="79"/>
      <c r="R12"/>
      <c r="S12"/>
    </row>
    <row r="13" spans="1:19" ht="30">
      <c r="A13" s="80" t="s">
        <v>16</v>
      </c>
      <c r="B13" s="79" t="s">
        <v>220</v>
      </c>
      <c r="C13" s="79" t="s">
        <v>22</v>
      </c>
      <c r="D13" s="79" t="s">
        <v>33</v>
      </c>
      <c r="E13" s="79" t="s">
        <v>20</v>
      </c>
      <c r="F13" s="85">
        <v>0.25</v>
      </c>
      <c r="G13" s="79" t="s">
        <v>23</v>
      </c>
      <c r="H13" s="79" t="s">
        <v>24</v>
      </c>
      <c r="I13" s="79" t="s">
        <v>25</v>
      </c>
      <c r="J13" s="79">
        <v>46029</v>
      </c>
      <c r="K13" s="79" t="s">
        <v>229</v>
      </c>
      <c r="L13" s="79">
        <v>0</v>
      </c>
      <c r="M13" s="79" t="s">
        <v>470</v>
      </c>
      <c r="N13" s="79"/>
      <c r="O13" s="79"/>
      <c r="P13" s="79" t="s">
        <v>31</v>
      </c>
      <c r="Q13" s="79"/>
      <c r="R13"/>
      <c r="S13"/>
    </row>
    <row r="14" spans="1:19" ht="30">
      <c r="A14" s="80" t="s">
        <v>16</v>
      </c>
      <c r="B14" s="79" t="s">
        <v>220</v>
      </c>
      <c r="C14" s="79" t="s">
        <v>28</v>
      </c>
      <c r="D14" s="79" t="s">
        <v>33</v>
      </c>
      <c r="E14" s="79" t="s">
        <v>20</v>
      </c>
      <c r="F14" s="85">
        <v>0</v>
      </c>
      <c r="G14" s="79"/>
      <c r="H14" s="79"/>
      <c r="I14" s="79"/>
      <c r="J14" s="79">
        <v>46029</v>
      </c>
      <c r="K14" s="79">
        <v>46039</v>
      </c>
      <c r="L14" s="79">
        <v>7</v>
      </c>
      <c r="M14" s="79" t="s">
        <v>470</v>
      </c>
      <c r="N14" s="79" t="s">
        <v>43</v>
      </c>
      <c r="O14" s="79" t="s">
        <v>132</v>
      </c>
      <c r="P14" s="79" t="s">
        <v>31</v>
      </c>
      <c r="Q14" s="79"/>
      <c r="R14"/>
      <c r="S14"/>
    </row>
    <row r="15" spans="1:19" ht="30">
      <c r="A15" s="80" t="s">
        <v>16</v>
      </c>
      <c r="B15" s="79" t="s">
        <v>220</v>
      </c>
      <c r="C15" s="79" t="s">
        <v>29</v>
      </c>
      <c r="D15" s="79" t="s">
        <v>33</v>
      </c>
      <c r="E15" s="79" t="s">
        <v>20</v>
      </c>
      <c r="F15" s="85">
        <v>0</v>
      </c>
      <c r="G15" s="79"/>
      <c r="H15" s="79"/>
      <c r="I15" s="79"/>
      <c r="J15" s="79">
        <v>46029</v>
      </c>
      <c r="K15" s="79" t="s">
        <v>229</v>
      </c>
      <c r="L15" s="79">
        <v>0</v>
      </c>
      <c r="M15" s="79" t="s">
        <v>470</v>
      </c>
      <c r="N15" s="79"/>
      <c r="O15" s="79"/>
      <c r="P15" s="79" t="s">
        <v>31</v>
      </c>
      <c r="Q15" s="79"/>
      <c r="R15"/>
      <c r="S15"/>
    </row>
    <row r="16" spans="1:19" ht="30">
      <c r="A16" s="80" t="s">
        <v>16</v>
      </c>
      <c r="B16" s="79" t="s">
        <v>220</v>
      </c>
      <c r="C16" s="79" t="s">
        <v>30</v>
      </c>
      <c r="D16" s="79" t="s">
        <v>33</v>
      </c>
      <c r="E16" s="79" t="s">
        <v>20</v>
      </c>
      <c r="F16" s="85">
        <v>0</v>
      </c>
      <c r="G16" s="79"/>
      <c r="H16" s="79"/>
      <c r="I16" s="79"/>
      <c r="J16" s="79" t="s">
        <v>229</v>
      </c>
      <c r="K16" s="79" t="s">
        <v>229</v>
      </c>
      <c r="L16" s="79">
        <v>0</v>
      </c>
      <c r="M16" s="79" t="s">
        <v>470</v>
      </c>
      <c r="N16" s="79"/>
      <c r="O16" s="79"/>
      <c r="P16" s="79" t="s">
        <v>31</v>
      </c>
      <c r="Q16" s="79"/>
      <c r="R16"/>
      <c r="S16"/>
    </row>
    <row r="17" spans="1:19" ht="30">
      <c r="A17" s="82" t="s">
        <v>16</v>
      </c>
      <c r="B17" s="76" t="s">
        <v>221</v>
      </c>
      <c r="C17" s="76" t="s">
        <v>18</v>
      </c>
      <c r="D17" s="76" t="s">
        <v>19</v>
      </c>
      <c r="E17" s="76" t="s">
        <v>20</v>
      </c>
      <c r="F17" s="77">
        <v>0.24</v>
      </c>
      <c r="G17" s="78"/>
      <c r="H17" s="78"/>
      <c r="I17" s="78"/>
      <c r="J17" s="76">
        <v>45946</v>
      </c>
      <c r="K17" s="79">
        <v>46219</v>
      </c>
      <c r="L17" s="76">
        <v>195.85</v>
      </c>
      <c r="M17" s="76" t="s">
        <v>470</v>
      </c>
      <c r="N17" s="78"/>
      <c r="O17" s="78"/>
      <c r="P17" s="76" t="s">
        <v>34</v>
      </c>
      <c r="Q17" s="79"/>
      <c r="R17"/>
      <c r="S17"/>
    </row>
    <row r="18" spans="1:19" ht="30">
      <c r="A18" s="80" t="s">
        <v>16</v>
      </c>
      <c r="B18" s="78" t="s">
        <v>222</v>
      </c>
      <c r="C18" s="78" t="s">
        <v>22</v>
      </c>
      <c r="D18" s="78" t="s">
        <v>19</v>
      </c>
      <c r="E18" s="78" t="s">
        <v>20</v>
      </c>
      <c r="F18" s="81">
        <v>0</v>
      </c>
      <c r="G18" s="78" t="s">
        <v>35</v>
      </c>
      <c r="H18" s="78" t="s">
        <v>36</v>
      </c>
      <c r="I18" s="78" t="s">
        <v>37</v>
      </c>
      <c r="J18" s="78">
        <v>46076</v>
      </c>
      <c r="K18" s="79">
        <v>46150</v>
      </c>
      <c r="L18" s="78">
        <v>54.85</v>
      </c>
      <c r="M18" s="78" t="s">
        <v>470</v>
      </c>
      <c r="N18" s="78" t="s">
        <v>43</v>
      </c>
      <c r="O18" s="78" t="s">
        <v>26</v>
      </c>
      <c r="P18" s="78" t="s">
        <v>34</v>
      </c>
      <c r="Q18" s="79"/>
      <c r="R18"/>
      <c r="S18"/>
    </row>
    <row r="19" spans="1:19" ht="30">
      <c r="A19" s="80" t="s">
        <v>16</v>
      </c>
      <c r="B19" s="78" t="s">
        <v>222</v>
      </c>
      <c r="C19" s="78" t="s">
        <v>28</v>
      </c>
      <c r="D19" s="78" t="s">
        <v>19</v>
      </c>
      <c r="E19" s="78" t="s">
        <v>20</v>
      </c>
      <c r="F19" s="81">
        <v>0</v>
      </c>
      <c r="G19" s="78"/>
      <c r="H19" s="78"/>
      <c r="I19" s="78"/>
      <c r="J19" s="78">
        <v>46150</v>
      </c>
      <c r="K19" s="79">
        <v>46219</v>
      </c>
      <c r="L19" s="78">
        <v>49</v>
      </c>
      <c r="M19" s="78" t="s">
        <v>470</v>
      </c>
      <c r="N19" s="78"/>
      <c r="O19" s="78" t="s">
        <v>27</v>
      </c>
      <c r="P19" s="78" t="s">
        <v>34</v>
      </c>
      <c r="Q19" s="79"/>
      <c r="R19"/>
      <c r="S19"/>
    </row>
    <row r="20" spans="1:19" ht="30">
      <c r="A20" s="80" t="s">
        <v>16</v>
      </c>
      <c r="B20" s="78" t="s">
        <v>222</v>
      </c>
      <c r="C20" s="78" t="s">
        <v>29</v>
      </c>
      <c r="D20" s="78" t="s">
        <v>19</v>
      </c>
      <c r="E20" s="78" t="s">
        <v>20</v>
      </c>
      <c r="F20" s="81">
        <v>0</v>
      </c>
      <c r="G20" s="78"/>
      <c r="H20" s="78"/>
      <c r="I20" s="78"/>
      <c r="J20" s="78">
        <v>46150</v>
      </c>
      <c r="K20" s="79">
        <v>46153</v>
      </c>
      <c r="L20" s="78">
        <v>1</v>
      </c>
      <c r="M20" s="78" t="s">
        <v>470</v>
      </c>
      <c r="N20" s="78"/>
      <c r="O20" s="78" t="s">
        <v>27</v>
      </c>
      <c r="P20" s="78" t="s">
        <v>34</v>
      </c>
      <c r="Q20" s="79"/>
      <c r="R20"/>
      <c r="S20"/>
    </row>
    <row r="21" spans="1:19" ht="30">
      <c r="A21" s="80" t="s">
        <v>16</v>
      </c>
      <c r="B21" s="78" t="s">
        <v>222</v>
      </c>
      <c r="C21" s="78" t="s">
        <v>30</v>
      </c>
      <c r="D21" s="78" t="s">
        <v>19</v>
      </c>
      <c r="E21" s="78" t="s">
        <v>20</v>
      </c>
      <c r="F21" s="81">
        <v>0</v>
      </c>
      <c r="G21" s="78"/>
      <c r="H21" s="78"/>
      <c r="I21" s="78"/>
      <c r="J21" s="78">
        <v>46150</v>
      </c>
      <c r="K21" s="79">
        <v>46153</v>
      </c>
      <c r="L21" s="78">
        <v>1</v>
      </c>
      <c r="M21" s="78" t="s">
        <v>470</v>
      </c>
      <c r="N21" s="78"/>
      <c r="O21" s="78" t="s">
        <v>27</v>
      </c>
      <c r="P21" s="78" t="s">
        <v>34</v>
      </c>
      <c r="Q21" s="79"/>
      <c r="R21"/>
      <c r="S21"/>
    </row>
    <row r="22" spans="1:19" ht="30">
      <c r="A22" s="75" t="s">
        <v>16</v>
      </c>
      <c r="B22" s="83" t="s">
        <v>224</v>
      </c>
      <c r="C22" s="83" t="s">
        <v>18</v>
      </c>
      <c r="D22" s="83" t="s">
        <v>33</v>
      </c>
      <c r="E22" s="83" t="s">
        <v>20</v>
      </c>
      <c r="F22" s="84">
        <v>0.5</v>
      </c>
      <c r="G22" s="79"/>
      <c r="H22" s="79"/>
      <c r="I22" s="79"/>
      <c r="J22" s="83">
        <v>45946</v>
      </c>
      <c r="K22" s="79">
        <v>46142</v>
      </c>
      <c r="L22" s="83">
        <v>141</v>
      </c>
      <c r="M22" s="83" t="s">
        <v>470</v>
      </c>
      <c r="N22" s="79"/>
      <c r="O22" s="79"/>
      <c r="P22" s="83" t="s">
        <v>34</v>
      </c>
      <c r="Q22" s="79"/>
      <c r="R22"/>
      <c r="S22"/>
    </row>
    <row r="23" spans="1:19" ht="30">
      <c r="A23" s="80" t="s">
        <v>16</v>
      </c>
      <c r="B23" s="79" t="s">
        <v>225</v>
      </c>
      <c r="C23" s="79" t="s">
        <v>22</v>
      </c>
      <c r="D23" s="79" t="s">
        <v>33</v>
      </c>
      <c r="E23" s="79" t="s">
        <v>20</v>
      </c>
      <c r="F23" s="85">
        <v>0.5</v>
      </c>
      <c r="G23" s="79" t="s">
        <v>35</v>
      </c>
      <c r="H23" s="79" t="s">
        <v>36</v>
      </c>
      <c r="I23" s="79" t="s">
        <v>37</v>
      </c>
      <c r="J23" s="79">
        <v>46076</v>
      </c>
      <c r="K23" s="79">
        <v>46142</v>
      </c>
      <c r="L23" s="79">
        <v>49</v>
      </c>
      <c r="M23" s="79" t="s">
        <v>470</v>
      </c>
      <c r="N23" s="79" t="s">
        <v>26</v>
      </c>
      <c r="O23" s="79" t="s">
        <v>26</v>
      </c>
      <c r="P23" s="79" t="s">
        <v>34</v>
      </c>
      <c r="Q23" s="79"/>
      <c r="R23"/>
      <c r="S23"/>
    </row>
    <row r="24" spans="1:19" ht="30">
      <c r="A24" s="80" t="s">
        <v>16</v>
      </c>
      <c r="B24" s="79" t="s">
        <v>225</v>
      </c>
      <c r="C24" s="79" t="s">
        <v>28</v>
      </c>
      <c r="D24" s="79" t="s">
        <v>33</v>
      </c>
      <c r="E24" s="79" t="s">
        <v>20</v>
      </c>
      <c r="F24" s="85">
        <v>0</v>
      </c>
      <c r="G24" s="79"/>
      <c r="H24" s="79"/>
      <c r="I24" s="79"/>
      <c r="J24" s="79" t="s">
        <v>229</v>
      </c>
      <c r="K24" s="79" t="s">
        <v>229</v>
      </c>
      <c r="L24" s="79">
        <v>0</v>
      </c>
      <c r="M24" s="79" t="s">
        <v>470</v>
      </c>
      <c r="N24" s="79"/>
      <c r="O24" s="79"/>
      <c r="P24" s="79" t="s">
        <v>34</v>
      </c>
      <c r="Q24" s="79"/>
      <c r="R24"/>
      <c r="S24"/>
    </row>
    <row r="25" spans="1:19" ht="30">
      <c r="A25" s="80" t="s">
        <v>16</v>
      </c>
      <c r="B25" s="79" t="s">
        <v>225</v>
      </c>
      <c r="C25" s="79" t="s">
        <v>29</v>
      </c>
      <c r="D25" s="79" t="s">
        <v>33</v>
      </c>
      <c r="E25" s="79" t="s">
        <v>20</v>
      </c>
      <c r="F25" s="85">
        <v>0</v>
      </c>
      <c r="G25" s="79"/>
      <c r="H25" s="79"/>
      <c r="I25" s="79"/>
      <c r="J25" s="79" t="s">
        <v>229</v>
      </c>
      <c r="K25" s="79" t="s">
        <v>229</v>
      </c>
      <c r="L25" s="79">
        <v>0</v>
      </c>
      <c r="M25" s="79" t="s">
        <v>470</v>
      </c>
      <c r="N25" s="79"/>
      <c r="O25" s="79"/>
      <c r="P25" s="79" t="s">
        <v>34</v>
      </c>
      <c r="Q25" s="79"/>
      <c r="R25"/>
      <c r="S25"/>
    </row>
    <row r="26" spans="1:19" ht="30">
      <c r="A26" s="80" t="s">
        <v>16</v>
      </c>
      <c r="B26" s="79" t="s">
        <v>225</v>
      </c>
      <c r="C26" s="79" t="s">
        <v>30</v>
      </c>
      <c r="D26" s="79" t="s">
        <v>33</v>
      </c>
      <c r="E26" s="79" t="s">
        <v>20</v>
      </c>
      <c r="F26" s="85">
        <v>0</v>
      </c>
      <c r="G26" s="79"/>
      <c r="H26" s="79"/>
      <c r="I26" s="79"/>
      <c r="J26" s="79" t="s">
        <v>229</v>
      </c>
      <c r="K26" s="79" t="s">
        <v>229</v>
      </c>
      <c r="L26" s="79">
        <v>0</v>
      </c>
      <c r="M26" s="79" t="s">
        <v>470</v>
      </c>
      <c r="N26" s="79"/>
      <c r="O26" s="79"/>
      <c r="P26" s="79" t="s">
        <v>34</v>
      </c>
      <c r="Q26" s="79"/>
      <c r="R26"/>
      <c r="S26"/>
    </row>
    <row r="27" spans="1:19">
      <c r="A27" s="82" t="s">
        <v>39</v>
      </c>
      <c r="B27" s="76" t="s">
        <v>227</v>
      </c>
      <c r="C27" s="76" t="s">
        <v>18</v>
      </c>
      <c r="D27" s="76" t="s">
        <v>19</v>
      </c>
      <c r="E27" s="76" t="s">
        <v>20</v>
      </c>
      <c r="F27" s="77">
        <v>0.69</v>
      </c>
      <c r="G27" s="78"/>
      <c r="H27" s="78"/>
      <c r="I27" s="78"/>
      <c r="J27" s="76">
        <v>45971</v>
      </c>
      <c r="K27" s="79">
        <v>46157</v>
      </c>
      <c r="L27" s="76">
        <v>135</v>
      </c>
      <c r="M27" s="76" t="s">
        <v>470</v>
      </c>
      <c r="N27" s="78"/>
      <c r="O27" s="78"/>
      <c r="P27" s="76" t="s">
        <v>40</v>
      </c>
      <c r="Q27" s="79"/>
      <c r="R27"/>
      <c r="S27"/>
    </row>
    <row r="28" spans="1:19" ht="45">
      <c r="A28" s="80" t="s">
        <v>39</v>
      </c>
      <c r="B28" s="78" t="s">
        <v>228</v>
      </c>
      <c r="C28" s="78" t="s">
        <v>22</v>
      </c>
      <c r="D28" s="78" t="s">
        <v>19</v>
      </c>
      <c r="E28" s="78" t="s">
        <v>20</v>
      </c>
      <c r="F28" s="81">
        <v>1</v>
      </c>
      <c r="G28" s="78" t="s">
        <v>41</v>
      </c>
      <c r="H28" s="78"/>
      <c r="I28" s="78"/>
      <c r="J28" s="78">
        <v>45972</v>
      </c>
      <c r="K28" s="79">
        <v>46051</v>
      </c>
      <c r="L28" s="78">
        <v>58</v>
      </c>
      <c r="M28" s="78" t="s">
        <v>470</v>
      </c>
      <c r="N28" s="78" t="s">
        <v>108</v>
      </c>
      <c r="O28" s="78" t="s">
        <v>108</v>
      </c>
      <c r="P28" s="78" t="s">
        <v>40</v>
      </c>
      <c r="Q28" s="79"/>
      <c r="R28"/>
      <c r="S28"/>
    </row>
    <row r="29" spans="1:19">
      <c r="A29" s="80" t="s">
        <v>39</v>
      </c>
      <c r="B29" s="78" t="s">
        <v>228</v>
      </c>
      <c r="C29" s="78" t="s">
        <v>28</v>
      </c>
      <c r="D29" s="78" t="s">
        <v>19</v>
      </c>
      <c r="E29" s="78" t="s">
        <v>20</v>
      </c>
      <c r="F29" s="81">
        <v>0</v>
      </c>
      <c r="G29" s="78"/>
      <c r="H29" s="78"/>
      <c r="I29" s="78"/>
      <c r="J29" s="78" t="s">
        <v>229</v>
      </c>
      <c r="K29" s="79" t="s">
        <v>229</v>
      </c>
      <c r="L29" s="78">
        <v>0</v>
      </c>
      <c r="M29" s="78" t="s">
        <v>470</v>
      </c>
      <c r="N29" s="78"/>
      <c r="O29" s="78"/>
      <c r="P29" s="78" t="s">
        <v>40</v>
      </c>
      <c r="Q29" s="79"/>
      <c r="R29"/>
      <c r="S29"/>
    </row>
    <row r="30" spans="1:19">
      <c r="A30" s="80" t="s">
        <v>39</v>
      </c>
      <c r="B30" s="78" t="s">
        <v>228</v>
      </c>
      <c r="C30" s="78" t="s">
        <v>29</v>
      </c>
      <c r="D30" s="78" t="s">
        <v>19</v>
      </c>
      <c r="E30" s="78" t="s">
        <v>20</v>
      </c>
      <c r="F30" s="81">
        <v>0</v>
      </c>
      <c r="G30" s="78"/>
      <c r="H30" s="78"/>
      <c r="I30" s="78"/>
      <c r="J30" s="78" t="s">
        <v>229</v>
      </c>
      <c r="K30" s="79" t="s">
        <v>229</v>
      </c>
      <c r="L30" s="78">
        <v>0</v>
      </c>
      <c r="M30" s="78" t="s">
        <v>470</v>
      </c>
      <c r="N30" s="78"/>
      <c r="O30" s="78"/>
      <c r="P30" s="78" t="s">
        <v>40</v>
      </c>
      <c r="Q30" s="79"/>
      <c r="R30"/>
      <c r="S30"/>
    </row>
    <row r="31" spans="1:19">
      <c r="A31" s="80" t="s">
        <v>39</v>
      </c>
      <c r="B31" s="78" t="s">
        <v>228</v>
      </c>
      <c r="C31" s="78" t="s">
        <v>30</v>
      </c>
      <c r="D31" s="78" t="s">
        <v>19</v>
      </c>
      <c r="E31" s="78" t="s">
        <v>20</v>
      </c>
      <c r="F31" s="81">
        <v>0</v>
      </c>
      <c r="G31" s="78"/>
      <c r="H31" s="78"/>
      <c r="I31" s="78"/>
      <c r="J31" s="78" t="s">
        <v>229</v>
      </c>
      <c r="K31" s="79" t="s">
        <v>229</v>
      </c>
      <c r="L31" s="78">
        <v>0</v>
      </c>
      <c r="M31" s="78" t="s">
        <v>470</v>
      </c>
      <c r="N31" s="78"/>
      <c r="O31" s="78"/>
      <c r="P31" s="78" t="s">
        <v>40</v>
      </c>
      <c r="Q31" s="79"/>
      <c r="R31"/>
      <c r="S31"/>
    </row>
    <row r="32" spans="1:19">
      <c r="A32" s="82" t="s">
        <v>44</v>
      </c>
      <c r="B32" s="83" t="s">
        <v>230</v>
      </c>
      <c r="C32" s="83" t="s">
        <v>18</v>
      </c>
      <c r="D32" s="83" t="s">
        <v>33</v>
      </c>
      <c r="E32" s="83" t="s">
        <v>20</v>
      </c>
      <c r="F32" s="84">
        <v>1</v>
      </c>
      <c r="G32" s="79"/>
      <c r="H32" s="79"/>
      <c r="I32" s="79"/>
      <c r="J32" s="83">
        <v>45971</v>
      </c>
      <c r="K32" s="79">
        <v>46173</v>
      </c>
      <c r="L32" s="83">
        <v>145</v>
      </c>
      <c r="M32" s="83" t="s">
        <v>470</v>
      </c>
      <c r="N32" s="79"/>
      <c r="O32" s="79"/>
      <c r="P32" s="83" t="s">
        <v>40</v>
      </c>
      <c r="Q32" s="79"/>
      <c r="R32"/>
      <c r="S32"/>
    </row>
    <row r="33" spans="1:19" ht="30">
      <c r="A33" s="80" t="s">
        <v>44</v>
      </c>
      <c r="B33" s="79" t="s">
        <v>231</v>
      </c>
      <c r="C33" s="79" t="s">
        <v>22</v>
      </c>
      <c r="D33" s="79" t="s">
        <v>33</v>
      </c>
      <c r="E33" s="79" t="s">
        <v>20</v>
      </c>
      <c r="F33" s="85">
        <v>1</v>
      </c>
      <c r="G33" s="79" t="s">
        <v>46</v>
      </c>
      <c r="H33" s="79" t="s">
        <v>47</v>
      </c>
      <c r="I33" s="79" t="s">
        <v>48</v>
      </c>
      <c r="J33" s="79">
        <v>45971</v>
      </c>
      <c r="K33" s="79">
        <v>46001</v>
      </c>
      <c r="L33" s="79">
        <v>23</v>
      </c>
      <c r="M33" s="79" t="s">
        <v>472</v>
      </c>
      <c r="N33" s="79" t="s">
        <v>108</v>
      </c>
      <c r="O33" s="79" t="s">
        <v>108</v>
      </c>
      <c r="P33" s="79" t="s">
        <v>40</v>
      </c>
      <c r="Q33" s="79"/>
      <c r="R33"/>
      <c r="S33"/>
    </row>
    <row r="34" spans="1:19">
      <c r="A34" s="80" t="s">
        <v>44</v>
      </c>
      <c r="B34" s="79" t="s">
        <v>231</v>
      </c>
      <c r="C34" s="79" t="s">
        <v>28</v>
      </c>
      <c r="D34" s="79" t="s">
        <v>33</v>
      </c>
      <c r="E34" s="79" t="s">
        <v>20</v>
      </c>
      <c r="F34" s="85">
        <v>0</v>
      </c>
      <c r="G34" s="79"/>
      <c r="H34" s="79"/>
      <c r="I34" s="79"/>
      <c r="J34" s="79">
        <v>46054</v>
      </c>
      <c r="K34" s="79">
        <v>46173</v>
      </c>
      <c r="L34" s="79">
        <v>85</v>
      </c>
      <c r="M34" s="79" t="s">
        <v>470</v>
      </c>
      <c r="N34" s="79" t="s">
        <v>43</v>
      </c>
      <c r="O34" s="79" t="s">
        <v>28</v>
      </c>
      <c r="P34" s="79" t="s">
        <v>40</v>
      </c>
      <c r="Q34" s="79"/>
      <c r="R34"/>
      <c r="S34"/>
    </row>
    <row r="35" spans="1:19">
      <c r="A35" s="80" t="s">
        <v>44</v>
      </c>
      <c r="B35" s="79" t="s">
        <v>231</v>
      </c>
      <c r="C35" s="79" t="s">
        <v>29</v>
      </c>
      <c r="D35" s="79" t="s">
        <v>33</v>
      </c>
      <c r="E35" s="79" t="s">
        <v>20</v>
      </c>
      <c r="F35" s="85">
        <v>0</v>
      </c>
      <c r="G35" s="79"/>
      <c r="H35" s="79"/>
      <c r="I35" s="79"/>
      <c r="J35" s="79" t="s">
        <v>229</v>
      </c>
      <c r="K35" s="79" t="s">
        <v>229</v>
      </c>
      <c r="L35" s="79">
        <v>0</v>
      </c>
      <c r="M35" s="79" t="s">
        <v>470</v>
      </c>
      <c r="N35" s="79"/>
      <c r="O35" s="79"/>
      <c r="P35" s="79" t="s">
        <v>40</v>
      </c>
      <c r="Q35" s="79"/>
      <c r="R35"/>
      <c r="S35"/>
    </row>
    <row r="36" spans="1:19">
      <c r="A36" s="80" t="s">
        <v>44</v>
      </c>
      <c r="B36" s="79" t="s">
        <v>231</v>
      </c>
      <c r="C36" s="79" t="s">
        <v>30</v>
      </c>
      <c r="D36" s="79" t="s">
        <v>33</v>
      </c>
      <c r="E36" s="79" t="s">
        <v>20</v>
      </c>
      <c r="F36" s="85">
        <v>0</v>
      </c>
      <c r="G36" s="79"/>
      <c r="H36" s="79"/>
      <c r="I36" s="79"/>
      <c r="J36" s="79" t="s">
        <v>229</v>
      </c>
      <c r="K36" s="79" t="s">
        <v>229</v>
      </c>
      <c r="L36" s="79">
        <v>0</v>
      </c>
      <c r="M36" s="79" t="s">
        <v>470</v>
      </c>
      <c r="N36" s="79"/>
      <c r="O36" s="79"/>
      <c r="P36" s="79" t="s">
        <v>40</v>
      </c>
      <c r="Q36" s="79"/>
      <c r="R36"/>
      <c r="S36"/>
    </row>
    <row r="37" spans="1:19">
      <c r="A37" s="75" t="s">
        <v>39</v>
      </c>
      <c r="B37" s="83" t="s">
        <v>232</v>
      </c>
      <c r="C37" s="83" t="s">
        <v>18</v>
      </c>
      <c r="D37" s="83" t="s">
        <v>33</v>
      </c>
      <c r="E37" s="83" t="s">
        <v>20</v>
      </c>
      <c r="F37" s="84">
        <v>0</v>
      </c>
      <c r="G37" s="79"/>
      <c r="H37" s="79"/>
      <c r="I37" s="79"/>
      <c r="J37" s="83">
        <v>46113</v>
      </c>
      <c r="K37" s="79">
        <v>46273</v>
      </c>
      <c r="L37" s="83">
        <v>115</v>
      </c>
      <c r="M37" s="83" t="s">
        <v>470</v>
      </c>
      <c r="N37" s="79"/>
      <c r="O37" s="79"/>
      <c r="P37" s="83" t="s">
        <v>40</v>
      </c>
      <c r="Q37" s="79"/>
      <c r="R37"/>
      <c r="S37"/>
    </row>
    <row r="38" spans="1:19" ht="45">
      <c r="A38" s="80" t="s">
        <v>39</v>
      </c>
      <c r="B38" s="79" t="s">
        <v>233</v>
      </c>
      <c r="C38" s="79" t="s">
        <v>22</v>
      </c>
      <c r="D38" s="79" t="s">
        <v>33</v>
      </c>
      <c r="E38" s="79" t="s">
        <v>20</v>
      </c>
      <c r="F38" s="85">
        <v>0</v>
      </c>
      <c r="G38" s="79" t="s">
        <v>41</v>
      </c>
      <c r="H38" s="79" t="s">
        <v>473</v>
      </c>
      <c r="I38" s="79" t="s">
        <v>50</v>
      </c>
      <c r="J38" s="79">
        <v>46113</v>
      </c>
      <c r="K38" s="79">
        <v>46155</v>
      </c>
      <c r="L38" s="79">
        <v>31</v>
      </c>
      <c r="M38" s="79" t="s">
        <v>470</v>
      </c>
      <c r="N38" s="79"/>
      <c r="O38" s="79" t="s">
        <v>27</v>
      </c>
      <c r="P38" s="79" t="s">
        <v>40</v>
      </c>
      <c r="Q38" s="79"/>
      <c r="R38"/>
      <c r="S38"/>
    </row>
    <row r="39" spans="1:19">
      <c r="A39" s="80" t="s">
        <v>39</v>
      </c>
      <c r="B39" s="79" t="s">
        <v>233</v>
      </c>
      <c r="C39" s="79" t="s">
        <v>28</v>
      </c>
      <c r="D39" s="79" t="s">
        <v>33</v>
      </c>
      <c r="E39" s="79" t="s">
        <v>20</v>
      </c>
      <c r="F39" s="85">
        <v>0</v>
      </c>
      <c r="G39" s="79"/>
      <c r="H39" s="79"/>
      <c r="I39" s="79"/>
      <c r="J39" s="79">
        <v>46188</v>
      </c>
      <c r="K39" s="79">
        <v>46273</v>
      </c>
      <c r="L39" s="79">
        <v>62</v>
      </c>
      <c r="M39" s="79" t="s">
        <v>470</v>
      </c>
      <c r="N39" s="79"/>
      <c r="O39" s="79" t="s">
        <v>27</v>
      </c>
      <c r="P39" s="79" t="s">
        <v>40</v>
      </c>
      <c r="Q39" s="79"/>
      <c r="R39"/>
      <c r="S39"/>
    </row>
    <row r="40" spans="1:19">
      <c r="A40" s="80" t="s">
        <v>39</v>
      </c>
      <c r="B40" s="79" t="s">
        <v>233</v>
      </c>
      <c r="C40" s="79" t="s">
        <v>29</v>
      </c>
      <c r="D40" s="79" t="s">
        <v>33</v>
      </c>
      <c r="E40" s="79" t="s">
        <v>20</v>
      </c>
      <c r="F40" s="85">
        <v>0</v>
      </c>
      <c r="G40" s="79"/>
      <c r="H40" s="79"/>
      <c r="I40" s="79"/>
      <c r="J40" s="79" t="s">
        <v>229</v>
      </c>
      <c r="K40" s="79" t="s">
        <v>229</v>
      </c>
      <c r="L40" s="79">
        <v>0</v>
      </c>
      <c r="M40" s="79" t="s">
        <v>470</v>
      </c>
      <c r="N40" s="79"/>
      <c r="O40" s="79"/>
      <c r="P40" s="79" t="s">
        <v>40</v>
      </c>
      <c r="Q40" s="79"/>
      <c r="R40"/>
      <c r="S40"/>
    </row>
    <row r="41" spans="1:19">
      <c r="A41" s="80" t="s">
        <v>39</v>
      </c>
      <c r="B41" s="79" t="s">
        <v>233</v>
      </c>
      <c r="C41" s="79" t="s">
        <v>30</v>
      </c>
      <c r="D41" s="79" t="s">
        <v>33</v>
      </c>
      <c r="E41" s="79" t="s">
        <v>20</v>
      </c>
      <c r="F41" s="85">
        <v>0</v>
      </c>
      <c r="G41" s="79"/>
      <c r="H41" s="79"/>
      <c r="I41" s="79"/>
      <c r="J41" s="79" t="s">
        <v>229</v>
      </c>
      <c r="K41" s="79" t="s">
        <v>229</v>
      </c>
      <c r="L41" s="79">
        <v>0</v>
      </c>
      <c r="M41" s="79" t="s">
        <v>470</v>
      </c>
      <c r="N41" s="79"/>
      <c r="O41" s="79"/>
      <c r="P41" s="79" t="s">
        <v>40</v>
      </c>
      <c r="Q41" s="79"/>
      <c r="R41"/>
      <c r="S41"/>
    </row>
    <row r="42" spans="1:19" ht="30">
      <c r="A42" s="82" t="s">
        <v>51</v>
      </c>
      <c r="B42" s="76" t="s">
        <v>474</v>
      </c>
      <c r="C42" s="76" t="s">
        <v>18</v>
      </c>
      <c r="D42" s="76" t="s">
        <v>19</v>
      </c>
      <c r="E42" s="76" t="s">
        <v>20</v>
      </c>
      <c r="F42" s="77">
        <v>0.5</v>
      </c>
      <c r="G42" s="78"/>
      <c r="H42" s="78"/>
      <c r="I42" s="76" t="s">
        <v>55</v>
      </c>
      <c r="J42" s="76">
        <v>45945</v>
      </c>
      <c r="K42" s="79">
        <v>46234</v>
      </c>
      <c r="L42" s="76">
        <v>208</v>
      </c>
      <c r="M42" s="76" t="s">
        <v>470</v>
      </c>
      <c r="N42" s="78"/>
      <c r="O42" s="78"/>
      <c r="P42" s="76" t="s">
        <v>52</v>
      </c>
      <c r="Q42" s="79"/>
      <c r="R42"/>
      <c r="S42"/>
    </row>
    <row r="43" spans="1:19" ht="30">
      <c r="A43" s="80" t="s">
        <v>51</v>
      </c>
      <c r="B43" s="78" t="s">
        <v>475</v>
      </c>
      <c r="C43" s="78" t="s">
        <v>22</v>
      </c>
      <c r="D43" s="78" t="s">
        <v>19</v>
      </c>
      <c r="E43" s="78" t="s">
        <v>20</v>
      </c>
      <c r="F43" s="81">
        <v>0.5</v>
      </c>
      <c r="G43" s="78" t="s">
        <v>237</v>
      </c>
      <c r="H43" s="78" t="s">
        <v>54</v>
      </c>
      <c r="I43" s="78" t="s">
        <v>55</v>
      </c>
      <c r="J43" s="78">
        <v>45945</v>
      </c>
      <c r="K43" s="79">
        <v>46142</v>
      </c>
      <c r="L43" s="78">
        <v>142</v>
      </c>
      <c r="M43" s="78" t="s">
        <v>470</v>
      </c>
      <c r="N43" s="78" t="s">
        <v>26</v>
      </c>
      <c r="O43" s="78" t="s">
        <v>26</v>
      </c>
      <c r="P43" s="78" t="s">
        <v>52</v>
      </c>
      <c r="Q43" s="79"/>
      <c r="R43"/>
      <c r="S43"/>
    </row>
    <row r="44" spans="1:19" ht="30">
      <c r="A44" s="80" t="s">
        <v>51</v>
      </c>
      <c r="B44" s="78" t="s">
        <v>475</v>
      </c>
      <c r="C44" s="78" t="s">
        <v>28</v>
      </c>
      <c r="D44" s="78" t="s">
        <v>19</v>
      </c>
      <c r="E44" s="78" t="s">
        <v>20</v>
      </c>
      <c r="F44" s="81">
        <v>0</v>
      </c>
      <c r="G44" s="78"/>
      <c r="H44" s="78"/>
      <c r="I44" s="78"/>
      <c r="J44" s="78">
        <v>46143</v>
      </c>
      <c r="K44" s="79">
        <v>46234</v>
      </c>
      <c r="L44" s="78">
        <v>66</v>
      </c>
      <c r="M44" s="78" t="s">
        <v>470</v>
      </c>
      <c r="N44" s="78"/>
      <c r="O44" s="78" t="s">
        <v>27</v>
      </c>
      <c r="P44" s="78" t="s">
        <v>52</v>
      </c>
      <c r="Q44" s="79"/>
      <c r="R44"/>
      <c r="S44"/>
    </row>
    <row r="45" spans="1:19" ht="30">
      <c r="A45" s="80" t="s">
        <v>51</v>
      </c>
      <c r="B45" s="78" t="s">
        <v>475</v>
      </c>
      <c r="C45" s="78" t="s">
        <v>29</v>
      </c>
      <c r="D45" s="78" t="s">
        <v>33</v>
      </c>
      <c r="E45" s="78" t="s">
        <v>20</v>
      </c>
      <c r="F45" s="81">
        <v>0</v>
      </c>
      <c r="G45" s="78"/>
      <c r="H45" s="78"/>
      <c r="I45" s="78"/>
      <c r="J45" s="78" t="s">
        <v>229</v>
      </c>
      <c r="K45" s="79" t="s">
        <v>229</v>
      </c>
      <c r="L45" s="78">
        <v>0</v>
      </c>
      <c r="M45" s="78" t="s">
        <v>470</v>
      </c>
      <c r="N45" s="78"/>
      <c r="O45" s="78"/>
      <c r="P45" s="78" t="s">
        <v>52</v>
      </c>
      <c r="Q45" s="79"/>
      <c r="R45"/>
      <c r="S45"/>
    </row>
    <row r="46" spans="1:19" ht="30">
      <c r="A46" s="80" t="s">
        <v>51</v>
      </c>
      <c r="B46" s="78" t="s">
        <v>475</v>
      </c>
      <c r="C46" s="78" t="s">
        <v>30</v>
      </c>
      <c r="D46" s="78" t="s">
        <v>19</v>
      </c>
      <c r="E46" s="78" t="s">
        <v>20</v>
      </c>
      <c r="F46" s="81">
        <v>0</v>
      </c>
      <c r="G46" s="78"/>
      <c r="H46" s="78"/>
      <c r="I46" s="78"/>
      <c r="J46" s="78" t="s">
        <v>229</v>
      </c>
      <c r="K46" s="79" t="s">
        <v>229</v>
      </c>
      <c r="L46" s="78">
        <v>0</v>
      </c>
      <c r="M46" s="78" t="s">
        <v>470</v>
      </c>
      <c r="N46" s="78"/>
      <c r="O46" s="78"/>
      <c r="P46" s="78" t="s">
        <v>52</v>
      </c>
      <c r="Q46" s="79"/>
      <c r="R46"/>
      <c r="S46"/>
    </row>
    <row r="47" spans="1:19" ht="30">
      <c r="A47" s="82" t="s">
        <v>51</v>
      </c>
      <c r="B47" s="83" t="s">
        <v>238</v>
      </c>
      <c r="C47" s="83" t="s">
        <v>18</v>
      </c>
      <c r="D47" s="83" t="s">
        <v>33</v>
      </c>
      <c r="E47" s="83" t="s">
        <v>20</v>
      </c>
      <c r="F47" s="84">
        <v>0.5</v>
      </c>
      <c r="G47" s="79"/>
      <c r="H47" s="79"/>
      <c r="I47" s="79"/>
      <c r="J47" s="83">
        <v>45945</v>
      </c>
      <c r="K47" s="79" t="s">
        <v>229</v>
      </c>
      <c r="L47" s="83">
        <v>0</v>
      </c>
      <c r="M47" s="83" t="s">
        <v>470</v>
      </c>
      <c r="N47" s="79"/>
      <c r="O47" s="79"/>
      <c r="P47" s="83" t="s">
        <v>52</v>
      </c>
      <c r="Q47" s="79"/>
      <c r="R47"/>
      <c r="S47"/>
    </row>
    <row r="48" spans="1:19" ht="30">
      <c r="A48" s="80" t="s">
        <v>51</v>
      </c>
      <c r="B48" s="79" t="s">
        <v>239</v>
      </c>
      <c r="C48" s="79" t="s">
        <v>22</v>
      </c>
      <c r="D48" s="79" t="s">
        <v>33</v>
      </c>
      <c r="E48" s="79" t="s">
        <v>20</v>
      </c>
      <c r="F48" s="85">
        <v>0.5</v>
      </c>
      <c r="G48" s="79" t="s">
        <v>237</v>
      </c>
      <c r="H48" s="79" t="s">
        <v>54</v>
      </c>
      <c r="I48" s="79" t="s">
        <v>25</v>
      </c>
      <c r="J48" s="83">
        <v>45945</v>
      </c>
      <c r="K48" s="79" t="s">
        <v>229</v>
      </c>
      <c r="L48" s="79">
        <v>0</v>
      </c>
      <c r="M48" s="79" t="s">
        <v>470</v>
      </c>
      <c r="N48" s="79"/>
      <c r="O48" s="79"/>
      <c r="P48" s="79" t="s">
        <v>52</v>
      </c>
      <c r="Q48" s="79"/>
      <c r="R48"/>
      <c r="S48"/>
    </row>
    <row r="49" spans="1:19" ht="30">
      <c r="A49" s="80" t="s">
        <v>51</v>
      </c>
      <c r="B49" s="79" t="s">
        <v>239</v>
      </c>
      <c r="C49" s="79" t="s">
        <v>28</v>
      </c>
      <c r="D49" s="79" t="s">
        <v>33</v>
      </c>
      <c r="E49" s="79" t="s">
        <v>20</v>
      </c>
      <c r="F49" s="85">
        <v>0</v>
      </c>
      <c r="G49" s="79"/>
      <c r="H49" s="79"/>
      <c r="I49" s="79"/>
      <c r="J49" s="83" t="s">
        <v>229</v>
      </c>
      <c r="K49" s="79" t="s">
        <v>229</v>
      </c>
      <c r="L49" s="79">
        <v>0</v>
      </c>
      <c r="M49" s="79" t="s">
        <v>470</v>
      </c>
      <c r="N49" s="79"/>
      <c r="O49" s="79"/>
      <c r="P49" s="79" t="s">
        <v>52</v>
      </c>
      <c r="Q49" s="79"/>
      <c r="R49"/>
      <c r="S49"/>
    </row>
    <row r="50" spans="1:19" ht="30">
      <c r="A50" s="80" t="s">
        <v>51</v>
      </c>
      <c r="B50" s="79" t="s">
        <v>239</v>
      </c>
      <c r="C50" s="79" t="s">
        <v>29</v>
      </c>
      <c r="D50" s="79" t="s">
        <v>33</v>
      </c>
      <c r="E50" s="79" t="s">
        <v>20</v>
      </c>
      <c r="F50" s="85">
        <v>0</v>
      </c>
      <c r="G50" s="79"/>
      <c r="H50" s="79"/>
      <c r="I50" s="79"/>
      <c r="J50" s="79" t="s">
        <v>229</v>
      </c>
      <c r="K50" s="79" t="s">
        <v>229</v>
      </c>
      <c r="L50" s="79">
        <v>0</v>
      </c>
      <c r="M50" s="79" t="s">
        <v>470</v>
      </c>
      <c r="N50" s="79"/>
      <c r="O50" s="79"/>
      <c r="P50" s="79" t="s">
        <v>52</v>
      </c>
      <c r="Q50" s="79"/>
      <c r="R50"/>
      <c r="S50"/>
    </row>
    <row r="51" spans="1:19" ht="30">
      <c r="A51" s="80" t="s">
        <v>51</v>
      </c>
      <c r="B51" s="79" t="s">
        <v>239</v>
      </c>
      <c r="C51" s="79" t="s">
        <v>30</v>
      </c>
      <c r="D51" s="79" t="s">
        <v>33</v>
      </c>
      <c r="E51" s="79" t="s">
        <v>20</v>
      </c>
      <c r="F51" s="85">
        <v>0</v>
      </c>
      <c r="G51" s="79"/>
      <c r="H51" s="79"/>
      <c r="I51" s="79"/>
      <c r="J51" s="79" t="s">
        <v>229</v>
      </c>
      <c r="K51" s="79" t="s">
        <v>229</v>
      </c>
      <c r="L51" s="79">
        <v>0</v>
      </c>
      <c r="M51" s="79" t="s">
        <v>470</v>
      </c>
      <c r="N51" s="79"/>
      <c r="O51" s="79"/>
      <c r="P51" s="79" t="s">
        <v>52</v>
      </c>
      <c r="Q51" s="79"/>
      <c r="R51"/>
      <c r="S51"/>
    </row>
    <row r="52" spans="1:19" ht="30">
      <c r="A52" s="75" t="s">
        <v>51</v>
      </c>
      <c r="B52" s="83" t="s">
        <v>476</v>
      </c>
      <c r="C52" s="83" t="s">
        <v>18</v>
      </c>
      <c r="D52" s="83" t="s">
        <v>58</v>
      </c>
      <c r="E52" s="83" t="s">
        <v>20</v>
      </c>
      <c r="F52" s="84">
        <v>0.5</v>
      </c>
      <c r="G52" s="79"/>
      <c r="H52" s="79"/>
      <c r="I52" s="79"/>
      <c r="J52" s="79">
        <v>45945</v>
      </c>
      <c r="K52" s="79" t="s">
        <v>229</v>
      </c>
      <c r="L52" s="83">
        <v>0</v>
      </c>
      <c r="M52" s="83" t="s">
        <v>470</v>
      </c>
      <c r="N52" s="79"/>
      <c r="O52" s="79"/>
      <c r="P52" s="83" t="s">
        <v>52</v>
      </c>
      <c r="Q52" s="79"/>
      <c r="R52"/>
      <c r="S52"/>
    </row>
    <row r="53" spans="1:19" ht="30">
      <c r="A53" s="80" t="s">
        <v>51</v>
      </c>
      <c r="B53" s="79" t="s">
        <v>477</v>
      </c>
      <c r="C53" s="79" t="s">
        <v>22</v>
      </c>
      <c r="D53" s="79" t="s">
        <v>58</v>
      </c>
      <c r="E53" s="79" t="s">
        <v>20</v>
      </c>
      <c r="F53" s="85">
        <v>0.5</v>
      </c>
      <c r="G53" s="79" t="s">
        <v>237</v>
      </c>
      <c r="H53" s="79" t="s">
        <v>54</v>
      </c>
      <c r="I53" s="79" t="s">
        <v>25</v>
      </c>
      <c r="J53" s="79">
        <v>45945</v>
      </c>
      <c r="K53" s="79" t="s">
        <v>229</v>
      </c>
      <c r="L53" s="79">
        <v>0</v>
      </c>
      <c r="M53" s="79" t="s">
        <v>470</v>
      </c>
      <c r="N53" s="79"/>
      <c r="O53" s="79"/>
      <c r="P53" s="79" t="s">
        <v>52</v>
      </c>
      <c r="Q53" s="79"/>
      <c r="R53"/>
      <c r="S53"/>
    </row>
    <row r="54" spans="1:19" ht="30">
      <c r="A54" s="80" t="s">
        <v>51</v>
      </c>
      <c r="B54" s="79" t="s">
        <v>477</v>
      </c>
      <c r="C54" s="79" t="s">
        <v>28</v>
      </c>
      <c r="D54" s="79" t="s">
        <v>58</v>
      </c>
      <c r="E54" s="79" t="s">
        <v>20</v>
      </c>
      <c r="F54" s="85">
        <v>0</v>
      </c>
      <c r="G54" s="79"/>
      <c r="H54" s="79"/>
      <c r="I54" s="79"/>
      <c r="J54" s="79" t="s">
        <v>229</v>
      </c>
      <c r="K54" s="79" t="s">
        <v>229</v>
      </c>
      <c r="L54" s="79">
        <v>0</v>
      </c>
      <c r="M54" s="79" t="s">
        <v>470</v>
      </c>
      <c r="N54" s="79"/>
      <c r="O54" s="79"/>
      <c r="P54" s="79" t="s">
        <v>52</v>
      </c>
      <c r="Q54" s="79"/>
      <c r="R54"/>
      <c r="S54"/>
    </row>
    <row r="55" spans="1:19" ht="30">
      <c r="A55" s="80" t="s">
        <v>51</v>
      </c>
      <c r="B55" s="79" t="s">
        <v>477</v>
      </c>
      <c r="C55" s="79" t="s">
        <v>29</v>
      </c>
      <c r="D55" s="79" t="s">
        <v>58</v>
      </c>
      <c r="E55" s="79" t="s">
        <v>20</v>
      </c>
      <c r="F55" s="85">
        <v>0</v>
      </c>
      <c r="G55" s="79"/>
      <c r="H55" s="79"/>
      <c r="I55" s="79"/>
      <c r="J55" s="79" t="s">
        <v>229</v>
      </c>
      <c r="K55" s="79" t="s">
        <v>229</v>
      </c>
      <c r="L55" s="79">
        <v>0</v>
      </c>
      <c r="M55" s="79" t="s">
        <v>470</v>
      </c>
      <c r="N55" s="79"/>
      <c r="O55" s="79"/>
      <c r="P55" s="79" t="s">
        <v>52</v>
      </c>
      <c r="Q55" s="79"/>
      <c r="R55"/>
      <c r="S55"/>
    </row>
    <row r="56" spans="1:19" ht="30">
      <c r="A56" s="80" t="s">
        <v>51</v>
      </c>
      <c r="B56" s="79" t="s">
        <v>477</v>
      </c>
      <c r="C56" s="79" t="s">
        <v>30</v>
      </c>
      <c r="D56" s="79" t="s">
        <v>58</v>
      </c>
      <c r="E56" s="79" t="s">
        <v>20</v>
      </c>
      <c r="F56" s="85">
        <v>0</v>
      </c>
      <c r="G56" s="79"/>
      <c r="H56" s="79"/>
      <c r="I56" s="79"/>
      <c r="J56" s="79" t="s">
        <v>229</v>
      </c>
      <c r="K56" s="79" t="s">
        <v>229</v>
      </c>
      <c r="L56" s="79">
        <v>0</v>
      </c>
      <c r="M56" s="79" t="s">
        <v>470</v>
      </c>
      <c r="N56" s="79"/>
      <c r="O56" s="79"/>
      <c r="P56" s="79" t="s">
        <v>52</v>
      </c>
      <c r="Q56" s="79"/>
      <c r="R56"/>
      <c r="S56"/>
    </row>
    <row r="57" spans="1:19" ht="30">
      <c r="A57" s="75" t="s">
        <v>51</v>
      </c>
      <c r="B57" s="83" t="s">
        <v>478</v>
      </c>
      <c r="C57" s="83" t="s">
        <v>18</v>
      </c>
      <c r="D57" s="83" t="s">
        <v>58</v>
      </c>
      <c r="E57" s="83" t="s">
        <v>20</v>
      </c>
      <c r="F57" s="84">
        <v>0.5</v>
      </c>
      <c r="G57" s="79"/>
      <c r="H57" s="79"/>
      <c r="I57" s="79"/>
      <c r="J57" s="79">
        <v>45945</v>
      </c>
      <c r="K57" s="79" t="s">
        <v>229</v>
      </c>
      <c r="L57" s="83">
        <v>0</v>
      </c>
      <c r="M57" s="83" t="s">
        <v>470</v>
      </c>
      <c r="N57" s="79"/>
      <c r="O57" s="79"/>
      <c r="P57" s="83" t="s">
        <v>52</v>
      </c>
      <c r="Q57" s="79"/>
      <c r="R57"/>
      <c r="S57"/>
    </row>
    <row r="58" spans="1:19" ht="30">
      <c r="A58" s="80" t="s">
        <v>51</v>
      </c>
      <c r="B58" s="79" t="s">
        <v>479</v>
      </c>
      <c r="C58" s="79" t="s">
        <v>22</v>
      </c>
      <c r="D58" s="79" t="s">
        <v>58</v>
      </c>
      <c r="E58" s="79" t="s">
        <v>20</v>
      </c>
      <c r="F58" s="85">
        <v>0.5</v>
      </c>
      <c r="G58" s="79" t="s">
        <v>237</v>
      </c>
      <c r="H58" s="79" t="s">
        <v>54</v>
      </c>
      <c r="I58" s="79" t="s">
        <v>25</v>
      </c>
      <c r="J58" s="79">
        <v>45945</v>
      </c>
      <c r="K58" s="79" t="s">
        <v>229</v>
      </c>
      <c r="L58" s="79">
        <v>0</v>
      </c>
      <c r="M58" s="79" t="s">
        <v>470</v>
      </c>
      <c r="N58" s="79"/>
      <c r="O58" s="79"/>
      <c r="P58" s="79" t="s">
        <v>52</v>
      </c>
      <c r="Q58" s="79"/>
      <c r="R58"/>
      <c r="S58"/>
    </row>
    <row r="59" spans="1:19" ht="30">
      <c r="A59" s="80" t="s">
        <v>51</v>
      </c>
      <c r="B59" s="79" t="s">
        <v>479</v>
      </c>
      <c r="C59" s="79" t="s">
        <v>28</v>
      </c>
      <c r="D59" s="79" t="s">
        <v>58</v>
      </c>
      <c r="E59" s="79" t="s">
        <v>20</v>
      </c>
      <c r="F59" s="85">
        <v>0</v>
      </c>
      <c r="G59" s="79"/>
      <c r="H59" s="79"/>
      <c r="I59" s="79"/>
      <c r="J59" s="79" t="s">
        <v>229</v>
      </c>
      <c r="K59" s="79" t="s">
        <v>229</v>
      </c>
      <c r="L59" s="79">
        <v>0</v>
      </c>
      <c r="M59" s="79" t="s">
        <v>470</v>
      </c>
      <c r="N59" s="79"/>
      <c r="O59" s="79"/>
      <c r="P59" s="79" t="s">
        <v>52</v>
      </c>
      <c r="Q59" s="79"/>
      <c r="R59"/>
      <c r="S59"/>
    </row>
    <row r="60" spans="1:19" ht="30">
      <c r="A60" s="80" t="s">
        <v>51</v>
      </c>
      <c r="B60" s="79" t="s">
        <v>479</v>
      </c>
      <c r="C60" s="79" t="s">
        <v>29</v>
      </c>
      <c r="D60" s="79" t="s">
        <v>58</v>
      </c>
      <c r="E60" s="79" t="s">
        <v>20</v>
      </c>
      <c r="F60" s="85">
        <v>0</v>
      </c>
      <c r="G60" s="79"/>
      <c r="H60" s="79"/>
      <c r="I60" s="79"/>
      <c r="J60" s="79" t="s">
        <v>229</v>
      </c>
      <c r="K60" s="79" t="s">
        <v>229</v>
      </c>
      <c r="L60" s="79">
        <v>0</v>
      </c>
      <c r="M60" s="79" t="s">
        <v>470</v>
      </c>
      <c r="N60" s="79"/>
      <c r="O60" s="79"/>
      <c r="P60" s="79" t="s">
        <v>52</v>
      </c>
      <c r="Q60" s="79"/>
      <c r="R60"/>
      <c r="S60"/>
    </row>
    <row r="61" spans="1:19" ht="30">
      <c r="A61" s="80" t="s">
        <v>51</v>
      </c>
      <c r="B61" s="79" t="s">
        <v>479</v>
      </c>
      <c r="C61" s="79" t="s">
        <v>30</v>
      </c>
      <c r="D61" s="79" t="s">
        <v>58</v>
      </c>
      <c r="E61" s="79" t="s">
        <v>20</v>
      </c>
      <c r="F61" s="85">
        <v>0</v>
      </c>
      <c r="G61" s="79"/>
      <c r="H61" s="79"/>
      <c r="I61" s="79"/>
      <c r="J61" s="79" t="s">
        <v>229</v>
      </c>
      <c r="K61" s="79" t="s">
        <v>229</v>
      </c>
      <c r="L61" s="79">
        <v>0</v>
      </c>
      <c r="M61" s="79" t="s">
        <v>470</v>
      </c>
      <c r="N61" s="79"/>
      <c r="O61" s="79"/>
      <c r="P61" s="79" t="s">
        <v>52</v>
      </c>
      <c r="Q61" s="79"/>
      <c r="R61"/>
      <c r="S61"/>
    </row>
    <row r="62" spans="1:19" ht="30">
      <c r="A62" s="75" t="s">
        <v>51</v>
      </c>
      <c r="B62" s="83" t="s">
        <v>480</v>
      </c>
      <c r="C62" s="83" t="s">
        <v>18</v>
      </c>
      <c r="D62" s="83" t="s">
        <v>58</v>
      </c>
      <c r="E62" s="83" t="s">
        <v>20</v>
      </c>
      <c r="F62" s="84">
        <v>0.5</v>
      </c>
      <c r="G62" s="79"/>
      <c r="H62" s="79"/>
      <c r="I62" s="79"/>
      <c r="J62" s="79">
        <v>45945</v>
      </c>
      <c r="K62" s="79" t="s">
        <v>229</v>
      </c>
      <c r="L62" s="83">
        <v>0</v>
      </c>
      <c r="M62" s="83" t="s">
        <v>470</v>
      </c>
      <c r="N62" s="79"/>
      <c r="O62" s="79"/>
      <c r="P62" s="83" t="s">
        <v>52</v>
      </c>
      <c r="Q62" s="79"/>
      <c r="R62"/>
      <c r="S62"/>
    </row>
    <row r="63" spans="1:19" ht="30">
      <c r="A63" s="80" t="s">
        <v>51</v>
      </c>
      <c r="B63" s="79" t="s">
        <v>481</v>
      </c>
      <c r="C63" s="79" t="s">
        <v>22</v>
      </c>
      <c r="D63" s="79" t="s">
        <v>58</v>
      </c>
      <c r="E63" s="79" t="s">
        <v>20</v>
      </c>
      <c r="F63" s="85">
        <v>0.5</v>
      </c>
      <c r="G63" s="79" t="s">
        <v>237</v>
      </c>
      <c r="H63" s="79" t="s">
        <v>54</v>
      </c>
      <c r="I63" s="79" t="s">
        <v>25</v>
      </c>
      <c r="J63" s="79">
        <v>45945</v>
      </c>
      <c r="K63" s="79" t="s">
        <v>229</v>
      </c>
      <c r="L63" s="79">
        <v>0</v>
      </c>
      <c r="M63" s="79" t="s">
        <v>470</v>
      </c>
      <c r="N63" s="79"/>
      <c r="O63" s="79"/>
      <c r="P63" s="79" t="s">
        <v>52</v>
      </c>
      <c r="Q63" s="79"/>
      <c r="R63"/>
      <c r="S63"/>
    </row>
    <row r="64" spans="1:19" ht="30">
      <c r="A64" s="80" t="s">
        <v>51</v>
      </c>
      <c r="B64" s="79" t="s">
        <v>481</v>
      </c>
      <c r="C64" s="79" t="s">
        <v>28</v>
      </c>
      <c r="D64" s="79" t="s">
        <v>58</v>
      </c>
      <c r="E64" s="79" t="s">
        <v>20</v>
      </c>
      <c r="F64" s="85">
        <v>0</v>
      </c>
      <c r="G64" s="79"/>
      <c r="H64" s="79"/>
      <c r="I64" s="79"/>
      <c r="J64" s="79" t="s">
        <v>229</v>
      </c>
      <c r="K64" s="79" t="s">
        <v>229</v>
      </c>
      <c r="L64" s="79">
        <v>0</v>
      </c>
      <c r="M64" s="79" t="s">
        <v>470</v>
      </c>
      <c r="N64" s="79"/>
      <c r="O64" s="79"/>
      <c r="P64" s="79" t="s">
        <v>52</v>
      </c>
      <c r="Q64" s="79"/>
      <c r="R64"/>
      <c r="S64"/>
    </row>
    <row r="65" spans="1:19" ht="30">
      <c r="A65" s="80" t="s">
        <v>51</v>
      </c>
      <c r="B65" s="79" t="s">
        <v>481</v>
      </c>
      <c r="C65" s="79" t="s">
        <v>29</v>
      </c>
      <c r="D65" s="79" t="s">
        <v>58</v>
      </c>
      <c r="E65" s="79" t="s">
        <v>20</v>
      </c>
      <c r="F65" s="85">
        <v>0</v>
      </c>
      <c r="G65" s="79"/>
      <c r="H65" s="79"/>
      <c r="I65" s="79"/>
      <c r="J65" s="79" t="s">
        <v>229</v>
      </c>
      <c r="K65" s="79" t="s">
        <v>229</v>
      </c>
      <c r="L65" s="79">
        <v>0</v>
      </c>
      <c r="M65" s="79" t="s">
        <v>470</v>
      </c>
      <c r="N65" s="79"/>
      <c r="O65" s="79"/>
      <c r="P65" s="79" t="s">
        <v>52</v>
      </c>
      <c r="Q65" s="79"/>
      <c r="R65"/>
      <c r="S65"/>
    </row>
    <row r="66" spans="1:19" ht="30">
      <c r="A66" s="80" t="s">
        <v>51</v>
      </c>
      <c r="B66" s="79" t="s">
        <v>481</v>
      </c>
      <c r="C66" s="79" t="s">
        <v>30</v>
      </c>
      <c r="D66" s="79" t="s">
        <v>58</v>
      </c>
      <c r="E66" s="79" t="s">
        <v>20</v>
      </c>
      <c r="F66" s="85">
        <v>0</v>
      </c>
      <c r="G66" s="79"/>
      <c r="H66" s="79"/>
      <c r="I66" s="79"/>
      <c r="J66" s="79" t="s">
        <v>229</v>
      </c>
      <c r="K66" s="79" t="s">
        <v>229</v>
      </c>
      <c r="L66" s="79">
        <v>0</v>
      </c>
      <c r="M66" s="79" t="s">
        <v>470</v>
      </c>
      <c r="N66" s="79"/>
      <c r="O66" s="79"/>
      <c r="P66" s="79" t="s">
        <v>52</v>
      </c>
      <c r="Q66" s="79"/>
      <c r="R66"/>
      <c r="S66"/>
    </row>
    <row r="67" spans="1:19" ht="30">
      <c r="A67" s="75" t="s">
        <v>51</v>
      </c>
      <c r="B67" s="83" t="s">
        <v>482</v>
      </c>
      <c r="C67" s="83" t="s">
        <v>18</v>
      </c>
      <c r="D67" s="83" t="s">
        <v>58</v>
      </c>
      <c r="E67" s="83" t="s">
        <v>20</v>
      </c>
      <c r="F67" s="84">
        <v>0.5</v>
      </c>
      <c r="G67" s="79"/>
      <c r="H67" s="79"/>
      <c r="I67" s="79"/>
      <c r="J67" s="79">
        <v>45945</v>
      </c>
      <c r="K67" s="79" t="s">
        <v>229</v>
      </c>
      <c r="L67" s="83">
        <v>0</v>
      </c>
      <c r="M67" s="83" t="s">
        <v>470</v>
      </c>
      <c r="N67" s="79"/>
      <c r="O67" s="79"/>
      <c r="P67" s="83" t="s">
        <v>52</v>
      </c>
      <c r="Q67" s="79"/>
      <c r="R67"/>
      <c r="S67"/>
    </row>
    <row r="68" spans="1:19" ht="30">
      <c r="A68" s="80" t="s">
        <v>51</v>
      </c>
      <c r="B68" s="79" t="s">
        <v>483</v>
      </c>
      <c r="C68" s="79" t="s">
        <v>22</v>
      </c>
      <c r="D68" s="79" t="s">
        <v>58</v>
      </c>
      <c r="E68" s="79" t="s">
        <v>20</v>
      </c>
      <c r="F68" s="85">
        <v>0.5</v>
      </c>
      <c r="G68" s="79" t="s">
        <v>237</v>
      </c>
      <c r="H68" s="79" t="s">
        <v>54</v>
      </c>
      <c r="I68" s="79" t="s">
        <v>25</v>
      </c>
      <c r="J68" s="79">
        <v>45945</v>
      </c>
      <c r="K68" s="79" t="s">
        <v>229</v>
      </c>
      <c r="L68" s="79">
        <v>0</v>
      </c>
      <c r="M68" s="79" t="s">
        <v>470</v>
      </c>
      <c r="N68" s="79"/>
      <c r="O68" s="79"/>
      <c r="P68" s="79" t="s">
        <v>52</v>
      </c>
      <c r="Q68" s="79"/>
      <c r="R68"/>
      <c r="S68"/>
    </row>
    <row r="69" spans="1:19" ht="30">
      <c r="A69" s="80" t="s">
        <v>51</v>
      </c>
      <c r="B69" s="79" t="s">
        <v>483</v>
      </c>
      <c r="C69" s="79" t="s">
        <v>28</v>
      </c>
      <c r="D69" s="79" t="s">
        <v>58</v>
      </c>
      <c r="E69" s="79" t="s">
        <v>20</v>
      </c>
      <c r="F69" s="85">
        <v>0</v>
      </c>
      <c r="G69" s="79"/>
      <c r="H69" s="79"/>
      <c r="I69" s="79"/>
      <c r="J69" s="79" t="s">
        <v>229</v>
      </c>
      <c r="K69" s="79" t="s">
        <v>229</v>
      </c>
      <c r="L69" s="79">
        <v>0</v>
      </c>
      <c r="M69" s="79" t="s">
        <v>470</v>
      </c>
      <c r="N69" s="79"/>
      <c r="O69" s="79"/>
      <c r="P69" s="79" t="s">
        <v>52</v>
      </c>
      <c r="Q69" s="79"/>
      <c r="R69"/>
      <c r="S69"/>
    </row>
    <row r="70" spans="1:19" ht="30">
      <c r="A70" s="80" t="s">
        <v>51</v>
      </c>
      <c r="B70" s="79" t="s">
        <v>483</v>
      </c>
      <c r="C70" s="79" t="s">
        <v>29</v>
      </c>
      <c r="D70" s="79" t="s">
        <v>58</v>
      </c>
      <c r="E70" s="79" t="s">
        <v>20</v>
      </c>
      <c r="F70" s="85">
        <v>0</v>
      </c>
      <c r="G70" s="79"/>
      <c r="H70" s="79"/>
      <c r="I70" s="79"/>
      <c r="J70" s="79" t="s">
        <v>229</v>
      </c>
      <c r="K70" s="79" t="s">
        <v>229</v>
      </c>
      <c r="L70" s="79">
        <v>0</v>
      </c>
      <c r="M70" s="79" t="s">
        <v>470</v>
      </c>
      <c r="N70" s="79"/>
      <c r="O70" s="79"/>
      <c r="P70" s="79" t="s">
        <v>52</v>
      </c>
      <c r="Q70" s="79"/>
      <c r="R70"/>
      <c r="S70"/>
    </row>
    <row r="71" spans="1:19" ht="30">
      <c r="A71" s="80" t="s">
        <v>51</v>
      </c>
      <c r="B71" s="79" t="s">
        <v>483</v>
      </c>
      <c r="C71" s="79" t="s">
        <v>30</v>
      </c>
      <c r="D71" s="79" t="s">
        <v>58</v>
      </c>
      <c r="E71" s="79" t="s">
        <v>20</v>
      </c>
      <c r="F71" s="85">
        <v>0</v>
      </c>
      <c r="G71" s="79"/>
      <c r="H71" s="79"/>
      <c r="I71" s="79"/>
      <c r="J71" s="79" t="s">
        <v>229</v>
      </c>
      <c r="K71" s="79" t="s">
        <v>229</v>
      </c>
      <c r="L71" s="79">
        <v>0</v>
      </c>
      <c r="M71" s="79" t="s">
        <v>470</v>
      </c>
      <c r="N71" s="79"/>
      <c r="O71" s="79"/>
      <c r="P71" s="79" t="s">
        <v>52</v>
      </c>
      <c r="Q71" s="79"/>
      <c r="R71"/>
      <c r="S71"/>
    </row>
    <row r="72" spans="1:19" ht="30">
      <c r="A72" s="75" t="s">
        <v>51</v>
      </c>
      <c r="B72" s="83" t="s">
        <v>484</v>
      </c>
      <c r="C72" s="83" t="s">
        <v>18</v>
      </c>
      <c r="D72" s="83" t="s">
        <v>58</v>
      </c>
      <c r="E72" s="83" t="s">
        <v>20</v>
      </c>
      <c r="F72" s="84">
        <v>0.5</v>
      </c>
      <c r="G72" s="79"/>
      <c r="H72" s="79"/>
      <c r="I72" s="79"/>
      <c r="J72" s="79">
        <v>45945</v>
      </c>
      <c r="K72" s="79" t="s">
        <v>229</v>
      </c>
      <c r="L72" s="83">
        <v>0</v>
      </c>
      <c r="M72" s="83" t="s">
        <v>470</v>
      </c>
      <c r="N72" s="79"/>
      <c r="O72" s="83">
        <v>18</v>
      </c>
      <c r="P72" s="83" t="s">
        <v>52</v>
      </c>
      <c r="Q72" s="79"/>
      <c r="R72"/>
      <c r="S72"/>
    </row>
    <row r="73" spans="1:19" ht="30">
      <c r="A73" s="80" t="s">
        <v>51</v>
      </c>
      <c r="B73" s="79" t="s">
        <v>485</v>
      </c>
      <c r="C73" s="79" t="s">
        <v>22</v>
      </c>
      <c r="D73" s="79" t="s">
        <v>58</v>
      </c>
      <c r="E73" s="79" t="s">
        <v>20</v>
      </c>
      <c r="F73" s="85">
        <v>0.5</v>
      </c>
      <c r="G73" s="79" t="s">
        <v>237</v>
      </c>
      <c r="H73" s="79" t="s">
        <v>54</v>
      </c>
      <c r="I73" s="79" t="s">
        <v>25</v>
      </c>
      <c r="J73" s="79">
        <v>45945</v>
      </c>
      <c r="K73" s="79" t="s">
        <v>229</v>
      </c>
      <c r="L73" s="79">
        <v>0</v>
      </c>
      <c r="M73" s="79" t="s">
        <v>470</v>
      </c>
      <c r="N73" s="79"/>
      <c r="O73" s="79"/>
      <c r="P73" s="79" t="s">
        <v>52</v>
      </c>
      <c r="Q73" s="79"/>
      <c r="R73"/>
      <c r="S73"/>
    </row>
    <row r="74" spans="1:19" ht="30">
      <c r="A74" s="80" t="s">
        <v>51</v>
      </c>
      <c r="B74" s="79" t="s">
        <v>485</v>
      </c>
      <c r="C74" s="79" t="s">
        <v>28</v>
      </c>
      <c r="D74" s="79" t="s">
        <v>58</v>
      </c>
      <c r="E74" s="79" t="s">
        <v>20</v>
      </c>
      <c r="F74" s="85">
        <v>0</v>
      </c>
      <c r="G74" s="79"/>
      <c r="H74" s="79"/>
      <c r="I74" s="79"/>
      <c r="J74" s="79" t="s">
        <v>229</v>
      </c>
      <c r="K74" s="79" t="s">
        <v>229</v>
      </c>
      <c r="L74" s="79">
        <v>0</v>
      </c>
      <c r="M74" s="79" t="s">
        <v>470</v>
      </c>
      <c r="N74" s="79"/>
      <c r="O74" s="79"/>
      <c r="P74" s="79" t="s">
        <v>52</v>
      </c>
      <c r="Q74" s="79"/>
      <c r="R74"/>
      <c r="S74"/>
    </row>
    <row r="75" spans="1:19" ht="30">
      <c r="A75" s="80" t="s">
        <v>51</v>
      </c>
      <c r="B75" s="79" t="s">
        <v>485</v>
      </c>
      <c r="C75" s="79" t="s">
        <v>29</v>
      </c>
      <c r="D75" s="79" t="s">
        <v>58</v>
      </c>
      <c r="E75" s="79" t="s">
        <v>20</v>
      </c>
      <c r="F75" s="85">
        <v>0</v>
      </c>
      <c r="G75" s="79"/>
      <c r="H75" s="79"/>
      <c r="I75" s="79"/>
      <c r="J75" s="79" t="s">
        <v>229</v>
      </c>
      <c r="K75" s="79" t="s">
        <v>229</v>
      </c>
      <c r="L75" s="79">
        <v>0</v>
      </c>
      <c r="M75" s="79" t="s">
        <v>470</v>
      </c>
      <c r="N75" s="79"/>
      <c r="O75" s="79"/>
      <c r="P75" s="79" t="s">
        <v>52</v>
      </c>
      <c r="Q75" s="79"/>
      <c r="R75"/>
      <c r="S75"/>
    </row>
    <row r="76" spans="1:19" ht="30">
      <c r="A76" s="80" t="s">
        <v>51</v>
      </c>
      <c r="B76" s="79" t="s">
        <v>485</v>
      </c>
      <c r="C76" s="79" t="s">
        <v>30</v>
      </c>
      <c r="D76" s="79" t="s">
        <v>58</v>
      </c>
      <c r="E76" s="79" t="s">
        <v>20</v>
      </c>
      <c r="F76" s="85">
        <v>0</v>
      </c>
      <c r="G76" s="79"/>
      <c r="H76" s="79"/>
      <c r="I76" s="79"/>
      <c r="J76" s="79" t="s">
        <v>229</v>
      </c>
      <c r="K76" s="79" t="s">
        <v>229</v>
      </c>
      <c r="L76" s="79">
        <v>0</v>
      </c>
      <c r="M76" s="79" t="s">
        <v>470</v>
      </c>
      <c r="N76" s="79"/>
      <c r="O76" s="79"/>
      <c r="P76" s="79" t="s">
        <v>52</v>
      </c>
      <c r="Q76" s="79"/>
      <c r="R76"/>
      <c r="S76"/>
    </row>
    <row r="77" spans="1:19" ht="30">
      <c r="A77" s="75" t="s">
        <v>51</v>
      </c>
      <c r="B77" s="83" t="s">
        <v>486</v>
      </c>
      <c r="C77" s="83" t="s">
        <v>18</v>
      </c>
      <c r="D77" s="83" t="s">
        <v>58</v>
      </c>
      <c r="E77" s="83" t="s">
        <v>20</v>
      </c>
      <c r="F77" s="84">
        <v>0.5</v>
      </c>
      <c r="G77" s="79"/>
      <c r="H77" s="79"/>
      <c r="I77" s="79"/>
      <c r="J77" s="79">
        <v>45945</v>
      </c>
      <c r="K77" s="79" t="s">
        <v>229</v>
      </c>
      <c r="L77" s="83">
        <v>0</v>
      </c>
      <c r="M77" s="83" t="s">
        <v>470</v>
      </c>
      <c r="N77" s="79"/>
      <c r="O77" s="79"/>
      <c r="P77" s="83" t="s">
        <v>52</v>
      </c>
      <c r="Q77" s="79"/>
      <c r="R77"/>
      <c r="S77"/>
    </row>
    <row r="78" spans="1:19" ht="30">
      <c r="A78" s="80" t="s">
        <v>51</v>
      </c>
      <c r="B78" s="79" t="s">
        <v>487</v>
      </c>
      <c r="C78" s="79" t="s">
        <v>22</v>
      </c>
      <c r="D78" s="79" t="s">
        <v>58</v>
      </c>
      <c r="E78" s="79" t="s">
        <v>20</v>
      </c>
      <c r="F78" s="85">
        <v>0.5</v>
      </c>
      <c r="G78" s="79" t="s">
        <v>237</v>
      </c>
      <c r="H78" s="79" t="s">
        <v>54</v>
      </c>
      <c r="I78" s="79" t="s">
        <v>25</v>
      </c>
      <c r="J78" s="79">
        <v>45945</v>
      </c>
      <c r="K78" s="79" t="s">
        <v>229</v>
      </c>
      <c r="L78" s="79">
        <v>0</v>
      </c>
      <c r="M78" s="79" t="s">
        <v>470</v>
      </c>
      <c r="N78" s="79"/>
      <c r="O78" s="79"/>
      <c r="P78" s="79" t="s">
        <v>52</v>
      </c>
      <c r="Q78" s="79"/>
      <c r="R78"/>
      <c r="S78"/>
    </row>
    <row r="79" spans="1:19" ht="30">
      <c r="A79" s="80" t="s">
        <v>51</v>
      </c>
      <c r="B79" s="79" t="s">
        <v>487</v>
      </c>
      <c r="C79" s="79" t="s">
        <v>28</v>
      </c>
      <c r="D79" s="79" t="s">
        <v>58</v>
      </c>
      <c r="E79" s="79" t="s">
        <v>20</v>
      </c>
      <c r="F79" s="85">
        <v>0</v>
      </c>
      <c r="G79" s="79"/>
      <c r="H79" s="79"/>
      <c r="I79" s="79"/>
      <c r="J79" s="79" t="s">
        <v>229</v>
      </c>
      <c r="K79" s="79" t="s">
        <v>229</v>
      </c>
      <c r="L79" s="79">
        <v>0</v>
      </c>
      <c r="M79" s="79" t="s">
        <v>470</v>
      </c>
      <c r="N79" s="79"/>
      <c r="O79" s="79"/>
      <c r="P79" s="79" t="s">
        <v>52</v>
      </c>
      <c r="Q79" s="79"/>
      <c r="R79"/>
      <c r="S79"/>
    </row>
    <row r="80" spans="1:19" ht="30">
      <c r="A80" s="80" t="s">
        <v>51</v>
      </c>
      <c r="B80" s="79" t="s">
        <v>487</v>
      </c>
      <c r="C80" s="79" t="s">
        <v>29</v>
      </c>
      <c r="D80" s="79" t="s">
        <v>58</v>
      </c>
      <c r="E80" s="79" t="s">
        <v>20</v>
      </c>
      <c r="F80" s="85">
        <v>0</v>
      </c>
      <c r="G80" s="79"/>
      <c r="H80" s="79"/>
      <c r="I80" s="79"/>
      <c r="J80" s="79" t="s">
        <v>229</v>
      </c>
      <c r="K80" s="79" t="s">
        <v>229</v>
      </c>
      <c r="L80" s="79">
        <v>0</v>
      </c>
      <c r="M80" s="79" t="s">
        <v>470</v>
      </c>
      <c r="N80" s="79"/>
      <c r="O80" s="79"/>
      <c r="P80" s="79" t="s">
        <v>52</v>
      </c>
      <c r="Q80" s="79"/>
      <c r="R80"/>
      <c r="S80"/>
    </row>
    <row r="81" spans="1:19" ht="30">
      <c r="A81" s="80" t="s">
        <v>51</v>
      </c>
      <c r="B81" s="79" t="s">
        <v>487</v>
      </c>
      <c r="C81" s="79" t="s">
        <v>30</v>
      </c>
      <c r="D81" s="79" t="s">
        <v>58</v>
      </c>
      <c r="E81" s="79" t="s">
        <v>20</v>
      </c>
      <c r="F81" s="85">
        <v>0</v>
      </c>
      <c r="G81" s="79"/>
      <c r="H81" s="79"/>
      <c r="I81" s="79"/>
      <c r="J81" s="79" t="s">
        <v>229</v>
      </c>
      <c r="K81" s="79" t="s">
        <v>229</v>
      </c>
      <c r="L81" s="79">
        <v>0</v>
      </c>
      <c r="M81" s="79" t="s">
        <v>470</v>
      </c>
      <c r="N81" s="79"/>
      <c r="O81" s="79"/>
      <c r="P81" s="79" t="s">
        <v>52</v>
      </c>
      <c r="Q81" s="79"/>
      <c r="R81"/>
      <c r="S81"/>
    </row>
    <row r="82" spans="1:19" ht="30">
      <c r="A82" s="82" t="s">
        <v>51</v>
      </c>
      <c r="B82" s="83" t="s">
        <v>252</v>
      </c>
      <c r="C82" s="83" t="s">
        <v>18</v>
      </c>
      <c r="D82" s="83" t="s">
        <v>33</v>
      </c>
      <c r="E82" s="83" t="s">
        <v>20</v>
      </c>
      <c r="F82" s="84">
        <v>0.5</v>
      </c>
      <c r="G82" s="79"/>
      <c r="H82" s="79"/>
      <c r="I82" s="79"/>
      <c r="J82" s="83">
        <v>45945</v>
      </c>
      <c r="K82" s="79" t="s">
        <v>229</v>
      </c>
      <c r="L82" s="83">
        <v>0</v>
      </c>
      <c r="M82" s="83" t="s">
        <v>470</v>
      </c>
      <c r="N82" s="79"/>
      <c r="O82" s="79"/>
      <c r="P82" s="83" t="s">
        <v>52</v>
      </c>
      <c r="Q82" s="79"/>
      <c r="R82"/>
      <c r="S82"/>
    </row>
    <row r="83" spans="1:19" ht="30">
      <c r="A83" s="80" t="s">
        <v>51</v>
      </c>
      <c r="B83" s="79" t="s">
        <v>253</v>
      </c>
      <c r="C83" s="79" t="s">
        <v>22</v>
      </c>
      <c r="D83" s="79" t="s">
        <v>33</v>
      </c>
      <c r="E83" s="79" t="s">
        <v>20</v>
      </c>
      <c r="F83" s="85">
        <v>0.5</v>
      </c>
      <c r="G83" s="79" t="s">
        <v>237</v>
      </c>
      <c r="H83" s="79" t="s">
        <v>54</v>
      </c>
      <c r="I83" s="79" t="s">
        <v>55</v>
      </c>
      <c r="J83" s="79">
        <v>45945</v>
      </c>
      <c r="K83" s="79" t="s">
        <v>229</v>
      </c>
      <c r="L83" s="79">
        <v>0</v>
      </c>
      <c r="M83" s="79" t="s">
        <v>470</v>
      </c>
      <c r="N83" s="79"/>
      <c r="O83" s="79"/>
      <c r="P83" s="79" t="s">
        <v>52</v>
      </c>
      <c r="Q83" s="79"/>
      <c r="R83"/>
      <c r="S83"/>
    </row>
    <row r="84" spans="1:19" ht="30">
      <c r="A84" s="80" t="s">
        <v>51</v>
      </c>
      <c r="B84" s="79" t="s">
        <v>253</v>
      </c>
      <c r="C84" s="79" t="s">
        <v>28</v>
      </c>
      <c r="D84" s="79" t="s">
        <v>33</v>
      </c>
      <c r="E84" s="79" t="s">
        <v>20</v>
      </c>
      <c r="F84" s="85">
        <v>0</v>
      </c>
      <c r="G84" s="79"/>
      <c r="H84" s="79"/>
      <c r="I84" s="79"/>
      <c r="J84" s="79" t="s">
        <v>229</v>
      </c>
      <c r="K84" s="79" t="s">
        <v>229</v>
      </c>
      <c r="L84" s="79">
        <v>0</v>
      </c>
      <c r="M84" s="79" t="s">
        <v>470</v>
      </c>
      <c r="N84" s="79"/>
      <c r="O84" s="79"/>
      <c r="P84" s="79" t="s">
        <v>52</v>
      </c>
      <c r="Q84" s="79"/>
      <c r="R84"/>
      <c r="S84"/>
    </row>
    <row r="85" spans="1:19" ht="30">
      <c r="A85" s="80" t="s">
        <v>51</v>
      </c>
      <c r="B85" s="79" t="s">
        <v>253</v>
      </c>
      <c r="C85" s="79" t="s">
        <v>29</v>
      </c>
      <c r="D85" s="79" t="s">
        <v>33</v>
      </c>
      <c r="E85" s="79" t="s">
        <v>20</v>
      </c>
      <c r="F85" s="85">
        <v>0</v>
      </c>
      <c r="G85" s="79"/>
      <c r="H85" s="79"/>
      <c r="I85" s="79"/>
      <c r="J85" s="79" t="s">
        <v>229</v>
      </c>
      <c r="K85" s="79" t="s">
        <v>229</v>
      </c>
      <c r="L85" s="79">
        <v>0</v>
      </c>
      <c r="M85" s="79" t="s">
        <v>470</v>
      </c>
      <c r="N85" s="79"/>
      <c r="O85" s="79"/>
      <c r="P85" s="79" t="s">
        <v>52</v>
      </c>
      <c r="Q85" s="79"/>
      <c r="R85"/>
      <c r="S85"/>
    </row>
    <row r="86" spans="1:19" ht="30">
      <c r="A86" s="80" t="s">
        <v>51</v>
      </c>
      <c r="B86" s="79" t="s">
        <v>253</v>
      </c>
      <c r="C86" s="79" t="s">
        <v>30</v>
      </c>
      <c r="D86" s="79" t="s">
        <v>33</v>
      </c>
      <c r="E86" s="79" t="s">
        <v>20</v>
      </c>
      <c r="F86" s="85">
        <v>0</v>
      </c>
      <c r="G86" s="79"/>
      <c r="H86" s="79"/>
      <c r="I86" s="79"/>
      <c r="J86" s="79" t="s">
        <v>229</v>
      </c>
      <c r="K86" s="79" t="s">
        <v>229</v>
      </c>
      <c r="L86" s="79">
        <v>0</v>
      </c>
      <c r="M86" s="79" t="s">
        <v>470</v>
      </c>
      <c r="N86" s="79"/>
      <c r="O86" s="79"/>
      <c r="P86" s="79" t="s">
        <v>52</v>
      </c>
      <c r="Q86" s="79"/>
      <c r="R86"/>
      <c r="S86"/>
    </row>
    <row r="87" spans="1:19" ht="30">
      <c r="A87" s="75" t="s">
        <v>51</v>
      </c>
      <c r="B87" s="83" t="s">
        <v>254</v>
      </c>
      <c r="C87" s="83" t="s">
        <v>18</v>
      </c>
      <c r="D87" s="83" t="s">
        <v>58</v>
      </c>
      <c r="E87" s="83" t="s">
        <v>20</v>
      </c>
      <c r="F87" s="84">
        <v>0.5</v>
      </c>
      <c r="G87" s="79"/>
      <c r="H87" s="79"/>
      <c r="I87" s="79"/>
      <c r="J87" s="79">
        <v>45945</v>
      </c>
      <c r="K87" s="79" t="s">
        <v>229</v>
      </c>
      <c r="L87" s="83">
        <v>0</v>
      </c>
      <c r="M87" s="83" t="s">
        <v>470</v>
      </c>
      <c r="N87" s="79"/>
      <c r="O87" s="79"/>
      <c r="P87" s="83" t="s">
        <v>52</v>
      </c>
      <c r="Q87" s="79"/>
      <c r="R87"/>
      <c r="S87"/>
    </row>
    <row r="88" spans="1:19" ht="30">
      <c r="A88" s="80" t="s">
        <v>51</v>
      </c>
      <c r="B88" s="79" t="s">
        <v>255</v>
      </c>
      <c r="C88" s="79" t="s">
        <v>22</v>
      </c>
      <c r="D88" s="79" t="s">
        <v>58</v>
      </c>
      <c r="E88" s="79" t="s">
        <v>20</v>
      </c>
      <c r="F88" s="85">
        <v>0.5</v>
      </c>
      <c r="G88" s="79" t="s">
        <v>237</v>
      </c>
      <c r="H88" s="79" t="s">
        <v>54</v>
      </c>
      <c r="I88" s="79" t="s">
        <v>55</v>
      </c>
      <c r="J88" s="79">
        <v>45945</v>
      </c>
      <c r="K88" s="79" t="s">
        <v>229</v>
      </c>
      <c r="L88" s="79">
        <v>0</v>
      </c>
      <c r="M88" s="79" t="s">
        <v>470</v>
      </c>
      <c r="N88" s="79"/>
      <c r="O88" s="79"/>
      <c r="P88" s="79" t="s">
        <v>52</v>
      </c>
      <c r="Q88" s="79"/>
      <c r="R88"/>
      <c r="S88"/>
    </row>
    <row r="89" spans="1:19" ht="30">
      <c r="A89" s="80" t="s">
        <v>51</v>
      </c>
      <c r="B89" s="79" t="s">
        <v>255</v>
      </c>
      <c r="C89" s="79" t="s">
        <v>28</v>
      </c>
      <c r="D89" s="79" t="s">
        <v>58</v>
      </c>
      <c r="E89" s="79" t="s">
        <v>20</v>
      </c>
      <c r="F89" s="85">
        <v>0</v>
      </c>
      <c r="G89" s="79"/>
      <c r="H89" s="79"/>
      <c r="I89" s="79"/>
      <c r="J89" s="79" t="s">
        <v>229</v>
      </c>
      <c r="K89" s="79" t="s">
        <v>229</v>
      </c>
      <c r="L89" s="79">
        <v>0</v>
      </c>
      <c r="M89" s="79" t="s">
        <v>470</v>
      </c>
      <c r="N89" s="79"/>
      <c r="O89" s="79"/>
      <c r="P89" s="79" t="s">
        <v>52</v>
      </c>
      <c r="Q89" s="79"/>
      <c r="R89"/>
      <c r="S89"/>
    </row>
    <row r="90" spans="1:19" ht="30">
      <c r="A90" s="80" t="s">
        <v>51</v>
      </c>
      <c r="B90" s="79" t="s">
        <v>255</v>
      </c>
      <c r="C90" s="79" t="s">
        <v>29</v>
      </c>
      <c r="D90" s="79" t="s">
        <v>58</v>
      </c>
      <c r="E90" s="79" t="s">
        <v>20</v>
      </c>
      <c r="F90" s="85">
        <v>0</v>
      </c>
      <c r="G90" s="79"/>
      <c r="H90" s="79"/>
      <c r="I90" s="79"/>
      <c r="J90" s="79" t="s">
        <v>229</v>
      </c>
      <c r="K90" s="79" t="s">
        <v>229</v>
      </c>
      <c r="L90" s="79">
        <v>0</v>
      </c>
      <c r="M90" s="79" t="s">
        <v>470</v>
      </c>
      <c r="N90" s="79"/>
      <c r="O90" s="79"/>
      <c r="P90" s="79" t="s">
        <v>52</v>
      </c>
      <c r="Q90" s="79"/>
      <c r="R90"/>
      <c r="S90"/>
    </row>
    <row r="91" spans="1:19" ht="30">
      <c r="A91" s="80" t="s">
        <v>51</v>
      </c>
      <c r="B91" s="79" t="s">
        <v>255</v>
      </c>
      <c r="C91" s="79" t="s">
        <v>30</v>
      </c>
      <c r="D91" s="79" t="s">
        <v>58</v>
      </c>
      <c r="E91" s="79" t="s">
        <v>20</v>
      </c>
      <c r="F91" s="85">
        <v>0</v>
      </c>
      <c r="G91" s="79"/>
      <c r="H91" s="79"/>
      <c r="I91" s="79"/>
      <c r="J91" s="79" t="s">
        <v>229</v>
      </c>
      <c r="K91" s="79" t="s">
        <v>229</v>
      </c>
      <c r="L91" s="79">
        <v>0</v>
      </c>
      <c r="M91" s="79" t="s">
        <v>470</v>
      </c>
      <c r="N91" s="79"/>
      <c r="O91" s="79"/>
      <c r="P91" s="79" t="s">
        <v>52</v>
      </c>
      <c r="Q91" s="79"/>
      <c r="R91"/>
      <c r="S91"/>
    </row>
    <row r="92" spans="1:19" ht="30">
      <c r="A92" s="75" t="s">
        <v>51</v>
      </c>
      <c r="B92" s="83" t="s">
        <v>256</v>
      </c>
      <c r="C92" s="83" t="s">
        <v>18</v>
      </c>
      <c r="D92" s="83" t="s">
        <v>58</v>
      </c>
      <c r="E92" s="83" t="s">
        <v>20</v>
      </c>
      <c r="F92" s="84">
        <v>0.5</v>
      </c>
      <c r="G92" s="79"/>
      <c r="H92" s="79"/>
      <c r="I92" s="79"/>
      <c r="J92" s="79">
        <v>45945</v>
      </c>
      <c r="K92" s="79" t="s">
        <v>229</v>
      </c>
      <c r="L92" s="83">
        <v>0</v>
      </c>
      <c r="M92" s="83" t="s">
        <v>470</v>
      </c>
      <c r="N92" s="79"/>
      <c r="O92" s="79"/>
      <c r="P92" s="83" t="s">
        <v>52</v>
      </c>
      <c r="Q92" s="79"/>
      <c r="R92"/>
      <c r="S92"/>
    </row>
    <row r="93" spans="1:19" ht="30">
      <c r="A93" s="80" t="s">
        <v>51</v>
      </c>
      <c r="B93" s="79" t="s">
        <v>257</v>
      </c>
      <c r="C93" s="79" t="s">
        <v>22</v>
      </c>
      <c r="D93" s="79" t="s">
        <v>58</v>
      </c>
      <c r="E93" s="79" t="s">
        <v>20</v>
      </c>
      <c r="F93" s="85">
        <v>0.5</v>
      </c>
      <c r="G93" s="79" t="s">
        <v>237</v>
      </c>
      <c r="H93" s="79" t="s">
        <v>54</v>
      </c>
      <c r="I93" s="79" t="s">
        <v>55</v>
      </c>
      <c r="J93" s="79">
        <v>45945</v>
      </c>
      <c r="K93" s="79" t="s">
        <v>229</v>
      </c>
      <c r="L93" s="79">
        <v>0</v>
      </c>
      <c r="M93" s="79" t="s">
        <v>470</v>
      </c>
      <c r="N93" s="79"/>
      <c r="O93" s="79"/>
      <c r="P93" s="79" t="s">
        <v>52</v>
      </c>
      <c r="Q93" s="79"/>
      <c r="R93"/>
      <c r="S93"/>
    </row>
    <row r="94" spans="1:19" ht="30">
      <c r="A94" s="80" t="s">
        <v>51</v>
      </c>
      <c r="B94" s="79" t="s">
        <v>257</v>
      </c>
      <c r="C94" s="79" t="s">
        <v>28</v>
      </c>
      <c r="D94" s="79" t="s">
        <v>58</v>
      </c>
      <c r="E94" s="79" t="s">
        <v>20</v>
      </c>
      <c r="F94" s="85">
        <v>0</v>
      </c>
      <c r="G94" s="79"/>
      <c r="H94" s="79"/>
      <c r="I94" s="79"/>
      <c r="J94" s="79" t="s">
        <v>229</v>
      </c>
      <c r="K94" s="79" t="s">
        <v>229</v>
      </c>
      <c r="L94" s="79">
        <v>0</v>
      </c>
      <c r="M94" s="79" t="s">
        <v>470</v>
      </c>
      <c r="N94" s="79"/>
      <c r="O94" s="79"/>
      <c r="P94" s="79" t="s">
        <v>52</v>
      </c>
      <c r="Q94" s="79"/>
      <c r="R94"/>
      <c r="S94"/>
    </row>
    <row r="95" spans="1:19" ht="30">
      <c r="A95" s="80" t="s">
        <v>51</v>
      </c>
      <c r="B95" s="79" t="s">
        <v>257</v>
      </c>
      <c r="C95" s="79" t="s">
        <v>29</v>
      </c>
      <c r="D95" s="79" t="s">
        <v>58</v>
      </c>
      <c r="E95" s="79" t="s">
        <v>20</v>
      </c>
      <c r="F95" s="85">
        <v>0</v>
      </c>
      <c r="G95" s="79"/>
      <c r="H95" s="79"/>
      <c r="I95" s="79"/>
      <c r="J95" s="79" t="s">
        <v>229</v>
      </c>
      <c r="K95" s="79" t="s">
        <v>229</v>
      </c>
      <c r="L95" s="79">
        <v>0</v>
      </c>
      <c r="M95" s="79" t="s">
        <v>470</v>
      </c>
      <c r="N95" s="79"/>
      <c r="O95" s="79"/>
      <c r="P95" s="79" t="s">
        <v>52</v>
      </c>
      <c r="Q95" s="79"/>
      <c r="R95"/>
      <c r="S95"/>
    </row>
    <row r="96" spans="1:19" ht="30">
      <c r="A96" s="80" t="s">
        <v>51</v>
      </c>
      <c r="B96" s="79" t="s">
        <v>257</v>
      </c>
      <c r="C96" s="79" t="s">
        <v>30</v>
      </c>
      <c r="D96" s="79" t="s">
        <v>58</v>
      </c>
      <c r="E96" s="79" t="s">
        <v>20</v>
      </c>
      <c r="F96" s="85">
        <v>0</v>
      </c>
      <c r="G96" s="79"/>
      <c r="H96" s="79"/>
      <c r="I96" s="79"/>
      <c r="J96" s="79" t="s">
        <v>229</v>
      </c>
      <c r="K96" s="79" t="s">
        <v>229</v>
      </c>
      <c r="L96" s="79">
        <v>0</v>
      </c>
      <c r="M96" s="79" t="s">
        <v>470</v>
      </c>
      <c r="N96" s="79"/>
      <c r="O96" s="79"/>
      <c r="P96" s="79" t="s">
        <v>52</v>
      </c>
      <c r="Q96" s="79"/>
      <c r="R96"/>
      <c r="S96"/>
    </row>
    <row r="97" spans="1:19" ht="30">
      <c r="A97" s="82" t="s">
        <v>51</v>
      </c>
      <c r="B97" s="83" t="s">
        <v>258</v>
      </c>
      <c r="C97" s="83" t="s">
        <v>18</v>
      </c>
      <c r="D97" s="83" t="s">
        <v>33</v>
      </c>
      <c r="E97" s="83" t="s">
        <v>20</v>
      </c>
      <c r="F97" s="84">
        <v>0.5</v>
      </c>
      <c r="G97" s="79"/>
      <c r="H97" s="79"/>
      <c r="I97" s="79"/>
      <c r="J97" s="83">
        <v>45945</v>
      </c>
      <c r="K97" s="79" t="s">
        <v>229</v>
      </c>
      <c r="L97" s="83">
        <v>0</v>
      </c>
      <c r="M97" s="83" t="s">
        <v>470</v>
      </c>
      <c r="N97" s="79"/>
      <c r="O97" s="79"/>
      <c r="P97" s="83" t="s">
        <v>52</v>
      </c>
      <c r="Q97" s="79"/>
      <c r="R97"/>
      <c r="S97"/>
    </row>
    <row r="98" spans="1:19" ht="30">
      <c r="A98" s="80" t="s">
        <v>51</v>
      </c>
      <c r="B98" s="79" t="s">
        <v>259</v>
      </c>
      <c r="C98" s="79" t="s">
        <v>22</v>
      </c>
      <c r="D98" s="79" t="s">
        <v>33</v>
      </c>
      <c r="E98" s="79" t="s">
        <v>20</v>
      </c>
      <c r="F98" s="85">
        <v>0.5</v>
      </c>
      <c r="G98" s="79" t="s">
        <v>237</v>
      </c>
      <c r="H98" s="79" t="s">
        <v>54</v>
      </c>
      <c r="I98" s="79" t="s">
        <v>55</v>
      </c>
      <c r="J98" s="83">
        <v>45945</v>
      </c>
      <c r="K98" s="79" t="s">
        <v>229</v>
      </c>
      <c r="L98" s="79">
        <v>0</v>
      </c>
      <c r="M98" s="79" t="s">
        <v>470</v>
      </c>
      <c r="N98" s="79"/>
      <c r="O98" s="79"/>
      <c r="P98" s="79" t="s">
        <v>52</v>
      </c>
      <c r="Q98" s="79"/>
      <c r="R98"/>
      <c r="S98"/>
    </row>
    <row r="99" spans="1:19" ht="30">
      <c r="A99" s="80" t="s">
        <v>51</v>
      </c>
      <c r="B99" s="79" t="s">
        <v>259</v>
      </c>
      <c r="C99" s="79" t="s">
        <v>28</v>
      </c>
      <c r="D99" s="79" t="s">
        <v>33</v>
      </c>
      <c r="E99" s="79" t="s">
        <v>20</v>
      </c>
      <c r="F99" s="85">
        <v>0</v>
      </c>
      <c r="G99" s="79"/>
      <c r="H99" s="79"/>
      <c r="I99" s="79"/>
      <c r="J99" s="83" t="s">
        <v>229</v>
      </c>
      <c r="K99" s="79" t="s">
        <v>229</v>
      </c>
      <c r="L99" s="79">
        <v>0</v>
      </c>
      <c r="M99" s="79" t="s">
        <v>470</v>
      </c>
      <c r="N99" s="79"/>
      <c r="O99" s="79"/>
      <c r="P99" s="79" t="s">
        <v>52</v>
      </c>
      <c r="Q99" s="79"/>
      <c r="R99"/>
      <c r="S99"/>
    </row>
    <row r="100" spans="1:19" ht="30">
      <c r="A100" s="80" t="s">
        <v>51</v>
      </c>
      <c r="B100" s="79" t="s">
        <v>259</v>
      </c>
      <c r="C100" s="79" t="s">
        <v>29</v>
      </c>
      <c r="D100" s="79"/>
      <c r="E100" s="79" t="s">
        <v>20</v>
      </c>
      <c r="F100" s="85">
        <v>0</v>
      </c>
      <c r="G100" s="79"/>
      <c r="H100" s="79"/>
      <c r="I100" s="79"/>
      <c r="J100" s="79" t="s">
        <v>229</v>
      </c>
      <c r="K100" s="79" t="s">
        <v>229</v>
      </c>
      <c r="L100" s="79">
        <v>0</v>
      </c>
      <c r="M100" s="79" t="s">
        <v>470</v>
      </c>
      <c r="N100" s="79"/>
      <c r="O100" s="79"/>
      <c r="P100" s="79" t="s">
        <v>52</v>
      </c>
      <c r="Q100" s="79"/>
      <c r="R100"/>
      <c r="S100"/>
    </row>
    <row r="101" spans="1:19" ht="30">
      <c r="A101" s="80" t="s">
        <v>51</v>
      </c>
      <c r="B101" s="79" t="s">
        <v>259</v>
      </c>
      <c r="C101" s="79" t="s">
        <v>30</v>
      </c>
      <c r="D101" s="79" t="s">
        <v>33</v>
      </c>
      <c r="E101" s="79" t="s">
        <v>20</v>
      </c>
      <c r="F101" s="85">
        <v>0</v>
      </c>
      <c r="G101" s="79"/>
      <c r="H101" s="79"/>
      <c r="I101" s="79"/>
      <c r="J101" s="79" t="s">
        <v>229</v>
      </c>
      <c r="K101" s="79" t="s">
        <v>229</v>
      </c>
      <c r="L101" s="79">
        <v>0</v>
      </c>
      <c r="M101" s="79" t="s">
        <v>470</v>
      </c>
      <c r="N101" s="79"/>
      <c r="O101" s="79"/>
      <c r="P101" s="79" t="s">
        <v>52</v>
      </c>
      <c r="Q101" s="79"/>
      <c r="R101"/>
      <c r="S101"/>
    </row>
    <row r="102" spans="1:19" ht="30">
      <c r="A102" s="75" t="s">
        <v>51</v>
      </c>
      <c r="B102" s="83" t="s">
        <v>488</v>
      </c>
      <c r="C102" s="83" t="s">
        <v>18</v>
      </c>
      <c r="D102" s="83" t="s">
        <v>58</v>
      </c>
      <c r="E102" s="83" t="s">
        <v>20</v>
      </c>
      <c r="F102" s="84">
        <v>0.5</v>
      </c>
      <c r="G102" s="79"/>
      <c r="H102" s="79"/>
      <c r="I102" s="79"/>
      <c r="J102" s="79">
        <v>45945</v>
      </c>
      <c r="K102" s="79" t="s">
        <v>229</v>
      </c>
      <c r="L102" s="83">
        <v>0</v>
      </c>
      <c r="M102" s="83" t="s">
        <v>470</v>
      </c>
      <c r="N102" s="79"/>
      <c r="O102" s="79"/>
      <c r="P102" s="83" t="s">
        <v>52</v>
      </c>
      <c r="Q102" s="79"/>
      <c r="R102"/>
      <c r="S102"/>
    </row>
    <row r="103" spans="1:19" ht="30">
      <c r="A103" s="80" t="s">
        <v>51</v>
      </c>
      <c r="B103" s="79" t="s">
        <v>489</v>
      </c>
      <c r="C103" s="79" t="s">
        <v>22</v>
      </c>
      <c r="D103" s="79" t="s">
        <v>58</v>
      </c>
      <c r="E103" s="79" t="s">
        <v>20</v>
      </c>
      <c r="F103" s="85">
        <v>0.5</v>
      </c>
      <c r="G103" s="79" t="s">
        <v>237</v>
      </c>
      <c r="H103" s="79" t="s">
        <v>54</v>
      </c>
      <c r="I103" s="79" t="s">
        <v>55</v>
      </c>
      <c r="J103" s="79">
        <v>45945</v>
      </c>
      <c r="K103" s="79" t="s">
        <v>229</v>
      </c>
      <c r="L103" s="79">
        <v>0</v>
      </c>
      <c r="M103" s="79" t="s">
        <v>470</v>
      </c>
      <c r="N103" s="79"/>
      <c r="O103" s="79"/>
      <c r="P103" s="79" t="s">
        <v>52</v>
      </c>
      <c r="Q103" s="79"/>
      <c r="R103"/>
      <c r="S103"/>
    </row>
    <row r="104" spans="1:19" ht="30">
      <c r="A104" s="80" t="s">
        <v>51</v>
      </c>
      <c r="B104" s="79" t="s">
        <v>489</v>
      </c>
      <c r="C104" s="79" t="s">
        <v>28</v>
      </c>
      <c r="D104" s="79" t="s">
        <v>58</v>
      </c>
      <c r="E104" s="79" t="s">
        <v>20</v>
      </c>
      <c r="F104" s="85">
        <v>0</v>
      </c>
      <c r="G104" s="79"/>
      <c r="H104" s="79"/>
      <c r="I104" s="79"/>
      <c r="J104" s="79" t="s">
        <v>229</v>
      </c>
      <c r="K104" s="79" t="s">
        <v>229</v>
      </c>
      <c r="L104" s="79">
        <v>0</v>
      </c>
      <c r="M104" s="79" t="s">
        <v>470</v>
      </c>
      <c r="N104" s="79"/>
      <c r="O104" s="79"/>
      <c r="P104" s="79" t="s">
        <v>52</v>
      </c>
      <c r="Q104" s="79"/>
      <c r="R104"/>
      <c r="S104"/>
    </row>
    <row r="105" spans="1:19" ht="30">
      <c r="A105" s="80" t="s">
        <v>51</v>
      </c>
      <c r="B105" s="79" t="s">
        <v>489</v>
      </c>
      <c r="C105" s="79" t="s">
        <v>29</v>
      </c>
      <c r="D105" s="79" t="s">
        <v>58</v>
      </c>
      <c r="E105" s="79" t="s">
        <v>20</v>
      </c>
      <c r="F105" s="85">
        <v>0</v>
      </c>
      <c r="G105" s="79"/>
      <c r="H105" s="79"/>
      <c r="I105" s="79"/>
      <c r="J105" s="79" t="s">
        <v>229</v>
      </c>
      <c r="K105" s="79" t="s">
        <v>229</v>
      </c>
      <c r="L105" s="79">
        <v>0</v>
      </c>
      <c r="M105" s="79" t="s">
        <v>470</v>
      </c>
      <c r="N105" s="79"/>
      <c r="O105" s="79"/>
      <c r="P105" s="79" t="s">
        <v>52</v>
      </c>
      <c r="Q105" s="79"/>
      <c r="R105"/>
      <c r="S105"/>
    </row>
    <row r="106" spans="1:19" ht="30">
      <c r="A106" s="80" t="s">
        <v>51</v>
      </c>
      <c r="B106" s="79" t="s">
        <v>489</v>
      </c>
      <c r="C106" s="79" t="s">
        <v>30</v>
      </c>
      <c r="D106" s="79" t="s">
        <v>58</v>
      </c>
      <c r="E106" s="79" t="s">
        <v>20</v>
      </c>
      <c r="F106" s="85">
        <v>0</v>
      </c>
      <c r="G106" s="79"/>
      <c r="H106" s="79"/>
      <c r="I106" s="79"/>
      <c r="J106" s="79" t="s">
        <v>229</v>
      </c>
      <c r="K106" s="79" t="s">
        <v>229</v>
      </c>
      <c r="L106" s="79">
        <v>0</v>
      </c>
      <c r="M106" s="79" t="s">
        <v>470</v>
      </c>
      <c r="N106" s="79"/>
      <c r="O106" s="79"/>
      <c r="P106" s="79" t="s">
        <v>52</v>
      </c>
      <c r="Q106" s="79"/>
      <c r="R106"/>
      <c r="S106"/>
    </row>
    <row r="107" spans="1:19" ht="30">
      <c r="A107" s="75" t="s">
        <v>51</v>
      </c>
      <c r="B107" s="83" t="s">
        <v>262</v>
      </c>
      <c r="C107" s="83" t="s">
        <v>18</v>
      </c>
      <c r="D107" s="83" t="s">
        <v>58</v>
      </c>
      <c r="E107" s="83" t="s">
        <v>20</v>
      </c>
      <c r="F107" s="84">
        <v>0.5</v>
      </c>
      <c r="G107" s="79"/>
      <c r="H107" s="79"/>
      <c r="I107" s="79"/>
      <c r="J107" s="79">
        <v>45945</v>
      </c>
      <c r="K107" s="79" t="s">
        <v>229</v>
      </c>
      <c r="L107" s="83">
        <v>0</v>
      </c>
      <c r="M107" s="83" t="s">
        <v>470</v>
      </c>
      <c r="N107" s="79"/>
      <c r="O107" s="79"/>
      <c r="P107" s="83" t="s">
        <v>52</v>
      </c>
      <c r="Q107" s="79"/>
      <c r="R107"/>
      <c r="S107"/>
    </row>
    <row r="108" spans="1:19" ht="30">
      <c r="A108" s="80" t="s">
        <v>51</v>
      </c>
      <c r="B108" s="79" t="s">
        <v>263</v>
      </c>
      <c r="C108" s="79" t="s">
        <v>22</v>
      </c>
      <c r="D108" s="79" t="s">
        <v>58</v>
      </c>
      <c r="E108" s="79" t="s">
        <v>20</v>
      </c>
      <c r="F108" s="85">
        <v>0.5</v>
      </c>
      <c r="G108" s="79" t="s">
        <v>237</v>
      </c>
      <c r="H108" s="79" t="s">
        <v>54</v>
      </c>
      <c r="I108" s="79" t="s">
        <v>55</v>
      </c>
      <c r="J108" s="79">
        <v>45945</v>
      </c>
      <c r="K108" s="79" t="s">
        <v>229</v>
      </c>
      <c r="L108" s="79">
        <v>0</v>
      </c>
      <c r="M108" s="79" t="s">
        <v>470</v>
      </c>
      <c r="N108" s="79"/>
      <c r="O108" s="79"/>
      <c r="P108" s="79" t="s">
        <v>52</v>
      </c>
      <c r="Q108" s="79"/>
      <c r="R108"/>
      <c r="S108"/>
    </row>
    <row r="109" spans="1:19" ht="30">
      <c r="A109" s="80" t="s">
        <v>51</v>
      </c>
      <c r="B109" s="79" t="s">
        <v>263</v>
      </c>
      <c r="C109" s="79" t="s">
        <v>28</v>
      </c>
      <c r="D109" s="79" t="s">
        <v>58</v>
      </c>
      <c r="E109" s="79" t="s">
        <v>20</v>
      </c>
      <c r="F109" s="85">
        <v>0</v>
      </c>
      <c r="G109" s="79"/>
      <c r="H109" s="79"/>
      <c r="I109" s="79"/>
      <c r="J109" s="79" t="s">
        <v>229</v>
      </c>
      <c r="K109" s="79" t="s">
        <v>229</v>
      </c>
      <c r="L109" s="79">
        <v>0</v>
      </c>
      <c r="M109" s="79" t="s">
        <v>470</v>
      </c>
      <c r="N109" s="79"/>
      <c r="O109" s="79"/>
      <c r="P109" s="79" t="s">
        <v>52</v>
      </c>
      <c r="Q109" s="79"/>
      <c r="R109"/>
      <c r="S109"/>
    </row>
    <row r="110" spans="1:19" ht="30">
      <c r="A110" s="80" t="s">
        <v>51</v>
      </c>
      <c r="B110" s="79" t="s">
        <v>263</v>
      </c>
      <c r="C110" s="79" t="s">
        <v>29</v>
      </c>
      <c r="D110" s="79" t="s">
        <v>58</v>
      </c>
      <c r="E110" s="79" t="s">
        <v>20</v>
      </c>
      <c r="F110" s="85">
        <v>0</v>
      </c>
      <c r="G110" s="79"/>
      <c r="H110" s="79"/>
      <c r="I110" s="79"/>
      <c r="J110" s="79" t="s">
        <v>229</v>
      </c>
      <c r="K110" s="79" t="s">
        <v>229</v>
      </c>
      <c r="L110" s="79">
        <v>0</v>
      </c>
      <c r="M110" s="79" t="s">
        <v>470</v>
      </c>
      <c r="N110" s="79"/>
      <c r="O110" s="79"/>
      <c r="P110" s="79" t="s">
        <v>52</v>
      </c>
      <c r="Q110" s="79"/>
      <c r="R110"/>
      <c r="S110"/>
    </row>
    <row r="111" spans="1:19" ht="30">
      <c r="A111" s="80" t="s">
        <v>51</v>
      </c>
      <c r="B111" s="79" t="s">
        <v>263</v>
      </c>
      <c r="C111" s="79" t="s">
        <v>30</v>
      </c>
      <c r="D111" s="79" t="s">
        <v>58</v>
      </c>
      <c r="E111" s="79" t="s">
        <v>20</v>
      </c>
      <c r="F111" s="85">
        <v>0</v>
      </c>
      <c r="G111" s="79"/>
      <c r="H111" s="79"/>
      <c r="I111" s="79"/>
      <c r="J111" s="79" t="s">
        <v>229</v>
      </c>
      <c r="K111" s="79" t="s">
        <v>229</v>
      </c>
      <c r="L111" s="79">
        <v>0</v>
      </c>
      <c r="M111" s="79" t="s">
        <v>470</v>
      </c>
      <c r="N111" s="79"/>
      <c r="O111" s="79"/>
      <c r="P111" s="79" t="s">
        <v>52</v>
      </c>
      <c r="Q111" s="79"/>
      <c r="R111"/>
      <c r="S111"/>
    </row>
    <row r="112" spans="1:19" ht="30">
      <c r="A112" s="75" t="s">
        <v>51</v>
      </c>
      <c r="B112" s="83" t="s">
        <v>264</v>
      </c>
      <c r="C112" s="83" t="s">
        <v>18</v>
      </c>
      <c r="D112" s="83" t="s">
        <v>58</v>
      </c>
      <c r="E112" s="83" t="s">
        <v>20</v>
      </c>
      <c r="F112" s="84">
        <v>0.5</v>
      </c>
      <c r="G112" s="79"/>
      <c r="H112" s="79"/>
      <c r="I112" s="79"/>
      <c r="J112" s="79">
        <v>45945</v>
      </c>
      <c r="K112" s="79" t="s">
        <v>229</v>
      </c>
      <c r="L112" s="83">
        <v>0</v>
      </c>
      <c r="M112" s="83" t="s">
        <v>470</v>
      </c>
      <c r="N112" s="79"/>
      <c r="O112" s="79"/>
      <c r="P112" s="83" t="s">
        <v>52</v>
      </c>
      <c r="Q112" s="79"/>
      <c r="R112"/>
      <c r="S112"/>
    </row>
    <row r="113" spans="1:19" ht="30">
      <c r="A113" s="80" t="s">
        <v>51</v>
      </c>
      <c r="B113" s="79" t="s">
        <v>265</v>
      </c>
      <c r="C113" s="79" t="s">
        <v>22</v>
      </c>
      <c r="D113" s="79" t="s">
        <v>58</v>
      </c>
      <c r="E113" s="79" t="s">
        <v>20</v>
      </c>
      <c r="F113" s="85">
        <v>0.5</v>
      </c>
      <c r="G113" s="79" t="s">
        <v>237</v>
      </c>
      <c r="H113" s="79" t="s">
        <v>54</v>
      </c>
      <c r="I113" s="79" t="s">
        <v>55</v>
      </c>
      <c r="J113" s="79">
        <v>45945</v>
      </c>
      <c r="K113" s="79" t="s">
        <v>229</v>
      </c>
      <c r="L113" s="79">
        <v>0</v>
      </c>
      <c r="M113" s="79" t="s">
        <v>470</v>
      </c>
      <c r="N113" s="79"/>
      <c r="O113" s="79"/>
      <c r="P113" s="79" t="s">
        <v>52</v>
      </c>
      <c r="Q113" s="79"/>
      <c r="R113"/>
      <c r="S113"/>
    </row>
    <row r="114" spans="1:19" ht="30">
      <c r="A114" s="80" t="s">
        <v>51</v>
      </c>
      <c r="B114" s="79" t="s">
        <v>265</v>
      </c>
      <c r="C114" s="79" t="s">
        <v>28</v>
      </c>
      <c r="D114" s="79" t="s">
        <v>58</v>
      </c>
      <c r="E114" s="79" t="s">
        <v>20</v>
      </c>
      <c r="F114" s="85">
        <v>0</v>
      </c>
      <c r="G114" s="79"/>
      <c r="H114" s="79"/>
      <c r="I114" s="79"/>
      <c r="J114" s="79" t="s">
        <v>229</v>
      </c>
      <c r="K114" s="79" t="s">
        <v>229</v>
      </c>
      <c r="L114" s="79">
        <v>0</v>
      </c>
      <c r="M114" s="79" t="s">
        <v>470</v>
      </c>
      <c r="N114" s="79"/>
      <c r="O114" s="79"/>
      <c r="P114" s="79" t="s">
        <v>52</v>
      </c>
      <c r="Q114" s="79"/>
      <c r="R114"/>
      <c r="S114"/>
    </row>
    <row r="115" spans="1:19" ht="30">
      <c r="A115" s="80" t="s">
        <v>51</v>
      </c>
      <c r="B115" s="79" t="s">
        <v>265</v>
      </c>
      <c r="C115" s="79" t="s">
        <v>29</v>
      </c>
      <c r="D115" s="79" t="s">
        <v>58</v>
      </c>
      <c r="E115" s="79" t="s">
        <v>20</v>
      </c>
      <c r="F115" s="85">
        <v>0</v>
      </c>
      <c r="G115" s="79"/>
      <c r="H115" s="79"/>
      <c r="I115" s="79"/>
      <c r="J115" s="79" t="s">
        <v>229</v>
      </c>
      <c r="K115" s="79" t="s">
        <v>229</v>
      </c>
      <c r="L115" s="79">
        <v>0</v>
      </c>
      <c r="M115" s="79" t="s">
        <v>470</v>
      </c>
      <c r="N115" s="79"/>
      <c r="O115" s="79"/>
      <c r="P115" s="79" t="s">
        <v>52</v>
      </c>
      <c r="Q115" s="79"/>
      <c r="R115"/>
      <c r="S115"/>
    </row>
    <row r="116" spans="1:19" ht="30">
      <c r="A116" s="80" t="s">
        <v>51</v>
      </c>
      <c r="B116" s="79" t="s">
        <v>265</v>
      </c>
      <c r="C116" s="79" t="s">
        <v>30</v>
      </c>
      <c r="D116" s="79" t="s">
        <v>58</v>
      </c>
      <c r="E116" s="79" t="s">
        <v>20</v>
      </c>
      <c r="F116" s="85">
        <v>0</v>
      </c>
      <c r="G116" s="79"/>
      <c r="H116" s="79"/>
      <c r="I116" s="79"/>
      <c r="J116" s="79" t="s">
        <v>229</v>
      </c>
      <c r="K116" s="79" t="s">
        <v>229</v>
      </c>
      <c r="L116" s="79">
        <v>0</v>
      </c>
      <c r="M116" s="79" t="s">
        <v>470</v>
      </c>
      <c r="N116" s="79"/>
      <c r="O116" s="79"/>
      <c r="P116" s="79" t="s">
        <v>52</v>
      </c>
      <c r="Q116" s="79"/>
      <c r="R116"/>
      <c r="S116"/>
    </row>
    <row r="117" spans="1:19" ht="30">
      <c r="A117" s="82" t="s">
        <v>51</v>
      </c>
      <c r="B117" s="83" t="s">
        <v>266</v>
      </c>
      <c r="C117" s="83" t="s">
        <v>18</v>
      </c>
      <c r="D117" s="83" t="s">
        <v>33</v>
      </c>
      <c r="E117" s="83" t="s">
        <v>20</v>
      </c>
      <c r="F117" s="84">
        <v>0.5</v>
      </c>
      <c r="G117" s="79"/>
      <c r="H117" s="79"/>
      <c r="I117" s="79"/>
      <c r="J117" s="83">
        <v>45945</v>
      </c>
      <c r="K117" s="79" t="s">
        <v>229</v>
      </c>
      <c r="L117" s="83">
        <v>0</v>
      </c>
      <c r="M117" s="83" t="s">
        <v>470</v>
      </c>
      <c r="N117" s="79"/>
      <c r="O117" s="79"/>
      <c r="P117" s="83" t="s">
        <v>52</v>
      </c>
      <c r="Q117" s="79"/>
      <c r="R117"/>
      <c r="S117"/>
    </row>
    <row r="118" spans="1:19" ht="30">
      <c r="A118" s="80" t="s">
        <v>51</v>
      </c>
      <c r="B118" s="79" t="s">
        <v>267</v>
      </c>
      <c r="C118" s="79" t="s">
        <v>22</v>
      </c>
      <c r="D118" s="79" t="s">
        <v>33</v>
      </c>
      <c r="E118" s="79" t="s">
        <v>20</v>
      </c>
      <c r="F118" s="85">
        <v>0.5</v>
      </c>
      <c r="G118" s="79" t="s">
        <v>237</v>
      </c>
      <c r="H118" s="79" t="s">
        <v>54</v>
      </c>
      <c r="I118" s="79" t="s">
        <v>55</v>
      </c>
      <c r="J118" s="83">
        <v>45945</v>
      </c>
      <c r="K118" s="79" t="s">
        <v>229</v>
      </c>
      <c r="L118" s="79">
        <v>0</v>
      </c>
      <c r="M118" s="79" t="s">
        <v>470</v>
      </c>
      <c r="N118" s="79"/>
      <c r="O118" s="79"/>
      <c r="P118" s="79" t="s">
        <v>52</v>
      </c>
      <c r="Q118" s="79"/>
      <c r="R118"/>
      <c r="S118"/>
    </row>
    <row r="119" spans="1:19" ht="30">
      <c r="A119" s="80" t="s">
        <v>51</v>
      </c>
      <c r="B119" s="79" t="s">
        <v>267</v>
      </c>
      <c r="C119" s="79" t="s">
        <v>28</v>
      </c>
      <c r="D119" s="79" t="s">
        <v>33</v>
      </c>
      <c r="E119" s="79" t="s">
        <v>20</v>
      </c>
      <c r="F119" s="85">
        <v>0</v>
      </c>
      <c r="G119" s="79"/>
      <c r="H119" s="79"/>
      <c r="I119" s="79"/>
      <c r="J119" s="79" t="s">
        <v>229</v>
      </c>
      <c r="K119" s="79" t="s">
        <v>229</v>
      </c>
      <c r="L119" s="79">
        <v>0</v>
      </c>
      <c r="M119" s="79" t="s">
        <v>470</v>
      </c>
      <c r="N119" s="79"/>
      <c r="O119" s="79"/>
      <c r="P119" s="79" t="s">
        <v>52</v>
      </c>
      <c r="Q119" s="79"/>
      <c r="R119"/>
      <c r="S119"/>
    </row>
    <row r="120" spans="1:19" ht="30">
      <c r="A120" s="80" t="s">
        <v>51</v>
      </c>
      <c r="B120" s="79" t="s">
        <v>267</v>
      </c>
      <c r="C120" s="79" t="s">
        <v>29</v>
      </c>
      <c r="D120" s="79" t="s">
        <v>33</v>
      </c>
      <c r="E120" s="79" t="s">
        <v>20</v>
      </c>
      <c r="F120" s="85">
        <v>0</v>
      </c>
      <c r="G120" s="79"/>
      <c r="H120" s="79"/>
      <c r="I120" s="79"/>
      <c r="J120" s="83" t="s">
        <v>229</v>
      </c>
      <c r="K120" s="79" t="s">
        <v>229</v>
      </c>
      <c r="L120" s="79">
        <v>0</v>
      </c>
      <c r="M120" s="79" t="s">
        <v>470</v>
      </c>
      <c r="N120" s="79"/>
      <c r="O120" s="79"/>
      <c r="P120" s="79" t="s">
        <v>52</v>
      </c>
      <c r="Q120" s="79"/>
      <c r="R120"/>
      <c r="S120"/>
    </row>
    <row r="121" spans="1:19" ht="30">
      <c r="A121" s="80" t="s">
        <v>51</v>
      </c>
      <c r="B121" s="79" t="s">
        <v>267</v>
      </c>
      <c r="C121" s="79" t="s">
        <v>30</v>
      </c>
      <c r="D121" s="79" t="s">
        <v>33</v>
      </c>
      <c r="E121" s="79" t="s">
        <v>20</v>
      </c>
      <c r="F121" s="85">
        <v>0</v>
      </c>
      <c r="G121" s="79"/>
      <c r="H121" s="79"/>
      <c r="I121" s="79"/>
      <c r="J121" s="79" t="s">
        <v>229</v>
      </c>
      <c r="K121" s="79" t="s">
        <v>229</v>
      </c>
      <c r="L121" s="79">
        <v>0</v>
      </c>
      <c r="M121" s="79" t="s">
        <v>470</v>
      </c>
      <c r="N121" s="79"/>
      <c r="O121" s="79"/>
      <c r="P121" s="79" t="s">
        <v>52</v>
      </c>
      <c r="Q121" s="79"/>
      <c r="R121"/>
      <c r="S121"/>
    </row>
    <row r="122" spans="1:19" ht="30">
      <c r="A122" s="75" t="s">
        <v>51</v>
      </c>
      <c r="B122" s="83" t="s">
        <v>490</v>
      </c>
      <c r="C122" s="83" t="s">
        <v>18</v>
      </c>
      <c r="D122" s="83" t="s">
        <v>58</v>
      </c>
      <c r="E122" s="83" t="s">
        <v>20</v>
      </c>
      <c r="F122" s="84">
        <v>0.5</v>
      </c>
      <c r="G122" s="79"/>
      <c r="H122" s="79"/>
      <c r="I122" s="79"/>
      <c r="J122" s="79">
        <v>45945</v>
      </c>
      <c r="K122" s="79" t="s">
        <v>229</v>
      </c>
      <c r="L122" s="83">
        <v>0</v>
      </c>
      <c r="M122" s="83" t="s">
        <v>470</v>
      </c>
      <c r="N122" s="79"/>
      <c r="O122" s="79"/>
      <c r="P122" s="83" t="s">
        <v>52</v>
      </c>
      <c r="Q122" s="79"/>
      <c r="R122"/>
      <c r="S122"/>
    </row>
    <row r="123" spans="1:19" ht="30">
      <c r="A123" s="80" t="s">
        <v>51</v>
      </c>
      <c r="B123" s="79" t="s">
        <v>491</v>
      </c>
      <c r="C123" s="79" t="s">
        <v>22</v>
      </c>
      <c r="D123" s="79" t="s">
        <v>58</v>
      </c>
      <c r="E123" s="79" t="s">
        <v>20</v>
      </c>
      <c r="F123" s="85">
        <v>0.5</v>
      </c>
      <c r="G123" s="79" t="s">
        <v>237</v>
      </c>
      <c r="H123" s="79" t="s">
        <v>54</v>
      </c>
      <c r="I123" s="79" t="s">
        <v>55</v>
      </c>
      <c r="J123" s="79">
        <v>45945</v>
      </c>
      <c r="K123" s="79" t="s">
        <v>229</v>
      </c>
      <c r="L123" s="79">
        <v>0</v>
      </c>
      <c r="M123" s="79" t="s">
        <v>470</v>
      </c>
      <c r="N123" s="79"/>
      <c r="O123" s="79"/>
      <c r="P123" s="79" t="s">
        <v>52</v>
      </c>
      <c r="Q123" s="79"/>
      <c r="R123"/>
      <c r="S123"/>
    </row>
    <row r="124" spans="1:19" ht="30">
      <c r="A124" s="80" t="s">
        <v>51</v>
      </c>
      <c r="B124" s="79" t="s">
        <v>491</v>
      </c>
      <c r="C124" s="79" t="s">
        <v>28</v>
      </c>
      <c r="D124" s="79" t="s">
        <v>58</v>
      </c>
      <c r="E124" s="79" t="s">
        <v>20</v>
      </c>
      <c r="F124" s="85">
        <v>0</v>
      </c>
      <c r="G124" s="79"/>
      <c r="H124" s="79"/>
      <c r="I124" s="79"/>
      <c r="J124" s="79" t="s">
        <v>229</v>
      </c>
      <c r="K124" s="79" t="s">
        <v>229</v>
      </c>
      <c r="L124" s="79">
        <v>0</v>
      </c>
      <c r="M124" s="79" t="s">
        <v>470</v>
      </c>
      <c r="N124" s="79"/>
      <c r="O124" s="79"/>
      <c r="P124" s="79" t="s">
        <v>52</v>
      </c>
      <c r="Q124" s="79"/>
      <c r="R124"/>
      <c r="S124"/>
    </row>
    <row r="125" spans="1:19" ht="30">
      <c r="A125" s="80" t="s">
        <v>51</v>
      </c>
      <c r="B125" s="79" t="s">
        <v>491</v>
      </c>
      <c r="C125" s="79" t="s">
        <v>29</v>
      </c>
      <c r="D125" s="79" t="s">
        <v>58</v>
      </c>
      <c r="E125" s="79" t="s">
        <v>20</v>
      </c>
      <c r="F125" s="85">
        <v>0</v>
      </c>
      <c r="G125" s="79"/>
      <c r="H125" s="79"/>
      <c r="I125" s="79"/>
      <c r="J125" s="79" t="s">
        <v>229</v>
      </c>
      <c r="K125" s="79" t="s">
        <v>229</v>
      </c>
      <c r="L125" s="79">
        <v>0</v>
      </c>
      <c r="M125" s="79" t="s">
        <v>470</v>
      </c>
      <c r="N125" s="79"/>
      <c r="O125" s="79"/>
      <c r="P125" s="79" t="s">
        <v>52</v>
      </c>
      <c r="Q125" s="79"/>
      <c r="R125"/>
      <c r="S125"/>
    </row>
    <row r="126" spans="1:19" ht="30">
      <c r="A126" s="80" t="s">
        <v>51</v>
      </c>
      <c r="B126" s="79" t="s">
        <v>491</v>
      </c>
      <c r="C126" s="79" t="s">
        <v>30</v>
      </c>
      <c r="D126" s="79" t="s">
        <v>58</v>
      </c>
      <c r="E126" s="79" t="s">
        <v>20</v>
      </c>
      <c r="F126" s="85">
        <v>0</v>
      </c>
      <c r="G126" s="79"/>
      <c r="H126" s="79"/>
      <c r="I126" s="79"/>
      <c r="J126" s="79" t="s">
        <v>229</v>
      </c>
      <c r="K126" s="79" t="s">
        <v>229</v>
      </c>
      <c r="L126" s="79">
        <v>0</v>
      </c>
      <c r="M126" s="79" t="s">
        <v>470</v>
      </c>
      <c r="N126" s="79"/>
      <c r="O126" s="79"/>
      <c r="P126" s="79" t="s">
        <v>52</v>
      </c>
      <c r="Q126" s="79"/>
      <c r="R126"/>
      <c r="S126"/>
    </row>
    <row r="127" spans="1:19" ht="30">
      <c r="A127" s="75" t="s">
        <v>51</v>
      </c>
      <c r="B127" s="83" t="s">
        <v>492</v>
      </c>
      <c r="C127" s="83" t="s">
        <v>18</v>
      </c>
      <c r="D127" s="83" t="s">
        <v>58</v>
      </c>
      <c r="E127" s="83" t="s">
        <v>20</v>
      </c>
      <c r="F127" s="84">
        <v>0.5</v>
      </c>
      <c r="G127" s="79"/>
      <c r="H127" s="79"/>
      <c r="I127" s="79"/>
      <c r="J127" s="79">
        <v>45945</v>
      </c>
      <c r="K127" s="79" t="s">
        <v>229</v>
      </c>
      <c r="L127" s="83">
        <v>0</v>
      </c>
      <c r="M127" s="83" t="s">
        <v>470</v>
      </c>
      <c r="N127" s="79"/>
      <c r="O127" s="79"/>
      <c r="P127" s="83" t="s">
        <v>52</v>
      </c>
      <c r="Q127" s="79"/>
      <c r="R127"/>
      <c r="S127"/>
    </row>
    <row r="128" spans="1:19" ht="30">
      <c r="A128" s="80" t="s">
        <v>51</v>
      </c>
      <c r="B128" s="79" t="s">
        <v>493</v>
      </c>
      <c r="C128" s="79" t="s">
        <v>22</v>
      </c>
      <c r="D128" s="79" t="s">
        <v>58</v>
      </c>
      <c r="E128" s="79" t="s">
        <v>20</v>
      </c>
      <c r="F128" s="85">
        <v>0.5</v>
      </c>
      <c r="G128" s="79" t="s">
        <v>237</v>
      </c>
      <c r="H128" s="79" t="s">
        <v>54</v>
      </c>
      <c r="I128" s="79" t="s">
        <v>55</v>
      </c>
      <c r="J128" s="79">
        <v>45945</v>
      </c>
      <c r="K128" s="79" t="s">
        <v>229</v>
      </c>
      <c r="L128" s="79">
        <v>0</v>
      </c>
      <c r="M128" s="79" t="s">
        <v>470</v>
      </c>
      <c r="N128" s="79"/>
      <c r="O128" s="79"/>
      <c r="P128" s="79" t="s">
        <v>52</v>
      </c>
      <c r="Q128" s="79"/>
      <c r="R128"/>
      <c r="S128"/>
    </row>
    <row r="129" spans="1:19" ht="30">
      <c r="A129" s="80" t="s">
        <v>51</v>
      </c>
      <c r="B129" s="79" t="s">
        <v>493</v>
      </c>
      <c r="C129" s="79" t="s">
        <v>28</v>
      </c>
      <c r="D129" s="79" t="s">
        <v>58</v>
      </c>
      <c r="E129" s="79" t="s">
        <v>20</v>
      </c>
      <c r="F129" s="85">
        <v>0</v>
      </c>
      <c r="G129" s="79"/>
      <c r="H129" s="79"/>
      <c r="I129" s="79"/>
      <c r="J129" s="79" t="s">
        <v>229</v>
      </c>
      <c r="K129" s="79" t="s">
        <v>229</v>
      </c>
      <c r="L129" s="79">
        <v>0</v>
      </c>
      <c r="M129" s="79" t="s">
        <v>470</v>
      </c>
      <c r="N129" s="79"/>
      <c r="O129" s="79"/>
      <c r="P129" s="79" t="s">
        <v>52</v>
      </c>
      <c r="Q129" s="79"/>
      <c r="R129"/>
      <c r="S129"/>
    </row>
    <row r="130" spans="1:19" ht="30">
      <c r="A130" s="80" t="s">
        <v>51</v>
      </c>
      <c r="B130" s="79" t="s">
        <v>493</v>
      </c>
      <c r="C130" s="79" t="s">
        <v>29</v>
      </c>
      <c r="D130" s="79" t="s">
        <v>58</v>
      </c>
      <c r="E130" s="79" t="s">
        <v>20</v>
      </c>
      <c r="F130" s="85">
        <v>0</v>
      </c>
      <c r="G130" s="79"/>
      <c r="H130" s="79"/>
      <c r="I130" s="79"/>
      <c r="J130" s="79" t="s">
        <v>229</v>
      </c>
      <c r="K130" s="79" t="s">
        <v>229</v>
      </c>
      <c r="L130" s="79">
        <v>0</v>
      </c>
      <c r="M130" s="79" t="s">
        <v>470</v>
      </c>
      <c r="N130" s="79"/>
      <c r="O130" s="79"/>
      <c r="P130" s="79" t="s">
        <v>52</v>
      </c>
      <c r="Q130" s="79"/>
      <c r="R130"/>
      <c r="S130"/>
    </row>
    <row r="131" spans="1:19" ht="30">
      <c r="A131" s="80" t="s">
        <v>51</v>
      </c>
      <c r="B131" s="79" t="s">
        <v>493</v>
      </c>
      <c r="C131" s="79" t="s">
        <v>30</v>
      </c>
      <c r="D131" s="79" t="s">
        <v>58</v>
      </c>
      <c r="E131" s="79" t="s">
        <v>20</v>
      </c>
      <c r="F131" s="85">
        <v>0</v>
      </c>
      <c r="G131" s="79"/>
      <c r="H131" s="79"/>
      <c r="I131" s="79"/>
      <c r="J131" s="79" t="s">
        <v>229</v>
      </c>
      <c r="K131" s="79" t="s">
        <v>229</v>
      </c>
      <c r="L131" s="79">
        <v>0</v>
      </c>
      <c r="M131" s="79" t="s">
        <v>470</v>
      </c>
      <c r="N131" s="79"/>
      <c r="O131" s="79"/>
      <c r="P131" s="79" t="s">
        <v>52</v>
      </c>
      <c r="Q131" s="79"/>
      <c r="R131"/>
      <c r="S131"/>
    </row>
    <row r="132" spans="1:19" ht="30">
      <c r="A132" s="75" t="s">
        <v>51</v>
      </c>
      <c r="B132" s="83" t="s">
        <v>494</v>
      </c>
      <c r="C132" s="83" t="s">
        <v>18</v>
      </c>
      <c r="D132" s="83" t="s">
        <v>58</v>
      </c>
      <c r="E132" s="83" t="s">
        <v>20</v>
      </c>
      <c r="F132" s="84">
        <v>0.5</v>
      </c>
      <c r="G132" s="79"/>
      <c r="H132" s="79"/>
      <c r="I132" s="79"/>
      <c r="J132" s="79">
        <v>45945</v>
      </c>
      <c r="K132" s="79" t="s">
        <v>229</v>
      </c>
      <c r="L132" s="83">
        <v>0</v>
      </c>
      <c r="M132" s="83" t="s">
        <v>470</v>
      </c>
      <c r="N132" s="79"/>
      <c r="O132" s="79"/>
      <c r="P132" s="83" t="s">
        <v>52</v>
      </c>
      <c r="Q132" s="79"/>
      <c r="R132"/>
      <c r="S132"/>
    </row>
    <row r="133" spans="1:19" ht="30">
      <c r="A133" s="80" t="s">
        <v>51</v>
      </c>
      <c r="B133" s="79" t="s">
        <v>495</v>
      </c>
      <c r="C133" s="79" t="s">
        <v>22</v>
      </c>
      <c r="D133" s="79" t="s">
        <v>58</v>
      </c>
      <c r="E133" s="79" t="s">
        <v>20</v>
      </c>
      <c r="F133" s="85">
        <v>0.5</v>
      </c>
      <c r="G133" s="79" t="s">
        <v>237</v>
      </c>
      <c r="H133" s="79" t="s">
        <v>54</v>
      </c>
      <c r="I133" s="79" t="s">
        <v>55</v>
      </c>
      <c r="J133" s="79">
        <v>45945</v>
      </c>
      <c r="K133" s="79" t="s">
        <v>229</v>
      </c>
      <c r="L133" s="79">
        <v>0</v>
      </c>
      <c r="M133" s="79" t="s">
        <v>470</v>
      </c>
      <c r="N133" s="79"/>
      <c r="O133" s="79"/>
      <c r="P133" s="79" t="s">
        <v>52</v>
      </c>
      <c r="Q133" s="79"/>
      <c r="R133"/>
      <c r="S133"/>
    </row>
    <row r="134" spans="1:19" ht="30">
      <c r="A134" s="80" t="s">
        <v>51</v>
      </c>
      <c r="B134" s="79" t="s">
        <v>495</v>
      </c>
      <c r="C134" s="79" t="s">
        <v>28</v>
      </c>
      <c r="D134" s="79" t="s">
        <v>58</v>
      </c>
      <c r="E134" s="79" t="s">
        <v>20</v>
      </c>
      <c r="F134" s="85">
        <v>0</v>
      </c>
      <c r="G134" s="79"/>
      <c r="H134" s="79"/>
      <c r="I134" s="79"/>
      <c r="J134" s="79" t="s">
        <v>229</v>
      </c>
      <c r="K134" s="79" t="s">
        <v>229</v>
      </c>
      <c r="L134" s="79">
        <v>0</v>
      </c>
      <c r="M134" s="79" t="s">
        <v>470</v>
      </c>
      <c r="N134" s="79"/>
      <c r="O134" s="79"/>
      <c r="P134" s="79" t="s">
        <v>52</v>
      </c>
      <c r="Q134" s="79"/>
      <c r="R134"/>
      <c r="S134"/>
    </row>
    <row r="135" spans="1:19" ht="30">
      <c r="A135" s="80" t="s">
        <v>51</v>
      </c>
      <c r="B135" s="79" t="s">
        <v>495</v>
      </c>
      <c r="C135" s="79" t="s">
        <v>29</v>
      </c>
      <c r="D135" s="79" t="s">
        <v>58</v>
      </c>
      <c r="E135" s="79" t="s">
        <v>20</v>
      </c>
      <c r="F135" s="85">
        <v>0</v>
      </c>
      <c r="G135" s="79"/>
      <c r="H135" s="79"/>
      <c r="I135" s="79"/>
      <c r="J135" s="79" t="s">
        <v>229</v>
      </c>
      <c r="K135" s="79" t="s">
        <v>229</v>
      </c>
      <c r="L135" s="79">
        <v>0</v>
      </c>
      <c r="M135" s="79" t="s">
        <v>470</v>
      </c>
      <c r="N135" s="79"/>
      <c r="O135" s="79"/>
      <c r="P135" s="79" t="s">
        <v>52</v>
      </c>
      <c r="Q135" s="79"/>
      <c r="R135"/>
      <c r="S135"/>
    </row>
    <row r="136" spans="1:19" ht="30">
      <c r="A136" s="80" t="s">
        <v>51</v>
      </c>
      <c r="B136" s="79" t="s">
        <v>495</v>
      </c>
      <c r="C136" s="79" t="s">
        <v>30</v>
      </c>
      <c r="D136" s="79" t="s">
        <v>58</v>
      </c>
      <c r="E136" s="79" t="s">
        <v>20</v>
      </c>
      <c r="F136" s="85">
        <v>0</v>
      </c>
      <c r="G136" s="79"/>
      <c r="H136" s="79"/>
      <c r="I136" s="79"/>
      <c r="J136" s="79" t="s">
        <v>229</v>
      </c>
      <c r="K136" s="79" t="s">
        <v>229</v>
      </c>
      <c r="L136" s="79">
        <v>0</v>
      </c>
      <c r="M136" s="79" t="s">
        <v>470</v>
      </c>
      <c r="N136" s="79"/>
      <c r="O136" s="79"/>
      <c r="P136" s="79" t="s">
        <v>52</v>
      </c>
      <c r="Q136" s="79"/>
      <c r="R136"/>
      <c r="S136"/>
    </row>
    <row r="137" spans="1:19" ht="30">
      <c r="A137" s="75" t="s">
        <v>51</v>
      </c>
      <c r="B137" s="83" t="s">
        <v>274</v>
      </c>
      <c r="C137" s="83" t="s">
        <v>18</v>
      </c>
      <c r="D137" s="83" t="s">
        <v>58</v>
      </c>
      <c r="E137" s="83" t="s">
        <v>20</v>
      </c>
      <c r="F137" s="84">
        <v>0.5</v>
      </c>
      <c r="G137" s="79"/>
      <c r="H137" s="79"/>
      <c r="I137" s="79"/>
      <c r="J137" s="79">
        <v>45945</v>
      </c>
      <c r="K137" s="79" t="s">
        <v>229</v>
      </c>
      <c r="L137" s="83">
        <v>0</v>
      </c>
      <c r="M137" s="83" t="s">
        <v>470</v>
      </c>
      <c r="N137" s="79"/>
      <c r="O137" s="79"/>
      <c r="P137" s="83" t="s">
        <v>52</v>
      </c>
      <c r="Q137" s="79"/>
      <c r="R137"/>
      <c r="S137"/>
    </row>
    <row r="138" spans="1:19" ht="30">
      <c r="A138" s="80" t="s">
        <v>51</v>
      </c>
      <c r="B138" s="79" t="s">
        <v>275</v>
      </c>
      <c r="C138" s="79" t="s">
        <v>22</v>
      </c>
      <c r="D138" s="79" t="s">
        <v>58</v>
      </c>
      <c r="E138" s="79" t="s">
        <v>20</v>
      </c>
      <c r="F138" s="85">
        <v>0.5</v>
      </c>
      <c r="G138" s="79" t="s">
        <v>237</v>
      </c>
      <c r="H138" s="79" t="s">
        <v>54</v>
      </c>
      <c r="I138" s="79" t="s">
        <v>55</v>
      </c>
      <c r="J138" s="79">
        <v>45945</v>
      </c>
      <c r="K138" s="79" t="s">
        <v>229</v>
      </c>
      <c r="L138" s="79">
        <v>0</v>
      </c>
      <c r="M138" s="79" t="s">
        <v>470</v>
      </c>
      <c r="N138" s="79"/>
      <c r="O138" s="79"/>
      <c r="P138" s="79" t="s">
        <v>52</v>
      </c>
      <c r="Q138" s="79"/>
      <c r="R138"/>
      <c r="S138"/>
    </row>
    <row r="139" spans="1:19" ht="30">
      <c r="A139" s="80" t="s">
        <v>51</v>
      </c>
      <c r="B139" s="79" t="s">
        <v>275</v>
      </c>
      <c r="C139" s="79" t="s">
        <v>28</v>
      </c>
      <c r="D139" s="79" t="s">
        <v>58</v>
      </c>
      <c r="E139" s="79" t="s">
        <v>20</v>
      </c>
      <c r="F139" s="85">
        <v>0</v>
      </c>
      <c r="G139" s="79"/>
      <c r="H139" s="79"/>
      <c r="I139" s="79"/>
      <c r="J139" s="79" t="s">
        <v>229</v>
      </c>
      <c r="K139" s="79" t="s">
        <v>229</v>
      </c>
      <c r="L139" s="79">
        <v>0</v>
      </c>
      <c r="M139" s="79" t="s">
        <v>470</v>
      </c>
      <c r="N139" s="79"/>
      <c r="O139" s="79"/>
      <c r="P139" s="79" t="s">
        <v>52</v>
      </c>
      <c r="Q139" s="79"/>
      <c r="R139"/>
      <c r="S139"/>
    </row>
    <row r="140" spans="1:19" ht="30">
      <c r="A140" s="80" t="s">
        <v>51</v>
      </c>
      <c r="B140" s="79" t="s">
        <v>275</v>
      </c>
      <c r="C140" s="79" t="s">
        <v>29</v>
      </c>
      <c r="D140" s="79" t="s">
        <v>58</v>
      </c>
      <c r="E140" s="79" t="s">
        <v>20</v>
      </c>
      <c r="F140" s="85">
        <v>0</v>
      </c>
      <c r="G140" s="79"/>
      <c r="H140" s="79"/>
      <c r="I140" s="79"/>
      <c r="J140" s="79" t="s">
        <v>229</v>
      </c>
      <c r="K140" s="79" t="s">
        <v>229</v>
      </c>
      <c r="L140" s="79">
        <v>0</v>
      </c>
      <c r="M140" s="79" t="s">
        <v>470</v>
      </c>
      <c r="N140" s="79"/>
      <c r="O140" s="79"/>
      <c r="P140" s="79" t="s">
        <v>52</v>
      </c>
      <c r="Q140" s="79"/>
      <c r="R140"/>
      <c r="S140"/>
    </row>
    <row r="141" spans="1:19" ht="30">
      <c r="A141" s="80" t="s">
        <v>51</v>
      </c>
      <c r="B141" s="79" t="s">
        <v>275</v>
      </c>
      <c r="C141" s="79" t="s">
        <v>30</v>
      </c>
      <c r="D141" s="79" t="s">
        <v>58</v>
      </c>
      <c r="E141" s="79" t="s">
        <v>20</v>
      </c>
      <c r="F141" s="85">
        <v>0</v>
      </c>
      <c r="G141" s="79"/>
      <c r="H141" s="79"/>
      <c r="I141" s="79"/>
      <c r="J141" s="79" t="s">
        <v>229</v>
      </c>
      <c r="K141" s="79" t="s">
        <v>229</v>
      </c>
      <c r="L141" s="79">
        <v>0</v>
      </c>
      <c r="M141" s="79" t="s">
        <v>470</v>
      </c>
      <c r="N141" s="79"/>
      <c r="O141" s="79"/>
      <c r="P141" s="79" t="s">
        <v>52</v>
      </c>
      <c r="Q141" s="79"/>
      <c r="R141"/>
      <c r="S141"/>
    </row>
    <row r="142" spans="1:19" ht="30">
      <c r="A142" s="75" t="s">
        <v>51</v>
      </c>
      <c r="B142" s="83" t="s">
        <v>276</v>
      </c>
      <c r="C142" s="83" t="s">
        <v>18</v>
      </c>
      <c r="D142" s="83" t="s">
        <v>58</v>
      </c>
      <c r="E142" s="83" t="s">
        <v>20</v>
      </c>
      <c r="F142" s="84">
        <v>0.5</v>
      </c>
      <c r="G142" s="79"/>
      <c r="H142" s="79"/>
      <c r="I142" s="79"/>
      <c r="J142" s="79">
        <v>45945</v>
      </c>
      <c r="K142" s="79" t="s">
        <v>229</v>
      </c>
      <c r="L142" s="83">
        <v>0</v>
      </c>
      <c r="M142" s="83" t="s">
        <v>470</v>
      </c>
      <c r="N142" s="79"/>
      <c r="O142" s="79"/>
      <c r="P142" s="83" t="s">
        <v>52</v>
      </c>
      <c r="Q142" s="79"/>
      <c r="R142"/>
      <c r="S142"/>
    </row>
    <row r="143" spans="1:19" ht="30">
      <c r="A143" s="80" t="s">
        <v>51</v>
      </c>
      <c r="B143" s="79" t="s">
        <v>277</v>
      </c>
      <c r="C143" s="79" t="s">
        <v>22</v>
      </c>
      <c r="D143" s="79" t="s">
        <v>58</v>
      </c>
      <c r="E143" s="79" t="s">
        <v>20</v>
      </c>
      <c r="F143" s="85">
        <v>0.5</v>
      </c>
      <c r="G143" s="79" t="s">
        <v>237</v>
      </c>
      <c r="H143" s="79" t="s">
        <v>54</v>
      </c>
      <c r="I143" s="79" t="s">
        <v>55</v>
      </c>
      <c r="J143" s="79">
        <v>45945</v>
      </c>
      <c r="K143" s="79" t="s">
        <v>229</v>
      </c>
      <c r="L143" s="79">
        <v>0</v>
      </c>
      <c r="M143" s="79" t="s">
        <v>470</v>
      </c>
      <c r="N143" s="79"/>
      <c r="O143" s="79"/>
      <c r="P143" s="79" t="s">
        <v>52</v>
      </c>
      <c r="Q143" s="79"/>
      <c r="R143"/>
      <c r="S143"/>
    </row>
    <row r="144" spans="1:19" ht="30">
      <c r="A144" s="80" t="s">
        <v>51</v>
      </c>
      <c r="B144" s="79" t="s">
        <v>277</v>
      </c>
      <c r="C144" s="79" t="s">
        <v>28</v>
      </c>
      <c r="D144" s="79" t="s">
        <v>58</v>
      </c>
      <c r="E144" s="79" t="s">
        <v>20</v>
      </c>
      <c r="F144" s="85">
        <v>0</v>
      </c>
      <c r="G144" s="79"/>
      <c r="H144" s="79"/>
      <c r="I144" s="79"/>
      <c r="J144" s="79" t="s">
        <v>229</v>
      </c>
      <c r="K144" s="79" t="s">
        <v>229</v>
      </c>
      <c r="L144" s="79">
        <v>0</v>
      </c>
      <c r="M144" s="79" t="s">
        <v>470</v>
      </c>
      <c r="N144" s="79"/>
      <c r="O144" s="79"/>
      <c r="P144" s="79" t="s">
        <v>52</v>
      </c>
      <c r="Q144" s="79"/>
      <c r="R144"/>
      <c r="S144"/>
    </row>
    <row r="145" spans="1:19" ht="30">
      <c r="A145" s="80" t="s">
        <v>51</v>
      </c>
      <c r="B145" s="79" t="s">
        <v>277</v>
      </c>
      <c r="C145" s="79" t="s">
        <v>29</v>
      </c>
      <c r="D145" s="79" t="s">
        <v>58</v>
      </c>
      <c r="E145" s="79" t="s">
        <v>20</v>
      </c>
      <c r="F145" s="85">
        <v>0</v>
      </c>
      <c r="G145" s="79"/>
      <c r="H145" s="79"/>
      <c r="I145" s="79"/>
      <c r="J145" s="79" t="s">
        <v>229</v>
      </c>
      <c r="K145" s="79" t="s">
        <v>229</v>
      </c>
      <c r="L145" s="79">
        <v>0</v>
      </c>
      <c r="M145" s="79" t="s">
        <v>470</v>
      </c>
      <c r="N145" s="79"/>
      <c r="O145" s="79"/>
      <c r="P145" s="79" t="s">
        <v>52</v>
      </c>
      <c r="Q145" s="79"/>
      <c r="R145"/>
      <c r="S145"/>
    </row>
    <row r="146" spans="1:19" ht="30">
      <c r="A146" s="80" t="s">
        <v>51</v>
      </c>
      <c r="B146" s="79" t="s">
        <v>277</v>
      </c>
      <c r="C146" s="79" t="s">
        <v>30</v>
      </c>
      <c r="D146" s="79" t="s">
        <v>58</v>
      </c>
      <c r="E146" s="79" t="s">
        <v>20</v>
      </c>
      <c r="F146" s="85">
        <v>0</v>
      </c>
      <c r="G146" s="79"/>
      <c r="H146" s="79"/>
      <c r="I146" s="79"/>
      <c r="J146" s="79" t="s">
        <v>229</v>
      </c>
      <c r="K146" s="79" t="s">
        <v>229</v>
      </c>
      <c r="L146" s="79">
        <v>0</v>
      </c>
      <c r="M146" s="79" t="s">
        <v>470</v>
      </c>
      <c r="N146" s="79"/>
      <c r="O146" s="79"/>
      <c r="P146" s="79" t="s">
        <v>52</v>
      </c>
      <c r="Q146" s="79"/>
      <c r="R146"/>
      <c r="S146"/>
    </row>
    <row r="147" spans="1:19" ht="30">
      <c r="A147" s="75" t="s">
        <v>16</v>
      </c>
      <c r="B147" s="76" t="s">
        <v>278</v>
      </c>
      <c r="C147" s="76" t="s">
        <v>18</v>
      </c>
      <c r="D147" s="76" t="s">
        <v>19</v>
      </c>
      <c r="E147" s="76" t="s">
        <v>20</v>
      </c>
      <c r="F147" s="77">
        <v>0</v>
      </c>
      <c r="G147" s="78"/>
      <c r="H147" s="78"/>
      <c r="I147" s="78"/>
      <c r="J147" s="76">
        <v>46113</v>
      </c>
      <c r="K147" s="79">
        <v>46379</v>
      </c>
      <c r="L147" s="76">
        <v>191</v>
      </c>
      <c r="M147" s="76" t="s">
        <v>470</v>
      </c>
      <c r="N147" s="78"/>
      <c r="O147" s="78"/>
      <c r="P147" s="76" t="s">
        <v>77</v>
      </c>
      <c r="Q147" s="79"/>
      <c r="R147"/>
      <c r="S147"/>
    </row>
    <row r="148" spans="1:19" ht="30">
      <c r="A148" s="80" t="s">
        <v>16</v>
      </c>
      <c r="B148" s="78" t="s">
        <v>279</v>
      </c>
      <c r="C148" s="78" t="s">
        <v>22</v>
      </c>
      <c r="D148" s="78" t="s">
        <v>19</v>
      </c>
      <c r="E148" s="78" t="s">
        <v>20</v>
      </c>
      <c r="F148" s="81">
        <v>0</v>
      </c>
      <c r="G148" s="78" t="s">
        <v>469</v>
      </c>
      <c r="H148" s="78" t="s">
        <v>24</v>
      </c>
      <c r="I148" s="78" t="s">
        <v>25</v>
      </c>
      <c r="J148" s="78">
        <v>46113</v>
      </c>
      <c r="K148" s="79">
        <v>46188</v>
      </c>
      <c r="L148" s="78">
        <v>54</v>
      </c>
      <c r="M148" s="78" t="s">
        <v>470</v>
      </c>
      <c r="N148" s="78"/>
      <c r="O148" s="78" t="s">
        <v>27</v>
      </c>
      <c r="P148" s="78" t="s">
        <v>77</v>
      </c>
      <c r="Q148" s="79"/>
      <c r="R148"/>
      <c r="S148"/>
    </row>
    <row r="149" spans="1:19" ht="30">
      <c r="A149" s="80" t="s">
        <v>16</v>
      </c>
      <c r="B149" s="78" t="s">
        <v>279</v>
      </c>
      <c r="C149" s="78" t="s">
        <v>28</v>
      </c>
      <c r="D149" s="78" t="s">
        <v>19</v>
      </c>
      <c r="E149" s="78" t="s">
        <v>20</v>
      </c>
      <c r="F149" s="81">
        <v>0</v>
      </c>
      <c r="G149" s="78"/>
      <c r="H149" s="78"/>
      <c r="I149" s="78"/>
      <c r="J149" s="76">
        <v>46310</v>
      </c>
      <c r="K149" s="79">
        <v>46379</v>
      </c>
      <c r="L149" s="78">
        <v>50</v>
      </c>
      <c r="M149" s="78" t="s">
        <v>470</v>
      </c>
      <c r="N149" s="78"/>
      <c r="O149" s="78" t="s">
        <v>27</v>
      </c>
      <c r="P149" s="78" t="s">
        <v>77</v>
      </c>
      <c r="Q149" s="79"/>
      <c r="R149"/>
      <c r="S149"/>
    </row>
    <row r="150" spans="1:19" ht="30">
      <c r="A150" s="80" t="s">
        <v>16</v>
      </c>
      <c r="B150" s="78" t="s">
        <v>279</v>
      </c>
      <c r="C150" s="78" t="s">
        <v>29</v>
      </c>
      <c r="D150" s="78" t="s">
        <v>19</v>
      </c>
      <c r="E150" s="78" t="s">
        <v>20</v>
      </c>
      <c r="F150" s="81">
        <v>0</v>
      </c>
      <c r="G150" s="78"/>
      <c r="H150" s="78"/>
      <c r="I150" s="78"/>
      <c r="J150" s="78" t="s">
        <v>229</v>
      </c>
      <c r="K150" s="79" t="s">
        <v>229</v>
      </c>
      <c r="L150" s="78">
        <v>0</v>
      </c>
      <c r="M150" s="78" t="s">
        <v>470</v>
      </c>
      <c r="N150" s="78"/>
      <c r="O150" s="78"/>
      <c r="P150" s="78" t="s">
        <v>77</v>
      </c>
      <c r="Q150" s="79"/>
      <c r="R150"/>
      <c r="S150"/>
    </row>
    <row r="151" spans="1:19" ht="30">
      <c r="A151" s="80" t="s">
        <v>16</v>
      </c>
      <c r="B151" s="78" t="s">
        <v>279</v>
      </c>
      <c r="C151" s="78" t="s">
        <v>30</v>
      </c>
      <c r="D151" s="78" t="s">
        <v>19</v>
      </c>
      <c r="E151" s="78" t="s">
        <v>20</v>
      </c>
      <c r="F151" s="81">
        <v>0</v>
      </c>
      <c r="G151" s="78"/>
      <c r="H151" s="78"/>
      <c r="I151" s="78"/>
      <c r="J151" s="78" t="s">
        <v>229</v>
      </c>
      <c r="K151" s="79" t="s">
        <v>229</v>
      </c>
      <c r="L151" s="78">
        <v>0</v>
      </c>
      <c r="M151" s="78" t="s">
        <v>470</v>
      </c>
      <c r="N151" s="78"/>
      <c r="O151" s="78"/>
      <c r="P151" s="78" t="s">
        <v>77</v>
      </c>
      <c r="Q151" s="79"/>
      <c r="R151"/>
      <c r="S151"/>
    </row>
    <row r="152" spans="1:19" ht="30">
      <c r="A152" s="75" t="s">
        <v>39</v>
      </c>
      <c r="B152" s="76" t="s">
        <v>496</v>
      </c>
      <c r="C152" s="76" t="s">
        <v>18</v>
      </c>
      <c r="D152" s="76" t="s">
        <v>19</v>
      </c>
      <c r="E152" s="76" t="s">
        <v>20</v>
      </c>
      <c r="F152" s="77">
        <v>0.21</v>
      </c>
      <c r="G152" s="78"/>
      <c r="H152" s="78"/>
      <c r="I152" s="78"/>
      <c r="J152" s="76">
        <v>45931</v>
      </c>
      <c r="K152" s="79">
        <v>46173</v>
      </c>
      <c r="L152" s="76">
        <v>173</v>
      </c>
      <c r="M152" s="76" t="s">
        <v>470</v>
      </c>
      <c r="N152" s="78"/>
      <c r="O152" s="78"/>
      <c r="P152" s="76" t="s">
        <v>78</v>
      </c>
      <c r="Q152" s="79"/>
      <c r="R152"/>
      <c r="S152"/>
    </row>
    <row r="153" spans="1:19" ht="30">
      <c r="A153" s="80" t="s">
        <v>39</v>
      </c>
      <c r="B153" s="78" t="s">
        <v>497</v>
      </c>
      <c r="C153" s="78" t="s">
        <v>22</v>
      </c>
      <c r="D153" s="78" t="s">
        <v>19</v>
      </c>
      <c r="E153" s="78" t="s">
        <v>20</v>
      </c>
      <c r="F153" s="81">
        <v>1</v>
      </c>
      <c r="G153" s="78" t="s">
        <v>498</v>
      </c>
      <c r="H153" s="78" t="s">
        <v>48</v>
      </c>
      <c r="I153" s="78" t="s">
        <v>50</v>
      </c>
      <c r="J153" s="78">
        <v>45931</v>
      </c>
      <c r="K153" s="79">
        <v>45931</v>
      </c>
      <c r="L153" s="78">
        <v>1</v>
      </c>
      <c r="M153" s="78" t="s">
        <v>470</v>
      </c>
      <c r="N153" s="78" t="s">
        <v>108</v>
      </c>
      <c r="O153" s="78" t="s">
        <v>108</v>
      </c>
      <c r="P153" s="78" t="s">
        <v>78</v>
      </c>
      <c r="Q153" s="79"/>
      <c r="R153"/>
      <c r="S153"/>
    </row>
    <row r="154" spans="1:19" ht="30">
      <c r="A154" s="80" t="s">
        <v>39</v>
      </c>
      <c r="B154" s="78" t="s">
        <v>497</v>
      </c>
      <c r="C154" s="78" t="s">
        <v>28</v>
      </c>
      <c r="D154" s="78" t="s">
        <v>19</v>
      </c>
      <c r="E154" s="78" t="s">
        <v>20</v>
      </c>
      <c r="F154" s="81">
        <v>0</v>
      </c>
      <c r="G154" s="78"/>
      <c r="H154" s="78"/>
      <c r="I154" s="78"/>
      <c r="J154" s="78" t="s">
        <v>229</v>
      </c>
      <c r="K154" s="79" t="s">
        <v>229</v>
      </c>
      <c r="L154" s="78">
        <v>0</v>
      </c>
      <c r="M154" s="78" t="s">
        <v>470</v>
      </c>
      <c r="N154" s="78"/>
      <c r="O154" s="78"/>
      <c r="P154" s="78" t="s">
        <v>78</v>
      </c>
      <c r="Q154" s="79"/>
      <c r="R154"/>
      <c r="S154"/>
    </row>
    <row r="155" spans="1:19" ht="30">
      <c r="A155" s="80" t="s">
        <v>39</v>
      </c>
      <c r="B155" s="78" t="s">
        <v>497</v>
      </c>
      <c r="C155" s="78" t="s">
        <v>29</v>
      </c>
      <c r="D155" s="78" t="s">
        <v>19</v>
      </c>
      <c r="E155" s="78" t="s">
        <v>20</v>
      </c>
      <c r="F155" s="81">
        <v>0</v>
      </c>
      <c r="G155" s="78"/>
      <c r="H155" s="78"/>
      <c r="I155" s="78"/>
      <c r="J155" s="78" t="s">
        <v>229</v>
      </c>
      <c r="K155" s="79" t="s">
        <v>229</v>
      </c>
      <c r="L155" s="78">
        <v>0</v>
      </c>
      <c r="M155" s="78" t="s">
        <v>470</v>
      </c>
      <c r="N155" s="78"/>
      <c r="O155" s="78"/>
      <c r="P155" s="78" t="s">
        <v>78</v>
      </c>
      <c r="Q155" s="79"/>
      <c r="R155"/>
      <c r="S155"/>
    </row>
    <row r="156" spans="1:19" ht="30">
      <c r="A156" s="80" t="s">
        <v>39</v>
      </c>
      <c r="B156" s="78" t="s">
        <v>497</v>
      </c>
      <c r="C156" s="78" t="s">
        <v>30</v>
      </c>
      <c r="D156" s="78" t="s">
        <v>19</v>
      </c>
      <c r="E156" s="78" t="s">
        <v>20</v>
      </c>
      <c r="F156" s="81">
        <v>0</v>
      </c>
      <c r="G156" s="78"/>
      <c r="H156" s="78"/>
      <c r="I156" s="78"/>
      <c r="J156" s="78" t="s">
        <v>229</v>
      </c>
      <c r="K156" s="79" t="s">
        <v>229</v>
      </c>
      <c r="L156" s="78">
        <v>0</v>
      </c>
      <c r="M156" s="78" t="s">
        <v>470</v>
      </c>
      <c r="N156" s="78"/>
      <c r="O156" s="78"/>
      <c r="P156" s="78" t="s">
        <v>78</v>
      </c>
      <c r="Q156" s="79"/>
      <c r="R156"/>
      <c r="S156"/>
    </row>
    <row r="157" spans="1:19" ht="30">
      <c r="A157" s="75" t="s">
        <v>39</v>
      </c>
      <c r="B157" s="83" t="s">
        <v>283</v>
      </c>
      <c r="C157" s="83" t="s">
        <v>18</v>
      </c>
      <c r="D157" s="83" t="s">
        <v>33</v>
      </c>
      <c r="E157" s="83" t="s">
        <v>20</v>
      </c>
      <c r="F157" s="84">
        <v>1</v>
      </c>
      <c r="G157" s="79"/>
      <c r="H157" s="79"/>
      <c r="I157" s="79"/>
      <c r="J157" s="79">
        <v>45945</v>
      </c>
      <c r="K157" s="79">
        <v>45946</v>
      </c>
      <c r="L157" s="83">
        <v>1</v>
      </c>
      <c r="M157" s="83" t="s">
        <v>499</v>
      </c>
      <c r="N157" s="79"/>
      <c r="O157" s="79"/>
      <c r="P157" s="83" t="s">
        <v>78</v>
      </c>
      <c r="Q157" s="79"/>
      <c r="R157"/>
      <c r="S157"/>
    </row>
    <row r="158" spans="1:19" ht="30">
      <c r="A158" s="80" t="s">
        <v>39</v>
      </c>
      <c r="B158" s="79" t="s">
        <v>284</v>
      </c>
      <c r="C158" s="79" t="s">
        <v>22</v>
      </c>
      <c r="D158" s="79" t="s">
        <v>33</v>
      </c>
      <c r="E158" s="79" t="s">
        <v>20</v>
      </c>
      <c r="F158" s="85">
        <v>1</v>
      </c>
      <c r="G158" s="79" t="s">
        <v>48</v>
      </c>
      <c r="H158" s="79" t="s">
        <v>48</v>
      </c>
      <c r="I158" s="79" t="s">
        <v>50</v>
      </c>
      <c r="J158" s="79">
        <v>45873</v>
      </c>
      <c r="K158" s="79">
        <v>45899</v>
      </c>
      <c r="L158" s="79">
        <v>20</v>
      </c>
      <c r="M158" s="79" t="s">
        <v>470</v>
      </c>
      <c r="N158" s="79" t="s">
        <v>108</v>
      </c>
      <c r="O158" s="79" t="s">
        <v>108</v>
      </c>
      <c r="P158" s="79" t="s">
        <v>78</v>
      </c>
      <c r="Q158" s="79"/>
      <c r="R158"/>
      <c r="S158"/>
    </row>
    <row r="159" spans="1:19" ht="30">
      <c r="A159" s="80" t="s">
        <v>39</v>
      </c>
      <c r="B159" s="79" t="s">
        <v>284</v>
      </c>
      <c r="C159" s="79" t="s">
        <v>28</v>
      </c>
      <c r="D159" s="79" t="s">
        <v>33</v>
      </c>
      <c r="E159" s="79" t="s">
        <v>20</v>
      </c>
      <c r="F159" s="85">
        <v>0</v>
      </c>
      <c r="G159" s="79"/>
      <c r="H159" s="79"/>
      <c r="I159" s="79"/>
      <c r="J159" s="79" t="s">
        <v>229</v>
      </c>
      <c r="K159" s="79" t="s">
        <v>229</v>
      </c>
      <c r="L159" s="79">
        <v>0</v>
      </c>
      <c r="M159" s="79" t="s">
        <v>470</v>
      </c>
      <c r="N159" s="79"/>
      <c r="O159" s="79"/>
      <c r="P159" s="79" t="s">
        <v>78</v>
      </c>
      <c r="Q159" s="79"/>
      <c r="R159"/>
      <c r="S159"/>
    </row>
    <row r="160" spans="1:19" ht="30">
      <c r="A160" s="80" t="s">
        <v>39</v>
      </c>
      <c r="B160" s="79" t="s">
        <v>284</v>
      </c>
      <c r="C160" s="79" t="s">
        <v>29</v>
      </c>
      <c r="D160" s="79" t="s">
        <v>33</v>
      </c>
      <c r="E160" s="79" t="s">
        <v>20</v>
      </c>
      <c r="F160" s="85">
        <v>0</v>
      </c>
      <c r="G160" s="79"/>
      <c r="H160" s="79"/>
      <c r="I160" s="79"/>
      <c r="J160" s="79" t="s">
        <v>229</v>
      </c>
      <c r="K160" s="79" t="s">
        <v>229</v>
      </c>
      <c r="L160" s="79">
        <v>0</v>
      </c>
      <c r="M160" s="79" t="s">
        <v>470</v>
      </c>
      <c r="N160" s="79"/>
      <c r="O160" s="79"/>
      <c r="P160" s="79" t="s">
        <v>78</v>
      </c>
      <c r="Q160" s="79"/>
      <c r="R160"/>
      <c r="S160"/>
    </row>
    <row r="161" spans="1:19" ht="30">
      <c r="A161" s="80" t="s">
        <v>39</v>
      </c>
      <c r="B161" s="79" t="s">
        <v>284</v>
      </c>
      <c r="C161" s="79" t="s">
        <v>30</v>
      </c>
      <c r="D161" s="79" t="s">
        <v>33</v>
      </c>
      <c r="E161" s="79" t="s">
        <v>20</v>
      </c>
      <c r="F161" s="85">
        <v>0</v>
      </c>
      <c r="G161" s="79"/>
      <c r="H161" s="79"/>
      <c r="I161" s="79"/>
      <c r="J161" s="79" t="s">
        <v>229</v>
      </c>
      <c r="K161" s="79" t="s">
        <v>229</v>
      </c>
      <c r="L161" s="79">
        <v>0</v>
      </c>
      <c r="M161" s="79" t="s">
        <v>470</v>
      </c>
      <c r="N161" s="79"/>
      <c r="O161" s="79"/>
      <c r="P161" s="79" t="s">
        <v>78</v>
      </c>
      <c r="Q161" s="79"/>
      <c r="R161"/>
      <c r="S161"/>
    </row>
    <row r="162" spans="1:19" ht="30">
      <c r="A162" s="75" t="s">
        <v>39</v>
      </c>
      <c r="B162" s="83" t="s">
        <v>285</v>
      </c>
      <c r="C162" s="83" t="s">
        <v>18</v>
      </c>
      <c r="D162" s="83" t="s">
        <v>33</v>
      </c>
      <c r="E162" s="83" t="s">
        <v>20</v>
      </c>
      <c r="F162" s="84">
        <v>0</v>
      </c>
      <c r="G162" s="79"/>
      <c r="H162" s="79"/>
      <c r="I162" s="79"/>
      <c r="J162" s="83">
        <v>45931</v>
      </c>
      <c r="K162" s="79">
        <v>46052</v>
      </c>
      <c r="L162" s="83">
        <v>88</v>
      </c>
      <c r="M162" s="83" t="s">
        <v>470</v>
      </c>
      <c r="N162" s="79"/>
      <c r="O162" s="79"/>
      <c r="P162" s="83" t="s">
        <v>78</v>
      </c>
      <c r="Q162" s="79"/>
      <c r="R162"/>
      <c r="S162"/>
    </row>
    <row r="163" spans="1:19" ht="30">
      <c r="A163" s="80" t="s">
        <v>39</v>
      </c>
      <c r="B163" s="79" t="s">
        <v>286</v>
      </c>
      <c r="C163" s="79" t="s">
        <v>22</v>
      </c>
      <c r="D163" s="79" t="s">
        <v>33</v>
      </c>
      <c r="E163" s="79" t="s">
        <v>20</v>
      </c>
      <c r="F163" s="85">
        <v>0</v>
      </c>
      <c r="G163" s="79" t="s">
        <v>500</v>
      </c>
      <c r="H163" s="79" t="s">
        <v>79</v>
      </c>
      <c r="I163" s="79" t="s">
        <v>50</v>
      </c>
      <c r="J163" s="79">
        <v>45931</v>
      </c>
      <c r="K163" s="79">
        <v>46052</v>
      </c>
      <c r="L163" s="79">
        <v>88</v>
      </c>
      <c r="M163" s="79" t="s">
        <v>470</v>
      </c>
      <c r="N163" s="79" t="s">
        <v>43</v>
      </c>
      <c r="O163" s="79" t="s">
        <v>108</v>
      </c>
      <c r="P163" s="79" t="s">
        <v>78</v>
      </c>
      <c r="Q163" s="79"/>
      <c r="R163"/>
      <c r="S163"/>
    </row>
    <row r="164" spans="1:19" ht="30">
      <c r="A164" s="80" t="s">
        <v>39</v>
      </c>
      <c r="B164" s="79" t="s">
        <v>286</v>
      </c>
      <c r="C164" s="79" t="s">
        <v>28</v>
      </c>
      <c r="D164" s="79" t="s">
        <v>33</v>
      </c>
      <c r="E164" s="79" t="s">
        <v>20</v>
      </c>
      <c r="F164" s="85">
        <v>0</v>
      </c>
      <c r="G164" s="79"/>
      <c r="H164" s="79"/>
      <c r="I164" s="79"/>
      <c r="J164" s="79" t="s">
        <v>229</v>
      </c>
      <c r="K164" s="79" t="s">
        <v>229</v>
      </c>
      <c r="L164" s="79">
        <v>0</v>
      </c>
      <c r="M164" s="79" t="s">
        <v>470</v>
      </c>
      <c r="N164" s="79"/>
      <c r="O164" s="79"/>
      <c r="P164" s="79" t="s">
        <v>78</v>
      </c>
      <c r="Q164" s="79"/>
      <c r="R164"/>
      <c r="S164"/>
    </row>
    <row r="165" spans="1:19" ht="30">
      <c r="A165" s="80" t="s">
        <v>39</v>
      </c>
      <c r="B165" s="79" t="s">
        <v>286</v>
      </c>
      <c r="C165" s="79" t="s">
        <v>29</v>
      </c>
      <c r="D165" s="79" t="s">
        <v>33</v>
      </c>
      <c r="E165" s="79" t="s">
        <v>20</v>
      </c>
      <c r="F165" s="85">
        <v>0</v>
      </c>
      <c r="G165" s="79"/>
      <c r="H165" s="79"/>
      <c r="I165" s="79"/>
      <c r="J165" s="79" t="s">
        <v>229</v>
      </c>
      <c r="K165" s="79" t="s">
        <v>229</v>
      </c>
      <c r="L165" s="79">
        <v>0</v>
      </c>
      <c r="M165" s="79" t="s">
        <v>470</v>
      </c>
      <c r="N165" s="79"/>
      <c r="O165" s="79"/>
      <c r="P165" s="79" t="s">
        <v>78</v>
      </c>
      <c r="Q165" s="79"/>
      <c r="R165"/>
      <c r="S165"/>
    </row>
    <row r="166" spans="1:19" ht="30">
      <c r="A166" s="80" t="s">
        <v>39</v>
      </c>
      <c r="B166" s="79" t="s">
        <v>286</v>
      </c>
      <c r="C166" s="79" t="s">
        <v>30</v>
      </c>
      <c r="D166" s="79" t="s">
        <v>33</v>
      </c>
      <c r="E166" s="79" t="s">
        <v>20</v>
      </c>
      <c r="F166" s="85">
        <v>0</v>
      </c>
      <c r="G166" s="79"/>
      <c r="H166" s="79"/>
      <c r="I166" s="79"/>
      <c r="J166" s="79" t="s">
        <v>229</v>
      </c>
      <c r="K166" s="79" t="s">
        <v>229</v>
      </c>
      <c r="L166" s="79">
        <v>0</v>
      </c>
      <c r="M166" s="79" t="s">
        <v>470</v>
      </c>
      <c r="N166" s="79"/>
      <c r="O166" s="79"/>
      <c r="P166" s="79" t="s">
        <v>78</v>
      </c>
      <c r="Q166" s="79"/>
      <c r="R166"/>
      <c r="S166"/>
    </row>
    <row r="167" spans="1:19" ht="30">
      <c r="A167" s="75" t="s">
        <v>39</v>
      </c>
      <c r="B167" s="83" t="s">
        <v>501</v>
      </c>
      <c r="C167" s="83" t="s">
        <v>18</v>
      </c>
      <c r="D167" s="83" t="s">
        <v>58</v>
      </c>
      <c r="E167" s="83" t="s">
        <v>20</v>
      </c>
      <c r="F167" s="84">
        <v>0</v>
      </c>
      <c r="G167" s="79"/>
      <c r="H167" s="79"/>
      <c r="I167" s="79"/>
      <c r="J167" s="79" t="s">
        <v>229</v>
      </c>
      <c r="K167" s="79">
        <v>45946</v>
      </c>
      <c r="L167" s="83">
        <v>0</v>
      </c>
      <c r="M167" s="83" t="s">
        <v>470</v>
      </c>
      <c r="N167" s="79"/>
      <c r="O167" s="79"/>
      <c r="P167" s="83" t="s">
        <v>78</v>
      </c>
      <c r="Q167" s="79"/>
      <c r="R167"/>
      <c r="S167"/>
    </row>
    <row r="168" spans="1:19" ht="30">
      <c r="A168" s="80" t="s">
        <v>39</v>
      </c>
      <c r="B168" s="79" t="s">
        <v>502</v>
      </c>
      <c r="C168" s="79" t="s">
        <v>22</v>
      </c>
      <c r="D168" s="79" t="s">
        <v>58</v>
      </c>
      <c r="E168" s="79" t="s">
        <v>20</v>
      </c>
      <c r="F168" s="85">
        <v>0</v>
      </c>
      <c r="G168" s="79" t="s">
        <v>500</v>
      </c>
      <c r="H168" s="79" t="s">
        <v>79</v>
      </c>
      <c r="I168" s="79" t="s">
        <v>50</v>
      </c>
      <c r="J168" s="79" t="s">
        <v>229</v>
      </c>
      <c r="K168" s="79" t="s">
        <v>229</v>
      </c>
      <c r="L168" s="79">
        <v>0</v>
      </c>
      <c r="M168" s="79" t="s">
        <v>470</v>
      </c>
      <c r="N168" s="79"/>
      <c r="O168" s="79"/>
      <c r="P168" s="79" t="s">
        <v>78</v>
      </c>
      <c r="Q168" s="79"/>
      <c r="R168"/>
      <c r="S168"/>
    </row>
    <row r="169" spans="1:19" ht="30">
      <c r="A169" s="80" t="s">
        <v>39</v>
      </c>
      <c r="B169" s="79" t="s">
        <v>502</v>
      </c>
      <c r="C169" s="79" t="s">
        <v>28</v>
      </c>
      <c r="D169" s="79" t="s">
        <v>58</v>
      </c>
      <c r="E169" s="79" t="s">
        <v>20</v>
      </c>
      <c r="F169" s="85">
        <v>0</v>
      </c>
      <c r="G169" s="79"/>
      <c r="H169" s="79"/>
      <c r="I169" s="79"/>
      <c r="J169" s="79" t="s">
        <v>229</v>
      </c>
      <c r="K169" s="79" t="s">
        <v>229</v>
      </c>
      <c r="L169" s="79">
        <v>0</v>
      </c>
      <c r="M169" s="79" t="s">
        <v>470</v>
      </c>
      <c r="N169" s="79"/>
      <c r="O169" s="79"/>
      <c r="P169" s="79" t="s">
        <v>78</v>
      </c>
      <c r="Q169" s="79"/>
      <c r="R169"/>
      <c r="S169"/>
    </row>
    <row r="170" spans="1:19" ht="30">
      <c r="A170" s="80" t="s">
        <v>39</v>
      </c>
      <c r="B170" s="79" t="s">
        <v>502</v>
      </c>
      <c r="C170" s="79" t="s">
        <v>29</v>
      </c>
      <c r="D170" s="79" t="s">
        <v>58</v>
      </c>
      <c r="E170" s="79" t="s">
        <v>20</v>
      </c>
      <c r="F170" s="85">
        <v>0</v>
      </c>
      <c r="G170" s="79"/>
      <c r="H170" s="79"/>
      <c r="I170" s="79"/>
      <c r="J170" s="79" t="s">
        <v>229</v>
      </c>
      <c r="K170" s="79" t="s">
        <v>229</v>
      </c>
      <c r="L170" s="79">
        <v>0</v>
      </c>
      <c r="M170" s="79" t="s">
        <v>470</v>
      </c>
      <c r="N170" s="79"/>
      <c r="O170" s="79"/>
      <c r="P170" s="79" t="s">
        <v>78</v>
      </c>
      <c r="Q170" s="79"/>
      <c r="R170"/>
      <c r="S170"/>
    </row>
    <row r="171" spans="1:19" ht="30">
      <c r="A171" s="80" t="s">
        <v>39</v>
      </c>
      <c r="B171" s="79" t="s">
        <v>502</v>
      </c>
      <c r="C171" s="79" t="s">
        <v>30</v>
      </c>
      <c r="D171" s="79" t="s">
        <v>58</v>
      </c>
      <c r="E171" s="79" t="s">
        <v>20</v>
      </c>
      <c r="F171" s="85">
        <v>0</v>
      </c>
      <c r="G171" s="79"/>
      <c r="H171" s="79"/>
      <c r="I171" s="79"/>
      <c r="J171" s="79" t="s">
        <v>229</v>
      </c>
      <c r="K171" s="79" t="s">
        <v>229</v>
      </c>
      <c r="L171" s="79">
        <v>0</v>
      </c>
      <c r="M171" s="79" t="s">
        <v>470</v>
      </c>
      <c r="N171" s="79"/>
      <c r="O171" s="79"/>
      <c r="P171" s="79" t="s">
        <v>78</v>
      </c>
      <c r="Q171" s="79"/>
      <c r="R171"/>
      <c r="S171"/>
    </row>
    <row r="172" spans="1:19" ht="30">
      <c r="A172" s="75" t="s">
        <v>39</v>
      </c>
      <c r="B172" s="83" t="s">
        <v>289</v>
      </c>
      <c r="C172" s="83" t="s">
        <v>18</v>
      </c>
      <c r="D172" s="83" t="s">
        <v>58</v>
      </c>
      <c r="E172" s="83" t="s">
        <v>20</v>
      </c>
      <c r="F172" s="84">
        <v>0</v>
      </c>
      <c r="G172" s="79"/>
      <c r="H172" s="79"/>
      <c r="I172" s="79"/>
      <c r="J172" s="79" t="s">
        <v>229</v>
      </c>
      <c r="K172" s="79">
        <v>45946</v>
      </c>
      <c r="L172" s="83">
        <v>0</v>
      </c>
      <c r="M172" s="83" t="s">
        <v>470</v>
      </c>
      <c r="N172" s="79"/>
      <c r="O172" s="79"/>
      <c r="P172" s="83" t="s">
        <v>78</v>
      </c>
      <c r="Q172" s="79"/>
      <c r="R172"/>
      <c r="S172"/>
    </row>
    <row r="173" spans="1:19" ht="30">
      <c r="A173" s="80" t="s">
        <v>39</v>
      </c>
      <c r="B173" s="79" t="s">
        <v>290</v>
      </c>
      <c r="C173" s="79" t="s">
        <v>22</v>
      </c>
      <c r="D173" s="79" t="s">
        <v>58</v>
      </c>
      <c r="E173" s="79" t="s">
        <v>20</v>
      </c>
      <c r="F173" s="85">
        <v>0</v>
      </c>
      <c r="G173" s="79" t="s">
        <v>500</v>
      </c>
      <c r="H173" s="79" t="s">
        <v>79</v>
      </c>
      <c r="I173" s="79" t="s">
        <v>50</v>
      </c>
      <c r="J173" s="79" t="s">
        <v>229</v>
      </c>
      <c r="K173" s="79" t="s">
        <v>229</v>
      </c>
      <c r="L173" s="79">
        <v>0</v>
      </c>
      <c r="M173" s="79" t="s">
        <v>470</v>
      </c>
      <c r="N173" s="79"/>
      <c r="O173" s="79"/>
      <c r="P173" s="79" t="s">
        <v>78</v>
      </c>
      <c r="Q173" s="79"/>
      <c r="R173"/>
      <c r="S173"/>
    </row>
    <row r="174" spans="1:19" ht="30">
      <c r="A174" s="80" t="s">
        <v>39</v>
      </c>
      <c r="B174" s="79" t="s">
        <v>290</v>
      </c>
      <c r="C174" s="79" t="s">
        <v>28</v>
      </c>
      <c r="D174" s="79" t="s">
        <v>58</v>
      </c>
      <c r="E174" s="79" t="s">
        <v>20</v>
      </c>
      <c r="F174" s="85">
        <v>0</v>
      </c>
      <c r="G174" s="79"/>
      <c r="H174" s="79"/>
      <c r="I174" s="79"/>
      <c r="J174" s="79" t="s">
        <v>229</v>
      </c>
      <c r="K174" s="79" t="s">
        <v>229</v>
      </c>
      <c r="L174" s="79">
        <v>0</v>
      </c>
      <c r="M174" s="79" t="s">
        <v>470</v>
      </c>
      <c r="N174" s="79"/>
      <c r="O174" s="79"/>
      <c r="P174" s="79" t="s">
        <v>78</v>
      </c>
      <c r="Q174" s="79"/>
      <c r="R174"/>
      <c r="S174"/>
    </row>
    <row r="175" spans="1:19" ht="30">
      <c r="A175" s="80" t="s">
        <v>39</v>
      </c>
      <c r="B175" s="79" t="s">
        <v>290</v>
      </c>
      <c r="C175" s="79" t="s">
        <v>29</v>
      </c>
      <c r="D175" s="79" t="s">
        <v>58</v>
      </c>
      <c r="E175" s="79" t="s">
        <v>20</v>
      </c>
      <c r="F175" s="85">
        <v>0</v>
      </c>
      <c r="G175" s="79"/>
      <c r="H175" s="79"/>
      <c r="I175" s="79"/>
      <c r="J175" s="79" t="s">
        <v>229</v>
      </c>
      <c r="K175" s="79" t="s">
        <v>229</v>
      </c>
      <c r="L175" s="79">
        <v>0</v>
      </c>
      <c r="M175" s="79" t="s">
        <v>470</v>
      </c>
      <c r="N175" s="79"/>
      <c r="O175" s="79"/>
      <c r="P175" s="79" t="s">
        <v>78</v>
      </c>
      <c r="Q175" s="79"/>
      <c r="R175"/>
      <c r="S175"/>
    </row>
    <row r="176" spans="1:19" ht="30">
      <c r="A176" s="80" t="s">
        <v>39</v>
      </c>
      <c r="B176" s="79" t="s">
        <v>290</v>
      </c>
      <c r="C176" s="79" t="s">
        <v>30</v>
      </c>
      <c r="D176" s="79" t="s">
        <v>58</v>
      </c>
      <c r="E176" s="79" t="s">
        <v>20</v>
      </c>
      <c r="F176" s="85">
        <v>0</v>
      </c>
      <c r="G176" s="79"/>
      <c r="H176" s="79"/>
      <c r="I176" s="79"/>
      <c r="J176" s="79" t="s">
        <v>229</v>
      </c>
      <c r="K176" s="79" t="s">
        <v>229</v>
      </c>
      <c r="L176" s="79">
        <v>0</v>
      </c>
      <c r="M176" s="79" t="s">
        <v>470</v>
      </c>
      <c r="N176" s="79"/>
      <c r="O176" s="79"/>
      <c r="P176" s="79" t="s">
        <v>78</v>
      </c>
      <c r="Q176" s="79"/>
      <c r="R176"/>
      <c r="S176"/>
    </row>
    <row r="177" spans="1:19" ht="30">
      <c r="A177" s="75" t="s">
        <v>39</v>
      </c>
      <c r="B177" s="83" t="s">
        <v>291</v>
      </c>
      <c r="C177" s="83" t="s">
        <v>18</v>
      </c>
      <c r="D177" s="83" t="s">
        <v>33</v>
      </c>
      <c r="E177" s="83" t="s">
        <v>20</v>
      </c>
      <c r="F177" s="84">
        <v>0.25</v>
      </c>
      <c r="G177" s="79"/>
      <c r="H177" s="79"/>
      <c r="I177" s="79"/>
      <c r="J177" s="83">
        <v>45931</v>
      </c>
      <c r="K177" s="79">
        <v>46173</v>
      </c>
      <c r="L177" s="83">
        <v>173</v>
      </c>
      <c r="M177" s="83" t="s">
        <v>499</v>
      </c>
      <c r="N177" s="79"/>
      <c r="O177" s="79"/>
      <c r="P177" s="83" t="s">
        <v>78</v>
      </c>
      <c r="Q177" s="79"/>
      <c r="R177"/>
      <c r="S177"/>
    </row>
    <row r="178" spans="1:19" ht="30">
      <c r="A178" s="80" t="s">
        <v>16</v>
      </c>
      <c r="B178" s="79" t="s">
        <v>503</v>
      </c>
      <c r="C178" s="79" t="s">
        <v>22</v>
      </c>
      <c r="D178" s="79" t="s">
        <v>33</v>
      </c>
      <c r="E178" s="79" t="s">
        <v>20</v>
      </c>
      <c r="F178" s="85">
        <v>0.25</v>
      </c>
      <c r="G178" s="79" t="s">
        <v>35</v>
      </c>
      <c r="H178" s="79" t="s">
        <v>48</v>
      </c>
      <c r="I178" s="79" t="s">
        <v>50</v>
      </c>
      <c r="J178" s="79">
        <v>46034</v>
      </c>
      <c r="K178" s="86">
        <v>46173</v>
      </c>
      <c r="L178" s="79">
        <v>100</v>
      </c>
      <c r="M178" s="79" t="s">
        <v>470</v>
      </c>
      <c r="N178" s="79" t="s">
        <v>26</v>
      </c>
      <c r="O178" s="79" t="s">
        <v>26</v>
      </c>
      <c r="P178" s="79" t="s">
        <v>78</v>
      </c>
      <c r="Q178" s="79"/>
      <c r="R178"/>
      <c r="S178"/>
    </row>
    <row r="179" spans="1:19" ht="30">
      <c r="A179" s="80" t="s">
        <v>39</v>
      </c>
      <c r="B179" s="79" t="s">
        <v>292</v>
      </c>
      <c r="C179" s="79" t="s">
        <v>28</v>
      </c>
      <c r="D179" s="79" t="s">
        <v>33</v>
      </c>
      <c r="E179" s="79" t="s">
        <v>20</v>
      </c>
      <c r="F179" s="85">
        <v>0</v>
      </c>
      <c r="G179" s="79"/>
      <c r="H179" s="79"/>
      <c r="I179" s="79"/>
      <c r="J179" s="79" t="s">
        <v>229</v>
      </c>
      <c r="K179" s="79" t="s">
        <v>229</v>
      </c>
      <c r="L179" s="79">
        <v>0</v>
      </c>
      <c r="M179" s="79" t="s">
        <v>470</v>
      </c>
      <c r="N179" s="79"/>
      <c r="O179" s="79"/>
      <c r="P179" s="79" t="s">
        <v>78</v>
      </c>
      <c r="Q179" s="79"/>
      <c r="R179"/>
      <c r="S179"/>
    </row>
    <row r="180" spans="1:19" ht="30">
      <c r="A180" s="80" t="s">
        <v>39</v>
      </c>
      <c r="B180" s="79" t="s">
        <v>292</v>
      </c>
      <c r="C180" s="79" t="s">
        <v>29</v>
      </c>
      <c r="D180" s="79" t="s">
        <v>33</v>
      </c>
      <c r="E180" s="79" t="s">
        <v>20</v>
      </c>
      <c r="F180" s="85">
        <v>0</v>
      </c>
      <c r="G180" s="79"/>
      <c r="H180" s="79"/>
      <c r="I180" s="79"/>
      <c r="J180" s="79" t="s">
        <v>229</v>
      </c>
      <c r="K180" s="79" t="s">
        <v>229</v>
      </c>
      <c r="L180" s="79">
        <v>0</v>
      </c>
      <c r="M180" s="79" t="s">
        <v>470</v>
      </c>
      <c r="N180" s="79"/>
      <c r="O180" s="79"/>
      <c r="P180" s="79" t="s">
        <v>78</v>
      </c>
      <c r="Q180" s="79"/>
      <c r="R180"/>
      <c r="S180"/>
    </row>
    <row r="181" spans="1:19" ht="30">
      <c r="A181" s="80" t="s">
        <v>39</v>
      </c>
      <c r="B181" s="79" t="s">
        <v>292</v>
      </c>
      <c r="C181" s="79" t="s">
        <v>30</v>
      </c>
      <c r="D181" s="79" t="s">
        <v>33</v>
      </c>
      <c r="E181" s="79" t="s">
        <v>20</v>
      </c>
      <c r="F181" s="85">
        <v>0</v>
      </c>
      <c r="G181" s="79"/>
      <c r="H181" s="79"/>
      <c r="I181" s="79"/>
      <c r="J181" s="79" t="s">
        <v>229</v>
      </c>
      <c r="K181" s="79" t="s">
        <v>229</v>
      </c>
      <c r="L181" s="79">
        <v>0</v>
      </c>
      <c r="M181" s="79" t="s">
        <v>470</v>
      </c>
      <c r="N181" s="79"/>
      <c r="O181" s="79"/>
      <c r="P181" s="79" t="s">
        <v>78</v>
      </c>
      <c r="Q181" s="79"/>
      <c r="R181"/>
      <c r="S181"/>
    </row>
    <row r="182" spans="1:19" ht="30">
      <c r="A182" s="75" t="s">
        <v>39</v>
      </c>
      <c r="B182" s="83" t="s">
        <v>293</v>
      </c>
      <c r="C182" s="83" t="s">
        <v>18</v>
      </c>
      <c r="D182" s="83" t="s">
        <v>58</v>
      </c>
      <c r="E182" s="83" t="s">
        <v>20</v>
      </c>
      <c r="F182" s="84">
        <v>0.25</v>
      </c>
      <c r="G182" s="79"/>
      <c r="H182" s="79"/>
      <c r="I182" s="79"/>
      <c r="J182" s="83">
        <v>46034</v>
      </c>
      <c r="K182" s="79">
        <v>46173</v>
      </c>
      <c r="L182" s="83">
        <v>100</v>
      </c>
      <c r="M182" s="83" t="s">
        <v>499</v>
      </c>
      <c r="N182" s="79"/>
      <c r="O182" s="79"/>
      <c r="P182" s="83" t="s">
        <v>78</v>
      </c>
      <c r="Q182" s="79"/>
      <c r="R182"/>
      <c r="S182"/>
    </row>
    <row r="183" spans="1:19" ht="30">
      <c r="A183" s="80" t="s">
        <v>16</v>
      </c>
      <c r="B183" s="79" t="s">
        <v>504</v>
      </c>
      <c r="C183" s="79" t="s">
        <v>22</v>
      </c>
      <c r="D183" s="79" t="s">
        <v>58</v>
      </c>
      <c r="E183" s="79" t="s">
        <v>20</v>
      </c>
      <c r="F183" s="85">
        <v>0.25</v>
      </c>
      <c r="G183" s="79" t="s">
        <v>35</v>
      </c>
      <c r="H183" s="79" t="s">
        <v>48</v>
      </c>
      <c r="I183" s="79" t="s">
        <v>50</v>
      </c>
      <c r="J183" s="79">
        <v>46034</v>
      </c>
      <c r="K183" s="86">
        <v>46173</v>
      </c>
      <c r="L183" s="79">
        <v>100</v>
      </c>
      <c r="M183" s="79" t="s">
        <v>470</v>
      </c>
      <c r="N183" s="79" t="s">
        <v>26</v>
      </c>
      <c r="O183" s="79" t="s">
        <v>26</v>
      </c>
      <c r="P183" s="79" t="s">
        <v>78</v>
      </c>
      <c r="Q183" s="79"/>
      <c r="R183"/>
      <c r="S183"/>
    </row>
    <row r="184" spans="1:19" ht="30">
      <c r="A184" s="80" t="s">
        <v>39</v>
      </c>
      <c r="B184" s="79" t="s">
        <v>294</v>
      </c>
      <c r="C184" s="79" t="s">
        <v>28</v>
      </c>
      <c r="D184" s="79" t="s">
        <v>58</v>
      </c>
      <c r="E184" s="79" t="s">
        <v>20</v>
      </c>
      <c r="F184" s="85">
        <v>0</v>
      </c>
      <c r="G184" s="79"/>
      <c r="H184" s="79"/>
      <c r="I184" s="79"/>
      <c r="J184" s="79" t="s">
        <v>229</v>
      </c>
      <c r="K184" s="79" t="s">
        <v>229</v>
      </c>
      <c r="L184" s="79">
        <v>0</v>
      </c>
      <c r="M184" s="79" t="s">
        <v>470</v>
      </c>
      <c r="N184" s="79"/>
      <c r="O184" s="79"/>
      <c r="P184" s="79" t="s">
        <v>78</v>
      </c>
      <c r="Q184" s="79"/>
      <c r="R184"/>
      <c r="S184"/>
    </row>
    <row r="185" spans="1:19" ht="30">
      <c r="A185" s="80" t="s">
        <v>39</v>
      </c>
      <c r="B185" s="79" t="s">
        <v>294</v>
      </c>
      <c r="C185" s="79" t="s">
        <v>29</v>
      </c>
      <c r="D185" s="79" t="s">
        <v>58</v>
      </c>
      <c r="E185" s="79" t="s">
        <v>20</v>
      </c>
      <c r="F185" s="85">
        <v>0</v>
      </c>
      <c r="G185" s="79"/>
      <c r="H185" s="79"/>
      <c r="I185" s="79"/>
      <c r="J185" s="79" t="s">
        <v>229</v>
      </c>
      <c r="K185" s="79" t="s">
        <v>229</v>
      </c>
      <c r="L185" s="79">
        <v>0</v>
      </c>
      <c r="M185" s="79" t="s">
        <v>470</v>
      </c>
      <c r="N185" s="79"/>
      <c r="O185" s="79"/>
      <c r="P185" s="79" t="s">
        <v>78</v>
      </c>
      <c r="Q185" s="79"/>
      <c r="R185"/>
      <c r="S185"/>
    </row>
    <row r="186" spans="1:19" ht="30">
      <c r="A186" s="80" t="s">
        <v>39</v>
      </c>
      <c r="B186" s="79" t="s">
        <v>294</v>
      </c>
      <c r="C186" s="79" t="s">
        <v>30</v>
      </c>
      <c r="D186" s="79" t="s">
        <v>58</v>
      </c>
      <c r="E186" s="79" t="s">
        <v>20</v>
      </c>
      <c r="F186" s="85">
        <v>0</v>
      </c>
      <c r="G186" s="79"/>
      <c r="H186" s="79"/>
      <c r="I186" s="79"/>
      <c r="J186" s="79" t="s">
        <v>229</v>
      </c>
      <c r="K186" s="79" t="s">
        <v>229</v>
      </c>
      <c r="L186" s="79">
        <v>0</v>
      </c>
      <c r="M186" s="79" t="s">
        <v>470</v>
      </c>
      <c r="N186" s="79"/>
      <c r="O186" s="79"/>
      <c r="P186" s="79" t="s">
        <v>78</v>
      </c>
      <c r="Q186" s="79"/>
      <c r="R186"/>
      <c r="S186"/>
    </row>
    <row r="187" spans="1:19" ht="30">
      <c r="A187" s="75" t="s">
        <v>39</v>
      </c>
      <c r="B187" s="83" t="s">
        <v>295</v>
      </c>
      <c r="C187" s="83" t="s">
        <v>18</v>
      </c>
      <c r="D187" s="83" t="s">
        <v>58</v>
      </c>
      <c r="E187" s="83" t="s">
        <v>20</v>
      </c>
      <c r="F187" s="84">
        <v>0.25</v>
      </c>
      <c r="G187" s="79"/>
      <c r="H187" s="79"/>
      <c r="I187" s="79"/>
      <c r="J187" s="83">
        <v>46034</v>
      </c>
      <c r="K187" s="79">
        <v>46173</v>
      </c>
      <c r="L187" s="83">
        <v>100</v>
      </c>
      <c r="M187" s="83" t="s">
        <v>499</v>
      </c>
      <c r="N187" s="79"/>
      <c r="O187" s="79"/>
      <c r="P187" s="83" t="s">
        <v>78</v>
      </c>
      <c r="Q187" s="79"/>
      <c r="R187"/>
      <c r="S187"/>
    </row>
    <row r="188" spans="1:19" ht="30">
      <c r="A188" s="80" t="s">
        <v>16</v>
      </c>
      <c r="B188" s="79" t="s">
        <v>505</v>
      </c>
      <c r="C188" s="79" t="s">
        <v>22</v>
      </c>
      <c r="D188" s="79" t="s">
        <v>58</v>
      </c>
      <c r="E188" s="79" t="s">
        <v>20</v>
      </c>
      <c r="F188" s="85">
        <v>0.25</v>
      </c>
      <c r="G188" s="79" t="s">
        <v>35</v>
      </c>
      <c r="H188" s="79" t="s">
        <v>48</v>
      </c>
      <c r="I188" s="79" t="s">
        <v>50</v>
      </c>
      <c r="J188" s="79">
        <v>46034</v>
      </c>
      <c r="K188" s="86">
        <v>46173</v>
      </c>
      <c r="L188" s="79">
        <v>100</v>
      </c>
      <c r="M188" s="79" t="s">
        <v>470</v>
      </c>
      <c r="N188" s="79" t="s">
        <v>26</v>
      </c>
      <c r="O188" s="79" t="s">
        <v>26</v>
      </c>
      <c r="P188" s="79" t="s">
        <v>78</v>
      </c>
      <c r="Q188" s="79"/>
      <c r="R188"/>
      <c r="S188"/>
    </row>
    <row r="189" spans="1:19" ht="30">
      <c r="A189" s="80" t="s">
        <v>39</v>
      </c>
      <c r="B189" s="79" t="s">
        <v>296</v>
      </c>
      <c r="C189" s="79" t="s">
        <v>28</v>
      </c>
      <c r="D189" s="79" t="s">
        <v>58</v>
      </c>
      <c r="E189" s="79" t="s">
        <v>20</v>
      </c>
      <c r="F189" s="85">
        <v>0</v>
      </c>
      <c r="G189" s="79"/>
      <c r="H189" s="79"/>
      <c r="I189" s="79"/>
      <c r="J189" s="79" t="s">
        <v>229</v>
      </c>
      <c r="K189" s="79" t="s">
        <v>229</v>
      </c>
      <c r="L189" s="79">
        <v>0</v>
      </c>
      <c r="M189" s="79" t="s">
        <v>470</v>
      </c>
      <c r="N189" s="79"/>
      <c r="O189" s="79"/>
      <c r="P189" s="79" t="s">
        <v>78</v>
      </c>
      <c r="Q189" s="79"/>
      <c r="R189"/>
      <c r="S189"/>
    </row>
    <row r="190" spans="1:19" ht="30">
      <c r="A190" s="80" t="s">
        <v>39</v>
      </c>
      <c r="B190" s="79" t="s">
        <v>296</v>
      </c>
      <c r="C190" s="79" t="s">
        <v>29</v>
      </c>
      <c r="D190" s="79" t="s">
        <v>58</v>
      </c>
      <c r="E190" s="79" t="s">
        <v>20</v>
      </c>
      <c r="F190" s="85">
        <v>0</v>
      </c>
      <c r="G190" s="79"/>
      <c r="H190" s="79"/>
      <c r="I190" s="79"/>
      <c r="J190" s="79" t="s">
        <v>229</v>
      </c>
      <c r="K190" s="79" t="s">
        <v>229</v>
      </c>
      <c r="L190" s="79">
        <v>0</v>
      </c>
      <c r="M190" s="79" t="s">
        <v>470</v>
      </c>
      <c r="N190" s="79"/>
      <c r="O190" s="79"/>
      <c r="P190" s="79" t="s">
        <v>78</v>
      </c>
      <c r="Q190" s="79"/>
      <c r="R190"/>
      <c r="S190"/>
    </row>
    <row r="191" spans="1:19" ht="30">
      <c r="A191" s="80" t="s">
        <v>39</v>
      </c>
      <c r="B191" s="79" t="s">
        <v>296</v>
      </c>
      <c r="C191" s="79" t="s">
        <v>30</v>
      </c>
      <c r="D191" s="79" t="s">
        <v>58</v>
      </c>
      <c r="E191" s="79" t="s">
        <v>20</v>
      </c>
      <c r="F191" s="85">
        <v>0</v>
      </c>
      <c r="G191" s="79"/>
      <c r="H191" s="79"/>
      <c r="I191" s="79"/>
      <c r="J191" s="79" t="s">
        <v>229</v>
      </c>
      <c r="K191" s="79" t="s">
        <v>229</v>
      </c>
      <c r="L191" s="79">
        <v>0</v>
      </c>
      <c r="M191" s="79" t="s">
        <v>470</v>
      </c>
      <c r="N191" s="79"/>
      <c r="O191" s="79"/>
      <c r="P191" s="79" t="s">
        <v>78</v>
      </c>
      <c r="Q191" s="79"/>
      <c r="R191"/>
      <c r="S191"/>
    </row>
    <row r="192" spans="1:19" ht="30">
      <c r="A192" s="75" t="s">
        <v>39</v>
      </c>
      <c r="B192" s="83" t="s">
        <v>297</v>
      </c>
      <c r="C192" s="83" t="s">
        <v>18</v>
      </c>
      <c r="D192" s="83" t="s">
        <v>58</v>
      </c>
      <c r="E192" s="83" t="s">
        <v>20</v>
      </c>
      <c r="F192" s="84">
        <v>0.25</v>
      </c>
      <c r="G192" s="79"/>
      <c r="H192" s="79"/>
      <c r="I192" s="79"/>
      <c r="J192" s="83">
        <v>46034</v>
      </c>
      <c r="K192" s="79">
        <v>46173</v>
      </c>
      <c r="L192" s="83">
        <v>100</v>
      </c>
      <c r="M192" s="83" t="s">
        <v>499</v>
      </c>
      <c r="N192" s="79"/>
      <c r="O192" s="79"/>
      <c r="P192" s="83" t="s">
        <v>78</v>
      </c>
      <c r="Q192" s="79"/>
      <c r="R192"/>
      <c r="S192"/>
    </row>
    <row r="193" spans="1:19" ht="30">
      <c r="A193" s="80" t="s">
        <v>16</v>
      </c>
      <c r="B193" s="79" t="s">
        <v>506</v>
      </c>
      <c r="C193" s="79" t="s">
        <v>22</v>
      </c>
      <c r="D193" s="79" t="s">
        <v>58</v>
      </c>
      <c r="E193" s="79" t="s">
        <v>20</v>
      </c>
      <c r="F193" s="85">
        <v>0.25</v>
      </c>
      <c r="G193" s="79" t="s">
        <v>35</v>
      </c>
      <c r="H193" s="79" t="s">
        <v>48</v>
      </c>
      <c r="I193" s="79" t="s">
        <v>50</v>
      </c>
      <c r="J193" s="79">
        <v>46034</v>
      </c>
      <c r="K193" s="86">
        <v>46173</v>
      </c>
      <c r="L193" s="79">
        <v>100</v>
      </c>
      <c r="M193" s="79" t="s">
        <v>470</v>
      </c>
      <c r="N193" s="79" t="s">
        <v>26</v>
      </c>
      <c r="O193" s="79" t="s">
        <v>26</v>
      </c>
      <c r="P193" s="79" t="s">
        <v>78</v>
      </c>
      <c r="Q193" s="79"/>
      <c r="R193"/>
      <c r="S193"/>
    </row>
    <row r="194" spans="1:19" ht="30">
      <c r="A194" s="80" t="s">
        <v>39</v>
      </c>
      <c r="B194" s="79" t="s">
        <v>298</v>
      </c>
      <c r="C194" s="79" t="s">
        <v>28</v>
      </c>
      <c r="D194" s="79" t="s">
        <v>58</v>
      </c>
      <c r="E194" s="79" t="s">
        <v>20</v>
      </c>
      <c r="F194" s="85">
        <v>0</v>
      </c>
      <c r="G194" s="79"/>
      <c r="H194" s="79"/>
      <c r="I194" s="79"/>
      <c r="J194" s="79" t="s">
        <v>229</v>
      </c>
      <c r="K194" s="79" t="s">
        <v>229</v>
      </c>
      <c r="L194" s="79">
        <v>0</v>
      </c>
      <c r="M194" s="79" t="s">
        <v>470</v>
      </c>
      <c r="N194" s="79"/>
      <c r="O194" s="79"/>
      <c r="P194" s="79" t="s">
        <v>78</v>
      </c>
      <c r="Q194" s="79"/>
      <c r="R194"/>
      <c r="S194"/>
    </row>
    <row r="195" spans="1:19" ht="30">
      <c r="A195" s="80" t="s">
        <v>39</v>
      </c>
      <c r="B195" s="79" t="s">
        <v>298</v>
      </c>
      <c r="C195" s="79" t="s">
        <v>29</v>
      </c>
      <c r="D195" s="79" t="s">
        <v>58</v>
      </c>
      <c r="E195" s="79" t="s">
        <v>20</v>
      </c>
      <c r="F195" s="85">
        <v>0</v>
      </c>
      <c r="G195" s="79"/>
      <c r="H195" s="79"/>
      <c r="I195" s="79"/>
      <c r="J195" s="79" t="s">
        <v>229</v>
      </c>
      <c r="K195" s="79" t="s">
        <v>229</v>
      </c>
      <c r="L195" s="79">
        <v>0</v>
      </c>
      <c r="M195" s="79" t="s">
        <v>470</v>
      </c>
      <c r="N195" s="79"/>
      <c r="O195" s="79"/>
      <c r="P195" s="79" t="s">
        <v>78</v>
      </c>
      <c r="Q195" s="79"/>
      <c r="R195"/>
      <c r="S195"/>
    </row>
    <row r="196" spans="1:19" ht="30">
      <c r="A196" s="80" t="s">
        <v>39</v>
      </c>
      <c r="B196" s="79" t="s">
        <v>298</v>
      </c>
      <c r="C196" s="79" t="s">
        <v>30</v>
      </c>
      <c r="D196" s="79" t="s">
        <v>58</v>
      </c>
      <c r="E196" s="79" t="s">
        <v>20</v>
      </c>
      <c r="F196" s="85">
        <v>0</v>
      </c>
      <c r="G196" s="79"/>
      <c r="H196" s="79"/>
      <c r="I196" s="79"/>
      <c r="J196" s="79" t="s">
        <v>229</v>
      </c>
      <c r="K196" s="79" t="s">
        <v>229</v>
      </c>
      <c r="L196" s="79">
        <v>0</v>
      </c>
      <c r="M196" s="79" t="s">
        <v>470</v>
      </c>
      <c r="N196" s="79"/>
      <c r="O196" s="79"/>
      <c r="P196" s="79" t="s">
        <v>78</v>
      </c>
      <c r="Q196" s="79"/>
      <c r="R196"/>
      <c r="S196"/>
    </row>
    <row r="197" spans="1:19" ht="30">
      <c r="A197" s="75" t="s">
        <v>39</v>
      </c>
      <c r="B197" s="83" t="s">
        <v>299</v>
      </c>
      <c r="C197" s="83" t="s">
        <v>18</v>
      </c>
      <c r="D197" s="83" t="s">
        <v>58</v>
      </c>
      <c r="E197" s="83" t="s">
        <v>20</v>
      </c>
      <c r="F197" s="84">
        <v>0.25</v>
      </c>
      <c r="G197" s="79"/>
      <c r="H197" s="79"/>
      <c r="I197" s="79"/>
      <c r="J197" s="83">
        <v>46034</v>
      </c>
      <c r="K197" s="79">
        <v>46173</v>
      </c>
      <c r="L197" s="83">
        <v>100</v>
      </c>
      <c r="M197" s="83" t="s">
        <v>507</v>
      </c>
      <c r="N197" s="79"/>
      <c r="O197" s="79"/>
      <c r="P197" s="83" t="s">
        <v>78</v>
      </c>
      <c r="Q197" s="79"/>
      <c r="R197"/>
      <c r="S197"/>
    </row>
    <row r="198" spans="1:19" ht="30">
      <c r="A198" s="80" t="s">
        <v>16</v>
      </c>
      <c r="B198" s="79" t="s">
        <v>508</v>
      </c>
      <c r="C198" s="79" t="s">
        <v>22</v>
      </c>
      <c r="D198" s="79" t="s">
        <v>58</v>
      </c>
      <c r="E198" s="79" t="s">
        <v>20</v>
      </c>
      <c r="F198" s="85">
        <v>0.25</v>
      </c>
      <c r="G198" s="79" t="s">
        <v>35</v>
      </c>
      <c r="H198" s="79" t="s">
        <v>48</v>
      </c>
      <c r="I198" s="79" t="s">
        <v>50</v>
      </c>
      <c r="J198" s="79">
        <v>46034</v>
      </c>
      <c r="K198" s="79">
        <v>46173</v>
      </c>
      <c r="L198" s="79">
        <v>100</v>
      </c>
      <c r="M198" s="79" t="s">
        <v>470</v>
      </c>
      <c r="N198" s="79" t="s">
        <v>26</v>
      </c>
      <c r="O198" s="79" t="s">
        <v>26</v>
      </c>
      <c r="P198" s="79" t="s">
        <v>78</v>
      </c>
      <c r="Q198" s="79"/>
      <c r="R198"/>
      <c r="S198"/>
    </row>
    <row r="199" spans="1:19" ht="30">
      <c r="A199" s="80" t="s">
        <v>39</v>
      </c>
      <c r="B199" s="79" t="s">
        <v>300</v>
      </c>
      <c r="C199" s="79" t="s">
        <v>28</v>
      </c>
      <c r="D199" s="79" t="s">
        <v>58</v>
      </c>
      <c r="E199" s="79" t="s">
        <v>20</v>
      </c>
      <c r="F199" s="85">
        <v>0</v>
      </c>
      <c r="G199" s="79"/>
      <c r="H199" s="79"/>
      <c r="I199" s="79"/>
      <c r="J199" s="79" t="s">
        <v>229</v>
      </c>
      <c r="K199" s="79" t="s">
        <v>229</v>
      </c>
      <c r="L199" s="79">
        <v>0</v>
      </c>
      <c r="M199" s="79" t="s">
        <v>470</v>
      </c>
      <c r="N199" s="79"/>
      <c r="O199" s="79"/>
      <c r="P199" s="79" t="s">
        <v>78</v>
      </c>
      <c r="Q199" s="79"/>
      <c r="R199"/>
      <c r="S199"/>
    </row>
    <row r="200" spans="1:19" ht="30">
      <c r="A200" s="80" t="s">
        <v>39</v>
      </c>
      <c r="B200" s="79" t="s">
        <v>300</v>
      </c>
      <c r="C200" s="79" t="s">
        <v>29</v>
      </c>
      <c r="D200" s="79" t="s">
        <v>58</v>
      </c>
      <c r="E200" s="79" t="s">
        <v>20</v>
      </c>
      <c r="F200" s="85">
        <v>0</v>
      </c>
      <c r="G200" s="79"/>
      <c r="H200" s="79"/>
      <c r="I200" s="79"/>
      <c r="J200" s="79" t="s">
        <v>229</v>
      </c>
      <c r="K200" s="79" t="s">
        <v>229</v>
      </c>
      <c r="L200" s="79">
        <v>0</v>
      </c>
      <c r="M200" s="79" t="s">
        <v>470</v>
      </c>
      <c r="N200" s="79"/>
      <c r="O200" s="79"/>
      <c r="P200" s="79" t="s">
        <v>78</v>
      </c>
      <c r="Q200" s="79"/>
      <c r="R200"/>
      <c r="S200"/>
    </row>
    <row r="201" spans="1:19" ht="30">
      <c r="A201" s="80" t="s">
        <v>39</v>
      </c>
      <c r="B201" s="79" t="s">
        <v>300</v>
      </c>
      <c r="C201" s="79" t="s">
        <v>30</v>
      </c>
      <c r="D201" s="79" t="s">
        <v>58</v>
      </c>
      <c r="E201" s="79" t="s">
        <v>20</v>
      </c>
      <c r="F201" s="85">
        <v>0</v>
      </c>
      <c r="G201" s="79"/>
      <c r="H201" s="79"/>
      <c r="I201" s="79"/>
      <c r="J201" s="79" t="s">
        <v>229</v>
      </c>
      <c r="K201" s="79" t="s">
        <v>229</v>
      </c>
      <c r="L201" s="79">
        <v>0</v>
      </c>
      <c r="M201" s="79" t="s">
        <v>470</v>
      </c>
      <c r="N201" s="79"/>
      <c r="O201" s="79"/>
      <c r="P201" s="79" t="s">
        <v>78</v>
      </c>
      <c r="Q201" s="79"/>
      <c r="R201"/>
      <c r="S201"/>
    </row>
    <row r="202" spans="1:19" ht="30">
      <c r="A202" s="75" t="s">
        <v>39</v>
      </c>
      <c r="B202" s="83" t="s">
        <v>301</v>
      </c>
      <c r="C202" s="83" t="s">
        <v>18</v>
      </c>
      <c r="D202" s="83" t="s">
        <v>58</v>
      </c>
      <c r="E202" s="83" t="s">
        <v>20</v>
      </c>
      <c r="F202" s="84">
        <v>1</v>
      </c>
      <c r="G202" s="79"/>
      <c r="H202" s="79"/>
      <c r="I202" s="79"/>
      <c r="J202" s="83">
        <v>45931</v>
      </c>
      <c r="K202" s="79">
        <v>45931</v>
      </c>
      <c r="L202" s="83">
        <v>1</v>
      </c>
      <c r="M202" s="83" t="s">
        <v>499</v>
      </c>
      <c r="N202" s="79"/>
      <c r="O202" s="79"/>
      <c r="P202" s="83" t="s">
        <v>78</v>
      </c>
      <c r="Q202" s="79"/>
      <c r="R202"/>
      <c r="S202"/>
    </row>
    <row r="203" spans="1:19" ht="30">
      <c r="A203" s="80" t="s">
        <v>16</v>
      </c>
      <c r="B203" s="79" t="s">
        <v>302</v>
      </c>
      <c r="C203" s="79" t="s">
        <v>22</v>
      </c>
      <c r="D203" s="79" t="s">
        <v>58</v>
      </c>
      <c r="E203" s="79" t="s">
        <v>20</v>
      </c>
      <c r="F203" s="85">
        <v>1</v>
      </c>
      <c r="G203" s="79" t="s">
        <v>35</v>
      </c>
      <c r="H203" s="79" t="s">
        <v>48</v>
      </c>
      <c r="I203" s="79" t="s">
        <v>50</v>
      </c>
      <c r="J203" s="79">
        <v>45931</v>
      </c>
      <c r="K203" s="86">
        <v>45931</v>
      </c>
      <c r="L203" s="79">
        <v>1</v>
      </c>
      <c r="M203" s="79" t="s">
        <v>470</v>
      </c>
      <c r="N203" s="79" t="s">
        <v>108</v>
      </c>
      <c r="O203" s="79" t="s">
        <v>108</v>
      </c>
      <c r="P203" s="79" t="s">
        <v>78</v>
      </c>
      <c r="Q203" s="79"/>
      <c r="R203"/>
      <c r="S203"/>
    </row>
    <row r="204" spans="1:19" ht="30">
      <c r="A204" s="80" t="s">
        <v>39</v>
      </c>
      <c r="B204" s="79" t="s">
        <v>302</v>
      </c>
      <c r="C204" s="79" t="s">
        <v>28</v>
      </c>
      <c r="D204" s="79" t="s">
        <v>58</v>
      </c>
      <c r="E204" s="79" t="s">
        <v>20</v>
      </c>
      <c r="F204" s="85">
        <v>0</v>
      </c>
      <c r="G204" s="79"/>
      <c r="H204" s="79"/>
      <c r="I204" s="79"/>
      <c r="J204" s="79" t="s">
        <v>229</v>
      </c>
      <c r="K204" s="79" t="s">
        <v>229</v>
      </c>
      <c r="L204" s="79">
        <v>0</v>
      </c>
      <c r="M204" s="79" t="s">
        <v>470</v>
      </c>
      <c r="N204" s="79"/>
      <c r="O204" s="79"/>
      <c r="P204" s="79" t="s">
        <v>78</v>
      </c>
      <c r="Q204" s="79"/>
      <c r="R204"/>
      <c r="S204"/>
    </row>
    <row r="205" spans="1:19" ht="30">
      <c r="A205" s="80" t="s">
        <v>39</v>
      </c>
      <c r="B205" s="79" t="s">
        <v>302</v>
      </c>
      <c r="C205" s="79" t="s">
        <v>29</v>
      </c>
      <c r="D205" s="79" t="s">
        <v>58</v>
      </c>
      <c r="E205" s="79" t="s">
        <v>20</v>
      </c>
      <c r="F205" s="85">
        <v>0</v>
      </c>
      <c r="G205" s="79"/>
      <c r="H205" s="79"/>
      <c r="I205" s="79"/>
      <c r="J205" s="79" t="s">
        <v>229</v>
      </c>
      <c r="K205" s="79" t="s">
        <v>229</v>
      </c>
      <c r="L205" s="79">
        <v>0</v>
      </c>
      <c r="M205" s="79" t="s">
        <v>470</v>
      </c>
      <c r="N205" s="79"/>
      <c r="O205" s="79"/>
      <c r="P205" s="79" t="s">
        <v>78</v>
      </c>
      <c r="Q205" s="79"/>
      <c r="R205"/>
      <c r="S205"/>
    </row>
    <row r="206" spans="1:19" ht="30">
      <c r="A206" s="80" t="s">
        <v>39</v>
      </c>
      <c r="B206" s="79" t="s">
        <v>302</v>
      </c>
      <c r="C206" s="79" t="s">
        <v>30</v>
      </c>
      <c r="D206" s="79" t="s">
        <v>58</v>
      </c>
      <c r="E206" s="79" t="s">
        <v>20</v>
      </c>
      <c r="F206" s="85">
        <v>0</v>
      </c>
      <c r="G206" s="79"/>
      <c r="H206" s="79"/>
      <c r="I206" s="79"/>
      <c r="J206" s="79" t="s">
        <v>229</v>
      </c>
      <c r="K206" s="79" t="s">
        <v>229</v>
      </c>
      <c r="L206" s="79">
        <v>0</v>
      </c>
      <c r="M206" s="79" t="s">
        <v>470</v>
      </c>
      <c r="N206" s="79"/>
      <c r="O206" s="79"/>
      <c r="P206" s="79" t="s">
        <v>78</v>
      </c>
      <c r="Q206" s="79"/>
      <c r="R206"/>
      <c r="S206"/>
    </row>
    <row r="207" spans="1:19" ht="30">
      <c r="A207" s="75" t="s">
        <v>39</v>
      </c>
      <c r="B207" s="83" t="s">
        <v>303</v>
      </c>
      <c r="C207" s="83" t="s">
        <v>18</v>
      </c>
      <c r="D207" s="83" t="s">
        <v>58</v>
      </c>
      <c r="E207" s="83" t="s">
        <v>20</v>
      </c>
      <c r="F207" s="84">
        <v>1</v>
      </c>
      <c r="G207" s="79"/>
      <c r="H207" s="79"/>
      <c r="I207" s="79"/>
      <c r="J207" s="83">
        <v>45931</v>
      </c>
      <c r="K207" s="79">
        <v>45931</v>
      </c>
      <c r="L207" s="83">
        <v>1</v>
      </c>
      <c r="M207" s="83" t="s">
        <v>499</v>
      </c>
      <c r="N207" s="79"/>
      <c r="O207" s="79"/>
      <c r="P207" s="83" t="s">
        <v>78</v>
      </c>
      <c r="Q207" s="79"/>
      <c r="R207"/>
      <c r="S207"/>
    </row>
    <row r="208" spans="1:19" ht="30">
      <c r="A208" s="80" t="s">
        <v>16</v>
      </c>
      <c r="B208" s="79" t="s">
        <v>304</v>
      </c>
      <c r="C208" s="79" t="s">
        <v>22</v>
      </c>
      <c r="D208" s="79" t="s">
        <v>58</v>
      </c>
      <c r="E208" s="79" t="s">
        <v>20</v>
      </c>
      <c r="F208" s="85">
        <v>1</v>
      </c>
      <c r="G208" s="79" t="s">
        <v>35</v>
      </c>
      <c r="H208" s="79" t="s">
        <v>48</v>
      </c>
      <c r="I208" s="79" t="s">
        <v>50</v>
      </c>
      <c r="J208" s="79">
        <v>45931</v>
      </c>
      <c r="K208" s="86">
        <v>45931</v>
      </c>
      <c r="L208" s="79">
        <v>1</v>
      </c>
      <c r="M208" s="79" t="s">
        <v>470</v>
      </c>
      <c r="N208" s="79" t="s">
        <v>108</v>
      </c>
      <c r="O208" s="79" t="s">
        <v>108</v>
      </c>
      <c r="P208" s="79" t="s">
        <v>78</v>
      </c>
      <c r="Q208" s="79"/>
      <c r="R208"/>
      <c r="S208"/>
    </row>
    <row r="209" spans="1:19" ht="30">
      <c r="A209" s="80" t="s">
        <v>39</v>
      </c>
      <c r="B209" s="79" t="s">
        <v>304</v>
      </c>
      <c r="C209" s="79" t="s">
        <v>28</v>
      </c>
      <c r="D209" s="79" t="s">
        <v>58</v>
      </c>
      <c r="E209" s="79" t="s">
        <v>20</v>
      </c>
      <c r="F209" s="85">
        <v>0</v>
      </c>
      <c r="G209" s="79"/>
      <c r="H209" s="79"/>
      <c r="I209" s="79"/>
      <c r="J209" s="79" t="s">
        <v>229</v>
      </c>
      <c r="K209" s="79" t="s">
        <v>229</v>
      </c>
      <c r="L209" s="79">
        <v>0</v>
      </c>
      <c r="M209" s="79" t="s">
        <v>470</v>
      </c>
      <c r="N209" s="79"/>
      <c r="O209" s="79"/>
      <c r="P209" s="79" t="s">
        <v>78</v>
      </c>
      <c r="Q209" s="79"/>
      <c r="R209"/>
      <c r="S209"/>
    </row>
    <row r="210" spans="1:19" ht="30">
      <c r="A210" s="80" t="s">
        <v>39</v>
      </c>
      <c r="B210" s="79" t="s">
        <v>304</v>
      </c>
      <c r="C210" s="79" t="s">
        <v>29</v>
      </c>
      <c r="D210" s="79" t="s">
        <v>58</v>
      </c>
      <c r="E210" s="79" t="s">
        <v>20</v>
      </c>
      <c r="F210" s="85">
        <v>0</v>
      </c>
      <c r="G210" s="79"/>
      <c r="H210" s="79"/>
      <c r="I210" s="79"/>
      <c r="J210" s="79" t="s">
        <v>229</v>
      </c>
      <c r="K210" s="79" t="s">
        <v>229</v>
      </c>
      <c r="L210" s="79">
        <v>0</v>
      </c>
      <c r="M210" s="79" t="s">
        <v>470</v>
      </c>
      <c r="N210" s="79"/>
      <c r="O210" s="79"/>
      <c r="P210" s="79" t="s">
        <v>78</v>
      </c>
      <c r="Q210" s="79"/>
      <c r="R210"/>
      <c r="S210"/>
    </row>
    <row r="211" spans="1:19" ht="30">
      <c r="A211" s="80" t="s">
        <v>39</v>
      </c>
      <c r="B211" s="79" t="s">
        <v>304</v>
      </c>
      <c r="C211" s="79" t="s">
        <v>30</v>
      </c>
      <c r="D211" s="79" t="s">
        <v>58</v>
      </c>
      <c r="E211" s="79" t="s">
        <v>20</v>
      </c>
      <c r="F211" s="85">
        <v>0</v>
      </c>
      <c r="G211" s="79"/>
      <c r="H211" s="79"/>
      <c r="I211" s="79"/>
      <c r="J211" s="79" t="s">
        <v>229</v>
      </c>
      <c r="K211" s="79" t="s">
        <v>229</v>
      </c>
      <c r="L211" s="79">
        <v>0</v>
      </c>
      <c r="M211" s="79" t="s">
        <v>470</v>
      </c>
      <c r="N211" s="79"/>
      <c r="O211" s="79"/>
      <c r="P211" s="79" t="s">
        <v>78</v>
      </c>
      <c r="Q211" s="79"/>
      <c r="R211"/>
      <c r="S211"/>
    </row>
    <row r="212" spans="1:19" ht="30">
      <c r="A212" s="82" t="s">
        <v>94</v>
      </c>
      <c r="B212" s="76" t="s">
        <v>509</v>
      </c>
      <c r="C212" s="76" t="s">
        <v>18</v>
      </c>
      <c r="D212" s="76" t="s">
        <v>19</v>
      </c>
      <c r="E212" s="76" t="s">
        <v>20</v>
      </c>
      <c r="F212" s="77">
        <v>0.19</v>
      </c>
      <c r="G212" s="78"/>
      <c r="H212" s="78"/>
      <c r="I212" s="78"/>
      <c r="J212" s="76">
        <v>45931</v>
      </c>
      <c r="K212" s="79">
        <v>46295</v>
      </c>
      <c r="L212" s="76">
        <v>261</v>
      </c>
      <c r="M212" s="76" t="s">
        <v>470</v>
      </c>
      <c r="N212" s="78"/>
      <c r="O212" s="78"/>
      <c r="P212" s="76" t="s">
        <v>95</v>
      </c>
      <c r="Q212" s="79"/>
      <c r="R212"/>
      <c r="S212"/>
    </row>
    <row r="213" spans="1:19" ht="30">
      <c r="A213" s="80" t="s">
        <v>94</v>
      </c>
      <c r="B213" s="78" t="s">
        <v>510</v>
      </c>
      <c r="C213" s="78" t="s">
        <v>22</v>
      </c>
      <c r="D213" s="78" t="s">
        <v>19</v>
      </c>
      <c r="E213" s="78" t="s">
        <v>20</v>
      </c>
      <c r="F213" s="81">
        <v>1</v>
      </c>
      <c r="G213" s="78" t="s">
        <v>511</v>
      </c>
      <c r="H213" s="78" t="s">
        <v>96</v>
      </c>
      <c r="I213" s="78" t="s">
        <v>97</v>
      </c>
      <c r="J213" s="78">
        <v>45931</v>
      </c>
      <c r="K213" s="86">
        <v>45931</v>
      </c>
      <c r="L213" s="78">
        <v>1</v>
      </c>
      <c r="M213" s="78" t="s">
        <v>470</v>
      </c>
      <c r="N213" s="78" t="s">
        <v>108</v>
      </c>
      <c r="O213" s="78" t="s">
        <v>108</v>
      </c>
      <c r="P213" s="78" t="s">
        <v>95</v>
      </c>
      <c r="Q213" s="79"/>
      <c r="R213"/>
      <c r="S213"/>
    </row>
    <row r="214" spans="1:19" ht="30">
      <c r="A214" s="80" t="s">
        <v>94</v>
      </c>
      <c r="B214" s="78" t="s">
        <v>510</v>
      </c>
      <c r="C214" s="78" t="s">
        <v>28</v>
      </c>
      <c r="D214" s="78" t="s">
        <v>19</v>
      </c>
      <c r="E214" s="78" t="s">
        <v>20</v>
      </c>
      <c r="F214" s="81">
        <v>0</v>
      </c>
      <c r="G214" s="78"/>
      <c r="H214" s="78"/>
      <c r="I214" s="78"/>
      <c r="J214" s="78" t="s">
        <v>229</v>
      </c>
      <c r="K214" s="79" t="s">
        <v>229</v>
      </c>
      <c r="L214" s="78">
        <v>0</v>
      </c>
      <c r="M214" s="78" t="s">
        <v>470</v>
      </c>
      <c r="N214" s="78"/>
      <c r="O214" s="78"/>
      <c r="P214" s="78" t="s">
        <v>95</v>
      </c>
      <c r="Q214" s="79"/>
      <c r="R214"/>
      <c r="S214"/>
    </row>
    <row r="215" spans="1:19" ht="30">
      <c r="A215" s="80" t="s">
        <v>94</v>
      </c>
      <c r="B215" s="78" t="s">
        <v>510</v>
      </c>
      <c r="C215" s="78" t="s">
        <v>29</v>
      </c>
      <c r="D215" s="78" t="s">
        <v>19</v>
      </c>
      <c r="E215" s="78" t="s">
        <v>20</v>
      </c>
      <c r="F215" s="81">
        <v>0</v>
      </c>
      <c r="G215" s="78"/>
      <c r="H215" s="78"/>
      <c r="I215" s="78"/>
      <c r="J215" s="78" t="s">
        <v>229</v>
      </c>
      <c r="K215" s="79" t="s">
        <v>229</v>
      </c>
      <c r="L215" s="78">
        <v>0</v>
      </c>
      <c r="M215" s="78" t="s">
        <v>470</v>
      </c>
      <c r="N215" s="78"/>
      <c r="O215" s="78"/>
      <c r="P215" s="78" t="s">
        <v>95</v>
      </c>
      <c r="Q215" s="79"/>
      <c r="R215"/>
      <c r="S215"/>
    </row>
    <row r="216" spans="1:19" ht="30">
      <c r="A216" s="80" t="s">
        <v>94</v>
      </c>
      <c r="B216" s="78" t="s">
        <v>510</v>
      </c>
      <c r="C216" s="78" t="s">
        <v>30</v>
      </c>
      <c r="D216" s="78" t="s">
        <v>19</v>
      </c>
      <c r="E216" s="78" t="s">
        <v>20</v>
      </c>
      <c r="F216" s="81">
        <v>0</v>
      </c>
      <c r="G216" s="78"/>
      <c r="H216" s="78"/>
      <c r="I216" s="78"/>
      <c r="J216" s="78" t="s">
        <v>229</v>
      </c>
      <c r="K216" s="79" t="s">
        <v>229</v>
      </c>
      <c r="L216" s="78">
        <v>0</v>
      </c>
      <c r="M216" s="78" t="s">
        <v>470</v>
      </c>
      <c r="N216" s="78"/>
      <c r="O216" s="78"/>
      <c r="P216" s="78" t="s">
        <v>95</v>
      </c>
      <c r="Q216" s="79"/>
      <c r="R216"/>
      <c r="S216"/>
    </row>
    <row r="217" spans="1:19" ht="30">
      <c r="A217" s="87" t="s">
        <v>94</v>
      </c>
      <c r="B217" s="83" t="s">
        <v>512</v>
      </c>
      <c r="C217" s="83" t="s">
        <v>18</v>
      </c>
      <c r="D217" s="83" t="s">
        <v>33</v>
      </c>
      <c r="E217" s="83" t="s">
        <v>20</v>
      </c>
      <c r="F217" s="84">
        <v>0</v>
      </c>
      <c r="G217" s="79"/>
      <c r="H217" s="79"/>
      <c r="I217" s="79"/>
      <c r="J217" s="83">
        <v>45931</v>
      </c>
      <c r="K217" s="79">
        <v>46295</v>
      </c>
      <c r="L217" s="83">
        <v>261</v>
      </c>
      <c r="M217" s="83" t="s">
        <v>470</v>
      </c>
      <c r="N217" s="79"/>
      <c r="O217" s="79"/>
      <c r="P217" s="83" t="s">
        <v>95</v>
      </c>
      <c r="Q217" s="79"/>
      <c r="R217"/>
      <c r="S217"/>
    </row>
    <row r="218" spans="1:19" ht="30">
      <c r="A218" s="80" t="s">
        <v>94</v>
      </c>
      <c r="B218" s="79" t="s">
        <v>513</v>
      </c>
      <c r="C218" s="79" t="s">
        <v>22</v>
      </c>
      <c r="D218" s="79" t="s">
        <v>33</v>
      </c>
      <c r="E218" s="79" t="s">
        <v>20</v>
      </c>
      <c r="F218" s="85">
        <v>0</v>
      </c>
      <c r="G218" s="79" t="s">
        <v>514</v>
      </c>
      <c r="H218" s="79"/>
      <c r="I218" s="79" t="s">
        <v>97</v>
      </c>
      <c r="J218" s="79" t="s">
        <v>229</v>
      </c>
      <c r="K218" s="79" t="s">
        <v>229</v>
      </c>
      <c r="L218" s="79">
        <v>0</v>
      </c>
      <c r="M218" s="79" t="s">
        <v>470</v>
      </c>
      <c r="N218" s="79"/>
      <c r="O218" s="79"/>
      <c r="P218" s="79" t="s">
        <v>95</v>
      </c>
      <c r="Q218" s="79"/>
      <c r="R218"/>
      <c r="S218"/>
    </row>
    <row r="219" spans="1:19" ht="30">
      <c r="A219" s="80" t="s">
        <v>94</v>
      </c>
      <c r="B219" s="79" t="s">
        <v>513</v>
      </c>
      <c r="C219" s="79" t="s">
        <v>28</v>
      </c>
      <c r="D219" s="79" t="s">
        <v>33</v>
      </c>
      <c r="E219" s="79" t="s">
        <v>20</v>
      </c>
      <c r="F219" s="85">
        <v>0</v>
      </c>
      <c r="G219" s="79"/>
      <c r="H219" s="79"/>
      <c r="I219" s="79"/>
      <c r="J219" s="79" t="s">
        <v>229</v>
      </c>
      <c r="K219" s="79" t="s">
        <v>229</v>
      </c>
      <c r="L219" s="79">
        <v>0</v>
      </c>
      <c r="M219" s="79" t="s">
        <v>470</v>
      </c>
      <c r="N219" s="79"/>
      <c r="O219" s="79"/>
      <c r="P219" s="79" t="s">
        <v>95</v>
      </c>
      <c r="Q219" s="79"/>
      <c r="R219"/>
      <c r="S219"/>
    </row>
    <row r="220" spans="1:19" ht="30">
      <c r="A220" s="80" t="s">
        <v>94</v>
      </c>
      <c r="B220" s="79" t="s">
        <v>513</v>
      </c>
      <c r="C220" s="79" t="s">
        <v>29</v>
      </c>
      <c r="D220" s="79" t="s">
        <v>33</v>
      </c>
      <c r="E220" s="79" t="s">
        <v>20</v>
      </c>
      <c r="F220" s="85">
        <v>0</v>
      </c>
      <c r="G220" s="79"/>
      <c r="H220" s="79"/>
      <c r="I220" s="79"/>
      <c r="J220" s="79" t="s">
        <v>229</v>
      </c>
      <c r="K220" s="79" t="s">
        <v>229</v>
      </c>
      <c r="L220" s="79">
        <v>0</v>
      </c>
      <c r="M220" s="79" t="s">
        <v>470</v>
      </c>
      <c r="N220" s="79"/>
      <c r="O220" s="79"/>
      <c r="P220" s="79" t="s">
        <v>95</v>
      </c>
      <c r="Q220" s="79"/>
      <c r="R220"/>
      <c r="S220"/>
    </row>
    <row r="221" spans="1:19" ht="30">
      <c r="A221" s="80" t="s">
        <v>94</v>
      </c>
      <c r="B221" s="79" t="s">
        <v>513</v>
      </c>
      <c r="C221" s="79" t="s">
        <v>30</v>
      </c>
      <c r="D221" s="79" t="s">
        <v>33</v>
      </c>
      <c r="E221" s="79" t="s">
        <v>20</v>
      </c>
      <c r="F221" s="85">
        <v>0</v>
      </c>
      <c r="G221" s="79"/>
      <c r="H221" s="79"/>
      <c r="I221" s="79"/>
      <c r="J221" s="79" t="s">
        <v>229</v>
      </c>
      <c r="K221" s="79" t="s">
        <v>229</v>
      </c>
      <c r="L221" s="79">
        <v>0</v>
      </c>
      <c r="M221" s="79" t="s">
        <v>470</v>
      </c>
      <c r="N221" s="79"/>
      <c r="O221" s="79"/>
      <c r="P221" s="79" t="s">
        <v>95</v>
      </c>
      <c r="Q221" s="79"/>
      <c r="R221"/>
      <c r="S221"/>
    </row>
    <row r="222" spans="1:19" ht="30">
      <c r="A222" s="87" t="s">
        <v>94</v>
      </c>
      <c r="B222" s="83" t="s">
        <v>515</v>
      </c>
      <c r="C222" s="83" t="s">
        <v>18</v>
      </c>
      <c r="D222" s="83" t="s">
        <v>33</v>
      </c>
      <c r="E222" s="83" t="s">
        <v>20</v>
      </c>
      <c r="F222" s="84">
        <v>0.25</v>
      </c>
      <c r="G222" s="79"/>
      <c r="H222" s="79"/>
      <c r="I222" s="79"/>
      <c r="J222" s="83">
        <v>45931</v>
      </c>
      <c r="K222" s="79">
        <v>46295</v>
      </c>
      <c r="L222" s="83">
        <v>261</v>
      </c>
      <c r="M222" s="83" t="s">
        <v>470</v>
      </c>
      <c r="N222" s="79"/>
      <c r="O222" s="79"/>
      <c r="P222" s="83" t="s">
        <v>95</v>
      </c>
      <c r="Q222" s="79"/>
      <c r="R222"/>
      <c r="S222"/>
    </row>
    <row r="223" spans="1:19" ht="30">
      <c r="A223" s="87" t="s">
        <v>94</v>
      </c>
      <c r="B223" s="79" t="s">
        <v>516</v>
      </c>
      <c r="C223" s="79" t="s">
        <v>22</v>
      </c>
      <c r="D223" s="79" t="s">
        <v>33</v>
      </c>
      <c r="E223" s="79" t="s">
        <v>20</v>
      </c>
      <c r="F223" s="85">
        <v>0.25</v>
      </c>
      <c r="G223" s="79" t="s">
        <v>469</v>
      </c>
      <c r="H223" s="79" t="s">
        <v>96</v>
      </c>
      <c r="I223" s="79" t="s">
        <v>97</v>
      </c>
      <c r="J223" s="79">
        <v>45931</v>
      </c>
      <c r="K223" s="86">
        <v>46295</v>
      </c>
      <c r="L223" s="79">
        <v>261</v>
      </c>
      <c r="M223" s="79" t="s">
        <v>470</v>
      </c>
      <c r="N223" s="79" t="s">
        <v>26</v>
      </c>
      <c r="O223" s="79" t="s">
        <v>26</v>
      </c>
      <c r="P223" s="79" t="s">
        <v>95</v>
      </c>
      <c r="Q223" s="79"/>
      <c r="R223"/>
      <c r="S223"/>
    </row>
    <row r="224" spans="1:19" ht="30">
      <c r="A224" s="87" t="s">
        <v>94</v>
      </c>
      <c r="B224" s="79" t="s">
        <v>516</v>
      </c>
      <c r="C224" s="79" t="s">
        <v>28</v>
      </c>
      <c r="D224" s="79" t="s">
        <v>33</v>
      </c>
      <c r="E224" s="79" t="s">
        <v>20</v>
      </c>
      <c r="F224" s="85">
        <v>0</v>
      </c>
      <c r="G224" s="79"/>
      <c r="H224" s="79"/>
      <c r="I224" s="79"/>
      <c r="J224" s="79" t="s">
        <v>229</v>
      </c>
      <c r="K224" s="79" t="s">
        <v>229</v>
      </c>
      <c r="L224" s="79">
        <v>0</v>
      </c>
      <c r="M224" s="79" t="s">
        <v>470</v>
      </c>
      <c r="N224" s="79"/>
      <c r="O224" s="79"/>
      <c r="P224" s="79" t="s">
        <v>95</v>
      </c>
      <c r="Q224" s="79"/>
      <c r="R224"/>
      <c r="S224"/>
    </row>
    <row r="225" spans="1:19" ht="30">
      <c r="A225" s="87" t="s">
        <v>94</v>
      </c>
      <c r="B225" s="79" t="s">
        <v>516</v>
      </c>
      <c r="C225" s="79" t="s">
        <v>29</v>
      </c>
      <c r="D225" s="79" t="s">
        <v>33</v>
      </c>
      <c r="E225" s="79" t="s">
        <v>20</v>
      </c>
      <c r="F225" s="85">
        <v>0</v>
      </c>
      <c r="G225" s="79"/>
      <c r="H225" s="79"/>
      <c r="I225" s="79"/>
      <c r="J225" s="79" t="s">
        <v>229</v>
      </c>
      <c r="K225" s="79" t="s">
        <v>229</v>
      </c>
      <c r="L225" s="79">
        <v>0</v>
      </c>
      <c r="M225" s="79" t="s">
        <v>470</v>
      </c>
      <c r="N225" s="79"/>
      <c r="O225" s="79"/>
      <c r="P225" s="79" t="s">
        <v>95</v>
      </c>
      <c r="Q225" s="79"/>
      <c r="R225"/>
      <c r="S225"/>
    </row>
    <row r="226" spans="1:19" ht="30">
      <c r="A226" s="87" t="s">
        <v>94</v>
      </c>
      <c r="B226" s="79" t="s">
        <v>516</v>
      </c>
      <c r="C226" s="79" t="s">
        <v>30</v>
      </c>
      <c r="D226" s="79" t="s">
        <v>33</v>
      </c>
      <c r="E226" s="79" t="s">
        <v>20</v>
      </c>
      <c r="F226" s="85">
        <v>0</v>
      </c>
      <c r="G226" s="79"/>
      <c r="H226" s="79"/>
      <c r="I226" s="79"/>
      <c r="J226" s="79" t="s">
        <v>229</v>
      </c>
      <c r="K226" s="79" t="s">
        <v>229</v>
      </c>
      <c r="L226" s="79">
        <v>0</v>
      </c>
      <c r="M226" s="79" t="s">
        <v>470</v>
      </c>
      <c r="N226" s="79"/>
      <c r="O226" s="79"/>
      <c r="P226" s="79" t="s">
        <v>95</v>
      </c>
      <c r="Q226" s="79"/>
      <c r="R226"/>
      <c r="S226"/>
    </row>
    <row r="227" spans="1:19" ht="30">
      <c r="A227" s="75" t="s">
        <v>94</v>
      </c>
      <c r="B227" s="83" t="s">
        <v>310</v>
      </c>
      <c r="C227" s="83" t="s">
        <v>18</v>
      </c>
      <c r="D227" s="83" t="s">
        <v>58</v>
      </c>
      <c r="E227" s="83" t="s">
        <v>20</v>
      </c>
      <c r="F227" s="84">
        <v>0.25</v>
      </c>
      <c r="G227" s="79"/>
      <c r="H227" s="79"/>
      <c r="I227" s="79"/>
      <c r="J227" s="83">
        <v>45931</v>
      </c>
      <c r="K227" s="79">
        <v>46295</v>
      </c>
      <c r="L227" s="83">
        <v>261</v>
      </c>
      <c r="M227" s="83" t="s">
        <v>470</v>
      </c>
      <c r="N227" s="79"/>
      <c r="O227" s="79"/>
      <c r="P227" s="83" t="s">
        <v>95</v>
      </c>
      <c r="Q227" s="79"/>
      <c r="R227"/>
      <c r="S227"/>
    </row>
    <row r="228" spans="1:19" ht="30">
      <c r="A228" s="80" t="s">
        <v>94</v>
      </c>
      <c r="B228" s="79" t="s">
        <v>517</v>
      </c>
      <c r="C228" s="79" t="s">
        <v>22</v>
      </c>
      <c r="D228" s="79" t="s">
        <v>58</v>
      </c>
      <c r="E228" s="79" t="s">
        <v>20</v>
      </c>
      <c r="F228" s="85">
        <v>0.25</v>
      </c>
      <c r="G228" s="79" t="s">
        <v>469</v>
      </c>
      <c r="H228" s="79" t="s">
        <v>96</v>
      </c>
      <c r="I228" s="79" t="s">
        <v>97</v>
      </c>
      <c r="J228" s="79">
        <v>45931</v>
      </c>
      <c r="K228" s="86">
        <v>46295</v>
      </c>
      <c r="L228" s="79">
        <v>261</v>
      </c>
      <c r="M228" s="79" t="s">
        <v>470</v>
      </c>
      <c r="N228" s="79" t="s">
        <v>26</v>
      </c>
      <c r="O228" s="79" t="s">
        <v>26</v>
      </c>
      <c r="P228" s="79" t="s">
        <v>95</v>
      </c>
      <c r="Q228" s="79"/>
      <c r="R228"/>
      <c r="S228"/>
    </row>
    <row r="229" spans="1:19" ht="30">
      <c r="A229" s="80" t="s">
        <v>94</v>
      </c>
      <c r="B229" s="79" t="s">
        <v>517</v>
      </c>
      <c r="C229" s="79" t="s">
        <v>28</v>
      </c>
      <c r="D229" s="79" t="s">
        <v>58</v>
      </c>
      <c r="E229" s="79" t="s">
        <v>20</v>
      </c>
      <c r="F229" s="85">
        <v>0</v>
      </c>
      <c r="G229" s="79"/>
      <c r="H229" s="79"/>
      <c r="I229" s="79"/>
      <c r="J229" s="79" t="s">
        <v>229</v>
      </c>
      <c r="K229" s="79" t="s">
        <v>229</v>
      </c>
      <c r="L229" s="79">
        <v>0</v>
      </c>
      <c r="M229" s="79" t="s">
        <v>470</v>
      </c>
      <c r="N229" s="79"/>
      <c r="O229" s="79"/>
      <c r="P229" s="79" t="s">
        <v>95</v>
      </c>
      <c r="Q229" s="79"/>
      <c r="R229"/>
      <c r="S229"/>
    </row>
    <row r="230" spans="1:19" ht="30">
      <c r="A230" s="80" t="s">
        <v>94</v>
      </c>
      <c r="B230" s="79" t="s">
        <v>517</v>
      </c>
      <c r="C230" s="79" t="s">
        <v>29</v>
      </c>
      <c r="D230" s="79" t="s">
        <v>58</v>
      </c>
      <c r="E230" s="79" t="s">
        <v>20</v>
      </c>
      <c r="F230" s="85">
        <v>0</v>
      </c>
      <c r="G230" s="79"/>
      <c r="H230" s="79"/>
      <c r="I230" s="79"/>
      <c r="J230" s="79" t="s">
        <v>229</v>
      </c>
      <c r="K230" s="79" t="s">
        <v>229</v>
      </c>
      <c r="L230" s="79">
        <v>0</v>
      </c>
      <c r="M230" s="79" t="s">
        <v>470</v>
      </c>
      <c r="N230" s="79"/>
      <c r="O230" s="79"/>
      <c r="P230" s="79" t="s">
        <v>95</v>
      </c>
      <c r="Q230" s="79"/>
      <c r="R230"/>
      <c r="S230"/>
    </row>
    <row r="231" spans="1:19" ht="30">
      <c r="A231" s="80" t="s">
        <v>94</v>
      </c>
      <c r="B231" s="79" t="s">
        <v>517</v>
      </c>
      <c r="C231" s="79" t="s">
        <v>30</v>
      </c>
      <c r="D231" s="79" t="s">
        <v>58</v>
      </c>
      <c r="E231" s="79" t="s">
        <v>20</v>
      </c>
      <c r="F231" s="85">
        <v>0</v>
      </c>
      <c r="G231" s="79"/>
      <c r="H231" s="79"/>
      <c r="I231" s="79"/>
      <c r="J231" s="79" t="s">
        <v>229</v>
      </c>
      <c r="K231" s="79" t="s">
        <v>229</v>
      </c>
      <c r="L231" s="79">
        <v>0</v>
      </c>
      <c r="M231" s="79" t="s">
        <v>470</v>
      </c>
      <c r="N231" s="79"/>
      <c r="O231" s="79"/>
      <c r="P231" s="79" t="s">
        <v>95</v>
      </c>
      <c r="Q231" s="79"/>
      <c r="R231"/>
      <c r="S231"/>
    </row>
    <row r="232" spans="1:19" ht="30">
      <c r="A232" s="75" t="s">
        <v>94</v>
      </c>
      <c r="B232" s="83" t="s">
        <v>312</v>
      </c>
      <c r="C232" s="83" t="s">
        <v>18</v>
      </c>
      <c r="D232" s="83" t="s">
        <v>58</v>
      </c>
      <c r="E232" s="83" t="s">
        <v>20</v>
      </c>
      <c r="F232" s="84">
        <v>0.25</v>
      </c>
      <c r="G232" s="79"/>
      <c r="H232" s="79"/>
      <c r="I232" s="79"/>
      <c r="J232" s="83">
        <v>45931</v>
      </c>
      <c r="K232" s="79">
        <v>46295</v>
      </c>
      <c r="L232" s="83">
        <v>261</v>
      </c>
      <c r="M232" s="83" t="s">
        <v>470</v>
      </c>
      <c r="N232" s="79"/>
      <c r="O232" s="79"/>
      <c r="P232" s="83" t="s">
        <v>95</v>
      </c>
      <c r="Q232" s="79"/>
      <c r="R232"/>
      <c r="S232"/>
    </row>
    <row r="233" spans="1:19" ht="30">
      <c r="A233" s="80" t="s">
        <v>94</v>
      </c>
      <c r="B233" s="79" t="s">
        <v>518</v>
      </c>
      <c r="C233" s="79" t="s">
        <v>22</v>
      </c>
      <c r="D233" s="79" t="s">
        <v>58</v>
      </c>
      <c r="E233" s="79" t="s">
        <v>20</v>
      </c>
      <c r="F233" s="85">
        <v>0.25</v>
      </c>
      <c r="G233" s="79" t="s">
        <v>469</v>
      </c>
      <c r="H233" s="79" t="s">
        <v>96</v>
      </c>
      <c r="I233" s="79" t="s">
        <v>97</v>
      </c>
      <c r="J233" s="79">
        <v>45931</v>
      </c>
      <c r="K233" s="86">
        <v>46295</v>
      </c>
      <c r="L233" s="79">
        <v>261</v>
      </c>
      <c r="M233" s="79" t="s">
        <v>470</v>
      </c>
      <c r="N233" s="79" t="s">
        <v>26</v>
      </c>
      <c r="O233" s="79" t="s">
        <v>26</v>
      </c>
      <c r="P233" s="79" t="s">
        <v>95</v>
      </c>
      <c r="Q233" s="79"/>
      <c r="R233"/>
      <c r="S233"/>
    </row>
    <row r="234" spans="1:19" ht="30">
      <c r="A234" s="80" t="s">
        <v>94</v>
      </c>
      <c r="B234" s="79" t="s">
        <v>518</v>
      </c>
      <c r="C234" s="79" t="s">
        <v>28</v>
      </c>
      <c r="D234" s="79" t="s">
        <v>58</v>
      </c>
      <c r="E234" s="79" t="s">
        <v>20</v>
      </c>
      <c r="F234" s="85">
        <v>0</v>
      </c>
      <c r="G234" s="79"/>
      <c r="H234" s="79"/>
      <c r="I234" s="79"/>
      <c r="J234" s="79" t="s">
        <v>229</v>
      </c>
      <c r="K234" s="79" t="s">
        <v>229</v>
      </c>
      <c r="L234" s="79">
        <v>0</v>
      </c>
      <c r="M234" s="79" t="s">
        <v>470</v>
      </c>
      <c r="N234" s="79"/>
      <c r="O234" s="79"/>
      <c r="P234" s="79" t="s">
        <v>95</v>
      </c>
      <c r="Q234" s="79"/>
      <c r="R234"/>
      <c r="S234"/>
    </row>
    <row r="235" spans="1:19" ht="30">
      <c r="A235" s="80" t="s">
        <v>94</v>
      </c>
      <c r="B235" s="79" t="s">
        <v>518</v>
      </c>
      <c r="C235" s="79" t="s">
        <v>29</v>
      </c>
      <c r="D235" s="79" t="s">
        <v>58</v>
      </c>
      <c r="E235" s="79" t="s">
        <v>20</v>
      </c>
      <c r="F235" s="85">
        <v>0</v>
      </c>
      <c r="G235" s="79"/>
      <c r="H235" s="79"/>
      <c r="I235" s="79"/>
      <c r="J235" s="79" t="s">
        <v>229</v>
      </c>
      <c r="K235" s="79" t="s">
        <v>229</v>
      </c>
      <c r="L235" s="79">
        <v>0</v>
      </c>
      <c r="M235" s="79" t="s">
        <v>470</v>
      </c>
      <c r="N235" s="79"/>
      <c r="O235" s="79"/>
      <c r="P235" s="79" t="s">
        <v>95</v>
      </c>
      <c r="Q235" s="79"/>
      <c r="R235"/>
      <c r="S235"/>
    </row>
    <row r="236" spans="1:19" ht="30">
      <c r="A236" s="80" t="s">
        <v>94</v>
      </c>
      <c r="B236" s="79" t="s">
        <v>518</v>
      </c>
      <c r="C236" s="79" t="s">
        <v>30</v>
      </c>
      <c r="D236" s="79" t="s">
        <v>58</v>
      </c>
      <c r="E236" s="79" t="s">
        <v>20</v>
      </c>
      <c r="F236" s="85">
        <v>0</v>
      </c>
      <c r="G236" s="79"/>
      <c r="H236" s="79"/>
      <c r="I236" s="79"/>
      <c r="J236" s="79" t="s">
        <v>229</v>
      </c>
      <c r="K236" s="79" t="s">
        <v>229</v>
      </c>
      <c r="L236" s="79">
        <v>0</v>
      </c>
      <c r="M236" s="79" t="s">
        <v>470</v>
      </c>
      <c r="N236" s="79"/>
      <c r="O236" s="79"/>
      <c r="P236" s="79" t="s">
        <v>95</v>
      </c>
      <c r="Q236" s="79"/>
      <c r="R236"/>
      <c r="S236"/>
    </row>
    <row r="237" spans="1:19" ht="30">
      <c r="A237" s="75" t="s">
        <v>94</v>
      </c>
      <c r="B237" s="83" t="s">
        <v>314</v>
      </c>
      <c r="C237" s="83" t="s">
        <v>18</v>
      </c>
      <c r="D237" s="83" t="s">
        <v>58</v>
      </c>
      <c r="E237" s="83" t="s">
        <v>20</v>
      </c>
      <c r="F237" s="84">
        <v>0.25</v>
      </c>
      <c r="G237" s="79"/>
      <c r="H237" s="79"/>
      <c r="I237" s="79"/>
      <c r="J237" s="83">
        <v>45931</v>
      </c>
      <c r="K237" s="79">
        <v>46295</v>
      </c>
      <c r="L237" s="83">
        <v>261</v>
      </c>
      <c r="M237" s="83" t="s">
        <v>470</v>
      </c>
      <c r="N237" s="79"/>
      <c r="O237" s="79"/>
      <c r="P237" s="83" t="s">
        <v>95</v>
      </c>
      <c r="Q237" s="79"/>
      <c r="R237"/>
      <c r="S237"/>
    </row>
    <row r="238" spans="1:19" ht="30">
      <c r="A238" s="80" t="s">
        <v>94</v>
      </c>
      <c r="B238" s="79" t="s">
        <v>519</v>
      </c>
      <c r="C238" s="79" t="s">
        <v>22</v>
      </c>
      <c r="D238" s="79" t="s">
        <v>58</v>
      </c>
      <c r="E238" s="79" t="s">
        <v>20</v>
      </c>
      <c r="F238" s="85">
        <v>0.25</v>
      </c>
      <c r="G238" s="79" t="s">
        <v>469</v>
      </c>
      <c r="H238" s="79" t="s">
        <v>96</v>
      </c>
      <c r="I238" s="79" t="s">
        <v>97</v>
      </c>
      <c r="J238" s="79">
        <v>45931</v>
      </c>
      <c r="K238" s="86">
        <v>46295</v>
      </c>
      <c r="L238" s="79">
        <v>261</v>
      </c>
      <c r="M238" s="79" t="s">
        <v>470</v>
      </c>
      <c r="N238" s="79" t="s">
        <v>26</v>
      </c>
      <c r="O238" s="79" t="s">
        <v>26</v>
      </c>
      <c r="P238" s="79" t="s">
        <v>95</v>
      </c>
      <c r="Q238" s="79"/>
      <c r="R238"/>
      <c r="S238"/>
    </row>
    <row r="239" spans="1:19" ht="30">
      <c r="A239" s="80" t="s">
        <v>94</v>
      </c>
      <c r="B239" s="79" t="s">
        <v>519</v>
      </c>
      <c r="C239" s="79" t="s">
        <v>28</v>
      </c>
      <c r="D239" s="79" t="s">
        <v>58</v>
      </c>
      <c r="E239" s="79" t="s">
        <v>20</v>
      </c>
      <c r="F239" s="85">
        <v>0</v>
      </c>
      <c r="G239" s="79"/>
      <c r="H239" s="79"/>
      <c r="I239" s="79"/>
      <c r="J239" s="79" t="s">
        <v>229</v>
      </c>
      <c r="K239" s="79" t="s">
        <v>229</v>
      </c>
      <c r="L239" s="79">
        <v>0</v>
      </c>
      <c r="M239" s="79" t="s">
        <v>470</v>
      </c>
      <c r="N239" s="79"/>
      <c r="O239" s="79"/>
      <c r="P239" s="79" t="s">
        <v>95</v>
      </c>
      <c r="Q239" s="79"/>
      <c r="R239"/>
      <c r="S239"/>
    </row>
    <row r="240" spans="1:19" ht="30">
      <c r="A240" s="80" t="s">
        <v>94</v>
      </c>
      <c r="B240" s="79" t="s">
        <v>519</v>
      </c>
      <c r="C240" s="79" t="s">
        <v>29</v>
      </c>
      <c r="D240" s="79" t="s">
        <v>58</v>
      </c>
      <c r="E240" s="79" t="s">
        <v>20</v>
      </c>
      <c r="F240" s="85">
        <v>0</v>
      </c>
      <c r="G240" s="79"/>
      <c r="H240" s="79"/>
      <c r="I240" s="79"/>
      <c r="J240" s="79" t="s">
        <v>229</v>
      </c>
      <c r="K240" s="79" t="s">
        <v>229</v>
      </c>
      <c r="L240" s="79">
        <v>0</v>
      </c>
      <c r="M240" s="79" t="s">
        <v>470</v>
      </c>
      <c r="N240" s="79"/>
      <c r="O240" s="79"/>
      <c r="P240" s="79" t="s">
        <v>95</v>
      </c>
      <c r="Q240" s="79"/>
      <c r="R240"/>
      <c r="S240"/>
    </row>
    <row r="241" spans="1:19" ht="30">
      <c r="A241" s="80" t="s">
        <v>94</v>
      </c>
      <c r="B241" s="79" t="s">
        <v>519</v>
      </c>
      <c r="C241" s="79" t="s">
        <v>30</v>
      </c>
      <c r="D241" s="79" t="s">
        <v>58</v>
      </c>
      <c r="E241" s="79" t="s">
        <v>20</v>
      </c>
      <c r="F241" s="85">
        <v>0</v>
      </c>
      <c r="G241" s="79"/>
      <c r="H241" s="79"/>
      <c r="I241" s="79"/>
      <c r="J241" s="79" t="s">
        <v>229</v>
      </c>
      <c r="K241" s="79" t="s">
        <v>229</v>
      </c>
      <c r="L241" s="79">
        <v>0</v>
      </c>
      <c r="M241" s="79" t="s">
        <v>470</v>
      </c>
      <c r="N241" s="79"/>
      <c r="O241" s="79"/>
      <c r="P241" s="79" t="s">
        <v>95</v>
      </c>
      <c r="Q241" s="79"/>
      <c r="R241"/>
      <c r="S241"/>
    </row>
    <row r="242" spans="1:19" ht="30">
      <c r="A242" s="75" t="s">
        <v>94</v>
      </c>
      <c r="B242" s="83" t="s">
        <v>316</v>
      </c>
      <c r="C242" s="83" t="s">
        <v>18</v>
      </c>
      <c r="D242" s="83" t="s">
        <v>58</v>
      </c>
      <c r="E242" s="83" t="s">
        <v>20</v>
      </c>
      <c r="F242" s="84">
        <v>0.25</v>
      </c>
      <c r="G242" s="79"/>
      <c r="H242" s="79"/>
      <c r="I242" s="79"/>
      <c r="J242" s="83">
        <v>45931</v>
      </c>
      <c r="K242" s="79">
        <v>46295</v>
      </c>
      <c r="L242" s="83">
        <v>261</v>
      </c>
      <c r="M242" s="83" t="s">
        <v>470</v>
      </c>
      <c r="N242" s="79"/>
      <c r="O242" s="79"/>
      <c r="P242" s="83" t="s">
        <v>95</v>
      </c>
      <c r="Q242" s="79"/>
      <c r="R242"/>
      <c r="S242"/>
    </row>
    <row r="243" spans="1:19" ht="30">
      <c r="A243" s="80" t="s">
        <v>94</v>
      </c>
      <c r="B243" s="79" t="s">
        <v>520</v>
      </c>
      <c r="C243" s="79" t="s">
        <v>22</v>
      </c>
      <c r="D243" s="79" t="s">
        <v>58</v>
      </c>
      <c r="E243" s="79" t="s">
        <v>20</v>
      </c>
      <c r="F243" s="85">
        <v>0.25</v>
      </c>
      <c r="G243" s="79" t="s">
        <v>469</v>
      </c>
      <c r="H243" s="79" t="s">
        <v>96</v>
      </c>
      <c r="I243" s="79" t="s">
        <v>97</v>
      </c>
      <c r="J243" s="79">
        <v>45931</v>
      </c>
      <c r="K243" s="86">
        <v>46295</v>
      </c>
      <c r="L243" s="79">
        <v>261</v>
      </c>
      <c r="M243" s="79" t="s">
        <v>470</v>
      </c>
      <c r="N243" s="79" t="s">
        <v>26</v>
      </c>
      <c r="O243" s="79" t="s">
        <v>26</v>
      </c>
      <c r="P243" s="79" t="s">
        <v>95</v>
      </c>
      <c r="Q243" s="79"/>
      <c r="R243"/>
      <c r="S243"/>
    </row>
    <row r="244" spans="1:19" ht="30">
      <c r="A244" s="80" t="s">
        <v>94</v>
      </c>
      <c r="B244" s="79" t="s">
        <v>520</v>
      </c>
      <c r="C244" s="79" t="s">
        <v>28</v>
      </c>
      <c r="D244" s="79" t="s">
        <v>58</v>
      </c>
      <c r="E244" s="79" t="s">
        <v>20</v>
      </c>
      <c r="F244" s="85">
        <v>0</v>
      </c>
      <c r="G244" s="79"/>
      <c r="H244" s="79"/>
      <c r="I244" s="79"/>
      <c r="J244" s="79" t="s">
        <v>229</v>
      </c>
      <c r="K244" s="79" t="s">
        <v>229</v>
      </c>
      <c r="L244" s="79">
        <v>0</v>
      </c>
      <c r="M244" s="79" t="s">
        <v>470</v>
      </c>
      <c r="N244" s="79"/>
      <c r="O244" s="79"/>
      <c r="P244" s="79" t="s">
        <v>95</v>
      </c>
      <c r="Q244" s="79"/>
      <c r="R244"/>
      <c r="S244"/>
    </row>
    <row r="245" spans="1:19" ht="30">
      <c r="A245" s="80" t="s">
        <v>94</v>
      </c>
      <c r="B245" s="79" t="s">
        <v>520</v>
      </c>
      <c r="C245" s="79" t="s">
        <v>29</v>
      </c>
      <c r="D245" s="79" t="s">
        <v>58</v>
      </c>
      <c r="E245" s="79" t="s">
        <v>20</v>
      </c>
      <c r="F245" s="85">
        <v>0</v>
      </c>
      <c r="G245" s="79"/>
      <c r="H245" s="79"/>
      <c r="I245" s="79"/>
      <c r="J245" s="79" t="s">
        <v>229</v>
      </c>
      <c r="K245" s="79" t="s">
        <v>229</v>
      </c>
      <c r="L245" s="79">
        <v>0</v>
      </c>
      <c r="M245" s="79" t="s">
        <v>470</v>
      </c>
      <c r="N245" s="79"/>
      <c r="O245" s="79"/>
      <c r="P245" s="79" t="s">
        <v>95</v>
      </c>
      <c r="Q245" s="79"/>
      <c r="R245"/>
      <c r="S245"/>
    </row>
    <row r="246" spans="1:19" ht="30">
      <c r="A246" s="80" t="s">
        <v>94</v>
      </c>
      <c r="B246" s="79" t="s">
        <v>520</v>
      </c>
      <c r="C246" s="79" t="s">
        <v>30</v>
      </c>
      <c r="D246" s="79" t="s">
        <v>58</v>
      </c>
      <c r="E246" s="79" t="s">
        <v>20</v>
      </c>
      <c r="F246" s="85">
        <v>0</v>
      </c>
      <c r="G246" s="79"/>
      <c r="H246" s="79"/>
      <c r="I246" s="79"/>
      <c r="J246" s="79" t="s">
        <v>229</v>
      </c>
      <c r="K246" s="79" t="s">
        <v>229</v>
      </c>
      <c r="L246" s="79">
        <v>0</v>
      </c>
      <c r="M246" s="79" t="s">
        <v>470</v>
      </c>
      <c r="N246" s="79"/>
      <c r="O246" s="79"/>
      <c r="P246" s="79" t="s">
        <v>95</v>
      </c>
      <c r="Q246" s="79"/>
      <c r="R246"/>
      <c r="S246"/>
    </row>
    <row r="247" spans="1:19" ht="30">
      <c r="A247" s="75" t="s">
        <v>94</v>
      </c>
      <c r="B247" s="83" t="s">
        <v>318</v>
      </c>
      <c r="C247" s="83" t="s">
        <v>18</v>
      </c>
      <c r="D247" s="83" t="s">
        <v>58</v>
      </c>
      <c r="E247" s="83" t="s">
        <v>20</v>
      </c>
      <c r="F247" s="84">
        <v>0.25</v>
      </c>
      <c r="G247" s="79"/>
      <c r="H247" s="79"/>
      <c r="I247" s="79"/>
      <c r="J247" s="83">
        <v>45931</v>
      </c>
      <c r="K247" s="79">
        <v>46295</v>
      </c>
      <c r="L247" s="83">
        <v>261</v>
      </c>
      <c r="M247" s="83" t="s">
        <v>470</v>
      </c>
      <c r="N247" s="79"/>
      <c r="O247" s="79"/>
      <c r="P247" s="83" t="s">
        <v>95</v>
      </c>
      <c r="Q247" s="79"/>
      <c r="R247"/>
      <c r="S247"/>
    </row>
    <row r="248" spans="1:19" ht="30">
      <c r="A248" s="80" t="s">
        <v>94</v>
      </c>
      <c r="B248" s="79" t="s">
        <v>521</v>
      </c>
      <c r="C248" s="79" t="s">
        <v>22</v>
      </c>
      <c r="D248" s="79" t="s">
        <v>58</v>
      </c>
      <c r="E248" s="79" t="s">
        <v>20</v>
      </c>
      <c r="F248" s="85">
        <v>0.25</v>
      </c>
      <c r="G248" s="79" t="s">
        <v>469</v>
      </c>
      <c r="H248" s="79" t="s">
        <v>96</v>
      </c>
      <c r="I248" s="79" t="s">
        <v>97</v>
      </c>
      <c r="J248" s="79">
        <v>45931</v>
      </c>
      <c r="K248" s="86">
        <v>46295</v>
      </c>
      <c r="L248" s="79">
        <v>261</v>
      </c>
      <c r="M248" s="79" t="s">
        <v>470</v>
      </c>
      <c r="N248" s="79" t="s">
        <v>26</v>
      </c>
      <c r="O248" s="79" t="s">
        <v>26</v>
      </c>
      <c r="P248" s="79" t="s">
        <v>95</v>
      </c>
      <c r="Q248" s="79"/>
      <c r="R248"/>
      <c r="S248"/>
    </row>
    <row r="249" spans="1:19" ht="30">
      <c r="A249" s="80" t="s">
        <v>94</v>
      </c>
      <c r="B249" s="79" t="s">
        <v>521</v>
      </c>
      <c r="C249" s="79" t="s">
        <v>28</v>
      </c>
      <c r="D249" s="79" t="s">
        <v>58</v>
      </c>
      <c r="E249" s="79" t="s">
        <v>20</v>
      </c>
      <c r="F249" s="85">
        <v>0</v>
      </c>
      <c r="G249" s="79"/>
      <c r="H249" s="79"/>
      <c r="I249" s="79"/>
      <c r="J249" s="79" t="s">
        <v>229</v>
      </c>
      <c r="K249" s="79" t="s">
        <v>229</v>
      </c>
      <c r="L249" s="79">
        <v>0</v>
      </c>
      <c r="M249" s="79" t="s">
        <v>470</v>
      </c>
      <c r="N249" s="79"/>
      <c r="O249" s="79"/>
      <c r="P249" s="79" t="s">
        <v>95</v>
      </c>
      <c r="Q249" s="79"/>
      <c r="R249"/>
      <c r="S249"/>
    </row>
    <row r="250" spans="1:19" ht="30">
      <c r="A250" s="80" t="s">
        <v>94</v>
      </c>
      <c r="B250" s="79" t="s">
        <v>521</v>
      </c>
      <c r="C250" s="79" t="s">
        <v>29</v>
      </c>
      <c r="D250" s="79" t="s">
        <v>58</v>
      </c>
      <c r="E250" s="79" t="s">
        <v>20</v>
      </c>
      <c r="F250" s="85">
        <v>0</v>
      </c>
      <c r="G250" s="79"/>
      <c r="H250" s="79"/>
      <c r="I250" s="79"/>
      <c r="J250" s="79" t="s">
        <v>229</v>
      </c>
      <c r="K250" s="79" t="s">
        <v>229</v>
      </c>
      <c r="L250" s="79">
        <v>0</v>
      </c>
      <c r="M250" s="79" t="s">
        <v>470</v>
      </c>
      <c r="N250" s="79"/>
      <c r="O250" s="79"/>
      <c r="P250" s="79" t="s">
        <v>95</v>
      </c>
      <c r="Q250" s="79"/>
      <c r="R250"/>
      <c r="S250"/>
    </row>
    <row r="251" spans="1:19" ht="30">
      <c r="A251" s="80" t="s">
        <v>94</v>
      </c>
      <c r="B251" s="79" t="s">
        <v>521</v>
      </c>
      <c r="C251" s="79" t="s">
        <v>30</v>
      </c>
      <c r="D251" s="79" t="s">
        <v>58</v>
      </c>
      <c r="E251" s="79" t="s">
        <v>20</v>
      </c>
      <c r="F251" s="85">
        <v>0</v>
      </c>
      <c r="G251" s="79"/>
      <c r="H251" s="79"/>
      <c r="I251" s="79"/>
      <c r="J251" s="79" t="s">
        <v>229</v>
      </c>
      <c r="K251" s="79" t="s">
        <v>229</v>
      </c>
      <c r="L251" s="79">
        <v>0</v>
      </c>
      <c r="M251" s="79" t="s">
        <v>470</v>
      </c>
      <c r="N251" s="79"/>
      <c r="O251" s="79"/>
      <c r="P251" s="79" t="s">
        <v>95</v>
      </c>
      <c r="Q251" s="79"/>
      <c r="R251"/>
      <c r="S251"/>
    </row>
    <row r="252" spans="1:19" ht="30">
      <c r="A252" s="75" t="s">
        <v>94</v>
      </c>
      <c r="B252" s="83" t="s">
        <v>522</v>
      </c>
      <c r="C252" s="83" t="s">
        <v>18</v>
      </c>
      <c r="D252" s="83" t="s">
        <v>58</v>
      </c>
      <c r="E252" s="83" t="s">
        <v>20</v>
      </c>
      <c r="F252" s="84">
        <v>0.25</v>
      </c>
      <c r="G252" s="79"/>
      <c r="H252" s="79"/>
      <c r="I252" s="79"/>
      <c r="J252" s="83">
        <v>45931</v>
      </c>
      <c r="K252" s="79">
        <v>46295</v>
      </c>
      <c r="L252" s="83">
        <v>261</v>
      </c>
      <c r="M252" s="83" t="s">
        <v>470</v>
      </c>
      <c r="N252" s="79"/>
      <c r="O252" s="79"/>
      <c r="P252" s="83" t="s">
        <v>95</v>
      </c>
      <c r="Q252" s="79"/>
      <c r="R252"/>
      <c r="S252"/>
    </row>
    <row r="253" spans="1:19" ht="30">
      <c r="A253" s="80" t="s">
        <v>94</v>
      </c>
      <c r="B253" s="79" t="s">
        <v>523</v>
      </c>
      <c r="C253" s="79" t="s">
        <v>22</v>
      </c>
      <c r="D253" s="79" t="s">
        <v>58</v>
      </c>
      <c r="E253" s="79" t="s">
        <v>20</v>
      </c>
      <c r="F253" s="85">
        <v>0.25</v>
      </c>
      <c r="G253" s="79" t="s">
        <v>469</v>
      </c>
      <c r="H253" s="79" t="s">
        <v>96</v>
      </c>
      <c r="I253" s="79" t="s">
        <v>97</v>
      </c>
      <c r="J253" s="79">
        <v>45931</v>
      </c>
      <c r="K253" s="86">
        <v>46295</v>
      </c>
      <c r="L253" s="79">
        <v>261</v>
      </c>
      <c r="M253" s="79" t="s">
        <v>470</v>
      </c>
      <c r="N253" s="79" t="s">
        <v>26</v>
      </c>
      <c r="O253" s="79" t="s">
        <v>26</v>
      </c>
      <c r="P253" s="79" t="s">
        <v>95</v>
      </c>
      <c r="Q253" s="79"/>
      <c r="R253"/>
      <c r="S253"/>
    </row>
    <row r="254" spans="1:19" ht="30">
      <c r="A254" s="80" t="s">
        <v>94</v>
      </c>
      <c r="B254" s="79" t="s">
        <v>523</v>
      </c>
      <c r="C254" s="79" t="s">
        <v>28</v>
      </c>
      <c r="D254" s="79" t="s">
        <v>58</v>
      </c>
      <c r="E254" s="79" t="s">
        <v>20</v>
      </c>
      <c r="F254" s="85">
        <v>0</v>
      </c>
      <c r="G254" s="79"/>
      <c r="H254" s="79"/>
      <c r="I254" s="79"/>
      <c r="J254" s="79" t="s">
        <v>229</v>
      </c>
      <c r="K254" s="79" t="s">
        <v>229</v>
      </c>
      <c r="L254" s="79">
        <v>0</v>
      </c>
      <c r="M254" s="79" t="s">
        <v>470</v>
      </c>
      <c r="N254" s="79"/>
      <c r="O254" s="79"/>
      <c r="P254" s="79" t="s">
        <v>95</v>
      </c>
      <c r="Q254" s="79"/>
      <c r="R254"/>
      <c r="S254"/>
    </row>
    <row r="255" spans="1:19" ht="30">
      <c r="A255" s="80" t="s">
        <v>94</v>
      </c>
      <c r="B255" s="79" t="s">
        <v>523</v>
      </c>
      <c r="C255" s="79" t="s">
        <v>29</v>
      </c>
      <c r="D255" s="79" t="s">
        <v>58</v>
      </c>
      <c r="E255" s="79" t="s">
        <v>20</v>
      </c>
      <c r="F255" s="85">
        <v>0</v>
      </c>
      <c r="G255" s="79"/>
      <c r="H255" s="79"/>
      <c r="I255" s="79"/>
      <c r="J255" s="79" t="s">
        <v>229</v>
      </c>
      <c r="K255" s="79" t="s">
        <v>229</v>
      </c>
      <c r="L255" s="79">
        <v>0</v>
      </c>
      <c r="M255" s="79" t="s">
        <v>470</v>
      </c>
      <c r="N255" s="79"/>
      <c r="O255" s="79"/>
      <c r="P255" s="79" t="s">
        <v>95</v>
      </c>
      <c r="Q255" s="79"/>
      <c r="R255"/>
      <c r="S255"/>
    </row>
    <row r="256" spans="1:19" ht="30">
      <c r="A256" s="80" t="s">
        <v>94</v>
      </c>
      <c r="B256" s="79" t="s">
        <v>523</v>
      </c>
      <c r="C256" s="79" t="s">
        <v>30</v>
      </c>
      <c r="D256" s="79" t="s">
        <v>58</v>
      </c>
      <c r="E256" s="79" t="s">
        <v>20</v>
      </c>
      <c r="F256" s="85">
        <v>0</v>
      </c>
      <c r="G256" s="79"/>
      <c r="H256" s="79"/>
      <c r="I256" s="79"/>
      <c r="J256" s="79" t="s">
        <v>229</v>
      </c>
      <c r="K256" s="79" t="s">
        <v>229</v>
      </c>
      <c r="L256" s="79">
        <v>0</v>
      </c>
      <c r="M256" s="79" t="s">
        <v>470</v>
      </c>
      <c r="N256" s="79"/>
      <c r="O256" s="79"/>
      <c r="P256" s="79" t="s">
        <v>95</v>
      </c>
      <c r="Q256" s="79"/>
      <c r="R256"/>
      <c r="S256"/>
    </row>
    <row r="257" spans="1:19">
      <c r="A257" s="82" t="s">
        <v>16</v>
      </c>
      <c r="B257" s="76" t="s">
        <v>321</v>
      </c>
      <c r="C257" s="76" t="s">
        <v>18</v>
      </c>
      <c r="D257" s="76" t="s">
        <v>19</v>
      </c>
      <c r="E257" s="76" t="s">
        <v>105</v>
      </c>
      <c r="F257" s="77">
        <v>1</v>
      </c>
      <c r="G257" s="78"/>
      <c r="H257" s="78"/>
      <c r="I257" s="78"/>
      <c r="J257" s="76">
        <v>45870</v>
      </c>
      <c r="K257" s="79">
        <v>46142</v>
      </c>
      <c r="L257" s="76">
        <v>195</v>
      </c>
      <c r="M257" s="76" t="s">
        <v>470</v>
      </c>
      <c r="N257" s="78"/>
      <c r="O257" s="78"/>
      <c r="P257" s="76" t="s">
        <v>104</v>
      </c>
      <c r="Q257" s="79"/>
      <c r="R257"/>
      <c r="S257"/>
    </row>
    <row r="258" spans="1:19" ht="30">
      <c r="A258" s="80" t="s">
        <v>16</v>
      </c>
      <c r="B258" s="78" t="s">
        <v>322</v>
      </c>
      <c r="C258" s="78" t="s">
        <v>22</v>
      </c>
      <c r="D258" s="78" t="s">
        <v>19</v>
      </c>
      <c r="E258" s="78" t="s">
        <v>105</v>
      </c>
      <c r="F258" s="81">
        <v>1</v>
      </c>
      <c r="G258" s="78" t="s">
        <v>23</v>
      </c>
      <c r="H258" s="78" t="s">
        <v>106</v>
      </c>
      <c r="I258" s="78" t="s">
        <v>25</v>
      </c>
      <c r="J258" s="76">
        <v>45946</v>
      </c>
      <c r="K258" s="79">
        <v>45961</v>
      </c>
      <c r="L258" s="78">
        <v>12</v>
      </c>
      <c r="M258" s="78" t="s">
        <v>524</v>
      </c>
      <c r="N258" s="78" t="s">
        <v>108</v>
      </c>
      <c r="O258" s="78" t="s">
        <v>108</v>
      </c>
      <c r="P258" s="78" t="s">
        <v>104</v>
      </c>
      <c r="Q258" s="79"/>
      <c r="R258"/>
      <c r="S258"/>
    </row>
    <row r="259" spans="1:19" ht="30">
      <c r="A259" s="80" t="s">
        <v>16</v>
      </c>
      <c r="B259" s="78" t="s">
        <v>322</v>
      </c>
      <c r="C259" s="78" t="s">
        <v>28</v>
      </c>
      <c r="D259" s="78" t="s">
        <v>19</v>
      </c>
      <c r="E259" s="78" t="s">
        <v>105</v>
      </c>
      <c r="F259" s="81">
        <v>0.75</v>
      </c>
      <c r="G259" s="78"/>
      <c r="H259" s="78"/>
      <c r="I259" s="78"/>
      <c r="J259" s="78">
        <v>45962</v>
      </c>
      <c r="K259" s="79">
        <v>46081</v>
      </c>
      <c r="L259" s="78">
        <v>85</v>
      </c>
      <c r="M259" s="78" t="s">
        <v>470</v>
      </c>
      <c r="N259" s="78" t="s">
        <v>43</v>
      </c>
      <c r="O259" s="78" t="s">
        <v>132</v>
      </c>
      <c r="P259" s="78" t="s">
        <v>104</v>
      </c>
      <c r="Q259" s="79"/>
      <c r="R259"/>
      <c r="S259"/>
    </row>
    <row r="260" spans="1:19">
      <c r="A260" s="80" t="s">
        <v>16</v>
      </c>
      <c r="B260" s="78" t="s">
        <v>322</v>
      </c>
      <c r="C260" s="78" t="s">
        <v>29</v>
      </c>
      <c r="D260" s="78" t="s">
        <v>19</v>
      </c>
      <c r="E260" s="78" t="s">
        <v>105</v>
      </c>
      <c r="F260" s="81">
        <v>0</v>
      </c>
      <c r="G260" s="78"/>
      <c r="H260" s="78"/>
      <c r="I260" s="78"/>
      <c r="J260" s="76">
        <v>45964</v>
      </c>
      <c r="K260" s="79">
        <v>46112</v>
      </c>
      <c r="L260" s="78">
        <v>107</v>
      </c>
      <c r="M260" s="78" t="s">
        <v>470</v>
      </c>
      <c r="N260" s="78" t="s">
        <v>43</v>
      </c>
      <c r="O260" s="78" t="s">
        <v>29</v>
      </c>
      <c r="P260" s="78" t="s">
        <v>104</v>
      </c>
      <c r="Q260" s="79"/>
      <c r="R260"/>
      <c r="S260"/>
    </row>
    <row r="261" spans="1:19">
      <c r="A261" s="80" t="s">
        <v>16</v>
      </c>
      <c r="B261" s="78" t="s">
        <v>322</v>
      </c>
      <c r="C261" s="78" t="s">
        <v>30</v>
      </c>
      <c r="D261" s="78" t="s">
        <v>19</v>
      </c>
      <c r="E261" s="78" t="s">
        <v>105</v>
      </c>
      <c r="F261" s="81">
        <v>0</v>
      </c>
      <c r="G261" s="78"/>
      <c r="H261" s="78"/>
      <c r="I261" s="78"/>
      <c r="J261" s="78" t="s">
        <v>229</v>
      </c>
      <c r="K261" s="79" t="s">
        <v>229</v>
      </c>
      <c r="L261" s="78">
        <v>0</v>
      </c>
      <c r="M261" s="78" t="s">
        <v>470</v>
      </c>
      <c r="N261" s="78"/>
      <c r="O261" s="78"/>
      <c r="P261" s="78" t="s">
        <v>104</v>
      </c>
      <c r="Q261" s="79"/>
      <c r="R261"/>
      <c r="S261"/>
    </row>
    <row r="262" spans="1:19" ht="30">
      <c r="A262" s="75" t="s">
        <v>16</v>
      </c>
      <c r="B262" s="83" t="s">
        <v>323</v>
      </c>
      <c r="C262" s="83" t="s">
        <v>18</v>
      </c>
      <c r="D262" s="83" t="s">
        <v>33</v>
      </c>
      <c r="E262" s="83" t="s">
        <v>105</v>
      </c>
      <c r="F262" s="84">
        <v>1</v>
      </c>
      <c r="G262" s="79"/>
      <c r="H262" s="79"/>
      <c r="I262" s="79"/>
      <c r="J262" s="79">
        <v>45870</v>
      </c>
      <c r="K262" s="79">
        <v>45874</v>
      </c>
      <c r="L262" s="83">
        <v>3</v>
      </c>
      <c r="M262" s="83" t="s">
        <v>525</v>
      </c>
      <c r="N262" s="79"/>
      <c r="O262" s="79"/>
      <c r="P262" s="83" t="s">
        <v>104</v>
      </c>
      <c r="Q262" s="79"/>
      <c r="R262"/>
      <c r="S262"/>
    </row>
    <row r="263" spans="1:19" ht="30">
      <c r="A263" s="80" t="s">
        <v>16</v>
      </c>
      <c r="B263" s="79" t="s">
        <v>324</v>
      </c>
      <c r="C263" s="79" t="s">
        <v>22</v>
      </c>
      <c r="D263" s="79" t="s">
        <v>33</v>
      </c>
      <c r="E263" s="79" t="s">
        <v>105</v>
      </c>
      <c r="F263" s="85">
        <v>1</v>
      </c>
      <c r="G263" s="79" t="s">
        <v>23</v>
      </c>
      <c r="H263" s="79" t="s">
        <v>106</v>
      </c>
      <c r="I263" s="79" t="s">
        <v>25</v>
      </c>
      <c r="J263" s="79">
        <v>45870</v>
      </c>
      <c r="K263" s="79">
        <v>45870</v>
      </c>
      <c r="L263" s="79">
        <v>1</v>
      </c>
      <c r="M263" s="79" t="s">
        <v>470</v>
      </c>
      <c r="N263" s="79" t="s">
        <v>108</v>
      </c>
      <c r="O263" s="79" t="s">
        <v>108</v>
      </c>
      <c r="P263" s="79" t="s">
        <v>104</v>
      </c>
      <c r="Q263" s="79"/>
      <c r="R263"/>
      <c r="S263"/>
    </row>
    <row r="264" spans="1:19" ht="30">
      <c r="A264" s="80" t="s">
        <v>16</v>
      </c>
      <c r="B264" s="79" t="s">
        <v>324</v>
      </c>
      <c r="C264" s="79" t="s">
        <v>28</v>
      </c>
      <c r="D264" s="79" t="s">
        <v>33</v>
      </c>
      <c r="E264" s="79" t="s">
        <v>105</v>
      </c>
      <c r="F264" s="85">
        <v>0</v>
      </c>
      <c r="G264" s="79"/>
      <c r="H264" s="79"/>
      <c r="I264" s="79"/>
      <c r="J264" s="79">
        <v>45962</v>
      </c>
      <c r="K264" s="79">
        <v>46081</v>
      </c>
      <c r="L264" s="79">
        <v>85</v>
      </c>
      <c r="M264" s="79" t="s">
        <v>470</v>
      </c>
      <c r="N264" s="79" t="s">
        <v>43</v>
      </c>
      <c r="O264" s="79" t="s">
        <v>132</v>
      </c>
      <c r="P264" s="79" t="s">
        <v>104</v>
      </c>
      <c r="Q264" s="79"/>
      <c r="R264"/>
      <c r="S264"/>
    </row>
    <row r="265" spans="1:19" ht="30">
      <c r="A265" s="80" t="s">
        <v>16</v>
      </c>
      <c r="B265" s="79" t="s">
        <v>324</v>
      </c>
      <c r="C265" s="79" t="s">
        <v>29</v>
      </c>
      <c r="D265" s="79" t="s">
        <v>33</v>
      </c>
      <c r="E265" s="79" t="s">
        <v>105</v>
      </c>
      <c r="F265" s="85">
        <v>0</v>
      </c>
      <c r="G265" s="79"/>
      <c r="H265" s="79"/>
      <c r="I265" s="79"/>
      <c r="J265" s="79">
        <v>45964</v>
      </c>
      <c r="K265" s="79">
        <v>46112</v>
      </c>
      <c r="L265" s="79">
        <v>107</v>
      </c>
      <c r="M265" s="79" t="s">
        <v>470</v>
      </c>
      <c r="N265" s="79" t="s">
        <v>43</v>
      </c>
      <c r="O265" s="79" t="s">
        <v>29</v>
      </c>
      <c r="P265" s="79" t="s">
        <v>104</v>
      </c>
      <c r="Q265" s="79"/>
      <c r="R265"/>
      <c r="S265"/>
    </row>
    <row r="266" spans="1:19" ht="30">
      <c r="A266" s="80" t="s">
        <v>16</v>
      </c>
      <c r="B266" s="79" t="s">
        <v>324</v>
      </c>
      <c r="C266" s="79" t="s">
        <v>30</v>
      </c>
      <c r="D266" s="79" t="s">
        <v>33</v>
      </c>
      <c r="E266" s="79" t="s">
        <v>105</v>
      </c>
      <c r="F266" s="85">
        <v>0</v>
      </c>
      <c r="G266" s="79"/>
      <c r="H266" s="79"/>
      <c r="I266" s="79"/>
      <c r="J266" s="79" t="s">
        <v>229</v>
      </c>
      <c r="K266" s="79" t="s">
        <v>229</v>
      </c>
      <c r="L266" s="79">
        <v>0</v>
      </c>
      <c r="M266" s="79" t="s">
        <v>470</v>
      </c>
      <c r="N266" s="79"/>
      <c r="O266" s="79"/>
      <c r="P266" s="79" t="s">
        <v>104</v>
      </c>
      <c r="Q266" s="79"/>
      <c r="R266"/>
      <c r="S266"/>
    </row>
    <row r="267" spans="1:19">
      <c r="A267" s="82" t="s">
        <v>16</v>
      </c>
      <c r="B267" s="83" t="s">
        <v>325</v>
      </c>
      <c r="C267" s="83" t="s">
        <v>18</v>
      </c>
      <c r="D267" s="83" t="s">
        <v>33</v>
      </c>
      <c r="E267" s="83" t="s">
        <v>105</v>
      </c>
      <c r="F267" s="84">
        <v>1</v>
      </c>
      <c r="G267" s="79"/>
      <c r="H267" s="79"/>
      <c r="I267" s="79"/>
      <c r="J267" s="83">
        <v>45870</v>
      </c>
      <c r="K267" s="79">
        <v>46142</v>
      </c>
      <c r="L267" s="83">
        <v>195</v>
      </c>
      <c r="M267" s="83" t="s">
        <v>524</v>
      </c>
      <c r="N267" s="79"/>
      <c r="O267" s="79"/>
      <c r="P267" s="83" t="s">
        <v>104</v>
      </c>
      <c r="Q267" s="79"/>
      <c r="R267"/>
      <c r="S267"/>
    </row>
    <row r="268" spans="1:19" ht="30">
      <c r="A268" s="80" t="s">
        <v>16</v>
      </c>
      <c r="B268" s="79" t="s">
        <v>326</v>
      </c>
      <c r="C268" s="79" t="s">
        <v>22</v>
      </c>
      <c r="D268" s="79" t="s">
        <v>33</v>
      </c>
      <c r="E268" s="79" t="s">
        <v>105</v>
      </c>
      <c r="F268" s="85">
        <v>1</v>
      </c>
      <c r="G268" s="79" t="s">
        <v>23</v>
      </c>
      <c r="H268" s="79" t="s">
        <v>106</v>
      </c>
      <c r="I268" s="79" t="s">
        <v>25</v>
      </c>
      <c r="J268" s="79">
        <v>45870</v>
      </c>
      <c r="K268" s="79">
        <v>45870</v>
      </c>
      <c r="L268" s="79">
        <v>1</v>
      </c>
      <c r="M268" s="79" t="s">
        <v>470</v>
      </c>
      <c r="N268" s="79" t="s">
        <v>108</v>
      </c>
      <c r="O268" s="79" t="s">
        <v>108</v>
      </c>
      <c r="P268" s="79" t="s">
        <v>104</v>
      </c>
      <c r="Q268" s="79"/>
      <c r="R268"/>
      <c r="S268"/>
    </row>
    <row r="269" spans="1:19" ht="30">
      <c r="A269" s="80" t="s">
        <v>16</v>
      </c>
      <c r="B269" s="79" t="s">
        <v>326</v>
      </c>
      <c r="C269" s="79" t="s">
        <v>28</v>
      </c>
      <c r="D269" s="79" t="s">
        <v>33</v>
      </c>
      <c r="E269" s="79" t="s">
        <v>105</v>
      </c>
      <c r="F269" s="85">
        <v>0</v>
      </c>
      <c r="G269" s="79"/>
      <c r="H269" s="79"/>
      <c r="I269" s="79"/>
      <c r="J269" s="79">
        <v>45962</v>
      </c>
      <c r="K269" s="79">
        <v>46081</v>
      </c>
      <c r="L269" s="79">
        <v>85</v>
      </c>
      <c r="M269" s="79" t="s">
        <v>470</v>
      </c>
      <c r="N269" s="79" t="s">
        <v>43</v>
      </c>
      <c r="O269" s="79" t="s">
        <v>132</v>
      </c>
      <c r="P269" s="79" t="s">
        <v>104</v>
      </c>
      <c r="Q269" s="79"/>
      <c r="R269"/>
      <c r="S269"/>
    </row>
    <row r="270" spans="1:19">
      <c r="A270" s="80" t="s">
        <v>16</v>
      </c>
      <c r="B270" s="79" t="s">
        <v>326</v>
      </c>
      <c r="C270" s="79" t="s">
        <v>29</v>
      </c>
      <c r="D270" s="79" t="s">
        <v>33</v>
      </c>
      <c r="E270" s="79" t="s">
        <v>105</v>
      </c>
      <c r="F270" s="85">
        <v>0</v>
      </c>
      <c r="G270" s="79"/>
      <c r="H270" s="79"/>
      <c r="I270" s="79"/>
      <c r="J270" s="79">
        <v>45964</v>
      </c>
      <c r="K270" s="79">
        <v>46112</v>
      </c>
      <c r="L270" s="79">
        <v>107</v>
      </c>
      <c r="M270" s="79" t="s">
        <v>470</v>
      </c>
      <c r="N270" s="79" t="s">
        <v>43</v>
      </c>
      <c r="O270" s="79" t="s">
        <v>29</v>
      </c>
      <c r="P270" s="79" t="s">
        <v>104</v>
      </c>
      <c r="Q270" s="79"/>
      <c r="R270"/>
      <c r="S270"/>
    </row>
    <row r="271" spans="1:19">
      <c r="A271" s="80" t="s">
        <v>16</v>
      </c>
      <c r="B271" s="79" t="s">
        <v>326</v>
      </c>
      <c r="C271" s="79" t="s">
        <v>30</v>
      </c>
      <c r="D271" s="79" t="s">
        <v>33</v>
      </c>
      <c r="E271" s="79" t="s">
        <v>105</v>
      </c>
      <c r="F271" s="85">
        <v>0</v>
      </c>
      <c r="G271" s="79"/>
      <c r="H271" s="79"/>
      <c r="I271" s="79"/>
      <c r="J271" s="79" t="s">
        <v>229</v>
      </c>
      <c r="K271" s="79" t="s">
        <v>229</v>
      </c>
      <c r="L271" s="79">
        <v>0</v>
      </c>
      <c r="M271" s="79" t="s">
        <v>470</v>
      </c>
      <c r="N271" s="79"/>
      <c r="O271" s="79"/>
      <c r="P271" s="79" t="s">
        <v>104</v>
      </c>
      <c r="Q271" s="79"/>
      <c r="R271"/>
      <c r="S271"/>
    </row>
    <row r="272" spans="1:19">
      <c r="A272" s="75" t="s">
        <v>16</v>
      </c>
      <c r="B272" s="83" t="s">
        <v>327</v>
      </c>
      <c r="C272" s="83" t="s">
        <v>18</v>
      </c>
      <c r="D272" s="83" t="s">
        <v>58</v>
      </c>
      <c r="E272" s="83" t="s">
        <v>105</v>
      </c>
      <c r="F272" s="84">
        <v>1</v>
      </c>
      <c r="G272" s="79"/>
      <c r="H272" s="79"/>
      <c r="I272" s="79"/>
      <c r="J272" s="83">
        <v>45870</v>
      </c>
      <c r="K272" s="79">
        <v>46142</v>
      </c>
      <c r="L272" s="83">
        <v>195</v>
      </c>
      <c r="M272" s="83" t="s">
        <v>470</v>
      </c>
      <c r="N272" s="79"/>
      <c r="O272" s="79"/>
      <c r="P272" s="83" t="s">
        <v>104</v>
      </c>
      <c r="Q272" s="79"/>
      <c r="R272"/>
      <c r="S272"/>
    </row>
    <row r="273" spans="1:19" ht="30">
      <c r="A273" s="80" t="s">
        <v>16</v>
      </c>
      <c r="B273" s="79" t="s">
        <v>328</v>
      </c>
      <c r="C273" s="79" t="s">
        <v>22</v>
      </c>
      <c r="D273" s="79" t="s">
        <v>58</v>
      </c>
      <c r="E273" s="79" t="s">
        <v>105</v>
      </c>
      <c r="F273" s="85">
        <v>1</v>
      </c>
      <c r="G273" s="79" t="s">
        <v>23</v>
      </c>
      <c r="H273" s="79" t="s">
        <v>113</v>
      </c>
      <c r="I273" s="79" t="s">
        <v>25</v>
      </c>
      <c r="J273" s="83">
        <v>45870</v>
      </c>
      <c r="K273" s="79">
        <v>45945</v>
      </c>
      <c r="L273" s="79">
        <v>54</v>
      </c>
      <c r="M273" s="79" t="s">
        <v>470</v>
      </c>
      <c r="N273" s="79" t="s">
        <v>108</v>
      </c>
      <c r="O273" s="79" t="s">
        <v>108</v>
      </c>
      <c r="P273" s="79" t="s">
        <v>104</v>
      </c>
      <c r="Q273" s="79"/>
      <c r="R273"/>
      <c r="S273"/>
    </row>
    <row r="274" spans="1:19">
      <c r="A274" s="80" t="s">
        <v>16</v>
      </c>
      <c r="B274" s="79" t="s">
        <v>328</v>
      </c>
      <c r="C274" s="79" t="s">
        <v>28</v>
      </c>
      <c r="D274" s="79" t="s">
        <v>58</v>
      </c>
      <c r="E274" s="79" t="s">
        <v>105</v>
      </c>
      <c r="F274" s="85">
        <v>0</v>
      </c>
      <c r="G274" s="79"/>
      <c r="H274" s="79"/>
      <c r="I274" s="79"/>
      <c r="J274" s="79" t="s">
        <v>229</v>
      </c>
      <c r="K274" s="79" t="s">
        <v>229</v>
      </c>
      <c r="L274" s="79">
        <v>0</v>
      </c>
      <c r="M274" s="79" t="s">
        <v>470</v>
      </c>
      <c r="N274" s="79"/>
      <c r="O274" s="79"/>
      <c r="P274" s="79" t="s">
        <v>104</v>
      </c>
      <c r="Q274" s="79"/>
      <c r="R274"/>
      <c r="S274"/>
    </row>
    <row r="275" spans="1:19">
      <c r="A275" s="80" t="s">
        <v>16</v>
      </c>
      <c r="B275" s="79" t="s">
        <v>328</v>
      </c>
      <c r="C275" s="79" t="s">
        <v>29</v>
      </c>
      <c r="D275" s="79" t="s">
        <v>58</v>
      </c>
      <c r="E275" s="79" t="s">
        <v>105</v>
      </c>
      <c r="F275" s="85">
        <v>0</v>
      </c>
      <c r="G275" s="79"/>
      <c r="H275" s="79"/>
      <c r="I275" s="79"/>
      <c r="J275" s="83">
        <v>45946</v>
      </c>
      <c r="K275" s="79">
        <v>46142</v>
      </c>
      <c r="L275" s="79">
        <v>141</v>
      </c>
      <c r="M275" s="79" t="s">
        <v>470</v>
      </c>
      <c r="N275" s="79" t="s">
        <v>43</v>
      </c>
      <c r="O275" s="79" t="s">
        <v>29</v>
      </c>
      <c r="P275" s="79" t="s">
        <v>104</v>
      </c>
      <c r="Q275" s="79"/>
      <c r="R275"/>
      <c r="S275"/>
    </row>
    <row r="276" spans="1:19">
      <c r="A276" s="80" t="s">
        <v>16</v>
      </c>
      <c r="B276" s="79" t="s">
        <v>328</v>
      </c>
      <c r="C276" s="79" t="s">
        <v>30</v>
      </c>
      <c r="D276" s="79" t="s">
        <v>58</v>
      </c>
      <c r="E276" s="79" t="s">
        <v>105</v>
      </c>
      <c r="F276" s="85">
        <v>0</v>
      </c>
      <c r="G276" s="79"/>
      <c r="H276" s="79"/>
      <c r="I276" s="79"/>
      <c r="J276" s="79" t="s">
        <v>229</v>
      </c>
      <c r="K276" s="79" t="s">
        <v>229</v>
      </c>
      <c r="L276" s="79">
        <v>0</v>
      </c>
      <c r="M276" s="79" t="s">
        <v>470</v>
      </c>
      <c r="N276" s="79"/>
      <c r="O276" s="79"/>
      <c r="P276" s="79" t="s">
        <v>104</v>
      </c>
      <c r="Q276" s="79"/>
      <c r="R276"/>
      <c r="S276"/>
    </row>
    <row r="277" spans="1:19">
      <c r="A277" s="75" t="s">
        <v>16</v>
      </c>
      <c r="B277" s="83" t="s">
        <v>329</v>
      </c>
      <c r="C277" s="83" t="s">
        <v>18</v>
      </c>
      <c r="D277" s="83" t="s">
        <v>33</v>
      </c>
      <c r="E277" s="83" t="s">
        <v>105</v>
      </c>
      <c r="F277" s="84">
        <v>1</v>
      </c>
      <c r="G277" s="79"/>
      <c r="H277" s="79"/>
      <c r="I277" s="79"/>
      <c r="J277" s="79">
        <v>45870</v>
      </c>
      <c r="K277" s="79">
        <v>45870</v>
      </c>
      <c r="L277" s="83">
        <v>1</v>
      </c>
      <c r="M277" s="83" t="s">
        <v>525</v>
      </c>
      <c r="N277" s="79"/>
      <c r="O277" s="79"/>
      <c r="P277" s="83" t="s">
        <v>104</v>
      </c>
      <c r="Q277" s="79"/>
      <c r="R277"/>
      <c r="S277"/>
    </row>
    <row r="278" spans="1:19" ht="30">
      <c r="A278" s="80" t="s">
        <v>16</v>
      </c>
      <c r="B278" s="79" t="s">
        <v>330</v>
      </c>
      <c r="C278" s="79" t="s">
        <v>22</v>
      </c>
      <c r="D278" s="79" t="s">
        <v>33</v>
      </c>
      <c r="E278" s="79" t="s">
        <v>105</v>
      </c>
      <c r="F278" s="85">
        <v>1</v>
      </c>
      <c r="G278" s="79" t="s">
        <v>23</v>
      </c>
      <c r="H278" s="79" t="s">
        <v>106</v>
      </c>
      <c r="I278" s="79" t="s">
        <v>25</v>
      </c>
      <c r="J278" s="79">
        <v>45870</v>
      </c>
      <c r="K278" s="79">
        <v>45870</v>
      </c>
      <c r="L278" s="79">
        <v>1</v>
      </c>
      <c r="M278" s="79" t="s">
        <v>470</v>
      </c>
      <c r="N278" s="79" t="s">
        <v>108</v>
      </c>
      <c r="O278" s="79" t="s">
        <v>108</v>
      </c>
      <c r="P278" s="79" t="s">
        <v>104</v>
      </c>
      <c r="Q278" s="79"/>
      <c r="R278"/>
      <c r="S278"/>
    </row>
    <row r="279" spans="1:19" ht="30">
      <c r="A279" s="80" t="s">
        <v>16</v>
      </c>
      <c r="B279" s="79" t="s">
        <v>330</v>
      </c>
      <c r="C279" s="79" t="s">
        <v>28</v>
      </c>
      <c r="D279" s="79" t="s">
        <v>33</v>
      </c>
      <c r="E279" s="79" t="s">
        <v>105</v>
      </c>
      <c r="F279" s="85">
        <v>0</v>
      </c>
      <c r="G279" s="79"/>
      <c r="H279" s="79"/>
      <c r="I279" s="79"/>
      <c r="J279" s="79">
        <v>45962</v>
      </c>
      <c r="K279" s="79">
        <v>46081</v>
      </c>
      <c r="L279" s="79">
        <v>85</v>
      </c>
      <c r="M279" s="79" t="s">
        <v>470</v>
      </c>
      <c r="N279" s="79" t="s">
        <v>43</v>
      </c>
      <c r="O279" s="79" t="s">
        <v>132</v>
      </c>
      <c r="P279" s="79" t="s">
        <v>104</v>
      </c>
      <c r="Q279" s="79"/>
      <c r="R279"/>
      <c r="S279"/>
    </row>
    <row r="280" spans="1:19">
      <c r="A280" s="80" t="s">
        <v>16</v>
      </c>
      <c r="B280" s="79" t="s">
        <v>330</v>
      </c>
      <c r="C280" s="79" t="s">
        <v>29</v>
      </c>
      <c r="D280" s="79" t="s">
        <v>33</v>
      </c>
      <c r="E280" s="79" t="s">
        <v>105</v>
      </c>
      <c r="F280" s="85">
        <v>0</v>
      </c>
      <c r="G280" s="79"/>
      <c r="H280" s="79"/>
      <c r="I280" s="79"/>
      <c r="J280" s="79">
        <v>45964</v>
      </c>
      <c r="K280" s="79">
        <v>46112</v>
      </c>
      <c r="L280" s="79">
        <v>107</v>
      </c>
      <c r="M280" s="79" t="s">
        <v>470</v>
      </c>
      <c r="N280" s="79" t="s">
        <v>43</v>
      </c>
      <c r="O280" s="79" t="s">
        <v>29</v>
      </c>
      <c r="P280" s="79" t="s">
        <v>104</v>
      </c>
      <c r="Q280" s="79"/>
      <c r="R280"/>
      <c r="S280"/>
    </row>
    <row r="281" spans="1:19">
      <c r="A281" s="80" t="s">
        <v>16</v>
      </c>
      <c r="B281" s="79" t="s">
        <v>330</v>
      </c>
      <c r="C281" s="79" t="s">
        <v>30</v>
      </c>
      <c r="D281" s="79" t="s">
        <v>33</v>
      </c>
      <c r="E281" s="79" t="s">
        <v>105</v>
      </c>
      <c r="F281" s="85">
        <v>0</v>
      </c>
      <c r="G281" s="79"/>
      <c r="H281" s="79"/>
      <c r="I281" s="79"/>
      <c r="J281" s="79" t="s">
        <v>229</v>
      </c>
      <c r="K281" s="79" t="s">
        <v>229</v>
      </c>
      <c r="L281" s="79">
        <v>0</v>
      </c>
      <c r="M281" s="79" t="s">
        <v>470</v>
      </c>
      <c r="N281" s="79"/>
      <c r="O281" s="79"/>
      <c r="P281" s="79" t="s">
        <v>104</v>
      </c>
      <c r="Q281" s="79"/>
      <c r="R281"/>
      <c r="S281"/>
    </row>
    <row r="282" spans="1:19">
      <c r="A282" s="75" t="s">
        <v>39</v>
      </c>
      <c r="B282" s="76" t="s">
        <v>331</v>
      </c>
      <c r="C282" s="76" t="s">
        <v>18</v>
      </c>
      <c r="D282" s="76" t="s">
        <v>19</v>
      </c>
      <c r="E282" s="76" t="s">
        <v>105</v>
      </c>
      <c r="F282" s="77">
        <v>0.41</v>
      </c>
      <c r="G282" s="78"/>
      <c r="H282" s="78"/>
      <c r="I282" s="78"/>
      <c r="J282" s="76">
        <v>45748</v>
      </c>
      <c r="K282" s="79">
        <v>46265</v>
      </c>
      <c r="L282" s="76">
        <v>370</v>
      </c>
      <c r="M282" s="76" t="s">
        <v>470</v>
      </c>
      <c r="N282" s="78"/>
      <c r="O282" s="78"/>
      <c r="P282" s="76" t="s">
        <v>115</v>
      </c>
      <c r="Q282" s="79"/>
      <c r="R282"/>
      <c r="S282"/>
    </row>
    <row r="283" spans="1:19" ht="30">
      <c r="A283" s="80" t="s">
        <v>39</v>
      </c>
      <c r="B283" s="78" t="s">
        <v>332</v>
      </c>
      <c r="C283" s="78" t="s">
        <v>22</v>
      </c>
      <c r="D283" s="78" t="s">
        <v>19</v>
      </c>
      <c r="E283" s="78" t="s">
        <v>105</v>
      </c>
      <c r="F283" s="81">
        <v>0</v>
      </c>
      <c r="G283" s="78" t="s">
        <v>23</v>
      </c>
      <c r="H283" s="78" t="s">
        <v>526</v>
      </c>
      <c r="I283" s="78" t="s">
        <v>527</v>
      </c>
      <c r="J283" s="78" t="s">
        <v>229</v>
      </c>
      <c r="K283" s="79" t="s">
        <v>229</v>
      </c>
      <c r="L283" s="78">
        <v>0</v>
      </c>
      <c r="M283" s="78" t="s">
        <v>470</v>
      </c>
      <c r="N283" s="78"/>
      <c r="O283" s="78"/>
      <c r="P283" s="78" t="s">
        <v>115</v>
      </c>
      <c r="Q283" s="79"/>
      <c r="R283"/>
      <c r="S283"/>
    </row>
    <row r="284" spans="1:19">
      <c r="A284" s="80" t="s">
        <v>39</v>
      </c>
      <c r="B284" s="78" t="s">
        <v>332</v>
      </c>
      <c r="C284" s="78" t="s">
        <v>28</v>
      </c>
      <c r="D284" s="78" t="s">
        <v>19</v>
      </c>
      <c r="E284" s="78" t="s">
        <v>105</v>
      </c>
      <c r="F284" s="81">
        <v>0</v>
      </c>
      <c r="G284" s="78"/>
      <c r="H284" s="78"/>
      <c r="I284" s="78"/>
      <c r="J284" s="78" t="s">
        <v>229</v>
      </c>
      <c r="K284" s="79" t="s">
        <v>229</v>
      </c>
      <c r="L284" s="78">
        <v>0</v>
      </c>
      <c r="M284" s="78" t="s">
        <v>470</v>
      </c>
      <c r="N284" s="78"/>
      <c r="O284" s="78"/>
      <c r="P284" s="78" t="s">
        <v>115</v>
      </c>
      <c r="Q284" s="79"/>
      <c r="R284"/>
      <c r="S284"/>
    </row>
    <row r="285" spans="1:19">
      <c r="A285" s="80" t="s">
        <v>39</v>
      </c>
      <c r="B285" s="78" t="s">
        <v>332</v>
      </c>
      <c r="C285" s="78" t="s">
        <v>29</v>
      </c>
      <c r="D285" s="78" t="s">
        <v>19</v>
      </c>
      <c r="E285" s="78" t="s">
        <v>105</v>
      </c>
      <c r="F285" s="81">
        <v>0</v>
      </c>
      <c r="G285" s="78"/>
      <c r="H285" s="78"/>
      <c r="I285" s="78"/>
      <c r="J285" s="78" t="s">
        <v>229</v>
      </c>
      <c r="K285" s="79" t="s">
        <v>229</v>
      </c>
      <c r="L285" s="78">
        <v>0</v>
      </c>
      <c r="M285" s="78" t="s">
        <v>470</v>
      </c>
      <c r="N285" s="78"/>
      <c r="O285" s="78"/>
      <c r="P285" s="78" t="s">
        <v>115</v>
      </c>
      <c r="Q285" s="79"/>
      <c r="R285"/>
      <c r="S285"/>
    </row>
    <row r="286" spans="1:19">
      <c r="A286" s="80" t="s">
        <v>39</v>
      </c>
      <c r="B286" s="78" t="s">
        <v>332</v>
      </c>
      <c r="C286" s="78" t="s">
        <v>30</v>
      </c>
      <c r="D286" s="78" t="s">
        <v>19</v>
      </c>
      <c r="E286" s="78" t="s">
        <v>105</v>
      </c>
      <c r="F286" s="81">
        <v>0</v>
      </c>
      <c r="G286" s="78"/>
      <c r="H286" s="78"/>
      <c r="I286" s="78"/>
      <c r="J286" s="78" t="s">
        <v>229</v>
      </c>
      <c r="K286" s="79" t="s">
        <v>229</v>
      </c>
      <c r="L286" s="78">
        <v>0</v>
      </c>
      <c r="M286" s="78" t="s">
        <v>470</v>
      </c>
      <c r="N286" s="78"/>
      <c r="O286" s="78"/>
      <c r="P286" s="78" t="s">
        <v>115</v>
      </c>
      <c r="Q286" s="79"/>
      <c r="R286"/>
      <c r="S286"/>
    </row>
    <row r="287" spans="1:19">
      <c r="A287" s="75" t="s">
        <v>39</v>
      </c>
      <c r="B287" s="83" t="s">
        <v>333</v>
      </c>
      <c r="C287" s="83" t="s">
        <v>18</v>
      </c>
      <c r="D287" s="83" t="s">
        <v>33</v>
      </c>
      <c r="E287" s="83" t="s">
        <v>105</v>
      </c>
      <c r="F287" s="84">
        <v>0.5</v>
      </c>
      <c r="G287" s="79"/>
      <c r="H287" s="79"/>
      <c r="I287" s="79"/>
      <c r="J287" s="83">
        <v>45931</v>
      </c>
      <c r="K287" s="79">
        <v>46248</v>
      </c>
      <c r="L287" s="83">
        <v>228</v>
      </c>
      <c r="M287" s="83" t="s">
        <v>470</v>
      </c>
      <c r="N287" s="79"/>
      <c r="O287" s="79"/>
      <c r="P287" s="83" t="s">
        <v>115</v>
      </c>
      <c r="Q287" s="79"/>
      <c r="R287"/>
      <c r="S287"/>
    </row>
    <row r="288" spans="1:19" ht="30">
      <c r="A288" s="80" t="s">
        <v>39</v>
      </c>
      <c r="B288" s="79" t="s">
        <v>334</v>
      </c>
      <c r="C288" s="79" t="s">
        <v>22</v>
      </c>
      <c r="D288" s="79" t="s">
        <v>33</v>
      </c>
      <c r="E288" s="79" t="s">
        <v>105</v>
      </c>
      <c r="F288" s="85">
        <v>0</v>
      </c>
      <c r="G288" s="79" t="s">
        <v>23</v>
      </c>
      <c r="H288" s="79" t="s">
        <v>526</v>
      </c>
      <c r="I288" s="79" t="s">
        <v>527</v>
      </c>
      <c r="J288" s="79">
        <v>46069</v>
      </c>
      <c r="K288" s="86">
        <v>46157</v>
      </c>
      <c r="L288" s="79">
        <v>65</v>
      </c>
      <c r="M288" s="79" t="s">
        <v>470</v>
      </c>
      <c r="N288" s="79" t="s">
        <v>43</v>
      </c>
      <c r="O288" s="79" t="s">
        <v>26</v>
      </c>
      <c r="P288" s="79" t="s">
        <v>115</v>
      </c>
      <c r="Q288" s="79"/>
      <c r="R288"/>
      <c r="S288"/>
    </row>
    <row r="289" spans="1:19">
      <c r="A289" s="80" t="s">
        <v>39</v>
      </c>
      <c r="B289" s="79" t="s">
        <v>334</v>
      </c>
      <c r="C289" s="79" t="s">
        <v>28</v>
      </c>
      <c r="D289" s="79" t="s">
        <v>33</v>
      </c>
      <c r="E289" s="79" t="s">
        <v>105</v>
      </c>
      <c r="F289" s="85">
        <v>0</v>
      </c>
      <c r="G289" s="79"/>
      <c r="H289" s="79"/>
      <c r="I289" s="79"/>
      <c r="J289" s="79">
        <v>46160</v>
      </c>
      <c r="K289" s="86">
        <v>46248</v>
      </c>
      <c r="L289" s="79">
        <v>65</v>
      </c>
      <c r="M289" s="79" t="s">
        <v>470</v>
      </c>
      <c r="N289" s="79"/>
      <c r="O289" s="79" t="s">
        <v>27</v>
      </c>
      <c r="P289" s="79" t="s">
        <v>115</v>
      </c>
      <c r="Q289" s="79"/>
      <c r="R289"/>
      <c r="S289"/>
    </row>
    <row r="290" spans="1:19">
      <c r="A290" s="80" t="s">
        <v>39</v>
      </c>
      <c r="B290" s="79" t="s">
        <v>334</v>
      </c>
      <c r="C290" s="79" t="s">
        <v>29</v>
      </c>
      <c r="D290" s="79" t="s">
        <v>33</v>
      </c>
      <c r="E290" s="79" t="s">
        <v>105</v>
      </c>
      <c r="F290" s="85">
        <v>0</v>
      </c>
      <c r="G290" s="79"/>
      <c r="H290" s="79"/>
      <c r="I290" s="79"/>
      <c r="J290" s="79" t="s">
        <v>229</v>
      </c>
      <c r="K290" s="86" t="s">
        <v>229</v>
      </c>
      <c r="L290" s="79">
        <v>0</v>
      </c>
      <c r="M290" s="79" t="s">
        <v>470</v>
      </c>
      <c r="N290" s="79"/>
      <c r="O290" s="79"/>
      <c r="P290" s="79" t="s">
        <v>115</v>
      </c>
      <c r="Q290" s="79"/>
      <c r="R290"/>
      <c r="S290"/>
    </row>
    <row r="291" spans="1:19">
      <c r="A291" s="80" t="s">
        <v>39</v>
      </c>
      <c r="B291" s="79" t="s">
        <v>334</v>
      </c>
      <c r="C291" s="79" t="s">
        <v>30</v>
      </c>
      <c r="D291" s="79" t="s">
        <v>33</v>
      </c>
      <c r="E291" s="79" t="s">
        <v>105</v>
      </c>
      <c r="F291" s="85">
        <v>0</v>
      </c>
      <c r="G291" s="79"/>
      <c r="H291" s="79"/>
      <c r="I291" s="79"/>
      <c r="J291" s="79" t="s">
        <v>229</v>
      </c>
      <c r="K291" s="86" t="s">
        <v>229</v>
      </c>
      <c r="L291" s="79">
        <v>0</v>
      </c>
      <c r="M291" s="79" t="s">
        <v>470</v>
      </c>
      <c r="N291" s="79"/>
      <c r="O291" s="79"/>
      <c r="P291" s="79" t="s">
        <v>115</v>
      </c>
      <c r="Q291" s="79"/>
      <c r="R291"/>
      <c r="S291"/>
    </row>
    <row r="292" spans="1:19" ht="30">
      <c r="A292" s="75" t="s">
        <v>119</v>
      </c>
      <c r="B292" s="83" t="s">
        <v>335</v>
      </c>
      <c r="C292" s="83" t="s">
        <v>18</v>
      </c>
      <c r="D292" s="83" t="s">
        <v>58</v>
      </c>
      <c r="E292" s="83" t="s">
        <v>105</v>
      </c>
      <c r="F292" s="84">
        <v>0.5</v>
      </c>
      <c r="G292" s="79"/>
      <c r="H292" s="79"/>
      <c r="I292" s="79"/>
      <c r="J292" s="83">
        <v>46036</v>
      </c>
      <c r="K292" s="79">
        <v>46195</v>
      </c>
      <c r="L292" s="83">
        <v>114</v>
      </c>
      <c r="M292" s="83" t="s">
        <v>470</v>
      </c>
      <c r="N292" s="79"/>
      <c r="O292" s="79"/>
      <c r="P292" s="83" t="s">
        <v>115</v>
      </c>
      <c r="Q292" s="79"/>
      <c r="R292"/>
      <c r="S292"/>
    </row>
    <row r="293" spans="1:19" ht="30">
      <c r="A293" s="80" t="s">
        <v>119</v>
      </c>
      <c r="B293" s="79" t="s">
        <v>336</v>
      </c>
      <c r="C293" s="79" t="s">
        <v>22</v>
      </c>
      <c r="D293" s="79" t="s">
        <v>58</v>
      </c>
      <c r="E293" s="79" t="s">
        <v>105</v>
      </c>
      <c r="F293" s="85">
        <v>0.5</v>
      </c>
      <c r="G293" s="79" t="s">
        <v>35</v>
      </c>
      <c r="H293" s="79" t="s">
        <v>121</v>
      </c>
      <c r="I293" s="79" t="s">
        <v>37</v>
      </c>
      <c r="J293" s="83">
        <v>46058</v>
      </c>
      <c r="K293" s="79">
        <v>46133</v>
      </c>
      <c r="L293" s="79">
        <v>54</v>
      </c>
      <c r="M293" s="79" t="s">
        <v>470</v>
      </c>
      <c r="N293" s="79" t="s">
        <v>26</v>
      </c>
      <c r="O293" s="79" t="s">
        <v>26</v>
      </c>
      <c r="P293" s="79" t="s">
        <v>115</v>
      </c>
      <c r="Q293" s="79"/>
      <c r="R293"/>
      <c r="S293"/>
    </row>
    <row r="294" spans="1:19" ht="30">
      <c r="A294" s="80" t="s">
        <v>119</v>
      </c>
      <c r="B294" s="79" t="s">
        <v>336</v>
      </c>
      <c r="C294" s="79" t="s">
        <v>28</v>
      </c>
      <c r="D294" s="79" t="s">
        <v>58</v>
      </c>
      <c r="E294" s="79" t="s">
        <v>105</v>
      </c>
      <c r="F294" s="85">
        <v>0</v>
      </c>
      <c r="G294" s="79"/>
      <c r="H294" s="79"/>
      <c r="I294" s="79"/>
      <c r="J294" s="79">
        <v>46134</v>
      </c>
      <c r="K294" s="79">
        <v>46195</v>
      </c>
      <c r="L294" s="79">
        <v>44</v>
      </c>
      <c r="M294" s="79" t="s">
        <v>470</v>
      </c>
      <c r="N294" s="79"/>
      <c r="O294" s="79" t="s">
        <v>27</v>
      </c>
      <c r="P294" s="79" t="s">
        <v>115</v>
      </c>
      <c r="Q294" s="79"/>
      <c r="R294"/>
      <c r="S294"/>
    </row>
    <row r="295" spans="1:19" ht="30">
      <c r="A295" s="80" t="s">
        <v>119</v>
      </c>
      <c r="B295" s="79" t="s">
        <v>336</v>
      </c>
      <c r="C295" s="79" t="s">
        <v>29</v>
      </c>
      <c r="D295" s="79" t="s">
        <v>58</v>
      </c>
      <c r="E295" s="79" t="s">
        <v>105</v>
      </c>
      <c r="F295" s="85">
        <v>0</v>
      </c>
      <c r="G295" s="79"/>
      <c r="H295" s="79"/>
      <c r="I295" s="79"/>
      <c r="J295" s="83">
        <v>46134</v>
      </c>
      <c r="K295" s="79">
        <v>46134</v>
      </c>
      <c r="L295" s="79">
        <v>1</v>
      </c>
      <c r="M295" s="79" t="s">
        <v>470</v>
      </c>
      <c r="N295" s="79"/>
      <c r="O295" s="79" t="s">
        <v>27</v>
      </c>
      <c r="P295" s="79" t="s">
        <v>115</v>
      </c>
      <c r="Q295" s="79"/>
      <c r="R295"/>
      <c r="S295"/>
    </row>
    <row r="296" spans="1:19" ht="30">
      <c r="A296" s="80" t="s">
        <v>119</v>
      </c>
      <c r="B296" s="79" t="s">
        <v>336</v>
      </c>
      <c r="C296" s="79" t="s">
        <v>30</v>
      </c>
      <c r="D296" s="79" t="s">
        <v>58</v>
      </c>
      <c r="E296" s="79" t="s">
        <v>105</v>
      </c>
      <c r="F296" s="85">
        <v>0</v>
      </c>
      <c r="G296" s="79"/>
      <c r="H296" s="79"/>
      <c r="I296" s="79"/>
      <c r="J296" s="79">
        <v>46036</v>
      </c>
      <c r="K296" s="79">
        <v>46036</v>
      </c>
      <c r="L296" s="79">
        <v>0</v>
      </c>
      <c r="M296" s="79" t="s">
        <v>470</v>
      </c>
      <c r="N296" s="79" t="s">
        <v>43</v>
      </c>
      <c r="O296" s="79" t="s">
        <v>226</v>
      </c>
      <c r="P296" s="79" t="s">
        <v>115</v>
      </c>
      <c r="Q296" s="79"/>
      <c r="R296"/>
      <c r="S296"/>
    </row>
    <row r="297" spans="1:19">
      <c r="A297" s="75" t="s">
        <v>39</v>
      </c>
      <c r="B297" s="83" t="s">
        <v>349</v>
      </c>
      <c r="C297" s="83" t="s">
        <v>18</v>
      </c>
      <c r="D297" s="83" t="s">
        <v>33</v>
      </c>
      <c r="E297" s="83" t="s">
        <v>105</v>
      </c>
      <c r="F297" s="84">
        <v>0</v>
      </c>
      <c r="G297" s="79"/>
      <c r="H297" s="79"/>
      <c r="I297" s="79"/>
      <c r="J297" s="83">
        <v>45803</v>
      </c>
      <c r="K297" s="79">
        <v>46157</v>
      </c>
      <c r="L297" s="83">
        <v>255</v>
      </c>
      <c r="M297" s="83" t="s">
        <v>470</v>
      </c>
      <c r="N297" s="79"/>
      <c r="O297" s="79"/>
      <c r="P297" s="83" t="s">
        <v>115</v>
      </c>
      <c r="Q297" s="79"/>
      <c r="R297"/>
      <c r="S297"/>
    </row>
    <row r="298" spans="1:19" ht="30">
      <c r="A298" s="80" t="s">
        <v>39</v>
      </c>
      <c r="B298" s="79" t="s">
        <v>350</v>
      </c>
      <c r="C298" s="79" t="s">
        <v>22</v>
      </c>
      <c r="D298" s="79" t="s">
        <v>33</v>
      </c>
      <c r="E298" s="79" t="s">
        <v>105</v>
      </c>
      <c r="F298" s="85">
        <v>0</v>
      </c>
      <c r="G298" s="79" t="s">
        <v>23</v>
      </c>
      <c r="H298" s="79" t="s">
        <v>526</v>
      </c>
      <c r="I298" s="79" t="s">
        <v>527</v>
      </c>
      <c r="J298" s="83">
        <v>46069</v>
      </c>
      <c r="K298" s="79">
        <v>46157</v>
      </c>
      <c r="L298" s="79">
        <v>65</v>
      </c>
      <c r="M298" s="79" t="s">
        <v>470</v>
      </c>
      <c r="N298" s="79" t="s">
        <v>43</v>
      </c>
      <c r="O298" s="79" t="s">
        <v>26</v>
      </c>
      <c r="P298" s="79" t="s">
        <v>115</v>
      </c>
      <c r="Q298" s="79"/>
      <c r="R298"/>
      <c r="S298"/>
    </row>
    <row r="299" spans="1:19" ht="30">
      <c r="A299" s="80" t="s">
        <v>39</v>
      </c>
      <c r="B299" s="79" t="s">
        <v>350</v>
      </c>
      <c r="C299" s="79" t="s">
        <v>28</v>
      </c>
      <c r="D299" s="79" t="s">
        <v>33</v>
      </c>
      <c r="E299" s="79" t="s">
        <v>105</v>
      </c>
      <c r="F299" s="85">
        <v>0</v>
      </c>
      <c r="G299" s="79"/>
      <c r="H299" s="79"/>
      <c r="I299" s="79"/>
      <c r="J299" s="79">
        <v>45803</v>
      </c>
      <c r="K299" s="79">
        <v>45884</v>
      </c>
      <c r="L299" s="79">
        <v>60</v>
      </c>
      <c r="M299" s="79" t="s">
        <v>470</v>
      </c>
      <c r="N299" s="79" t="s">
        <v>43</v>
      </c>
      <c r="O299" s="79" t="s">
        <v>132</v>
      </c>
      <c r="P299" s="79" t="s">
        <v>115</v>
      </c>
      <c r="Q299" s="79"/>
      <c r="R299"/>
      <c r="S299"/>
    </row>
    <row r="300" spans="1:19">
      <c r="A300" s="80" t="s">
        <v>39</v>
      </c>
      <c r="B300" s="79" t="s">
        <v>350</v>
      </c>
      <c r="C300" s="79" t="s">
        <v>29</v>
      </c>
      <c r="D300" s="79" t="s">
        <v>33</v>
      </c>
      <c r="E300" s="79" t="s">
        <v>105</v>
      </c>
      <c r="F300" s="85">
        <v>0</v>
      </c>
      <c r="G300" s="79"/>
      <c r="H300" s="79"/>
      <c r="I300" s="79"/>
      <c r="J300" s="83" t="s">
        <v>229</v>
      </c>
      <c r="K300" s="79" t="s">
        <v>229</v>
      </c>
      <c r="L300" s="79">
        <v>0</v>
      </c>
      <c r="M300" s="79" t="s">
        <v>470</v>
      </c>
      <c r="N300" s="79"/>
      <c r="O300" s="79"/>
      <c r="P300" s="79" t="s">
        <v>115</v>
      </c>
      <c r="Q300" s="79"/>
      <c r="R300"/>
      <c r="S300"/>
    </row>
    <row r="301" spans="1:19">
      <c r="A301" s="80" t="s">
        <v>39</v>
      </c>
      <c r="B301" s="79" t="s">
        <v>350</v>
      </c>
      <c r="C301" s="79" t="s">
        <v>30</v>
      </c>
      <c r="D301" s="79" t="s">
        <v>33</v>
      </c>
      <c r="E301" s="79" t="s">
        <v>105</v>
      </c>
      <c r="F301" s="85">
        <v>0</v>
      </c>
      <c r="G301" s="79"/>
      <c r="H301" s="79"/>
      <c r="I301" s="79"/>
      <c r="J301" s="79" t="s">
        <v>229</v>
      </c>
      <c r="K301" s="79" t="s">
        <v>229</v>
      </c>
      <c r="L301" s="79">
        <v>0</v>
      </c>
      <c r="M301" s="79" t="s">
        <v>470</v>
      </c>
      <c r="N301" s="79"/>
      <c r="O301" s="79"/>
      <c r="P301" s="79" t="s">
        <v>115</v>
      </c>
      <c r="Q301" s="79"/>
      <c r="R301"/>
      <c r="S301"/>
    </row>
    <row r="302" spans="1:19">
      <c r="A302" s="75" t="s">
        <v>39</v>
      </c>
      <c r="B302" s="83" t="s">
        <v>351</v>
      </c>
      <c r="C302" s="83" t="s">
        <v>18</v>
      </c>
      <c r="D302" s="83" t="s">
        <v>33</v>
      </c>
      <c r="E302" s="83" t="s">
        <v>105</v>
      </c>
      <c r="F302" s="84">
        <v>0</v>
      </c>
      <c r="G302" s="79"/>
      <c r="H302" s="79"/>
      <c r="I302" s="79"/>
      <c r="J302" s="79">
        <v>46127</v>
      </c>
      <c r="K302" s="79">
        <v>46265</v>
      </c>
      <c r="L302" s="83">
        <v>99</v>
      </c>
      <c r="M302" s="83" t="s">
        <v>470</v>
      </c>
      <c r="N302" s="79"/>
      <c r="O302" s="79"/>
      <c r="P302" s="83" t="s">
        <v>115</v>
      </c>
      <c r="Q302" s="79"/>
      <c r="R302"/>
      <c r="S302"/>
    </row>
    <row r="303" spans="1:19" ht="30">
      <c r="A303" s="80" t="s">
        <v>39</v>
      </c>
      <c r="B303" s="79" t="s">
        <v>352</v>
      </c>
      <c r="C303" s="79" t="s">
        <v>22</v>
      </c>
      <c r="D303" s="79" t="s">
        <v>33</v>
      </c>
      <c r="E303" s="79" t="s">
        <v>105</v>
      </c>
      <c r="F303" s="85">
        <v>0</v>
      </c>
      <c r="G303" s="79" t="s">
        <v>23</v>
      </c>
      <c r="H303" s="79" t="s">
        <v>526</v>
      </c>
      <c r="I303" s="79" t="s">
        <v>527</v>
      </c>
      <c r="J303" s="79">
        <v>46127</v>
      </c>
      <c r="K303" s="79">
        <v>46188</v>
      </c>
      <c r="L303" s="79">
        <v>44</v>
      </c>
      <c r="M303" s="79" t="s">
        <v>470</v>
      </c>
      <c r="N303" s="79"/>
      <c r="O303" s="79" t="s">
        <v>27</v>
      </c>
      <c r="P303" s="79" t="s">
        <v>115</v>
      </c>
      <c r="Q303" s="79"/>
      <c r="R303"/>
      <c r="S303"/>
    </row>
    <row r="304" spans="1:19">
      <c r="A304" s="80" t="s">
        <v>39</v>
      </c>
      <c r="B304" s="79" t="s">
        <v>352</v>
      </c>
      <c r="C304" s="79" t="s">
        <v>28</v>
      </c>
      <c r="D304" s="79" t="s">
        <v>33</v>
      </c>
      <c r="E304" s="79" t="s">
        <v>105</v>
      </c>
      <c r="F304" s="85">
        <v>0</v>
      </c>
      <c r="G304" s="79"/>
      <c r="H304" s="79"/>
      <c r="I304" s="79"/>
      <c r="J304" s="79">
        <v>46218</v>
      </c>
      <c r="K304" s="79">
        <v>46265</v>
      </c>
      <c r="L304" s="79">
        <v>34</v>
      </c>
      <c r="M304" s="79" t="s">
        <v>470</v>
      </c>
      <c r="N304" s="79"/>
      <c r="O304" s="79" t="s">
        <v>27</v>
      </c>
      <c r="P304" s="79" t="s">
        <v>115</v>
      </c>
      <c r="Q304" s="79"/>
      <c r="R304"/>
      <c r="S304"/>
    </row>
    <row r="305" spans="1:19">
      <c r="A305" s="80" t="s">
        <v>39</v>
      </c>
      <c r="B305" s="79" t="s">
        <v>352</v>
      </c>
      <c r="C305" s="79" t="s">
        <v>29</v>
      </c>
      <c r="D305" s="79" t="s">
        <v>33</v>
      </c>
      <c r="E305" s="79" t="s">
        <v>105</v>
      </c>
      <c r="F305" s="85">
        <v>0</v>
      </c>
      <c r="G305" s="79"/>
      <c r="H305" s="79"/>
      <c r="I305" s="79"/>
      <c r="J305" s="79" t="s">
        <v>229</v>
      </c>
      <c r="K305" s="79" t="s">
        <v>229</v>
      </c>
      <c r="L305" s="79">
        <v>0</v>
      </c>
      <c r="M305" s="79" t="s">
        <v>470</v>
      </c>
      <c r="N305" s="79"/>
      <c r="O305" s="79"/>
      <c r="P305" s="79" t="s">
        <v>115</v>
      </c>
      <c r="Q305" s="79"/>
      <c r="R305"/>
      <c r="S305"/>
    </row>
    <row r="306" spans="1:19">
      <c r="A306" s="80" t="s">
        <v>39</v>
      </c>
      <c r="B306" s="79" t="s">
        <v>352</v>
      </c>
      <c r="C306" s="79" t="s">
        <v>30</v>
      </c>
      <c r="D306" s="79" t="s">
        <v>33</v>
      </c>
      <c r="E306" s="79" t="s">
        <v>105</v>
      </c>
      <c r="F306" s="85">
        <v>0</v>
      </c>
      <c r="G306" s="79"/>
      <c r="H306" s="79"/>
      <c r="I306" s="79"/>
      <c r="J306" s="79" t="s">
        <v>229</v>
      </c>
      <c r="K306" s="79" t="s">
        <v>229</v>
      </c>
      <c r="L306" s="79">
        <v>0</v>
      </c>
      <c r="M306" s="79" t="s">
        <v>470</v>
      </c>
      <c r="N306" s="79"/>
      <c r="O306" s="79"/>
      <c r="P306" s="79" t="s">
        <v>115</v>
      </c>
      <c r="Q306" s="79"/>
      <c r="R306"/>
      <c r="S306"/>
    </row>
    <row r="307" spans="1:19">
      <c r="A307" s="75"/>
      <c r="B307" s="83" t="s">
        <v>528</v>
      </c>
      <c r="C307" s="83" t="s">
        <v>18</v>
      </c>
      <c r="D307" s="83" t="s">
        <v>33</v>
      </c>
      <c r="E307" s="83" t="s">
        <v>105</v>
      </c>
      <c r="F307" s="84">
        <v>0</v>
      </c>
      <c r="G307" s="79"/>
      <c r="H307" s="79"/>
      <c r="I307" s="79"/>
      <c r="J307" s="79">
        <v>46127</v>
      </c>
      <c r="K307" s="79">
        <v>46265</v>
      </c>
      <c r="L307" s="83">
        <v>99</v>
      </c>
      <c r="M307" s="83" t="s">
        <v>470</v>
      </c>
      <c r="N307" s="79"/>
      <c r="O307" s="79"/>
      <c r="P307" s="83" t="s">
        <v>115</v>
      </c>
      <c r="Q307" s="79"/>
      <c r="R307"/>
      <c r="S307"/>
    </row>
    <row r="308" spans="1:19" ht="30">
      <c r="A308" s="80" t="s">
        <v>39</v>
      </c>
      <c r="B308" s="79" t="s">
        <v>529</v>
      </c>
      <c r="C308" s="79" t="s">
        <v>22</v>
      </c>
      <c r="D308" s="79" t="s">
        <v>33</v>
      </c>
      <c r="E308" s="79" t="s">
        <v>105</v>
      </c>
      <c r="F308" s="85">
        <v>0</v>
      </c>
      <c r="G308" s="79" t="s">
        <v>23</v>
      </c>
      <c r="H308" s="79" t="s">
        <v>526</v>
      </c>
      <c r="I308" s="79" t="s">
        <v>527</v>
      </c>
      <c r="J308" s="79">
        <v>46127</v>
      </c>
      <c r="K308" s="79">
        <v>46188</v>
      </c>
      <c r="L308" s="79">
        <v>44</v>
      </c>
      <c r="M308" s="79" t="s">
        <v>470</v>
      </c>
      <c r="N308" s="79"/>
      <c r="O308" s="79" t="s">
        <v>27</v>
      </c>
      <c r="P308" s="79" t="s">
        <v>115</v>
      </c>
      <c r="Q308" s="79"/>
      <c r="R308"/>
      <c r="S308"/>
    </row>
    <row r="309" spans="1:19">
      <c r="A309" s="80" t="s">
        <v>39</v>
      </c>
      <c r="B309" s="79" t="s">
        <v>529</v>
      </c>
      <c r="C309" s="79" t="s">
        <v>28</v>
      </c>
      <c r="D309" s="79" t="s">
        <v>33</v>
      </c>
      <c r="E309" s="79" t="s">
        <v>105</v>
      </c>
      <c r="F309" s="85">
        <v>0</v>
      </c>
      <c r="G309" s="79"/>
      <c r="H309" s="79"/>
      <c r="I309" s="79"/>
      <c r="J309" s="79">
        <v>46218</v>
      </c>
      <c r="K309" s="79">
        <v>46265</v>
      </c>
      <c r="L309" s="79">
        <v>34</v>
      </c>
      <c r="M309" s="79" t="s">
        <v>470</v>
      </c>
      <c r="N309" s="79"/>
      <c r="O309" s="79" t="s">
        <v>27</v>
      </c>
      <c r="P309" s="79" t="s">
        <v>115</v>
      </c>
      <c r="Q309" s="79"/>
      <c r="R309"/>
      <c r="S309"/>
    </row>
    <row r="310" spans="1:19">
      <c r="A310" s="80" t="s">
        <v>39</v>
      </c>
      <c r="B310" s="79" t="s">
        <v>529</v>
      </c>
      <c r="C310" s="79" t="s">
        <v>29</v>
      </c>
      <c r="D310" s="79" t="s">
        <v>33</v>
      </c>
      <c r="E310" s="79" t="s">
        <v>105</v>
      </c>
      <c r="F310" s="85">
        <v>0</v>
      </c>
      <c r="G310" s="79"/>
      <c r="H310" s="79"/>
      <c r="I310" s="79"/>
      <c r="J310" s="79" t="s">
        <v>229</v>
      </c>
      <c r="K310" s="79" t="s">
        <v>229</v>
      </c>
      <c r="L310" s="79">
        <v>0</v>
      </c>
      <c r="M310" s="79" t="s">
        <v>470</v>
      </c>
      <c r="N310" s="79"/>
      <c r="O310" s="79"/>
      <c r="P310" s="79" t="s">
        <v>115</v>
      </c>
      <c r="Q310" s="79"/>
      <c r="R310"/>
      <c r="S310"/>
    </row>
    <row r="311" spans="1:19">
      <c r="A311" s="80" t="s">
        <v>39</v>
      </c>
      <c r="B311" s="79" t="s">
        <v>529</v>
      </c>
      <c r="C311" s="79" t="s">
        <v>30</v>
      </c>
      <c r="D311" s="79" t="s">
        <v>33</v>
      </c>
      <c r="E311" s="79" t="s">
        <v>105</v>
      </c>
      <c r="F311" s="85">
        <v>0</v>
      </c>
      <c r="G311" s="79"/>
      <c r="H311" s="79"/>
      <c r="I311" s="79"/>
      <c r="J311" s="79" t="s">
        <v>229</v>
      </c>
      <c r="K311" s="79" t="s">
        <v>229</v>
      </c>
      <c r="L311" s="79">
        <v>0</v>
      </c>
      <c r="M311" s="79" t="s">
        <v>470</v>
      </c>
      <c r="N311" s="79"/>
      <c r="O311" s="79"/>
      <c r="P311" s="79" t="s">
        <v>115</v>
      </c>
      <c r="Q311" s="79"/>
      <c r="R311"/>
      <c r="S311"/>
    </row>
    <row r="312" spans="1:19" ht="30">
      <c r="A312" s="75" t="s">
        <v>39</v>
      </c>
      <c r="B312" s="83" t="s">
        <v>355</v>
      </c>
      <c r="C312" s="83" t="s">
        <v>18</v>
      </c>
      <c r="D312" s="83" t="s">
        <v>33</v>
      </c>
      <c r="E312" s="83" t="s">
        <v>105</v>
      </c>
      <c r="F312" s="84">
        <v>0</v>
      </c>
      <c r="G312" s="79"/>
      <c r="H312" s="79"/>
      <c r="I312" s="79"/>
      <c r="J312" s="79" t="s">
        <v>229</v>
      </c>
      <c r="K312" s="79" t="s">
        <v>229</v>
      </c>
      <c r="L312" s="83">
        <v>0</v>
      </c>
      <c r="M312" s="83" t="s">
        <v>470</v>
      </c>
      <c r="N312" s="79"/>
      <c r="O312" s="79"/>
      <c r="P312" s="83" t="s">
        <v>115</v>
      </c>
      <c r="Q312" s="79"/>
      <c r="R312"/>
      <c r="S312"/>
    </row>
    <row r="313" spans="1:19" ht="30">
      <c r="A313" s="80" t="s">
        <v>39</v>
      </c>
      <c r="B313" s="79" t="s">
        <v>356</v>
      </c>
      <c r="C313" s="79" t="s">
        <v>22</v>
      </c>
      <c r="D313" s="79" t="s">
        <v>33</v>
      </c>
      <c r="E313" s="79" t="s">
        <v>105</v>
      </c>
      <c r="F313" s="85">
        <v>0</v>
      </c>
      <c r="G313" s="79" t="s">
        <v>23</v>
      </c>
      <c r="H313" s="79" t="s">
        <v>526</v>
      </c>
      <c r="I313" s="79" t="s">
        <v>527</v>
      </c>
      <c r="J313" s="79" t="s">
        <v>229</v>
      </c>
      <c r="K313" s="79" t="s">
        <v>229</v>
      </c>
      <c r="L313" s="79">
        <v>0</v>
      </c>
      <c r="M313" s="79" t="s">
        <v>470</v>
      </c>
      <c r="N313" s="79"/>
      <c r="O313" s="79"/>
      <c r="P313" s="79" t="s">
        <v>115</v>
      </c>
      <c r="Q313" s="79"/>
      <c r="R313"/>
      <c r="S313"/>
    </row>
    <row r="314" spans="1:19" ht="30">
      <c r="A314" s="80" t="s">
        <v>39</v>
      </c>
      <c r="B314" s="79" t="s">
        <v>356</v>
      </c>
      <c r="C314" s="79" t="s">
        <v>28</v>
      </c>
      <c r="D314" s="79" t="s">
        <v>33</v>
      </c>
      <c r="E314" s="79" t="s">
        <v>105</v>
      </c>
      <c r="F314" s="85">
        <v>0</v>
      </c>
      <c r="G314" s="79"/>
      <c r="H314" s="79"/>
      <c r="I314" s="79"/>
      <c r="J314" s="79" t="s">
        <v>229</v>
      </c>
      <c r="K314" s="79" t="s">
        <v>229</v>
      </c>
      <c r="L314" s="79">
        <v>0</v>
      </c>
      <c r="M314" s="79" t="s">
        <v>470</v>
      </c>
      <c r="N314" s="79"/>
      <c r="O314" s="79"/>
      <c r="P314" s="79" t="s">
        <v>115</v>
      </c>
      <c r="Q314" s="79"/>
      <c r="R314"/>
      <c r="S314"/>
    </row>
    <row r="315" spans="1:19" ht="30">
      <c r="A315" s="80" t="s">
        <v>39</v>
      </c>
      <c r="B315" s="79" t="s">
        <v>356</v>
      </c>
      <c r="C315" s="79" t="s">
        <v>29</v>
      </c>
      <c r="D315" s="79" t="s">
        <v>33</v>
      </c>
      <c r="E315" s="79" t="s">
        <v>105</v>
      </c>
      <c r="F315" s="85">
        <v>0</v>
      </c>
      <c r="G315" s="79"/>
      <c r="H315" s="79"/>
      <c r="I315" s="79"/>
      <c r="J315" s="79" t="s">
        <v>229</v>
      </c>
      <c r="K315" s="79" t="s">
        <v>229</v>
      </c>
      <c r="L315" s="79">
        <v>0</v>
      </c>
      <c r="M315" s="79" t="s">
        <v>470</v>
      </c>
      <c r="N315" s="79"/>
      <c r="O315" s="79"/>
      <c r="P315" s="79" t="s">
        <v>115</v>
      </c>
      <c r="Q315" s="79"/>
      <c r="R315"/>
      <c r="S315"/>
    </row>
    <row r="316" spans="1:19" ht="30">
      <c r="A316" s="80" t="s">
        <v>39</v>
      </c>
      <c r="B316" s="79" t="s">
        <v>356</v>
      </c>
      <c r="C316" s="79" t="s">
        <v>30</v>
      </c>
      <c r="D316" s="79" t="s">
        <v>33</v>
      </c>
      <c r="E316" s="79" t="s">
        <v>105</v>
      </c>
      <c r="F316" s="85">
        <v>0</v>
      </c>
      <c r="G316" s="79"/>
      <c r="H316" s="79"/>
      <c r="I316" s="79"/>
      <c r="J316" s="79" t="s">
        <v>229</v>
      </c>
      <c r="K316" s="79" t="s">
        <v>229</v>
      </c>
      <c r="L316" s="79">
        <v>0</v>
      </c>
      <c r="M316" s="79" t="s">
        <v>470</v>
      </c>
      <c r="N316" s="79"/>
      <c r="O316" s="79"/>
      <c r="P316" s="79" t="s">
        <v>115</v>
      </c>
      <c r="Q316" s="79"/>
      <c r="R316"/>
      <c r="S316"/>
    </row>
    <row r="317" spans="1:19">
      <c r="A317" s="75" t="s">
        <v>39</v>
      </c>
      <c r="B317" s="83" t="s">
        <v>357</v>
      </c>
      <c r="C317" s="83" t="s">
        <v>18</v>
      </c>
      <c r="D317" s="83" t="s">
        <v>33</v>
      </c>
      <c r="E317" s="83" t="s">
        <v>105</v>
      </c>
      <c r="F317" s="84">
        <v>1</v>
      </c>
      <c r="G317" s="79"/>
      <c r="H317" s="79"/>
      <c r="I317" s="79"/>
      <c r="J317" s="79">
        <v>46034</v>
      </c>
      <c r="K317" s="79">
        <v>46203</v>
      </c>
      <c r="L317" s="83">
        <v>122</v>
      </c>
      <c r="M317" s="83" t="s">
        <v>530</v>
      </c>
      <c r="N317" s="79"/>
      <c r="O317" s="79"/>
      <c r="P317" s="83" t="s">
        <v>115</v>
      </c>
      <c r="Q317" s="79"/>
      <c r="R317"/>
      <c r="S317"/>
    </row>
    <row r="318" spans="1:19" ht="45">
      <c r="A318" s="80" t="s">
        <v>39</v>
      </c>
      <c r="B318" s="79" t="s">
        <v>358</v>
      </c>
      <c r="C318" s="79" t="s">
        <v>22</v>
      </c>
      <c r="D318" s="79" t="s">
        <v>33</v>
      </c>
      <c r="E318" s="79" t="s">
        <v>105</v>
      </c>
      <c r="F318" s="85">
        <v>1</v>
      </c>
      <c r="G318" s="79" t="s">
        <v>359</v>
      </c>
      <c r="H318" s="79" t="s">
        <v>139</v>
      </c>
      <c r="I318" s="79" t="s">
        <v>527</v>
      </c>
      <c r="J318" s="79">
        <v>46034</v>
      </c>
      <c r="K318" s="79">
        <v>46099</v>
      </c>
      <c r="L318" s="79">
        <v>48</v>
      </c>
      <c r="M318" s="79" t="s">
        <v>530</v>
      </c>
      <c r="N318" s="79" t="s">
        <v>108</v>
      </c>
      <c r="O318" s="79" t="s">
        <v>108</v>
      </c>
      <c r="P318" s="79" t="s">
        <v>115</v>
      </c>
      <c r="Q318" s="79"/>
      <c r="R318"/>
      <c r="S318"/>
    </row>
    <row r="319" spans="1:19">
      <c r="A319" s="80" t="s">
        <v>39</v>
      </c>
      <c r="B319" s="79" t="s">
        <v>358</v>
      </c>
      <c r="C319" s="79" t="s">
        <v>28</v>
      </c>
      <c r="D319" s="79" t="s">
        <v>33</v>
      </c>
      <c r="E319" s="79" t="s">
        <v>105</v>
      </c>
      <c r="F319" s="85">
        <v>0</v>
      </c>
      <c r="G319" s="79"/>
      <c r="H319" s="79"/>
      <c r="I319" s="79"/>
      <c r="J319" s="79">
        <v>46127</v>
      </c>
      <c r="K319" s="79">
        <v>46203</v>
      </c>
      <c r="L319" s="79">
        <v>55</v>
      </c>
      <c r="M319" s="79" t="s">
        <v>470</v>
      </c>
      <c r="N319" s="79"/>
      <c r="O319" s="79" t="s">
        <v>27</v>
      </c>
      <c r="P319" s="79" t="s">
        <v>115</v>
      </c>
      <c r="Q319" s="79"/>
      <c r="R319"/>
      <c r="S319"/>
    </row>
    <row r="320" spans="1:19">
      <c r="A320" s="80" t="s">
        <v>39</v>
      </c>
      <c r="B320" s="79" t="s">
        <v>358</v>
      </c>
      <c r="C320" s="79" t="s">
        <v>29</v>
      </c>
      <c r="D320" s="79" t="s">
        <v>33</v>
      </c>
      <c r="E320" s="79" t="s">
        <v>105</v>
      </c>
      <c r="F320" s="85">
        <v>0</v>
      </c>
      <c r="G320" s="79"/>
      <c r="H320" s="79"/>
      <c r="I320" s="79"/>
      <c r="J320" s="79" t="s">
        <v>229</v>
      </c>
      <c r="K320" s="79" t="s">
        <v>229</v>
      </c>
      <c r="L320" s="79">
        <v>0</v>
      </c>
      <c r="M320" s="79" t="s">
        <v>470</v>
      </c>
      <c r="N320" s="79"/>
      <c r="O320" s="79"/>
      <c r="P320" s="79" t="s">
        <v>115</v>
      </c>
      <c r="Q320" s="79"/>
      <c r="R320"/>
      <c r="S320"/>
    </row>
    <row r="321" spans="1:19">
      <c r="A321" s="80" t="s">
        <v>39</v>
      </c>
      <c r="B321" s="79" t="s">
        <v>358</v>
      </c>
      <c r="C321" s="79" t="s">
        <v>30</v>
      </c>
      <c r="D321" s="79" t="s">
        <v>33</v>
      </c>
      <c r="E321" s="79" t="s">
        <v>105</v>
      </c>
      <c r="F321" s="85">
        <v>0</v>
      </c>
      <c r="G321" s="79"/>
      <c r="H321" s="79"/>
      <c r="I321" s="79"/>
      <c r="J321" s="79" t="s">
        <v>229</v>
      </c>
      <c r="K321" s="79" t="s">
        <v>229</v>
      </c>
      <c r="L321" s="79">
        <v>0</v>
      </c>
      <c r="M321" s="79" t="s">
        <v>470</v>
      </c>
      <c r="N321" s="79"/>
      <c r="O321" s="79"/>
      <c r="P321" s="79" t="s">
        <v>115</v>
      </c>
      <c r="Q321" s="79"/>
      <c r="R321"/>
      <c r="S321"/>
    </row>
    <row r="322" spans="1:19">
      <c r="A322" s="75" t="s">
        <v>39</v>
      </c>
      <c r="B322" s="83" t="s">
        <v>360</v>
      </c>
      <c r="C322" s="83" t="s">
        <v>18</v>
      </c>
      <c r="D322" s="83" t="s">
        <v>33</v>
      </c>
      <c r="E322" s="83" t="s">
        <v>105</v>
      </c>
      <c r="F322" s="84">
        <v>0.5</v>
      </c>
      <c r="G322" s="79"/>
      <c r="H322" s="79"/>
      <c r="I322" s="79"/>
      <c r="J322" s="79">
        <v>46073</v>
      </c>
      <c r="K322" s="79">
        <v>46203</v>
      </c>
      <c r="L322" s="83">
        <v>93</v>
      </c>
      <c r="M322" s="83" t="s">
        <v>470</v>
      </c>
      <c r="N322" s="79"/>
      <c r="O322" s="79"/>
      <c r="P322" s="83" t="s">
        <v>115</v>
      </c>
      <c r="Q322" s="79"/>
      <c r="R322"/>
      <c r="S322"/>
    </row>
    <row r="323" spans="1:19" ht="45">
      <c r="A323" s="80" t="s">
        <v>39</v>
      </c>
      <c r="B323" s="79" t="s">
        <v>361</v>
      </c>
      <c r="C323" s="79" t="s">
        <v>22</v>
      </c>
      <c r="D323" s="79" t="s">
        <v>33</v>
      </c>
      <c r="E323" s="79" t="s">
        <v>105</v>
      </c>
      <c r="F323" s="85">
        <v>0.5</v>
      </c>
      <c r="G323" s="79" t="s">
        <v>359</v>
      </c>
      <c r="H323" s="79" t="s">
        <v>139</v>
      </c>
      <c r="I323" s="79" t="s">
        <v>527</v>
      </c>
      <c r="J323" s="79">
        <v>46073</v>
      </c>
      <c r="K323" s="79">
        <v>46150</v>
      </c>
      <c r="L323" s="79">
        <v>56</v>
      </c>
      <c r="M323" s="79" t="s">
        <v>470</v>
      </c>
      <c r="N323" s="79" t="s">
        <v>26</v>
      </c>
      <c r="O323" s="79" t="s">
        <v>26</v>
      </c>
      <c r="P323" s="79" t="s">
        <v>115</v>
      </c>
      <c r="Q323" s="79"/>
      <c r="R323"/>
      <c r="S323"/>
    </row>
    <row r="324" spans="1:19">
      <c r="A324" s="80" t="s">
        <v>39</v>
      </c>
      <c r="B324" s="79" t="s">
        <v>361</v>
      </c>
      <c r="C324" s="79" t="s">
        <v>28</v>
      </c>
      <c r="D324" s="79" t="s">
        <v>33</v>
      </c>
      <c r="E324" s="79" t="s">
        <v>105</v>
      </c>
      <c r="F324" s="85">
        <v>0</v>
      </c>
      <c r="G324" s="79"/>
      <c r="H324" s="79"/>
      <c r="I324" s="79"/>
      <c r="J324" s="79">
        <v>46127</v>
      </c>
      <c r="K324" s="79">
        <v>46203</v>
      </c>
      <c r="L324" s="79">
        <v>55</v>
      </c>
      <c r="M324" s="79" t="s">
        <v>470</v>
      </c>
      <c r="N324" s="79"/>
      <c r="O324" s="79" t="s">
        <v>27</v>
      </c>
      <c r="P324" s="79" t="s">
        <v>115</v>
      </c>
      <c r="Q324" s="79"/>
      <c r="R324"/>
      <c r="S324"/>
    </row>
    <row r="325" spans="1:19">
      <c r="A325" s="80" t="s">
        <v>39</v>
      </c>
      <c r="B325" s="79" t="s">
        <v>361</v>
      </c>
      <c r="C325" s="79" t="s">
        <v>29</v>
      </c>
      <c r="D325" s="79" t="s">
        <v>33</v>
      </c>
      <c r="E325" s="79" t="s">
        <v>105</v>
      </c>
      <c r="F325" s="85">
        <v>0</v>
      </c>
      <c r="G325" s="79"/>
      <c r="H325" s="79"/>
      <c r="I325" s="79"/>
      <c r="J325" s="79" t="s">
        <v>229</v>
      </c>
      <c r="K325" s="79" t="s">
        <v>229</v>
      </c>
      <c r="L325" s="79">
        <v>0</v>
      </c>
      <c r="M325" s="79" t="s">
        <v>470</v>
      </c>
      <c r="N325" s="79"/>
      <c r="O325" s="79"/>
      <c r="P325" s="79" t="s">
        <v>115</v>
      </c>
      <c r="Q325" s="79"/>
      <c r="R325"/>
      <c r="S325"/>
    </row>
    <row r="326" spans="1:19">
      <c r="A326" s="80" t="s">
        <v>39</v>
      </c>
      <c r="B326" s="79" t="s">
        <v>361</v>
      </c>
      <c r="C326" s="79" t="s">
        <v>30</v>
      </c>
      <c r="D326" s="79" t="s">
        <v>33</v>
      </c>
      <c r="E326" s="79" t="s">
        <v>105</v>
      </c>
      <c r="F326" s="85">
        <v>0</v>
      </c>
      <c r="G326" s="79"/>
      <c r="H326" s="79"/>
      <c r="I326" s="79"/>
      <c r="J326" s="79" t="s">
        <v>229</v>
      </c>
      <c r="K326" s="79" t="s">
        <v>229</v>
      </c>
      <c r="L326" s="79">
        <v>0</v>
      </c>
      <c r="M326" s="79" t="s">
        <v>470</v>
      </c>
      <c r="N326" s="79"/>
      <c r="O326" s="79"/>
      <c r="P326" s="79" t="s">
        <v>115</v>
      </c>
      <c r="Q326" s="79"/>
      <c r="R326"/>
      <c r="S326"/>
    </row>
    <row r="327" spans="1:19">
      <c r="A327" s="75" t="s">
        <v>39</v>
      </c>
      <c r="B327" s="83" t="s">
        <v>362</v>
      </c>
      <c r="C327" s="83" t="s">
        <v>18</v>
      </c>
      <c r="D327" s="83" t="s">
        <v>19</v>
      </c>
      <c r="E327" s="83" t="s">
        <v>105</v>
      </c>
      <c r="F327" s="84">
        <v>0</v>
      </c>
      <c r="G327" s="79"/>
      <c r="H327" s="79"/>
      <c r="I327" s="79"/>
      <c r="J327" s="83">
        <v>46113</v>
      </c>
      <c r="K327" s="79">
        <v>46190</v>
      </c>
      <c r="L327" s="83">
        <v>56</v>
      </c>
      <c r="M327" s="83" t="s">
        <v>470</v>
      </c>
      <c r="N327" s="79"/>
      <c r="O327" s="79"/>
      <c r="P327" s="83" t="s">
        <v>141</v>
      </c>
      <c r="Q327" s="79"/>
      <c r="R327"/>
      <c r="S327"/>
    </row>
    <row r="328" spans="1:19" ht="30">
      <c r="A328" s="80" t="s">
        <v>39</v>
      </c>
      <c r="B328" s="79" t="s">
        <v>363</v>
      </c>
      <c r="C328" s="79" t="s">
        <v>22</v>
      </c>
      <c r="D328" s="79" t="s">
        <v>19</v>
      </c>
      <c r="E328" s="79" t="s">
        <v>105</v>
      </c>
      <c r="F328" s="85">
        <v>0</v>
      </c>
      <c r="G328" s="79" t="s">
        <v>35</v>
      </c>
      <c r="H328" s="79" t="s">
        <v>531</v>
      </c>
      <c r="I328" s="79" t="s">
        <v>532</v>
      </c>
      <c r="J328" s="79" t="s">
        <v>229</v>
      </c>
      <c r="K328" s="86" t="s">
        <v>229</v>
      </c>
      <c r="L328" s="79">
        <v>0</v>
      </c>
      <c r="M328" s="79" t="s">
        <v>470</v>
      </c>
      <c r="N328" s="79"/>
      <c r="O328" s="79"/>
      <c r="P328" s="79" t="s">
        <v>141</v>
      </c>
      <c r="Q328" s="79"/>
      <c r="R328"/>
      <c r="S328"/>
    </row>
    <row r="329" spans="1:19">
      <c r="A329" s="80" t="s">
        <v>39</v>
      </c>
      <c r="B329" s="79" t="s">
        <v>363</v>
      </c>
      <c r="C329" s="79" t="s">
        <v>28</v>
      </c>
      <c r="D329" s="79" t="s">
        <v>19</v>
      </c>
      <c r="E329" s="79" t="s">
        <v>105</v>
      </c>
      <c r="F329" s="85">
        <v>0</v>
      </c>
      <c r="G329" s="79"/>
      <c r="H329" s="79"/>
      <c r="I329" s="79"/>
      <c r="J329" s="79" t="s">
        <v>229</v>
      </c>
      <c r="K329" s="86" t="s">
        <v>229</v>
      </c>
      <c r="L329" s="79">
        <v>0</v>
      </c>
      <c r="M329" s="79" t="s">
        <v>470</v>
      </c>
      <c r="N329" s="79"/>
      <c r="O329" s="79"/>
      <c r="P329" s="79" t="s">
        <v>141</v>
      </c>
      <c r="Q329" s="79"/>
      <c r="R329"/>
      <c r="S329"/>
    </row>
    <row r="330" spans="1:19">
      <c r="A330" s="80" t="s">
        <v>39</v>
      </c>
      <c r="B330" s="79" t="s">
        <v>363</v>
      </c>
      <c r="C330" s="79" t="s">
        <v>29</v>
      </c>
      <c r="D330" s="79" t="s">
        <v>19</v>
      </c>
      <c r="E330" s="79" t="s">
        <v>105</v>
      </c>
      <c r="F330" s="85">
        <v>0</v>
      </c>
      <c r="G330" s="79"/>
      <c r="H330" s="79"/>
      <c r="I330" s="79"/>
      <c r="J330" s="79" t="s">
        <v>229</v>
      </c>
      <c r="K330" s="86" t="s">
        <v>229</v>
      </c>
      <c r="L330" s="79">
        <v>0</v>
      </c>
      <c r="M330" s="79" t="s">
        <v>470</v>
      </c>
      <c r="N330" s="79"/>
      <c r="O330" s="79"/>
      <c r="P330" s="79" t="s">
        <v>141</v>
      </c>
      <c r="Q330" s="79"/>
      <c r="R330"/>
      <c r="S330"/>
    </row>
    <row r="331" spans="1:19">
      <c r="A331" s="80" t="s">
        <v>39</v>
      </c>
      <c r="B331" s="79" t="s">
        <v>363</v>
      </c>
      <c r="C331" s="79" t="s">
        <v>30</v>
      </c>
      <c r="D331" s="79" t="s">
        <v>19</v>
      </c>
      <c r="E331" s="79" t="s">
        <v>105</v>
      </c>
      <c r="F331" s="85">
        <v>0</v>
      </c>
      <c r="G331" s="79"/>
      <c r="H331" s="79"/>
      <c r="I331" s="79"/>
      <c r="J331" s="79" t="s">
        <v>229</v>
      </c>
      <c r="K331" s="86" t="s">
        <v>229</v>
      </c>
      <c r="L331" s="79">
        <v>0</v>
      </c>
      <c r="M331" s="79" t="s">
        <v>470</v>
      </c>
      <c r="N331" s="79"/>
      <c r="O331" s="79"/>
      <c r="P331" s="79" t="s">
        <v>141</v>
      </c>
      <c r="Q331" s="79"/>
      <c r="R331"/>
      <c r="S331"/>
    </row>
    <row r="332" spans="1:19" ht="30">
      <c r="A332" s="75" t="s">
        <v>39</v>
      </c>
      <c r="B332" s="83" t="s">
        <v>364</v>
      </c>
      <c r="C332" s="83" t="s">
        <v>18</v>
      </c>
      <c r="D332" s="83" t="s">
        <v>33</v>
      </c>
      <c r="E332" s="83" t="s">
        <v>105</v>
      </c>
      <c r="F332" s="84">
        <v>0</v>
      </c>
      <c r="G332" s="79"/>
      <c r="H332" s="79"/>
      <c r="I332" s="79"/>
      <c r="J332" s="83">
        <v>46113</v>
      </c>
      <c r="K332" s="79">
        <v>46190</v>
      </c>
      <c r="L332" s="83">
        <v>56</v>
      </c>
      <c r="M332" s="83" t="s">
        <v>470</v>
      </c>
      <c r="N332" s="79"/>
      <c r="O332" s="79"/>
      <c r="P332" s="83" t="s">
        <v>141</v>
      </c>
      <c r="Q332" s="79"/>
      <c r="R332"/>
      <c r="S332"/>
    </row>
    <row r="333" spans="1:19" ht="30">
      <c r="A333" s="80" t="s">
        <v>39</v>
      </c>
      <c r="B333" s="79" t="s">
        <v>365</v>
      </c>
      <c r="C333" s="79" t="s">
        <v>22</v>
      </c>
      <c r="D333" s="79" t="s">
        <v>33</v>
      </c>
      <c r="E333" s="79" t="s">
        <v>105</v>
      </c>
      <c r="F333" s="85">
        <v>0</v>
      </c>
      <c r="G333" s="79" t="s">
        <v>35</v>
      </c>
      <c r="H333" s="79" t="s">
        <v>531</v>
      </c>
      <c r="I333" s="79" t="s">
        <v>532</v>
      </c>
      <c r="J333" s="79">
        <v>46113</v>
      </c>
      <c r="K333" s="86">
        <v>46190</v>
      </c>
      <c r="L333" s="79">
        <v>56</v>
      </c>
      <c r="M333" s="79" t="s">
        <v>470</v>
      </c>
      <c r="N333" s="79"/>
      <c r="O333" s="79" t="s">
        <v>27</v>
      </c>
      <c r="P333" s="79" t="s">
        <v>141</v>
      </c>
      <c r="Q333" s="79"/>
      <c r="R333"/>
      <c r="S333"/>
    </row>
    <row r="334" spans="1:19" ht="30">
      <c r="A334" s="80" t="s">
        <v>39</v>
      </c>
      <c r="B334" s="79" t="s">
        <v>365</v>
      </c>
      <c r="C334" s="79" t="s">
        <v>28</v>
      </c>
      <c r="D334" s="79" t="s">
        <v>33</v>
      </c>
      <c r="E334" s="79" t="s">
        <v>105</v>
      </c>
      <c r="F334" s="85">
        <v>0</v>
      </c>
      <c r="G334" s="79"/>
      <c r="H334" s="79"/>
      <c r="I334" s="79"/>
      <c r="J334" s="79">
        <v>46113</v>
      </c>
      <c r="K334" s="86">
        <v>46188</v>
      </c>
      <c r="L334" s="79">
        <v>54</v>
      </c>
      <c r="M334" s="79" t="s">
        <v>470</v>
      </c>
      <c r="N334" s="79"/>
      <c r="O334" s="79" t="s">
        <v>27</v>
      </c>
      <c r="P334" s="79" t="s">
        <v>141</v>
      </c>
      <c r="Q334" s="79"/>
      <c r="R334"/>
      <c r="S334"/>
    </row>
    <row r="335" spans="1:19" ht="30">
      <c r="A335" s="80" t="s">
        <v>39</v>
      </c>
      <c r="B335" s="79" t="s">
        <v>365</v>
      </c>
      <c r="C335" s="79" t="s">
        <v>29</v>
      </c>
      <c r="D335" s="79" t="s">
        <v>33</v>
      </c>
      <c r="E335" s="79" t="s">
        <v>105</v>
      </c>
      <c r="F335" s="85">
        <v>0</v>
      </c>
      <c r="G335" s="79"/>
      <c r="H335" s="79"/>
      <c r="I335" s="79"/>
      <c r="J335" s="79" t="s">
        <v>229</v>
      </c>
      <c r="K335" s="86" t="s">
        <v>229</v>
      </c>
      <c r="L335" s="79">
        <v>0</v>
      </c>
      <c r="M335" s="79" t="s">
        <v>470</v>
      </c>
      <c r="N335" s="79"/>
      <c r="O335" s="79"/>
      <c r="P335" s="79" t="s">
        <v>141</v>
      </c>
      <c r="Q335" s="79"/>
      <c r="R335"/>
      <c r="S335"/>
    </row>
    <row r="336" spans="1:19" ht="30">
      <c r="A336" s="80" t="s">
        <v>39</v>
      </c>
      <c r="B336" s="79" t="s">
        <v>365</v>
      </c>
      <c r="C336" s="79" t="s">
        <v>30</v>
      </c>
      <c r="D336" s="79" t="s">
        <v>33</v>
      </c>
      <c r="E336" s="79" t="s">
        <v>105</v>
      </c>
      <c r="F336" s="85">
        <v>0</v>
      </c>
      <c r="G336" s="79"/>
      <c r="H336" s="79"/>
      <c r="I336" s="79"/>
      <c r="J336" s="79" t="s">
        <v>229</v>
      </c>
      <c r="K336" s="86" t="s">
        <v>229</v>
      </c>
      <c r="L336" s="79">
        <v>0</v>
      </c>
      <c r="M336" s="79" t="s">
        <v>470</v>
      </c>
      <c r="N336" s="79"/>
      <c r="O336" s="79"/>
      <c r="P336" s="79" t="s">
        <v>141</v>
      </c>
      <c r="Q336" s="79"/>
      <c r="R336"/>
      <c r="S336"/>
    </row>
    <row r="337" spans="1:19">
      <c r="A337" s="82" t="s">
        <v>39</v>
      </c>
      <c r="B337" s="83" t="s">
        <v>533</v>
      </c>
      <c r="C337" s="83" t="s">
        <v>18</v>
      </c>
      <c r="D337" s="83" t="s">
        <v>33</v>
      </c>
      <c r="E337" s="83" t="s">
        <v>105</v>
      </c>
      <c r="F337" s="84">
        <v>0</v>
      </c>
      <c r="G337" s="79"/>
      <c r="H337" s="79"/>
      <c r="I337" s="79"/>
      <c r="J337" s="83">
        <v>46113</v>
      </c>
      <c r="K337" s="79">
        <v>46190</v>
      </c>
      <c r="L337" s="83">
        <v>56</v>
      </c>
      <c r="M337" s="83" t="s">
        <v>470</v>
      </c>
      <c r="N337" s="79"/>
      <c r="O337" s="79"/>
      <c r="P337" s="83" t="s">
        <v>141</v>
      </c>
      <c r="Q337" s="79"/>
      <c r="R337"/>
      <c r="S337"/>
    </row>
    <row r="338" spans="1:19" ht="30">
      <c r="A338" s="80" t="s">
        <v>39</v>
      </c>
      <c r="B338" s="79" t="s">
        <v>534</v>
      </c>
      <c r="C338" s="79" t="s">
        <v>22</v>
      </c>
      <c r="D338" s="79" t="s">
        <v>33</v>
      </c>
      <c r="E338" s="79" t="s">
        <v>105</v>
      </c>
      <c r="F338" s="85">
        <v>0</v>
      </c>
      <c r="G338" s="79" t="s">
        <v>35</v>
      </c>
      <c r="H338" s="79" t="s">
        <v>531</v>
      </c>
      <c r="I338" s="79" t="s">
        <v>532</v>
      </c>
      <c r="J338" s="79">
        <v>46113</v>
      </c>
      <c r="K338" s="86">
        <v>46190</v>
      </c>
      <c r="L338" s="79">
        <v>56</v>
      </c>
      <c r="M338" s="79" t="s">
        <v>470</v>
      </c>
      <c r="N338" s="79"/>
      <c r="O338" s="79" t="s">
        <v>27</v>
      </c>
      <c r="P338" s="79" t="s">
        <v>141</v>
      </c>
      <c r="Q338" s="79"/>
      <c r="R338"/>
      <c r="S338"/>
    </row>
    <row r="339" spans="1:19">
      <c r="A339" s="80" t="s">
        <v>39</v>
      </c>
      <c r="B339" s="79" t="s">
        <v>534</v>
      </c>
      <c r="C339" s="79" t="s">
        <v>28</v>
      </c>
      <c r="D339" s="79" t="s">
        <v>33</v>
      </c>
      <c r="E339" s="79" t="s">
        <v>105</v>
      </c>
      <c r="F339" s="85">
        <v>0</v>
      </c>
      <c r="G339" s="79"/>
      <c r="H339" s="79"/>
      <c r="I339" s="79"/>
      <c r="J339" s="79">
        <v>46113</v>
      </c>
      <c r="K339" s="86">
        <v>46188</v>
      </c>
      <c r="L339" s="79">
        <v>54</v>
      </c>
      <c r="M339" s="79" t="s">
        <v>470</v>
      </c>
      <c r="N339" s="79"/>
      <c r="O339" s="79" t="s">
        <v>27</v>
      </c>
      <c r="P339" s="79" t="s">
        <v>141</v>
      </c>
      <c r="Q339" s="79"/>
      <c r="R339"/>
      <c r="S339"/>
    </row>
    <row r="340" spans="1:19">
      <c r="A340" s="80" t="s">
        <v>39</v>
      </c>
      <c r="B340" s="79" t="s">
        <v>534</v>
      </c>
      <c r="C340" s="79" t="s">
        <v>29</v>
      </c>
      <c r="D340" s="79" t="s">
        <v>33</v>
      </c>
      <c r="E340" s="79" t="s">
        <v>105</v>
      </c>
      <c r="F340" s="85">
        <v>0</v>
      </c>
      <c r="G340" s="79"/>
      <c r="H340" s="79"/>
      <c r="I340" s="79"/>
      <c r="J340" s="79" t="s">
        <v>229</v>
      </c>
      <c r="K340" s="86" t="s">
        <v>229</v>
      </c>
      <c r="L340" s="79">
        <v>0</v>
      </c>
      <c r="M340" s="79" t="s">
        <v>470</v>
      </c>
      <c r="N340" s="79"/>
      <c r="O340" s="79"/>
      <c r="P340" s="79" t="s">
        <v>141</v>
      </c>
      <c r="Q340" s="79"/>
      <c r="R340"/>
      <c r="S340"/>
    </row>
    <row r="341" spans="1:19">
      <c r="A341" s="80" t="s">
        <v>39</v>
      </c>
      <c r="B341" s="79" t="s">
        <v>534</v>
      </c>
      <c r="C341" s="79" t="s">
        <v>30</v>
      </c>
      <c r="D341" s="79" t="s">
        <v>33</v>
      </c>
      <c r="E341" s="79" t="s">
        <v>105</v>
      </c>
      <c r="F341" s="85">
        <v>0</v>
      </c>
      <c r="G341" s="79"/>
      <c r="H341" s="79"/>
      <c r="I341" s="79"/>
      <c r="J341" s="79" t="s">
        <v>229</v>
      </c>
      <c r="K341" s="86" t="s">
        <v>229</v>
      </c>
      <c r="L341" s="79">
        <v>0</v>
      </c>
      <c r="M341" s="79" t="s">
        <v>470</v>
      </c>
      <c r="N341" s="79"/>
      <c r="O341" s="79"/>
      <c r="P341" s="79" t="s">
        <v>141</v>
      </c>
      <c r="Q341" s="79"/>
      <c r="R341"/>
      <c r="S341"/>
    </row>
    <row r="342" spans="1:19">
      <c r="A342" s="75" t="s">
        <v>39</v>
      </c>
      <c r="B342" s="83" t="s">
        <v>368</v>
      </c>
      <c r="C342" s="83" t="s">
        <v>18</v>
      </c>
      <c r="D342" s="83" t="s">
        <v>19</v>
      </c>
      <c r="E342" s="83" t="s">
        <v>105</v>
      </c>
      <c r="F342" s="84">
        <v>0.17</v>
      </c>
      <c r="G342" s="79"/>
      <c r="H342" s="79"/>
      <c r="I342" s="79"/>
      <c r="J342" s="79">
        <v>45945</v>
      </c>
      <c r="K342" s="79">
        <v>46290</v>
      </c>
      <c r="L342" s="83">
        <v>248</v>
      </c>
      <c r="M342" s="83" t="s">
        <v>470</v>
      </c>
      <c r="N342" s="79"/>
      <c r="O342" s="79"/>
      <c r="P342" s="83" t="s">
        <v>146</v>
      </c>
      <c r="Q342" s="79"/>
      <c r="R342"/>
      <c r="S342"/>
    </row>
    <row r="343" spans="1:19" ht="30">
      <c r="A343" s="80" t="s">
        <v>39</v>
      </c>
      <c r="B343" s="79" t="s">
        <v>369</v>
      </c>
      <c r="C343" s="79" t="s">
        <v>22</v>
      </c>
      <c r="D343" s="79" t="s">
        <v>19</v>
      </c>
      <c r="E343" s="79" t="s">
        <v>105</v>
      </c>
      <c r="F343" s="85">
        <v>0</v>
      </c>
      <c r="G343" s="79" t="s">
        <v>535</v>
      </c>
      <c r="H343" s="79" t="s">
        <v>536</v>
      </c>
      <c r="I343" s="79" t="s">
        <v>139</v>
      </c>
      <c r="J343" s="79">
        <v>45946</v>
      </c>
      <c r="K343" s="79">
        <v>46203</v>
      </c>
      <c r="L343" s="79">
        <v>184</v>
      </c>
      <c r="M343" s="79" t="s">
        <v>470</v>
      </c>
      <c r="N343" s="79" t="s">
        <v>43</v>
      </c>
      <c r="O343" s="79" t="s">
        <v>26</v>
      </c>
      <c r="P343" s="79" t="s">
        <v>146</v>
      </c>
      <c r="Q343" s="79"/>
      <c r="R343"/>
      <c r="S343"/>
    </row>
    <row r="344" spans="1:19">
      <c r="A344" s="80" t="s">
        <v>39</v>
      </c>
      <c r="B344" s="79" t="s">
        <v>369</v>
      </c>
      <c r="C344" s="79" t="s">
        <v>28</v>
      </c>
      <c r="D344" s="79" t="s">
        <v>19</v>
      </c>
      <c r="E344" s="79" t="s">
        <v>105</v>
      </c>
      <c r="F344" s="85">
        <v>0</v>
      </c>
      <c r="G344" s="79"/>
      <c r="H344" s="79"/>
      <c r="I344" s="79"/>
      <c r="J344" s="79" t="s">
        <v>229</v>
      </c>
      <c r="K344" s="79" t="s">
        <v>229</v>
      </c>
      <c r="L344" s="79">
        <v>0</v>
      </c>
      <c r="M344" s="79" t="s">
        <v>470</v>
      </c>
      <c r="N344" s="79"/>
      <c r="O344" s="79"/>
      <c r="P344" s="79" t="s">
        <v>146</v>
      </c>
      <c r="Q344" s="79"/>
      <c r="R344"/>
      <c r="S344"/>
    </row>
    <row r="345" spans="1:19">
      <c r="A345" s="80" t="s">
        <v>39</v>
      </c>
      <c r="B345" s="79" t="s">
        <v>369</v>
      </c>
      <c r="C345" s="79" t="s">
        <v>29</v>
      </c>
      <c r="D345" s="79" t="s">
        <v>19</v>
      </c>
      <c r="E345" s="79" t="s">
        <v>105</v>
      </c>
      <c r="F345" s="85">
        <v>0</v>
      </c>
      <c r="G345" s="79"/>
      <c r="H345" s="79"/>
      <c r="I345" s="79"/>
      <c r="J345" s="79" t="s">
        <v>229</v>
      </c>
      <c r="K345" s="79" t="s">
        <v>229</v>
      </c>
      <c r="L345" s="79">
        <v>0</v>
      </c>
      <c r="M345" s="79" t="s">
        <v>470</v>
      </c>
      <c r="N345" s="79"/>
      <c r="O345" s="79"/>
      <c r="P345" s="79" t="s">
        <v>146</v>
      </c>
      <c r="Q345" s="79"/>
      <c r="R345"/>
      <c r="S345"/>
    </row>
    <row r="346" spans="1:19">
      <c r="A346" s="80" t="s">
        <v>39</v>
      </c>
      <c r="B346" s="79" t="s">
        <v>369</v>
      </c>
      <c r="C346" s="79" t="s">
        <v>30</v>
      </c>
      <c r="D346" s="79" t="s">
        <v>19</v>
      </c>
      <c r="E346" s="79" t="s">
        <v>105</v>
      </c>
      <c r="F346" s="85">
        <v>0</v>
      </c>
      <c r="G346" s="79"/>
      <c r="H346" s="79"/>
      <c r="I346" s="79"/>
      <c r="J346" s="79" t="s">
        <v>229</v>
      </c>
      <c r="K346" s="79" t="s">
        <v>229</v>
      </c>
      <c r="L346" s="79">
        <v>0</v>
      </c>
      <c r="M346" s="79" t="s">
        <v>470</v>
      </c>
      <c r="N346" s="79"/>
      <c r="O346" s="79"/>
      <c r="P346" s="79" t="s">
        <v>146</v>
      </c>
      <c r="Q346" s="79"/>
      <c r="R346"/>
      <c r="S346"/>
    </row>
    <row r="347" spans="1:19">
      <c r="A347" s="75" t="s">
        <v>39</v>
      </c>
      <c r="B347" s="83" t="s">
        <v>537</v>
      </c>
      <c r="C347" s="83" t="s">
        <v>18</v>
      </c>
      <c r="D347" s="83" t="s">
        <v>33</v>
      </c>
      <c r="E347" s="83" t="s">
        <v>105</v>
      </c>
      <c r="F347" s="84">
        <v>0</v>
      </c>
      <c r="G347" s="79"/>
      <c r="H347" s="79"/>
      <c r="I347" s="79"/>
      <c r="J347" s="83" t="s">
        <v>229</v>
      </c>
      <c r="K347" s="79" t="s">
        <v>229</v>
      </c>
      <c r="L347" s="83">
        <v>0</v>
      </c>
      <c r="M347" s="83" t="s">
        <v>470</v>
      </c>
      <c r="N347" s="79"/>
      <c r="O347" s="79"/>
      <c r="P347" s="83" t="s">
        <v>146</v>
      </c>
      <c r="Q347" s="79"/>
      <c r="R347"/>
      <c r="S347"/>
    </row>
    <row r="348" spans="1:19">
      <c r="A348" s="80" t="s">
        <v>39</v>
      </c>
      <c r="B348" s="79" t="s">
        <v>538</v>
      </c>
      <c r="C348" s="79" t="s">
        <v>22</v>
      </c>
      <c r="D348" s="79" t="s">
        <v>33</v>
      </c>
      <c r="E348" s="79" t="s">
        <v>105</v>
      </c>
      <c r="F348" s="85">
        <v>0</v>
      </c>
      <c r="G348" s="79" t="s">
        <v>147</v>
      </c>
      <c r="H348" s="79" t="s">
        <v>539</v>
      </c>
      <c r="I348" s="79" t="s">
        <v>139</v>
      </c>
      <c r="J348" s="79" t="s">
        <v>229</v>
      </c>
      <c r="K348" s="79" t="s">
        <v>229</v>
      </c>
      <c r="L348" s="79">
        <v>0</v>
      </c>
      <c r="M348" s="79" t="s">
        <v>470</v>
      </c>
      <c r="N348" s="79"/>
      <c r="O348" s="79"/>
      <c r="P348" s="79" t="s">
        <v>146</v>
      </c>
      <c r="Q348" s="79"/>
      <c r="R348"/>
      <c r="S348"/>
    </row>
    <row r="349" spans="1:19">
      <c r="A349" s="80" t="s">
        <v>39</v>
      </c>
      <c r="B349" s="79" t="s">
        <v>538</v>
      </c>
      <c r="C349" s="79" t="s">
        <v>28</v>
      </c>
      <c r="D349" s="79" t="s">
        <v>33</v>
      </c>
      <c r="E349" s="79" t="s">
        <v>105</v>
      </c>
      <c r="F349" s="85">
        <v>0</v>
      </c>
      <c r="G349" s="79"/>
      <c r="H349" s="79"/>
      <c r="I349" s="79"/>
      <c r="J349" s="79" t="s">
        <v>229</v>
      </c>
      <c r="K349" s="79" t="s">
        <v>229</v>
      </c>
      <c r="L349" s="79">
        <v>0</v>
      </c>
      <c r="M349" s="79" t="s">
        <v>470</v>
      </c>
      <c r="N349" s="79"/>
      <c r="O349" s="79"/>
      <c r="P349" s="79" t="s">
        <v>146</v>
      </c>
      <c r="Q349" s="79"/>
      <c r="R349"/>
      <c r="S349"/>
    </row>
    <row r="350" spans="1:19">
      <c r="A350" s="80" t="s">
        <v>39</v>
      </c>
      <c r="B350" s="79" t="s">
        <v>538</v>
      </c>
      <c r="C350" s="79" t="s">
        <v>29</v>
      </c>
      <c r="D350" s="79" t="s">
        <v>33</v>
      </c>
      <c r="E350" s="79" t="s">
        <v>105</v>
      </c>
      <c r="F350" s="85">
        <v>0</v>
      </c>
      <c r="G350" s="79"/>
      <c r="H350" s="79"/>
      <c r="I350" s="79"/>
      <c r="J350" s="79" t="s">
        <v>229</v>
      </c>
      <c r="K350" s="79" t="s">
        <v>229</v>
      </c>
      <c r="L350" s="79">
        <v>0</v>
      </c>
      <c r="M350" s="79" t="s">
        <v>470</v>
      </c>
      <c r="N350" s="79"/>
      <c r="O350" s="79"/>
      <c r="P350" s="79" t="s">
        <v>146</v>
      </c>
      <c r="Q350" s="79"/>
      <c r="R350"/>
      <c r="S350"/>
    </row>
    <row r="351" spans="1:19">
      <c r="A351" s="80" t="s">
        <v>39</v>
      </c>
      <c r="B351" s="79" t="s">
        <v>538</v>
      </c>
      <c r="C351" s="79" t="s">
        <v>30</v>
      </c>
      <c r="D351" s="79" t="s">
        <v>33</v>
      </c>
      <c r="E351" s="79" t="s">
        <v>105</v>
      </c>
      <c r="F351" s="85">
        <v>0</v>
      </c>
      <c r="G351" s="79"/>
      <c r="H351" s="79"/>
      <c r="I351" s="79"/>
      <c r="J351" s="79" t="s">
        <v>229</v>
      </c>
      <c r="K351" s="79" t="s">
        <v>229</v>
      </c>
      <c r="L351" s="79">
        <v>0</v>
      </c>
      <c r="M351" s="79" t="s">
        <v>470</v>
      </c>
      <c r="N351" s="79"/>
      <c r="O351" s="79"/>
      <c r="P351" s="79" t="s">
        <v>146</v>
      </c>
      <c r="Q351" s="79"/>
      <c r="R351"/>
      <c r="S351"/>
    </row>
    <row r="352" spans="1:19">
      <c r="A352" s="75" t="s">
        <v>39</v>
      </c>
      <c r="B352" s="83" t="s">
        <v>373</v>
      </c>
      <c r="C352" s="83" t="s">
        <v>18</v>
      </c>
      <c r="D352" s="83" t="s">
        <v>58</v>
      </c>
      <c r="E352" s="83" t="s">
        <v>105</v>
      </c>
      <c r="F352" s="84">
        <v>0</v>
      </c>
      <c r="G352" s="79"/>
      <c r="H352" s="79"/>
      <c r="I352" s="79"/>
      <c r="J352" s="83" t="s">
        <v>229</v>
      </c>
      <c r="K352" s="79" t="s">
        <v>229</v>
      </c>
      <c r="L352" s="83">
        <v>0</v>
      </c>
      <c r="M352" s="83" t="s">
        <v>470</v>
      </c>
      <c r="N352" s="79"/>
      <c r="O352" s="79"/>
      <c r="P352" s="83" t="s">
        <v>146</v>
      </c>
      <c r="Q352" s="79"/>
      <c r="R352"/>
      <c r="S352"/>
    </row>
    <row r="353" spans="1:19">
      <c r="A353" s="80" t="s">
        <v>39</v>
      </c>
      <c r="B353" s="79" t="s">
        <v>374</v>
      </c>
      <c r="C353" s="79" t="s">
        <v>22</v>
      </c>
      <c r="D353" s="79" t="s">
        <v>58</v>
      </c>
      <c r="E353" s="79" t="s">
        <v>105</v>
      </c>
      <c r="F353" s="85">
        <v>0</v>
      </c>
      <c r="G353" s="79" t="s">
        <v>147</v>
      </c>
      <c r="H353" s="79" t="s">
        <v>539</v>
      </c>
      <c r="I353" s="79" t="s">
        <v>139</v>
      </c>
      <c r="J353" s="79" t="s">
        <v>229</v>
      </c>
      <c r="K353" s="79" t="s">
        <v>229</v>
      </c>
      <c r="L353" s="79">
        <v>0</v>
      </c>
      <c r="M353" s="79" t="s">
        <v>470</v>
      </c>
      <c r="N353" s="79"/>
      <c r="O353" s="79"/>
      <c r="P353" s="79" t="s">
        <v>146</v>
      </c>
      <c r="Q353" s="79"/>
      <c r="R353"/>
      <c r="S353"/>
    </row>
    <row r="354" spans="1:19">
      <c r="A354" s="80" t="s">
        <v>39</v>
      </c>
      <c r="B354" s="79" t="s">
        <v>374</v>
      </c>
      <c r="C354" s="79" t="s">
        <v>28</v>
      </c>
      <c r="D354" s="79" t="s">
        <v>58</v>
      </c>
      <c r="E354" s="79" t="s">
        <v>105</v>
      </c>
      <c r="F354" s="85">
        <v>0</v>
      </c>
      <c r="G354" s="79"/>
      <c r="H354" s="79"/>
      <c r="I354" s="79"/>
      <c r="J354" s="79" t="s">
        <v>229</v>
      </c>
      <c r="K354" s="79" t="s">
        <v>229</v>
      </c>
      <c r="L354" s="79">
        <v>0</v>
      </c>
      <c r="M354" s="79" t="s">
        <v>470</v>
      </c>
      <c r="N354" s="79"/>
      <c r="O354" s="79"/>
      <c r="P354" s="79" t="s">
        <v>146</v>
      </c>
      <c r="Q354" s="79"/>
      <c r="R354"/>
      <c r="S354"/>
    </row>
    <row r="355" spans="1:19">
      <c r="A355" s="80" t="s">
        <v>39</v>
      </c>
      <c r="B355" s="79" t="s">
        <v>374</v>
      </c>
      <c r="C355" s="79" t="s">
        <v>29</v>
      </c>
      <c r="D355" s="79" t="s">
        <v>58</v>
      </c>
      <c r="E355" s="79" t="s">
        <v>105</v>
      </c>
      <c r="F355" s="85">
        <v>0</v>
      </c>
      <c r="G355" s="79"/>
      <c r="H355" s="79"/>
      <c r="I355" s="79"/>
      <c r="J355" s="79" t="s">
        <v>229</v>
      </c>
      <c r="K355" s="79" t="s">
        <v>229</v>
      </c>
      <c r="L355" s="79">
        <v>0</v>
      </c>
      <c r="M355" s="79" t="s">
        <v>470</v>
      </c>
      <c r="N355" s="79"/>
      <c r="O355" s="79"/>
      <c r="P355" s="79" t="s">
        <v>146</v>
      </c>
      <c r="Q355" s="79"/>
      <c r="R355"/>
      <c r="S355"/>
    </row>
    <row r="356" spans="1:19">
      <c r="A356" s="80" t="s">
        <v>39</v>
      </c>
      <c r="B356" s="79" t="s">
        <v>374</v>
      </c>
      <c r="C356" s="79" t="s">
        <v>30</v>
      </c>
      <c r="D356" s="79" t="s">
        <v>58</v>
      </c>
      <c r="E356" s="79" t="s">
        <v>105</v>
      </c>
      <c r="F356" s="85">
        <v>0</v>
      </c>
      <c r="G356" s="79"/>
      <c r="H356" s="79"/>
      <c r="I356" s="79"/>
      <c r="J356" s="79" t="s">
        <v>229</v>
      </c>
      <c r="K356" s="79" t="s">
        <v>229</v>
      </c>
      <c r="L356" s="79">
        <v>0</v>
      </c>
      <c r="M356" s="79" t="s">
        <v>470</v>
      </c>
      <c r="N356" s="79"/>
      <c r="O356" s="79"/>
      <c r="P356" s="79" t="s">
        <v>146</v>
      </c>
      <c r="Q356" s="79"/>
      <c r="R356"/>
      <c r="S356"/>
    </row>
    <row r="357" spans="1:19" ht="30">
      <c r="A357" s="75" t="s">
        <v>39</v>
      </c>
      <c r="B357" s="76" t="s">
        <v>375</v>
      </c>
      <c r="C357" s="76" t="s">
        <v>18</v>
      </c>
      <c r="D357" s="76" t="s">
        <v>58</v>
      </c>
      <c r="E357" s="76" t="s">
        <v>105</v>
      </c>
      <c r="F357" s="77">
        <v>0</v>
      </c>
      <c r="G357" s="78"/>
      <c r="H357" s="78"/>
      <c r="I357" s="78"/>
      <c r="J357" s="76" t="s">
        <v>229</v>
      </c>
      <c r="K357" s="79" t="s">
        <v>229</v>
      </c>
      <c r="L357" s="76">
        <v>0</v>
      </c>
      <c r="M357" s="76" t="s">
        <v>470</v>
      </c>
      <c r="N357" s="78"/>
      <c r="O357" s="78"/>
      <c r="P357" s="76" t="s">
        <v>146</v>
      </c>
      <c r="Q357" s="79"/>
      <c r="R357"/>
      <c r="S357"/>
    </row>
    <row r="358" spans="1:19" ht="30">
      <c r="A358" s="80" t="s">
        <v>39</v>
      </c>
      <c r="B358" s="78" t="s">
        <v>376</v>
      </c>
      <c r="C358" s="78" t="s">
        <v>22</v>
      </c>
      <c r="D358" s="78" t="s">
        <v>58</v>
      </c>
      <c r="E358" s="78" t="s">
        <v>105</v>
      </c>
      <c r="F358" s="81">
        <v>0</v>
      </c>
      <c r="G358" s="78" t="s">
        <v>147</v>
      </c>
      <c r="H358" s="78" t="s">
        <v>539</v>
      </c>
      <c r="I358" s="78" t="s">
        <v>139</v>
      </c>
      <c r="J358" s="78" t="s">
        <v>229</v>
      </c>
      <c r="K358" s="79" t="s">
        <v>229</v>
      </c>
      <c r="L358" s="78">
        <v>0</v>
      </c>
      <c r="M358" s="78" t="s">
        <v>470</v>
      </c>
      <c r="N358" s="78"/>
      <c r="O358" s="78"/>
      <c r="P358" s="78" t="s">
        <v>146</v>
      </c>
      <c r="Q358" s="79"/>
      <c r="R358"/>
      <c r="S358"/>
    </row>
    <row r="359" spans="1:19" ht="30">
      <c r="A359" s="80" t="s">
        <v>39</v>
      </c>
      <c r="B359" s="78" t="s">
        <v>376</v>
      </c>
      <c r="C359" s="78" t="s">
        <v>28</v>
      </c>
      <c r="D359" s="78" t="s">
        <v>58</v>
      </c>
      <c r="E359" s="78" t="s">
        <v>105</v>
      </c>
      <c r="F359" s="81">
        <v>0</v>
      </c>
      <c r="G359" s="78"/>
      <c r="H359" s="78"/>
      <c r="I359" s="78"/>
      <c r="J359" s="78" t="s">
        <v>229</v>
      </c>
      <c r="K359" s="79" t="s">
        <v>229</v>
      </c>
      <c r="L359" s="78">
        <v>0</v>
      </c>
      <c r="M359" s="78" t="s">
        <v>470</v>
      </c>
      <c r="N359" s="78"/>
      <c r="O359" s="78"/>
      <c r="P359" s="78" t="s">
        <v>146</v>
      </c>
      <c r="Q359" s="79"/>
      <c r="R359"/>
      <c r="S359"/>
    </row>
    <row r="360" spans="1:19" ht="30">
      <c r="A360" s="80" t="s">
        <v>39</v>
      </c>
      <c r="B360" s="78" t="s">
        <v>376</v>
      </c>
      <c r="C360" s="78" t="s">
        <v>29</v>
      </c>
      <c r="D360" s="78" t="s">
        <v>58</v>
      </c>
      <c r="E360" s="78" t="s">
        <v>105</v>
      </c>
      <c r="F360" s="81">
        <v>0</v>
      </c>
      <c r="G360" s="78"/>
      <c r="H360" s="78"/>
      <c r="I360" s="78"/>
      <c r="J360" s="78" t="s">
        <v>229</v>
      </c>
      <c r="K360" s="79" t="s">
        <v>229</v>
      </c>
      <c r="L360" s="78">
        <v>0</v>
      </c>
      <c r="M360" s="78" t="s">
        <v>470</v>
      </c>
      <c r="N360" s="78"/>
      <c r="O360" s="78"/>
      <c r="P360" s="78" t="s">
        <v>146</v>
      </c>
      <c r="Q360" s="79"/>
      <c r="R360"/>
      <c r="S360"/>
    </row>
    <row r="361" spans="1:19" ht="30">
      <c r="A361" s="80" t="s">
        <v>39</v>
      </c>
      <c r="B361" s="78" t="s">
        <v>376</v>
      </c>
      <c r="C361" s="78" t="s">
        <v>30</v>
      </c>
      <c r="D361" s="78" t="s">
        <v>58</v>
      </c>
      <c r="E361" s="78" t="s">
        <v>105</v>
      </c>
      <c r="F361" s="81">
        <v>0</v>
      </c>
      <c r="G361" s="78"/>
      <c r="H361" s="78"/>
      <c r="I361" s="78"/>
      <c r="J361" s="78" t="s">
        <v>229</v>
      </c>
      <c r="K361" s="79" t="s">
        <v>229</v>
      </c>
      <c r="L361" s="78">
        <v>0</v>
      </c>
      <c r="M361" s="78" t="s">
        <v>470</v>
      </c>
      <c r="N361" s="78"/>
      <c r="O361" s="78"/>
      <c r="P361" s="78" t="s">
        <v>146</v>
      </c>
      <c r="Q361" s="79"/>
      <c r="R361"/>
      <c r="S361"/>
    </row>
    <row r="362" spans="1:19" ht="30">
      <c r="A362" s="75" t="s">
        <v>39</v>
      </c>
      <c r="B362" s="83" t="s">
        <v>540</v>
      </c>
      <c r="C362" s="83" t="s">
        <v>18</v>
      </c>
      <c r="D362" s="83" t="s">
        <v>33</v>
      </c>
      <c r="E362" s="83" t="s">
        <v>105</v>
      </c>
      <c r="F362" s="84">
        <v>0</v>
      </c>
      <c r="G362" s="79"/>
      <c r="H362" s="79"/>
      <c r="I362" s="79"/>
      <c r="J362" s="83">
        <v>46127</v>
      </c>
      <c r="K362" s="79" t="s">
        <v>229</v>
      </c>
      <c r="L362" s="83">
        <v>0</v>
      </c>
      <c r="M362" s="83" t="s">
        <v>470</v>
      </c>
      <c r="N362" s="79"/>
      <c r="O362" s="79"/>
      <c r="P362" s="83" t="s">
        <v>146</v>
      </c>
      <c r="Q362" s="79"/>
      <c r="R362"/>
      <c r="S362"/>
    </row>
    <row r="363" spans="1:19" ht="30">
      <c r="A363" s="80" t="s">
        <v>39</v>
      </c>
      <c r="B363" s="79" t="s">
        <v>541</v>
      </c>
      <c r="C363" s="79" t="s">
        <v>22</v>
      </c>
      <c r="D363" s="79" t="s">
        <v>33</v>
      </c>
      <c r="E363" s="79" t="s">
        <v>105</v>
      </c>
      <c r="F363" s="85">
        <v>0</v>
      </c>
      <c r="G363" s="79" t="s">
        <v>147</v>
      </c>
      <c r="H363" s="79" t="s">
        <v>542</v>
      </c>
      <c r="I363" s="79" t="s">
        <v>139</v>
      </c>
      <c r="J363" s="79" t="s">
        <v>229</v>
      </c>
      <c r="K363" s="88" t="s">
        <v>229</v>
      </c>
      <c r="L363" s="79">
        <v>0</v>
      </c>
      <c r="M363" s="79" t="s">
        <v>470</v>
      </c>
      <c r="N363" s="79"/>
      <c r="O363" s="79"/>
      <c r="P363" s="79" t="s">
        <v>146</v>
      </c>
      <c r="Q363" s="79"/>
      <c r="R363"/>
      <c r="S363"/>
    </row>
    <row r="364" spans="1:19" ht="30">
      <c r="A364" s="80" t="s">
        <v>39</v>
      </c>
      <c r="B364" s="79" t="s">
        <v>541</v>
      </c>
      <c r="C364" s="79" t="s">
        <v>28</v>
      </c>
      <c r="D364" s="79" t="s">
        <v>33</v>
      </c>
      <c r="E364" s="79" t="s">
        <v>105</v>
      </c>
      <c r="F364" s="85">
        <v>0</v>
      </c>
      <c r="G364" s="79"/>
      <c r="H364" s="79"/>
      <c r="I364" s="79"/>
      <c r="J364" s="79" t="s">
        <v>229</v>
      </c>
      <c r="K364" s="79" t="s">
        <v>229</v>
      </c>
      <c r="L364" s="79">
        <v>0</v>
      </c>
      <c r="M364" s="79" t="s">
        <v>470</v>
      </c>
      <c r="N364" s="79"/>
      <c r="O364" s="79"/>
      <c r="P364" s="79" t="s">
        <v>146</v>
      </c>
      <c r="Q364" s="79"/>
      <c r="R364"/>
      <c r="S364"/>
    </row>
    <row r="365" spans="1:19" ht="30">
      <c r="A365" s="80" t="s">
        <v>39</v>
      </c>
      <c r="B365" s="79" t="s">
        <v>541</v>
      </c>
      <c r="C365" s="79" t="s">
        <v>29</v>
      </c>
      <c r="D365" s="79" t="s">
        <v>33</v>
      </c>
      <c r="E365" s="79" t="s">
        <v>105</v>
      </c>
      <c r="F365" s="85">
        <v>0</v>
      </c>
      <c r="G365" s="79"/>
      <c r="H365" s="79"/>
      <c r="I365" s="79"/>
      <c r="J365" s="79" t="s">
        <v>229</v>
      </c>
      <c r="K365" s="79" t="s">
        <v>229</v>
      </c>
      <c r="L365" s="79">
        <v>0</v>
      </c>
      <c r="M365" s="79" t="s">
        <v>470</v>
      </c>
      <c r="N365" s="79"/>
      <c r="O365" s="79"/>
      <c r="P365" s="79" t="s">
        <v>146</v>
      </c>
      <c r="Q365" s="79"/>
      <c r="R365"/>
      <c r="S365"/>
    </row>
    <row r="366" spans="1:19" ht="30">
      <c r="A366" s="80" t="s">
        <v>39</v>
      </c>
      <c r="B366" s="79" t="s">
        <v>541</v>
      </c>
      <c r="C366" s="79" t="s">
        <v>30</v>
      </c>
      <c r="D366" s="79" t="s">
        <v>33</v>
      </c>
      <c r="E366" s="79" t="s">
        <v>105</v>
      </c>
      <c r="F366" s="85">
        <v>0</v>
      </c>
      <c r="G366" s="79"/>
      <c r="H366" s="79"/>
      <c r="I366" s="79"/>
      <c r="J366" s="79" t="s">
        <v>229</v>
      </c>
      <c r="K366" s="79" t="s">
        <v>229</v>
      </c>
      <c r="L366" s="79">
        <v>0</v>
      </c>
      <c r="M366" s="79" t="s">
        <v>470</v>
      </c>
      <c r="N366" s="79"/>
      <c r="O366" s="79"/>
      <c r="P366" s="79" t="s">
        <v>146</v>
      </c>
      <c r="Q366" s="79"/>
      <c r="R366"/>
      <c r="S366"/>
    </row>
    <row r="367" spans="1:19" ht="30">
      <c r="A367" s="75" t="s">
        <v>39</v>
      </c>
      <c r="B367" s="83" t="s">
        <v>379</v>
      </c>
      <c r="C367" s="83" t="s">
        <v>18</v>
      </c>
      <c r="D367" s="83" t="s">
        <v>58</v>
      </c>
      <c r="E367" s="83" t="s">
        <v>105</v>
      </c>
      <c r="F367" s="84">
        <v>0</v>
      </c>
      <c r="G367" s="79"/>
      <c r="H367" s="79"/>
      <c r="I367" s="79"/>
      <c r="J367" s="83" t="s">
        <v>229</v>
      </c>
      <c r="K367" s="79" t="s">
        <v>229</v>
      </c>
      <c r="L367" s="83">
        <v>0</v>
      </c>
      <c r="M367" s="83" t="s">
        <v>470</v>
      </c>
      <c r="N367" s="79"/>
      <c r="O367" s="79"/>
      <c r="P367" s="83" t="s">
        <v>146</v>
      </c>
      <c r="Q367" s="79"/>
      <c r="R367"/>
      <c r="S367"/>
    </row>
    <row r="368" spans="1:19" ht="30">
      <c r="A368" s="80" t="s">
        <v>39</v>
      </c>
      <c r="B368" s="79" t="s">
        <v>380</v>
      </c>
      <c r="C368" s="79" t="s">
        <v>22</v>
      </c>
      <c r="D368" s="79" t="s">
        <v>58</v>
      </c>
      <c r="E368" s="79" t="s">
        <v>105</v>
      </c>
      <c r="F368" s="85">
        <v>0</v>
      </c>
      <c r="G368" s="79" t="s">
        <v>147</v>
      </c>
      <c r="H368" s="79" t="s">
        <v>542</v>
      </c>
      <c r="I368" s="79" t="s">
        <v>139</v>
      </c>
      <c r="J368" s="79" t="s">
        <v>229</v>
      </c>
      <c r="K368" s="88" t="s">
        <v>229</v>
      </c>
      <c r="L368" s="79">
        <v>0</v>
      </c>
      <c r="M368" s="79" t="s">
        <v>470</v>
      </c>
      <c r="N368" s="79"/>
      <c r="O368" s="79"/>
      <c r="P368" s="79" t="s">
        <v>146</v>
      </c>
      <c r="Q368" s="79"/>
      <c r="R368"/>
      <c r="S368"/>
    </row>
    <row r="369" spans="1:19" ht="30">
      <c r="A369" s="80" t="s">
        <v>39</v>
      </c>
      <c r="B369" s="79" t="s">
        <v>380</v>
      </c>
      <c r="C369" s="79" t="s">
        <v>28</v>
      </c>
      <c r="D369" s="79" t="s">
        <v>58</v>
      </c>
      <c r="E369" s="79" t="s">
        <v>105</v>
      </c>
      <c r="F369" s="85">
        <v>0</v>
      </c>
      <c r="G369" s="79"/>
      <c r="H369" s="79"/>
      <c r="I369" s="79"/>
      <c r="J369" s="79" t="s">
        <v>229</v>
      </c>
      <c r="K369" s="79" t="s">
        <v>229</v>
      </c>
      <c r="L369" s="79">
        <v>0</v>
      </c>
      <c r="M369" s="79" t="s">
        <v>470</v>
      </c>
      <c r="N369" s="79"/>
      <c r="O369" s="79"/>
      <c r="P369" s="79" t="s">
        <v>146</v>
      </c>
      <c r="Q369" s="79"/>
      <c r="R369"/>
      <c r="S369"/>
    </row>
    <row r="370" spans="1:19" ht="30">
      <c r="A370" s="80" t="s">
        <v>39</v>
      </c>
      <c r="B370" s="79" t="s">
        <v>380</v>
      </c>
      <c r="C370" s="79" t="s">
        <v>29</v>
      </c>
      <c r="D370" s="79" t="s">
        <v>58</v>
      </c>
      <c r="E370" s="79" t="s">
        <v>105</v>
      </c>
      <c r="F370" s="85">
        <v>0</v>
      </c>
      <c r="G370" s="79"/>
      <c r="H370" s="79"/>
      <c r="I370" s="79"/>
      <c r="J370" s="79" t="s">
        <v>229</v>
      </c>
      <c r="K370" s="79" t="s">
        <v>229</v>
      </c>
      <c r="L370" s="79">
        <v>0</v>
      </c>
      <c r="M370" s="79" t="s">
        <v>470</v>
      </c>
      <c r="N370" s="79"/>
      <c r="O370" s="79"/>
      <c r="P370" s="79" t="s">
        <v>146</v>
      </c>
      <c r="Q370" s="79"/>
      <c r="R370"/>
      <c r="S370"/>
    </row>
    <row r="371" spans="1:19" ht="30">
      <c r="A371" s="80" t="s">
        <v>39</v>
      </c>
      <c r="B371" s="79" t="s">
        <v>380</v>
      </c>
      <c r="C371" s="79" t="s">
        <v>30</v>
      </c>
      <c r="D371" s="79" t="s">
        <v>58</v>
      </c>
      <c r="E371" s="79" t="s">
        <v>105</v>
      </c>
      <c r="F371" s="85">
        <v>0</v>
      </c>
      <c r="G371" s="79"/>
      <c r="H371" s="79"/>
      <c r="I371" s="79"/>
      <c r="J371" s="79" t="s">
        <v>229</v>
      </c>
      <c r="K371" s="79" t="s">
        <v>229</v>
      </c>
      <c r="L371" s="79">
        <v>0</v>
      </c>
      <c r="M371" s="79" t="s">
        <v>470</v>
      </c>
      <c r="N371" s="79"/>
      <c r="O371" s="79"/>
      <c r="P371" s="79" t="s">
        <v>146</v>
      </c>
      <c r="Q371" s="79"/>
      <c r="R371"/>
      <c r="S371"/>
    </row>
    <row r="372" spans="1:19" ht="30">
      <c r="A372" s="75" t="s">
        <v>39</v>
      </c>
      <c r="B372" s="76" t="s">
        <v>543</v>
      </c>
      <c r="C372" s="76" t="s">
        <v>18</v>
      </c>
      <c r="D372" s="76" t="s">
        <v>58</v>
      </c>
      <c r="E372" s="76" t="s">
        <v>105</v>
      </c>
      <c r="F372" s="77">
        <v>0</v>
      </c>
      <c r="G372" s="78"/>
      <c r="H372" s="78"/>
      <c r="I372" s="78"/>
      <c r="J372" s="76" t="s">
        <v>229</v>
      </c>
      <c r="K372" s="79" t="s">
        <v>229</v>
      </c>
      <c r="L372" s="76">
        <v>0</v>
      </c>
      <c r="M372" s="76" t="s">
        <v>470</v>
      </c>
      <c r="N372" s="78"/>
      <c r="O372" s="78"/>
      <c r="P372" s="76" t="s">
        <v>146</v>
      </c>
      <c r="Q372" s="79"/>
      <c r="R372"/>
      <c r="S372"/>
    </row>
    <row r="373" spans="1:19" ht="30">
      <c r="A373" s="80" t="s">
        <v>39</v>
      </c>
      <c r="B373" s="78" t="s">
        <v>544</v>
      </c>
      <c r="C373" s="78" t="s">
        <v>22</v>
      </c>
      <c r="D373" s="78" t="s">
        <v>58</v>
      </c>
      <c r="E373" s="78" t="s">
        <v>105</v>
      </c>
      <c r="F373" s="81">
        <v>0</v>
      </c>
      <c r="G373" s="78" t="s">
        <v>147</v>
      </c>
      <c r="H373" s="78" t="s">
        <v>542</v>
      </c>
      <c r="I373" s="78" t="s">
        <v>139</v>
      </c>
      <c r="J373" s="78" t="s">
        <v>229</v>
      </c>
      <c r="K373" s="79" t="s">
        <v>229</v>
      </c>
      <c r="L373" s="78">
        <v>0</v>
      </c>
      <c r="M373" s="78" t="s">
        <v>470</v>
      </c>
      <c r="N373" s="78"/>
      <c r="O373" s="78"/>
      <c r="P373" s="78" t="s">
        <v>146</v>
      </c>
      <c r="Q373" s="79"/>
      <c r="R373"/>
      <c r="S373"/>
    </row>
    <row r="374" spans="1:19" ht="30">
      <c r="A374" s="80" t="s">
        <v>39</v>
      </c>
      <c r="B374" s="78" t="s">
        <v>544</v>
      </c>
      <c r="C374" s="78" t="s">
        <v>28</v>
      </c>
      <c r="D374" s="78" t="s">
        <v>58</v>
      </c>
      <c r="E374" s="78" t="s">
        <v>105</v>
      </c>
      <c r="F374" s="81">
        <v>0</v>
      </c>
      <c r="G374" s="78"/>
      <c r="H374" s="78"/>
      <c r="I374" s="78"/>
      <c r="J374" s="78" t="s">
        <v>229</v>
      </c>
      <c r="K374" s="79" t="s">
        <v>229</v>
      </c>
      <c r="L374" s="78">
        <v>0</v>
      </c>
      <c r="M374" s="78" t="s">
        <v>470</v>
      </c>
      <c r="N374" s="78"/>
      <c r="O374" s="78"/>
      <c r="P374" s="78" t="s">
        <v>146</v>
      </c>
      <c r="Q374" s="79"/>
      <c r="R374"/>
      <c r="S374"/>
    </row>
    <row r="375" spans="1:19" ht="30">
      <c r="A375" s="80" t="s">
        <v>39</v>
      </c>
      <c r="B375" s="78" t="s">
        <v>544</v>
      </c>
      <c r="C375" s="78" t="s">
        <v>29</v>
      </c>
      <c r="D375" s="78" t="s">
        <v>58</v>
      </c>
      <c r="E375" s="78" t="s">
        <v>105</v>
      </c>
      <c r="F375" s="81">
        <v>0</v>
      </c>
      <c r="G375" s="78"/>
      <c r="H375" s="78"/>
      <c r="I375" s="78"/>
      <c r="J375" s="78" t="s">
        <v>229</v>
      </c>
      <c r="K375" s="79" t="s">
        <v>229</v>
      </c>
      <c r="L375" s="78">
        <v>0</v>
      </c>
      <c r="M375" s="78" t="s">
        <v>470</v>
      </c>
      <c r="N375" s="78"/>
      <c r="O375" s="78"/>
      <c r="P375" s="78" t="s">
        <v>146</v>
      </c>
      <c r="Q375" s="79"/>
      <c r="R375"/>
      <c r="S375"/>
    </row>
    <row r="376" spans="1:19" ht="30">
      <c r="A376" s="80" t="s">
        <v>39</v>
      </c>
      <c r="B376" s="78" t="s">
        <v>544</v>
      </c>
      <c r="C376" s="78" t="s">
        <v>30</v>
      </c>
      <c r="D376" s="78" t="s">
        <v>58</v>
      </c>
      <c r="E376" s="78" t="s">
        <v>105</v>
      </c>
      <c r="F376" s="81">
        <v>0</v>
      </c>
      <c r="G376" s="78"/>
      <c r="H376" s="78"/>
      <c r="I376" s="78"/>
      <c r="J376" s="78" t="s">
        <v>229</v>
      </c>
      <c r="K376" s="79" t="s">
        <v>229</v>
      </c>
      <c r="L376" s="78">
        <v>0</v>
      </c>
      <c r="M376" s="78" t="s">
        <v>470</v>
      </c>
      <c r="N376" s="78"/>
      <c r="O376" s="78"/>
      <c r="P376" s="78" t="s">
        <v>146</v>
      </c>
      <c r="Q376" s="79"/>
      <c r="R376"/>
      <c r="S376"/>
    </row>
    <row r="377" spans="1:19">
      <c r="A377" s="75" t="s">
        <v>39</v>
      </c>
      <c r="B377" s="83" t="s">
        <v>545</v>
      </c>
      <c r="C377" s="83" t="s">
        <v>18</v>
      </c>
      <c r="D377" s="83" t="s">
        <v>58</v>
      </c>
      <c r="E377" s="83" t="s">
        <v>105</v>
      </c>
      <c r="F377" s="84">
        <v>0</v>
      </c>
      <c r="G377" s="79"/>
      <c r="H377" s="79"/>
      <c r="I377" s="79"/>
      <c r="J377" s="83" t="s">
        <v>229</v>
      </c>
      <c r="K377" s="79" t="s">
        <v>229</v>
      </c>
      <c r="L377" s="83">
        <v>0</v>
      </c>
      <c r="M377" s="83" t="s">
        <v>470</v>
      </c>
      <c r="N377" s="78"/>
      <c r="O377" s="78"/>
      <c r="P377" s="76" t="s">
        <v>146</v>
      </c>
      <c r="Q377" s="79"/>
      <c r="R377"/>
      <c r="S377"/>
    </row>
    <row r="378" spans="1:19">
      <c r="A378" s="80" t="s">
        <v>39</v>
      </c>
      <c r="B378" s="79" t="s">
        <v>546</v>
      </c>
      <c r="C378" s="79" t="s">
        <v>22</v>
      </c>
      <c r="D378" s="79" t="s">
        <v>58</v>
      </c>
      <c r="E378" s="79" t="s">
        <v>105</v>
      </c>
      <c r="F378" s="85">
        <v>0</v>
      </c>
      <c r="G378" s="79" t="s">
        <v>147</v>
      </c>
      <c r="H378" s="79" t="s">
        <v>542</v>
      </c>
      <c r="I378" s="79" t="s">
        <v>139</v>
      </c>
      <c r="J378" s="79" t="s">
        <v>229</v>
      </c>
      <c r="K378" s="79" t="s">
        <v>229</v>
      </c>
      <c r="L378" s="79">
        <v>0</v>
      </c>
      <c r="M378" s="79" t="s">
        <v>470</v>
      </c>
      <c r="N378" s="78"/>
      <c r="O378" s="78"/>
      <c r="P378" s="78" t="s">
        <v>146</v>
      </c>
      <c r="Q378" s="79"/>
      <c r="R378"/>
      <c r="S378"/>
    </row>
    <row r="379" spans="1:19">
      <c r="A379" s="80" t="s">
        <v>39</v>
      </c>
      <c r="B379" s="79" t="s">
        <v>546</v>
      </c>
      <c r="C379" s="79" t="s">
        <v>28</v>
      </c>
      <c r="D379" s="79" t="s">
        <v>58</v>
      </c>
      <c r="E379" s="79" t="s">
        <v>105</v>
      </c>
      <c r="F379" s="85">
        <v>0</v>
      </c>
      <c r="G379" s="79"/>
      <c r="H379" s="79"/>
      <c r="I379" s="79"/>
      <c r="J379" s="79" t="s">
        <v>229</v>
      </c>
      <c r="K379" s="79" t="s">
        <v>229</v>
      </c>
      <c r="L379" s="79">
        <v>0</v>
      </c>
      <c r="M379" s="79" t="s">
        <v>470</v>
      </c>
      <c r="N379" s="78"/>
      <c r="O379" s="78"/>
      <c r="P379" s="78" t="s">
        <v>146</v>
      </c>
      <c r="Q379" s="79"/>
      <c r="R379"/>
      <c r="S379"/>
    </row>
    <row r="380" spans="1:19">
      <c r="A380" s="80" t="s">
        <v>39</v>
      </c>
      <c r="B380" s="79" t="s">
        <v>546</v>
      </c>
      <c r="C380" s="79" t="s">
        <v>29</v>
      </c>
      <c r="D380" s="79" t="s">
        <v>58</v>
      </c>
      <c r="E380" s="79" t="s">
        <v>105</v>
      </c>
      <c r="F380" s="85">
        <v>0</v>
      </c>
      <c r="G380" s="79"/>
      <c r="H380" s="79"/>
      <c r="I380" s="79"/>
      <c r="J380" s="79" t="s">
        <v>229</v>
      </c>
      <c r="K380" s="79" t="s">
        <v>229</v>
      </c>
      <c r="L380" s="79">
        <v>0</v>
      </c>
      <c r="M380" s="79" t="s">
        <v>470</v>
      </c>
      <c r="N380" s="78"/>
      <c r="O380" s="78"/>
      <c r="P380" s="78" t="s">
        <v>146</v>
      </c>
      <c r="Q380" s="79"/>
      <c r="R380"/>
      <c r="S380"/>
    </row>
    <row r="381" spans="1:19">
      <c r="A381" s="80" t="s">
        <v>39</v>
      </c>
      <c r="B381" s="79" t="s">
        <v>546</v>
      </c>
      <c r="C381" s="79" t="s">
        <v>30</v>
      </c>
      <c r="D381" s="79" t="s">
        <v>58</v>
      </c>
      <c r="E381" s="79" t="s">
        <v>105</v>
      </c>
      <c r="F381" s="85">
        <v>0</v>
      </c>
      <c r="G381" s="79"/>
      <c r="H381" s="79"/>
      <c r="I381" s="79"/>
      <c r="J381" s="79" t="s">
        <v>229</v>
      </c>
      <c r="K381" s="79" t="s">
        <v>229</v>
      </c>
      <c r="L381" s="79">
        <v>0</v>
      </c>
      <c r="M381" s="79" t="s">
        <v>470</v>
      </c>
      <c r="N381" s="78"/>
      <c r="O381" s="78"/>
      <c r="P381" s="78" t="s">
        <v>146</v>
      </c>
      <c r="Q381" s="79"/>
      <c r="R381"/>
      <c r="S381"/>
    </row>
    <row r="382" spans="1:19" ht="30">
      <c r="A382" s="75" t="s">
        <v>39</v>
      </c>
      <c r="B382" s="83" t="s">
        <v>547</v>
      </c>
      <c r="C382" s="83" t="s">
        <v>18</v>
      </c>
      <c r="D382" s="83" t="s">
        <v>58</v>
      </c>
      <c r="E382" s="83" t="s">
        <v>105</v>
      </c>
      <c r="F382" s="84">
        <v>0</v>
      </c>
      <c r="G382" s="79"/>
      <c r="H382" s="79"/>
      <c r="I382" s="79"/>
      <c r="J382" s="79" t="s">
        <v>229</v>
      </c>
      <c r="K382" s="79" t="s">
        <v>229</v>
      </c>
      <c r="L382" s="83">
        <v>0</v>
      </c>
      <c r="M382" s="83" t="s">
        <v>470</v>
      </c>
      <c r="N382" s="79"/>
      <c r="O382" s="79"/>
      <c r="P382" s="83" t="s">
        <v>146</v>
      </c>
      <c r="Q382" s="79"/>
      <c r="R382"/>
      <c r="S382"/>
    </row>
    <row r="383" spans="1:19" ht="30">
      <c r="A383" s="80" t="s">
        <v>39</v>
      </c>
      <c r="B383" s="79" t="s">
        <v>548</v>
      </c>
      <c r="C383" s="79" t="s">
        <v>22</v>
      </c>
      <c r="D383" s="79" t="s">
        <v>58</v>
      </c>
      <c r="E383" s="79" t="s">
        <v>105</v>
      </c>
      <c r="F383" s="85">
        <v>0</v>
      </c>
      <c r="G383" s="79" t="s">
        <v>147</v>
      </c>
      <c r="H383" s="79" t="s">
        <v>542</v>
      </c>
      <c r="I383" s="79" t="s">
        <v>139</v>
      </c>
      <c r="J383" s="79" t="s">
        <v>229</v>
      </c>
      <c r="K383" s="79" t="s">
        <v>229</v>
      </c>
      <c r="L383" s="79">
        <v>0</v>
      </c>
      <c r="M383" s="79" t="s">
        <v>470</v>
      </c>
      <c r="N383" s="79"/>
      <c r="O383" s="79"/>
      <c r="P383" s="79" t="s">
        <v>146</v>
      </c>
      <c r="Q383" s="79"/>
      <c r="R383"/>
      <c r="S383"/>
    </row>
    <row r="384" spans="1:19" ht="30">
      <c r="A384" s="80" t="s">
        <v>39</v>
      </c>
      <c r="B384" s="79" t="s">
        <v>548</v>
      </c>
      <c r="C384" s="79" t="s">
        <v>28</v>
      </c>
      <c r="D384" s="79" t="s">
        <v>58</v>
      </c>
      <c r="E384" s="79" t="s">
        <v>105</v>
      </c>
      <c r="F384" s="85">
        <v>0</v>
      </c>
      <c r="G384" s="79"/>
      <c r="H384" s="79"/>
      <c r="I384" s="79"/>
      <c r="J384" s="79" t="s">
        <v>229</v>
      </c>
      <c r="K384" s="79" t="s">
        <v>229</v>
      </c>
      <c r="L384" s="79">
        <v>0</v>
      </c>
      <c r="M384" s="79" t="s">
        <v>470</v>
      </c>
      <c r="N384" s="79"/>
      <c r="O384" s="79"/>
      <c r="P384" s="79" t="s">
        <v>146</v>
      </c>
      <c r="Q384" s="79"/>
      <c r="R384"/>
      <c r="S384"/>
    </row>
    <row r="385" spans="1:19" ht="30">
      <c r="A385" s="80" t="s">
        <v>39</v>
      </c>
      <c r="B385" s="79" t="s">
        <v>548</v>
      </c>
      <c r="C385" s="79" t="s">
        <v>29</v>
      </c>
      <c r="D385" s="79" t="s">
        <v>58</v>
      </c>
      <c r="E385" s="79" t="s">
        <v>105</v>
      </c>
      <c r="F385" s="85">
        <v>0</v>
      </c>
      <c r="G385" s="79"/>
      <c r="H385" s="79"/>
      <c r="I385" s="79"/>
      <c r="J385" s="79" t="s">
        <v>229</v>
      </c>
      <c r="K385" s="79" t="s">
        <v>229</v>
      </c>
      <c r="L385" s="79">
        <v>0</v>
      </c>
      <c r="M385" s="79" t="s">
        <v>470</v>
      </c>
      <c r="N385" s="79"/>
      <c r="O385" s="79"/>
      <c r="P385" s="79" t="s">
        <v>146</v>
      </c>
      <c r="Q385" s="79"/>
      <c r="R385"/>
      <c r="S385"/>
    </row>
    <row r="386" spans="1:19" ht="30">
      <c r="A386" s="80" t="s">
        <v>39</v>
      </c>
      <c r="B386" s="79" t="s">
        <v>548</v>
      </c>
      <c r="C386" s="79" t="s">
        <v>30</v>
      </c>
      <c r="D386" s="79" t="s">
        <v>58</v>
      </c>
      <c r="E386" s="79" t="s">
        <v>105</v>
      </c>
      <c r="F386" s="85">
        <v>0</v>
      </c>
      <c r="G386" s="79"/>
      <c r="H386" s="79"/>
      <c r="I386" s="79"/>
      <c r="J386" s="79" t="s">
        <v>229</v>
      </c>
      <c r="K386" s="79" t="s">
        <v>229</v>
      </c>
      <c r="L386" s="79">
        <v>0</v>
      </c>
      <c r="M386" s="79" t="s">
        <v>470</v>
      </c>
      <c r="N386" s="79"/>
      <c r="O386" s="79"/>
      <c r="P386" s="79" t="s">
        <v>146</v>
      </c>
      <c r="Q386" s="79"/>
      <c r="R386"/>
      <c r="S386"/>
    </row>
    <row r="387" spans="1:19">
      <c r="A387" s="75" t="s">
        <v>39</v>
      </c>
      <c r="B387" s="83" t="s">
        <v>549</v>
      </c>
      <c r="C387" s="83" t="s">
        <v>18</v>
      </c>
      <c r="D387" s="83" t="s">
        <v>58</v>
      </c>
      <c r="E387" s="83" t="s">
        <v>105</v>
      </c>
      <c r="F387" s="84">
        <v>0</v>
      </c>
      <c r="G387" s="79"/>
      <c r="H387" s="79"/>
      <c r="I387" s="79"/>
      <c r="J387" s="79" t="s">
        <v>229</v>
      </c>
      <c r="K387" s="79" t="s">
        <v>229</v>
      </c>
      <c r="L387" s="83">
        <v>0</v>
      </c>
      <c r="M387" s="83" t="s">
        <v>470</v>
      </c>
      <c r="N387" s="79"/>
      <c r="O387" s="79"/>
      <c r="P387" s="83" t="s">
        <v>146</v>
      </c>
      <c r="Q387" s="79"/>
      <c r="R387"/>
      <c r="S387"/>
    </row>
    <row r="388" spans="1:19">
      <c r="A388" s="80" t="s">
        <v>39</v>
      </c>
      <c r="B388" s="79" t="s">
        <v>550</v>
      </c>
      <c r="C388" s="79" t="s">
        <v>22</v>
      </c>
      <c r="D388" s="79" t="s">
        <v>58</v>
      </c>
      <c r="E388" s="79" t="s">
        <v>105</v>
      </c>
      <c r="F388" s="85">
        <v>0</v>
      </c>
      <c r="G388" s="79" t="s">
        <v>147</v>
      </c>
      <c r="H388" s="79" t="s">
        <v>542</v>
      </c>
      <c r="I388" s="79" t="s">
        <v>139</v>
      </c>
      <c r="J388" s="79" t="s">
        <v>229</v>
      </c>
      <c r="K388" s="79" t="s">
        <v>229</v>
      </c>
      <c r="L388" s="79">
        <v>0</v>
      </c>
      <c r="M388" s="79" t="s">
        <v>470</v>
      </c>
      <c r="N388" s="79"/>
      <c r="O388" s="79"/>
      <c r="P388" s="79" t="s">
        <v>146</v>
      </c>
      <c r="Q388" s="79"/>
      <c r="R388"/>
      <c r="S388"/>
    </row>
    <row r="389" spans="1:19">
      <c r="A389" s="80" t="s">
        <v>39</v>
      </c>
      <c r="B389" s="79" t="s">
        <v>550</v>
      </c>
      <c r="C389" s="79" t="s">
        <v>28</v>
      </c>
      <c r="D389" s="79" t="s">
        <v>58</v>
      </c>
      <c r="E389" s="79" t="s">
        <v>105</v>
      </c>
      <c r="F389" s="85">
        <v>0</v>
      </c>
      <c r="G389" s="79"/>
      <c r="H389" s="79"/>
      <c r="I389" s="79"/>
      <c r="J389" s="79" t="s">
        <v>229</v>
      </c>
      <c r="K389" s="79" t="s">
        <v>229</v>
      </c>
      <c r="L389" s="79">
        <v>0</v>
      </c>
      <c r="M389" s="79" t="s">
        <v>470</v>
      </c>
      <c r="N389" s="79"/>
      <c r="O389" s="79"/>
      <c r="P389" s="79" t="s">
        <v>146</v>
      </c>
      <c r="Q389" s="79"/>
      <c r="R389"/>
      <c r="S389"/>
    </row>
    <row r="390" spans="1:19">
      <c r="A390" s="80" t="s">
        <v>39</v>
      </c>
      <c r="B390" s="79" t="s">
        <v>550</v>
      </c>
      <c r="C390" s="79" t="s">
        <v>29</v>
      </c>
      <c r="D390" s="79" t="s">
        <v>58</v>
      </c>
      <c r="E390" s="79" t="s">
        <v>105</v>
      </c>
      <c r="F390" s="85">
        <v>0</v>
      </c>
      <c r="G390" s="79"/>
      <c r="H390" s="79"/>
      <c r="I390" s="79"/>
      <c r="J390" s="79" t="s">
        <v>229</v>
      </c>
      <c r="K390" s="79" t="s">
        <v>229</v>
      </c>
      <c r="L390" s="79">
        <v>0</v>
      </c>
      <c r="M390" s="79" t="s">
        <v>470</v>
      </c>
      <c r="N390" s="79"/>
      <c r="O390" s="79"/>
      <c r="P390" s="79" t="s">
        <v>146</v>
      </c>
      <c r="Q390" s="79"/>
      <c r="R390"/>
      <c r="S390"/>
    </row>
    <row r="391" spans="1:19">
      <c r="A391" s="80" t="s">
        <v>39</v>
      </c>
      <c r="B391" s="79" t="s">
        <v>550</v>
      </c>
      <c r="C391" s="79" t="s">
        <v>30</v>
      </c>
      <c r="D391" s="79" t="s">
        <v>58</v>
      </c>
      <c r="E391" s="79" t="s">
        <v>105</v>
      </c>
      <c r="F391" s="85">
        <v>0</v>
      </c>
      <c r="G391" s="79"/>
      <c r="H391" s="79"/>
      <c r="I391" s="79"/>
      <c r="J391" s="79" t="s">
        <v>229</v>
      </c>
      <c r="K391" s="79" t="s">
        <v>229</v>
      </c>
      <c r="L391" s="79">
        <v>0</v>
      </c>
      <c r="M391" s="79" t="s">
        <v>470</v>
      </c>
      <c r="N391" s="79"/>
      <c r="O391" s="79"/>
      <c r="P391" s="79" t="s">
        <v>146</v>
      </c>
      <c r="Q391" s="79"/>
      <c r="R391"/>
      <c r="S391"/>
    </row>
    <row r="392" spans="1:19">
      <c r="A392" s="75" t="s">
        <v>39</v>
      </c>
      <c r="B392" s="83" t="s">
        <v>551</v>
      </c>
      <c r="C392" s="83" t="s">
        <v>18</v>
      </c>
      <c r="D392" s="83" t="s">
        <v>33</v>
      </c>
      <c r="E392" s="83" t="s">
        <v>105</v>
      </c>
      <c r="F392" s="84">
        <v>0.21</v>
      </c>
      <c r="G392" s="79"/>
      <c r="H392" s="79"/>
      <c r="I392" s="79"/>
      <c r="J392" s="83">
        <v>45945</v>
      </c>
      <c r="K392" s="79">
        <v>46203</v>
      </c>
      <c r="L392" s="83">
        <v>185</v>
      </c>
      <c r="M392" s="83" t="s">
        <v>470</v>
      </c>
      <c r="N392" s="79"/>
      <c r="O392" s="79"/>
      <c r="P392" s="83" t="s">
        <v>146</v>
      </c>
      <c r="Q392" s="79"/>
      <c r="R392"/>
      <c r="S392"/>
    </row>
    <row r="393" spans="1:19" ht="30">
      <c r="A393" s="80" t="s">
        <v>39</v>
      </c>
      <c r="B393" s="79" t="s">
        <v>552</v>
      </c>
      <c r="C393" s="79" t="s">
        <v>22</v>
      </c>
      <c r="D393" s="79" t="s">
        <v>33</v>
      </c>
      <c r="E393" s="79" t="s">
        <v>105</v>
      </c>
      <c r="F393" s="85">
        <v>0</v>
      </c>
      <c r="G393" s="79" t="s">
        <v>147</v>
      </c>
      <c r="H393" s="79" t="s">
        <v>158</v>
      </c>
      <c r="I393" s="79" t="s">
        <v>139</v>
      </c>
      <c r="J393" s="79">
        <v>46034</v>
      </c>
      <c r="K393" s="86">
        <v>46203</v>
      </c>
      <c r="L393" s="79">
        <v>122</v>
      </c>
      <c r="M393" s="79" t="s">
        <v>470</v>
      </c>
      <c r="N393" s="79" t="s">
        <v>43</v>
      </c>
      <c r="O393" s="79" t="s">
        <v>26</v>
      </c>
      <c r="P393" s="79" t="s">
        <v>146</v>
      </c>
      <c r="Q393" s="79"/>
      <c r="R393"/>
      <c r="S393"/>
    </row>
    <row r="394" spans="1:19">
      <c r="A394" s="80" t="s">
        <v>39</v>
      </c>
      <c r="B394" s="79" t="s">
        <v>552</v>
      </c>
      <c r="C394" s="79" t="s">
        <v>28</v>
      </c>
      <c r="D394" s="79" t="s">
        <v>33</v>
      </c>
      <c r="E394" s="79" t="s">
        <v>105</v>
      </c>
      <c r="F394" s="85">
        <v>0</v>
      </c>
      <c r="G394" s="79"/>
      <c r="H394" s="79"/>
      <c r="I394" s="79"/>
      <c r="J394" s="79">
        <v>46127</v>
      </c>
      <c r="K394" s="86">
        <v>46203</v>
      </c>
      <c r="L394" s="79">
        <v>55</v>
      </c>
      <c r="M394" s="79" t="s">
        <v>470</v>
      </c>
      <c r="N394" s="79"/>
      <c r="O394" s="79" t="s">
        <v>27</v>
      </c>
      <c r="P394" s="79" t="s">
        <v>146</v>
      </c>
      <c r="Q394" s="79"/>
      <c r="R394"/>
      <c r="S394"/>
    </row>
    <row r="395" spans="1:19">
      <c r="A395" s="80" t="s">
        <v>39</v>
      </c>
      <c r="B395" s="79" t="s">
        <v>552</v>
      </c>
      <c r="C395" s="79" t="s">
        <v>29</v>
      </c>
      <c r="D395" s="79" t="s">
        <v>33</v>
      </c>
      <c r="E395" s="79" t="s">
        <v>105</v>
      </c>
      <c r="F395" s="85">
        <v>0</v>
      </c>
      <c r="G395" s="79"/>
      <c r="H395" s="79"/>
      <c r="I395" s="79"/>
      <c r="J395" s="79" t="s">
        <v>229</v>
      </c>
      <c r="K395" s="86" t="s">
        <v>229</v>
      </c>
      <c r="L395" s="79">
        <v>0</v>
      </c>
      <c r="M395" s="79" t="s">
        <v>470</v>
      </c>
      <c r="N395" s="79"/>
      <c r="O395" s="79"/>
      <c r="P395" s="79" t="s">
        <v>146</v>
      </c>
      <c r="Q395" s="79"/>
      <c r="R395"/>
      <c r="S395"/>
    </row>
    <row r="396" spans="1:19">
      <c r="A396" s="80" t="s">
        <v>39</v>
      </c>
      <c r="B396" s="79" t="s">
        <v>552</v>
      </c>
      <c r="C396" s="79" t="s">
        <v>30</v>
      </c>
      <c r="D396" s="79" t="s">
        <v>33</v>
      </c>
      <c r="E396" s="79" t="s">
        <v>105</v>
      </c>
      <c r="F396" s="85">
        <v>0</v>
      </c>
      <c r="G396" s="79"/>
      <c r="H396" s="79"/>
      <c r="I396" s="79"/>
      <c r="J396" s="79" t="s">
        <v>229</v>
      </c>
      <c r="K396" s="86" t="s">
        <v>229</v>
      </c>
      <c r="L396" s="79">
        <v>0</v>
      </c>
      <c r="M396" s="79" t="s">
        <v>470</v>
      </c>
      <c r="N396" s="79"/>
      <c r="O396" s="79"/>
      <c r="P396" s="79" t="s">
        <v>146</v>
      </c>
      <c r="Q396" s="79"/>
      <c r="R396"/>
      <c r="S396"/>
    </row>
    <row r="397" spans="1:19">
      <c r="A397" s="75" t="s">
        <v>39</v>
      </c>
      <c r="B397" s="83" t="s">
        <v>387</v>
      </c>
      <c r="C397" s="83" t="s">
        <v>18</v>
      </c>
      <c r="D397" s="83" t="s">
        <v>58</v>
      </c>
      <c r="E397" s="83" t="s">
        <v>105</v>
      </c>
      <c r="F397" s="84">
        <v>0.5</v>
      </c>
      <c r="G397" s="79"/>
      <c r="H397" s="79"/>
      <c r="I397" s="79"/>
      <c r="J397" s="79">
        <v>46036</v>
      </c>
      <c r="K397" s="79">
        <v>46162</v>
      </c>
      <c r="L397" s="83">
        <v>91</v>
      </c>
      <c r="M397" s="83" t="s">
        <v>470</v>
      </c>
      <c r="N397" s="79"/>
      <c r="O397" s="79"/>
      <c r="P397" s="83" t="s">
        <v>146</v>
      </c>
      <c r="Q397" s="79"/>
      <c r="R397"/>
      <c r="S397"/>
    </row>
    <row r="398" spans="1:19" ht="30">
      <c r="A398" s="80" t="s">
        <v>39</v>
      </c>
      <c r="B398" s="79" t="s">
        <v>388</v>
      </c>
      <c r="C398" s="79" t="s">
        <v>22</v>
      </c>
      <c r="D398" s="79" t="s">
        <v>58</v>
      </c>
      <c r="E398" s="79" t="s">
        <v>105</v>
      </c>
      <c r="F398" s="85">
        <v>0.5</v>
      </c>
      <c r="G398" s="79" t="s">
        <v>147</v>
      </c>
      <c r="H398" s="79" t="s">
        <v>158</v>
      </c>
      <c r="I398" s="79" t="s">
        <v>139</v>
      </c>
      <c r="J398" s="79">
        <v>46036</v>
      </c>
      <c r="K398" s="79">
        <v>46162</v>
      </c>
      <c r="L398" s="79">
        <v>91</v>
      </c>
      <c r="M398" s="79" t="s">
        <v>470</v>
      </c>
      <c r="N398" s="79" t="s">
        <v>26</v>
      </c>
      <c r="O398" s="79" t="s">
        <v>26</v>
      </c>
      <c r="P398" s="79" t="s">
        <v>146</v>
      </c>
      <c r="Q398" s="79"/>
      <c r="R398"/>
      <c r="S398"/>
    </row>
    <row r="399" spans="1:19">
      <c r="A399" s="80" t="s">
        <v>39</v>
      </c>
      <c r="B399" s="79" t="s">
        <v>388</v>
      </c>
      <c r="C399" s="79" t="s">
        <v>28</v>
      </c>
      <c r="D399" s="79" t="s">
        <v>58</v>
      </c>
      <c r="E399" s="79" t="s">
        <v>105</v>
      </c>
      <c r="F399" s="85">
        <v>0</v>
      </c>
      <c r="G399" s="79"/>
      <c r="H399" s="79"/>
      <c r="I399" s="79"/>
      <c r="J399" s="79" t="s">
        <v>229</v>
      </c>
      <c r="K399" s="79" t="s">
        <v>229</v>
      </c>
      <c r="L399" s="79">
        <v>0</v>
      </c>
      <c r="M399" s="79" t="s">
        <v>470</v>
      </c>
      <c r="N399" s="79"/>
      <c r="O399" s="79"/>
      <c r="P399" s="79" t="s">
        <v>146</v>
      </c>
      <c r="Q399" s="79"/>
      <c r="R399"/>
      <c r="S399"/>
    </row>
    <row r="400" spans="1:19">
      <c r="A400" s="80" t="s">
        <v>39</v>
      </c>
      <c r="B400" s="79" t="s">
        <v>388</v>
      </c>
      <c r="C400" s="79" t="s">
        <v>29</v>
      </c>
      <c r="D400" s="79" t="s">
        <v>58</v>
      </c>
      <c r="E400" s="79" t="s">
        <v>105</v>
      </c>
      <c r="F400" s="85">
        <v>0</v>
      </c>
      <c r="G400" s="79"/>
      <c r="H400" s="79"/>
      <c r="I400" s="79"/>
      <c r="J400" s="79" t="s">
        <v>229</v>
      </c>
      <c r="K400" s="79" t="s">
        <v>229</v>
      </c>
      <c r="L400" s="79">
        <v>0</v>
      </c>
      <c r="M400" s="79" t="s">
        <v>470</v>
      </c>
      <c r="N400" s="79"/>
      <c r="O400" s="79"/>
      <c r="P400" s="79" t="s">
        <v>146</v>
      </c>
      <c r="Q400" s="79"/>
      <c r="R400"/>
      <c r="S400"/>
    </row>
    <row r="401" spans="1:19">
      <c r="A401" s="80" t="s">
        <v>39</v>
      </c>
      <c r="B401" s="79" t="s">
        <v>388</v>
      </c>
      <c r="C401" s="79" t="s">
        <v>30</v>
      </c>
      <c r="D401" s="79" t="s">
        <v>58</v>
      </c>
      <c r="E401" s="79" t="s">
        <v>105</v>
      </c>
      <c r="F401" s="85">
        <v>0</v>
      </c>
      <c r="G401" s="79"/>
      <c r="H401" s="79"/>
      <c r="I401" s="79"/>
      <c r="J401" s="79" t="s">
        <v>229</v>
      </c>
      <c r="K401" s="79" t="s">
        <v>229</v>
      </c>
      <c r="L401" s="79">
        <v>0</v>
      </c>
      <c r="M401" s="79" t="s">
        <v>470</v>
      </c>
      <c r="N401" s="79"/>
      <c r="O401" s="79"/>
      <c r="P401" s="79" t="s">
        <v>146</v>
      </c>
      <c r="Q401" s="79"/>
      <c r="R401"/>
      <c r="S401"/>
    </row>
    <row r="402" spans="1:19">
      <c r="A402" s="87" t="s">
        <v>39</v>
      </c>
      <c r="B402" s="83" t="s">
        <v>553</v>
      </c>
      <c r="C402" s="83" t="s">
        <v>18</v>
      </c>
      <c r="D402" s="83" t="s">
        <v>58</v>
      </c>
      <c r="E402" s="83" t="s">
        <v>105</v>
      </c>
      <c r="F402" s="84">
        <v>0</v>
      </c>
      <c r="G402" s="79"/>
      <c r="H402" s="79"/>
      <c r="I402" s="79"/>
      <c r="J402" s="79">
        <v>46127</v>
      </c>
      <c r="K402" s="79">
        <v>46203</v>
      </c>
      <c r="L402" s="83">
        <v>55</v>
      </c>
      <c r="M402" s="83" t="s">
        <v>470</v>
      </c>
      <c r="N402" s="79"/>
      <c r="O402" s="79"/>
      <c r="P402" s="83" t="s">
        <v>146</v>
      </c>
      <c r="Q402" s="79"/>
      <c r="R402"/>
      <c r="S402"/>
    </row>
    <row r="403" spans="1:19">
      <c r="A403" s="80" t="s">
        <v>39</v>
      </c>
      <c r="B403" s="79" t="s">
        <v>554</v>
      </c>
      <c r="C403" s="79" t="s">
        <v>22</v>
      </c>
      <c r="D403" s="79" t="s">
        <v>58</v>
      </c>
      <c r="E403" s="79" t="s">
        <v>105</v>
      </c>
      <c r="F403" s="85">
        <v>0</v>
      </c>
      <c r="G403" s="79" t="s">
        <v>147</v>
      </c>
      <c r="H403" s="79" t="s">
        <v>160</v>
      </c>
      <c r="I403" s="79" t="s">
        <v>139</v>
      </c>
      <c r="J403" s="79" t="s">
        <v>229</v>
      </c>
      <c r="K403" s="79" t="s">
        <v>229</v>
      </c>
      <c r="L403" s="79">
        <v>0</v>
      </c>
      <c r="M403" s="79" t="s">
        <v>470</v>
      </c>
      <c r="N403" s="79"/>
      <c r="O403" s="79"/>
      <c r="P403" s="79" t="s">
        <v>146</v>
      </c>
      <c r="Q403" s="79"/>
      <c r="R403"/>
      <c r="S403"/>
    </row>
    <row r="404" spans="1:19">
      <c r="A404" s="80" t="s">
        <v>39</v>
      </c>
      <c r="B404" s="79" t="s">
        <v>554</v>
      </c>
      <c r="C404" s="79" t="s">
        <v>28</v>
      </c>
      <c r="D404" s="79" t="s">
        <v>58</v>
      </c>
      <c r="E404" s="79" t="s">
        <v>105</v>
      </c>
      <c r="F404" s="85">
        <v>0</v>
      </c>
      <c r="G404" s="79"/>
      <c r="H404" s="79"/>
      <c r="I404" s="79"/>
      <c r="J404" s="79" t="s">
        <v>229</v>
      </c>
      <c r="K404" s="79" t="s">
        <v>229</v>
      </c>
      <c r="L404" s="79">
        <v>0</v>
      </c>
      <c r="M404" s="79" t="s">
        <v>470</v>
      </c>
      <c r="N404" s="79"/>
      <c r="O404" s="79"/>
      <c r="P404" s="79" t="s">
        <v>146</v>
      </c>
      <c r="Q404" s="79"/>
      <c r="R404"/>
      <c r="S404"/>
    </row>
    <row r="405" spans="1:19">
      <c r="A405" s="80" t="s">
        <v>39</v>
      </c>
      <c r="B405" s="79" t="s">
        <v>554</v>
      </c>
      <c r="C405" s="79" t="s">
        <v>29</v>
      </c>
      <c r="D405" s="79" t="s">
        <v>58</v>
      </c>
      <c r="E405" s="79" t="s">
        <v>105</v>
      </c>
      <c r="F405" s="85">
        <v>0</v>
      </c>
      <c r="G405" s="79"/>
      <c r="H405" s="79"/>
      <c r="I405" s="79"/>
      <c r="J405" s="79" t="s">
        <v>229</v>
      </c>
      <c r="K405" s="79" t="s">
        <v>229</v>
      </c>
      <c r="L405" s="79">
        <v>0</v>
      </c>
      <c r="M405" s="79" t="s">
        <v>470</v>
      </c>
      <c r="N405" s="79"/>
      <c r="O405" s="79"/>
      <c r="P405" s="79" t="s">
        <v>146</v>
      </c>
      <c r="Q405" s="79"/>
      <c r="R405"/>
      <c r="S405"/>
    </row>
    <row r="406" spans="1:19">
      <c r="A406" s="80" t="s">
        <v>39</v>
      </c>
      <c r="B406" s="79" t="s">
        <v>554</v>
      </c>
      <c r="C406" s="79" t="s">
        <v>30</v>
      </c>
      <c r="D406" s="79" t="s">
        <v>58</v>
      </c>
      <c r="E406" s="79" t="s">
        <v>105</v>
      </c>
      <c r="F406" s="85">
        <v>0</v>
      </c>
      <c r="G406" s="79"/>
      <c r="H406" s="79"/>
      <c r="I406" s="79"/>
      <c r="J406" s="79" t="s">
        <v>229</v>
      </c>
      <c r="K406" s="79" t="s">
        <v>229</v>
      </c>
      <c r="L406" s="79">
        <v>0</v>
      </c>
      <c r="M406" s="79" t="s">
        <v>470</v>
      </c>
      <c r="N406" s="79"/>
      <c r="O406" s="79"/>
      <c r="P406" s="79" t="s">
        <v>146</v>
      </c>
      <c r="Q406" s="79"/>
      <c r="R406"/>
      <c r="S406"/>
    </row>
    <row r="407" spans="1:19" ht="30">
      <c r="A407" s="87" t="s">
        <v>39</v>
      </c>
      <c r="B407" s="83" t="s">
        <v>555</v>
      </c>
      <c r="C407" s="83" t="s">
        <v>18</v>
      </c>
      <c r="D407" s="83" t="s">
        <v>58</v>
      </c>
      <c r="E407" s="83" t="s">
        <v>105</v>
      </c>
      <c r="F407" s="84">
        <v>0</v>
      </c>
      <c r="G407" s="79"/>
      <c r="H407" s="79"/>
      <c r="I407" s="79"/>
      <c r="J407" s="79" t="s">
        <v>229</v>
      </c>
      <c r="K407" s="79" t="s">
        <v>229</v>
      </c>
      <c r="L407" s="83">
        <v>0</v>
      </c>
      <c r="M407" s="83" t="s">
        <v>470</v>
      </c>
      <c r="N407" s="79"/>
      <c r="O407" s="79"/>
      <c r="P407" s="83" t="s">
        <v>146</v>
      </c>
      <c r="Q407" s="79"/>
      <c r="R407"/>
      <c r="S407"/>
    </row>
    <row r="408" spans="1:19" ht="30">
      <c r="A408" s="80" t="s">
        <v>39</v>
      </c>
      <c r="B408" s="79" t="s">
        <v>556</v>
      </c>
      <c r="C408" s="79" t="s">
        <v>22</v>
      </c>
      <c r="D408" s="79" t="s">
        <v>58</v>
      </c>
      <c r="E408" s="79" t="s">
        <v>105</v>
      </c>
      <c r="F408" s="85">
        <v>0</v>
      </c>
      <c r="G408" s="79" t="s">
        <v>147</v>
      </c>
      <c r="H408" s="79" t="s">
        <v>539</v>
      </c>
      <c r="I408" s="79" t="s">
        <v>139</v>
      </c>
      <c r="J408" s="79" t="s">
        <v>229</v>
      </c>
      <c r="K408" s="79" t="s">
        <v>229</v>
      </c>
      <c r="L408" s="79">
        <v>0</v>
      </c>
      <c r="M408" s="79" t="s">
        <v>470</v>
      </c>
      <c r="N408" s="79"/>
      <c r="O408" s="79"/>
      <c r="P408" s="79" t="s">
        <v>146</v>
      </c>
      <c r="Q408" s="79"/>
      <c r="R408"/>
      <c r="S408"/>
    </row>
    <row r="409" spans="1:19" ht="30">
      <c r="A409" s="80" t="s">
        <v>39</v>
      </c>
      <c r="B409" s="79" t="s">
        <v>556</v>
      </c>
      <c r="C409" s="79" t="s">
        <v>28</v>
      </c>
      <c r="D409" s="79" t="s">
        <v>58</v>
      </c>
      <c r="E409" s="79" t="s">
        <v>105</v>
      </c>
      <c r="F409" s="85">
        <v>0</v>
      </c>
      <c r="G409" s="79"/>
      <c r="H409" s="79"/>
      <c r="I409" s="79"/>
      <c r="J409" s="79" t="s">
        <v>229</v>
      </c>
      <c r="K409" s="79" t="s">
        <v>229</v>
      </c>
      <c r="L409" s="79">
        <v>0</v>
      </c>
      <c r="M409" s="79" t="s">
        <v>470</v>
      </c>
      <c r="N409" s="79"/>
      <c r="O409" s="79"/>
      <c r="P409" s="79" t="s">
        <v>146</v>
      </c>
      <c r="Q409" s="79"/>
      <c r="R409"/>
      <c r="S409"/>
    </row>
    <row r="410" spans="1:19" ht="30">
      <c r="A410" s="80" t="s">
        <v>39</v>
      </c>
      <c r="B410" s="79" t="s">
        <v>556</v>
      </c>
      <c r="C410" s="79" t="s">
        <v>29</v>
      </c>
      <c r="D410" s="79" t="s">
        <v>58</v>
      </c>
      <c r="E410" s="79" t="s">
        <v>105</v>
      </c>
      <c r="F410" s="85">
        <v>0</v>
      </c>
      <c r="G410" s="79"/>
      <c r="H410" s="79"/>
      <c r="I410" s="79"/>
      <c r="J410" s="79" t="s">
        <v>229</v>
      </c>
      <c r="K410" s="79" t="s">
        <v>229</v>
      </c>
      <c r="L410" s="79">
        <v>0</v>
      </c>
      <c r="M410" s="79" t="s">
        <v>470</v>
      </c>
      <c r="N410" s="79"/>
      <c r="O410" s="79"/>
      <c r="P410" s="79" t="s">
        <v>146</v>
      </c>
      <c r="Q410" s="79"/>
      <c r="R410"/>
      <c r="S410"/>
    </row>
    <row r="411" spans="1:19" ht="30">
      <c r="A411" s="80" t="s">
        <v>39</v>
      </c>
      <c r="B411" s="79" t="s">
        <v>556</v>
      </c>
      <c r="C411" s="79" t="s">
        <v>30</v>
      </c>
      <c r="D411" s="79" t="s">
        <v>58</v>
      </c>
      <c r="E411" s="79" t="s">
        <v>105</v>
      </c>
      <c r="F411" s="85">
        <v>0</v>
      </c>
      <c r="G411" s="79"/>
      <c r="H411" s="79"/>
      <c r="I411" s="79"/>
      <c r="J411" s="79" t="s">
        <v>229</v>
      </c>
      <c r="K411" s="79" t="s">
        <v>229</v>
      </c>
      <c r="L411" s="79">
        <v>0</v>
      </c>
      <c r="M411" s="79" t="s">
        <v>470</v>
      </c>
      <c r="N411" s="79"/>
      <c r="O411" s="79"/>
      <c r="P411" s="79" t="s">
        <v>146</v>
      </c>
      <c r="Q411" s="79"/>
      <c r="R411"/>
      <c r="S411"/>
    </row>
    <row r="412" spans="1:19">
      <c r="A412" s="75" t="s">
        <v>39</v>
      </c>
      <c r="B412" s="83" t="s">
        <v>393</v>
      </c>
      <c r="C412" s="83" t="s">
        <v>18</v>
      </c>
      <c r="D412" s="83" t="s">
        <v>33</v>
      </c>
      <c r="E412" s="83" t="s">
        <v>105</v>
      </c>
      <c r="F412" s="84">
        <v>0.56999999999999995</v>
      </c>
      <c r="G412" s="79"/>
      <c r="H412" s="79"/>
      <c r="I412" s="79"/>
      <c r="J412" s="79">
        <v>45946</v>
      </c>
      <c r="K412" s="79">
        <v>46188</v>
      </c>
      <c r="L412" s="83">
        <v>173</v>
      </c>
      <c r="M412" s="83" t="s">
        <v>470</v>
      </c>
      <c r="N412" s="79"/>
      <c r="O412" s="79"/>
      <c r="P412" s="83" t="s">
        <v>146</v>
      </c>
      <c r="Q412" s="79"/>
      <c r="R412"/>
      <c r="S412"/>
    </row>
    <row r="413" spans="1:19" ht="30">
      <c r="A413" s="80" t="s">
        <v>39</v>
      </c>
      <c r="B413" s="79" t="s">
        <v>394</v>
      </c>
      <c r="C413" s="79" t="s">
        <v>22</v>
      </c>
      <c r="D413" s="79" t="s">
        <v>33</v>
      </c>
      <c r="E413" s="79" t="s">
        <v>105</v>
      </c>
      <c r="F413" s="85">
        <v>0</v>
      </c>
      <c r="G413" s="79" t="s">
        <v>147</v>
      </c>
      <c r="H413" s="79" t="s">
        <v>542</v>
      </c>
      <c r="I413" s="79" t="s">
        <v>139</v>
      </c>
      <c r="J413" s="79">
        <v>46034</v>
      </c>
      <c r="K413" s="79">
        <v>46111</v>
      </c>
      <c r="L413" s="79">
        <v>56</v>
      </c>
      <c r="M413" s="79" t="s">
        <v>470</v>
      </c>
      <c r="N413" s="79" t="s">
        <v>43</v>
      </c>
      <c r="O413" s="79" t="s">
        <v>26</v>
      </c>
      <c r="P413" s="79" t="s">
        <v>146</v>
      </c>
      <c r="Q413" s="79"/>
      <c r="R413"/>
      <c r="S413"/>
    </row>
    <row r="414" spans="1:19">
      <c r="A414" s="80" t="s">
        <v>39</v>
      </c>
      <c r="B414" s="79" t="s">
        <v>394</v>
      </c>
      <c r="C414" s="79" t="s">
        <v>28</v>
      </c>
      <c r="D414" s="79" t="s">
        <v>33</v>
      </c>
      <c r="E414" s="79" t="s">
        <v>105</v>
      </c>
      <c r="F414" s="85">
        <v>0</v>
      </c>
      <c r="G414" s="79"/>
      <c r="H414" s="79"/>
      <c r="I414" s="79"/>
      <c r="J414" s="79">
        <v>46113</v>
      </c>
      <c r="K414" s="79">
        <v>46188</v>
      </c>
      <c r="L414" s="79">
        <v>54</v>
      </c>
      <c r="M414" s="79" t="s">
        <v>470</v>
      </c>
      <c r="N414" s="79"/>
      <c r="O414" s="79" t="s">
        <v>27</v>
      </c>
      <c r="P414" s="79" t="s">
        <v>146</v>
      </c>
      <c r="Q414" s="79"/>
      <c r="R414"/>
      <c r="S414"/>
    </row>
    <row r="415" spans="1:19">
      <c r="A415" s="80" t="s">
        <v>39</v>
      </c>
      <c r="B415" s="79" t="s">
        <v>394</v>
      </c>
      <c r="C415" s="79" t="s">
        <v>29</v>
      </c>
      <c r="D415" s="79" t="s">
        <v>33</v>
      </c>
      <c r="E415" s="79" t="s">
        <v>105</v>
      </c>
      <c r="F415" s="85">
        <v>0</v>
      </c>
      <c r="G415" s="79"/>
      <c r="H415" s="79"/>
      <c r="I415" s="79"/>
      <c r="J415" s="79" t="s">
        <v>229</v>
      </c>
      <c r="K415" s="79" t="s">
        <v>229</v>
      </c>
      <c r="L415" s="79">
        <v>0</v>
      </c>
      <c r="M415" s="79" t="s">
        <v>470</v>
      </c>
      <c r="N415" s="79"/>
      <c r="O415" s="79"/>
      <c r="P415" s="79" t="s">
        <v>146</v>
      </c>
      <c r="Q415" s="79"/>
      <c r="R415"/>
      <c r="S415"/>
    </row>
    <row r="416" spans="1:19">
      <c r="A416" s="80" t="s">
        <v>39</v>
      </c>
      <c r="B416" s="79" t="s">
        <v>394</v>
      </c>
      <c r="C416" s="79" t="s">
        <v>30</v>
      </c>
      <c r="D416" s="79" t="s">
        <v>33</v>
      </c>
      <c r="E416" s="79" t="s">
        <v>105</v>
      </c>
      <c r="F416" s="85">
        <v>0</v>
      </c>
      <c r="G416" s="79"/>
      <c r="H416" s="79"/>
      <c r="I416" s="79"/>
      <c r="J416" s="79" t="s">
        <v>229</v>
      </c>
      <c r="K416" s="79" t="s">
        <v>229</v>
      </c>
      <c r="L416" s="79">
        <v>0</v>
      </c>
      <c r="M416" s="79" t="s">
        <v>470</v>
      </c>
      <c r="N416" s="79"/>
      <c r="O416" s="79"/>
      <c r="P416" s="79" t="s">
        <v>146</v>
      </c>
      <c r="Q416" s="79"/>
      <c r="R416"/>
      <c r="S416"/>
    </row>
    <row r="417" spans="1:19">
      <c r="A417" s="75" t="s">
        <v>39</v>
      </c>
      <c r="B417" s="83" t="s">
        <v>396</v>
      </c>
      <c r="C417" s="83" t="s">
        <v>18</v>
      </c>
      <c r="D417" s="83" t="s">
        <v>58</v>
      </c>
      <c r="E417" s="83" t="s">
        <v>105</v>
      </c>
      <c r="F417" s="84">
        <v>0.75</v>
      </c>
      <c r="G417" s="79"/>
      <c r="H417" s="79"/>
      <c r="I417" s="79"/>
      <c r="J417" s="79">
        <v>46035</v>
      </c>
      <c r="K417" s="79">
        <v>46100</v>
      </c>
      <c r="L417" s="83">
        <v>48</v>
      </c>
      <c r="M417" s="83" t="s">
        <v>557</v>
      </c>
      <c r="N417" s="79"/>
      <c r="O417" s="79"/>
      <c r="P417" s="83" t="s">
        <v>146</v>
      </c>
      <c r="Q417" s="79"/>
      <c r="R417"/>
      <c r="S417"/>
    </row>
    <row r="418" spans="1:19" ht="30">
      <c r="A418" s="80" t="s">
        <v>39</v>
      </c>
      <c r="B418" s="79" t="s">
        <v>397</v>
      </c>
      <c r="C418" s="79" t="s">
        <v>22</v>
      </c>
      <c r="D418" s="79" t="s">
        <v>58</v>
      </c>
      <c r="E418" s="79" t="s">
        <v>105</v>
      </c>
      <c r="F418" s="85">
        <v>0.75</v>
      </c>
      <c r="G418" s="79" t="s">
        <v>147</v>
      </c>
      <c r="H418" s="79" t="s">
        <v>542</v>
      </c>
      <c r="I418" s="79" t="s">
        <v>139</v>
      </c>
      <c r="J418" s="79">
        <v>46035</v>
      </c>
      <c r="K418" s="79">
        <v>46100</v>
      </c>
      <c r="L418" s="79">
        <v>48</v>
      </c>
      <c r="M418" s="79" t="s">
        <v>557</v>
      </c>
      <c r="N418" s="79" t="s">
        <v>26</v>
      </c>
      <c r="O418" s="79" t="s">
        <v>108</v>
      </c>
      <c r="P418" s="79" t="s">
        <v>146</v>
      </c>
      <c r="Q418" s="79"/>
      <c r="R418"/>
      <c r="S418"/>
    </row>
    <row r="419" spans="1:19">
      <c r="A419" s="80" t="s">
        <v>39</v>
      </c>
      <c r="B419" s="79" t="s">
        <v>397</v>
      </c>
      <c r="C419" s="79" t="s">
        <v>28</v>
      </c>
      <c r="D419" s="79" t="s">
        <v>58</v>
      </c>
      <c r="E419" s="79" t="s">
        <v>105</v>
      </c>
      <c r="F419" s="85">
        <v>0</v>
      </c>
      <c r="G419" s="79"/>
      <c r="H419" s="79"/>
      <c r="I419" s="79"/>
      <c r="J419" s="79" t="s">
        <v>229</v>
      </c>
      <c r="K419" s="79" t="s">
        <v>229</v>
      </c>
      <c r="L419" s="79">
        <v>0</v>
      </c>
      <c r="M419" s="79" t="s">
        <v>470</v>
      </c>
      <c r="N419" s="79"/>
      <c r="O419" s="79"/>
      <c r="P419" s="79" t="s">
        <v>146</v>
      </c>
      <c r="Q419" s="79"/>
      <c r="R419"/>
      <c r="S419"/>
    </row>
    <row r="420" spans="1:19">
      <c r="A420" s="80" t="s">
        <v>39</v>
      </c>
      <c r="B420" s="79" t="s">
        <v>397</v>
      </c>
      <c r="C420" s="79" t="s">
        <v>29</v>
      </c>
      <c r="D420" s="79" t="s">
        <v>58</v>
      </c>
      <c r="E420" s="79" t="s">
        <v>105</v>
      </c>
      <c r="F420" s="85">
        <v>0</v>
      </c>
      <c r="G420" s="79"/>
      <c r="H420" s="79"/>
      <c r="I420" s="79"/>
      <c r="J420" s="79" t="s">
        <v>229</v>
      </c>
      <c r="K420" s="79" t="s">
        <v>229</v>
      </c>
      <c r="L420" s="79">
        <v>0</v>
      </c>
      <c r="M420" s="79" t="s">
        <v>470</v>
      </c>
      <c r="N420" s="79"/>
      <c r="O420" s="79"/>
      <c r="P420" s="79" t="s">
        <v>146</v>
      </c>
      <c r="Q420" s="79"/>
      <c r="R420"/>
      <c r="S420"/>
    </row>
    <row r="421" spans="1:19">
      <c r="A421" s="80" t="s">
        <v>39</v>
      </c>
      <c r="B421" s="79" t="s">
        <v>397</v>
      </c>
      <c r="C421" s="79" t="s">
        <v>30</v>
      </c>
      <c r="D421" s="79" t="s">
        <v>58</v>
      </c>
      <c r="E421" s="79" t="s">
        <v>105</v>
      </c>
      <c r="F421" s="85">
        <v>0</v>
      </c>
      <c r="G421" s="79"/>
      <c r="H421" s="79"/>
      <c r="I421" s="79"/>
      <c r="J421" s="79" t="s">
        <v>229</v>
      </c>
      <c r="K421" s="79" t="s">
        <v>229</v>
      </c>
      <c r="L421" s="79">
        <v>0</v>
      </c>
      <c r="M421" s="79" t="s">
        <v>470</v>
      </c>
      <c r="N421" s="79"/>
      <c r="O421" s="79"/>
      <c r="P421" s="79" t="s">
        <v>146</v>
      </c>
      <c r="Q421" s="79"/>
      <c r="R421"/>
      <c r="S421"/>
    </row>
    <row r="422" spans="1:19">
      <c r="A422" s="75" t="s">
        <v>39</v>
      </c>
      <c r="B422" s="83" t="s">
        <v>398</v>
      </c>
      <c r="C422" s="83" t="s">
        <v>18</v>
      </c>
      <c r="D422" s="83" t="s">
        <v>58</v>
      </c>
      <c r="E422" s="83" t="s">
        <v>105</v>
      </c>
      <c r="F422" s="84">
        <v>0.75</v>
      </c>
      <c r="G422" s="79"/>
      <c r="H422" s="79"/>
      <c r="I422" s="79"/>
      <c r="J422" s="83">
        <v>46035</v>
      </c>
      <c r="K422" s="79">
        <v>46100</v>
      </c>
      <c r="L422" s="83">
        <v>48</v>
      </c>
      <c r="M422" s="83" t="s">
        <v>557</v>
      </c>
      <c r="N422" s="79"/>
      <c r="O422" s="79"/>
      <c r="P422" s="83" t="s">
        <v>146</v>
      </c>
      <c r="Q422" s="79"/>
      <c r="R422"/>
      <c r="S422"/>
    </row>
    <row r="423" spans="1:19" ht="30">
      <c r="A423" s="80" t="s">
        <v>39</v>
      </c>
      <c r="B423" s="79" t="s">
        <v>399</v>
      </c>
      <c r="C423" s="79" t="s">
        <v>22</v>
      </c>
      <c r="D423" s="79" t="s">
        <v>58</v>
      </c>
      <c r="E423" s="79" t="s">
        <v>105</v>
      </c>
      <c r="F423" s="85">
        <v>0.75</v>
      </c>
      <c r="G423" s="79" t="s">
        <v>147</v>
      </c>
      <c r="H423" s="79" t="s">
        <v>542</v>
      </c>
      <c r="I423" s="79" t="s">
        <v>139</v>
      </c>
      <c r="J423" s="79">
        <v>46035</v>
      </c>
      <c r="K423" s="86">
        <v>46100</v>
      </c>
      <c r="L423" s="79">
        <v>48</v>
      </c>
      <c r="M423" s="79" t="s">
        <v>557</v>
      </c>
      <c r="N423" s="79" t="s">
        <v>26</v>
      </c>
      <c r="O423" s="79" t="s">
        <v>108</v>
      </c>
      <c r="P423" s="79" t="s">
        <v>146</v>
      </c>
      <c r="Q423" s="79"/>
      <c r="R423"/>
      <c r="S423"/>
    </row>
    <row r="424" spans="1:19">
      <c r="A424" s="80" t="s">
        <v>39</v>
      </c>
      <c r="B424" s="79" t="s">
        <v>399</v>
      </c>
      <c r="C424" s="79" t="s">
        <v>28</v>
      </c>
      <c r="D424" s="79" t="s">
        <v>58</v>
      </c>
      <c r="E424" s="79" t="s">
        <v>105</v>
      </c>
      <c r="F424" s="85">
        <v>0</v>
      </c>
      <c r="G424" s="79"/>
      <c r="H424" s="79"/>
      <c r="I424" s="79"/>
      <c r="J424" s="79" t="s">
        <v>229</v>
      </c>
      <c r="K424" s="86" t="s">
        <v>229</v>
      </c>
      <c r="L424" s="79">
        <v>0</v>
      </c>
      <c r="M424" s="79" t="s">
        <v>470</v>
      </c>
      <c r="N424" s="79"/>
      <c r="O424" s="79"/>
      <c r="P424" s="79" t="s">
        <v>146</v>
      </c>
      <c r="Q424" s="79"/>
      <c r="R424"/>
      <c r="S424"/>
    </row>
    <row r="425" spans="1:19">
      <c r="A425" s="80" t="s">
        <v>39</v>
      </c>
      <c r="B425" s="79" t="s">
        <v>399</v>
      </c>
      <c r="C425" s="79" t="s">
        <v>29</v>
      </c>
      <c r="D425" s="79" t="s">
        <v>58</v>
      </c>
      <c r="E425" s="79" t="s">
        <v>105</v>
      </c>
      <c r="F425" s="85">
        <v>0</v>
      </c>
      <c r="G425" s="79"/>
      <c r="H425" s="79"/>
      <c r="I425" s="79"/>
      <c r="J425" s="79" t="s">
        <v>229</v>
      </c>
      <c r="K425" s="86" t="s">
        <v>229</v>
      </c>
      <c r="L425" s="79">
        <v>0</v>
      </c>
      <c r="M425" s="79" t="s">
        <v>470</v>
      </c>
      <c r="N425" s="79"/>
      <c r="O425" s="79"/>
      <c r="P425" s="79" t="s">
        <v>146</v>
      </c>
      <c r="Q425" s="79"/>
      <c r="R425"/>
      <c r="S425"/>
    </row>
    <row r="426" spans="1:19">
      <c r="A426" s="80" t="s">
        <v>39</v>
      </c>
      <c r="B426" s="79" t="s">
        <v>399</v>
      </c>
      <c r="C426" s="79" t="s">
        <v>30</v>
      </c>
      <c r="D426" s="79" t="s">
        <v>58</v>
      </c>
      <c r="E426" s="79" t="s">
        <v>105</v>
      </c>
      <c r="F426" s="85">
        <v>0</v>
      </c>
      <c r="G426" s="79"/>
      <c r="H426" s="79"/>
      <c r="I426" s="79"/>
      <c r="J426" s="79" t="s">
        <v>229</v>
      </c>
      <c r="K426" s="86" t="s">
        <v>229</v>
      </c>
      <c r="L426" s="79">
        <v>0</v>
      </c>
      <c r="M426" s="79" t="s">
        <v>470</v>
      </c>
      <c r="N426" s="79"/>
      <c r="O426" s="79"/>
      <c r="P426" s="79" t="s">
        <v>146</v>
      </c>
      <c r="Q426" s="79"/>
      <c r="R426"/>
      <c r="S426"/>
    </row>
    <row r="427" spans="1:19">
      <c r="A427" s="75" t="s">
        <v>39</v>
      </c>
      <c r="B427" s="83" t="s">
        <v>400</v>
      </c>
      <c r="C427" s="83" t="s">
        <v>18</v>
      </c>
      <c r="D427" s="83" t="s">
        <v>58</v>
      </c>
      <c r="E427" s="83" t="s">
        <v>105</v>
      </c>
      <c r="F427" s="84">
        <v>1</v>
      </c>
      <c r="G427" s="79"/>
      <c r="H427" s="79"/>
      <c r="I427" s="79"/>
      <c r="J427" s="83">
        <v>46055</v>
      </c>
      <c r="K427" s="79">
        <v>46100</v>
      </c>
      <c r="L427" s="83">
        <v>34</v>
      </c>
      <c r="M427" s="83" t="s">
        <v>557</v>
      </c>
      <c r="N427" s="79"/>
      <c r="O427" s="79"/>
      <c r="P427" s="83" t="s">
        <v>146</v>
      </c>
      <c r="Q427" s="79"/>
      <c r="R427"/>
      <c r="S427"/>
    </row>
    <row r="428" spans="1:19">
      <c r="A428" s="80" t="s">
        <v>39</v>
      </c>
      <c r="B428" s="79" t="s">
        <v>401</v>
      </c>
      <c r="C428" s="79" t="s">
        <v>22</v>
      </c>
      <c r="D428" s="79" t="s">
        <v>58</v>
      </c>
      <c r="E428" s="79" t="s">
        <v>105</v>
      </c>
      <c r="F428" s="85">
        <v>1</v>
      </c>
      <c r="G428" s="79" t="s">
        <v>46</v>
      </c>
      <c r="H428" s="79" t="s">
        <v>542</v>
      </c>
      <c r="I428" s="79" t="s">
        <v>139</v>
      </c>
      <c r="J428" s="79">
        <v>46055</v>
      </c>
      <c r="K428" s="79">
        <v>46100</v>
      </c>
      <c r="L428" s="79">
        <v>34</v>
      </c>
      <c r="M428" s="79" t="s">
        <v>557</v>
      </c>
      <c r="N428" s="79" t="s">
        <v>108</v>
      </c>
      <c r="O428" s="79" t="s">
        <v>108</v>
      </c>
      <c r="P428" s="79" t="s">
        <v>146</v>
      </c>
      <c r="Q428" s="79"/>
      <c r="R428"/>
      <c r="S428"/>
    </row>
    <row r="429" spans="1:19">
      <c r="A429" s="80" t="s">
        <v>39</v>
      </c>
      <c r="B429" s="79" t="s">
        <v>401</v>
      </c>
      <c r="C429" s="79" t="s">
        <v>28</v>
      </c>
      <c r="D429" s="79" t="s">
        <v>58</v>
      </c>
      <c r="E429" s="79" t="s">
        <v>105</v>
      </c>
      <c r="F429" s="85">
        <v>0</v>
      </c>
      <c r="G429" s="79"/>
      <c r="H429" s="79"/>
      <c r="I429" s="79"/>
      <c r="J429" s="79" t="s">
        <v>229</v>
      </c>
      <c r="K429" s="79" t="s">
        <v>229</v>
      </c>
      <c r="L429" s="79">
        <v>0</v>
      </c>
      <c r="M429" s="79" t="s">
        <v>470</v>
      </c>
      <c r="N429" s="79"/>
      <c r="O429" s="79"/>
      <c r="P429" s="79" t="s">
        <v>146</v>
      </c>
      <c r="Q429" s="79"/>
      <c r="R429"/>
      <c r="S429"/>
    </row>
    <row r="430" spans="1:19">
      <c r="A430" s="80" t="s">
        <v>39</v>
      </c>
      <c r="B430" s="79" t="s">
        <v>401</v>
      </c>
      <c r="C430" s="79" t="s">
        <v>29</v>
      </c>
      <c r="D430" s="79" t="s">
        <v>58</v>
      </c>
      <c r="E430" s="79" t="s">
        <v>105</v>
      </c>
      <c r="F430" s="85">
        <v>0</v>
      </c>
      <c r="G430" s="79"/>
      <c r="H430" s="79"/>
      <c r="I430" s="79"/>
      <c r="J430" s="79" t="s">
        <v>229</v>
      </c>
      <c r="K430" s="79" t="s">
        <v>229</v>
      </c>
      <c r="L430" s="79">
        <v>0</v>
      </c>
      <c r="M430" s="79" t="s">
        <v>470</v>
      </c>
      <c r="N430" s="79"/>
      <c r="O430" s="79"/>
      <c r="P430" s="79" t="s">
        <v>146</v>
      </c>
      <c r="Q430" s="79"/>
      <c r="R430"/>
      <c r="S430"/>
    </row>
    <row r="431" spans="1:19">
      <c r="A431" s="80" t="s">
        <v>39</v>
      </c>
      <c r="B431" s="79" t="s">
        <v>401</v>
      </c>
      <c r="C431" s="79" t="s">
        <v>30</v>
      </c>
      <c r="D431" s="79" t="s">
        <v>58</v>
      </c>
      <c r="E431" s="79" t="s">
        <v>105</v>
      </c>
      <c r="F431" s="85">
        <v>0</v>
      </c>
      <c r="G431" s="79"/>
      <c r="H431" s="79"/>
      <c r="I431" s="79"/>
      <c r="J431" s="79" t="s">
        <v>229</v>
      </c>
      <c r="K431" s="79" t="s">
        <v>229</v>
      </c>
      <c r="L431" s="79">
        <v>0</v>
      </c>
      <c r="M431" s="79" t="s">
        <v>470</v>
      </c>
      <c r="N431" s="79"/>
      <c r="O431" s="79"/>
      <c r="P431" s="79" t="s">
        <v>146</v>
      </c>
      <c r="Q431" s="79"/>
      <c r="R431"/>
      <c r="S431"/>
    </row>
    <row r="432" spans="1:19">
      <c r="A432" s="75" t="s">
        <v>39</v>
      </c>
      <c r="B432" s="83" t="s">
        <v>402</v>
      </c>
      <c r="C432" s="83" t="s">
        <v>18</v>
      </c>
      <c r="D432" s="83" t="s">
        <v>58</v>
      </c>
      <c r="E432" s="83" t="s">
        <v>105</v>
      </c>
      <c r="F432" s="84">
        <v>0</v>
      </c>
      <c r="G432" s="79"/>
      <c r="H432" s="79"/>
      <c r="I432" s="79"/>
      <c r="J432" s="79" t="s">
        <v>229</v>
      </c>
      <c r="K432" s="79" t="s">
        <v>229</v>
      </c>
      <c r="L432" s="83">
        <v>0</v>
      </c>
      <c r="M432" s="83" t="s">
        <v>470</v>
      </c>
      <c r="N432" s="79"/>
      <c r="O432" s="79"/>
      <c r="P432" s="83" t="s">
        <v>146</v>
      </c>
      <c r="Q432" s="79"/>
      <c r="R432"/>
      <c r="S432"/>
    </row>
    <row r="433" spans="1:19">
      <c r="A433" s="80" t="s">
        <v>39</v>
      </c>
      <c r="B433" s="79" t="s">
        <v>403</v>
      </c>
      <c r="C433" s="79" t="s">
        <v>22</v>
      </c>
      <c r="D433" s="79" t="s">
        <v>58</v>
      </c>
      <c r="E433" s="79" t="s">
        <v>105</v>
      </c>
      <c r="F433" s="85">
        <v>0</v>
      </c>
      <c r="G433" s="79" t="s">
        <v>147</v>
      </c>
      <c r="H433" s="79" t="s">
        <v>542</v>
      </c>
      <c r="I433" s="79" t="s">
        <v>139</v>
      </c>
      <c r="J433" s="79" t="s">
        <v>229</v>
      </c>
      <c r="K433" s="79" t="s">
        <v>229</v>
      </c>
      <c r="L433" s="79">
        <v>0</v>
      </c>
      <c r="M433" s="79" t="s">
        <v>470</v>
      </c>
      <c r="N433" s="79"/>
      <c r="O433" s="79"/>
      <c r="P433" s="79" t="s">
        <v>146</v>
      </c>
      <c r="Q433" s="79"/>
      <c r="R433"/>
      <c r="S433"/>
    </row>
    <row r="434" spans="1:19">
      <c r="A434" s="80" t="s">
        <v>39</v>
      </c>
      <c r="B434" s="79" t="s">
        <v>403</v>
      </c>
      <c r="C434" s="79" t="s">
        <v>28</v>
      </c>
      <c r="D434" s="79" t="s">
        <v>58</v>
      </c>
      <c r="E434" s="79" t="s">
        <v>105</v>
      </c>
      <c r="F434" s="85">
        <v>0</v>
      </c>
      <c r="G434" s="79"/>
      <c r="H434" s="79"/>
      <c r="I434" s="79"/>
      <c r="J434" s="79" t="s">
        <v>229</v>
      </c>
      <c r="K434" s="79" t="s">
        <v>229</v>
      </c>
      <c r="L434" s="79">
        <v>0</v>
      </c>
      <c r="M434" s="79" t="s">
        <v>470</v>
      </c>
      <c r="N434" s="79"/>
      <c r="O434" s="79"/>
      <c r="P434" s="79" t="s">
        <v>146</v>
      </c>
      <c r="Q434" s="79"/>
      <c r="R434"/>
      <c r="S434"/>
    </row>
    <row r="435" spans="1:19">
      <c r="A435" s="80" t="s">
        <v>39</v>
      </c>
      <c r="B435" s="79" t="s">
        <v>403</v>
      </c>
      <c r="C435" s="79" t="s">
        <v>29</v>
      </c>
      <c r="D435" s="79" t="s">
        <v>58</v>
      </c>
      <c r="E435" s="79" t="s">
        <v>105</v>
      </c>
      <c r="F435" s="85">
        <v>0</v>
      </c>
      <c r="G435" s="79"/>
      <c r="H435" s="79"/>
      <c r="I435" s="79"/>
      <c r="J435" s="79" t="s">
        <v>229</v>
      </c>
      <c r="K435" s="79" t="s">
        <v>229</v>
      </c>
      <c r="L435" s="79">
        <v>0</v>
      </c>
      <c r="M435" s="79" t="s">
        <v>470</v>
      </c>
      <c r="N435" s="79"/>
      <c r="O435" s="79"/>
      <c r="P435" s="79" t="s">
        <v>146</v>
      </c>
      <c r="Q435" s="79"/>
      <c r="R435"/>
      <c r="S435"/>
    </row>
    <row r="436" spans="1:19">
      <c r="A436" s="80" t="s">
        <v>39</v>
      </c>
      <c r="B436" s="79" t="s">
        <v>403</v>
      </c>
      <c r="C436" s="79" t="s">
        <v>30</v>
      </c>
      <c r="D436" s="79" t="s">
        <v>58</v>
      </c>
      <c r="E436" s="79" t="s">
        <v>105</v>
      </c>
      <c r="F436" s="85">
        <v>0</v>
      </c>
      <c r="G436" s="79"/>
      <c r="H436" s="79"/>
      <c r="I436" s="79"/>
      <c r="J436" s="79" t="s">
        <v>229</v>
      </c>
      <c r="K436" s="79" t="s">
        <v>229</v>
      </c>
      <c r="L436" s="79">
        <v>0</v>
      </c>
      <c r="M436" s="79" t="s">
        <v>470</v>
      </c>
      <c r="N436" s="79"/>
      <c r="O436" s="79"/>
      <c r="P436" s="79" t="s">
        <v>146</v>
      </c>
      <c r="Q436" s="79"/>
      <c r="R436"/>
      <c r="S436"/>
    </row>
    <row r="437" spans="1:19">
      <c r="A437" s="75" t="s">
        <v>168</v>
      </c>
      <c r="B437" s="83" t="s">
        <v>558</v>
      </c>
      <c r="C437" s="83" t="s">
        <v>18</v>
      </c>
      <c r="D437" s="83" t="s">
        <v>19</v>
      </c>
      <c r="E437" s="83" t="s">
        <v>170</v>
      </c>
      <c r="F437" s="84">
        <v>0.5</v>
      </c>
      <c r="G437" s="79"/>
      <c r="H437" s="79"/>
      <c r="I437" s="79"/>
      <c r="J437" s="79">
        <v>45946</v>
      </c>
      <c r="K437" s="79">
        <v>45946</v>
      </c>
      <c r="L437" s="83">
        <v>1</v>
      </c>
      <c r="M437" s="83" t="s">
        <v>470</v>
      </c>
      <c r="N437" s="79"/>
      <c r="O437" s="79"/>
      <c r="P437" s="83" t="s">
        <v>169</v>
      </c>
      <c r="Q437" s="79"/>
      <c r="R437"/>
      <c r="S437"/>
    </row>
    <row r="438" spans="1:19" ht="30">
      <c r="A438" s="80" t="s">
        <v>168</v>
      </c>
      <c r="B438" s="79" t="s">
        <v>559</v>
      </c>
      <c r="C438" s="79" t="s">
        <v>22</v>
      </c>
      <c r="D438" s="79" t="s">
        <v>19</v>
      </c>
      <c r="E438" s="79" t="s">
        <v>170</v>
      </c>
      <c r="F438" s="85">
        <v>0.5</v>
      </c>
      <c r="G438" s="79" t="s">
        <v>48</v>
      </c>
      <c r="H438" s="79" t="s">
        <v>171</v>
      </c>
      <c r="I438" s="79" t="s">
        <v>97</v>
      </c>
      <c r="J438" s="79">
        <v>45946</v>
      </c>
      <c r="K438" s="79" t="s">
        <v>229</v>
      </c>
      <c r="L438" s="79">
        <v>0</v>
      </c>
      <c r="M438" s="79" t="s">
        <v>470</v>
      </c>
      <c r="N438" s="79"/>
      <c r="O438" s="79"/>
      <c r="P438" s="79" t="s">
        <v>169</v>
      </c>
      <c r="Q438" s="79"/>
      <c r="R438"/>
      <c r="S438"/>
    </row>
    <row r="439" spans="1:19">
      <c r="A439" s="80" t="s">
        <v>168</v>
      </c>
      <c r="B439" s="79" t="s">
        <v>559</v>
      </c>
      <c r="C439" s="79" t="s">
        <v>28</v>
      </c>
      <c r="D439" s="79" t="s">
        <v>19</v>
      </c>
      <c r="E439" s="79" t="s">
        <v>170</v>
      </c>
      <c r="F439" s="85">
        <v>0</v>
      </c>
      <c r="G439" s="79"/>
      <c r="H439" s="79"/>
      <c r="I439" s="79"/>
      <c r="J439" s="79" t="s">
        <v>229</v>
      </c>
      <c r="K439" s="79" t="s">
        <v>229</v>
      </c>
      <c r="L439" s="79">
        <v>0</v>
      </c>
      <c r="M439" s="79" t="s">
        <v>470</v>
      </c>
      <c r="N439" s="79"/>
      <c r="O439" s="79"/>
      <c r="P439" s="79" t="s">
        <v>169</v>
      </c>
      <c r="Q439" s="79"/>
      <c r="R439"/>
      <c r="S439"/>
    </row>
    <row r="440" spans="1:19">
      <c r="A440" s="80" t="s">
        <v>168</v>
      </c>
      <c r="B440" s="79" t="s">
        <v>559</v>
      </c>
      <c r="C440" s="79" t="s">
        <v>29</v>
      </c>
      <c r="D440" s="79" t="s">
        <v>19</v>
      </c>
      <c r="E440" s="79" t="s">
        <v>170</v>
      </c>
      <c r="F440" s="85">
        <v>0</v>
      </c>
      <c r="G440" s="79"/>
      <c r="H440" s="79"/>
      <c r="I440" s="79"/>
      <c r="J440" s="79" t="s">
        <v>229</v>
      </c>
      <c r="K440" s="79" t="s">
        <v>229</v>
      </c>
      <c r="L440" s="79">
        <v>0</v>
      </c>
      <c r="M440" s="79" t="s">
        <v>470</v>
      </c>
      <c r="N440" s="79"/>
      <c r="O440" s="79"/>
      <c r="P440" s="79" t="s">
        <v>169</v>
      </c>
      <c r="Q440" s="79"/>
      <c r="R440"/>
      <c r="S440"/>
    </row>
    <row r="441" spans="1:19">
      <c r="A441" s="80" t="s">
        <v>168</v>
      </c>
      <c r="B441" s="79" t="s">
        <v>559</v>
      </c>
      <c r="C441" s="79" t="s">
        <v>30</v>
      </c>
      <c r="D441" s="79" t="s">
        <v>19</v>
      </c>
      <c r="E441" s="79" t="s">
        <v>170</v>
      </c>
      <c r="F441" s="85">
        <v>0</v>
      </c>
      <c r="G441" s="79"/>
      <c r="H441" s="79"/>
      <c r="I441" s="79"/>
      <c r="J441" s="79" t="s">
        <v>229</v>
      </c>
      <c r="K441" s="79" t="s">
        <v>229</v>
      </c>
      <c r="L441" s="79">
        <v>0</v>
      </c>
      <c r="M441" s="79" t="s">
        <v>470</v>
      </c>
      <c r="N441" s="79"/>
      <c r="O441" s="79"/>
      <c r="P441" s="79" t="s">
        <v>169</v>
      </c>
      <c r="Q441" s="79"/>
      <c r="R441"/>
      <c r="S441"/>
    </row>
    <row r="442" spans="1:19">
      <c r="A442" s="75" t="s">
        <v>168</v>
      </c>
      <c r="B442" s="83" t="s">
        <v>407</v>
      </c>
      <c r="C442" s="83" t="s">
        <v>18</v>
      </c>
      <c r="D442" s="83" t="s">
        <v>33</v>
      </c>
      <c r="E442" s="83" t="s">
        <v>170</v>
      </c>
      <c r="F442" s="84">
        <v>0.5</v>
      </c>
      <c r="G442" s="79"/>
      <c r="H442" s="79"/>
      <c r="I442" s="79"/>
      <c r="J442" s="83">
        <v>45946</v>
      </c>
      <c r="K442" s="79" t="s">
        <v>229</v>
      </c>
      <c r="L442" s="83">
        <v>0</v>
      </c>
      <c r="M442" s="83" t="s">
        <v>470</v>
      </c>
      <c r="N442" s="79"/>
      <c r="O442" s="79"/>
      <c r="P442" s="83" t="s">
        <v>169</v>
      </c>
      <c r="Q442" s="79"/>
      <c r="R442"/>
      <c r="S442"/>
    </row>
    <row r="443" spans="1:19" ht="30">
      <c r="A443" s="80" t="s">
        <v>168</v>
      </c>
      <c r="B443" s="79" t="s">
        <v>408</v>
      </c>
      <c r="C443" s="79" t="s">
        <v>22</v>
      </c>
      <c r="D443" s="79" t="s">
        <v>33</v>
      </c>
      <c r="E443" s="79" t="s">
        <v>170</v>
      </c>
      <c r="F443" s="85">
        <v>0.5</v>
      </c>
      <c r="G443" s="79" t="s">
        <v>498</v>
      </c>
      <c r="H443" s="79" t="s">
        <v>173</v>
      </c>
      <c r="I443" s="79" t="s">
        <v>50</v>
      </c>
      <c r="J443" s="79">
        <v>45949</v>
      </c>
      <c r="K443" s="79">
        <v>46142</v>
      </c>
      <c r="L443" s="79">
        <v>139</v>
      </c>
      <c r="M443" s="79" t="s">
        <v>470</v>
      </c>
      <c r="N443" s="79" t="s">
        <v>26</v>
      </c>
      <c r="O443" s="79" t="s">
        <v>26</v>
      </c>
      <c r="P443" s="79" t="s">
        <v>169</v>
      </c>
      <c r="Q443" s="79"/>
      <c r="R443"/>
      <c r="S443"/>
    </row>
    <row r="444" spans="1:19" ht="30">
      <c r="A444" s="80" t="s">
        <v>168</v>
      </c>
      <c r="B444" s="79" t="s">
        <v>408</v>
      </c>
      <c r="C444" s="79" t="s">
        <v>28</v>
      </c>
      <c r="D444" s="79" t="s">
        <v>33</v>
      </c>
      <c r="E444" s="79" t="s">
        <v>170</v>
      </c>
      <c r="F444" s="85">
        <v>0</v>
      </c>
      <c r="G444" s="79"/>
      <c r="H444" s="79"/>
      <c r="I444" s="79"/>
      <c r="J444" s="79" t="s">
        <v>229</v>
      </c>
      <c r="K444" s="79" t="s">
        <v>229</v>
      </c>
      <c r="L444" s="79">
        <v>0</v>
      </c>
      <c r="M444" s="79" t="s">
        <v>470</v>
      </c>
      <c r="N444" s="79"/>
      <c r="O444" s="79"/>
      <c r="P444" s="79" t="s">
        <v>169</v>
      </c>
      <c r="Q444" s="79"/>
      <c r="R444"/>
      <c r="S444"/>
    </row>
    <row r="445" spans="1:19" ht="30">
      <c r="A445" s="80" t="s">
        <v>168</v>
      </c>
      <c r="B445" s="79" t="s">
        <v>408</v>
      </c>
      <c r="C445" s="79" t="s">
        <v>29</v>
      </c>
      <c r="D445" s="79" t="s">
        <v>33</v>
      </c>
      <c r="E445" s="79" t="s">
        <v>170</v>
      </c>
      <c r="F445" s="85">
        <v>0</v>
      </c>
      <c r="G445" s="79"/>
      <c r="H445" s="79"/>
      <c r="I445" s="79"/>
      <c r="J445" s="79" t="s">
        <v>229</v>
      </c>
      <c r="K445" s="79" t="s">
        <v>229</v>
      </c>
      <c r="L445" s="79">
        <v>0</v>
      </c>
      <c r="M445" s="79" t="s">
        <v>470</v>
      </c>
      <c r="N445" s="79"/>
      <c r="O445" s="79"/>
      <c r="P445" s="79" t="s">
        <v>169</v>
      </c>
      <c r="Q445" s="79"/>
      <c r="R445"/>
      <c r="S445"/>
    </row>
    <row r="446" spans="1:19" ht="30">
      <c r="A446" s="80" t="s">
        <v>168</v>
      </c>
      <c r="B446" s="79" t="s">
        <v>408</v>
      </c>
      <c r="C446" s="79" t="s">
        <v>30</v>
      </c>
      <c r="D446" s="79" t="s">
        <v>33</v>
      </c>
      <c r="E446" s="79" t="s">
        <v>170</v>
      </c>
      <c r="F446" s="85">
        <v>0</v>
      </c>
      <c r="G446" s="79"/>
      <c r="H446" s="79"/>
      <c r="I446" s="79"/>
      <c r="J446" s="79" t="s">
        <v>229</v>
      </c>
      <c r="K446" s="79" t="s">
        <v>229</v>
      </c>
      <c r="L446" s="79">
        <v>0</v>
      </c>
      <c r="M446" s="79" t="s">
        <v>470</v>
      </c>
      <c r="N446" s="79"/>
      <c r="O446" s="79"/>
      <c r="P446" s="79" t="s">
        <v>169</v>
      </c>
      <c r="Q446" s="79"/>
      <c r="R446"/>
      <c r="S446"/>
    </row>
    <row r="447" spans="1:19">
      <c r="A447" s="75" t="s">
        <v>44</v>
      </c>
      <c r="B447" s="83" t="s">
        <v>409</v>
      </c>
      <c r="C447" s="83" t="s">
        <v>18</v>
      </c>
      <c r="D447" s="83" t="s">
        <v>19</v>
      </c>
      <c r="E447" s="83" t="s">
        <v>170</v>
      </c>
      <c r="F447" s="84">
        <v>1</v>
      </c>
      <c r="G447" s="79"/>
      <c r="H447" s="79"/>
      <c r="I447" s="79"/>
      <c r="J447" s="83">
        <v>45852</v>
      </c>
      <c r="K447" s="79">
        <v>46001</v>
      </c>
      <c r="L447" s="83">
        <v>108</v>
      </c>
      <c r="M447" s="83" t="s">
        <v>499</v>
      </c>
      <c r="N447" s="79"/>
      <c r="O447" s="79"/>
      <c r="P447" s="83" t="s">
        <v>174</v>
      </c>
      <c r="Q447" s="79"/>
      <c r="R447"/>
      <c r="S447"/>
    </row>
    <row r="448" spans="1:19" ht="30">
      <c r="A448" s="80" t="s">
        <v>44</v>
      </c>
      <c r="B448" s="79" t="s">
        <v>410</v>
      </c>
      <c r="C448" s="79" t="s">
        <v>22</v>
      </c>
      <c r="D448" s="79" t="s">
        <v>19</v>
      </c>
      <c r="E448" s="79" t="s">
        <v>170</v>
      </c>
      <c r="F448" s="85">
        <v>1</v>
      </c>
      <c r="G448" s="79" t="s">
        <v>46</v>
      </c>
      <c r="H448" s="79" t="s">
        <v>47</v>
      </c>
      <c r="I448" s="79" t="s">
        <v>48</v>
      </c>
      <c r="J448" s="79">
        <v>45972</v>
      </c>
      <c r="K448" s="79">
        <v>46001</v>
      </c>
      <c r="L448" s="79">
        <v>22</v>
      </c>
      <c r="M448" s="79" t="s">
        <v>472</v>
      </c>
      <c r="N448" s="79" t="s">
        <v>108</v>
      </c>
      <c r="O448" s="79" t="s">
        <v>108</v>
      </c>
      <c r="P448" s="79" t="s">
        <v>174</v>
      </c>
      <c r="Q448" s="79"/>
      <c r="R448"/>
      <c r="S448"/>
    </row>
    <row r="449" spans="1:19">
      <c r="A449" s="80" t="s">
        <v>44</v>
      </c>
      <c r="B449" s="79" t="s">
        <v>410</v>
      </c>
      <c r="C449" s="79" t="s">
        <v>28</v>
      </c>
      <c r="D449" s="79" t="s">
        <v>19</v>
      </c>
      <c r="E449" s="79" t="s">
        <v>170</v>
      </c>
      <c r="F449" s="85">
        <v>0</v>
      </c>
      <c r="G449" s="79"/>
      <c r="H449" s="79"/>
      <c r="I449" s="79"/>
      <c r="J449" s="79" t="s">
        <v>229</v>
      </c>
      <c r="K449" s="79" t="s">
        <v>229</v>
      </c>
      <c r="L449" s="79">
        <v>0</v>
      </c>
      <c r="M449" s="79" t="s">
        <v>470</v>
      </c>
      <c r="N449" s="79"/>
      <c r="O449" s="79"/>
      <c r="P449" s="79" t="s">
        <v>174</v>
      </c>
      <c r="Q449" s="79"/>
      <c r="R449"/>
      <c r="S449"/>
    </row>
    <row r="450" spans="1:19">
      <c r="A450" s="80" t="s">
        <v>44</v>
      </c>
      <c r="B450" s="79" t="s">
        <v>410</v>
      </c>
      <c r="C450" s="79" t="s">
        <v>29</v>
      </c>
      <c r="D450" s="79" t="s">
        <v>19</v>
      </c>
      <c r="E450" s="79" t="s">
        <v>170</v>
      </c>
      <c r="F450" s="85">
        <v>0</v>
      </c>
      <c r="G450" s="79"/>
      <c r="H450" s="79"/>
      <c r="I450" s="79"/>
      <c r="J450" s="79" t="s">
        <v>229</v>
      </c>
      <c r="K450" s="79" t="s">
        <v>229</v>
      </c>
      <c r="L450" s="79">
        <v>0</v>
      </c>
      <c r="M450" s="79" t="s">
        <v>470</v>
      </c>
      <c r="N450" s="79"/>
      <c r="O450" s="79"/>
      <c r="P450" s="79" t="s">
        <v>174</v>
      </c>
      <c r="Q450" s="79"/>
      <c r="R450"/>
      <c r="S450"/>
    </row>
    <row r="451" spans="1:19">
      <c r="A451" s="80" t="s">
        <v>44</v>
      </c>
      <c r="B451" s="79" t="s">
        <v>410</v>
      </c>
      <c r="C451" s="79" t="s">
        <v>30</v>
      </c>
      <c r="D451" s="79" t="s">
        <v>19</v>
      </c>
      <c r="E451" s="79" t="s">
        <v>170</v>
      </c>
      <c r="F451" s="85">
        <v>0</v>
      </c>
      <c r="G451" s="79"/>
      <c r="H451" s="79"/>
      <c r="I451" s="79"/>
      <c r="J451" s="79" t="s">
        <v>229</v>
      </c>
      <c r="K451" s="79" t="s">
        <v>229</v>
      </c>
      <c r="L451" s="79">
        <v>0</v>
      </c>
      <c r="M451" s="79" t="s">
        <v>470</v>
      </c>
      <c r="N451" s="79"/>
      <c r="O451" s="79"/>
      <c r="P451" s="79" t="s">
        <v>174</v>
      </c>
      <c r="Q451" s="79"/>
      <c r="R451"/>
      <c r="S451"/>
    </row>
    <row r="452" spans="1:19">
      <c r="A452" s="75" t="s">
        <v>44</v>
      </c>
      <c r="B452" s="83" t="s">
        <v>411</v>
      </c>
      <c r="C452" s="83" t="s">
        <v>18</v>
      </c>
      <c r="D452" s="83" t="s">
        <v>33</v>
      </c>
      <c r="E452" s="83" t="s">
        <v>170</v>
      </c>
      <c r="F452" s="84">
        <v>1</v>
      </c>
      <c r="G452" s="79"/>
      <c r="H452" s="79"/>
      <c r="I452" s="79"/>
      <c r="J452" s="83">
        <v>45852</v>
      </c>
      <c r="K452" s="79">
        <v>45852</v>
      </c>
      <c r="L452" s="83">
        <v>1</v>
      </c>
      <c r="M452" s="83" t="s">
        <v>499</v>
      </c>
      <c r="N452" s="79"/>
      <c r="O452" s="79"/>
      <c r="P452" s="83" t="s">
        <v>174</v>
      </c>
      <c r="Q452" s="79"/>
      <c r="R452"/>
      <c r="S452"/>
    </row>
    <row r="453" spans="1:19" ht="30">
      <c r="A453" s="80" t="s">
        <v>44</v>
      </c>
      <c r="B453" s="79" t="s">
        <v>412</v>
      </c>
      <c r="C453" s="79" t="s">
        <v>22</v>
      </c>
      <c r="D453" s="79" t="s">
        <v>33</v>
      </c>
      <c r="E453" s="79" t="s">
        <v>170</v>
      </c>
      <c r="F453" s="85">
        <v>1</v>
      </c>
      <c r="G453" s="79" t="s">
        <v>46</v>
      </c>
      <c r="H453" s="79" t="s">
        <v>47</v>
      </c>
      <c r="I453" s="79" t="s">
        <v>48</v>
      </c>
      <c r="J453" s="79">
        <v>45972</v>
      </c>
      <c r="K453" s="79">
        <v>46001</v>
      </c>
      <c r="L453" s="79">
        <v>22</v>
      </c>
      <c r="M453" s="79" t="s">
        <v>472</v>
      </c>
      <c r="N453" s="79" t="s">
        <v>108</v>
      </c>
      <c r="O453" s="79" t="s">
        <v>108</v>
      </c>
      <c r="P453" s="79" t="s">
        <v>174</v>
      </c>
      <c r="Q453" s="79"/>
      <c r="R453"/>
      <c r="S453"/>
    </row>
    <row r="454" spans="1:19">
      <c r="A454" s="80" t="s">
        <v>44</v>
      </c>
      <c r="B454" s="79" t="s">
        <v>412</v>
      </c>
      <c r="C454" s="79" t="s">
        <v>28</v>
      </c>
      <c r="D454" s="79" t="s">
        <v>33</v>
      </c>
      <c r="E454" s="79" t="s">
        <v>170</v>
      </c>
      <c r="F454" s="85">
        <v>0</v>
      </c>
      <c r="G454" s="79"/>
      <c r="H454" s="79"/>
      <c r="I454" s="79"/>
      <c r="J454" s="79" t="s">
        <v>229</v>
      </c>
      <c r="K454" s="79" t="s">
        <v>229</v>
      </c>
      <c r="L454" s="79">
        <v>0</v>
      </c>
      <c r="M454" s="79" t="s">
        <v>470</v>
      </c>
      <c r="N454" s="79"/>
      <c r="O454" s="79"/>
      <c r="P454" s="79" t="s">
        <v>174</v>
      </c>
      <c r="Q454" s="79"/>
      <c r="R454"/>
      <c r="S454"/>
    </row>
    <row r="455" spans="1:19">
      <c r="A455" s="80" t="s">
        <v>44</v>
      </c>
      <c r="B455" s="79" t="s">
        <v>412</v>
      </c>
      <c r="C455" s="79" t="s">
        <v>29</v>
      </c>
      <c r="D455" s="79" t="s">
        <v>33</v>
      </c>
      <c r="E455" s="79" t="s">
        <v>170</v>
      </c>
      <c r="F455" s="85">
        <v>0</v>
      </c>
      <c r="G455" s="79"/>
      <c r="H455" s="79"/>
      <c r="I455" s="79"/>
      <c r="J455" s="79" t="s">
        <v>229</v>
      </c>
      <c r="K455" s="79" t="s">
        <v>229</v>
      </c>
      <c r="L455" s="79">
        <v>0</v>
      </c>
      <c r="M455" s="79" t="s">
        <v>470</v>
      </c>
      <c r="N455" s="79"/>
      <c r="O455" s="79"/>
      <c r="P455" s="79" t="s">
        <v>174</v>
      </c>
      <c r="Q455" s="79"/>
      <c r="R455"/>
      <c r="S455"/>
    </row>
    <row r="456" spans="1:19">
      <c r="A456" s="80" t="s">
        <v>44</v>
      </c>
      <c r="B456" s="79" t="s">
        <v>412</v>
      </c>
      <c r="C456" s="79" t="s">
        <v>30</v>
      </c>
      <c r="D456" s="79" t="s">
        <v>33</v>
      </c>
      <c r="E456" s="79" t="s">
        <v>170</v>
      </c>
      <c r="F456" s="85">
        <v>0</v>
      </c>
      <c r="G456" s="79"/>
      <c r="H456" s="79"/>
      <c r="I456" s="79"/>
      <c r="J456" s="79" t="s">
        <v>229</v>
      </c>
      <c r="K456" s="79" t="s">
        <v>229</v>
      </c>
      <c r="L456" s="79">
        <v>0</v>
      </c>
      <c r="M456" s="79" t="s">
        <v>470</v>
      </c>
      <c r="N456" s="79"/>
      <c r="O456" s="79"/>
      <c r="P456" s="79" t="s">
        <v>174</v>
      </c>
      <c r="Q456" s="79"/>
      <c r="R456"/>
      <c r="S456"/>
    </row>
    <row r="457" spans="1:19">
      <c r="A457" s="75" t="s">
        <v>44</v>
      </c>
      <c r="B457" s="83" t="s">
        <v>560</v>
      </c>
      <c r="C457" s="83" t="s">
        <v>18</v>
      </c>
      <c r="D457" s="83" t="s">
        <v>33</v>
      </c>
      <c r="E457" s="83" t="s">
        <v>170</v>
      </c>
      <c r="F457" s="84">
        <v>1</v>
      </c>
      <c r="G457" s="79"/>
      <c r="H457" s="79"/>
      <c r="I457" s="79"/>
      <c r="J457" s="79">
        <v>45852</v>
      </c>
      <c r="K457" s="79">
        <v>45852</v>
      </c>
      <c r="L457" s="83">
        <v>1</v>
      </c>
      <c r="M457" s="83" t="s">
        <v>499</v>
      </c>
      <c r="N457" s="79"/>
      <c r="O457" s="79"/>
      <c r="P457" s="83" t="s">
        <v>174</v>
      </c>
      <c r="Q457" s="79"/>
      <c r="R457"/>
      <c r="S457"/>
    </row>
    <row r="458" spans="1:19" ht="30">
      <c r="A458" s="80" t="s">
        <v>44</v>
      </c>
      <c r="B458" s="79" t="s">
        <v>561</v>
      </c>
      <c r="C458" s="79" t="s">
        <v>22</v>
      </c>
      <c r="D458" s="79" t="s">
        <v>33</v>
      </c>
      <c r="E458" s="79" t="s">
        <v>170</v>
      </c>
      <c r="F458" s="85">
        <v>1</v>
      </c>
      <c r="G458" s="79" t="s">
        <v>46</v>
      </c>
      <c r="H458" s="79" t="s">
        <v>47</v>
      </c>
      <c r="I458" s="79" t="s">
        <v>48</v>
      </c>
      <c r="J458" s="79">
        <v>45972</v>
      </c>
      <c r="K458" s="79">
        <v>46001</v>
      </c>
      <c r="L458" s="79">
        <v>22</v>
      </c>
      <c r="M458" s="79" t="s">
        <v>472</v>
      </c>
      <c r="N458" s="79" t="s">
        <v>108</v>
      </c>
      <c r="O458" s="79" t="s">
        <v>108</v>
      </c>
      <c r="P458" s="79" t="s">
        <v>174</v>
      </c>
      <c r="Q458" s="79"/>
      <c r="R458"/>
      <c r="S458"/>
    </row>
    <row r="459" spans="1:19">
      <c r="A459" s="80" t="s">
        <v>44</v>
      </c>
      <c r="B459" s="79" t="s">
        <v>561</v>
      </c>
      <c r="C459" s="79" t="s">
        <v>28</v>
      </c>
      <c r="D459" s="79" t="s">
        <v>33</v>
      </c>
      <c r="E459" s="79" t="s">
        <v>170</v>
      </c>
      <c r="F459" s="85">
        <v>0</v>
      </c>
      <c r="G459" s="79"/>
      <c r="H459" s="79"/>
      <c r="I459" s="79"/>
      <c r="J459" s="79" t="s">
        <v>229</v>
      </c>
      <c r="K459" s="79" t="s">
        <v>229</v>
      </c>
      <c r="L459" s="79">
        <v>0</v>
      </c>
      <c r="M459" s="79" t="s">
        <v>470</v>
      </c>
      <c r="N459" s="79"/>
      <c r="O459" s="79"/>
      <c r="P459" s="79" t="s">
        <v>174</v>
      </c>
      <c r="Q459" s="79"/>
      <c r="R459"/>
      <c r="S459"/>
    </row>
    <row r="460" spans="1:19">
      <c r="A460" s="80" t="s">
        <v>44</v>
      </c>
      <c r="B460" s="79" t="s">
        <v>561</v>
      </c>
      <c r="C460" s="79" t="s">
        <v>29</v>
      </c>
      <c r="D460" s="79" t="s">
        <v>33</v>
      </c>
      <c r="E460" s="79" t="s">
        <v>170</v>
      </c>
      <c r="F460" s="85">
        <v>0</v>
      </c>
      <c r="G460" s="79"/>
      <c r="H460" s="79"/>
      <c r="I460" s="79"/>
      <c r="J460" s="79" t="s">
        <v>229</v>
      </c>
      <c r="K460" s="79" t="s">
        <v>229</v>
      </c>
      <c r="L460" s="79">
        <v>0</v>
      </c>
      <c r="M460" s="79" t="s">
        <v>470</v>
      </c>
      <c r="N460" s="79"/>
      <c r="O460" s="79"/>
      <c r="P460" s="79" t="s">
        <v>174</v>
      </c>
      <c r="Q460" s="79"/>
      <c r="R460"/>
      <c r="S460"/>
    </row>
    <row r="461" spans="1:19">
      <c r="A461" s="80" t="s">
        <v>44</v>
      </c>
      <c r="B461" s="79" t="s">
        <v>561</v>
      </c>
      <c r="C461" s="79" t="s">
        <v>30</v>
      </c>
      <c r="D461" s="79" t="s">
        <v>33</v>
      </c>
      <c r="E461" s="79" t="s">
        <v>170</v>
      </c>
      <c r="F461" s="85">
        <v>0</v>
      </c>
      <c r="G461" s="79"/>
      <c r="H461" s="79"/>
      <c r="I461" s="79"/>
      <c r="J461" s="79" t="s">
        <v>229</v>
      </c>
      <c r="K461" s="79" t="s">
        <v>229</v>
      </c>
      <c r="L461" s="79">
        <v>0</v>
      </c>
      <c r="M461" s="79" t="s">
        <v>470</v>
      </c>
      <c r="N461" s="79"/>
      <c r="O461" s="79"/>
      <c r="P461" s="79" t="s">
        <v>174</v>
      </c>
      <c r="Q461" s="79"/>
      <c r="R461"/>
      <c r="S461"/>
    </row>
    <row r="462" spans="1:19">
      <c r="A462" s="75" t="s">
        <v>44</v>
      </c>
      <c r="B462" s="83" t="s">
        <v>562</v>
      </c>
      <c r="C462" s="83" t="s">
        <v>18</v>
      </c>
      <c r="D462" s="83" t="s">
        <v>33</v>
      </c>
      <c r="E462" s="83" t="s">
        <v>170</v>
      </c>
      <c r="F462" s="84">
        <v>1</v>
      </c>
      <c r="G462" s="79"/>
      <c r="H462" s="83"/>
      <c r="I462" s="79"/>
      <c r="J462" s="79">
        <v>45852</v>
      </c>
      <c r="K462" s="79">
        <v>45852</v>
      </c>
      <c r="L462" s="83">
        <v>1</v>
      </c>
      <c r="M462" s="83" t="s">
        <v>499</v>
      </c>
      <c r="N462" s="79"/>
      <c r="O462" s="79"/>
      <c r="P462" s="83" t="s">
        <v>174</v>
      </c>
      <c r="Q462" s="79"/>
      <c r="R462"/>
      <c r="S462"/>
    </row>
    <row r="463" spans="1:19" ht="30">
      <c r="A463" s="80" t="s">
        <v>44</v>
      </c>
      <c r="B463" s="79" t="s">
        <v>563</v>
      </c>
      <c r="C463" s="79" t="s">
        <v>22</v>
      </c>
      <c r="D463" s="79" t="s">
        <v>33</v>
      </c>
      <c r="E463" s="79" t="s">
        <v>170</v>
      </c>
      <c r="F463" s="85">
        <v>1</v>
      </c>
      <c r="G463" s="79" t="s">
        <v>46</v>
      </c>
      <c r="H463" s="79" t="s">
        <v>47</v>
      </c>
      <c r="I463" s="79" t="s">
        <v>48</v>
      </c>
      <c r="J463" s="79">
        <v>45972</v>
      </c>
      <c r="K463" s="79">
        <v>46001</v>
      </c>
      <c r="L463" s="79">
        <v>22</v>
      </c>
      <c r="M463" s="79" t="s">
        <v>472</v>
      </c>
      <c r="N463" s="79" t="s">
        <v>108</v>
      </c>
      <c r="O463" s="79" t="s">
        <v>108</v>
      </c>
      <c r="P463" s="79" t="s">
        <v>174</v>
      </c>
      <c r="Q463" s="79"/>
      <c r="R463"/>
      <c r="S463"/>
    </row>
    <row r="464" spans="1:19">
      <c r="A464" s="80" t="s">
        <v>44</v>
      </c>
      <c r="B464" s="79" t="s">
        <v>563</v>
      </c>
      <c r="C464" s="79" t="s">
        <v>28</v>
      </c>
      <c r="D464" s="79" t="s">
        <v>33</v>
      </c>
      <c r="E464" s="79" t="s">
        <v>170</v>
      </c>
      <c r="F464" s="85">
        <v>0</v>
      </c>
      <c r="G464" s="79"/>
      <c r="H464" s="79"/>
      <c r="I464" s="79"/>
      <c r="J464" s="79" t="s">
        <v>229</v>
      </c>
      <c r="K464" s="79" t="s">
        <v>229</v>
      </c>
      <c r="L464" s="79">
        <v>0</v>
      </c>
      <c r="M464" s="79" t="s">
        <v>470</v>
      </c>
      <c r="N464" s="79"/>
      <c r="O464" s="79"/>
      <c r="P464" s="79" t="s">
        <v>174</v>
      </c>
      <c r="Q464" s="79"/>
      <c r="R464"/>
      <c r="S464"/>
    </row>
    <row r="465" spans="1:19">
      <c r="A465" s="80" t="s">
        <v>44</v>
      </c>
      <c r="B465" s="79" t="s">
        <v>563</v>
      </c>
      <c r="C465" s="79" t="s">
        <v>29</v>
      </c>
      <c r="D465" s="79" t="s">
        <v>33</v>
      </c>
      <c r="E465" s="79" t="s">
        <v>170</v>
      </c>
      <c r="F465" s="85">
        <v>0</v>
      </c>
      <c r="G465" s="79"/>
      <c r="H465" s="79"/>
      <c r="I465" s="79"/>
      <c r="J465" s="79" t="s">
        <v>229</v>
      </c>
      <c r="K465" s="79" t="s">
        <v>229</v>
      </c>
      <c r="L465" s="79">
        <v>0</v>
      </c>
      <c r="M465" s="79" t="s">
        <v>470</v>
      </c>
      <c r="N465" s="79"/>
      <c r="O465" s="79"/>
      <c r="P465" s="79" t="s">
        <v>174</v>
      </c>
      <c r="Q465" s="79"/>
      <c r="R465"/>
      <c r="S465"/>
    </row>
    <row r="466" spans="1:19">
      <c r="A466" s="80" t="s">
        <v>44</v>
      </c>
      <c r="B466" s="79" t="s">
        <v>563</v>
      </c>
      <c r="C466" s="79" t="s">
        <v>30</v>
      </c>
      <c r="D466" s="79" t="s">
        <v>33</v>
      </c>
      <c r="E466" s="79" t="s">
        <v>170</v>
      </c>
      <c r="F466" s="85">
        <v>0</v>
      </c>
      <c r="G466" s="79"/>
      <c r="H466" s="79"/>
      <c r="I466" s="79"/>
      <c r="J466" s="79" t="s">
        <v>229</v>
      </c>
      <c r="K466" s="79" t="s">
        <v>229</v>
      </c>
      <c r="L466" s="79">
        <v>0</v>
      </c>
      <c r="M466" s="79" t="s">
        <v>470</v>
      </c>
      <c r="N466" s="79"/>
      <c r="O466" s="79"/>
      <c r="P466" s="79" t="s">
        <v>174</v>
      </c>
      <c r="Q466" s="79"/>
      <c r="R466"/>
      <c r="S466"/>
    </row>
    <row r="467" spans="1:19">
      <c r="A467" s="82" t="s">
        <v>44</v>
      </c>
      <c r="B467" s="76" t="s">
        <v>417</v>
      </c>
      <c r="C467" s="76" t="s">
        <v>18</v>
      </c>
      <c r="D467" s="76" t="s">
        <v>33</v>
      </c>
      <c r="E467" s="76" t="s">
        <v>170</v>
      </c>
      <c r="F467" s="77">
        <v>1</v>
      </c>
      <c r="G467" s="78"/>
      <c r="H467" s="78"/>
      <c r="I467" s="78"/>
      <c r="J467" s="78">
        <v>45852</v>
      </c>
      <c r="K467" s="79">
        <v>45852</v>
      </c>
      <c r="L467" s="76">
        <v>1</v>
      </c>
      <c r="M467" s="76" t="s">
        <v>499</v>
      </c>
      <c r="N467" s="78"/>
      <c r="O467" s="78"/>
      <c r="P467" s="76" t="s">
        <v>174</v>
      </c>
      <c r="Q467" s="79"/>
      <c r="R467"/>
      <c r="S467"/>
    </row>
    <row r="468" spans="1:19" ht="30">
      <c r="A468" s="80" t="s">
        <v>44</v>
      </c>
      <c r="B468" s="78" t="s">
        <v>418</v>
      </c>
      <c r="C468" s="78" t="s">
        <v>22</v>
      </c>
      <c r="D468" s="78" t="s">
        <v>33</v>
      </c>
      <c r="E468" s="78" t="s">
        <v>170</v>
      </c>
      <c r="F468" s="81">
        <v>1</v>
      </c>
      <c r="G468" s="78" t="s">
        <v>46</v>
      </c>
      <c r="H468" s="78" t="s">
        <v>47</v>
      </c>
      <c r="I468" s="78" t="s">
        <v>48</v>
      </c>
      <c r="J468" s="78">
        <v>45972</v>
      </c>
      <c r="K468" s="79">
        <v>46001</v>
      </c>
      <c r="L468" s="78">
        <v>22</v>
      </c>
      <c r="M468" s="78" t="s">
        <v>472</v>
      </c>
      <c r="N468" s="78" t="s">
        <v>108</v>
      </c>
      <c r="O468" s="78" t="s">
        <v>108</v>
      </c>
      <c r="P468" s="78" t="s">
        <v>174</v>
      </c>
      <c r="Q468" s="79"/>
      <c r="R468"/>
      <c r="S468"/>
    </row>
    <row r="469" spans="1:19">
      <c r="A469" s="80" t="s">
        <v>44</v>
      </c>
      <c r="B469" s="78" t="s">
        <v>418</v>
      </c>
      <c r="C469" s="78" t="s">
        <v>28</v>
      </c>
      <c r="D469" s="78" t="s">
        <v>33</v>
      </c>
      <c r="E469" s="78" t="s">
        <v>170</v>
      </c>
      <c r="F469" s="81">
        <v>0</v>
      </c>
      <c r="G469" s="78"/>
      <c r="H469" s="78"/>
      <c r="I469" s="78"/>
      <c r="J469" s="78" t="s">
        <v>229</v>
      </c>
      <c r="K469" s="79" t="s">
        <v>229</v>
      </c>
      <c r="L469" s="78">
        <v>0</v>
      </c>
      <c r="M469" s="78" t="s">
        <v>470</v>
      </c>
      <c r="N469" s="78"/>
      <c r="O469" s="78"/>
      <c r="P469" s="78" t="s">
        <v>174</v>
      </c>
      <c r="Q469" s="79"/>
      <c r="R469"/>
      <c r="S469"/>
    </row>
    <row r="470" spans="1:19">
      <c r="A470" s="80" t="s">
        <v>44</v>
      </c>
      <c r="B470" s="78" t="s">
        <v>418</v>
      </c>
      <c r="C470" s="78" t="s">
        <v>29</v>
      </c>
      <c r="D470" s="78" t="s">
        <v>33</v>
      </c>
      <c r="E470" s="78" t="s">
        <v>170</v>
      </c>
      <c r="F470" s="81">
        <v>0</v>
      </c>
      <c r="G470" s="78"/>
      <c r="H470" s="78"/>
      <c r="I470" s="78"/>
      <c r="J470" s="78" t="s">
        <v>229</v>
      </c>
      <c r="K470" s="79" t="s">
        <v>229</v>
      </c>
      <c r="L470" s="78">
        <v>0</v>
      </c>
      <c r="M470" s="78" t="s">
        <v>470</v>
      </c>
      <c r="N470" s="78"/>
      <c r="O470" s="78"/>
      <c r="P470" s="78" t="s">
        <v>174</v>
      </c>
      <c r="Q470" s="79"/>
      <c r="R470"/>
      <c r="S470"/>
    </row>
    <row r="471" spans="1:19">
      <c r="A471" s="80" t="s">
        <v>44</v>
      </c>
      <c r="B471" s="78" t="s">
        <v>418</v>
      </c>
      <c r="C471" s="78" t="s">
        <v>30</v>
      </c>
      <c r="D471" s="78" t="s">
        <v>33</v>
      </c>
      <c r="E471" s="78" t="s">
        <v>170</v>
      </c>
      <c r="F471" s="81">
        <v>0</v>
      </c>
      <c r="G471" s="78"/>
      <c r="H471" s="78"/>
      <c r="I471" s="78"/>
      <c r="J471" s="78" t="s">
        <v>229</v>
      </c>
      <c r="K471" s="79" t="s">
        <v>229</v>
      </c>
      <c r="L471" s="78">
        <v>0</v>
      </c>
      <c r="M471" s="78" t="s">
        <v>470</v>
      </c>
      <c r="N471" s="78"/>
      <c r="O471" s="78"/>
      <c r="P471" s="78" t="s">
        <v>174</v>
      </c>
      <c r="Q471" s="79"/>
      <c r="R471"/>
      <c r="S471"/>
    </row>
    <row r="472" spans="1:19">
      <c r="A472" s="75" t="s">
        <v>44</v>
      </c>
      <c r="B472" s="83" t="s">
        <v>564</v>
      </c>
      <c r="C472" s="83" t="s">
        <v>18</v>
      </c>
      <c r="D472" s="83" t="s">
        <v>33</v>
      </c>
      <c r="E472" s="83" t="s">
        <v>170</v>
      </c>
      <c r="F472" s="84">
        <v>1</v>
      </c>
      <c r="G472" s="79"/>
      <c r="H472" s="79"/>
      <c r="I472" s="79"/>
      <c r="J472" s="79">
        <v>45852</v>
      </c>
      <c r="K472" s="79">
        <v>45852</v>
      </c>
      <c r="L472" s="83">
        <v>1</v>
      </c>
      <c r="M472" s="83" t="s">
        <v>499</v>
      </c>
      <c r="N472" s="79"/>
      <c r="O472" s="79"/>
      <c r="P472" s="83" t="s">
        <v>174</v>
      </c>
      <c r="Q472" s="79"/>
      <c r="R472"/>
      <c r="S472"/>
    </row>
    <row r="473" spans="1:19" ht="30">
      <c r="A473" s="80" t="s">
        <v>44</v>
      </c>
      <c r="B473" s="79" t="s">
        <v>565</v>
      </c>
      <c r="C473" s="79" t="s">
        <v>22</v>
      </c>
      <c r="D473" s="79" t="s">
        <v>33</v>
      </c>
      <c r="E473" s="79" t="s">
        <v>170</v>
      </c>
      <c r="F473" s="85">
        <v>1</v>
      </c>
      <c r="G473" s="79" t="s">
        <v>46</v>
      </c>
      <c r="H473" s="79" t="s">
        <v>47</v>
      </c>
      <c r="I473" s="79" t="s">
        <v>48</v>
      </c>
      <c r="J473" s="79">
        <v>45972</v>
      </c>
      <c r="K473" s="79">
        <v>46001</v>
      </c>
      <c r="L473" s="79">
        <v>22</v>
      </c>
      <c r="M473" s="79" t="s">
        <v>472</v>
      </c>
      <c r="N473" s="79" t="s">
        <v>108</v>
      </c>
      <c r="O473" s="79" t="s">
        <v>108</v>
      </c>
      <c r="P473" s="79" t="s">
        <v>174</v>
      </c>
      <c r="Q473" s="79"/>
      <c r="R473"/>
      <c r="S473"/>
    </row>
    <row r="474" spans="1:19" ht="30">
      <c r="A474" s="80" t="s">
        <v>44</v>
      </c>
      <c r="B474" s="79" t="s">
        <v>565</v>
      </c>
      <c r="C474" s="79" t="s">
        <v>28</v>
      </c>
      <c r="D474" s="79" t="s">
        <v>33</v>
      </c>
      <c r="E474" s="79" t="s">
        <v>170</v>
      </c>
      <c r="F474" s="85">
        <v>0</v>
      </c>
      <c r="G474" s="79"/>
      <c r="H474" s="79"/>
      <c r="I474" s="79"/>
      <c r="J474" s="79" t="s">
        <v>229</v>
      </c>
      <c r="K474" s="79" t="s">
        <v>229</v>
      </c>
      <c r="L474" s="79">
        <v>0</v>
      </c>
      <c r="M474" s="79" t="s">
        <v>470</v>
      </c>
      <c r="N474" s="79"/>
      <c r="O474" s="79"/>
      <c r="P474" s="79" t="s">
        <v>174</v>
      </c>
      <c r="Q474" s="79"/>
      <c r="R474"/>
      <c r="S474"/>
    </row>
    <row r="475" spans="1:19" ht="30">
      <c r="A475" s="80" t="s">
        <v>44</v>
      </c>
      <c r="B475" s="79" t="s">
        <v>565</v>
      </c>
      <c r="C475" s="79" t="s">
        <v>29</v>
      </c>
      <c r="D475" s="79" t="s">
        <v>33</v>
      </c>
      <c r="E475" s="79" t="s">
        <v>170</v>
      </c>
      <c r="F475" s="85">
        <v>0</v>
      </c>
      <c r="G475" s="79"/>
      <c r="H475" s="79"/>
      <c r="I475" s="79"/>
      <c r="J475" s="79" t="s">
        <v>229</v>
      </c>
      <c r="K475" s="79" t="s">
        <v>229</v>
      </c>
      <c r="L475" s="79">
        <v>0</v>
      </c>
      <c r="M475" s="79" t="s">
        <v>470</v>
      </c>
      <c r="N475" s="79"/>
      <c r="O475" s="79"/>
      <c r="P475" s="79" t="s">
        <v>174</v>
      </c>
      <c r="Q475" s="79"/>
      <c r="R475"/>
      <c r="S475"/>
    </row>
    <row r="476" spans="1:19" ht="30">
      <c r="A476" s="80" t="s">
        <v>44</v>
      </c>
      <c r="B476" s="79" t="s">
        <v>565</v>
      </c>
      <c r="C476" s="79" t="s">
        <v>30</v>
      </c>
      <c r="D476" s="79" t="s">
        <v>33</v>
      </c>
      <c r="E476" s="79" t="s">
        <v>170</v>
      </c>
      <c r="F476" s="85">
        <v>0</v>
      </c>
      <c r="G476" s="79"/>
      <c r="H476" s="79"/>
      <c r="I476" s="79"/>
      <c r="J476" s="79" t="s">
        <v>229</v>
      </c>
      <c r="K476" s="79" t="s">
        <v>229</v>
      </c>
      <c r="L476" s="79">
        <v>0</v>
      </c>
      <c r="M476" s="79" t="s">
        <v>470</v>
      </c>
      <c r="N476" s="79"/>
      <c r="O476" s="79"/>
      <c r="P476" s="79" t="s">
        <v>174</v>
      </c>
      <c r="Q476" s="79"/>
      <c r="R476"/>
      <c r="S476"/>
    </row>
    <row r="477" spans="1:19" ht="30">
      <c r="A477" s="82" t="s">
        <v>44</v>
      </c>
      <c r="B477" s="76" t="s">
        <v>421</v>
      </c>
      <c r="C477" s="76" t="s">
        <v>18</v>
      </c>
      <c r="D477" s="76" t="s">
        <v>33</v>
      </c>
      <c r="E477" s="76" t="s">
        <v>170</v>
      </c>
      <c r="F477" s="77">
        <v>1</v>
      </c>
      <c r="G477" s="78"/>
      <c r="H477" s="78"/>
      <c r="I477" s="78"/>
      <c r="J477" s="76">
        <v>45852</v>
      </c>
      <c r="K477" s="79">
        <v>45852</v>
      </c>
      <c r="L477" s="76">
        <v>1</v>
      </c>
      <c r="M477" s="76" t="s">
        <v>470</v>
      </c>
      <c r="N477" s="78"/>
      <c r="O477" s="78"/>
      <c r="P477" s="76" t="s">
        <v>174</v>
      </c>
      <c r="Q477" s="79"/>
      <c r="R477"/>
      <c r="S477"/>
    </row>
    <row r="478" spans="1:19" ht="30">
      <c r="A478" s="80" t="s">
        <v>44</v>
      </c>
      <c r="B478" s="78" t="s">
        <v>422</v>
      </c>
      <c r="C478" s="78" t="s">
        <v>22</v>
      </c>
      <c r="D478" s="78" t="s">
        <v>33</v>
      </c>
      <c r="E478" s="78" t="s">
        <v>170</v>
      </c>
      <c r="F478" s="81">
        <v>1</v>
      </c>
      <c r="G478" s="78" t="s">
        <v>46</v>
      </c>
      <c r="H478" s="78" t="s">
        <v>47</v>
      </c>
      <c r="I478" s="78" t="s">
        <v>48</v>
      </c>
      <c r="J478" s="78">
        <v>45972</v>
      </c>
      <c r="K478" s="79">
        <v>46001</v>
      </c>
      <c r="L478" s="78">
        <v>22</v>
      </c>
      <c r="M478" s="78" t="s">
        <v>472</v>
      </c>
      <c r="N478" s="78" t="s">
        <v>108</v>
      </c>
      <c r="O478" s="78" t="s">
        <v>108</v>
      </c>
      <c r="P478" s="78" t="s">
        <v>174</v>
      </c>
      <c r="Q478" s="79"/>
      <c r="R478"/>
      <c r="S478"/>
    </row>
    <row r="479" spans="1:19" ht="30">
      <c r="A479" s="80" t="s">
        <v>44</v>
      </c>
      <c r="B479" s="78" t="s">
        <v>422</v>
      </c>
      <c r="C479" s="78" t="s">
        <v>28</v>
      </c>
      <c r="D479" s="78" t="s">
        <v>33</v>
      </c>
      <c r="E479" s="78" t="s">
        <v>170</v>
      </c>
      <c r="F479" s="81">
        <v>0</v>
      </c>
      <c r="G479" s="78"/>
      <c r="H479" s="78"/>
      <c r="I479" s="78"/>
      <c r="J479" s="78" t="s">
        <v>229</v>
      </c>
      <c r="K479" s="79" t="s">
        <v>229</v>
      </c>
      <c r="L479" s="78">
        <v>0</v>
      </c>
      <c r="M479" s="78" t="s">
        <v>470</v>
      </c>
      <c r="N479" s="78"/>
      <c r="O479" s="78"/>
      <c r="P479" s="78" t="s">
        <v>174</v>
      </c>
      <c r="Q479" s="79"/>
      <c r="R479"/>
      <c r="S479"/>
    </row>
    <row r="480" spans="1:19" ht="30">
      <c r="A480" s="80" t="s">
        <v>44</v>
      </c>
      <c r="B480" s="78" t="s">
        <v>422</v>
      </c>
      <c r="C480" s="78" t="s">
        <v>29</v>
      </c>
      <c r="D480" s="78" t="s">
        <v>33</v>
      </c>
      <c r="E480" s="78" t="s">
        <v>170</v>
      </c>
      <c r="F480" s="81">
        <v>0</v>
      </c>
      <c r="G480" s="78"/>
      <c r="H480" s="78"/>
      <c r="I480" s="78"/>
      <c r="J480" s="78" t="s">
        <v>229</v>
      </c>
      <c r="K480" s="79" t="s">
        <v>229</v>
      </c>
      <c r="L480" s="78">
        <v>0</v>
      </c>
      <c r="M480" s="78" t="s">
        <v>470</v>
      </c>
      <c r="N480" s="78"/>
      <c r="O480" s="78"/>
      <c r="P480" s="78" t="s">
        <v>174</v>
      </c>
      <c r="Q480" s="79"/>
      <c r="R480"/>
      <c r="S480"/>
    </row>
    <row r="481" spans="1:19" ht="30">
      <c r="A481" s="80" t="s">
        <v>44</v>
      </c>
      <c r="B481" s="78" t="s">
        <v>422</v>
      </c>
      <c r="C481" s="78" t="s">
        <v>30</v>
      </c>
      <c r="D481" s="78" t="s">
        <v>33</v>
      </c>
      <c r="E481" s="78" t="s">
        <v>170</v>
      </c>
      <c r="F481" s="81">
        <v>0</v>
      </c>
      <c r="G481" s="78"/>
      <c r="H481" s="78"/>
      <c r="I481" s="78"/>
      <c r="J481" s="78" t="s">
        <v>229</v>
      </c>
      <c r="K481" s="79" t="s">
        <v>229</v>
      </c>
      <c r="L481" s="78">
        <v>0</v>
      </c>
      <c r="M481" s="78" t="s">
        <v>470</v>
      </c>
      <c r="N481" s="78"/>
      <c r="O481" s="78"/>
      <c r="P481" s="78" t="s">
        <v>174</v>
      </c>
      <c r="Q481" s="79"/>
      <c r="R481"/>
      <c r="S481"/>
    </row>
    <row r="482" spans="1:19" ht="30">
      <c r="A482" s="75" t="s">
        <v>39</v>
      </c>
      <c r="B482" s="83" t="s">
        <v>566</v>
      </c>
      <c r="C482" s="83" t="s">
        <v>18</v>
      </c>
      <c r="D482" s="83" t="s">
        <v>19</v>
      </c>
      <c r="E482" s="83" t="s">
        <v>170</v>
      </c>
      <c r="F482" s="84">
        <v>0</v>
      </c>
      <c r="G482" s="79"/>
      <c r="H482" s="79"/>
      <c r="I482" s="79"/>
      <c r="J482" s="83">
        <v>46132</v>
      </c>
      <c r="K482" s="79">
        <v>46295</v>
      </c>
      <c r="L482" s="83">
        <v>118</v>
      </c>
      <c r="M482" s="83" t="s">
        <v>470</v>
      </c>
      <c r="N482" s="79"/>
      <c r="O482" s="79"/>
      <c r="P482" s="83" t="s">
        <v>182</v>
      </c>
      <c r="Q482" s="79"/>
      <c r="R482"/>
      <c r="S482"/>
    </row>
    <row r="483" spans="1:19" ht="30">
      <c r="A483" s="80" t="s">
        <v>39</v>
      </c>
      <c r="B483" s="79" t="s">
        <v>567</v>
      </c>
      <c r="C483" s="79" t="s">
        <v>22</v>
      </c>
      <c r="D483" s="79" t="s">
        <v>19</v>
      </c>
      <c r="E483" s="79" t="s">
        <v>170</v>
      </c>
      <c r="F483" s="85">
        <v>0</v>
      </c>
      <c r="G483" s="79" t="s">
        <v>568</v>
      </c>
      <c r="H483" s="79" t="s">
        <v>569</v>
      </c>
      <c r="I483" s="79" t="s">
        <v>97</v>
      </c>
      <c r="J483" s="79">
        <v>46132</v>
      </c>
      <c r="K483" s="79">
        <v>46203</v>
      </c>
      <c r="L483" s="79">
        <v>52</v>
      </c>
      <c r="M483" s="79" t="s">
        <v>470</v>
      </c>
      <c r="N483" s="79"/>
      <c r="O483" s="79" t="s">
        <v>27</v>
      </c>
      <c r="P483" s="79" t="s">
        <v>182</v>
      </c>
      <c r="Q483" s="79"/>
      <c r="R483"/>
      <c r="S483"/>
    </row>
    <row r="484" spans="1:19" ht="30">
      <c r="A484" s="80" t="s">
        <v>39</v>
      </c>
      <c r="B484" s="79" t="s">
        <v>567</v>
      </c>
      <c r="C484" s="79" t="s">
        <v>28</v>
      </c>
      <c r="D484" s="79" t="s">
        <v>19</v>
      </c>
      <c r="E484" s="79" t="s">
        <v>170</v>
      </c>
      <c r="F484" s="85">
        <v>0</v>
      </c>
      <c r="G484" s="79"/>
      <c r="H484" s="79"/>
      <c r="I484" s="79"/>
      <c r="J484" s="79">
        <v>46216</v>
      </c>
      <c r="K484" s="79">
        <v>46295</v>
      </c>
      <c r="L484" s="79">
        <v>58</v>
      </c>
      <c r="M484" s="79" t="s">
        <v>470</v>
      </c>
      <c r="N484" s="79"/>
      <c r="O484" s="79" t="s">
        <v>27</v>
      </c>
      <c r="P484" s="79" t="s">
        <v>182</v>
      </c>
      <c r="Q484" s="79"/>
      <c r="R484"/>
      <c r="S484"/>
    </row>
    <row r="485" spans="1:19" ht="30">
      <c r="A485" s="80" t="s">
        <v>39</v>
      </c>
      <c r="B485" s="79" t="s">
        <v>567</v>
      </c>
      <c r="C485" s="79" t="s">
        <v>29</v>
      </c>
      <c r="D485" s="79" t="s">
        <v>19</v>
      </c>
      <c r="E485" s="79" t="s">
        <v>170</v>
      </c>
      <c r="F485" s="85">
        <v>0</v>
      </c>
      <c r="G485" s="79"/>
      <c r="H485" s="79"/>
      <c r="I485" s="79"/>
      <c r="J485" s="79" t="s">
        <v>229</v>
      </c>
      <c r="K485" s="79" t="s">
        <v>229</v>
      </c>
      <c r="L485" s="79">
        <v>0</v>
      </c>
      <c r="M485" s="79" t="s">
        <v>470</v>
      </c>
      <c r="N485" s="79"/>
      <c r="O485" s="79"/>
      <c r="P485" s="79" t="s">
        <v>182</v>
      </c>
      <c r="Q485" s="79"/>
      <c r="R485"/>
      <c r="S485"/>
    </row>
    <row r="486" spans="1:19" ht="30">
      <c r="A486" s="80" t="s">
        <v>39</v>
      </c>
      <c r="B486" s="79" t="s">
        <v>567</v>
      </c>
      <c r="C486" s="79" t="s">
        <v>30</v>
      </c>
      <c r="D486" s="79" t="s">
        <v>19</v>
      </c>
      <c r="E486" s="79" t="s">
        <v>170</v>
      </c>
      <c r="F486" s="85">
        <v>0</v>
      </c>
      <c r="G486" s="79"/>
      <c r="H486" s="79"/>
      <c r="I486" s="79"/>
      <c r="J486" s="79" t="s">
        <v>229</v>
      </c>
      <c r="K486" s="79" t="s">
        <v>229</v>
      </c>
      <c r="L486" s="79">
        <v>0</v>
      </c>
      <c r="M486" s="79" t="s">
        <v>470</v>
      </c>
      <c r="N486" s="79"/>
      <c r="O486" s="79"/>
      <c r="P486" s="79" t="s">
        <v>182</v>
      </c>
      <c r="Q486" s="79"/>
      <c r="R486"/>
      <c r="S486"/>
    </row>
    <row r="487" spans="1:19" ht="30">
      <c r="A487" s="75" t="s">
        <v>184</v>
      </c>
      <c r="B487" s="83" t="s">
        <v>426</v>
      </c>
      <c r="C487" s="83" t="s">
        <v>18</v>
      </c>
      <c r="D487" s="83" t="s">
        <v>19</v>
      </c>
      <c r="E487" s="83" t="s">
        <v>170</v>
      </c>
      <c r="F487" s="84">
        <v>0.04</v>
      </c>
      <c r="G487" s="79"/>
      <c r="H487" s="79"/>
      <c r="I487" s="79"/>
      <c r="J487" s="83">
        <v>45931</v>
      </c>
      <c r="K487" s="79">
        <v>46568</v>
      </c>
      <c r="L487" s="83">
        <v>456</v>
      </c>
      <c r="M487" s="83" t="s">
        <v>470</v>
      </c>
      <c r="N487" s="79"/>
      <c r="O487" s="79"/>
      <c r="P487" s="83" t="s">
        <v>185</v>
      </c>
      <c r="Q487" s="79"/>
      <c r="R487"/>
      <c r="S487"/>
    </row>
    <row r="488" spans="1:19" ht="30">
      <c r="A488" s="80" t="s">
        <v>184</v>
      </c>
      <c r="B488" s="79" t="s">
        <v>427</v>
      </c>
      <c r="C488" s="79" t="s">
        <v>22</v>
      </c>
      <c r="D488" s="79" t="s">
        <v>19</v>
      </c>
      <c r="E488" s="79" t="s">
        <v>170</v>
      </c>
      <c r="F488" s="85">
        <v>1</v>
      </c>
      <c r="G488" s="79" t="s">
        <v>570</v>
      </c>
      <c r="H488" s="79" t="s">
        <v>571</v>
      </c>
      <c r="I488" s="79" t="s">
        <v>48</v>
      </c>
      <c r="J488" s="79">
        <v>45931</v>
      </c>
      <c r="K488" s="79">
        <v>45931</v>
      </c>
      <c r="L488" s="79">
        <v>1</v>
      </c>
      <c r="M488" s="79" t="s">
        <v>470</v>
      </c>
      <c r="N488" s="79" t="s">
        <v>108</v>
      </c>
      <c r="O488" s="79" t="s">
        <v>108</v>
      </c>
      <c r="P488" s="79" t="s">
        <v>185</v>
      </c>
      <c r="Q488" s="79"/>
      <c r="R488"/>
      <c r="S488"/>
    </row>
    <row r="489" spans="1:19" ht="30">
      <c r="A489" s="80" t="s">
        <v>184</v>
      </c>
      <c r="B489" s="79" t="s">
        <v>427</v>
      </c>
      <c r="C489" s="79" t="s">
        <v>28</v>
      </c>
      <c r="D489" s="79" t="s">
        <v>19</v>
      </c>
      <c r="E489" s="79" t="s">
        <v>170</v>
      </c>
      <c r="F489" s="85">
        <v>0</v>
      </c>
      <c r="G489" s="79"/>
      <c r="H489" s="79"/>
      <c r="I489" s="79"/>
      <c r="J489" s="79" t="s">
        <v>229</v>
      </c>
      <c r="K489" s="79" t="s">
        <v>229</v>
      </c>
      <c r="L489" s="79">
        <v>0</v>
      </c>
      <c r="M489" s="79" t="s">
        <v>470</v>
      </c>
      <c r="N489" s="79"/>
      <c r="O489" s="79"/>
      <c r="P489" s="79" t="s">
        <v>185</v>
      </c>
      <c r="Q489" s="79"/>
      <c r="R489"/>
      <c r="S489"/>
    </row>
    <row r="490" spans="1:19" ht="30">
      <c r="A490" s="80" t="s">
        <v>184</v>
      </c>
      <c r="B490" s="79" t="s">
        <v>427</v>
      </c>
      <c r="C490" s="79" t="s">
        <v>29</v>
      </c>
      <c r="D490" s="79" t="s">
        <v>19</v>
      </c>
      <c r="E490" s="79" t="s">
        <v>170</v>
      </c>
      <c r="F490" s="85">
        <v>0</v>
      </c>
      <c r="G490" s="79"/>
      <c r="H490" s="79"/>
      <c r="I490" s="79"/>
      <c r="J490" s="79" t="s">
        <v>229</v>
      </c>
      <c r="K490" s="79" t="s">
        <v>229</v>
      </c>
      <c r="L490" s="79">
        <v>0</v>
      </c>
      <c r="M490" s="79" t="s">
        <v>470</v>
      </c>
      <c r="N490" s="79"/>
      <c r="O490" s="79"/>
      <c r="P490" s="79" t="s">
        <v>185</v>
      </c>
      <c r="Q490" s="79"/>
      <c r="R490"/>
      <c r="S490"/>
    </row>
    <row r="491" spans="1:19" ht="30">
      <c r="A491" s="80" t="s">
        <v>184</v>
      </c>
      <c r="B491" s="79" t="s">
        <v>427</v>
      </c>
      <c r="C491" s="79" t="s">
        <v>30</v>
      </c>
      <c r="D491" s="79" t="s">
        <v>19</v>
      </c>
      <c r="E491" s="79" t="s">
        <v>170</v>
      </c>
      <c r="F491" s="85">
        <v>0</v>
      </c>
      <c r="G491" s="79"/>
      <c r="H491" s="79"/>
      <c r="I491" s="79"/>
      <c r="J491" s="79" t="s">
        <v>229</v>
      </c>
      <c r="K491" s="79" t="s">
        <v>229</v>
      </c>
      <c r="L491" s="79">
        <v>0</v>
      </c>
      <c r="M491" s="79" t="s">
        <v>470</v>
      </c>
      <c r="N491" s="79"/>
      <c r="O491" s="79"/>
      <c r="P491" s="79" t="s">
        <v>185</v>
      </c>
      <c r="Q491" s="79"/>
      <c r="R491"/>
      <c r="S491"/>
    </row>
    <row r="492" spans="1:19" ht="30">
      <c r="A492" s="75"/>
      <c r="B492" s="83" t="s">
        <v>572</v>
      </c>
      <c r="C492" s="83"/>
      <c r="D492" s="83" t="s">
        <v>33</v>
      </c>
      <c r="E492" s="83"/>
      <c r="F492" s="84">
        <v>0</v>
      </c>
      <c r="G492" s="79"/>
      <c r="H492" s="79"/>
      <c r="I492" s="79"/>
      <c r="J492" s="83">
        <v>45931</v>
      </c>
      <c r="K492" s="79">
        <v>46387</v>
      </c>
      <c r="L492" s="83">
        <v>327</v>
      </c>
      <c r="M492" s="83" t="s">
        <v>470</v>
      </c>
      <c r="N492" s="79"/>
      <c r="O492" s="79"/>
      <c r="P492" s="83"/>
      <c r="Q492" s="79"/>
      <c r="R492"/>
      <c r="S492"/>
    </row>
    <row r="493" spans="1:19" ht="30">
      <c r="A493" s="80" t="s">
        <v>184</v>
      </c>
      <c r="B493" s="79" t="s">
        <v>573</v>
      </c>
      <c r="C493" s="79" t="s">
        <v>22</v>
      </c>
      <c r="D493" s="79" t="s">
        <v>33</v>
      </c>
      <c r="E493" s="79" t="s">
        <v>170</v>
      </c>
      <c r="F493" s="85">
        <v>1</v>
      </c>
      <c r="G493" s="79" t="s">
        <v>570</v>
      </c>
      <c r="H493" s="79" t="s">
        <v>571</v>
      </c>
      <c r="I493" s="79" t="s">
        <v>48</v>
      </c>
      <c r="J493" s="79">
        <v>45931</v>
      </c>
      <c r="K493" s="79">
        <v>45931</v>
      </c>
      <c r="L493" s="79">
        <v>1</v>
      </c>
      <c r="M493" s="79" t="s">
        <v>470</v>
      </c>
      <c r="N493" s="79" t="s">
        <v>108</v>
      </c>
      <c r="O493" s="79" t="s">
        <v>108</v>
      </c>
      <c r="P493" s="79" t="s">
        <v>185</v>
      </c>
      <c r="Q493" s="79"/>
      <c r="R493"/>
      <c r="S493"/>
    </row>
    <row r="494" spans="1:19" ht="30">
      <c r="A494" s="80" t="s">
        <v>184</v>
      </c>
      <c r="B494" s="79" t="s">
        <v>573</v>
      </c>
      <c r="C494" s="79" t="s">
        <v>28</v>
      </c>
      <c r="D494" s="79" t="s">
        <v>33</v>
      </c>
      <c r="E494" s="79" t="s">
        <v>170</v>
      </c>
      <c r="F494" s="85">
        <v>0</v>
      </c>
      <c r="G494" s="79"/>
      <c r="H494" s="79"/>
      <c r="I494" s="79"/>
      <c r="J494" s="79" t="s">
        <v>229</v>
      </c>
      <c r="K494" s="79" t="s">
        <v>229</v>
      </c>
      <c r="L494" s="79">
        <v>0</v>
      </c>
      <c r="M494" s="79" t="s">
        <v>470</v>
      </c>
      <c r="N494" s="79"/>
      <c r="O494" s="79"/>
      <c r="P494" s="79" t="s">
        <v>185</v>
      </c>
      <c r="Q494" s="79"/>
      <c r="R494"/>
      <c r="S494"/>
    </row>
    <row r="495" spans="1:19" ht="30">
      <c r="A495" s="80" t="s">
        <v>184</v>
      </c>
      <c r="B495" s="79" t="s">
        <v>573</v>
      </c>
      <c r="C495" s="79" t="s">
        <v>29</v>
      </c>
      <c r="D495" s="79" t="s">
        <v>33</v>
      </c>
      <c r="E495" s="79" t="s">
        <v>170</v>
      </c>
      <c r="F495" s="85">
        <v>0</v>
      </c>
      <c r="G495" s="79"/>
      <c r="H495" s="79"/>
      <c r="I495" s="79"/>
      <c r="J495" s="79" t="s">
        <v>229</v>
      </c>
      <c r="K495" s="79" t="s">
        <v>229</v>
      </c>
      <c r="L495" s="79">
        <v>0</v>
      </c>
      <c r="M495" s="79" t="s">
        <v>470</v>
      </c>
      <c r="N495" s="79"/>
      <c r="O495" s="79"/>
      <c r="P495" s="79" t="s">
        <v>185</v>
      </c>
      <c r="Q495" s="79"/>
      <c r="R495"/>
      <c r="S495"/>
    </row>
    <row r="496" spans="1:19" ht="30">
      <c r="A496" s="80" t="s">
        <v>184</v>
      </c>
      <c r="B496" s="79" t="s">
        <v>573</v>
      </c>
      <c r="C496" s="79" t="s">
        <v>30</v>
      </c>
      <c r="D496" s="79" t="s">
        <v>33</v>
      </c>
      <c r="E496" s="79" t="s">
        <v>170</v>
      </c>
      <c r="F496" s="85">
        <v>0</v>
      </c>
      <c r="G496" s="79"/>
      <c r="H496" s="79"/>
      <c r="I496" s="79"/>
      <c r="J496" s="79" t="s">
        <v>229</v>
      </c>
      <c r="K496" s="79" t="s">
        <v>229</v>
      </c>
      <c r="L496" s="79">
        <v>0</v>
      </c>
      <c r="M496" s="79" t="s">
        <v>470</v>
      </c>
      <c r="N496" s="79"/>
      <c r="O496" s="79"/>
      <c r="P496" s="79" t="s">
        <v>185</v>
      </c>
      <c r="Q496" s="79"/>
      <c r="R496"/>
      <c r="S496"/>
    </row>
    <row r="497" spans="1:19" ht="30">
      <c r="A497" s="75" t="s">
        <v>184</v>
      </c>
      <c r="B497" s="83" t="s">
        <v>429</v>
      </c>
      <c r="C497" s="83" t="s">
        <v>18</v>
      </c>
      <c r="D497" s="83" t="s">
        <v>58</v>
      </c>
      <c r="E497" s="83" t="s">
        <v>170</v>
      </c>
      <c r="F497" s="84">
        <v>0</v>
      </c>
      <c r="G497" s="79"/>
      <c r="H497" s="79"/>
      <c r="I497" s="79"/>
      <c r="J497" s="83">
        <v>45946</v>
      </c>
      <c r="K497" s="79">
        <v>46387</v>
      </c>
      <c r="L497" s="83">
        <v>316</v>
      </c>
      <c r="M497" s="83" t="s">
        <v>470</v>
      </c>
      <c r="N497" s="79"/>
      <c r="O497" s="79"/>
      <c r="P497" s="83" t="s">
        <v>185</v>
      </c>
      <c r="Q497" s="79"/>
      <c r="R497"/>
      <c r="S497"/>
    </row>
    <row r="498" spans="1:19" ht="30">
      <c r="A498" s="80" t="s">
        <v>184</v>
      </c>
      <c r="B498" s="79" t="s">
        <v>574</v>
      </c>
      <c r="C498" s="79" t="s">
        <v>22</v>
      </c>
      <c r="D498" s="79" t="s">
        <v>58</v>
      </c>
      <c r="E498" s="79" t="s">
        <v>170</v>
      </c>
      <c r="F498" s="85">
        <v>0</v>
      </c>
      <c r="G498" s="79" t="s">
        <v>570</v>
      </c>
      <c r="H498" s="79" t="s">
        <v>571</v>
      </c>
      <c r="I498" s="79" t="s">
        <v>48</v>
      </c>
      <c r="J498" s="79">
        <v>45946</v>
      </c>
      <c r="K498" s="79">
        <v>46022</v>
      </c>
      <c r="L498" s="79">
        <v>55</v>
      </c>
      <c r="M498" s="79" t="s">
        <v>470</v>
      </c>
      <c r="N498" s="79" t="s">
        <v>43</v>
      </c>
      <c r="O498" s="79" t="s">
        <v>108</v>
      </c>
      <c r="P498" s="79" t="s">
        <v>185</v>
      </c>
      <c r="Q498" s="79"/>
      <c r="R498"/>
      <c r="S498"/>
    </row>
    <row r="499" spans="1:19" ht="30">
      <c r="A499" s="80" t="s">
        <v>184</v>
      </c>
      <c r="B499" s="79" t="s">
        <v>574</v>
      </c>
      <c r="C499" s="79" t="s">
        <v>28</v>
      </c>
      <c r="D499" s="79" t="s">
        <v>58</v>
      </c>
      <c r="E499" s="79" t="s">
        <v>170</v>
      </c>
      <c r="F499" s="85">
        <v>0</v>
      </c>
      <c r="G499" s="79"/>
      <c r="H499" s="79"/>
      <c r="I499" s="79"/>
      <c r="J499" s="79">
        <v>46023</v>
      </c>
      <c r="K499" s="79">
        <v>46387</v>
      </c>
      <c r="L499" s="79">
        <v>261</v>
      </c>
      <c r="M499" s="79" t="s">
        <v>470</v>
      </c>
      <c r="N499" s="79" t="s">
        <v>43</v>
      </c>
      <c r="O499" s="79" t="s">
        <v>28</v>
      </c>
      <c r="P499" s="79" t="s">
        <v>185</v>
      </c>
      <c r="Q499" s="79"/>
      <c r="R499"/>
      <c r="S499"/>
    </row>
    <row r="500" spans="1:19" ht="30">
      <c r="A500" s="80" t="s">
        <v>184</v>
      </c>
      <c r="B500" s="79" t="s">
        <v>574</v>
      </c>
      <c r="C500" s="79" t="s">
        <v>29</v>
      </c>
      <c r="D500" s="79" t="s">
        <v>58</v>
      </c>
      <c r="E500" s="79" t="s">
        <v>170</v>
      </c>
      <c r="F500" s="85">
        <v>0</v>
      </c>
      <c r="G500" s="79"/>
      <c r="H500" s="79"/>
      <c r="I500" s="79"/>
      <c r="J500" s="79" t="s">
        <v>229</v>
      </c>
      <c r="K500" s="79" t="s">
        <v>229</v>
      </c>
      <c r="L500" s="79">
        <v>0</v>
      </c>
      <c r="M500" s="79" t="s">
        <v>470</v>
      </c>
      <c r="N500" s="79"/>
      <c r="O500" s="79"/>
      <c r="P500" s="79" t="s">
        <v>185</v>
      </c>
      <c r="Q500" s="79"/>
      <c r="R500"/>
      <c r="S500"/>
    </row>
    <row r="501" spans="1:19" ht="30">
      <c r="A501" s="80" t="s">
        <v>184</v>
      </c>
      <c r="B501" s="79" t="s">
        <v>574</v>
      </c>
      <c r="C501" s="79" t="s">
        <v>30</v>
      </c>
      <c r="D501" s="79" t="s">
        <v>58</v>
      </c>
      <c r="E501" s="79" t="s">
        <v>170</v>
      </c>
      <c r="F501" s="85">
        <v>0</v>
      </c>
      <c r="G501" s="79"/>
      <c r="H501" s="79"/>
      <c r="I501" s="79"/>
      <c r="J501" s="79" t="s">
        <v>229</v>
      </c>
      <c r="K501" s="79" t="s">
        <v>229</v>
      </c>
      <c r="L501" s="79">
        <v>0</v>
      </c>
      <c r="M501" s="79" t="s">
        <v>470</v>
      </c>
      <c r="N501" s="79"/>
      <c r="O501" s="79"/>
      <c r="P501" s="79" t="s">
        <v>185</v>
      </c>
      <c r="Q501" s="79"/>
      <c r="R501"/>
      <c r="S501"/>
    </row>
    <row r="502" spans="1:19" ht="30">
      <c r="A502" s="75" t="s">
        <v>184</v>
      </c>
      <c r="B502" s="83" t="s">
        <v>439</v>
      </c>
      <c r="C502" s="83" t="s">
        <v>18</v>
      </c>
      <c r="D502" s="83" t="s">
        <v>58</v>
      </c>
      <c r="E502" s="83" t="s">
        <v>170</v>
      </c>
      <c r="F502" s="84">
        <v>0</v>
      </c>
      <c r="G502" s="79"/>
      <c r="H502" s="79"/>
      <c r="I502" s="79"/>
      <c r="J502" s="83">
        <v>45946</v>
      </c>
      <c r="K502" s="79">
        <v>46173</v>
      </c>
      <c r="L502" s="83">
        <v>162</v>
      </c>
      <c r="M502" s="83" t="s">
        <v>470</v>
      </c>
      <c r="N502" s="79"/>
      <c r="O502" s="79"/>
      <c r="P502" s="83" t="s">
        <v>185</v>
      </c>
      <c r="Q502" s="79"/>
      <c r="R502"/>
      <c r="S502"/>
    </row>
    <row r="503" spans="1:19" ht="30">
      <c r="A503" s="80" t="s">
        <v>184</v>
      </c>
      <c r="B503" s="79" t="s">
        <v>575</v>
      </c>
      <c r="C503" s="79" t="s">
        <v>22</v>
      </c>
      <c r="D503" s="79" t="s">
        <v>58</v>
      </c>
      <c r="E503" s="79" t="s">
        <v>170</v>
      </c>
      <c r="F503" s="85">
        <v>0</v>
      </c>
      <c r="G503" s="79" t="s">
        <v>570</v>
      </c>
      <c r="H503" s="79" t="s">
        <v>571</v>
      </c>
      <c r="I503" s="79" t="s">
        <v>48</v>
      </c>
      <c r="J503" s="79">
        <v>45946</v>
      </c>
      <c r="K503" s="79">
        <v>46173</v>
      </c>
      <c r="L503" s="79">
        <v>162</v>
      </c>
      <c r="M503" s="79" t="s">
        <v>470</v>
      </c>
      <c r="N503" s="79" t="s">
        <v>43</v>
      </c>
      <c r="O503" s="79" t="s">
        <v>26</v>
      </c>
      <c r="P503" s="79" t="s">
        <v>185</v>
      </c>
      <c r="Q503" s="79"/>
      <c r="R503"/>
      <c r="S503"/>
    </row>
    <row r="504" spans="1:19" ht="30">
      <c r="A504" s="80" t="s">
        <v>184</v>
      </c>
      <c r="B504" s="79" t="s">
        <v>575</v>
      </c>
      <c r="C504" s="79" t="s">
        <v>28</v>
      </c>
      <c r="D504" s="79" t="s">
        <v>58</v>
      </c>
      <c r="E504" s="79" t="s">
        <v>170</v>
      </c>
      <c r="F504" s="85">
        <v>0</v>
      </c>
      <c r="G504" s="79"/>
      <c r="H504" s="79"/>
      <c r="I504" s="79"/>
      <c r="J504" s="79" t="s">
        <v>229</v>
      </c>
      <c r="K504" s="79" t="s">
        <v>229</v>
      </c>
      <c r="L504" s="79">
        <v>0</v>
      </c>
      <c r="M504" s="79" t="s">
        <v>470</v>
      </c>
      <c r="N504" s="79"/>
      <c r="O504" s="79"/>
      <c r="P504" s="79" t="s">
        <v>185</v>
      </c>
      <c r="Q504" s="79"/>
      <c r="R504"/>
      <c r="S504"/>
    </row>
    <row r="505" spans="1:19" ht="30">
      <c r="A505" s="80" t="s">
        <v>184</v>
      </c>
      <c r="B505" s="79" t="s">
        <v>575</v>
      </c>
      <c r="C505" s="79" t="s">
        <v>29</v>
      </c>
      <c r="D505" s="79" t="s">
        <v>58</v>
      </c>
      <c r="E505" s="79" t="s">
        <v>170</v>
      </c>
      <c r="F505" s="85">
        <v>0</v>
      </c>
      <c r="G505" s="79"/>
      <c r="H505" s="79"/>
      <c r="I505" s="79"/>
      <c r="J505" s="79" t="s">
        <v>229</v>
      </c>
      <c r="K505" s="79" t="s">
        <v>229</v>
      </c>
      <c r="L505" s="79">
        <v>0</v>
      </c>
      <c r="M505" s="79" t="s">
        <v>470</v>
      </c>
      <c r="N505" s="79"/>
      <c r="O505" s="79"/>
      <c r="P505" s="79" t="s">
        <v>185</v>
      </c>
      <c r="Q505" s="79"/>
      <c r="R505"/>
      <c r="S505"/>
    </row>
    <row r="506" spans="1:19" ht="30">
      <c r="A506" s="80" t="s">
        <v>184</v>
      </c>
      <c r="B506" s="79" t="s">
        <v>575</v>
      </c>
      <c r="C506" s="79" t="s">
        <v>30</v>
      </c>
      <c r="D506" s="79" t="s">
        <v>58</v>
      </c>
      <c r="E506" s="79" t="s">
        <v>170</v>
      </c>
      <c r="F506" s="85">
        <v>0</v>
      </c>
      <c r="G506" s="79"/>
      <c r="H506" s="79"/>
      <c r="I506" s="79"/>
      <c r="J506" s="79" t="s">
        <v>229</v>
      </c>
      <c r="K506" s="79" t="s">
        <v>229</v>
      </c>
      <c r="L506" s="79">
        <v>0</v>
      </c>
      <c r="M506" s="79" t="s">
        <v>470</v>
      </c>
      <c r="N506" s="79"/>
      <c r="O506" s="79"/>
      <c r="P506" s="79" t="s">
        <v>185</v>
      </c>
      <c r="Q506" s="79"/>
      <c r="R506"/>
      <c r="S506"/>
    </row>
    <row r="507" spans="1:19">
      <c r="A507" s="75" t="s">
        <v>184</v>
      </c>
      <c r="B507" s="83" t="s">
        <v>576</v>
      </c>
      <c r="C507" s="83"/>
      <c r="D507" s="83" t="s">
        <v>58</v>
      </c>
      <c r="E507" s="83" t="s">
        <v>170</v>
      </c>
      <c r="F507" s="84">
        <v>0</v>
      </c>
      <c r="G507" s="79"/>
      <c r="H507" s="79"/>
      <c r="I507" s="79"/>
      <c r="J507" s="83">
        <v>45931</v>
      </c>
      <c r="K507" s="79">
        <v>46203</v>
      </c>
      <c r="L507" s="83">
        <v>195</v>
      </c>
      <c r="M507" s="83" t="s">
        <v>470</v>
      </c>
      <c r="N507" s="79"/>
      <c r="O507" s="79"/>
      <c r="P507" s="83"/>
      <c r="Q507" s="79"/>
      <c r="R507"/>
      <c r="S507"/>
    </row>
    <row r="508" spans="1:19" ht="30">
      <c r="A508" s="80" t="s">
        <v>184</v>
      </c>
      <c r="B508" s="79" t="s">
        <v>577</v>
      </c>
      <c r="C508" s="79" t="s">
        <v>22</v>
      </c>
      <c r="D508" s="79" t="s">
        <v>58</v>
      </c>
      <c r="E508" s="79" t="s">
        <v>170</v>
      </c>
      <c r="F508" s="85">
        <v>0</v>
      </c>
      <c r="G508" s="79" t="s">
        <v>570</v>
      </c>
      <c r="H508" s="79" t="s">
        <v>571</v>
      </c>
      <c r="I508" s="79" t="s">
        <v>48</v>
      </c>
      <c r="J508" s="79">
        <v>45931</v>
      </c>
      <c r="K508" s="79">
        <v>46173</v>
      </c>
      <c r="L508" s="79">
        <v>173</v>
      </c>
      <c r="M508" s="79" t="s">
        <v>470</v>
      </c>
      <c r="N508" s="79" t="s">
        <v>43</v>
      </c>
      <c r="O508" s="79" t="s">
        <v>26</v>
      </c>
      <c r="P508" s="79" t="s">
        <v>185</v>
      </c>
      <c r="Q508" s="79"/>
      <c r="R508"/>
      <c r="S508"/>
    </row>
    <row r="509" spans="1:19" ht="30">
      <c r="A509" s="80" t="s">
        <v>184</v>
      </c>
      <c r="B509" s="79" t="s">
        <v>577</v>
      </c>
      <c r="C509" s="79" t="s">
        <v>28</v>
      </c>
      <c r="D509" s="79" t="s">
        <v>58</v>
      </c>
      <c r="E509" s="79" t="s">
        <v>170</v>
      </c>
      <c r="F509" s="85">
        <v>0</v>
      </c>
      <c r="G509" s="79"/>
      <c r="H509" s="79"/>
      <c r="I509" s="79"/>
      <c r="J509" s="79">
        <v>46174</v>
      </c>
      <c r="K509" s="79">
        <v>46203</v>
      </c>
      <c r="L509" s="79">
        <v>22</v>
      </c>
      <c r="M509" s="79" t="s">
        <v>470</v>
      </c>
      <c r="N509" s="79"/>
      <c r="O509" s="79" t="s">
        <v>27</v>
      </c>
      <c r="P509" s="79" t="s">
        <v>185</v>
      </c>
      <c r="Q509" s="79"/>
      <c r="R509"/>
      <c r="S509"/>
    </row>
    <row r="510" spans="1:19" ht="30">
      <c r="A510" s="80" t="s">
        <v>184</v>
      </c>
      <c r="B510" s="79" t="s">
        <v>577</v>
      </c>
      <c r="C510" s="79" t="s">
        <v>29</v>
      </c>
      <c r="D510" s="79" t="s">
        <v>58</v>
      </c>
      <c r="E510" s="79" t="s">
        <v>170</v>
      </c>
      <c r="F510" s="85">
        <v>0</v>
      </c>
      <c r="G510" s="79"/>
      <c r="H510" s="79"/>
      <c r="I510" s="79"/>
      <c r="J510" s="79">
        <v>46174</v>
      </c>
      <c r="K510" s="79">
        <v>46203</v>
      </c>
      <c r="L510" s="79">
        <v>22</v>
      </c>
      <c r="M510" s="79" t="s">
        <v>470</v>
      </c>
      <c r="N510" s="79"/>
      <c r="O510" s="79" t="s">
        <v>27</v>
      </c>
      <c r="P510" s="79" t="s">
        <v>185</v>
      </c>
      <c r="Q510" s="79"/>
      <c r="R510"/>
      <c r="S510"/>
    </row>
    <row r="511" spans="1:19" ht="30">
      <c r="A511" s="80" t="s">
        <v>184</v>
      </c>
      <c r="B511" s="79" t="s">
        <v>577</v>
      </c>
      <c r="C511" s="79" t="s">
        <v>30</v>
      </c>
      <c r="D511" s="79" t="s">
        <v>58</v>
      </c>
      <c r="E511" s="79" t="s">
        <v>170</v>
      </c>
      <c r="F511" s="85">
        <v>0</v>
      </c>
      <c r="G511" s="79"/>
      <c r="H511" s="79"/>
      <c r="I511" s="79"/>
      <c r="J511" s="79">
        <v>46174</v>
      </c>
      <c r="K511" s="79">
        <v>46203</v>
      </c>
      <c r="L511" s="79">
        <v>22</v>
      </c>
      <c r="M511" s="79" t="s">
        <v>470</v>
      </c>
      <c r="N511" s="79"/>
      <c r="O511" s="79" t="s">
        <v>27</v>
      </c>
      <c r="P511" s="79" t="s">
        <v>185</v>
      </c>
      <c r="Q511" s="79"/>
      <c r="R511"/>
      <c r="S511"/>
    </row>
    <row r="512" spans="1:19" ht="30">
      <c r="A512" s="75" t="s">
        <v>184</v>
      </c>
      <c r="B512" s="76" t="s">
        <v>578</v>
      </c>
      <c r="C512" s="76" t="s">
        <v>18</v>
      </c>
      <c r="D512" s="76" t="s">
        <v>33</v>
      </c>
      <c r="E512" s="76" t="s">
        <v>170</v>
      </c>
      <c r="F512" s="77">
        <v>0</v>
      </c>
      <c r="G512" s="78"/>
      <c r="H512" s="78"/>
      <c r="I512" s="78"/>
      <c r="J512" s="76">
        <v>45931</v>
      </c>
      <c r="K512" s="79">
        <v>46387</v>
      </c>
      <c r="L512" s="76">
        <v>327</v>
      </c>
      <c r="M512" s="76" t="s">
        <v>470</v>
      </c>
      <c r="N512" s="78"/>
      <c r="O512" s="78"/>
      <c r="P512" s="76" t="s">
        <v>185</v>
      </c>
      <c r="Q512" s="79"/>
      <c r="R512"/>
      <c r="S512"/>
    </row>
    <row r="513" spans="1:19" ht="30">
      <c r="A513" s="80" t="s">
        <v>184</v>
      </c>
      <c r="B513" s="78" t="s">
        <v>579</v>
      </c>
      <c r="C513" s="78" t="s">
        <v>22</v>
      </c>
      <c r="D513" s="78" t="s">
        <v>33</v>
      </c>
      <c r="E513" s="78" t="s">
        <v>170</v>
      </c>
      <c r="F513" s="81">
        <v>0</v>
      </c>
      <c r="G513" s="78" t="s">
        <v>570</v>
      </c>
      <c r="H513" s="78" t="s">
        <v>189</v>
      </c>
      <c r="I513" s="78" t="s">
        <v>25</v>
      </c>
      <c r="J513" s="78">
        <v>46029</v>
      </c>
      <c r="K513" s="86">
        <v>46097</v>
      </c>
      <c r="L513" s="78">
        <v>49</v>
      </c>
      <c r="M513" s="78" t="s">
        <v>470</v>
      </c>
      <c r="N513" s="78" t="s">
        <v>43</v>
      </c>
      <c r="O513" s="78" t="s">
        <v>108</v>
      </c>
      <c r="P513" s="78" t="s">
        <v>185</v>
      </c>
      <c r="Q513" s="79"/>
      <c r="R513"/>
      <c r="S513"/>
    </row>
    <row r="514" spans="1:19" ht="30">
      <c r="A514" s="80" t="s">
        <v>184</v>
      </c>
      <c r="B514" s="78" t="s">
        <v>579</v>
      </c>
      <c r="C514" s="78" t="s">
        <v>28</v>
      </c>
      <c r="D514" s="78" t="s">
        <v>33</v>
      </c>
      <c r="E514" s="78" t="s">
        <v>170</v>
      </c>
      <c r="F514" s="81">
        <v>0</v>
      </c>
      <c r="G514" s="78"/>
      <c r="H514" s="78"/>
      <c r="I514" s="78"/>
      <c r="J514" s="78">
        <v>46113</v>
      </c>
      <c r="K514" s="86">
        <v>46188</v>
      </c>
      <c r="L514" s="78">
        <v>54</v>
      </c>
      <c r="M514" s="78" t="s">
        <v>470</v>
      </c>
      <c r="N514" s="78"/>
      <c r="O514" s="78" t="s">
        <v>27</v>
      </c>
      <c r="P514" s="78" t="s">
        <v>185</v>
      </c>
      <c r="Q514" s="79"/>
      <c r="R514"/>
      <c r="S514"/>
    </row>
    <row r="515" spans="1:19" ht="30">
      <c r="A515" s="80" t="s">
        <v>184</v>
      </c>
      <c r="B515" s="78" t="s">
        <v>579</v>
      </c>
      <c r="C515" s="78" t="s">
        <v>29</v>
      </c>
      <c r="D515" s="78" t="s">
        <v>33</v>
      </c>
      <c r="E515" s="78" t="s">
        <v>170</v>
      </c>
      <c r="F515" s="81">
        <v>0</v>
      </c>
      <c r="G515" s="78"/>
      <c r="H515" s="78"/>
      <c r="I515" s="78"/>
      <c r="J515" s="78">
        <v>46113</v>
      </c>
      <c r="K515" s="86">
        <v>46188</v>
      </c>
      <c r="L515" s="78">
        <v>54</v>
      </c>
      <c r="M515" s="78" t="s">
        <v>470</v>
      </c>
      <c r="N515" s="78"/>
      <c r="O515" s="78" t="s">
        <v>27</v>
      </c>
      <c r="P515" s="78" t="s">
        <v>185</v>
      </c>
      <c r="Q515" s="79"/>
      <c r="R515"/>
      <c r="S515"/>
    </row>
    <row r="516" spans="1:19" ht="30">
      <c r="A516" s="80" t="s">
        <v>184</v>
      </c>
      <c r="B516" s="78" t="s">
        <v>579</v>
      </c>
      <c r="C516" s="78" t="s">
        <v>30</v>
      </c>
      <c r="D516" s="78" t="s">
        <v>33</v>
      </c>
      <c r="E516" s="78" t="s">
        <v>170</v>
      </c>
      <c r="F516" s="81">
        <v>0</v>
      </c>
      <c r="G516" s="78"/>
      <c r="H516" s="78"/>
      <c r="I516" s="78"/>
      <c r="J516" s="78" t="s">
        <v>229</v>
      </c>
      <c r="K516" s="86" t="s">
        <v>229</v>
      </c>
      <c r="L516" s="78">
        <v>0</v>
      </c>
      <c r="M516" s="78" t="s">
        <v>470</v>
      </c>
      <c r="N516" s="78"/>
      <c r="O516" s="78"/>
      <c r="P516" s="78" t="s">
        <v>185</v>
      </c>
      <c r="Q516" s="79"/>
      <c r="R516"/>
      <c r="S516"/>
    </row>
    <row r="517" spans="1:19">
      <c r="A517" s="82" t="s">
        <v>184</v>
      </c>
      <c r="B517" s="76" t="s">
        <v>580</v>
      </c>
      <c r="C517" s="76"/>
      <c r="D517" s="76" t="s">
        <v>58</v>
      </c>
      <c r="E517" s="76" t="s">
        <v>170</v>
      </c>
      <c r="F517" s="77">
        <v>0</v>
      </c>
      <c r="G517" s="78"/>
      <c r="H517" s="78"/>
      <c r="I517" s="78"/>
      <c r="J517" s="76">
        <v>45931</v>
      </c>
      <c r="K517" s="79">
        <v>46387</v>
      </c>
      <c r="L517" s="76">
        <v>327</v>
      </c>
      <c r="M517" s="76" t="s">
        <v>470</v>
      </c>
      <c r="N517" s="78"/>
      <c r="O517" s="78"/>
      <c r="P517" s="76"/>
      <c r="Q517" s="79"/>
      <c r="R517"/>
      <c r="S517"/>
    </row>
    <row r="518" spans="1:19" ht="30">
      <c r="A518" s="80" t="s">
        <v>184</v>
      </c>
      <c r="B518" s="78" t="s">
        <v>581</v>
      </c>
      <c r="C518" s="78" t="s">
        <v>22</v>
      </c>
      <c r="D518" s="78" t="s">
        <v>58</v>
      </c>
      <c r="E518" s="78" t="s">
        <v>170</v>
      </c>
      <c r="F518" s="81">
        <v>0</v>
      </c>
      <c r="G518" s="78" t="s">
        <v>570</v>
      </c>
      <c r="H518" s="78" t="s">
        <v>189</v>
      </c>
      <c r="I518" s="78" t="s">
        <v>25</v>
      </c>
      <c r="J518" s="78">
        <v>45931</v>
      </c>
      <c r="K518" s="79">
        <v>46081</v>
      </c>
      <c r="L518" s="78">
        <v>108</v>
      </c>
      <c r="M518" s="78" t="s">
        <v>470</v>
      </c>
      <c r="N518" s="78" t="s">
        <v>43</v>
      </c>
      <c r="O518" s="78" t="s">
        <v>108</v>
      </c>
      <c r="P518" s="78" t="s">
        <v>185</v>
      </c>
      <c r="Q518" s="79"/>
      <c r="R518"/>
      <c r="S518"/>
    </row>
    <row r="519" spans="1:19" ht="30">
      <c r="A519" s="80" t="s">
        <v>184</v>
      </c>
      <c r="B519" s="78" t="s">
        <v>581</v>
      </c>
      <c r="C519" s="78" t="s">
        <v>28</v>
      </c>
      <c r="D519" s="78" t="s">
        <v>58</v>
      </c>
      <c r="E519" s="78" t="s">
        <v>170</v>
      </c>
      <c r="F519" s="81">
        <v>0</v>
      </c>
      <c r="G519" s="78"/>
      <c r="H519" s="78"/>
      <c r="I519" s="78"/>
      <c r="J519" s="78">
        <v>46082</v>
      </c>
      <c r="K519" s="79">
        <v>46387</v>
      </c>
      <c r="L519" s="78">
        <v>219</v>
      </c>
      <c r="M519" s="78" t="s">
        <v>470</v>
      </c>
      <c r="N519" s="78" t="s">
        <v>43</v>
      </c>
      <c r="O519" s="78" t="s">
        <v>28</v>
      </c>
      <c r="P519" s="78" t="s">
        <v>185</v>
      </c>
      <c r="Q519" s="79"/>
      <c r="R519"/>
      <c r="S519"/>
    </row>
    <row r="520" spans="1:19" ht="30">
      <c r="A520" s="80" t="s">
        <v>184</v>
      </c>
      <c r="B520" s="78" t="s">
        <v>581</v>
      </c>
      <c r="C520" s="78" t="s">
        <v>29</v>
      </c>
      <c r="D520" s="78" t="s">
        <v>58</v>
      </c>
      <c r="E520" s="78" t="s">
        <v>170</v>
      </c>
      <c r="F520" s="81">
        <v>0</v>
      </c>
      <c r="G520" s="78"/>
      <c r="H520" s="78"/>
      <c r="I520" s="78"/>
      <c r="J520" s="78" t="s">
        <v>229</v>
      </c>
      <c r="K520" s="79" t="s">
        <v>229</v>
      </c>
      <c r="L520" s="78">
        <v>0</v>
      </c>
      <c r="M520" s="78" t="s">
        <v>470</v>
      </c>
      <c r="N520" s="78"/>
      <c r="O520" s="78"/>
      <c r="P520" s="78" t="s">
        <v>185</v>
      </c>
      <c r="Q520" s="79"/>
      <c r="R520"/>
      <c r="S520"/>
    </row>
    <row r="521" spans="1:19" ht="30">
      <c r="A521" s="80" t="s">
        <v>184</v>
      </c>
      <c r="B521" s="78" t="s">
        <v>581</v>
      </c>
      <c r="C521" s="78" t="s">
        <v>30</v>
      </c>
      <c r="D521" s="78" t="s">
        <v>58</v>
      </c>
      <c r="E521" s="78" t="s">
        <v>170</v>
      </c>
      <c r="F521" s="81">
        <v>0</v>
      </c>
      <c r="G521" s="78"/>
      <c r="H521" s="78"/>
      <c r="I521" s="78"/>
      <c r="J521" s="78" t="s">
        <v>229</v>
      </c>
      <c r="K521" s="79" t="s">
        <v>229</v>
      </c>
      <c r="L521" s="78">
        <v>0</v>
      </c>
      <c r="M521" s="78" t="s">
        <v>470</v>
      </c>
      <c r="N521" s="78"/>
      <c r="O521" s="78"/>
      <c r="P521" s="78" t="s">
        <v>185</v>
      </c>
      <c r="Q521" s="79"/>
      <c r="R521"/>
      <c r="S521"/>
    </row>
    <row r="522" spans="1:19">
      <c r="A522" s="75" t="s">
        <v>184</v>
      </c>
      <c r="B522" s="83" t="s">
        <v>582</v>
      </c>
      <c r="C522" s="83"/>
      <c r="D522" s="83" t="s">
        <v>58</v>
      </c>
      <c r="E522" s="83" t="s">
        <v>170</v>
      </c>
      <c r="F522" s="84">
        <v>0</v>
      </c>
      <c r="G522" s="79"/>
      <c r="H522" s="79"/>
      <c r="I522" s="79"/>
      <c r="J522" s="83">
        <v>45931</v>
      </c>
      <c r="K522" s="79">
        <v>46387</v>
      </c>
      <c r="L522" s="83">
        <v>327</v>
      </c>
      <c r="M522" s="83" t="s">
        <v>470</v>
      </c>
      <c r="N522" s="79"/>
      <c r="O522" s="79"/>
      <c r="P522" s="83"/>
      <c r="Q522" s="79"/>
      <c r="R522"/>
      <c r="S522"/>
    </row>
    <row r="523" spans="1:19" ht="30">
      <c r="A523" s="80" t="s">
        <v>184</v>
      </c>
      <c r="B523" s="79" t="s">
        <v>583</v>
      </c>
      <c r="C523" s="79" t="s">
        <v>22</v>
      </c>
      <c r="D523" s="79" t="s">
        <v>58</v>
      </c>
      <c r="E523" s="79" t="s">
        <v>170</v>
      </c>
      <c r="F523" s="85">
        <v>0</v>
      </c>
      <c r="G523" s="79" t="s">
        <v>570</v>
      </c>
      <c r="H523" s="79" t="s">
        <v>189</v>
      </c>
      <c r="I523" s="79" t="s">
        <v>25</v>
      </c>
      <c r="J523" s="83">
        <v>45931</v>
      </c>
      <c r="K523" s="79">
        <v>46081</v>
      </c>
      <c r="L523" s="79">
        <v>108</v>
      </c>
      <c r="M523" s="79" t="s">
        <v>470</v>
      </c>
      <c r="N523" s="79" t="s">
        <v>43</v>
      </c>
      <c r="O523" s="79" t="s">
        <v>108</v>
      </c>
      <c r="P523" s="79" t="s">
        <v>185</v>
      </c>
      <c r="Q523" s="79"/>
      <c r="R523"/>
      <c r="S523"/>
    </row>
    <row r="524" spans="1:19" ht="30">
      <c r="A524" s="80" t="s">
        <v>184</v>
      </c>
      <c r="B524" s="79" t="s">
        <v>583</v>
      </c>
      <c r="C524" s="79" t="s">
        <v>28</v>
      </c>
      <c r="D524" s="79" t="s">
        <v>58</v>
      </c>
      <c r="E524" s="79" t="s">
        <v>170</v>
      </c>
      <c r="F524" s="85">
        <v>0</v>
      </c>
      <c r="G524" s="79"/>
      <c r="H524" s="79"/>
      <c r="I524" s="79"/>
      <c r="J524" s="79">
        <v>46082</v>
      </c>
      <c r="K524" s="79">
        <v>46387</v>
      </c>
      <c r="L524" s="79">
        <v>219</v>
      </c>
      <c r="M524" s="79" t="s">
        <v>470</v>
      </c>
      <c r="N524" s="79" t="s">
        <v>43</v>
      </c>
      <c r="O524" s="79" t="s">
        <v>28</v>
      </c>
      <c r="P524" s="79" t="s">
        <v>185</v>
      </c>
      <c r="Q524" s="79"/>
      <c r="R524"/>
      <c r="S524"/>
    </row>
    <row r="525" spans="1:19" ht="30">
      <c r="A525" s="80" t="s">
        <v>184</v>
      </c>
      <c r="B525" s="79" t="s">
        <v>583</v>
      </c>
      <c r="C525" s="79" t="s">
        <v>29</v>
      </c>
      <c r="D525" s="79" t="s">
        <v>58</v>
      </c>
      <c r="E525" s="79" t="s">
        <v>170</v>
      </c>
      <c r="F525" s="85">
        <v>0</v>
      </c>
      <c r="G525" s="79"/>
      <c r="H525" s="79"/>
      <c r="I525" s="79"/>
      <c r="J525" s="83" t="s">
        <v>229</v>
      </c>
      <c r="K525" s="79" t="s">
        <v>229</v>
      </c>
      <c r="L525" s="79">
        <v>0</v>
      </c>
      <c r="M525" s="79" t="s">
        <v>470</v>
      </c>
      <c r="N525" s="79"/>
      <c r="O525" s="79"/>
      <c r="P525" s="79" t="s">
        <v>185</v>
      </c>
      <c r="Q525" s="79"/>
      <c r="R525"/>
      <c r="S525"/>
    </row>
    <row r="526" spans="1:19" ht="30">
      <c r="A526" s="80" t="s">
        <v>184</v>
      </c>
      <c r="B526" s="79" t="s">
        <v>583</v>
      </c>
      <c r="C526" s="79" t="s">
        <v>30</v>
      </c>
      <c r="D526" s="79" t="s">
        <v>58</v>
      </c>
      <c r="E526" s="79" t="s">
        <v>170</v>
      </c>
      <c r="F526" s="85">
        <v>0</v>
      </c>
      <c r="G526" s="79"/>
      <c r="H526" s="79"/>
      <c r="I526" s="79"/>
      <c r="J526" s="79" t="s">
        <v>229</v>
      </c>
      <c r="K526" s="79" t="s">
        <v>229</v>
      </c>
      <c r="L526" s="79">
        <v>0</v>
      </c>
      <c r="M526" s="79" t="s">
        <v>470</v>
      </c>
      <c r="N526" s="79"/>
      <c r="O526" s="79"/>
      <c r="P526" s="79" t="s">
        <v>185</v>
      </c>
      <c r="Q526" s="79"/>
      <c r="R526"/>
      <c r="S526"/>
    </row>
    <row r="527" spans="1:19" ht="30">
      <c r="A527" s="75" t="s">
        <v>184</v>
      </c>
      <c r="B527" s="83" t="s">
        <v>584</v>
      </c>
      <c r="C527" s="83" t="s">
        <v>18</v>
      </c>
      <c r="D527" s="83" t="s">
        <v>33</v>
      </c>
      <c r="E527" s="83" t="s">
        <v>170</v>
      </c>
      <c r="F527" s="84">
        <v>0</v>
      </c>
      <c r="G527" s="79"/>
      <c r="H527" s="79"/>
      <c r="I527" s="79"/>
      <c r="J527" s="83">
        <v>45946</v>
      </c>
      <c r="K527" s="79">
        <v>45946</v>
      </c>
      <c r="L527" s="83">
        <v>0</v>
      </c>
      <c r="M527" s="83" t="s">
        <v>470</v>
      </c>
      <c r="N527" s="79"/>
      <c r="O527" s="79"/>
      <c r="P527" s="83" t="s">
        <v>185</v>
      </c>
      <c r="Q527" s="79"/>
      <c r="R527"/>
      <c r="S527"/>
    </row>
    <row r="528" spans="1:19" ht="30">
      <c r="A528" s="80" t="s">
        <v>184</v>
      </c>
      <c r="B528" s="79" t="s">
        <v>585</v>
      </c>
      <c r="C528" s="79" t="s">
        <v>22</v>
      </c>
      <c r="D528" s="79" t="s">
        <v>33</v>
      </c>
      <c r="E528" s="79" t="s">
        <v>170</v>
      </c>
      <c r="F528" s="85">
        <v>0</v>
      </c>
      <c r="G528" s="79" t="s">
        <v>570</v>
      </c>
      <c r="H528" s="79"/>
      <c r="I528" s="79" t="s">
        <v>25</v>
      </c>
      <c r="J528" s="83" t="s">
        <v>229</v>
      </c>
      <c r="K528" s="79" t="s">
        <v>229</v>
      </c>
      <c r="L528" s="79">
        <v>0</v>
      </c>
      <c r="M528" s="79" t="s">
        <v>470</v>
      </c>
      <c r="N528" s="79"/>
      <c r="O528" s="79"/>
      <c r="P528" s="79" t="s">
        <v>185</v>
      </c>
      <c r="Q528" s="79"/>
      <c r="R528"/>
      <c r="S528"/>
    </row>
    <row r="529" spans="1:19" ht="30">
      <c r="A529" s="80" t="s">
        <v>184</v>
      </c>
      <c r="B529" s="79" t="s">
        <v>585</v>
      </c>
      <c r="C529" s="79" t="s">
        <v>28</v>
      </c>
      <c r="D529" s="79" t="s">
        <v>33</v>
      </c>
      <c r="E529" s="79" t="s">
        <v>170</v>
      </c>
      <c r="F529" s="85">
        <v>0</v>
      </c>
      <c r="G529" s="79"/>
      <c r="H529" s="79"/>
      <c r="I529" s="79"/>
      <c r="J529" s="79" t="s">
        <v>229</v>
      </c>
      <c r="K529" s="79" t="s">
        <v>229</v>
      </c>
      <c r="L529" s="79">
        <v>0</v>
      </c>
      <c r="M529" s="79" t="s">
        <v>470</v>
      </c>
      <c r="N529" s="79"/>
      <c r="O529" s="79"/>
      <c r="P529" s="79" t="s">
        <v>185</v>
      </c>
      <c r="Q529" s="79"/>
      <c r="R529"/>
      <c r="S529"/>
    </row>
    <row r="530" spans="1:19" ht="30">
      <c r="A530" s="80" t="s">
        <v>184</v>
      </c>
      <c r="B530" s="79" t="s">
        <v>585</v>
      </c>
      <c r="C530" s="79" t="s">
        <v>29</v>
      </c>
      <c r="D530" s="79" t="s">
        <v>33</v>
      </c>
      <c r="E530" s="79" t="s">
        <v>170</v>
      </c>
      <c r="F530" s="85">
        <v>0</v>
      </c>
      <c r="G530" s="79"/>
      <c r="H530" s="79"/>
      <c r="I530" s="79"/>
      <c r="J530" s="79" t="s">
        <v>229</v>
      </c>
      <c r="K530" s="79" t="s">
        <v>229</v>
      </c>
      <c r="L530" s="79">
        <v>0</v>
      </c>
      <c r="M530" s="79" t="s">
        <v>470</v>
      </c>
      <c r="N530" s="79"/>
      <c r="O530" s="79"/>
      <c r="P530" s="79" t="s">
        <v>185</v>
      </c>
      <c r="Q530" s="79"/>
      <c r="R530"/>
      <c r="S530"/>
    </row>
    <row r="531" spans="1:19" ht="30">
      <c r="A531" s="80" t="s">
        <v>184</v>
      </c>
      <c r="B531" s="79" t="s">
        <v>585</v>
      </c>
      <c r="C531" s="79" t="s">
        <v>30</v>
      </c>
      <c r="D531" s="79" t="s">
        <v>33</v>
      </c>
      <c r="E531" s="79" t="s">
        <v>170</v>
      </c>
      <c r="F531" s="85">
        <v>0</v>
      </c>
      <c r="G531" s="79"/>
      <c r="H531" s="79"/>
      <c r="I531" s="79"/>
      <c r="J531" s="79" t="s">
        <v>229</v>
      </c>
      <c r="K531" s="79" t="s">
        <v>229</v>
      </c>
      <c r="L531" s="79">
        <v>0</v>
      </c>
      <c r="M531" s="79" t="s">
        <v>470</v>
      </c>
      <c r="N531" s="79"/>
      <c r="O531" s="79"/>
      <c r="P531" s="79" t="s">
        <v>185</v>
      </c>
      <c r="Q531" s="79"/>
      <c r="R531"/>
      <c r="S531"/>
    </row>
    <row r="532" spans="1:19" ht="30">
      <c r="A532" s="75" t="s">
        <v>184</v>
      </c>
      <c r="B532" s="83" t="s">
        <v>586</v>
      </c>
      <c r="C532" s="83" t="s">
        <v>18</v>
      </c>
      <c r="D532" s="83" t="s">
        <v>58</v>
      </c>
      <c r="E532" s="83" t="s">
        <v>170</v>
      </c>
      <c r="F532" s="84">
        <v>0</v>
      </c>
      <c r="G532" s="79"/>
      <c r="H532" s="79"/>
      <c r="I532" s="79"/>
      <c r="J532" s="83">
        <v>45946</v>
      </c>
      <c r="K532" s="79">
        <v>45946</v>
      </c>
      <c r="L532" s="83">
        <v>0</v>
      </c>
      <c r="M532" s="83" t="s">
        <v>470</v>
      </c>
      <c r="N532" s="79"/>
      <c r="O532" s="79"/>
      <c r="P532" s="83" t="s">
        <v>185</v>
      </c>
      <c r="Q532" s="79"/>
      <c r="R532"/>
      <c r="S532"/>
    </row>
    <row r="533" spans="1:19" ht="30">
      <c r="A533" s="80" t="s">
        <v>184</v>
      </c>
      <c r="B533" s="79" t="s">
        <v>587</v>
      </c>
      <c r="C533" s="79" t="s">
        <v>22</v>
      </c>
      <c r="D533" s="79" t="s">
        <v>58</v>
      </c>
      <c r="E533" s="79" t="s">
        <v>170</v>
      </c>
      <c r="F533" s="85">
        <v>0</v>
      </c>
      <c r="G533" s="79" t="s">
        <v>570</v>
      </c>
      <c r="H533" s="79"/>
      <c r="I533" s="79" t="s">
        <v>25</v>
      </c>
      <c r="J533" s="83" t="s">
        <v>229</v>
      </c>
      <c r="K533" s="79" t="s">
        <v>229</v>
      </c>
      <c r="L533" s="79">
        <v>0</v>
      </c>
      <c r="M533" s="79" t="s">
        <v>470</v>
      </c>
      <c r="N533" s="79"/>
      <c r="O533" s="79"/>
      <c r="P533" s="79" t="s">
        <v>185</v>
      </c>
      <c r="Q533" s="79"/>
      <c r="R533"/>
      <c r="S533"/>
    </row>
    <row r="534" spans="1:19" ht="30">
      <c r="A534" s="80" t="s">
        <v>184</v>
      </c>
      <c r="B534" s="79" t="s">
        <v>587</v>
      </c>
      <c r="C534" s="79" t="s">
        <v>28</v>
      </c>
      <c r="D534" s="79" t="s">
        <v>58</v>
      </c>
      <c r="E534" s="79" t="s">
        <v>170</v>
      </c>
      <c r="F534" s="85">
        <v>0</v>
      </c>
      <c r="G534" s="79"/>
      <c r="H534" s="79"/>
      <c r="I534" s="79"/>
      <c r="J534" s="79" t="s">
        <v>229</v>
      </c>
      <c r="K534" s="79" t="s">
        <v>229</v>
      </c>
      <c r="L534" s="79">
        <v>0</v>
      </c>
      <c r="M534" s="79" t="s">
        <v>470</v>
      </c>
      <c r="N534" s="79"/>
      <c r="O534" s="79"/>
      <c r="P534" s="79" t="s">
        <v>185</v>
      </c>
      <c r="Q534" s="79"/>
      <c r="R534"/>
      <c r="S534"/>
    </row>
    <row r="535" spans="1:19" ht="30">
      <c r="A535" s="80" t="s">
        <v>184</v>
      </c>
      <c r="B535" s="79" t="s">
        <v>587</v>
      </c>
      <c r="C535" s="79" t="s">
        <v>29</v>
      </c>
      <c r="D535" s="79" t="s">
        <v>58</v>
      </c>
      <c r="E535" s="79" t="s">
        <v>170</v>
      </c>
      <c r="F535" s="85">
        <v>0</v>
      </c>
      <c r="G535" s="79"/>
      <c r="H535" s="79"/>
      <c r="I535" s="79"/>
      <c r="J535" s="79" t="s">
        <v>229</v>
      </c>
      <c r="K535" s="79" t="s">
        <v>229</v>
      </c>
      <c r="L535" s="79">
        <v>0</v>
      </c>
      <c r="M535" s="79" t="s">
        <v>470</v>
      </c>
      <c r="N535" s="79"/>
      <c r="O535" s="79"/>
      <c r="P535" s="79" t="s">
        <v>185</v>
      </c>
      <c r="Q535" s="79"/>
      <c r="R535"/>
      <c r="S535"/>
    </row>
    <row r="536" spans="1:19" ht="30">
      <c r="A536" s="80" t="s">
        <v>184</v>
      </c>
      <c r="B536" s="79" t="s">
        <v>587</v>
      </c>
      <c r="C536" s="79" t="s">
        <v>30</v>
      </c>
      <c r="D536" s="79" t="s">
        <v>58</v>
      </c>
      <c r="E536" s="79" t="s">
        <v>170</v>
      </c>
      <c r="F536" s="85">
        <v>0</v>
      </c>
      <c r="G536" s="79"/>
      <c r="H536" s="79"/>
      <c r="I536" s="79"/>
      <c r="J536" s="79" t="s">
        <v>229</v>
      </c>
      <c r="K536" s="79" t="s">
        <v>229</v>
      </c>
      <c r="L536" s="79">
        <v>0</v>
      </c>
      <c r="M536" s="79" t="s">
        <v>470</v>
      </c>
      <c r="N536" s="79"/>
      <c r="O536" s="79"/>
      <c r="P536" s="79" t="s">
        <v>185</v>
      </c>
      <c r="Q536" s="79"/>
      <c r="R536"/>
      <c r="S536"/>
    </row>
    <row r="537" spans="1:19" ht="30">
      <c r="A537" s="75" t="s">
        <v>184</v>
      </c>
      <c r="B537" s="83" t="s">
        <v>588</v>
      </c>
      <c r="C537" s="83" t="s">
        <v>18</v>
      </c>
      <c r="D537" s="83" t="s">
        <v>58</v>
      </c>
      <c r="E537" s="83" t="s">
        <v>170</v>
      </c>
      <c r="F537" s="84">
        <v>0</v>
      </c>
      <c r="G537" s="79"/>
      <c r="H537" s="79"/>
      <c r="I537" s="79"/>
      <c r="J537" s="83">
        <v>45946</v>
      </c>
      <c r="K537" s="79">
        <v>45946</v>
      </c>
      <c r="L537" s="83">
        <v>0</v>
      </c>
      <c r="M537" s="83" t="s">
        <v>470</v>
      </c>
      <c r="N537" s="79"/>
      <c r="O537" s="79"/>
      <c r="P537" s="83" t="s">
        <v>185</v>
      </c>
      <c r="Q537" s="79"/>
      <c r="R537"/>
      <c r="S537"/>
    </row>
    <row r="538" spans="1:19" ht="30">
      <c r="A538" s="80" t="s">
        <v>184</v>
      </c>
      <c r="B538" s="79" t="s">
        <v>589</v>
      </c>
      <c r="C538" s="79" t="s">
        <v>22</v>
      </c>
      <c r="D538" s="79" t="s">
        <v>58</v>
      </c>
      <c r="E538" s="79" t="s">
        <v>170</v>
      </c>
      <c r="F538" s="85">
        <v>0</v>
      </c>
      <c r="G538" s="79" t="s">
        <v>570</v>
      </c>
      <c r="H538" s="79"/>
      <c r="I538" s="79" t="s">
        <v>25</v>
      </c>
      <c r="J538" s="83" t="s">
        <v>229</v>
      </c>
      <c r="K538" s="79" t="s">
        <v>229</v>
      </c>
      <c r="L538" s="79">
        <v>0</v>
      </c>
      <c r="M538" s="79" t="s">
        <v>470</v>
      </c>
      <c r="N538" s="79"/>
      <c r="O538" s="79"/>
      <c r="P538" s="79" t="s">
        <v>185</v>
      </c>
      <c r="Q538" s="79"/>
      <c r="R538"/>
      <c r="S538"/>
    </row>
    <row r="539" spans="1:19" ht="30">
      <c r="A539" s="80" t="s">
        <v>184</v>
      </c>
      <c r="B539" s="79" t="s">
        <v>589</v>
      </c>
      <c r="C539" s="79" t="s">
        <v>28</v>
      </c>
      <c r="D539" s="79" t="s">
        <v>58</v>
      </c>
      <c r="E539" s="79" t="s">
        <v>170</v>
      </c>
      <c r="F539" s="85">
        <v>0</v>
      </c>
      <c r="G539" s="79"/>
      <c r="H539" s="79"/>
      <c r="I539" s="79"/>
      <c r="J539" s="79" t="s">
        <v>229</v>
      </c>
      <c r="K539" s="79" t="s">
        <v>229</v>
      </c>
      <c r="L539" s="79">
        <v>0</v>
      </c>
      <c r="M539" s="79" t="s">
        <v>470</v>
      </c>
      <c r="N539" s="79"/>
      <c r="O539" s="79"/>
      <c r="P539" s="79" t="s">
        <v>185</v>
      </c>
      <c r="Q539" s="79"/>
      <c r="R539"/>
      <c r="S539"/>
    </row>
    <row r="540" spans="1:19" ht="30">
      <c r="A540" s="80" t="s">
        <v>184</v>
      </c>
      <c r="B540" s="79" t="s">
        <v>589</v>
      </c>
      <c r="C540" s="79" t="s">
        <v>29</v>
      </c>
      <c r="D540" s="79" t="s">
        <v>58</v>
      </c>
      <c r="E540" s="79" t="s">
        <v>170</v>
      </c>
      <c r="F540" s="85">
        <v>0</v>
      </c>
      <c r="G540" s="79"/>
      <c r="H540" s="79"/>
      <c r="I540" s="79"/>
      <c r="J540" s="83" t="s">
        <v>229</v>
      </c>
      <c r="K540" s="79" t="s">
        <v>229</v>
      </c>
      <c r="L540" s="79">
        <v>0</v>
      </c>
      <c r="M540" s="79" t="s">
        <v>470</v>
      </c>
      <c r="N540" s="79"/>
      <c r="O540" s="79"/>
      <c r="P540" s="79" t="s">
        <v>185</v>
      </c>
      <c r="Q540" s="79"/>
      <c r="R540"/>
      <c r="S540"/>
    </row>
    <row r="541" spans="1:19" ht="30">
      <c r="A541" s="80" t="s">
        <v>184</v>
      </c>
      <c r="B541" s="79" t="s">
        <v>589</v>
      </c>
      <c r="C541" s="79" t="s">
        <v>30</v>
      </c>
      <c r="D541" s="79" t="s">
        <v>58</v>
      </c>
      <c r="E541" s="79" t="s">
        <v>170</v>
      </c>
      <c r="F541" s="85">
        <v>0</v>
      </c>
      <c r="G541" s="79"/>
      <c r="H541" s="79"/>
      <c r="I541" s="79"/>
      <c r="J541" s="79" t="s">
        <v>229</v>
      </c>
      <c r="K541" s="79" t="s">
        <v>229</v>
      </c>
      <c r="L541" s="79">
        <v>0</v>
      </c>
      <c r="M541" s="79" t="s">
        <v>470</v>
      </c>
      <c r="N541" s="79"/>
      <c r="O541" s="79"/>
      <c r="P541" s="79" t="s">
        <v>185</v>
      </c>
      <c r="Q541" s="79"/>
      <c r="R541"/>
      <c r="S541"/>
    </row>
    <row r="542" spans="1:19" ht="30">
      <c r="A542" s="75" t="s">
        <v>184</v>
      </c>
      <c r="B542" s="83" t="s">
        <v>590</v>
      </c>
      <c r="C542" s="83" t="s">
        <v>18</v>
      </c>
      <c r="D542" s="83" t="s">
        <v>33</v>
      </c>
      <c r="E542" s="83" t="s">
        <v>170</v>
      </c>
      <c r="F542" s="84">
        <v>0.1</v>
      </c>
      <c r="G542" s="79"/>
      <c r="H542" s="79"/>
      <c r="I542" s="79"/>
      <c r="J542" s="83">
        <v>45931</v>
      </c>
      <c r="K542" s="79">
        <v>46568</v>
      </c>
      <c r="L542" s="83">
        <v>456</v>
      </c>
      <c r="M542" s="83" t="s">
        <v>470</v>
      </c>
      <c r="N542" s="79"/>
      <c r="O542" s="79"/>
      <c r="P542" s="83" t="s">
        <v>185</v>
      </c>
      <c r="Q542" s="79"/>
      <c r="R542"/>
      <c r="S542"/>
    </row>
    <row r="543" spans="1:19" ht="30">
      <c r="A543" s="80" t="s">
        <v>184</v>
      </c>
      <c r="B543" s="79" t="s">
        <v>591</v>
      </c>
      <c r="C543" s="79" t="s">
        <v>22</v>
      </c>
      <c r="D543" s="79" t="s">
        <v>33</v>
      </c>
      <c r="E543" s="79" t="s">
        <v>170</v>
      </c>
      <c r="F543" s="85">
        <v>0</v>
      </c>
      <c r="G543" s="79" t="s">
        <v>570</v>
      </c>
      <c r="H543" s="79" t="s">
        <v>186</v>
      </c>
      <c r="I543" s="79" t="s">
        <v>25</v>
      </c>
      <c r="J543" s="83" t="s">
        <v>229</v>
      </c>
      <c r="K543" s="79" t="s">
        <v>229</v>
      </c>
      <c r="L543" s="79">
        <v>0</v>
      </c>
      <c r="M543" s="79" t="s">
        <v>470</v>
      </c>
      <c r="N543" s="79"/>
      <c r="O543" s="79"/>
      <c r="P543" s="79" t="s">
        <v>185</v>
      </c>
      <c r="Q543" s="79"/>
      <c r="R543"/>
      <c r="S543"/>
    </row>
    <row r="544" spans="1:19" ht="30">
      <c r="A544" s="80" t="s">
        <v>184</v>
      </c>
      <c r="B544" s="79" t="s">
        <v>591</v>
      </c>
      <c r="C544" s="79" t="s">
        <v>28</v>
      </c>
      <c r="D544" s="79" t="s">
        <v>33</v>
      </c>
      <c r="E544" s="79" t="s">
        <v>170</v>
      </c>
      <c r="F544" s="85">
        <v>0</v>
      </c>
      <c r="G544" s="79"/>
      <c r="H544" s="79"/>
      <c r="I544" s="79"/>
      <c r="J544" s="79" t="s">
        <v>229</v>
      </c>
      <c r="K544" s="79" t="s">
        <v>229</v>
      </c>
      <c r="L544" s="79">
        <v>0</v>
      </c>
      <c r="M544" s="79" t="s">
        <v>470</v>
      </c>
      <c r="N544" s="79"/>
      <c r="O544" s="79"/>
      <c r="P544" s="79" t="s">
        <v>185</v>
      </c>
      <c r="Q544" s="79"/>
      <c r="R544"/>
      <c r="S544"/>
    </row>
    <row r="545" spans="1:19" ht="30">
      <c r="A545" s="80" t="s">
        <v>184</v>
      </c>
      <c r="B545" s="79" t="s">
        <v>591</v>
      </c>
      <c r="C545" s="79" t="s">
        <v>29</v>
      </c>
      <c r="D545" s="79" t="s">
        <v>33</v>
      </c>
      <c r="E545" s="79" t="s">
        <v>170</v>
      </c>
      <c r="F545" s="85">
        <v>0</v>
      </c>
      <c r="G545" s="79"/>
      <c r="H545" s="79"/>
      <c r="I545" s="79"/>
      <c r="J545" s="83" t="s">
        <v>229</v>
      </c>
      <c r="K545" s="79" t="s">
        <v>229</v>
      </c>
      <c r="L545" s="79">
        <v>0</v>
      </c>
      <c r="M545" s="79" t="s">
        <v>470</v>
      </c>
      <c r="N545" s="79"/>
      <c r="O545" s="79"/>
      <c r="P545" s="79" t="s">
        <v>185</v>
      </c>
      <c r="Q545" s="79"/>
      <c r="R545"/>
      <c r="S545"/>
    </row>
    <row r="546" spans="1:19" ht="30">
      <c r="A546" s="80" t="s">
        <v>184</v>
      </c>
      <c r="B546" s="79" t="s">
        <v>591</v>
      </c>
      <c r="C546" s="79" t="s">
        <v>30</v>
      </c>
      <c r="D546" s="79" t="s">
        <v>33</v>
      </c>
      <c r="E546" s="79" t="s">
        <v>170</v>
      </c>
      <c r="F546" s="85">
        <v>0</v>
      </c>
      <c r="G546" s="79"/>
      <c r="H546" s="79"/>
      <c r="I546" s="79"/>
      <c r="J546" s="79" t="s">
        <v>229</v>
      </c>
      <c r="K546" s="79" t="s">
        <v>229</v>
      </c>
      <c r="L546" s="79">
        <v>0</v>
      </c>
      <c r="M546" s="79" t="s">
        <v>470</v>
      </c>
      <c r="N546" s="79"/>
      <c r="O546" s="79"/>
      <c r="P546" s="79" t="s">
        <v>185</v>
      </c>
      <c r="Q546" s="79"/>
      <c r="R546"/>
      <c r="S546"/>
    </row>
    <row r="547" spans="1:19" ht="45">
      <c r="A547" s="75" t="s">
        <v>184</v>
      </c>
      <c r="B547" s="83" t="s">
        <v>592</v>
      </c>
      <c r="C547" s="83"/>
      <c r="D547" s="83" t="s">
        <v>58</v>
      </c>
      <c r="E547" s="83" t="s">
        <v>170</v>
      </c>
      <c r="F547" s="84">
        <v>0.5</v>
      </c>
      <c r="G547" s="79"/>
      <c r="H547" s="79"/>
      <c r="I547" s="79"/>
      <c r="J547" s="83">
        <v>45931</v>
      </c>
      <c r="K547" s="79">
        <v>46094</v>
      </c>
      <c r="L547" s="83">
        <v>118</v>
      </c>
      <c r="M547" s="83" t="s">
        <v>470</v>
      </c>
      <c r="N547" s="79"/>
      <c r="O547" s="79"/>
      <c r="P547" s="83"/>
      <c r="Q547" s="79"/>
      <c r="R547"/>
      <c r="S547"/>
    </row>
    <row r="548" spans="1:19" ht="45">
      <c r="A548" s="80" t="s">
        <v>184</v>
      </c>
      <c r="B548" s="79" t="s">
        <v>593</v>
      </c>
      <c r="C548" s="79" t="s">
        <v>22</v>
      </c>
      <c r="D548" s="79" t="s">
        <v>58</v>
      </c>
      <c r="E548" s="79" t="s">
        <v>170</v>
      </c>
      <c r="F548" s="85">
        <v>0.5</v>
      </c>
      <c r="G548" s="79" t="s">
        <v>570</v>
      </c>
      <c r="H548" s="79" t="s">
        <v>186</v>
      </c>
      <c r="I548" s="79" t="s">
        <v>25</v>
      </c>
      <c r="J548" s="83">
        <v>45931</v>
      </c>
      <c r="K548" s="79">
        <v>46094</v>
      </c>
      <c r="L548" s="79">
        <v>118</v>
      </c>
      <c r="M548" s="79" t="s">
        <v>470</v>
      </c>
      <c r="N548" s="79" t="s">
        <v>26</v>
      </c>
      <c r="O548" s="79" t="s">
        <v>108</v>
      </c>
      <c r="P548" s="79" t="s">
        <v>185</v>
      </c>
      <c r="Q548" s="79"/>
      <c r="R548"/>
      <c r="S548"/>
    </row>
    <row r="549" spans="1:19" ht="45">
      <c r="A549" s="80" t="s">
        <v>184</v>
      </c>
      <c r="B549" s="79" t="s">
        <v>593</v>
      </c>
      <c r="C549" s="79" t="s">
        <v>28</v>
      </c>
      <c r="D549" s="79" t="s">
        <v>58</v>
      </c>
      <c r="E549" s="79" t="s">
        <v>170</v>
      </c>
      <c r="F549" s="85">
        <v>0</v>
      </c>
      <c r="G549" s="79"/>
      <c r="H549" s="79"/>
      <c r="I549" s="79"/>
      <c r="J549" s="79" t="s">
        <v>229</v>
      </c>
      <c r="K549" s="79" t="s">
        <v>229</v>
      </c>
      <c r="L549" s="79">
        <v>0</v>
      </c>
      <c r="M549" s="79" t="s">
        <v>470</v>
      </c>
      <c r="N549" s="79"/>
      <c r="O549" s="79"/>
      <c r="P549" s="79" t="s">
        <v>185</v>
      </c>
      <c r="Q549" s="79"/>
      <c r="R549"/>
      <c r="S549"/>
    </row>
    <row r="550" spans="1:19" ht="45">
      <c r="A550" s="80" t="s">
        <v>184</v>
      </c>
      <c r="B550" s="79" t="s">
        <v>593</v>
      </c>
      <c r="C550" s="79" t="s">
        <v>29</v>
      </c>
      <c r="D550" s="79" t="s">
        <v>58</v>
      </c>
      <c r="E550" s="79" t="s">
        <v>170</v>
      </c>
      <c r="F550" s="85">
        <v>0</v>
      </c>
      <c r="G550" s="79"/>
      <c r="H550" s="79"/>
      <c r="I550" s="79"/>
      <c r="J550" s="83" t="s">
        <v>229</v>
      </c>
      <c r="K550" s="79" t="s">
        <v>229</v>
      </c>
      <c r="L550" s="79">
        <v>0</v>
      </c>
      <c r="M550" s="79" t="s">
        <v>470</v>
      </c>
      <c r="N550" s="79"/>
      <c r="O550" s="79"/>
      <c r="P550" s="79" t="s">
        <v>185</v>
      </c>
      <c r="Q550" s="79"/>
      <c r="R550"/>
      <c r="S550"/>
    </row>
    <row r="551" spans="1:19" ht="45">
      <c r="A551" s="80" t="s">
        <v>184</v>
      </c>
      <c r="B551" s="79" t="s">
        <v>593</v>
      </c>
      <c r="C551" s="79" t="s">
        <v>30</v>
      </c>
      <c r="D551" s="79" t="s">
        <v>58</v>
      </c>
      <c r="E551" s="79" t="s">
        <v>170</v>
      </c>
      <c r="F551" s="85">
        <v>0</v>
      </c>
      <c r="G551" s="79"/>
      <c r="H551" s="79"/>
      <c r="I551" s="79"/>
      <c r="J551" s="79" t="s">
        <v>229</v>
      </c>
      <c r="K551" s="79" t="s">
        <v>229</v>
      </c>
      <c r="L551" s="79">
        <v>0</v>
      </c>
      <c r="M551" s="79" t="s">
        <v>470</v>
      </c>
      <c r="N551" s="79"/>
      <c r="O551" s="79"/>
      <c r="P551" s="79" t="s">
        <v>185</v>
      </c>
      <c r="Q551" s="79"/>
      <c r="R551"/>
      <c r="S551"/>
    </row>
    <row r="552" spans="1:19" ht="30">
      <c r="A552" s="75" t="s">
        <v>184</v>
      </c>
      <c r="B552" s="83" t="s">
        <v>594</v>
      </c>
      <c r="C552" s="83" t="s">
        <v>18</v>
      </c>
      <c r="D552" s="83" t="s">
        <v>58</v>
      </c>
      <c r="E552" s="83" t="s">
        <v>170</v>
      </c>
      <c r="F552" s="84">
        <v>0</v>
      </c>
      <c r="G552" s="79"/>
      <c r="H552" s="79"/>
      <c r="I552" s="79"/>
      <c r="J552" s="83">
        <v>46112</v>
      </c>
      <c r="K552" s="79">
        <v>46203</v>
      </c>
      <c r="L552" s="83">
        <v>66</v>
      </c>
      <c r="M552" s="83" t="s">
        <v>470</v>
      </c>
      <c r="N552" s="79"/>
      <c r="O552" s="79"/>
      <c r="P552" s="83" t="s">
        <v>185</v>
      </c>
      <c r="Q552" s="79"/>
      <c r="R552"/>
      <c r="S552"/>
    </row>
    <row r="553" spans="1:19" ht="30">
      <c r="A553" s="80" t="s">
        <v>184</v>
      </c>
      <c r="B553" s="79" t="s">
        <v>595</v>
      </c>
      <c r="C553" s="79" t="s">
        <v>22</v>
      </c>
      <c r="D553" s="79" t="s">
        <v>58</v>
      </c>
      <c r="E553" s="79" t="s">
        <v>170</v>
      </c>
      <c r="F553" s="85">
        <v>0</v>
      </c>
      <c r="G553" s="79" t="s">
        <v>570</v>
      </c>
      <c r="H553" s="79" t="s">
        <v>186</v>
      </c>
      <c r="I553" s="79" t="s">
        <v>25</v>
      </c>
      <c r="J553" s="83">
        <v>46112</v>
      </c>
      <c r="K553" s="79">
        <v>46112</v>
      </c>
      <c r="L553" s="79">
        <v>1</v>
      </c>
      <c r="M553" s="79" t="s">
        <v>470</v>
      </c>
      <c r="N553" s="79"/>
      <c r="O553" s="79" t="s">
        <v>27</v>
      </c>
      <c r="P553" s="79" t="s">
        <v>185</v>
      </c>
      <c r="Q553" s="79"/>
      <c r="R553"/>
      <c r="S553"/>
    </row>
    <row r="554" spans="1:19" ht="30">
      <c r="A554" s="80" t="s">
        <v>184</v>
      </c>
      <c r="B554" s="79" t="s">
        <v>595</v>
      </c>
      <c r="C554" s="79" t="s">
        <v>28</v>
      </c>
      <c r="D554" s="79" t="s">
        <v>58</v>
      </c>
      <c r="E554" s="79" t="s">
        <v>170</v>
      </c>
      <c r="F554" s="85">
        <v>0</v>
      </c>
      <c r="G554" s="79"/>
      <c r="H554" s="79"/>
      <c r="I554" s="79"/>
      <c r="J554" s="79">
        <v>46113</v>
      </c>
      <c r="K554" s="79">
        <v>46203</v>
      </c>
      <c r="L554" s="79">
        <v>65</v>
      </c>
      <c r="M554" s="79" t="s">
        <v>470</v>
      </c>
      <c r="N554" s="79"/>
      <c r="O554" s="79" t="s">
        <v>27</v>
      </c>
      <c r="P554" s="79" t="s">
        <v>185</v>
      </c>
      <c r="Q554" s="79"/>
      <c r="R554"/>
      <c r="S554"/>
    </row>
    <row r="555" spans="1:19" ht="30">
      <c r="A555" s="80" t="s">
        <v>184</v>
      </c>
      <c r="B555" s="79" t="s">
        <v>595</v>
      </c>
      <c r="C555" s="79" t="s">
        <v>29</v>
      </c>
      <c r="D555" s="79" t="s">
        <v>58</v>
      </c>
      <c r="E555" s="79" t="s">
        <v>170</v>
      </c>
      <c r="F555" s="85">
        <v>0</v>
      </c>
      <c r="G555" s="79"/>
      <c r="H555" s="79"/>
      <c r="I555" s="79"/>
      <c r="J555" s="83">
        <v>46113</v>
      </c>
      <c r="K555" s="79">
        <v>46203</v>
      </c>
      <c r="L555" s="79">
        <v>65</v>
      </c>
      <c r="M555" s="79" t="s">
        <v>470</v>
      </c>
      <c r="N555" s="79"/>
      <c r="O555" s="79" t="s">
        <v>27</v>
      </c>
      <c r="P555" s="79" t="s">
        <v>185</v>
      </c>
      <c r="Q555" s="79"/>
      <c r="R555"/>
      <c r="S555"/>
    </row>
    <row r="556" spans="1:19" ht="30">
      <c r="A556" s="80" t="s">
        <v>184</v>
      </c>
      <c r="B556" s="79" t="s">
        <v>595</v>
      </c>
      <c r="C556" s="79" t="s">
        <v>30</v>
      </c>
      <c r="D556" s="79" t="s">
        <v>58</v>
      </c>
      <c r="E556" s="79" t="s">
        <v>170</v>
      </c>
      <c r="F556" s="85">
        <v>0</v>
      </c>
      <c r="G556" s="79"/>
      <c r="H556" s="79"/>
      <c r="I556" s="79"/>
      <c r="J556" s="79">
        <v>46113</v>
      </c>
      <c r="K556" s="79">
        <v>46203</v>
      </c>
      <c r="L556" s="79">
        <v>65</v>
      </c>
      <c r="M556" s="79" t="s">
        <v>470</v>
      </c>
      <c r="N556" s="79"/>
      <c r="O556" s="79" t="s">
        <v>27</v>
      </c>
      <c r="P556" s="79" t="s">
        <v>185</v>
      </c>
      <c r="Q556" s="79"/>
      <c r="R556"/>
      <c r="S556"/>
    </row>
    <row r="557" spans="1:19" ht="30">
      <c r="A557" s="75" t="s">
        <v>184</v>
      </c>
      <c r="B557" s="83" t="s">
        <v>596</v>
      </c>
      <c r="C557" s="83" t="s">
        <v>18</v>
      </c>
      <c r="D557" s="83" t="s">
        <v>58</v>
      </c>
      <c r="E557" s="83" t="s">
        <v>170</v>
      </c>
      <c r="F557" s="84">
        <v>0</v>
      </c>
      <c r="G557" s="79"/>
      <c r="H557" s="79"/>
      <c r="I557" s="79"/>
      <c r="J557" s="83">
        <v>45946</v>
      </c>
      <c r="K557" s="79">
        <v>45946</v>
      </c>
      <c r="L557" s="83">
        <v>0</v>
      </c>
      <c r="M557" s="83" t="s">
        <v>470</v>
      </c>
      <c r="N557" s="79"/>
      <c r="O557" s="79"/>
      <c r="P557" s="83" t="s">
        <v>185</v>
      </c>
      <c r="Q557" s="79"/>
      <c r="R557"/>
      <c r="S557"/>
    </row>
    <row r="558" spans="1:19" ht="30">
      <c r="A558" s="80" t="s">
        <v>184</v>
      </c>
      <c r="B558" s="79" t="s">
        <v>597</v>
      </c>
      <c r="C558" s="79" t="s">
        <v>22</v>
      </c>
      <c r="D558" s="79" t="s">
        <v>58</v>
      </c>
      <c r="E558" s="79" t="s">
        <v>170</v>
      </c>
      <c r="F558" s="85">
        <v>0</v>
      </c>
      <c r="G558" s="79" t="s">
        <v>570</v>
      </c>
      <c r="H558" s="79" t="s">
        <v>186</v>
      </c>
      <c r="I558" s="79" t="s">
        <v>25</v>
      </c>
      <c r="J558" s="83" t="s">
        <v>229</v>
      </c>
      <c r="K558" s="79" t="s">
        <v>229</v>
      </c>
      <c r="L558" s="79">
        <v>0</v>
      </c>
      <c r="M558" s="79" t="s">
        <v>470</v>
      </c>
      <c r="N558" s="79"/>
      <c r="O558" s="79"/>
      <c r="P558" s="79" t="s">
        <v>185</v>
      </c>
      <c r="Q558" s="79"/>
      <c r="R558"/>
      <c r="S558"/>
    </row>
    <row r="559" spans="1:19" ht="30">
      <c r="A559" s="80" t="s">
        <v>184</v>
      </c>
      <c r="B559" s="79" t="s">
        <v>597</v>
      </c>
      <c r="C559" s="79" t="s">
        <v>28</v>
      </c>
      <c r="D559" s="79" t="s">
        <v>58</v>
      </c>
      <c r="E559" s="79" t="s">
        <v>170</v>
      </c>
      <c r="F559" s="85">
        <v>0</v>
      </c>
      <c r="G559" s="79"/>
      <c r="H559" s="79"/>
      <c r="I559" s="79"/>
      <c r="J559" s="79" t="s">
        <v>229</v>
      </c>
      <c r="K559" s="79" t="s">
        <v>229</v>
      </c>
      <c r="L559" s="79">
        <v>0</v>
      </c>
      <c r="M559" s="79" t="s">
        <v>470</v>
      </c>
      <c r="N559" s="79"/>
      <c r="O559" s="79"/>
      <c r="P559" s="79" t="s">
        <v>185</v>
      </c>
      <c r="Q559" s="79"/>
      <c r="R559"/>
      <c r="S559"/>
    </row>
    <row r="560" spans="1:19" ht="30">
      <c r="A560" s="80" t="s">
        <v>184</v>
      </c>
      <c r="B560" s="79" t="s">
        <v>597</v>
      </c>
      <c r="C560" s="79" t="s">
        <v>29</v>
      </c>
      <c r="D560" s="79" t="s">
        <v>58</v>
      </c>
      <c r="E560" s="79" t="s">
        <v>170</v>
      </c>
      <c r="F560" s="85">
        <v>0</v>
      </c>
      <c r="G560" s="79"/>
      <c r="H560" s="79"/>
      <c r="I560" s="79"/>
      <c r="J560" s="83" t="s">
        <v>229</v>
      </c>
      <c r="K560" s="79" t="s">
        <v>229</v>
      </c>
      <c r="L560" s="79">
        <v>0</v>
      </c>
      <c r="M560" s="79" t="s">
        <v>470</v>
      </c>
      <c r="N560" s="79"/>
      <c r="O560" s="79"/>
      <c r="P560" s="79" t="s">
        <v>185</v>
      </c>
      <c r="Q560" s="79"/>
      <c r="R560"/>
      <c r="S560"/>
    </row>
    <row r="561" spans="1:19" ht="30">
      <c r="A561" s="80" t="s">
        <v>184</v>
      </c>
      <c r="B561" s="79" t="s">
        <v>597</v>
      </c>
      <c r="C561" s="79" t="s">
        <v>30</v>
      </c>
      <c r="D561" s="79" t="s">
        <v>58</v>
      </c>
      <c r="E561" s="79" t="s">
        <v>170</v>
      </c>
      <c r="F561" s="85">
        <v>0</v>
      </c>
      <c r="G561" s="79"/>
      <c r="H561" s="79"/>
      <c r="I561" s="79"/>
      <c r="J561" s="79" t="s">
        <v>229</v>
      </c>
      <c r="K561" s="79" t="s">
        <v>229</v>
      </c>
      <c r="L561" s="79">
        <v>0</v>
      </c>
      <c r="M561" s="79" t="s">
        <v>470</v>
      </c>
      <c r="N561" s="79"/>
      <c r="O561" s="79"/>
      <c r="P561" s="79" t="s">
        <v>185</v>
      </c>
      <c r="Q561" s="79"/>
      <c r="R561"/>
      <c r="S561"/>
    </row>
    <row r="562" spans="1:19" ht="30">
      <c r="A562" s="75" t="s">
        <v>184</v>
      </c>
      <c r="B562" s="83" t="s">
        <v>445</v>
      </c>
      <c r="C562" s="83" t="s">
        <v>18</v>
      </c>
      <c r="D562" s="83" t="s">
        <v>58</v>
      </c>
      <c r="E562" s="83" t="s">
        <v>170</v>
      </c>
      <c r="F562" s="84">
        <v>0</v>
      </c>
      <c r="G562" s="79"/>
      <c r="H562" s="79"/>
      <c r="I562" s="79"/>
      <c r="J562" s="83">
        <v>46023</v>
      </c>
      <c r="K562" s="79">
        <v>46568</v>
      </c>
      <c r="L562" s="83">
        <v>390</v>
      </c>
      <c r="M562" s="83" t="s">
        <v>470</v>
      </c>
      <c r="N562" s="79"/>
      <c r="O562" s="79"/>
      <c r="P562" s="83" t="s">
        <v>185</v>
      </c>
      <c r="Q562" s="79"/>
      <c r="R562"/>
      <c r="S562"/>
    </row>
    <row r="563" spans="1:19" ht="30">
      <c r="A563" s="80" t="s">
        <v>184</v>
      </c>
      <c r="B563" s="79" t="s">
        <v>598</v>
      </c>
      <c r="C563" s="79" t="s">
        <v>22</v>
      </c>
      <c r="D563" s="79" t="s">
        <v>58</v>
      </c>
      <c r="E563" s="79" t="s">
        <v>170</v>
      </c>
      <c r="F563" s="85">
        <v>0</v>
      </c>
      <c r="G563" s="79" t="s">
        <v>570</v>
      </c>
      <c r="H563" s="79" t="s">
        <v>186</v>
      </c>
      <c r="I563" s="79" t="s">
        <v>25</v>
      </c>
      <c r="J563" s="83">
        <v>46023</v>
      </c>
      <c r="K563" s="79">
        <v>46387</v>
      </c>
      <c r="L563" s="79">
        <v>261</v>
      </c>
      <c r="M563" s="79" t="s">
        <v>470</v>
      </c>
      <c r="N563" s="79" t="s">
        <v>43</v>
      </c>
      <c r="O563" s="79" t="s">
        <v>26</v>
      </c>
      <c r="P563" s="79" t="s">
        <v>185</v>
      </c>
      <c r="Q563" s="79"/>
      <c r="R563"/>
      <c r="S563"/>
    </row>
    <row r="564" spans="1:19" ht="30">
      <c r="A564" s="80" t="s">
        <v>184</v>
      </c>
      <c r="B564" s="79" t="s">
        <v>598</v>
      </c>
      <c r="C564" s="79" t="s">
        <v>28</v>
      </c>
      <c r="D564" s="79" t="s">
        <v>58</v>
      </c>
      <c r="E564" s="79" t="s">
        <v>170</v>
      </c>
      <c r="F564" s="85">
        <v>0</v>
      </c>
      <c r="G564" s="79"/>
      <c r="H564" s="79"/>
      <c r="I564" s="79"/>
      <c r="J564" s="79">
        <v>46388</v>
      </c>
      <c r="K564" s="79">
        <v>46568</v>
      </c>
      <c r="L564" s="79">
        <v>129</v>
      </c>
      <c r="M564" s="79" t="s">
        <v>470</v>
      </c>
      <c r="N564" s="79"/>
      <c r="O564" s="79" t="s">
        <v>27</v>
      </c>
      <c r="P564" s="79" t="s">
        <v>185</v>
      </c>
      <c r="Q564" s="79"/>
      <c r="R564"/>
      <c r="S564"/>
    </row>
    <row r="565" spans="1:19" ht="30">
      <c r="A565" s="80" t="s">
        <v>184</v>
      </c>
      <c r="B565" s="79" t="s">
        <v>598</v>
      </c>
      <c r="C565" s="79" t="s">
        <v>29</v>
      </c>
      <c r="D565" s="79" t="s">
        <v>58</v>
      </c>
      <c r="E565" s="79" t="s">
        <v>170</v>
      </c>
      <c r="F565" s="85">
        <v>0</v>
      </c>
      <c r="G565" s="79"/>
      <c r="H565" s="79"/>
      <c r="I565" s="79"/>
      <c r="J565" s="83">
        <v>46388</v>
      </c>
      <c r="K565" s="79">
        <v>46568</v>
      </c>
      <c r="L565" s="79">
        <v>129</v>
      </c>
      <c r="M565" s="79" t="s">
        <v>470</v>
      </c>
      <c r="N565" s="79"/>
      <c r="O565" s="79" t="s">
        <v>27</v>
      </c>
      <c r="P565" s="79" t="s">
        <v>185</v>
      </c>
      <c r="Q565" s="79"/>
      <c r="R565"/>
      <c r="S565"/>
    </row>
    <row r="566" spans="1:19" ht="30">
      <c r="A566" s="80" t="s">
        <v>184</v>
      </c>
      <c r="B566" s="79" t="s">
        <v>598</v>
      </c>
      <c r="C566" s="79" t="s">
        <v>30</v>
      </c>
      <c r="D566" s="79" t="s">
        <v>58</v>
      </c>
      <c r="E566" s="79" t="s">
        <v>170</v>
      </c>
      <c r="F566" s="85">
        <v>0</v>
      </c>
      <c r="G566" s="79"/>
      <c r="H566" s="79"/>
      <c r="I566" s="79"/>
      <c r="J566" s="79">
        <v>46388</v>
      </c>
      <c r="K566" s="79">
        <v>46568</v>
      </c>
      <c r="L566" s="79">
        <v>129</v>
      </c>
      <c r="M566" s="79" t="s">
        <v>470</v>
      </c>
      <c r="N566" s="79"/>
      <c r="O566" s="79" t="s">
        <v>27</v>
      </c>
      <c r="P566" s="79" t="s">
        <v>185</v>
      </c>
      <c r="Q566" s="79"/>
      <c r="R566"/>
      <c r="S566"/>
    </row>
    <row r="567" spans="1:19" ht="30">
      <c r="A567" s="75" t="s">
        <v>184</v>
      </c>
      <c r="B567" s="83" t="s">
        <v>599</v>
      </c>
      <c r="C567" s="83" t="s">
        <v>18</v>
      </c>
      <c r="D567" s="83" t="s">
        <v>58</v>
      </c>
      <c r="E567" s="83" t="s">
        <v>170</v>
      </c>
      <c r="F567" s="84">
        <v>0</v>
      </c>
      <c r="G567" s="79"/>
      <c r="H567" s="79"/>
      <c r="I567" s="79"/>
      <c r="J567" s="83">
        <v>45946</v>
      </c>
      <c r="K567" s="79">
        <v>45946</v>
      </c>
      <c r="L567" s="83">
        <v>0</v>
      </c>
      <c r="M567" s="83" t="s">
        <v>470</v>
      </c>
      <c r="N567" s="79"/>
      <c r="O567" s="79"/>
      <c r="P567" s="83" t="s">
        <v>185</v>
      </c>
      <c r="Q567" s="79"/>
      <c r="R567"/>
      <c r="S567"/>
    </row>
    <row r="568" spans="1:19" ht="30">
      <c r="A568" s="80" t="s">
        <v>184</v>
      </c>
      <c r="B568" s="79" t="s">
        <v>600</v>
      </c>
      <c r="C568" s="79" t="s">
        <v>22</v>
      </c>
      <c r="D568" s="79" t="s">
        <v>58</v>
      </c>
      <c r="E568" s="79" t="s">
        <v>170</v>
      </c>
      <c r="F568" s="85">
        <v>0</v>
      </c>
      <c r="G568" s="79" t="s">
        <v>570</v>
      </c>
      <c r="H568" s="79" t="s">
        <v>186</v>
      </c>
      <c r="I568" s="79" t="s">
        <v>25</v>
      </c>
      <c r="J568" s="83" t="s">
        <v>229</v>
      </c>
      <c r="K568" s="79" t="s">
        <v>229</v>
      </c>
      <c r="L568" s="79">
        <v>0</v>
      </c>
      <c r="M568" s="79" t="s">
        <v>470</v>
      </c>
      <c r="N568" s="79"/>
      <c r="O568" s="79"/>
      <c r="P568" s="79" t="s">
        <v>185</v>
      </c>
      <c r="Q568" s="79"/>
      <c r="R568"/>
      <c r="S568"/>
    </row>
    <row r="569" spans="1:19" ht="30">
      <c r="A569" s="80" t="s">
        <v>184</v>
      </c>
      <c r="B569" s="79" t="s">
        <v>600</v>
      </c>
      <c r="C569" s="79" t="s">
        <v>28</v>
      </c>
      <c r="D569" s="79" t="s">
        <v>58</v>
      </c>
      <c r="E569" s="79" t="s">
        <v>170</v>
      </c>
      <c r="F569" s="85">
        <v>0</v>
      </c>
      <c r="G569" s="79"/>
      <c r="H569" s="79"/>
      <c r="I569" s="79"/>
      <c r="J569" s="79" t="s">
        <v>229</v>
      </c>
      <c r="K569" s="79" t="s">
        <v>229</v>
      </c>
      <c r="L569" s="79">
        <v>0</v>
      </c>
      <c r="M569" s="79" t="s">
        <v>470</v>
      </c>
      <c r="N569" s="79"/>
      <c r="O569" s="79"/>
      <c r="P569" s="79" t="s">
        <v>185</v>
      </c>
      <c r="Q569" s="79"/>
      <c r="R569"/>
      <c r="S569"/>
    </row>
    <row r="570" spans="1:19" ht="30">
      <c r="A570" s="80" t="s">
        <v>184</v>
      </c>
      <c r="B570" s="79" t="s">
        <v>600</v>
      </c>
      <c r="C570" s="79" t="s">
        <v>29</v>
      </c>
      <c r="D570" s="79" t="s">
        <v>58</v>
      </c>
      <c r="E570" s="79" t="s">
        <v>170</v>
      </c>
      <c r="F570" s="85">
        <v>0</v>
      </c>
      <c r="G570" s="79"/>
      <c r="H570" s="79"/>
      <c r="I570" s="79"/>
      <c r="J570" s="83" t="s">
        <v>229</v>
      </c>
      <c r="K570" s="79" t="s">
        <v>229</v>
      </c>
      <c r="L570" s="79">
        <v>0</v>
      </c>
      <c r="M570" s="79" t="s">
        <v>470</v>
      </c>
      <c r="N570" s="79"/>
      <c r="O570" s="79"/>
      <c r="P570" s="79" t="s">
        <v>185</v>
      </c>
      <c r="Q570" s="79"/>
      <c r="R570"/>
      <c r="S570"/>
    </row>
    <row r="571" spans="1:19" ht="30">
      <c r="A571" s="80" t="s">
        <v>184</v>
      </c>
      <c r="B571" s="79" t="s">
        <v>600</v>
      </c>
      <c r="C571" s="79" t="s">
        <v>30</v>
      </c>
      <c r="D571" s="79" t="s">
        <v>58</v>
      </c>
      <c r="E571" s="79" t="s">
        <v>170</v>
      </c>
      <c r="F571" s="85">
        <v>0</v>
      </c>
      <c r="G571" s="79"/>
      <c r="H571" s="79"/>
      <c r="I571" s="79"/>
      <c r="J571" s="79" t="s">
        <v>229</v>
      </c>
      <c r="K571" s="79" t="s">
        <v>229</v>
      </c>
      <c r="L571" s="79">
        <v>0</v>
      </c>
      <c r="M571" s="79" t="s">
        <v>470</v>
      </c>
      <c r="N571" s="79"/>
      <c r="O571" s="79"/>
      <c r="P571" s="79" t="s">
        <v>185</v>
      </c>
      <c r="Q571" s="79"/>
      <c r="R571"/>
      <c r="S571"/>
    </row>
    <row r="572" spans="1:19" ht="30">
      <c r="A572" s="75" t="s">
        <v>184</v>
      </c>
      <c r="B572" s="83" t="s">
        <v>601</v>
      </c>
      <c r="C572" s="83" t="s">
        <v>18</v>
      </c>
      <c r="D572" s="83" t="s">
        <v>58</v>
      </c>
      <c r="E572" s="83" t="s">
        <v>170</v>
      </c>
      <c r="F572" s="84">
        <v>0</v>
      </c>
      <c r="G572" s="79"/>
      <c r="H572" s="79"/>
      <c r="I572" s="79"/>
      <c r="J572" s="83">
        <v>46037</v>
      </c>
      <c r="K572" s="79">
        <v>46204</v>
      </c>
      <c r="L572" s="83">
        <v>120</v>
      </c>
      <c r="M572" s="83" t="s">
        <v>470</v>
      </c>
      <c r="N572" s="79"/>
      <c r="O572" s="79"/>
      <c r="P572" s="83" t="s">
        <v>185</v>
      </c>
      <c r="Q572" s="79"/>
      <c r="R572"/>
      <c r="S572"/>
    </row>
    <row r="573" spans="1:19" ht="30">
      <c r="A573" s="80" t="s">
        <v>184</v>
      </c>
      <c r="B573" s="79" t="s">
        <v>602</v>
      </c>
      <c r="C573" s="79" t="s">
        <v>22</v>
      </c>
      <c r="D573" s="79" t="s">
        <v>58</v>
      </c>
      <c r="E573" s="79" t="s">
        <v>170</v>
      </c>
      <c r="F573" s="85">
        <v>0</v>
      </c>
      <c r="G573" s="79" t="s">
        <v>570</v>
      </c>
      <c r="H573" s="79" t="s">
        <v>186</v>
      </c>
      <c r="I573" s="79" t="s">
        <v>25</v>
      </c>
      <c r="J573" s="83">
        <v>46037</v>
      </c>
      <c r="K573" s="79">
        <v>46112</v>
      </c>
      <c r="L573" s="79">
        <v>54</v>
      </c>
      <c r="M573" s="79" t="s">
        <v>470</v>
      </c>
      <c r="N573" s="79" t="s">
        <v>43</v>
      </c>
      <c r="O573" s="79" t="s">
        <v>26</v>
      </c>
      <c r="P573" s="79" t="s">
        <v>185</v>
      </c>
      <c r="Q573" s="79"/>
      <c r="R573"/>
      <c r="S573"/>
    </row>
    <row r="574" spans="1:19" ht="30">
      <c r="A574" s="80" t="s">
        <v>184</v>
      </c>
      <c r="B574" s="79" t="s">
        <v>602</v>
      </c>
      <c r="C574" s="79" t="s">
        <v>28</v>
      </c>
      <c r="D574" s="79" t="s">
        <v>58</v>
      </c>
      <c r="E574" s="79" t="s">
        <v>170</v>
      </c>
      <c r="F574" s="85">
        <v>0</v>
      </c>
      <c r="G574" s="79"/>
      <c r="H574" s="79"/>
      <c r="I574" s="79"/>
      <c r="J574" s="79">
        <v>46113</v>
      </c>
      <c r="K574" s="79">
        <v>46204</v>
      </c>
      <c r="L574" s="79">
        <v>66</v>
      </c>
      <c r="M574" s="79" t="s">
        <v>470</v>
      </c>
      <c r="N574" s="79"/>
      <c r="O574" s="79" t="s">
        <v>27</v>
      </c>
      <c r="P574" s="79" t="s">
        <v>185</v>
      </c>
      <c r="Q574" s="79"/>
      <c r="R574"/>
      <c r="S574"/>
    </row>
    <row r="575" spans="1:19" ht="30">
      <c r="A575" s="80" t="s">
        <v>184</v>
      </c>
      <c r="B575" s="79" t="s">
        <v>602</v>
      </c>
      <c r="C575" s="79" t="s">
        <v>29</v>
      </c>
      <c r="D575" s="79" t="s">
        <v>58</v>
      </c>
      <c r="E575" s="79" t="s">
        <v>170</v>
      </c>
      <c r="F575" s="85">
        <v>0</v>
      </c>
      <c r="G575" s="79"/>
      <c r="H575" s="79"/>
      <c r="I575" s="79"/>
      <c r="J575" s="83">
        <v>46113</v>
      </c>
      <c r="K575" s="79">
        <v>46204</v>
      </c>
      <c r="L575" s="79">
        <v>66</v>
      </c>
      <c r="M575" s="79" t="s">
        <v>470</v>
      </c>
      <c r="N575" s="79"/>
      <c r="O575" s="79" t="s">
        <v>27</v>
      </c>
      <c r="P575" s="79" t="s">
        <v>185</v>
      </c>
      <c r="Q575" s="79"/>
      <c r="R575"/>
      <c r="S575"/>
    </row>
    <row r="576" spans="1:19" ht="30">
      <c r="A576" s="80" t="s">
        <v>184</v>
      </c>
      <c r="B576" s="79" t="s">
        <v>602</v>
      </c>
      <c r="C576" s="79" t="s">
        <v>30</v>
      </c>
      <c r="D576" s="79" t="s">
        <v>58</v>
      </c>
      <c r="E576" s="79" t="s">
        <v>170</v>
      </c>
      <c r="F576" s="85">
        <v>0</v>
      </c>
      <c r="G576" s="79"/>
      <c r="H576" s="79"/>
      <c r="I576" s="79"/>
      <c r="J576" s="79">
        <v>46113</v>
      </c>
      <c r="K576" s="79">
        <v>46204</v>
      </c>
      <c r="L576" s="79">
        <v>66</v>
      </c>
      <c r="M576" s="79" t="s">
        <v>470</v>
      </c>
      <c r="N576" s="79"/>
      <c r="O576" s="79" t="s">
        <v>27</v>
      </c>
      <c r="P576" s="79" t="s">
        <v>185</v>
      </c>
      <c r="Q576" s="79"/>
      <c r="R576"/>
      <c r="S576"/>
    </row>
    <row r="577" spans="1:19" ht="30">
      <c r="A577" s="75" t="s">
        <v>39</v>
      </c>
      <c r="B577" s="76" t="s">
        <v>603</v>
      </c>
      <c r="C577" s="76" t="s">
        <v>18</v>
      </c>
      <c r="D577" s="76" t="s">
        <v>19</v>
      </c>
      <c r="E577" s="76" t="s">
        <v>170</v>
      </c>
      <c r="F577" s="77">
        <v>0</v>
      </c>
      <c r="G577" s="78"/>
      <c r="H577" s="78"/>
      <c r="I577" s="78"/>
      <c r="J577" s="76">
        <v>46127</v>
      </c>
      <c r="K577" s="79">
        <v>46203</v>
      </c>
      <c r="L577" s="76">
        <v>55</v>
      </c>
      <c r="M577" s="76" t="s">
        <v>470</v>
      </c>
      <c r="N577" s="78"/>
      <c r="O577" s="78"/>
      <c r="P577" s="76" t="s">
        <v>200</v>
      </c>
      <c r="Q577" s="79"/>
      <c r="R577"/>
      <c r="S577"/>
    </row>
    <row r="578" spans="1:19" ht="30">
      <c r="A578" s="80" t="s">
        <v>39</v>
      </c>
      <c r="B578" s="78" t="s">
        <v>604</v>
      </c>
      <c r="C578" s="78" t="s">
        <v>22</v>
      </c>
      <c r="D578" s="78" t="s">
        <v>19</v>
      </c>
      <c r="E578" s="78" t="s">
        <v>170</v>
      </c>
      <c r="F578" s="81">
        <v>0</v>
      </c>
      <c r="G578" s="78" t="s">
        <v>147</v>
      </c>
      <c r="H578" s="78" t="s">
        <v>201</v>
      </c>
      <c r="I578" s="78" t="s">
        <v>139</v>
      </c>
      <c r="J578" s="78">
        <v>46127</v>
      </c>
      <c r="K578" s="86">
        <v>46203</v>
      </c>
      <c r="L578" s="78">
        <v>55</v>
      </c>
      <c r="M578" s="78" t="s">
        <v>470</v>
      </c>
      <c r="N578" s="78"/>
      <c r="O578" s="78" t="s">
        <v>27</v>
      </c>
      <c r="P578" s="78" t="s">
        <v>200</v>
      </c>
      <c r="Q578" s="79"/>
      <c r="R578"/>
      <c r="S578"/>
    </row>
    <row r="579" spans="1:19" ht="30">
      <c r="A579" s="80" t="s">
        <v>39</v>
      </c>
      <c r="B579" s="78" t="s">
        <v>604</v>
      </c>
      <c r="C579" s="78" t="s">
        <v>28</v>
      </c>
      <c r="D579" s="78" t="s">
        <v>19</v>
      </c>
      <c r="E579" s="78" t="s">
        <v>170</v>
      </c>
      <c r="F579" s="81">
        <v>0</v>
      </c>
      <c r="G579" s="78"/>
      <c r="H579" s="78"/>
      <c r="I579" s="78"/>
      <c r="J579" s="78" t="s">
        <v>229</v>
      </c>
      <c r="K579" s="86" t="s">
        <v>229</v>
      </c>
      <c r="L579" s="78">
        <v>0</v>
      </c>
      <c r="M579" s="78" t="s">
        <v>470</v>
      </c>
      <c r="N579" s="78"/>
      <c r="O579" s="78"/>
      <c r="P579" s="78" t="s">
        <v>200</v>
      </c>
      <c r="Q579" s="79"/>
      <c r="R579"/>
      <c r="S579"/>
    </row>
    <row r="580" spans="1:19" ht="30">
      <c r="A580" s="80" t="s">
        <v>39</v>
      </c>
      <c r="B580" s="78" t="s">
        <v>604</v>
      </c>
      <c r="C580" s="78" t="s">
        <v>29</v>
      </c>
      <c r="D580" s="78" t="s">
        <v>19</v>
      </c>
      <c r="E580" s="78" t="s">
        <v>170</v>
      </c>
      <c r="F580" s="81">
        <v>0</v>
      </c>
      <c r="G580" s="78"/>
      <c r="H580" s="78"/>
      <c r="I580" s="78"/>
      <c r="J580" s="78" t="s">
        <v>229</v>
      </c>
      <c r="K580" s="86" t="s">
        <v>229</v>
      </c>
      <c r="L580" s="78">
        <v>0</v>
      </c>
      <c r="M580" s="78" t="s">
        <v>470</v>
      </c>
      <c r="N580" s="78"/>
      <c r="O580" s="78"/>
      <c r="P580" s="78" t="s">
        <v>200</v>
      </c>
      <c r="Q580" s="79"/>
      <c r="R580"/>
      <c r="S580"/>
    </row>
    <row r="581" spans="1:19" ht="30">
      <c r="A581" s="80" t="s">
        <v>39</v>
      </c>
      <c r="B581" s="78" t="s">
        <v>604</v>
      </c>
      <c r="C581" s="78" t="s">
        <v>30</v>
      </c>
      <c r="D581" s="78" t="s">
        <v>19</v>
      </c>
      <c r="E581" s="78" t="s">
        <v>170</v>
      </c>
      <c r="F581" s="81">
        <v>0</v>
      </c>
      <c r="G581" s="78"/>
      <c r="H581" s="78"/>
      <c r="I581" s="78"/>
      <c r="J581" s="78" t="s">
        <v>229</v>
      </c>
      <c r="K581" s="86" t="s">
        <v>229</v>
      </c>
      <c r="L581" s="78">
        <v>0</v>
      </c>
      <c r="M581" s="78" t="s">
        <v>470</v>
      </c>
      <c r="N581" s="78"/>
      <c r="O581" s="78"/>
      <c r="P581" s="78" t="s">
        <v>200</v>
      </c>
      <c r="Q581" s="79"/>
      <c r="R581"/>
      <c r="S581"/>
    </row>
    <row r="582" spans="1:19">
      <c r="A582" s="75" t="s">
        <v>39</v>
      </c>
      <c r="B582" s="76" t="s">
        <v>605</v>
      </c>
      <c r="C582" s="76" t="s">
        <v>18</v>
      </c>
      <c r="D582" s="76" t="s">
        <v>19</v>
      </c>
      <c r="E582" s="76" t="s">
        <v>170</v>
      </c>
      <c r="F582" s="77">
        <v>0.75</v>
      </c>
      <c r="G582" s="78"/>
      <c r="H582" s="78"/>
      <c r="I582" s="78"/>
      <c r="J582" s="76">
        <v>46042</v>
      </c>
      <c r="K582" s="79">
        <v>46203</v>
      </c>
      <c r="L582" s="76">
        <v>116</v>
      </c>
      <c r="M582" s="76" t="s">
        <v>557</v>
      </c>
      <c r="N582" s="78"/>
      <c r="O582" s="78"/>
      <c r="P582" s="76" t="s">
        <v>202</v>
      </c>
      <c r="Q582" s="79"/>
      <c r="R582"/>
      <c r="S582"/>
    </row>
    <row r="583" spans="1:19" ht="30">
      <c r="A583" s="80" t="s">
        <v>39</v>
      </c>
      <c r="B583" s="78" t="s">
        <v>606</v>
      </c>
      <c r="C583" s="78" t="s">
        <v>22</v>
      </c>
      <c r="D583" s="78" t="s">
        <v>19</v>
      </c>
      <c r="E583" s="78" t="s">
        <v>170</v>
      </c>
      <c r="F583" s="81">
        <v>0.75</v>
      </c>
      <c r="G583" s="78" t="s">
        <v>147</v>
      </c>
      <c r="H583" s="78" t="s">
        <v>395</v>
      </c>
      <c r="I583" s="78" t="s">
        <v>139</v>
      </c>
      <c r="J583" s="78">
        <v>46042</v>
      </c>
      <c r="K583" s="79">
        <v>46078</v>
      </c>
      <c r="L583" s="78">
        <v>27</v>
      </c>
      <c r="M583" s="78" t="s">
        <v>470</v>
      </c>
      <c r="N583" s="78" t="s">
        <v>26</v>
      </c>
      <c r="O583" s="78" t="s">
        <v>108</v>
      </c>
      <c r="P583" s="78" t="s">
        <v>202</v>
      </c>
      <c r="Q583" s="79"/>
      <c r="R583"/>
      <c r="S583"/>
    </row>
    <row r="584" spans="1:19">
      <c r="A584" s="80" t="s">
        <v>39</v>
      </c>
      <c r="B584" s="78" t="s">
        <v>606</v>
      </c>
      <c r="C584" s="78" t="s">
        <v>28</v>
      </c>
      <c r="D584" s="78" t="s">
        <v>19</v>
      </c>
      <c r="E584" s="78" t="s">
        <v>170</v>
      </c>
      <c r="F584" s="81">
        <v>0</v>
      </c>
      <c r="G584" s="78"/>
      <c r="H584" s="78"/>
      <c r="I584" s="78"/>
      <c r="J584" s="78">
        <v>46127</v>
      </c>
      <c r="K584" s="79">
        <v>46203</v>
      </c>
      <c r="L584" s="78">
        <v>55</v>
      </c>
      <c r="M584" s="78" t="s">
        <v>470</v>
      </c>
      <c r="N584" s="78"/>
      <c r="O584" s="78" t="s">
        <v>27</v>
      </c>
      <c r="P584" s="78" t="s">
        <v>202</v>
      </c>
      <c r="Q584" s="79"/>
      <c r="R584"/>
      <c r="S584"/>
    </row>
    <row r="585" spans="1:19">
      <c r="A585" s="80" t="s">
        <v>39</v>
      </c>
      <c r="B585" s="78" t="s">
        <v>606</v>
      </c>
      <c r="C585" s="78" t="s">
        <v>29</v>
      </c>
      <c r="D585" s="78" t="s">
        <v>19</v>
      </c>
      <c r="E585" s="78" t="s">
        <v>170</v>
      </c>
      <c r="F585" s="81">
        <v>0</v>
      </c>
      <c r="G585" s="78"/>
      <c r="H585" s="78"/>
      <c r="I585" s="78"/>
      <c r="J585" s="78" t="s">
        <v>229</v>
      </c>
      <c r="K585" s="79" t="s">
        <v>229</v>
      </c>
      <c r="L585" s="78">
        <v>0</v>
      </c>
      <c r="M585" s="78" t="s">
        <v>470</v>
      </c>
      <c r="N585" s="78"/>
      <c r="O585" s="78"/>
      <c r="P585" s="78" t="s">
        <v>202</v>
      </c>
      <c r="Q585" s="79"/>
      <c r="R585"/>
      <c r="S585"/>
    </row>
    <row r="586" spans="1:19">
      <c r="A586" s="80" t="s">
        <v>39</v>
      </c>
      <c r="B586" s="78" t="s">
        <v>606</v>
      </c>
      <c r="C586" s="78" t="s">
        <v>30</v>
      </c>
      <c r="D586" s="78" t="s">
        <v>19</v>
      </c>
      <c r="E586" s="78" t="s">
        <v>170</v>
      </c>
      <c r="F586" s="81">
        <v>0</v>
      </c>
      <c r="G586" s="78"/>
      <c r="H586" s="78"/>
      <c r="I586" s="78"/>
      <c r="J586" s="78" t="s">
        <v>229</v>
      </c>
      <c r="K586" s="79" t="s">
        <v>229</v>
      </c>
      <c r="L586" s="78">
        <v>0</v>
      </c>
      <c r="M586" s="78" t="s">
        <v>470</v>
      </c>
      <c r="N586" s="78"/>
      <c r="O586" s="78"/>
      <c r="P586" s="78" t="s">
        <v>202</v>
      </c>
      <c r="Q586" s="79"/>
      <c r="R586"/>
      <c r="S586"/>
    </row>
    <row r="587" spans="1:19">
      <c r="A587" s="75" t="s">
        <v>39</v>
      </c>
      <c r="B587" s="76" t="s">
        <v>607</v>
      </c>
      <c r="C587" s="76" t="s">
        <v>18</v>
      </c>
      <c r="D587" s="76" t="s">
        <v>19</v>
      </c>
      <c r="E587" s="76" t="s">
        <v>170</v>
      </c>
      <c r="F587" s="77">
        <v>0</v>
      </c>
      <c r="G587" s="78"/>
      <c r="H587" s="78"/>
      <c r="I587" s="78"/>
      <c r="J587" s="76">
        <v>45946</v>
      </c>
      <c r="K587" s="79">
        <v>45946</v>
      </c>
      <c r="L587" s="76">
        <v>0</v>
      </c>
      <c r="M587" s="76" t="s">
        <v>470</v>
      </c>
      <c r="N587" s="78"/>
      <c r="O587" s="78"/>
      <c r="P587" s="76" t="s">
        <v>203</v>
      </c>
      <c r="Q587" s="79"/>
      <c r="R587"/>
      <c r="S587"/>
    </row>
    <row r="588" spans="1:19" ht="30">
      <c r="A588" s="80" t="s">
        <v>39</v>
      </c>
      <c r="B588" s="78" t="s">
        <v>608</v>
      </c>
      <c r="C588" s="78" t="s">
        <v>22</v>
      </c>
      <c r="D588" s="78" t="s">
        <v>19</v>
      </c>
      <c r="E588" s="78" t="s">
        <v>170</v>
      </c>
      <c r="F588" s="81">
        <v>0</v>
      </c>
      <c r="G588" s="78" t="s">
        <v>500</v>
      </c>
      <c r="H588" s="78" t="s">
        <v>609</v>
      </c>
      <c r="I588" s="78" t="s">
        <v>139</v>
      </c>
      <c r="J588" s="78" t="s">
        <v>229</v>
      </c>
      <c r="K588" s="86" t="s">
        <v>229</v>
      </c>
      <c r="L588" s="78">
        <v>0</v>
      </c>
      <c r="M588" s="78" t="s">
        <v>470</v>
      </c>
      <c r="N588" s="78"/>
      <c r="O588" s="78"/>
      <c r="P588" s="78" t="s">
        <v>203</v>
      </c>
      <c r="Q588" s="79"/>
      <c r="R588"/>
      <c r="S588"/>
    </row>
    <row r="589" spans="1:19">
      <c r="A589" s="80" t="s">
        <v>39</v>
      </c>
      <c r="B589" s="78" t="s">
        <v>608</v>
      </c>
      <c r="C589" s="78" t="s">
        <v>28</v>
      </c>
      <c r="D589" s="78" t="s">
        <v>19</v>
      </c>
      <c r="E589" s="78" t="s">
        <v>170</v>
      </c>
      <c r="F589" s="81">
        <v>0</v>
      </c>
      <c r="G589" s="78"/>
      <c r="H589" s="78"/>
      <c r="I589" s="78"/>
      <c r="J589" s="78" t="s">
        <v>229</v>
      </c>
      <c r="K589" s="86" t="s">
        <v>229</v>
      </c>
      <c r="L589" s="78">
        <v>0</v>
      </c>
      <c r="M589" s="78" t="s">
        <v>470</v>
      </c>
      <c r="N589" s="78"/>
      <c r="O589" s="78"/>
      <c r="P589" s="78" t="s">
        <v>203</v>
      </c>
      <c r="Q589" s="79"/>
      <c r="R589"/>
      <c r="S589"/>
    </row>
    <row r="590" spans="1:19">
      <c r="A590" s="80" t="s">
        <v>39</v>
      </c>
      <c r="B590" s="78" t="s">
        <v>608</v>
      </c>
      <c r="C590" s="78" t="s">
        <v>29</v>
      </c>
      <c r="D590" s="78" t="s">
        <v>19</v>
      </c>
      <c r="E590" s="78" t="s">
        <v>170</v>
      </c>
      <c r="F590" s="81">
        <v>0</v>
      </c>
      <c r="G590" s="78"/>
      <c r="H590" s="78"/>
      <c r="I590" s="78"/>
      <c r="J590" s="78" t="s">
        <v>229</v>
      </c>
      <c r="K590" s="86" t="s">
        <v>229</v>
      </c>
      <c r="L590" s="78">
        <v>0</v>
      </c>
      <c r="M590" s="78" t="s">
        <v>470</v>
      </c>
      <c r="N590" s="78"/>
      <c r="O590" s="78"/>
      <c r="P590" s="78" t="s">
        <v>203</v>
      </c>
      <c r="Q590" s="79"/>
      <c r="R590"/>
      <c r="S590"/>
    </row>
    <row r="591" spans="1:19">
      <c r="A591" s="80" t="s">
        <v>39</v>
      </c>
      <c r="B591" s="78" t="s">
        <v>608</v>
      </c>
      <c r="C591" s="78" t="s">
        <v>30</v>
      </c>
      <c r="D591" s="78" t="s">
        <v>19</v>
      </c>
      <c r="E591" s="78" t="s">
        <v>170</v>
      </c>
      <c r="F591" s="81">
        <v>0</v>
      </c>
      <c r="G591" s="78"/>
      <c r="H591" s="78"/>
      <c r="I591" s="78"/>
      <c r="J591" s="78" t="s">
        <v>229</v>
      </c>
      <c r="K591" s="86" t="s">
        <v>229</v>
      </c>
      <c r="L591" s="78">
        <v>0</v>
      </c>
      <c r="M591" s="78" t="s">
        <v>470</v>
      </c>
      <c r="N591" s="78"/>
      <c r="O591" s="78"/>
      <c r="P591" s="78" t="s">
        <v>203</v>
      </c>
      <c r="Q591" s="79"/>
      <c r="R591"/>
      <c r="S591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BA9F3-D7E8-40B7-A12C-A9FDA14A4AC8}">
  <dimension ref="A1:E520"/>
  <sheetViews>
    <sheetView workbookViewId="0"/>
  </sheetViews>
  <sheetFormatPr defaultColWidth="8.85546875" defaultRowHeight="15"/>
  <cols>
    <col min="1" max="1" width="23.42578125" customWidth="1"/>
    <col min="2" max="2" width="21.7109375" customWidth="1"/>
    <col min="3" max="3" width="21.85546875" customWidth="1"/>
    <col min="4" max="4" width="21.28515625" customWidth="1"/>
    <col min="5" max="5" width="25" customWidth="1"/>
  </cols>
  <sheetData>
    <row r="1" spans="1:5">
      <c r="A1" s="38" t="s">
        <v>204</v>
      </c>
      <c r="B1" s="38" t="s">
        <v>22</v>
      </c>
      <c r="C1" s="38" t="s">
        <v>28</v>
      </c>
      <c r="D1" s="38" t="s">
        <v>30</v>
      </c>
      <c r="E1" s="38" t="s">
        <v>29</v>
      </c>
    </row>
    <row r="2" spans="1:5">
      <c r="A2" s="5">
        <v>45870</v>
      </c>
      <c r="B2" cm="1">
        <f t="array" ref="B2">SUMPRODUCT((Task_table_03_2_26!$C$2:$C$596=$B$1)*(A2&gt;Task_table_03_2_26!$J$2:$J$596)*(A2&lt;Task_table_03_2_26!$K$2:$K$596))</f>
        <v>0</v>
      </c>
      <c r="C2" cm="1">
        <f t="array" ref="C2">SUMPRODUCT((Task_table_03_2_26!$C$2:$C$596=$C$1)*(A2&gt;Task_table_03_2_26!$J$2:$J$596)*(A2&lt;Task_table_03_2_26!$K$2:$K$596))</f>
        <v>1</v>
      </c>
      <c r="D2" cm="1">
        <f t="array" ref="D2">SUMPRODUCT((Task_table_03_2_26!$C$2:$C$596=$D$1)*(A2&gt;Task_table_03_2_26!$J$2:$J$596)*(A2&lt;Task_table_03_2_26!$K$2:$K$596))</f>
        <v>0</v>
      </c>
      <c r="E2" cm="1">
        <f t="array" ref="E2">SUMPRODUCT((Task_table_03_2_26!$C$2:$C$596=$E$1)*(A2&gt;Task_table_03_2_26!$J$2:$J$596)*(A2&lt;Task_table_03_2_26!$K$2:$K$596))</f>
        <v>0</v>
      </c>
    </row>
    <row r="3" spans="1:5">
      <c r="A3" s="5">
        <v>45871</v>
      </c>
      <c r="B3" cm="1">
        <f t="array" ref="B3">SUMPRODUCT((Task_table_03_2_26!$C$2:$C$596=$B$1)*(A3&gt;Task_table_03_2_26!$J$2:$J$596)*(A3&lt;Task_table_03_2_26!$K$2:$K$596))</f>
        <v>1</v>
      </c>
      <c r="C3" cm="1">
        <f t="array" ref="C3">SUMPRODUCT((Task_table_03_2_26!$C$2:$C$596=$C$1)*(A3&gt;Task_table_03_2_26!$J$2:$J$596)*(A3&lt;Task_table_03_2_26!$K$2:$K$596))</f>
        <v>1</v>
      </c>
      <c r="D3" cm="1">
        <f t="array" ref="D3">SUMPRODUCT((Task_table_03_2_26!$C$2:$C$596=$D$1)*(A3&gt;Task_table_03_2_26!$J$2:$J$596)*(A3&lt;Task_table_03_2_26!$K$2:$K$596))</f>
        <v>0</v>
      </c>
      <c r="E3" cm="1">
        <f t="array" ref="E3">SUMPRODUCT((Task_table_03_2_26!$C$2:$C$596=$E$1)*(A3&gt;Task_table_03_2_26!$J$2:$J$596)*(A3&lt;Task_table_03_2_26!$K$2:$K$596))</f>
        <v>0</v>
      </c>
    </row>
    <row r="4" spans="1:5">
      <c r="A4" s="5">
        <v>45872</v>
      </c>
      <c r="B4" cm="1">
        <f t="array" ref="B4">SUMPRODUCT((Task_table_03_2_26!$C$2:$C$596=$B$1)*(A4&gt;Task_table_03_2_26!$J$2:$J$596)*(A4&lt;Task_table_03_2_26!$K$2:$K$596))</f>
        <v>1</v>
      </c>
      <c r="C4" cm="1">
        <f t="array" ref="C4">SUMPRODUCT((Task_table_03_2_26!$C$2:$C$596=$C$1)*(A4&gt;Task_table_03_2_26!$J$2:$J$596)*(A4&lt;Task_table_03_2_26!$K$2:$K$596))</f>
        <v>1</v>
      </c>
      <c r="D4" cm="1">
        <f t="array" ref="D4">SUMPRODUCT((Task_table_03_2_26!$C$2:$C$596=$D$1)*(A4&gt;Task_table_03_2_26!$J$2:$J$596)*(A4&lt;Task_table_03_2_26!$K$2:$K$596))</f>
        <v>0</v>
      </c>
      <c r="E4" cm="1">
        <f t="array" ref="E4">SUMPRODUCT((Task_table_03_2_26!$C$2:$C$596=$E$1)*(A4&gt;Task_table_03_2_26!$J$2:$J$596)*(A4&lt;Task_table_03_2_26!$K$2:$K$596))</f>
        <v>0</v>
      </c>
    </row>
    <row r="5" spans="1:5">
      <c r="A5" s="5">
        <v>45873</v>
      </c>
      <c r="B5" cm="1">
        <f t="array" ref="B5">SUMPRODUCT((Task_table_03_2_26!$C$2:$C$596=$B$1)*(A5&gt;Task_table_03_2_26!$J$2:$J$596)*(A5&lt;Task_table_03_2_26!$K$2:$K$596))</f>
        <v>1</v>
      </c>
      <c r="C5" cm="1">
        <f t="array" ref="C5">SUMPRODUCT((Task_table_03_2_26!$C$2:$C$596=$C$1)*(A5&gt;Task_table_03_2_26!$J$2:$J$596)*(A5&lt;Task_table_03_2_26!$K$2:$K$596))</f>
        <v>1</v>
      </c>
      <c r="D5" cm="1">
        <f t="array" ref="D5">SUMPRODUCT((Task_table_03_2_26!$C$2:$C$596=$D$1)*(A5&gt;Task_table_03_2_26!$J$2:$J$596)*(A5&lt;Task_table_03_2_26!$K$2:$K$596))</f>
        <v>0</v>
      </c>
      <c r="E5" cm="1">
        <f t="array" ref="E5">SUMPRODUCT((Task_table_03_2_26!$C$2:$C$596=$E$1)*(A5&gt;Task_table_03_2_26!$J$2:$J$596)*(A5&lt;Task_table_03_2_26!$K$2:$K$596))</f>
        <v>0</v>
      </c>
    </row>
    <row r="6" spans="1:5">
      <c r="A6" s="5">
        <v>45874</v>
      </c>
      <c r="B6" cm="1">
        <f t="array" ref="B6">SUMPRODUCT((Task_table_03_2_26!$C$2:$C$596=$B$1)*(A6&gt;Task_table_03_2_26!$J$2:$J$596)*(A6&lt;Task_table_03_2_26!$K$2:$K$596))</f>
        <v>2</v>
      </c>
      <c r="C6" cm="1">
        <f t="array" ref="C6">SUMPRODUCT((Task_table_03_2_26!$C$2:$C$596=$C$1)*(A6&gt;Task_table_03_2_26!$J$2:$J$596)*(A6&lt;Task_table_03_2_26!$K$2:$K$596))</f>
        <v>1</v>
      </c>
      <c r="D6" cm="1">
        <f t="array" ref="D6">SUMPRODUCT((Task_table_03_2_26!$C$2:$C$596=$D$1)*(A6&gt;Task_table_03_2_26!$J$2:$J$596)*(A6&lt;Task_table_03_2_26!$K$2:$K$596))</f>
        <v>0</v>
      </c>
      <c r="E6" cm="1">
        <f t="array" ref="E6">SUMPRODUCT((Task_table_03_2_26!$C$2:$C$596=$E$1)*(A6&gt;Task_table_03_2_26!$J$2:$J$596)*(A6&lt;Task_table_03_2_26!$K$2:$K$596))</f>
        <v>0</v>
      </c>
    </row>
    <row r="7" spans="1:5">
      <c r="A7" s="5">
        <v>45875</v>
      </c>
      <c r="B7" cm="1">
        <f t="array" ref="B7">SUMPRODUCT((Task_table_03_2_26!$C$2:$C$596=$B$1)*(A7&gt;Task_table_03_2_26!$J$2:$J$596)*(A7&lt;Task_table_03_2_26!$K$2:$K$596))</f>
        <v>2</v>
      </c>
      <c r="C7" cm="1">
        <f t="array" ref="C7">SUMPRODUCT((Task_table_03_2_26!$C$2:$C$596=$C$1)*(A7&gt;Task_table_03_2_26!$J$2:$J$596)*(A7&lt;Task_table_03_2_26!$K$2:$K$596))</f>
        <v>1</v>
      </c>
      <c r="D7" cm="1">
        <f t="array" ref="D7">SUMPRODUCT((Task_table_03_2_26!$C$2:$C$596=$D$1)*(A7&gt;Task_table_03_2_26!$J$2:$J$596)*(A7&lt;Task_table_03_2_26!$K$2:$K$596))</f>
        <v>0</v>
      </c>
      <c r="E7" cm="1">
        <f t="array" ref="E7">SUMPRODUCT((Task_table_03_2_26!$C$2:$C$596=$E$1)*(A7&gt;Task_table_03_2_26!$J$2:$J$596)*(A7&lt;Task_table_03_2_26!$K$2:$K$596))</f>
        <v>0</v>
      </c>
    </row>
    <row r="8" spans="1:5">
      <c r="A8" s="5">
        <v>45876</v>
      </c>
      <c r="B8" cm="1">
        <f t="array" ref="B8">SUMPRODUCT((Task_table_03_2_26!$C$2:$C$596=$B$1)*(A8&gt;Task_table_03_2_26!$J$2:$J$596)*(A8&lt;Task_table_03_2_26!$K$2:$K$596))</f>
        <v>2</v>
      </c>
      <c r="C8" cm="1">
        <f t="array" ref="C8">SUMPRODUCT((Task_table_03_2_26!$C$2:$C$596=$C$1)*(A8&gt;Task_table_03_2_26!$J$2:$J$596)*(A8&lt;Task_table_03_2_26!$K$2:$K$596))</f>
        <v>1</v>
      </c>
      <c r="D8" cm="1">
        <f t="array" ref="D8">SUMPRODUCT((Task_table_03_2_26!$C$2:$C$596=$D$1)*(A8&gt;Task_table_03_2_26!$J$2:$J$596)*(A8&lt;Task_table_03_2_26!$K$2:$K$596))</f>
        <v>0</v>
      </c>
      <c r="E8" cm="1">
        <f t="array" ref="E8">SUMPRODUCT((Task_table_03_2_26!$C$2:$C$596=$E$1)*(A8&gt;Task_table_03_2_26!$J$2:$J$596)*(A8&lt;Task_table_03_2_26!$K$2:$K$596))</f>
        <v>0</v>
      </c>
    </row>
    <row r="9" spans="1:5">
      <c r="A9" s="5">
        <v>45877</v>
      </c>
      <c r="B9" cm="1">
        <f t="array" ref="B9">SUMPRODUCT((Task_table_03_2_26!$C$2:$C$596=$B$1)*(A9&gt;Task_table_03_2_26!$J$2:$J$596)*(A9&lt;Task_table_03_2_26!$K$2:$K$596))</f>
        <v>2</v>
      </c>
      <c r="C9" cm="1">
        <f t="array" ref="C9">SUMPRODUCT((Task_table_03_2_26!$C$2:$C$596=$C$1)*(A9&gt;Task_table_03_2_26!$J$2:$J$596)*(A9&lt;Task_table_03_2_26!$K$2:$K$596))</f>
        <v>1</v>
      </c>
      <c r="D9" cm="1">
        <f t="array" ref="D9">SUMPRODUCT((Task_table_03_2_26!$C$2:$C$596=$D$1)*(A9&gt;Task_table_03_2_26!$J$2:$J$596)*(A9&lt;Task_table_03_2_26!$K$2:$K$596))</f>
        <v>0</v>
      </c>
      <c r="E9" cm="1">
        <f t="array" ref="E9">SUMPRODUCT((Task_table_03_2_26!$C$2:$C$596=$E$1)*(A9&gt;Task_table_03_2_26!$J$2:$J$596)*(A9&lt;Task_table_03_2_26!$K$2:$K$596))</f>
        <v>0</v>
      </c>
    </row>
    <row r="10" spans="1:5">
      <c r="A10" s="5">
        <v>45878</v>
      </c>
      <c r="B10" cm="1">
        <f t="array" ref="B10">SUMPRODUCT((Task_table_03_2_26!$C$2:$C$596=$B$1)*(A10&gt;Task_table_03_2_26!$J$2:$J$596)*(A10&lt;Task_table_03_2_26!$K$2:$K$596))</f>
        <v>2</v>
      </c>
      <c r="C10" cm="1">
        <f t="array" ref="C10">SUMPRODUCT((Task_table_03_2_26!$C$2:$C$596=$C$1)*(A10&gt;Task_table_03_2_26!$J$2:$J$596)*(A10&lt;Task_table_03_2_26!$K$2:$K$596))</f>
        <v>1</v>
      </c>
      <c r="D10" cm="1">
        <f t="array" ref="D10">SUMPRODUCT((Task_table_03_2_26!$C$2:$C$596=$D$1)*(A10&gt;Task_table_03_2_26!$J$2:$J$596)*(A10&lt;Task_table_03_2_26!$K$2:$K$596))</f>
        <v>0</v>
      </c>
      <c r="E10" cm="1">
        <f t="array" ref="E10">SUMPRODUCT((Task_table_03_2_26!$C$2:$C$596=$E$1)*(A10&gt;Task_table_03_2_26!$J$2:$J$596)*(A10&lt;Task_table_03_2_26!$K$2:$K$596))</f>
        <v>0</v>
      </c>
    </row>
    <row r="11" spans="1:5">
      <c r="A11" s="5">
        <v>45879</v>
      </c>
      <c r="B11" cm="1">
        <f t="array" ref="B11">SUMPRODUCT((Task_table_03_2_26!$C$2:$C$596=$B$1)*(A11&gt;Task_table_03_2_26!$J$2:$J$596)*(A11&lt;Task_table_03_2_26!$K$2:$K$596))</f>
        <v>2</v>
      </c>
      <c r="C11" cm="1">
        <f t="array" ref="C11">SUMPRODUCT((Task_table_03_2_26!$C$2:$C$596=$C$1)*(A11&gt;Task_table_03_2_26!$J$2:$J$596)*(A11&lt;Task_table_03_2_26!$K$2:$K$596))</f>
        <v>1</v>
      </c>
      <c r="D11" cm="1">
        <f t="array" ref="D11">SUMPRODUCT((Task_table_03_2_26!$C$2:$C$596=$D$1)*(A11&gt;Task_table_03_2_26!$J$2:$J$596)*(A11&lt;Task_table_03_2_26!$K$2:$K$596))</f>
        <v>0</v>
      </c>
      <c r="E11" cm="1">
        <f t="array" ref="E11">SUMPRODUCT((Task_table_03_2_26!$C$2:$C$596=$E$1)*(A11&gt;Task_table_03_2_26!$J$2:$J$596)*(A11&lt;Task_table_03_2_26!$K$2:$K$596))</f>
        <v>0</v>
      </c>
    </row>
    <row r="12" spans="1:5">
      <c r="A12" s="5">
        <v>45880</v>
      </c>
      <c r="B12" cm="1">
        <f t="array" ref="B12">SUMPRODUCT((Task_table_03_2_26!$C$2:$C$596=$B$1)*(A12&gt;Task_table_03_2_26!$J$2:$J$596)*(A12&lt;Task_table_03_2_26!$K$2:$K$596))</f>
        <v>2</v>
      </c>
      <c r="C12" cm="1">
        <f t="array" ref="C12">SUMPRODUCT((Task_table_03_2_26!$C$2:$C$596=$C$1)*(A12&gt;Task_table_03_2_26!$J$2:$J$596)*(A12&lt;Task_table_03_2_26!$K$2:$K$596))</f>
        <v>1</v>
      </c>
      <c r="D12" cm="1">
        <f t="array" ref="D12">SUMPRODUCT((Task_table_03_2_26!$C$2:$C$596=$D$1)*(A12&gt;Task_table_03_2_26!$J$2:$J$596)*(A12&lt;Task_table_03_2_26!$K$2:$K$596))</f>
        <v>0</v>
      </c>
      <c r="E12" cm="1">
        <f t="array" ref="E12">SUMPRODUCT((Task_table_03_2_26!$C$2:$C$596=$E$1)*(A12&gt;Task_table_03_2_26!$J$2:$J$596)*(A12&lt;Task_table_03_2_26!$K$2:$K$596))</f>
        <v>0</v>
      </c>
    </row>
    <row r="13" spans="1:5">
      <c r="A13" s="5">
        <v>45881</v>
      </c>
      <c r="B13" cm="1">
        <f t="array" ref="B13">SUMPRODUCT((Task_table_03_2_26!$C$2:$C$596=$B$1)*(A13&gt;Task_table_03_2_26!$J$2:$J$596)*(A13&lt;Task_table_03_2_26!$K$2:$K$596))</f>
        <v>2</v>
      </c>
      <c r="C13" cm="1">
        <f t="array" ref="C13">SUMPRODUCT((Task_table_03_2_26!$C$2:$C$596=$C$1)*(A13&gt;Task_table_03_2_26!$J$2:$J$596)*(A13&lt;Task_table_03_2_26!$K$2:$K$596))</f>
        <v>1</v>
      </c>
      <c r="D13" cm="1">
        <f t="array" ref="D13">SUMPRODUCT((Task_table_03_2_26!$C$2:$C$596=$D$1)*(A13&gt;Task_table_03_2_26!$J$2:$J$596)*(A13&lt;Task_table_03_2_26!$K$2:$K$596))</f>
        <v>0</v>
      </c>
      <c r="E13" cm="1">
        <f t="array" ref="E13">SUMPRODUCT((Task_table_03_2_26!$C$2:$C$596=$E$1)*(A13&gt;Task_table_03_2_26!$J$2:$J$596)*(A13&lt;Task_table_03_2_26!$K$2:$K$596))</f>
        <v>0</v>
      </c>
    </row>
    <row r="14" spans="1:5">
      <c r="A14" s="5">
        <v>45882</v>
      </c>
      <c r="B14" cm="1">
        <f t="array" ref="B14">SUMPRODUCT((Task_table_03_2_26!$C$2:$C$596=$B$1)*(A14&gt;Task_table_03_2_26!$J$2:$J$596)*(A14&lt;Task_table_03_2_26!$K$2:$K$596))</f>
        <v>2</v>
      </c>
      <c r="C14" cm="1">
        <f t="array" ref="C14">SUMPRODUCT((Task_table_03_2_26!$C$2:$C$596=$C$1)*(A14&gt;Task_table_03_2_26!$J$2:$J$596)*(A14&lt;Task_table_03_2_26!$K$2:$K$596))</f>
        <v>1</v>
      </c>
      <c r="D14" cm="1">
        <f t="array" ref="D14">SUMPRODUCT((Task_table_03_2_26!$C$2:$C$596=$D$1)*(A14&gt;Task_table_03_2_26!$J$2:$J$596)*(A14&lt;Task_table_03_2_26!$K$2:$K$596))</f>
        <v>0</v>
      </c>
      <c r="E14" cm="1">
        <f t="array" ref="E14">SUMPRODUCT((Task_table_03_2_26!$C$2:$C$596=$E$1)*(A14&gt;Task_table_03_2_26!$J$2:$J$596)*(A14&lt;Task_table_03_2_26!$K$2:$K$596))</f>
        <v>0</v>
      </c>
    </row>
    <row r="15" spans="1:5">
      <c r="A15" s="5">
        <v>45883</v>
      </c>
      <c r="B15" cm="1">
        <f t="array" ref="B15">SUMPRODUCT((Task_table_03_2_26!$C$2:$C$596=$B$1)*(A15&gt;Task_table_03_2_26!$J$2:$J$596)*(A15&lt;Task_table_03_2_26!$K$2:$K$596))</f>
        <v>2</v>
      </c>
      <c r="C15" cm="1">
        <f t="array" ref="C15">SUMPRODUCT((Task_table_03_2_26!$C$2:$C$596=$C$1)*(A15&gt;Task_table_03_2_26!$J$2:$J$596)*(A15&lt;Task_table_03_2_26!$K$2:$K$596))</f>
        <v>1</v>
      </c>
      <c r="D15" cm="1">
        <f t="array" ref="D15">SUMPRODUCT((Task_table_03_2_26!$C$2:$C$596=$D$1)*(A15&gt;Task_table_03_2_26!$J$2:$J$596)*(A15&lt;Task_table_03_2_26!$K$2:$K$596))</f>
        <v>0</v>
      </c>
      <c r="E15" cm="1">
        <f t="array" ref="E15">SUMPRODUCT((Task_table_03_2_26!$C$2:$C$596=$E$1)*(A15&gt;Task_table_03_2_26!$J$2:$J$596)*(A15&lt;Task_table_03_2_26!$K$2:$K$596))</f>
        <v>0</v>
      </c>
    </row>
    <row r="16" spans="1:5">
      <c r="A16" s="5">
        <v>45884</v>
      </c>
      <c r="B16" cm="1">
        <f t="array" ref="B16">SUMPRODUCT((Task_table_03_2_26!$C$2:$C$596=$B$1)*(A16&gt;Task_table_03_2_26!$J$2:$J$596)*(A16&lt;Task_table_03_2_26!$K$2:$K$596))</f>
        <v>2</v>
      </c>
      <c r="C16" cm="1">
        <f t="array" ref="C16">SUMPRODUCT((Task_table_03_2_26!$C$2:$C$596=$C$1)*(A16&gt;Task_table_03_2_26!$J$2:$J$596)*(A16&lt;Task_table_03_2_26!$K$2:$K$596))</f>
        <v>0</v>
      </c>
      <c r="D16" cm="1">
        <f t="array" ref="D16">SUMPRODUCT((Task_table_03_2_26!$C$2:$C$596=$D$1)*(A16&gt;Task_table_03_2_26!$J$2:$J$596)*(A16&lt;Task_table_03_2_26!$K$2:$K$596))</f>
        <v>0</v>
      </c>
      <c r="E16" cm="1">
        <f t="array" ref="E16">SUMPRODUCT((Task_table_03_2_26!$C$2:$C$596=$E$1)*(A16&gt;Task_table_03_2_26!$J$2:$J$596)*(A16&lt;Task_table_03_2_26!$K$2:$K$596))</f>
        <v>0</v>
      </c>
    </row>
    <row r="17" spans="1:5">
      <c r="A17" s="5">
        <v>45885</v>
      </c>
      <c r="B17" cm="1">
        <f t="array" ref="B17">SUMPRODUCT((Task_table_03_2_26!$C$2:$C$596=$B$1)*(A17&gt;Task_table_03_2_26!$J$2:$J$596)*(A17&lt;Task_table_03_2_26!$K$2:$K$596))</f>
        <v>2</v>
      </c>
      <c r="C17" cm="1">
        <f t="array" ref="C17">SUMPRODUCT((Task_table_03_2_26!$C$2:$C$596=$C$1)*(A17&gt;Task_table_03_2_26!$J$2:$J$596)*(A17&lt;Task_table_03_2_26!$K$2:$K$596))</f>
        <v>0</v>
      </c>
      <c r="D17" cm="1">
        <f t="array" ref="D17">SUMPRODUCT((Task_table_03_2_26!$C$2:$C$596=$D$1)*(A17&gt;Task_table_03_2_26!$J$2:$J$596)*(A17&lt;Task_table_03_2_26!$K$2:$K$596))</f>
        <v>0</v>
      </c>
      <c r="E17" cm="1">
        <f t="array" ref="E17">SUMPRODUCT((Task_table_03_2_26!$C$2:$C$596=$E$1)*(A17&gt;Task_table_03_2_26!$J$2:$J$596)*(A17&lt;Task_table_03_2_26!$K$2:$K$596))</f>
        <v>0</v>
      </c>
    </row>
    <row r="18" spans="1:5">
      <c r="A18" s="5">
        <v>45886</v>
      </c>
      <c r="B18" cm="1">
        <f t="array" ref="B18">SUMPRODUCT((Task_table_03_2_26!$C$2:$C$596=$B$1)*(A18&gt;Task_table_03_2_26!$J$2:$J$596)*(A18&lt;Task_table_03_2_26!$K$2:$K$596))</f>
        <v>2</v>
      </c>
      <c r="C18" cm="1">
        <f t="array" ref="C18">SUMPRODUCT((Task_table_03_2_26!$C$2:$C$596=$C$1)*(A18&gt;Task_table_03_2_26!$J$2:$J$596)*(A18&lt;Task_table_03_2_26!$K$2:$K$596))</f>
        <v>0</v>
      </c>
      <c r="D18" cm="1">
        <f t="array" ref="D18">SUMPRODUCT((Task_table_03_2_26!$C$2:$C$596=$D$1)*(A18&gt;Task_table_03_2_26!$J$2:$J$596)*(A18&lt;Task_table_03_2_26!$K$2:$K$596))</f>
        <v>0</v>
      </c>
      <c r="E18" cm="1">
        <f t="array" ref="E18">SUMPRODUCT((Task_table_03_2_26!$C$2:$C$596=$E$1)*(A18&gt;Task_table_03_2_26!$J$2:$J$596)*(A18&lt;Task_table_03_2_26!$K$2:$K$596))</f>
        <v>0</v>
      </c>
    </row>
    <row r="19" spans="1:5">
      <c r="A19" s="5">
        <v>45887</v>
      </c>
      <c r="B19" cm="1">
        <f t="array" ref="B19">SUMPRODUCT((Task_table_03_2_26!$C$2:$C$596=$B$1)*(A19&gt;Task_table_03_2_26!$J$2:$J$596)*(A19&lt;Task_table_03_2_26!$K$2:$K$596))</f>
        <v>2</v>
      </c>
      <c r="C19" cm="1">
        <f t="array" ref="C19">SUMPRODUCT((Task_table_03_2_26!$C$2:$C$596=$C$1)*(A19&gt;Task_table_03_2_26!$J$2:$J$596)*(A19&lt;Task_table_03_2_26!$K$2:$K$596))</f>
        <v>0</v>
      </c>
      <c r="D19" cm="1">
        <f t="array" ref="D19">SUMPRODUCT((Task_table_03_2_26!$C$2:$C$596=$D$1)*(A19&gt;Task_table_03_2_26!$J$2:$J$596)*(A19&lt;Task_table_03_2_26!$K$2:$K$596))</f>
        <v>0</v>
      </c>
      <c r="E19" cm="1">
        <f t="array" ref="E19">SUMPRODUCT((Task_table_03_2_26!$C$2:$C$596=$E$1)*(A19&gt;Task_table_03_2_26!$J$2:$J$596)*(A19&lt;Task_table_03_2_26!$K$2:$K$596))</f>
        <v>0</v>
      </c>
    </row>
    <row r="20" spans="1:5">
      <c r="A20" s="5">
        <v>45888</v>
      </c>
      <c r="B20" cm="1">
        <f t="array" ref="B20">SUMPRODUCT((Task_table_03_2_26!$C$2:$C$596=$B$1)*(A20&gt;Task_table_03_2_26!$J$2:$J$596)*(A20&lt;Task_table_03_2_26!$K$2:$K$596))</f>
        <v>2</v>
      </c>
      <c r="C20" cm="1">
        <f t="array" ref="C20">SUMPRODUCT((Task_table_03_2_26!$C$2:$C$596=$C$1)*(A20&gt;Task_table_03_2_26!$J$2:$J$596)*(A20&lt;Task_table_03_2_26!$K$2:$K$596))</f>
        <v>0</v>
      </c>
      <c r="D20" cm="1">
        <f t="array" ref="D20">SUMPRODUCT((Task_table_03_2_26!$C$2:$C$596=$D$1)*(A20&gt;Task_table_03_2_26!$J$2:$J$596)*(A20&lt;Task_table_03_2_26!$K$2:$K$596))</f>
        <v>0</v>
      </c>
      <c r="E20" cm="1">
        <f t="array" ref="E20">SUMPRODUCT((Task_table_03_2_26!$C$2:$C$596=$E$1)*(A20&gt;Task_table_03_2_26!$J$2:$J$596)*(A20&lt;Task_table_03_2_26!$K$2:$K$596))</f>
        <v>0</v>
      </c>
    </row>
    <row r="21" spans="1:5">
      <c r="A21" s="5">
        <v>45889</v>
      </c>
      <c r="B21" cm="1">
        <f t="array" ref="B21">SUMPRODUCT((Task_table_03_2_26!$C$2:$C$596=$B$1)*(A21&gt;Task_table_03_2_26!$J$2:$J$596)*(A21&lt;Task_table_03_2_26!$K$2:$K$596))</f>
        <v>2</v>
      </c>
      <c r="C21" cm="1">
        <f t="array" ref="C21">SUMPRODUCT((Task_table_03_2_26!$C$2:$C$596=$C$1)*(A21&gt;Task_table_03_2_26!$J$2:$J$596)*(A21&lt;Task_table_03_2_26!$K$2:$K$596))</f>
        <v>0</v>
      </c>
      <c r="D21" cm="1">
        <f t="array" ref="D21">SUMPRODUCT((Task_table_03_2_26!$C$2:$C$596=$D$1)*(A21&gt;Task_table_03_2_26!$J$2:$J$596)*(A21&lt;Task_table_03_2_26!$K$2:$K$596))</f>
        <v>0</v>
      </c>
      <c r="E21" cm="1">
        <f t="array" ref="E21">SUMPRODUCT((Task_table_03_2_26!$C$2:$C$596=$E$1)*(A21&gt;Task_table_03_2_26!$J$2:$J$596)*(A21&lt;Task_table_03_2_26!$K$2:$K$596))</f>
        <v>0</v>
      </c>
    </row>
    <row r="22" spans="1:5">
      <c r="A22" s="5">
        <v>45890</v>
      </c>
      <c r="B22" cm="1">
        <f t="array" ref="B22">SUMPRODUCT((Task_table_03_2_26!$C$2:$C$596=$B$1)*(A22&gt;Task_table_03_2_26!$J$2:$J$596)*(A22&lt;Task_table_03_2_26!$K$2:$K$596))</f>
        <v>2</v>
      </c>
      <c r="C22" cm="1">
        <f t="array" ref="C22">SUMPRODUCT((Task_table_03_2_26!$C$2:$C$596=$C$1)*(A22&gt;Task_table_03_2_26!$J$2:$J$596)*(A22&lt;Task_table_03_2_26!$K$2:$K$596))</f>
        <v>0</v>
      </c>
      <c r="D22" cm="1">
        <f t="array" ref="D22">SUMPRODUCT((Task_table_03_2_26!$C$2:$C$596=$D$1)*(A22&gt;Task_table_03_2_26!$J$2:$J$596)*(A22&lt;Task_table_03_2_26!$K$2:$K$596))</f>
        <v>0</v>
      </c>
      <c r="E22" cm="1">
        <f t="array" ref="E22">SUMPRODUCT((Task_table_03_2_26!$C$2:$C$596=$E$1)*(A22&gt;Task_table_03_2_26!$J$2:$J$596)*(A22&lt;Task_table_03_2_26!$K$2:$K$596))</f>
        <v>0</v>
      </c>
    </row>
    <row r="23" spans="1:5">
      <c r="A23" s="5">
        <v>45891</v>
      </c>
      <c r="B23" cm="1">
        <f t="array" ref="B23">SUMPRODUCT((Task_table_03_2_26!$C$2:$C$596=$B$1)*(A23&gt;Task_table_03_2_26!$J$2:$J$596)*(A23&lt;Task_table_03_2_26!$K$2:$K$596))</f>
        <v>2</v>
      </c>
      <c r="C23" cm="1">
        <f t="array" ref="C23">SUMPRODUCT((Task_table_03_2_26!$C$2:$C$596=$C$1)*(A23&gt;Task_table_03_2_26!$J$2:$J$596)*(A23&lt;Task_table_03_2_26!$K$2:$K$596))</f>
        <v>0</v>
      </c>
      <c r="D23" cm="1">
        <f t="array" ref="D23">SUMPRODUCT((Task_table_03_2_26!$C$2:$C$596=$D$1)*(A23&gt;Task_table_03_2_26!$J$2:$J$596)*(A23&lt;Task_table_03_2_26!$K$2:$K$596))</f>
        <v>0</v>
      </c>
      <c r="E23" cm="1">
        <f t="array" ref="E23">SUMPRODUCT((Task_table_03_2_26!$C$2:$C$596=$E$1)*(A23&gt;Task_table_03_2_26!$J$2:$J$596)*(A23&lt;Task_table_03_2_26!$K$2:$K$596))</f>
        <v>0</v>
      </c>
    </row>
    <row r="24" spans="1:5">
      <c r="A24" s="5">
        <v>45892</v>
      </c>
      <c r="B24" cm="1">
        <f t="array" ref="B24">SUMPRODUCT((Task_table_03_2_26!$C$2:$C$596=$B$1)*(A24&gt;Task_table_03_2_26!$J$2:$J$596)*(A24&lt;Task_table_03_2_26!$K$2:$K$596))</f>
        <v>2</v>
      </c>
      <c r="C24" cm="1">
        <f t="array" ref="C24">SUMPRODUCT((Task_table_03_2_26!$C$2:$C$596=$C$1)*(A24&gt;Task_table_03_2_26!$J$2:$J$596)*(A24&lt;Task_table_03_2_26!$K$2:$K$596))</f>
        <v>0</v>
      </c>
      <c r="D24" cm="1">
        <f t="array" ref="D24">SUMPRODUCT((Task_table_03_2_26!$C$2:$C$596=$D$1)*(A24&gt;Task_table_03_2_26!$J$2:$J$596)*(A24&lt;Task_table_03_2_26!$K$2:$K$596))</f>
        <v>0</v>
      </c>
      <c r="E24" cm="1">
        <f t="array" ref="E24">SUMPRODUCT((Task_table_03_2_26!$C$2:$C$596=$E$1)*(A24&gt;Task_table_03_2_26!$J$2:$J$596)*(A24&lt;Task_table_03_2_26!$K$2:$K$596))</f>
        <v>0</v>
      </c>
    </row>
    <row r="25" spans="1:5">
      <c r="A25" s="5">
        <v>45893</v>
      </c>
      <c r="B25" cm="1">
        <f t="array" ref="B25">SUMPRODUCT((Task_table_03_2_26!$C$2:$C$596=$B$1)*(A25&gt;Task_table_03_2_26!$J$2:$J$596)*(A25&lt;Task_table_03_2_26!$K$2:$K$596))</f>
        <v>2</v>
      </c>
      <c r="C25" cm="1">
        <f t="array" ref="C25">SUMPRODUCT((Task_table_03_2_26!$C$2:$C$596=$C$1)*(A25&gt;Task_table_03_2_26!$J$2:$J$596)*(A25&lt;Task_table_03_2_26!$K$2:$K$596))</f>
        <v>0</v>
      </c>
      <c r="D25" cm="1">
        <f t="array" ref="D25">SUMPRODUCT((Task_table_03_2_26!$C$2:$C$596=$D$1)*(A25&gt;Task_table_03_2_26!$J$2:$J$596)*(A25&lt;Task_table_03_2_26!$K$2:$K$596))</f>
        <v>0</v>
      </c>
      <c r="E25" cm="1">
        <f t="array" ref="E25">SUMPRODUCT((Task_table_03_2_26!$C$2:$C$596=$E$1)*(A25&gt;Task_table_03_2_26!$J$2:$J$596)*(A25&lt;Task_table_03_2_26!$K$2:$K$596))</f>
        <v>0</v>
      </c>
    </row>
    <row r="26" spans="1:5">
      <c r="A26" s="5">
        <v>45894</v>
      </c>
      <c r="B26" cm="1">
        <f t="array" ref="B26">SUMPRODUCT((Task_table_03_2_26!$C$2:$C$596=$B$1)*(A26&gt;Task_table_03_2_26!$J$2:$J$596)*(A26&lt;Task_table_03_2_26!$K$2:$K$596))</f>
        <v>2</v>
      </c>
      <c r="C26" cm="1">
        <f t="array" ref="C26">SUMPRODUCT((Task_table_03_2_26!$C$2:$C$596=$C$1)*(A26&gt;Task_table_03_2_26!$J$2:$J$596)*(A26&lt;Task_table_03_2_26!$K$2:$K$596))</f>
        <v>0</v>
      </c>
      <c r="D26" cm="1">
        <f t="array" ref="D26">SUMPRODUCT((Task_table_03_2_26!$C$2:$C$596=$D$1)*(A26&gt;Task_table_03_2_26!$J$2:$J$596)*(A26&lt;Task_table_03_2_26!$K$2:$K$596))</f>
        <v>0</v>
      </c>
      <c r="E26" cm="1">
        <f t="array" ref="E26">SUMPRODUCT((Task_table_03_2_26!$C$2:$C$596=$E$1)*(A26&gt;Task_table_03_2_26!$J$2:$J$596)*(A26&lt;Task_table_03_2_26!$K$2:$K$596))</f>
        <v>0</v>
      </c>
    </row>
    <row r="27" spans="1:5">
      <c r="A27" s="5">
        <v>45895</v>
      </c>
      <c r="B27" cm="1">
        <f t="array" ref="B27">SUMPRODUCT((Task_table_03_2_26!$C$2:$C$596=$B$1)*(A27&gt;Task_table_03_2_26!$J$2:$J$596)*(A27&lt;Task_table_03_2_26!$K$2:$K$596))</f>
        <v>2</v>
      </c>
      <c r="C27" cm="1">
        <f t="array" ref="C27">SUMPRODUCT((Task_table_03_2_26!$C$2:$C$596=$C$1)*(A27&gt;Task_table_03_2_26!$J$2:$J$596)*(A27&lt;Task_table_03_2_26!$K$2:$K$596))</f>
        <v>0</v>
      </c>
      <c r="D27" cm="1">
        <f t="array" ref="D27">SUMPRODUCT((Task_table_03_2_26!$C$2:$C$596=$D$1)*(A27&gt;Task_table_03_2_26!$J$2:$J$596)*(A27&lt;Task_table_03_2_26!$K$2:$K$596))</f>
        <v>0</v>
      </c>
      <c r="E27" cm="1">
        <f t="array" ref="E27">SUMPRODUCT((Task_table_03_2_26!$C$2:$C$596=$E$1)*(A27&gt;Task_table_03_2_26!$J$2:$J$596)*(A27&lt;Task_table_03_2_26!$K$2:$K$596))</f>
        <v>0</v>
      </c>
    </row>
    <row r="28" spans="1:5">
      <c r="A28" s="5">
        <v>45896</v>
      </c>
      <c r="B28" cm="1">
        <f t="array" ref="B28">SUMPRODUCT((Task_table_03_2_26!$C$2:$C$596=$B$1)*(A28&gt;Task_table_03_2_26!$J$2:$J$596)*(A28&lt;Task_table_03_2_26!$K$2:$K$596))</f>
        <v>2</v>
      </c>
      <c r="C28" cm="1">
        <f t="array" ref="C28">SUMPRODUCT((Task_table_03_2_26!$C$2:$C$596=$C$1)*(A28&gt;Task_table_03_2_26!$J$2:$J$596)*(A28&lt;Task_table_03_2_26!$K$2:$K$596))</f>
        <v>0</v>
      </c>
      <c r="D28" cm="1">
        <f t="array" ref="D28">SUMPRODUCT((Task_table_03_2_26!$C$2:$C$596=$D$1)*(A28&gt;Task_table_03_2_26!$J$2:$J$596)*(A28&lt;Task_table_03_2_26!$K$2:$K$596))</f>
        <v>0</v>
      </c>
      <c r="E28" cm="1">
        <f t="array" ref="E28">SUMPRODUCT((Task_table_03_2_26!$C$2:$C$596=$E$1)*(A28&gt;Task_table_03_2_26!$J$2:$J$596)*(A28&lt;Task_table_03_2_26!$K$2:$K$596))</f>
        <v>0</v>
      </c>
    </row>
    <row r="29" spans="1:5">
      <c r="A29" s="5">
        <v>45897</v>
      </c>
      <c r="B29" cm="1">
        <f t="array" ref="B29">SUMPRODUCT((Task_table_03_2_26!$C$2:$C$596=$B$1)*(A29&gt;Task_table_03_2_26!$J$2:$J$596)*(A29&lt;Task_table_03_2_26!$K$2:$K$596))</f>
        <v>2</v>
      </c>
      <c r="C29" cm="1">
        <f t="array" ref="C29">SUMPRODUCT((Task_table_03_2_26!$C$2:$C$596=$C$1)*(A29&gt;Task_table_03_2_26!$J$2:$J$596)*(A29&lt;Task_table_03_2_26!$K$2:$K$596))</f>
        <v>0</v>
      </c>
      <c r="D29" cm="1">
        <f t="array" ref="D29">SUMPRODUCT((Task_table_03_2_26!$C$2:$C$596=$D$1)*(A29&gt;Task_table_03_2_26!$J$2:$J$596)*(A29&lt;Task_table_03_2_26!$K$2:$K$596))</f>
        <v>0</v>
      </c>
      <c r="E29" cm="1">
        <f t="array" ref="E29">SUMPRODUCT((Task_table_03_2_26!$C$2:$C$596=$E$1)*(A29&gt;Task_table_03_2_26!$J$2:$J$596)*(A29&lt;Task_table_03_2_26!$K$2:$K$596))</f>
        <v>0</v>
      </c>
    </row>
    <row r="30" spans="1:5">
      <c r="A30" s="5">
        <v>45898</v>
      </c>
      <c r="B30" cm="1">
        <f t="array" ref="B30">SUMPRODUCT((Task_table_03_2_26!$C$2:$C$596=$B$1)*(A30&gt;Task_table_03_2_26!$J$2:$J$596)*(A30&lt;Task_table_03_2_26!$K$2:$K$596))</f>
        <v>2</v>
      </c>
      <c r="C30" cm="1">
        <f t="array" ref="C30">SUMPRODUCT((Task_table_03_2_26!$C$2:$C$596=$C$1)*(A30&gt;Task_table_03_2_26!$J$2:$J$596)*(A30&lt;Task_table_03_2_26!$K$2:$K$596))</f>
        <v>0</v>
      </c>
      <c r="D30" cm="1">
        <f t="array" ref="D30">SUMPRODUCT((Task_table_03_2_26!$C$2:$C$596=$D$1)*(A30&gt;Task_table_03_2_26!$J$2:$J$596)*(A30&lt;Task_table_03_2_26!$K$2:$K$596))</f>
        <v>0</v>
      </c>
      <c r="E30" cm="1">
        <f t="array" ref="E30">SUMPRODUCT((Task_table_03_2_26!$C$2:$C$596=$E$1)*(A30&gt;Task_table_03_2_26!$J$2:$J$596)*(A30&lt;Task_table_03_2_26!$K$2:$K$596))</f>
        <v>0</v>
      </c>
    </row>
    <row r="31" spans="1:5">
      <c r="A31" s="5">
        <v>45899</v>
      </c>
      <c r="B31" cm="1">
        <f t="array" ref="B31">SUMPRODUCT((Task_table_03_2_26!$C$2:$C$596=$B$1)*(A31&gt;Task_table_03_2_26!$J$2:$J$596)*(A31&lt;Task_table_03_2_26!$K$2:$K$596))</f>
        <v>1</v>
      </c>
      <c r="C31" cm="1">
        <f t="array" ref="C31">SUMPRODUCT((Task_table_03_2_26!$C$2:$C$596=$C$1)*(A31&gt;Task_table_03_2_26!$J$2:$J$596)*(A31&lt;Task_table_03_2_26!$K$2:$K$596))</f>
        <v>0</v>
      </c>
      <c r="D31" cm="1">
        <f t="array" ref="D31">SUMPRODUCT((Task_table_03_2_26!$C$2:$C$596=$D$1)*(A31&gt;Task_table_03_2_26!$J$2:$J$596)*(A31&lt;Task_table_03_2_26!$K$2:$K$596))</f>
        <v>0</v>
      </c>
      <c r="E31" cm="1">
        <f t="array" ref="E31">SUMPRODUCT((Task_table_03_2_26!$C$2:$C$596=$E$1)*(A31&gt;Task_table_03_2_26!$J$2:$J$596)*(A31&lt;Task_table_03_2_26!$K$2:$K$596))</f>
        <v>0</v>
      </c>
    </row>
    <row r="32" spans="1:5">
      <c r="A32" s="5">
        <v>45900</v>
      </c>
      <c r="B32" cm="1">
        <f t="array" ref="B32">SUMPRODUCT((Task_table_03_2_26!$C$2:$C$596=$B$1)*(A32&gt;Task_table_03_2_26!$J$2:$J$596)*(A32&lt;Task_table_03_2_26!$K$2:$K$596))</f>
        <v>1</v>
      </c>
      <c r="C32" cm="1">
        <f t="array" ref="C32">SUMPRODUCT((Task_table_03_2_26!$C$2:$C$596=$C$1)*(A32&gt;Task_table_03_2_26!$J$2:$J$596)*(A32&lt;Task_table_03_2_26!$K$2:$K$596))</f>
        <v>0</v>
      </c>
      <c r="D32" cm="1">
        <f t="array" ref="D32">SUMPRODUCT((Task_table_03_2_26!$C$2:$C$596=$D$1)*(A32&gt;Task_table_03_2_26!$J$2:$J$596)*(A32&lt;Task_table_03_2_26!$K$2:$K$596))</f>
        <v>0</v>
      </c>
      <c r="E32" cm="1">
        <f t="array" ref="E32">SUMPRODUCT((Task_table_03_2_26!$C$2:$C$596=$E$1)*(A32&gt;Task_table_03_2_26!$J$2:$J$596)*(A32&lt;Task_table_03_2_26!$K$2:$K$596))</f>
        <v>0</v>
      </c>
    </row>
    <row r="33" spans="1:5">
      <c r="A33" s="5">
        <v>45901</v>
      </c>
      <c r="B33" cm="1">
        <f t="array" ref="B33">SUMPRODUCT((Task_table_03_2_26!$C$2:$C$596=$B$1)*(A33&gt;Task_table_03_2_26!$J$2:$J$596)*(A33&lt;Task_table_03_2_26!$K$2:$K$596))</f>
        <v>1</v>
      </c>
      <c r="C33" cm="1">
        <f t="array" ref="C33">SUMPRODUCT((Task_table_03_2_26!$C$2:$C$596=$C$1)*(A33&gt;Task_table_03_2_26!$J$2:$J$596)*(A33&lt;Task_table_03_2_26!$K$2:$K$596))</f>
        <v>0</v>
      </c>
      <c r="D33" cm="1">
        <f t="array" ref="D33">SUMPRODUCT((Task_table_03_2_26!$C$2:$C$596=$D$1)*(A33&gt;Task_table_03_2_26!$J$2:$J$596)*(A33&lt;Task_table_03_2_26!$K$2:$K$596))</f>
        <v>0</v>
      </c>
      <c r="E33" cm="1">
        <f t="array" ref="E33">SUMPRODUCT((Task_table_03_2_26!$C$2:$C$596=$E$1)*(A33&gt;Task_table_03_2_26!$J$2:$J$596)*(A33&lt;Task_table_03_2_26!$K$2:$K$596))</f>
        <v>0</v>
      </c>
    </row>
    <row r="34" spans="1:5">
      <c r="A34" s="5">
        <v>45902</v>
      </c>
      <c r="B34" cm="1">
        <f t="array" ref="B34">SUMPRODUCT((Task_table_03_2_26!$C$2:$C$596=$B$1)*(A34&gt;Task_table_03_2_26!$J$2:$J$596)*(A34&lt;Task_table_03_2_26!$K$2:$K$596))</f>
        <v>1</v>
      </c>
      <c r="C34" cm="1">
        <f t="array" ref="C34">SUMPRODUCT((Task_table_03_2_26!$C$2:$C$596=$C$1)*(A34&gt;Task_table_03_2_26!$J$2:$J$596)*(A34&lt;Task_table_03_2_26!$K$2:$K$596))</f>
        <v>0</v>
      </c>
      <c r="D34" cm="1">
        <f t="array" ref="D34">SUMPRODUCT((Task_table_03_2_26!$C$2:$C$596=$D$1)*(A34&gt;Task_table_03_2_26!$J$2:$J$596)*(A34&lt;Task_table_03_2_26!$K$2:$K$596))</f>
        <v>0</v>
      </c>
      <c r="E34" cm="1">
        <f t="array" ref="E34">SUMPRODUCT((Task_table_03_2_26!$C$2:$C$596=$E$1)*(A34&gt;Task_table_03_2_26!$J$2:$J$596)*(A34&lt;Task_table_03_2_26!$K$2:$K$596))</f>
        <v>0</v>
      </c>
    </row>
    <row r="35" spans="1:5">
      <c r="A35" s="5">
        <v>45903</v>
      </c>
      <c r="B35" cm="1">
        <f t="array" ref="B35">SUMPRODUCT((Task_table_03_2_26!$C$2:$C$596=$B$1)*(A35&gt;Task_table_03_2_26!$J$2:$J$596)*(A35&lt;Task_table_03_2_26!$K$2:$K$596))</f>
        <v>1</v>
      </c>
      <c r="C35" cm="1">
        <f t="array" ref="C35">SUMPRODUCT((Task_table_03_2_26!$C$2:$C$596=$C$1)*(A35&gt;Task_table_03_2_26!$J$2:$J$596)*(A35&lt;Task_table_03_2_26!$K$2:$K$596))</f>
        <v>0</v>
      </c>
      <c r="D35" cm="1">
        <f t="array" ref="D35">SUMPRODUCT((Task_table_03_2_26!$C$2:$C$596=$D$1)*(A35&gt;Task_table_03_2_26!$J$2:$J$596)*(A35&lt;Task_table_03_2_26!$K$2:$K$596))</f>
        <v>0</v>
      </c>
      <c r="E35" cm="1">
        <f t="array" ref="E35">SUMPRODUCT((Task_table_03_2_26!$C$2:$C$596=$E$1)*(A35&gt;Task_table_03_2_26!$J$2:$J$596)*(A35&lt;Task_table_03_2_26!$K$2:$K$596))</f>
        <v>0</v>
      </c>
    </row>
    <row r="36" spans="1:5">
      <c r="A36" s="5">
        <v>45904</v>
      </c>
      <c r="B36" cm="1">
        <f t="array" ref="B36">SUMPRODUCT((Task_table_03_2_26!$C$2:$C$596=$B$1)*(A36&gt;Task_table_03_2_26!$J$2:$J$596)*(A36&lt;Task_table_03_2_26!$K$2:$K$596))</f>
        <v>1</v>
      </c>
      <c r="C36" cm="1">
        <f t="array" ref="C36">SUMPRODUCT((Task_table_03_2_26!$C$2:$C$596=$C$1)*(A36&gt;Task_table_03_2_26!$J$2:$J$596)*(A36&lt;Task_table_03_2_26!$K$2:$K$596))</f>
        <v>0</v>
      </c>
      <c r="D36" cm="1">
        <f t="array" ref="D36">SUMPRODUCT((Task_table_03_2_26!$C$2:$C$596=$D$1)*(A36&gt;Task_table_03_2_26!$J$2:$J$596)*(A36&lt;Task_table_03_2_26!$K$2:$K$596))</f>
        <v>0</v>
      </c>
      <c r="E36" cm="1">
        <f t="array" ref="E36">SUMPRODUCT((Task_table_03_2_26!$C$2:$C$596=$E$1)*(A36&gt;Task_table_03_2_26!$J$2:$J$596)*(A36&lt;Task_table_03_2_26!$K$2:$K$596))</f>
        <v>0</v>
      </c>
    </row>
    <row r="37" spans="1:5">
      <c r="A37" s="5">
        <v>45905</v>
      </c>
      <c r="B37" cm="1">
        <f t="array" ref="B37">SUMPRODUCT((Task_table_03_2_26!$C$2:$C$596=$B$1)*(A37&gt;Task_table_03_2_26!$J$2:$J$596)*(A37&lt;Task_table_03_2_26!$K$2:$K$596))</f>
        <v>1</v>
      </c>
      <c r="C37" cm="1">
        <f t="array" ref="C37">SUMPRODUCT((Task_table_03_2_26!$C$2:$C$596=$C$1)*(A37&gt;Task_table_03_2_26!$J$2:$J$596)*(A37&lt;Task_table_03_2_26!$K$2:$K$596))</f>
        <v>0</v>
      </c>
      <c r="D37" cm="1">
        <f t="array" ref="D37">SUMPRODUCT((Task_table_03_2_26!$C$2:$C$596=$D$1)*(A37&gt;Task_table_03_2_26!$J$2:$J$596)*(A37&lt;Task_table_03_2_26!$K$2:$K$596))</f>
        <v>0</v>
      </c>
      <c r="E37" cm="1">
        <f t="array" ref="E37">SUMPRODUCT((Task_table_03_2_26!$C$2:$C$596=$E$1)*(A37&gt;Task_table_03_2_26!$J$2:$J$596)*(A37&lt;Task_table_03_2_26!$K$2:$K$596))</f>
        <v>0</v>
      </c>
    </row>
    <row r="38" spans="1:5">
      <c r="A38" s="5">
        <v>45906</v>
      </c>
      <c r="B38" cm="1">
        <f t="array" ref="B38">SUMPRODUCT((Task_table_03_2_26!$C$2:$C$596=$B$1)*(A38&gt;Task_table_03_2_26!$J$2:$J$596)*(A38&lt;Task_table_03_2_26!$K$2:$K$596))</f>
        <v>1</v>
      </c>
      <c r="C38" cm="1">
        <f t="array" ref="C38">SUMPRODUCT((Task_table_03_2_26!$C$2:$C$596=$C$1)*(A38&gt;Task_table_03_2_26!$J$2:$J$596)*(A38&lt;Task_table_03_2_26!$K$2:$K$596))</f>
        <v>0</v>
      </c>
      <c r="D38" cm="1">
        <f t="array" ref="D38">SUMPRODUCT((Task_table_03_2_26!$C$2:$C$596=$D$1)*(A38&gt;Task_table_03_2_26!$J$2:$J$596)*(A38&lt;Task_table_03_2_26!$K$2:$K$596))</f>
        <v>0</v>
      </c>
      <c r="E38" cm="1">
        <f t="array" ref="E38">SUMPRODUCT((Task_table_03_2_26!$C$2:$C$596=$E$1)*(A38&gt;Task_table_03_2_26!$J$2:$J$596)*(A38&lt;Task_table_03_2_26!$K$2:$K$596))</f>
        <v>0</v>
      </c>
    </row>
    <row r="39" spans="1:5">
      <c r="A39" s="5">
        <v>45907</v>
      </c>
      <c r="B39" cm="1">
        <f t="array" ref="B39">SUMPRODUCT((Task_table_03_2_26!$C$2:$C$596=$B$1)*(A39&gt;Task_table_03_2_26!$J$2:$J$596)*(A39&lt;Task_table_03_2_26!$K$2:$K$596))</f>
        <v>1</v>
      </c>
      <c r="C39" cm="1">
        <f t="array" ref="C39">SUMPRODUCT((Task_table_03_2_26!$C$2:$C$596=$C$1)*(A39&gt;Task_table_03_2_26!$J$2:$J$596)*(A39&lt;Task_table_03_2_26!$K$2:$K$596))</f>
        <v>0</v>
      </c>
      <c r="D39" cm="1">
        <f t="array" ref="D39">SUMPRODUCT((Task_table_03_2_26!$C$2:$C$596=$D$1)*(A39&gt;Task_table_03_2_26!$J$2:$J$596)*(A39&lt;Task_table_03_2_26!$K$2:$K$596))</f>
        <v>0</v>
      </c>
      <c r="E39" cm="1">
        <f t="array" ref="E39">SUMPRODUCT((Task_table_03_2_26!$C$2:$C$596=$E$1)*(A39&gt;Task_table_03_2_26!$J$2:$J$596)*(A39&lt;Task_table_03_2_26!$K$2:$K$596))</f>
        <v>0</v>
      </c>
    </row>
    <row r="40" spans="1:5">
      <c r="A40" s="5">
        <v>45908</v>
      </c>
      <c r="B40" cm="1">
        <f t="array" ref="B40">SUMPRODUCT((Task_table_03_2_26!$C$2:$C$596=$B$1)*(A40&gt;Task_table_03_2_26!$J$2:$J$596)*(A40&lt;Task_table_03_2_26!$K$2:$K$596))</f>
        <v>1</v>
      </c>
      <c r="C40" cm="1">
        <f t="array" ref="C40">SUMPRODUCT((Task_table_03_2_26!$C$2:$C$596=$C$1)*(A40&gt;Task_table_03_2_26!$J$2:$J$596)*(A40&lt;Task_table_03_2_26!$K$2:$K$596))</f>
        <v>0</v>
      </c>
      <c r="D40" cm="1">
        <f t="array" ref="D40">SUMPRODUCT((Task_table_03_2_26!$C$2:$C$596=$D$1)*(A40&gt;Task_table_03_2_26!$J$2:$J$596)*(A40&lt;Task_table_03_2_26!$K$2:$K$596))</f>
        <v>0</v>
      </c>
      <c r="E40" cm="1">
        <f t="array" ref="E40">SUMPRODUCT((Task_table_03_2_26!$C$2:$C$596=$E$1)*(A40&gt;Task_table_03_2_26!$J$2:$J$596)*(A40&lt;Task_table_03_2_26!$K$2:$K$596))</f>
        <v>0</v>
      </c>
    </row>
    <row r="41" spans="1:5">
      <c r="A41" s="5">
        <v>45909</v>
      </c>
      <c r="B41" cm="1">
        <f t="array" ref="B41">SUMPRODUCT((Task_table_03_2_26!$C$2:$C$596=$B$1)*(A41&gt;Task_table_03_2_26!$J$2:$J$596)*(A41&lt;Task_table_03_2_26!$K$2:$K$596))</f>
        <v>1</v>
      </c>
      <c r="C41" cm="1">
        <f t="array" ref="C41">SUMPRODUCT((Task_table_03_2_26!$C$2:$C$596=$C$1)*(A41&gt;Task_table_03_2_26!$J$2:$J$596)*(A41&lt;Task_table_03_2_26!$K$2:$K$596))</f>
        <v>0</v>
      </c>
      <c r="D41" cm="1">
        <f t="array" ref="D41">SUMPRODUCT((Task_table_03_2_26!$C$2:$C$596=$D$1)*(A41&gt;Task_table_03_2_26!$J$2:$J$596)*(A41&lt;Task_table_03_2_26!$K$2:$K$596))</f>
        <v>0</v>
      </c>
      <c r="E41" cm="1">
        <f t="array" ref="E41">SUMPRODUCT((Task_table_03_2_26!$C$2:$C$596=$E$1)*(A41&gt;Task_table_03_2_26!$J$2:$J$596)*(A41&lt;Task_table_03_2_26!$K$2:$K$596))</f>
        <v>0</v>
      </c>
    </row>
    <row r="42" spans="1:5">
      <c r="A42" s="5">
        <v>45910</v>
      </c>
      <c r="B42" cm="1">
        <f t="array" ref="B42">SUMPRODUCT((Task_table_03_2_26!$C$2:$C$596=$B$1)*(A42&gt;Task_table_03_2_26!$J$2:$J$596)*(A42&lt;Task_table_03_2_26!$K$2:$K$596))</f>
        <v>1</v>
      </c>
      <c r="C42" cm="1">
        <f t="array" ref="C42">SUMPRODUCT((Task_table_03_2_26!$C$2:$C$596=$C$1)*(A42&gt;Task_table_03_2_26!$J$2:$J$596)*(A42&lt;Task_table_03_2_26!$K$2:$K$596))</f>
        <v>0</v>
      </c>
      <c r="D42" cm="1">
        <f t="array" ref="D42">SUMPRODUCT((Task_table_03_2_26!$C$2:$C$596=$D$1)*(A42&gt;Task_table_03_2_26!$J$2:$J$596)*(A42&lt;Task_table_03_2_26!$K$2:$K$596))</f>
        <v>0</v>
      </c>
      <c r="E42" cm="1">
        <f t="array" ref="E42">SUMPRODUCT((Task_table_03_2_26!$C$2:$C$596=$E$1)*(A42&gt;Task_table_03_2_26!$J$2:$J$596)*(A42&lt;Task_table_03_2_26!$K$2:$K$596))</f>
        <v>0</v>
      </c>
    </row>
    <row r="43" spans="1:5">
      <c r="A43" s="5">
        <v>45911</v>
      </c>
      <c r="B43" cm="1">
        <f t="array" ref="B43">SUMPRODUCT((Task_table_03_2_26!$C$2:$C$596=$B$1)*(A43&gt;Task_table_03_2_26!$J$2:$J$596)*(A43&lt;Task_table_03_2_26!$K$2:$K$596))</f>
        <v>1</v>
      </c>
      <c r="C43" cm="1">
        <f t="array" ref="C43">SUMPRODUCT((Task_table_03_2_26!$C$2:$C$596=$C$1)*(A43&gt;Task_table_03_2_26!$J$2:$J$596)*(A43&lt;Task_table_03_2_26!$K$2:$K$596))</f>
        <v>0</v>
      </c>
      <c r="D43" cm="1">
        <f t="array" ref="D43">SUMPRODUCT((Task_table_03_2_26!$C$2:$C$596=$D$1)*(A43&gt;Task_table_03_2_26!$J$2:$J$596)*(A43&lt;Task_table_03_2_26!$K$2:$K$596))</f>
        <v>0</v>
      </c>
      <c r="E43" cm="1">
        <f t="array" ref="E43">SUMPRODUCT((Task_table_03_2_26!$C$2:$C$596=$E$1)*(A43&gt;Task_table_03_2_26!$J$2:$J$596)*(A43&lt;Task_table_03_2_26!$K$2:$K$596))</f>
        <v>0</v>
      </c>
    </row>
    <row r="44" spans="1:5">
      <c r="A44" s="5">
        <v>45912</v>
      </c>
      <c r="B44" cm="1">
        <f t="array" ref="B44">SUMPRODUCT((Task_table_03_2_26!$C$2:$C$596=$B$1)*(A44&gt;Task_table_03_2_26!$J$2:$J$596)*(A44&lt;Task_table_03_2_26!$K$2:$K$596))</f>
        <v>1</v>
      </c>
      <c r="C44" cm="1">
        <f t="array" ref="C44">SUMPRODUCT((Task_table_03_2_26!$C$2:$C$596=$C$1)*(A44&gt;Task_table_03_2_26!$J$2:$J$596)*(A44&lt;Task_table_03_2_26!$K$2:$K$596))</f>
        <v>0</v>
      </c>
      <c r="D44" cm="1">
        <f t="array" ref="D44">SUMPRODUCT((Task_table_03_2_26!$C$2:$C$596=$D$1)*(A44&gt;Task_table_03_2_26!$J$2:$J$596)*(A44&lt;Task_table_03_2_26!$K$2:$K$596))</f>
        <v>0</v>
      </c>
      <c r="E44" cm="1">
        <f t="array" ref="E44">SUMPRODUCT((Task_table_03_2_26!$C$2:$C$596=$E$1)*(A44&gt;Task_table_03_2_26!$J$2:$J$596)*(A44&lt;Task_table_03_2_26!$K$2:$K$596))</f>
        <v>0</v>
      </c>
    </row>
    <row r="45" spans="1:5">
      <c r="A45" s="5">
        <v>45913</v>
      </c>
      <c r="B45" cm="1">
        <f t="array" ref="B45">SUMPRODUCT((Task_table_03_2_26!$C$2:$C$596=$B$1)*(A45&gt;Task_table_03_2_26!$J$2:$J$596)*(A45&lt;Task_table_03_2_26!$K$2:$K$596))</f>
        <v>1</v>
      </c>
      <c r="C45" cm="1">
        <f t="array" ref="C45">SUMPRODUCT((Task_table_03_2_26!$C$2:$C$596=$C$1)*(A45&gt;Task_table_03_2_26!$J$2:$J$596)*(A45&lt;Task_table_03_2_26!$K$2:$K$596))</f>
        <v>0</v>
      </c>
      <c r="D45" cm="1">
        <f t="array" ref="D45">SUMPRODUCT((Task_table_03_2_26!$C$2:$C$596=$D$1)*(A45&gt;Task_table_03_2_26!$J$2:$J$596)*(A45&lt;Task_table_03_2_26!$K$2:$K$596))</f>
        <v>0</v>
      </c>
      <c r="E45" cm="1">
        <f t="array" ref="E45">SUMPRODUCT((Task_table_03_2_26!$C$2:$C$596=$E$1)*(A45&gt;Task_table_03_2_26!$J$2:$J$596)*(A45&lt;Task_table_03_2_26!$K$2:$K$596))</f>
        <v>0</v>
      </c>
    </row>
    <row r="46" spans="1:5">
      <c r="A46" s="5">
        <v>45914</v>
      </c>
      <c r="B46" cm="1">
        <f t="array" ref="B46">SUMPRODUCT((Task_table_03_2_26!$C$2:$C$596=$B$1)*(A46&gt;Task_table_03_2_26!$J$2:$J$596)*(A46&lt;Task_table_03_2_26!$K$2:$K$596))</f>
        <v>1</v>
      </c>
      <c r="C46" cm="1">
        <f t="array" ref="C46">SUMPRODUCT((Task_table_03_2_26!$C$2:$C$596=$C$1)*(A46&gt;Task_table_03_2_26!$J$2:$J$596)*(A46&lt;Task_table_03_2_26!$K$2:$K$596))</f>
        <v>0</v>
      </c>
      <c r="D46" cm="1">
        <f t="array" ref="D46">SUMPRODUCT((Task_table_03_2_26!$C$2:$C$596=$D$1)*(A46&gt;Task_table_03_2_26!$J$2:$J$596)*(A46&lt;Task_table_03_2_26!$K$2:$K$596))</f>
        <v>0</v>
      </c>
      <c r="E46" cm="1">
        <f t="array" ref="E46">SUMPRODUCT((Task_table_03_2_26!$C$2:$C$596=$E$1)*(A46&gt;Task_table_03_2_26!$J$2:$J$596)*(A46&lt;Task_table_03_2_26!$K$2:$K$596))</f>
        <v>0</v>
      </c>
    </row>
    <row r="47" spans="1:5">
      <c r="A47" s="5">
        <v>45915</v>
      </c>
      <c r="B47" cm="1">
        <f t="array" ref="B47">SUMPRODUCT((Task_table_03_2_26!$C$2:$C$596=$B$1)*(A47&gt;Task_table_03_2_26!$J$2:$J$596)*(A47&lt;Task_table_03_2_26!$K$2:$K$596))</f>
        <v>1</v>
      </c>
      <c r="C47" cm="1">
        <f t="array" ref="C47">SUMPRODUCT((Task_table_03_2_26!$C$2:$C$596=$C$1)*(A47&gt;Task_table_03_2_26!$J$2:$J$596)*(A47&lt;Task_table_03_2_26!$K$2:$K$596))</f>
        <v>0</v>
      </c>
      <c r="D47" cm="1">
        <f t="array" ref="D47">SUMPRODUCT((Task_table_03_2_26!$C$2:$C$596=$D$1)*(A47&gt;Task_table_03_2_26!$J$2:$J$596)*(A47&lt;Task_table_03_2_26!$K$2:$K$596))</f>
        <v>0</v>
      </c>
      <c r="E47" cm="1">
        <f t="array" ref="E47">SUMPRODUCT((Task_table_03_2_26!$C$2:$C$596=$E$1)*(A47&gt;Task_table_03_2_26!$J$2:$J$596)*(A47&lt;Task_table_03_2_26!$K$2:$K$596))</f>
        <v>0</v>
      </c>
    </row>
    <row r="48" spans="1:5">
      <c r="A48" s="5">
        <v>45916</v>
      </c>
      <c r="B48" cm="1">
        <f t="array" ref="B48">SUMPRODUCT((Task_table_03_2_26!$C$2:$C$596=$B$1)*(A48&gt;Task_table_03_2_26!$J$2:$J$596)*(A48&lt;Task_table_03_2_26!$K$2:$K$596))</f>
        <v>1</v>
      </c>
      <c r="C48" cm="1">
        <f t="array" ref="C48">SUMPRODUCT((Task_table_03_2_26!$C$2:$C$596=$C$1)*(A48&gt;Task_table_03_2_26!$J$2:$J$596)*(A48&lt;Task_table_03_2_26!$K$2:$K$596))</f>
        <v>0</v>
      </c>
      <c r="D48" cm="1">
        <f t="array" ref="D48">SUMPRODUCT((Task_table_03_2_26!$C$2:$C$596=$D$1)*(A48&gt;Task_table_03_2_26!$J$2:$J$596)*(A48&lt;Task_table_03_2_26!$K$2:$K$596))</f>
        <v>0</v>
      </c>
      <c r="E48" cm="1">
        <f t="array" ref="E48">SUMPRODUCT((Task_table_03_2_26!$C$2:$C$596=$E$1)*(A48&gt;Task_table_03_2_26!$J$2:$J$596)*(A48&lt;Task_table_03_2_26!$K$2:$K$596))</f>
        <v>0</v>
      </c>
    </row>
    <row r="49" spans="1:5">
      <c r="A49" s="5">
        <v>45917</v>
      </c>
      <c r="B49" cm="1">
        <f t="array" ref="B49">SUMPRODUCT((Task_table_03_2_26!$C$2:$C$596=$B$1)*(A49&gt;Task_table_03_2_26!$J$2:$J$596)*(A49&lt;Task_table_03_2_26!$K$2:$K$596))</f>
        <v>1</v>
      </c>
      <c r="C49" cm="1">
        <f t="array" ref="C49">SUMPRODUCT((Task_table_03_2_26!$C$2:$C$596=$C$1)*(A49&gt;Task_table_03_2_26!$J$2:$J$596)*(A49&lt;Task_table_03_2_26!$K$2:$K$596))</f>
        <v>0</v>
      </c>
      <c r="D49" cm="1">
        <f t="array" ref="D49">SUMPRODUCT((Task_table_03_2_26!$C$2:$C$596=$D$1)*(A49&gt;Task_table_03_2_26!$J$2:$J$596)*(A49&lt;Task_table_03_2_26!$K$2:$K$596))</f>
        <v>0</v>
      </c>
      <c r="E49" cm="1">
        <f t="array" ref="E49">SUMPRODUCT((Task_table_03_2_26!$C$2:$C$596=$E$1)*(A49&gt;Task_table_03_2_26!$J$2:$J$596)*(A49&lt;Task_table_03_2_26!$K$2:$K$596))</f>
        <v>0</v>
      </c>
    </row>
    <row r="50" spans="1:5">
      <c r="A50" s="5">
        <v>45918</v>
      </c>
      <c r="B50" cm="1">
        <f t="array" ref="B50">SUMPRODUCT((Task_table_03_2_26!$C$2:$C$596=$B$1)*(A50&gt;Task_table_03_2_26!$J$2:$J$596)*(A50&lt;Task_table_03_2_26!$K$2:$K$596))</f>
        <v>1</v>
      </c>
      <c r="C50" cm="1">
        <f t="array" ref="C50">SUMPRODUCT((Task_table_03_2_26!$C$2:$C$596=$C$1)*(A50&gt;Task_table_03_2_26!$J$2:$J$596)*(A50&lt;Task_table_03_2_26!$K$2:$K$596))</f>
        <v>0</v>
      </c>
      <c r="D50" cm="1">
        <f t="array" ref="D50">SUMPRODUCT((Task_table_03_2_26!$C$2:$C$596=$D$1)*(A50&gt;Task_table_03_2_26!$J$2:$J$596)*(A50&lt;Task_table_03_2_26!$K$2:$K$596))</f>
        <v>0</v>
      </c>
      <c r="E50" cm="1">
        <f t="array" ref="E50">SUMPRODUCT((Task_table_03_2_26!$C$2:$C$596=$E$1)*(A50&gt;Task_table_03_2_26!$J$2:$J$596)*(A50&lt;Task_table_03_2_26!$K$2:$K$596))</f>
        <v>0</v>
      </c>
    </row>
    <row r="51" spans="1:5">
      <c r="A51" s="5">
        <v>45919</v>
      </c>
      <c r="B51" cm="1">
        <f t="array" ref="B51">SUMPRODUCT((Task_table_03_2_26!$C$2:$C$596=$B$1)*(A51&gt;Task_table_03_2_26!$J$2:$J$596)*(A51&lt;Task_table_03_2_26!$K$2:$K$596))</f>
        <v>1</v>
      </c>
      <c r="C51" cm="1">
        <f t="array" ref="C51">SUMPRODUCT((Task_table_03_2_26!$C$2:$C$596=$C$1)*(A51&gt;Task_table_03_2_26!$J$2:$J$596)*(A51&lt;Task_table_03_2_26!$K$2:$K$596))</f>
        <v>0</v>
      </c>
      <c r="D51" cm="1">
        <f t="array" ref="D51">SUMPRODUCT((Task_table_03_2_26!$C$2:$C$596=$D$1)*(A51&gt;Task_table_03_2_26!$J$2:$J$596)*(A51&lt;Task_table_03_2_26!$K$2:$K$596))</f>
        <v>0</v>
      </c>
      <c r="E51" cm="1">
        <f t="array" ref="E51">SUMPRODUCT((Task_table_03_2_26!$C$2:$C$596=$E$1)*(A51&gt;Task_table_03_2_26!$J$2:$J$596)*(A51&lt;Task_table_03_2_26!$K$2:$K$596))</f>
        <v>0</v>
      </c>
    </row>
    <row r="52" spans="1:5">
      <c r="A52" s="5">
        <v>45920</v>
      </c>
      <c r="B52" cm="1">
        <f t="array" ref="B52">SUMPRODUCT((Task_table_03_2_26!$C$2:$C$596=$B$1)*(A52&gt;Task_table_03_2_26!$J$2:$J$596)*(A52&lt;Task_table_03_2_26!$K$2:$K$596))</f>
        <v>1</v>
      </c>
      <c r="C52" cm="1">
        <f t="array" ref="C52">SUMPRODUCT((Task_table_03_2_26!$C$2:$C$596=$C$1)*(A52&gt;Task_table_03_2_26!$J$2:$J$596)*(A52&lt;Task_table_03_2_26!$K$2:$K$596))</f>
        <v>0</v>
      </c>
      <c r="D52" cm="1">
        <f t="array" ref="D52">SUMPRODUCT((Task_table_03_2_26!$C$2:$C$596=$D$1)*(A52&gt;Task_table_03_2_26!$J$2:$J$596)*(A52&lt;Task_table_03_2_26!$K$2:$K$596))</f>
        <v>0</v>
      </c>
      <c r="E52" cm="1">
        <f t="array" ref="E52">SUMPRODUCT((Task_table_03_2_26!$C$2:$C$596=$E$1)*(A52&gt;Task_table_03_2_26!$J$2:$J$596)*(A52&lt;Task_table_03_2_26!$K$2:$K$596))</f>
        <v>0</v>
      </c>
    </row>
    <row r="53" spans="1:5">
      <c r="A53" s="5">
        <v>45921</v>
      </c>
      <c r="B53" cm="1">
        <f t="array" ref="B53">SUMPRODUCT((Task_table_03_2_26!$C$2:$C$596=$B$1)*(A53&gt;Task_table_03_2_26!$J$2:$J$596)*(A53&lt;Task_table_03_2_26!$K$2:$K$596))</f>
        <v>1</v>
      </c>
      <c r="C53" cm="1">
        <f t="array" ref="C53">SUMPRODUCT((Task_table_03_2_26!$C$2:$C$596=$C$1)*(A53&gt;Task_table_03_2_26!$J$2:$J$596)*(A53&lt;Task_table_03_2_26!$K$2:$K$596))</f>
        <v>0</v>
      </c>
      <c r="D53" cm="1">
        <f t="array" ref="D53">SUMPRODUCT((Task_table_03_2_26!$C$2:$C$596=$D$1)*(A53&gt;Task_table_03_2_26!$J$2:$J$596)*(A53&lt;Task_table_03_2_26!$K$2:$K$596))</f>
        <v>0</v>
      </c>
      <c r="E53" cm="1">
        <f t="array" ref="E53">SUMPRODUCT((Task_table_03_2_26!$C$2:$C$596=$E$1)*(A53&gt;Task_table_03_2_26!$J$2:$J$596)*(A53&lt;Task_table_03_2_26!$K$2:$K$596))</f>
        <v>0</v>
      </c>
    </row>
    <row r="54" spans="1:5">
      <c r="A54" s="5">
        <v>45922</v>
      </c>
      <c r="B54" cm="1">
        <f t="array" ref="B54">SUMPRODUCT((Task_table_03_2_26!$C$2:$C$596=$B$1)*(A54&gt;Task_table_03_2_26!$J$2:$J$596)*(A54&lt;Task_table_03_2_26!$K$2:$K$596))</f>
        <v>1</v>
      </c>
      <c r="C54" cm="1">
        <f t="array" ref="C54">SUMPRODUCT((Task_table_03_2_26!$C$2:$C$596=$C$1)*(A54&gt;Task_table_03_2_26!$J$2:$J$596)*(A54&lt;Task_table_03_2_26!$K$2:$K$596))</f>
        <v>0</v>
      </c>
      <c r="D54" cm="1">
        <f t="array" ref="D54">SUMPRODUCT((Task_table_03_2_26!$C$2:$C$596=$D$1)*(A54&gt;Task_table_03_2_26!$J$2:$J$596)*(A54&lt;Task_table_03_2_26!$K$2:$K$596))</f>
        <v>0</v>
      </c>
      <c r="E54" cm="1">
        <f t="array" ref="E54">SUMPRODUCT((Task_table_03_2_26!$C$2:$C$596=$E$1)*(A54&gt;Task_table_03_2_26!$J$2:$J$596)*(A54&lt;Task_table_03_2_26!$K$2:$K$596))</f>
        <v>0</v>
      </c>
    </row>
    <row r="55" spans="1:5">
      <c r="A55" s="5">
        <v>45923</v>
      </c>
      <c r="B55" cm="1">
        <f t="array" ref="B55">SUMPRODUCT((Task_table_03_2_26!$C$2:$C$596=$B$1)*(A55&gt;Task_table_03_2_26!$J$2:$J$596)*(A55&lt;Task_table_03_2_26!$K$2:$K$596))</f>
        <v>1</v>
      </c>
      <c r="C55" cm="1">
        <f t="array" ref="C55">SUMPRODUCT((Task_table_03_2_26!$C$2:$C$596=$C$1)*(A55&gt;Task_table_03_2_26!$J$2:$J$596)*(A55&lt;Task_table_03_2_26!$K$2:$K$596))</f>
        <v>0</v>
      </c>
      <c r="D55" cm="1">
        <f t="array" ref="D55">SUMPRODUCT((Task_table_03_2_26!$C$2:$C$596=$D$1)*(A55&gt;Task_table_03_2_26!$J$2:$J$596)*(A55&lt;Task_table_03_2_26!$K$2:$K$596))</f>
        <v>0</v>
      </c>
      <c r="E55" cm="1">
        <f t="array" ref="E55">SUMPRODUCT((Task_table_03_2_26!$C$2:$C$596=$E$1)*(A55&gt;Task_table_03_2_26!$J$2:$J$596)*(A55&lt;Task_table_03_2_26!$K$2:$K$596))</f>
        <v>0</v>
      </c>
    </row>
    <row r="56" spans="1:5">
      <c r="A56" s="5">
        <v>45924</v>
      </c>
      <c r="B56" cm="1">
        <f t="array" ref="B56">SUMPRODUCT((Task_table_03_2_26!$C$2:$C$596=$B$1)*(A56&gt;Task_table_03_2_26!$J$2:$J$596)*(A56&lt;Task_table_03_2_26!$K$2:$K$596))</f>
        <v>1</v>
      </c>
      <c r="C56" cm="1">
        <f t="array" ref="C56">SUMPRODUCT((Task_table_03_2_26!$C$2:$C$596=$C$1)*(A56&gt;Task_table_03_2_26!$J$2:$J$596)*(A56&lt;Task_table_03_2_26!$K$2:$K$596))</f>
        <v>0</v>
      </c>
      <c r="D56" cm="1">
        <f t="array" ref="D56">SUMPRODUCT((Task_table_03_2_26!$C$2:$C$596=$D$1)*(A56&gt;Task_table_03_2_26!$J$2:$J$596)*(A56&lt;Task_table_03_2_26!$K$2:$K$596))</f>
        <v>0</v>
      </c>
      <c r="E56" cm="1">
        <f t="array" ref="E56">SUMPRODUCT((Task_table_03_2_26!$C$2:$C$596=$E$1)*(A56&gt;Task_table_03_2_26!$J$2:$J$596)*(A56&lt;Task_table_03_2_26!$K$2:$K$596))</f>
        <v>0</v>
      </c>
    </row>
    <row r="57" spans="1:5">
      <c r="A57" s="5">
        <v>45925</v>
      </c>
      <c r="B57" cm="1">
        <f t="array" ref="B57">SUMPRODUCT((Task_table_03_2_26!$C$2:$C$596=$B$1)*(A57&gt;Task_table_03_2_26!$J$2:$J$596)*(A57&lt;Task_table_03_2_26!$K$2:$K$596))</f>
        <v>1</v>
      </c>
      <c r="C57" cm="1">
        <f t="array" ref="C57">SUMPRODUCT((Task_table_03_2_26!$C$2:$C$596=$C$1)*(A57&gt;Task_table_03_2_26!$J$2:$J$596)*(A57&lt;Task_table_03_2_26!$K$2:$K$596))</f>
        <v>0</v>
      </c>
      <c r="D57" cm="1">
        <f t="array" ref="D57">SUMPRODUCT((Task_table_03_2_26!$C$2:$C$596=$D$1)*(A57&gt;Task_table_03_2_26!$J$2:$J$596)*(A57&lt;Task_table_03_2_26!$K$2:$K$596))</f>
        <v>0</v>
      </c>
      <c r="E57" cm="1">
        <f t="array" ref="E57">SUMPRODUCT((Task_table_03_2_26!$C$2:$C$596=$E$1)*(A57&gt;Task_table_03_2_26!$J$2:$J$596)*(A57&lt;Task_table_03_2_26!$K$2:$K$596))</f>
        <v>0</v>
      </c>
    </row>
    <row r="58" spans="1:5">
      <c r="A58" s="5">
        <v>45926</v>
      </c>
      <c r="B58" cm="1">
        <f t="array" ref="B58">SUMPRODUCT((Task_table_03_2_26!$C$2:$C$596=$B$1)*(A58&gt;Task_table_03_2_26!$J$2:$J$596)*(A58&lt;Task_table_03_2_26!$K$2:$K$596))</f>
        <v>1</v>
      </c>
      <c r="C58" cm="1">
        <f t="array" ref="C58">SUMPRODUCT((Task_table_03_2_26!$C$2:$C$596=$C$1)*(A58&gt;Task_table_03_2_26!$J$2:$J$596)*(A58&lt;Task_table_03_2_26!$K$2:$K$596))</f>
        <v>0</v>
      </c>
      <c r="D58" cm="1">
        <f t="array" ref="D58">SUMPRODUCT((Task_table_03_2_26!$C$2:$C$596=$D$1)*(A58&gt;Task_table_03_2_26!$J$2:$J$596)*(A58&lt;Task_table_03_2_26!$K$2:$K$596))</f>
        <v>0</v>
      </c>
      <c r="E58" cm="1">
        <f t="array" ref="E58">SUMPRODUCT((Task_table_03_2_26!$C$2:$C$596=$E$1)*(A58&gt;Task_table_03_2_26!$J$2:$J$596)*(A58&lt;Task_table_03_2_26!$K$2:$K$596))</f>
        <v>0</v>
      </c>
    </row>
    <row r="59" spans="1:5">
      <c r="A59" s="5">
        <v>45927</v>
      </c>
      <c r="B59" cm="1">
        <f t="array" ref="B59">SUMPRODUCT((Task_table_03_2_26!$C$2:$C$596=$B$1)*(A59&gt;Task_table_03_2_26!$J$2:$J$596)*(A59&lt;Task_table_03_2_26!$K$2:$K$596))</f>
        <v>1</v>
      </c>
      <c r="C59" cm="1">
        <f t="array" ref="C59">SUMPRODUCT((Task_table_03_2_26!$C$2:$C$596=$C$1)*(A59&gt;Task_table_03_2_26!$J$2:$J$596)*(A59&lt;Task_table_03_2_26!$K$2:$K$596))</f>
        <v>0</v>
      </c>
      <c r="D59" cm="1">
        <f t="array" ref="D59">SUMPRODUCT((Task_table_03_2_26!$C$2:$C$596=$D$1)*(A59&gt;Task_table_03_2_26!$J$2:$J$596)*(A59&lt;Task_table_03_2_26!$K$2:$K$596))</f>
        <v>0</v>
      </c>
      <c r="E59" cm="1">
        <f t="array" ref="E59">SUMPRODUCT((Task_table_03_2_26!$C$2:$C$596=$E$1)*(A59&gt;Task_table_03_2_26!$J$2:$J$596)*(A59&lt;Task_table_03_2_26!$K$2:$K$596))</f>
        <v>0</v>
      </c>
    </row>
    <row r="60" spans="1:5">
      <c r="A60" s="5">
        <v>45928</v>
      </c>
      <c r="B60" cm="1">
        <f t="array" ref="B60">SUMPRODUCT((Task_table_03_2_26!$C$2:$C$596=$B$1)*(A60&gt;Task_table_03_2_26!$J$2:$J$596)*(A60&lt;Task_table_03_2_26!$K$2:$K$596))</f>
        <v>1</v>
      </c>
      <c r="C60" cm="1">
        <f t="array" ref="C60">SUMPRODUCT((Task_table_03_2_26!$C$2:$C$596=$C$1)*(A60&gt;Task_table_03_2_26!$J$2:$J$596)*(A60&lt;Task_table_03_2_26!$K$2:$K$596))</f>
        <v>0</v>
      </c>
      <c r="D60" cm="1">
        <f t="array" ref="D60">SUMPRODUCT((Task_table_03_2_26!$C$2:$C$596=$D$1)*(A60&gt;Task_table_03_2_26!$J$2:$J$596)*(A60&lt;Task_table_03_2_26!$K$2:$K$596))</f>
        <v>0</v>
      </c>
      <c r="E60" cm="1">
        <f t="array" ref="E60">SUMPRODUCT((Task_table_03_2_26!$C$2:$C$596=$E$1)*(A60&gt;Task_table_03_2_26!$J$2:$J$596)*(A60&lt;Task_table_03_2_26!$K$2:$K$596))</f>
        <v>0</v>
      </c>
    </row>
    <row r="61" spans="1:5">
      <c r="A61" s="5">
        <v>45929</v>
      </c>
      <c r="B61" cm="1">
        <f t="array" ref="B61">SUMPRODUCT((Task_table_03_2_26!$C$2:$C$596=$B$1)*(A61&gt;Task_table_03_2_26!$J$2:$J$596)*(A61&lt;Task_table_03_2_26!$K$2:$K$596))</f>
        <v>1</v>
      </c>
      <c r="C61" cm="1">
        <f t="array" ref="C61">SUMPRODUCT((Task_table_03_2_26!$C$2:$C$596=$C$1)*(A61&gt;Task_table_03_2_26!$J$2:$J$596)*(A61&lt;Task_table_03_2_26!$K$2:$K$596))</f>
        <v>0</v>
      </c>
      <c r="D61" cm="1">
        <f t="array" ref="D61">SUMPRODUCT((Task_table_03_2_26!$C$2:$C$596=$D$1)*(A61&gt;Task_table_03_2_26!$J$2:$J$596)*(A61&lt;Task_table_03_2_26!$K$2:$K$596))</f>
        <v>0</v>
      </c>
      <c r="E61" cm="1">
        <f t="array" ref="E61">SUMPRODUCT((Task_table_03_2_26!$C$2:$C$596=$E$1)*(A61&gt;Task_table_03_2_26!$J$2:$J$596)*(A61&lt;Task_table_03_2_26!$K$2:$K$596))</f>
        <v>0</v>
      </c>
    </row>
    <row r="62" spans="1:5">
      <c r="A62" s="5">
        <v>45930</v>
      </c>
      <c r="B62" cm="1">
        <f t="array" ref="B62">SUMPRODUCT((Task_table_03_2_26!$C$2:$C$596=$B$1)*(A62&gt;Task_table_03_2_26!$J$2:$J$596)*(A62&lt;Task_table_03_2_26!$K$2:$K$596))</f>
        <v>1</v>
      </c>
      <c r="C62" cm="1">
        <f t="array" ref="C62">SUMPRODUCT((Task_table_03_2_26!$C$2:$C$596=$C$1)*(A62&gt;Task_table_03_2_26!$J$2:$J$596)*(A62&lt;Task_table_03_2_26!$K$2:$K$596))</f>
        <v>0</v>
      </c>
      <c r="D62" cm="1">
        <f t="array" ref="D62">SUMPRODUCT((Task_table_03_2_26!$C$2:$C$596=$D$1)*(A62&gt;Task_table_03_2_26!$J$2:$J$596)*(A62&lt;Task_table_03_2_26!$K$2:$K$596))</f>
        <v>0</v>
      </c>
      <c r="E62" cm="1">
        <f t="array" ref="E62">SUMPRODUCT((Task_table_03_2_26!$C$2:$C$596=$E$1)*(A62&gt;Task_table_03_2_26!$J$2:$J$596)*(A62&lt;Task_table_03_2_26!$K$2:$K$596))</f>
        <v>0</v>
      </c>
    </row>
    <row r="63" spans="1:5">
      <c r="A63" s="5">
        <v>45931</v>
      </c>
      <c r="B63" cm="1">
        <f t="array" ref="B63">SUMPRODUCT((Task_table_03_2_26!$C$2:$C$596=$B$1)*(A63&gt;Task_table_03_2_26!$J$2:$J$596)*(A63&lt;Task_table_03_2_26!$K$2:$K$596))</f>
        <v>1</v>
      </c>
      <c r="C63" cm="1">
        <f t="array" ref="C63">SUMPRODUCT((Task_table_03_2_26!$C$2:$C$596=$C$1)*(A63&gt;Task_table_03_2_26!$J$2:$J$596)*(A63&lt;Task_table_03_2_26!$K$2:$K$596))</f>
        <v>0</v>
      </c>
      <c r="D63" cm="1">
        <f t="array" ref="D63">SUMPRODUCT((Task_table_03_2_26!$C$2:$C$596=$D$1)*(A63&gt;Task_table_03_2_26!$J$2:$J$596)*(A63&lt;Task_table_03_2_26!$K$2:$K$596))</f>
        <v>0</v>
      </c>
      <c r="E63" cm="1">
        <f t="array" ref="E63">SUMPRODUCT((Task_table_03_2_26!$C$2:$C$596=$E$1)*(A63&gt;Task_table_03_2_26!$J$2:$J$596)*(A63&lt;Task_table_03_2_26!$K$2:$K$596))</f>
        <v>0</v>
      </c>
    </row>
    <row r="64" spans="1:5">
      <c r="A64" s="5">
        <v>45932</v>
      </c>
      <c r="B64" cm="1">
        <f t="array" ref="B64">SUMPRODUCT((Task_table_03_2_26!$C$2:$C$596=$B$1)*(A64&gt;Task_table_03_2_26!$J$2:$J$596)*(A64&lt;Task_table_03_2_26!$K$2:$K$596))</f>
        <v>13</v>
      </c>
      <c r="C64" cm="1">
        <f t="array" ref="C64">SUMPRODUCT((Task_table_03_2_26!$C$2:$C$596=$C$1)*(A64&gt;Task_table_03_2_26!$J$2:$J$596)*(A64&lt;Task_table_03_2_26!$K$2:$K$596))</f>
        <v>0</v>
      </c>
      <c r="D64" cm="1">
        <f t="array" ref="D64">SUMPRODUCT((Task_table_03_2_26!$C$2:$C$596=$D$1)*(A64&gt;Task_table_03_2_26!$J$2:$J$596)*(A64&lt;Task_table_03_2_26!$K$2:$K$596))</f>
        <v>0</v>
      </c>
      <c r="E64" cm="1">
        <f t="array" ref="E64">SUMPRODUCT((Task_table_03_2_26!$C$2:$C$596=$E$1)*(A64&gt;Task_table_03_2_26!$J$2:$J$596)*(A64&lt;Task_table_03_2_26!$K$2:$K$596))</f>
        <v>0</v>
      </c>
    </row>
    <row r="65" spans="1:5">
      <c r="A65" s="5">
        <v>45933</v>
      </c>
      <c r="B65" cm="1">
        <f t="array" ref="B65">SUMPRODUCT((Task_table_03_2_26!$C$2:$C$596=$B$1)*(A65&gt;Task_table_03_2_26!$J$2:$J$596)*(A65&lt;Task_table_03_2_26!$K$2:$K$596))</f>
        <v>13</v>
      </c>
      <c r="C65" cm="1">
        <f t="array" ref="C65">SUMPRODUCT((Task_table_03_2_26!$C$2:$C$596=$C$1)*(A65&gt;Task_table_03_2_26!$J$2:$J$596)*(A65&lt;Task_table_03_2_26!$K$2:$K$596))</f>
        <v>0</v>
      </c>
      <c r="D65" cm="1">
        <f t="array" ref="D65">SUMPRODUCT((Task_table_03_2_26!$C$2:$C$596=$D$1)*(A65&gt;Task_table_03_2_26!$J$2:$J$596)*(A65&lt;Task_table_03_2_26!$K$2:$K$596))</f>
        <v>0</v>
      </c>
      <c r="E65" cm="1">
        <f t="array" ref="E65">SUMPRODUCT((Task_table_03_2_26!$C$2:$C$596=$E$1)*(A65&gt;Task_table_03_2_26!$J$2:$J$596)*(A65&lt;Task_table_03_2_26!$K$2:$K$596))</f>
        <v>0</v>
      </c>
    </row>
    <row r="66" spans="1:5">
      <c r="A66" s="5">
        <v>45934</v>
      </c>
      <c r="B66" cm="1">
        <f t="array" ref="B66">SUMPRODUCT((Task_table_03_2_26!$C$2:$C$596=$B$1)*(A66&gt;Task_table_03_2_26!$J$2:$J$596)*(A66&lt;Task_table_03_2_26!$K$2:$K$596))</f>
        <v>13</v>
      </c>
      <c r="C66" cm="1">
        <f t="array" ref="C66">SUMPRODUCT((Task_table_03_2_26!$C$2:$C$596=$C$1)*(A66&gt;Task_table_03_2_26!$J$2:$J$596)*(A66&lt;Task_table_03_2_26!$K$2:$K$596))</f>
        <v>0</v>
      </c>
      <c r="D66" cm="1">
        <f t="array" ref="D66">SUMPRODUCT((Task_table_03_2_26!$C$2:$C$596=$D$1)*(A66&gt;Task_table_03_2_26!$J$2:$J$596)*(A66&lt;Task_table_03_2_26!$K$2:$K$596))</f>
        <v>0</v>
      </c>
      <c r="E66" cm="1">
        <f t="array" ref="E66">SUMPRODUCT((Task_table_03_2_26!$C$2:$C$596=$E$1)*(A66&gt;Task_table_03_2_26!$J$2:$J$596)*(A66&lt;Task_table_03_2_26!$K$2:$K$596))</f>
        <v>0</v>
      </c>
    </row>
    <row r="67" spans="1:5">
      <c r="A67" s="5">
        <v>45935</v>
      </c>
      <c r="B67" cm="1">
        <f t="array" ref="B67">SUMPRODUCT((Task_table_03_2_26!$C$2:$C$596=$B$1)*(A67&gt;Task_table_03_2_26!$J$2:$J$596)*(A67&lt;Task_table_03_2_26!$K$2:$K$596))</f>
        <v>13</v>
      </c>
      <c r="C67" cm="1">
        <f t="array" ref="C67">SUMPRODUCT((Task_table_03_2_26!$C$2:$C$596=$C$1)*(A67&gt;Task_table_03_2_26!$J$2:$J$596)*(A67&lt;Task_table_03_2_26!$K$2:$K$596))</f>
        <v>0</v>
      </c>
      <c r="D67" cm="1">
        <f t="array" ref="D67">SUMPRODUCT((Task_table_03_2_26!$C$2:$C$596=$D$1)*(A67&gt;Task_table_03_2_26!$J$2:$J$596)*(A67&lt;Task_table_03_2_26!$K$2:$K$596))</f>
        <v>0</v>
      </c>
      <c r="E67" cm="1">
        <f t="array" ref="E67">SUMPRODUCT((Task_table_03_2_26!$C$2:$C$596=$E$1)*(A67&gt;Task_table_03_2_26!$J$2:$J$596)*(A67&lt;Task_table_03_2_26!$K$2:$K$596))</f>
        <v>0</v>
      </c>
    </row>
    <row r="68" spans="1:5">
      <c r="A68" s="5">
        <v>45936</v>
      </c>
      <c r="B68" cm="1">
        <f t="array" ref="B68">SUMPRODUCT((Task_table_03_2_26!$C$2:$C$596=$B$1)*(A68&gt;Task_table_03_2_26!$J$2:$J$596)*(A68&lt;Task_table_03_2_26!$K$2:$K$596))</f>
        <v>13</v>
      </c>
      <c r="C68" cm="1">
        <f t="array" ref="C68">SUMPRODUCT((Task_table_03_2_26!$C$2:$C$596=$C$1)*(A68&gt;Task_table_03_2_26!$J$2:$J$596)*(A68&lt;Task_table_03_2_26!$K$2:$K$596))</f>
        <v>0</v>
      </c>
      <c r="D68" cm="1">
        <f t="array" ref="D68">SUMPRODUCT((Task_table_03_2_26!$C$2:$C$596=$D$1)*(A68&gt;Task_table_03_2_26!$J$2:$J$596)*(A68&lt;Task_table_03_2_26!$K$2:$K$596))</f>
        <v>0</v>
      </c>
      <c r="E68" cm="1">
        <f t="array" ref="E68">SUMPRODUCT((Task_table_03_2_26!$C$2:$C$596=$E$1)*(A68&gt;Task_table_03_2_26!$J$2:$J$596)*(A68&lt;Task_table_03_2_26!$K$2:$K$596))</f>
        <v>0</v>
      </c>
    </row>
    <row r="69" spans="1:5">
      <c r="A69" s="5">
        <v>45937</v>
      </c>
      <c r="B69" cm="1">
        <f t="array" ref="B69">SUMPRODUCT((Task_table_03_2_26!$C$2:$C$596=$B$1)*(A69&gt;Task_table_03_2_26!$J$2:$J$596)*(A69&lt;Task_table_03_2_26!$K$2:$K$596))</f>
        <v>13</v>
      </c>
      <c r="C69" cm="1">
        <f t="array" ref="C69">SUMPRODUCT((Task_table_03_2_26!$C$2:$C$596=$C$1)*(A69&gt;Task_table_03_2_26!$J$2:$J$596)*(A69&lt;Task_table_03_2_26!$K$2:$K$596))</f>
        <v>0</v>
      </c>
      <c r="D69" cm="1">
        <f t="array" ref="D69">SUMPRODUCT((Task_table_03_2_26!$C$2:$C$596=$D$1)*(A69&gt;Task_table_03_2_26!$J$2:$J$596)*(A69&lt;Task_table_03_2_26!$K$2:$K$596))</f>
        <v>0</v>
      </c>
      <c r="E69" cm="1">
        <f t="array" ref="E69">SUMPRODUCT((Task_table_03_2_26!$C$2:$C$596=$E$1)*(A69&gt;Task_table_03_2_26!$J$2:$J$596)*(A69&lt;Task_table_03_2_26!$K$2:$K$596))</f>
        <v>0</v>
      </c>
    </row>
    <row r="70" spans="1:5">
      <c r="A70" s="5">
        <v>45938</v>
      </c>
      <c r="B70" cm="1">
        <f t="array" ref="B70">SUMPRODUCT((Task_table_03_2_26!$C$2:$C$596=$B$1)*(A70&gt;Task_table_03_2_26!$J$2:$J$596)*(A70&lt;Task_table_03_2_26!$K$2:$K$596))</f>
        <v>13</v>
      </c>
      <c r="C70" cm="1">
        <f t="array" ref="C70">SUMPRODUCT((Task_table_03_2_26!$C$2:$C$596=$C$1)*(A70&gt;Task_table_03_2_26!$J$2:$J$596)*(A70&lt;Task_table_03_2_26!$K$2:$K$596))</f>
        <v>0</v>
      </c>
      <c r="D70" cm="1">
        <f t="array" ref="D70">SUMPRODUCT((Task_table_03_2_26!$C$2:$C$596=$D$1)*(A70&gt;Task_table_03_2_26!$J$2:$J$596)*(A70&lt;Task_table_03_2_26!$K$2:$K$596))</f>
        <v>0</v>
      </c>
      <c r="E70" cm="1">
        <f t="array" ref="E70">SUMPRODUCT((Task_table_03_2_26!$C$2:$C$596=$E$1)*(A70&gt;Task_table_03_2_26!$J$2:$J$596)*(A70&lt;Task_table_03_2_26!$K$2:$K$596))</f>
        <v>0</v>
      </c>
    </row>
    <row r="71" spans="1:5">
      <c r="A71" s="5">
        <v>45939</v>
      </c>
      <c r="B71" cm="1">
        <f t="array" ref="B71">SUMPRODUCT((Task_table_03_2_26!$C$2:$C$596=$B$1)*(A71&gt;Task_table_03_2_26!$J$2:$J$596)*(A71&lt;Task_table_03_2_26!$K$2:$K$596))</f>
        <v>13</v>
      </c>
      <c r="C71" cm="1">
        <f t="array" ref="C71">SUMPRODUCT((Task_table_03_2_26!$C$2:$C$596=$C$1)*(A71&gt;Task_table_03_2_26!$J$2:$J$596)*(A71&lt;Task_table_03_2_26!$K$2:$K$596))</f>
        <v>0</v>
      </c>
      <c r="D71" cm="1">
        <f t="array" ref="D71">SUMPRODUCT((Task_table_03_2_26!$C$2:$C$596=$D$1)*(A71&gt;Task_table_03_2_26!$J$2:$J$596)*(A71&lt;Task_table_03_2_26!$K$2:$K$596))</f>
        <v>0</v>
      </c>
      <c r="E71" cm="1">
        <f t="array" ref="E71">SUMPRODUCT((Task_table_03_2_26!$C$2:$C$596=$E$1)*(A71&gt;Task_table_03_2_26!$J$2:$J$596)*(A71&lt;Task_table_03_2_26!$K$2:$K$596))</f>
        <v>0</v>
      </c>
    </row>
    <row r="72" spans="1:5">
      <c r="A72" s="5">
        <v>45940</v>
      </c>
      <c r="B72" cm="1">
        <f t="array" ref="B72">SUMPRODUCT((Task_table_03_2_26!$C$2:$C$596=$B$1)*(A72&gt;Task_table_03_2_26!$J$2:$J$596)*(A72&lt;Task_table_03_2_26!$K$2:$K$596))</f>
        <v>13</v>
      </c>
      <c r="C72" cm="1">
        <f t="array" ref="C72">SUMPRODUCT((Task_table_03_2_26!$C$2:$C$596=$C$1)*(A72&gt;Task_table_03_2_26!$J$2:$J$596)*(A72&lt;Task_table_03_2_26!$K$2:$K$596))</f>
        <v>0</v>
      </c>
      <c r="D72" cm="1">
        <f t="array" ref="D72">SUMPRODUCT((Task_table_03_2_26!$C$2:$C$596=$D$1)*(A72&gt;Task_table_03_2_26!$J$2:$J$596)*(A72&lt;Task_table_03_2_26!$K$2:$K$596))</f>
        <v>0</v>
      </c>
      <c r="E72" cm="1">
        <f t="array" ref="E72">SUMPRODUCT((Task_table_03_2_26!$C$2:$C$596=$E$1)*(A72&gt;Task_table_03_2_26!$J$2:$J$596)*(A72&lt;Task_table_03_2_26!$K$2:$K$596))</f>
        <v>0</v>
      </c>
    </row>
    <row r="73" spans="1:5">
      <c r="A73" s="5">
        <v>45941</v>
      </c>
      <c r="B73" cm="1">
        <f t="array" ref="B73">SUMPRODUCT((Task_table_03_2_26!$C$2:$C$596=$B$1)*(A73&gt;Task_table_03_2_26!$J$2:$J$596)*(A73&lt;Task_table_03_2_26!$K$2:$K$596))</f>
        <v>13</v>
      </c>
      <c r="C73" cm="1">
        <f t="array" ref="C73">SUMPRODUCT((Task_table_03_2_26!$C$2:$C$596=$C$1)*(A73&gt;Task_table_03_2_26!$J$2:$J$596)*(A73&lt;Task_table_03_2_26!$K$2:$K$596))</f>
        <v>0</v>
      </c>
      <c r="D73" cm="1">
        <f t="array" ref="D73">SUMPRODUCT((Task_table_03_2_26!$C$2:$C$596=$D$1)*(A73&gt;Task_table_03_2_26!$J$2:$J$596)*(A73&lt;Task_table_03_2_26!$K$2:$K$596))</f>
        <v>0</v>
      </c>
      <c r="E73" cm="1">
        <f t="array" ref="E73">SUMPRODUCT((Task_table_03_2_26!$C$2:$C$596=$E$1)*(A73&gt;Task_table_03_2_26!$J$2:$J$596)*(A73&lt;Task_table_03_2_26!$K$2:$K$596))</f>
        <v>0</v>
      </c>
    </row>
    <row r="74" spans="1:5">
      <c r="A74" s="5">
        <v>45942</v>
      </c>
      <c r="B74" cm="1">
        <f t="array" ref="B74">SUMPRODUCT((Task_table_03_2_26!$C$2:$C$596=$B$1)*(A74&gt;Task_table_03_2_26!$J$2:$J$596)*(A74&lt;Task_table_03_2_26!$K$2:$K$596))</f>
        <v>13</v>
      </c>
      <c r="C74" cm="1">
        <f t="array" ref="C74">SUMPRODUCT((Task_table_03_2_26!$C$2:$C$596=$C$1)*(A74&gt;Task_table_03_2_26!$J$2:$J$596)*(A74&lt;Task_table_03_2_26!$K$2:$K$596))</f>
        <v>0</v>
      </c>
      <c r="D74" cm="1">
        <f t="array" ref="D74">SUMPRODUCT((Task_table_03_2_26!$C$2:$C$596=$D$1)*(A74&gt;Task_table_03_2_26!$J$2:$J$596)*(A74&lt;Task_table_03_2_26!$K$2:$K$596))</f>
        <v>0</v>
      </c>
      <c r="E74" cm="1">
        <f t="array" ref="E74">SUMPRODUCT((Task_table_03_2_26!$C$2:$C$596=$E$1)*(A74&gt;Task_table_03_2_26!$J$2:$J$596)*(A74&lt;Task_table_03_2_26!$K$2:$K$596))</f>
        <v>0</v>
      </c>
    </row>
    <row r="75" spans="1:5">
      <c r="A75" s="5">
        <v>45943</v>
      </c>
      <c r="B75" cm="1">
        <f t="array" ref="B75">SUMPRODUCT((Task_table_03_2_26!$C$2:$C$596=$B$1)*(A75&gt;Task_table_03_2_26!$J$2:$J$596)*(A75&lt;Task_table_03_2_26!$K$2:$K$596))</f>
        <v>13</v>
      </c>
      <c r="C75" cm="1">
        <f t="array" ref="C75">SUMPRODUCT((Task_table_03_2_26!$C$2:$C$596=$C$1)*(A75&gt;Task_table_03_2_26!$J$2:$J$596)*(A75&lt;Task_table_03_2_26!$K$2:$K$596))</f>
        <v>0</v>
      </c>
      <c r="D75" cm="1">
        <f t="array" ref="D75">SUMPRODUCT((Task_table_03_2_26!$C$2:$C$596=$D$1)*(A75&gt;Task_table_03_2_26!$J$2:$J$596)*(A75&lt;Task_table_03_2_26!$K$2:$K$596))</f>
        <v>0</v>
      </c>
      <c r="E75" cm="1">
        <f t="array" ref="E75">SUMPRODUCT((Task_table_03_2_26!$C$2:$C$596=$E$1)*(A75&gt;Task_table_03_2_26!$J$2:$J$596)*(A75&lt;Task_table_03_2_26!$K$2:$K$596))</f>
        <v>0</v>
      </c>
    </row>
    <row r="76" spans="1:5">
      <c r="A76" s="5">
        <v>45944</v>
      </c>
      <c r="B76" cm="1">
        <f t="array" ref="B76">SUMPRODUCT((Task_table_03_2_26!$C$2:$C$596=$B$1)*(A76&gt;Task_table_03_2_26!$J$2:$J$596)*(A76&lt;Task_table_03_2_26!$K$2:$K$596))</f>
        <v>13</v>
      </c>
      <c r="C76" cm="1">
        <f t="array" ref="C76">SUMPRODUCT((Task_table_03_2_26!$C$2:$C$596=$C$1)*(A76&gt;Task_table_03_2_26!$J$2:$J$596)*(A76&lt;Task_table_03_2_26!$K$2:$K$596))</f>
        <v>0</v>
      </c>
      <c r="D76" cm="1">
        <f t="array" ref="D76">SUMPRODUCT((Task_table_03_2_26!$C$2:$C$596=$D$1)*(A76&gt;Task_table_03_2_26!$J$2:$J$596)*(A76&lt;Task_table_03_2_26!$K$2:$K$596))</f>
        <v>0</v>
      </c>
      <c r="E76" cm="1">
        <f t="array" ref="E76">SUMPRODUCT((Task_table_03_2_26!$C$2:$C$596=$E$1)*(A76&gt;Task_table_03_2_26!$J$2:$J$596)*(A76&lt;Task_table_03_2_26!$K$2:$K$596))</f>
        <v>0</v>
      </c>
    </row>
    <row r="77" spans="1:5">
      <c r="A77" s="5">
        <v>45945</v>
      </c>
      <c r="B77" cm="1">
        <f t="array" ref="B77">SUMPRODUCT((Task_table_03_2_26!$C$2:$C$596=$B$1)*(A77&gt;Task_table_03_2_26!$J$2:$J$596)*(A77&lt;Task_table_03_2_26!$K$2:$K$596))</f>
        <v>12</v>
      </c>
      <c r="C77" cm="1">
        <f t="array" ref="C77">SUMPRODUCT((Task_table_03_2_26!$C$2:$C$596=$C$1)*(A77&gt;Task_table_03_2_26!$J$2:$J$596)*(A77&lt;Task_table_03_2_26!$K$2:$K$596))</f>
        <v>0</v>
      </c>
      <c r="D77" cm="1">
        <f t="array" ref="D77">SUMPRODUCT((Task_table_03_2_26!$C$2:$C$596=$D$1)*(A77&gt;Task_table_03_2_26!$J$2:$J$596)*(A77&lt;Task_table_03_2_26!$K$2:$K$596))</f>
        <v>0</v>
      </c>
      <c r="E77" cm="1">
        <f t="array" ref="E77">SUMPRODUCT((Task_table_03_2_26!$C$2:$C$596=$E$1)*(A77&gt;Task_table_03_2_26!$J$2:$J$596)*(A77&lt;Task_table_03_2_26!$K$2:$K$596))</f>
        <v>0</v>
      </c>
    </row>
    <row r="78" spans="1:5">
      <c r="A78" s="5">
        <v>45946</v>
      </c>
      <c r="B78" cm="1">
        <f t="array" ref="B78">SUMPRODUCT((Task_table_03_2_26!$C$2:$C$596=$B$1)*(A78&gt;Task_table_03_2_26!$J$2:$J$596)*(A78&lt;Task_table_03_2_26!$K$2:$K$596))</f>
        <v>33</v>
      </c>
      <c r="C78" cm="1">
        <f t="array" ref="C78">SUMPRODUCT((Task_table_03_2_26!$C$2:$C$596=$C$1)*(A78&gt;Task_table_03_2_26!$J$2:$J$596)*(A78&lt;Task_table_03_2_26!$K$2:$K$596))</f>
        <v>0</v>
      </c>
      <c r="D78" cm="1">
        <f t="array" ref="D78">SUMPRODUCT((Task_table_03_2_26!$C$2:$C$596=$D$1)*(A78&gt;Task_table_03_2_26!$J$2:$J$596)*(A78&lt;Task_table_03_2_26!$K$2:$K$596))</f>
        <v>0</v>
      </c>
      <c r="E78" cm="1">
        <f t="array" ref="E78">SUMPRODUCT((Task_table_03_2_26!$C$2:$C$596=$E$1)*(A78&gt;Task_table_03_2_26!$J$2:$J$596)*(A78&lt;Task_table_03_2_26!$K$2:$K$596))</f>
        <v>0</v>
      </c>
    </row>
    <row r="79" spans="1:5">
      <c r="A79" s="5">
        <v>45947</v>
      </c>
      <c r="B79" cm="1">
        <f t="array" ref="B79">SUMPRODUCT((Task_table_03_2_26!$C$2:$C$596=$B$1)*(A79&gt;Task_table_03_2_26!$J$2:$J$596)*(A79&lt;Task_table_03_2_26!$K$2:$K$596))</f>
        <v>38</v>
      </c>
      <c r="C79" cm="1">
        <f t="array" ref="C79">SUMPRODUCT((Task_table_03_2_26!$C$2:$C$596=$C$1)*(A79&gt;Task_table_03_2_26!$J$2:$J$596)*(A79&lt;Task_table_03_2_26!$K$2:$K$596))</f>
        <v>0</v>
      </c>
      <c r="D79" cm="1">
        <f t="array" ref="D79">SUMPRODUCT((Task_table_03_2_26!$C$2:$C$596=$D$1)*(A79&gt;Task_table_03_2_26!$J$2:$J$596)*(A79&lt;Task_table_03_2_26!$K$2:$K$596))</f>
        <v>0</v>
      </c>
      <c r="E79" cm="1">
        <f t="array" ref="E79">SUMPRODUCT((Task_table_03_2_26!$C$2:$C$596=$E$1)*(A79&gt;Task_table_03_2_26!$J$2:$J$596)*(A79&lt;Task_table_03_2_26!$K$2:$K$596))</f>
        <v>1</v>
      </c>
    </row>
    <row r="80" spans="1:5">
      <c r="A80" s="5">
        <v>45948</v>
      </c>
      <c r="B80" cm="1">
        <f t="array" ref="B80">SUMPRODUCT((Task_table_03_2_26!$C$2:$C$596=$B$1)*(A80&gt;Task_table_03_2_26!$J$2:$J$596)*(A80&lt;Task_table_03_2_26!$K$2:$K$596))</f>
        <v>38</v>
      </c>
      <c r="C80" cm="1">
        <f t="array" ref="C80">SUMPRODUCT((Task_table_03_2_26!$C$2:$C$596=$C$1)*(A80&gt;Task_table_03_2_26!$J$2:$J$596)*(A80&lt;Task_table_03_2_26!$K$2:$K$596))</f>
        <v>0</v>
      </c>
      <c r="D80" cm="1">
        <f t="array" ref="D80">SUMPRODUCT((Task_table_03_2_26!$C$2:$C$596=$D$1)*(A80&gt;Task_table_03_2_26!$J$2:$J$596)*(A80&lt;Task_table_03_2_26!$K$2:$K$596))</f>
        <v>0</v>
      </c>
      <c r="E80" cm="1">
        <f t="array" ref="E80">SUMPRODUCT((Task_table_03_2_26!$C$2:$C$596=$E$1)*(A80&gt;Task_table_03_2_26!$J$2:$J$596)*(A80&lt;Task_table_03_2_26!$K$2:$K$596))</f>
        <v>1</v>
      </c>
    </row>
    <row r="81" spans="1:5">
      <c r="A81" s="5">
        <v>45949</v>
      </c>
      <c r="B81" cm="1">
        <f t="array" ref="B81">SUMPRODUCT((Task_table_03_2_26!$C$2:$C$596=$B$1)*(A81&gt;Task_table_03_2_26!$J$2:$J$596)*(A81&lt;Task_table_03_2_26!$K$2:$K$596))</f>
        <v>38</v>
      </c>
      <c r="C81" cm="1">
        <f t="array" ref="C81">SUMPRODUCT((Task_table_03_2_26!$C$2:$C$596=$C$1)*(A81&gt;Task_table_03_2_26!$J$2:$J$596)*(A81&lt;Task_table_03_2_26!$K$2:$K$596))</f>
        <v>0</v>
      </c>
      <c r="D81" cm="1">
        <f t="array" ref="D81">SUMPRODUCT((Task_table_03_2_26!$C$2:$C$596=$D$1)*(A81&gt;Task_table_03_2_26!$J$2:$J$596)*(A81&lt;Task_table_03_2_26!$K$2:$K$596))</f>
        <v>0</v>
      </c>
      <c r="E81" cm="1">
        <f t="array" ref="E81">SUMPRODUCT((Task_table_03_2_26!$C$2:$C$596=$E$1)*(A81&gt;Task_table_03_2_26!$J$2:$J$596)*(A81&lt;Task_table_03_2_26!$K$2:$K$596))</f>
        <v>1</v>
      </c>
    </row>
    <row r="82" spans="1:5">
      <c r="A82" s="5">
        <v>45950</v>
      </c>
      <c r="B82" cm="1">
        <f t="array" ref="B82">SUMPRODUCT((Task_table_03_2_26!$C$2:$C$596=$B$1)*(A82&gt;Task_table_03_2_26!$J$2:$J$596)*(A82&lt;Task_table_03_2_26!$K$2:$K$596))</f>
        <v>39</v>
      </c>
      <c r="C82" cm="1">
        <f t="array" ref="C82">SUMPRODUCT((Task_table_03_2_26!$C$2:$C$596=$C$1)*(A82&gt;Task_table_03_2_26!$J$2:$J$596)*(A82&lt;Task_table_03_2_26!$K$2:$K$596))</f>
        <v>0</v>
      </c>
      <c r="D82" cm="1">
        <f t="array" ref="D82">SUMPRODUCT((Task_table_03_2_26!$C$2:$C$596=$D$1)*(A82&gt;Task_table_03_2_26!$J$2:$J$596)*(A82&lt;Task_table_03_2_26!$K$2:$K$596))</f>
        <v>0</v>
      </c>
      <c r="E82" cm="1">
        <f t="array" ref="E82">SUMPRODUCT((Task_table_03_2_26!$C$2:$C$596=$E$1)*(A82&gt;Task_table_03_2_26!$J$2:$J$596)*(A82&lt;Task_table_03_2_26!$K$2:$K$596))</f>
        <v>1</v>
      </c>
    </row>
    <row r="83" spans="1:5">
      <c r="A83" s="5">
        <v>45951</v>
      </c>
      <c r="B83" cm="1">
        <f t="array" ref="B83">SUMPRODUCT((Task_table_03_2_26!$C$2:$C$596=$B$1)*(A83&gt;Task_table_03_2_26!$J$2:$J$596)*(A83&lt;Task_table_03_2_26!$K$2:$K$596))</f>
        <v>39</v>
      </c>
      <c r="C83" cm="1">
        <f t="array" ref="C83">SUMPRODUCT((Task_table_03_2_26!$C$2:$C$596=$C$1)*(A83&gt;Task_table_03_2_26!$J$2:$J$596)*(A83&lt;Task_table_03_2_26!$K$2:$K$596))</f>
        <v>0</v>
      </c>
      <c r="D83" cm="1">
        <f t="array" ref="D83">SUMPRODUCT((Task_table_03_2_26!$C$2:$C$596=$D$1)*(A83&gt;Task_table_03_2_26!$J$2:$J$596)*(A83&lt;Task_table_03_2_26!$K$2:$K$596))</f>
        <v>0</v>
      </c>
      <c r="E83" cm="1">
        <f t="array" ref="E83">SUMPRODUCT((Task_table_03_2_26!$C$2:$C$596=$E$1)*(A83&gt;Task_table_03_2_26!$J$2:$J$596)*(A83&lt;Task_table_03_2_26!$K$2:$K$596))</f>
        <v>1</v>
      </c>
    </row>
    <row r="84" spans="1:5">
      <c r="A84" s="5">
        <v>45952</v>
      </c>
      <c r="B84" cm="1">
        <f t="array" ref="B84">SUMPRODUCT((Task_table_03_2_26!$C$2:$C$596=$B$1)*(A84&gt;Task_table_03_2_26!$J$2:$J$596)*(A84&lt;Task_table_03_2_26!$K$2:$K$596))</f>
        <v>39</v>
      </c>
      <c r="C84" cm="1">
        <f t="array" ref="C84">SUMPRODUCT((Task_table_03_2_26!$C$2:$C$596=$C$1)*(A84&gt;Task_table_03_2_26!$J$2:$J$596)*(A84&lt;Task_table_03_2_26!$K$2:$K$596))</f>
        <v>0</v>
      </c>
      <c r="D84" cm="1">
        <f t="array" ref="D84">SUMPRODUCT((Task_table_03_2_26!$C$2:$C$596=$D$1)*(A84&gt;Task_table_03_2_26!$J$2:$J$596)*(A84&lt;Task_table_03_2_26!$K$2:$K$596))</f>
        <v>0</v>
      </c>
      <c r="E84" cm="1">
        <f t="array" ref="E84">SUMPRODUCT((Task_table_03_2_26!$C$2:$C$596=$E$1)*(A84&gt;Task_table_03_2_26!$J$2:$J$596)*(A84&lt;Task_table_03_2_26!$K$2:$K$596))</f>
        <v>1</v>
      </c>
    </row>
    <row r="85" spans="1:5">
      <c r="A85" s="5">
        <v>45953</v>
      </c>
      <c r="B85" cm="1">
        <f t="array" ref="B85">SUMPRODUCT((Task_table_03_2_26!$C$2:$C$596=$B$1)*(A85&gt;Task_table_03_2_26!$J$2:$J$596)*(A85&lt;Task_table_03_2_26!$K$2:$K$596))</f>
        <v>39</v>
      </c>
      <c r="C85" cm="1">
        <f t="array" ref="C85">SUMPRODUCT((Task_table_03_2_26!$C$2:$C$596=$C$1)*(A85&gt;Task_table_03_2_26!$J$2:$J$596)*(A85&lt;Task_table_03_2_26!$K$2:$K$596))</f>
        <v>0</v>
      </c>
      <c r="D85" cm="1">
        <f t="array" ref="D85">SUMPRODUCT((Task_table_03_2_26!$C$2:$C$596=$D$1)*(A85&gt;Task_table_03_2_26!$J$2:$J$596)*(A85&lt;Task_table_03_2_26!$K$2:$K$596))</f>
        <v>0</v>
      </c>
      <c r="E85" cm="1">
        <f t="array" ref="E85">SUMPRODUCT((Task_table_03_2_26!$C$2:$C$596=$E$1)*(A85&gt;Task_table_03_2_26!$J$2:$J$596)*(A85&lt;Task_table_03_2_26!$K$2:$K$596))</f>
        <v>1</v>
      </c>
    </row>
    <row r="86" spans="1:5">
      <c r="A86" s="5">
        <v>45954</v>
      </c>
      <c r="B86" cm="1">
        <f t="array" ref="B86">SUMPRODUCT((Task_table_03_2_26!$C$2:$C$596=$B$1)*(A86&gt;Task_table_03_2_26!$J$2:$J$596)*(A86&lt;Task_table_03_2_26!$K$2:$K$596))</f>
        <v>39</v>
      </c>
      <c r="C86" cm="1">
        <f t="array" ref="C86">SUMPRODUCT((Task_table_03_2_26!$C$2:$C$596=$C$1)*(A86&gt;Task_table_03_2_26!$J$2:$J$596)*(A86&lt;Task_table_03_2_26!$K$2:$K$596))</f>
        <v>0</v>
      </c>
      <c r="D86" cm="1">
        <f t="array" ref="D86">SUMPRODUCT((Task_table_03_2_26!$C$2:$C$596=$D$1)*(A86&gt;Task_table_03_2_26!$J$2:$J$596)*(A86&lt;Task_table_03_2_26!$K$2:$K$596))</f>
        <v>0</v>
      </c>
      <c r="E86" cm="1">
        <f t="array" ref="E86">SUMPRODUCT((Task_table_03_2_26!$C$2:$C$596=$E$1)*(A86&gt;Task_table_03_2_26!$J$2:$J$596)*(A86&lt;Task_table_03_2_26!$K$2:$K$596))</f>
        <v>1</v>
      </c>
    </row>
    <row r="87" spans="1:5">
      <c r="A87" s="5">
        <v>45955</v>
      </c>
      <c r="B87" cm="1">
        <f t="array" ref="B87">SUMPRODUCT((Task_table_03_2_26!$C$2:$C$596=$B$1)*(A87&gt;Task_table_03_2_26!$J$2:$J$596)*(A87&lt;Task_table_03_2_26!$K$2:$K$596))</f>
        <v>39</v>
      </c>
      <c r="C87" cm="1">
        <f t="array" ref="C87">SUMPRODUCT((Task_table_03_2_26!$C$2:$C$596=$C$1)*(A87&gt;Task_table_03_2_26!$J$2:$J$596)*(A87&lt;Task_table_03_2_26!$K$2:$K$596))</f>
        <v>0</v>
      </c>
      <c r="D87" cm="1">
        <f t="array" ref="D87">SUMPRODUCT((Task_table_03_2_26!$C$2:$C$596=$D$1)*(A87&gt;Task_table_03_2_26!$J$2:$J$596)*(A87&lt;Task_table_03_2_26!$K$2:$K$596))</f>
        <v>0</v>
      </c>
      <c r="E87" cm="1">
        <f t="array" ref="E87">SUMPRODUCT((Task_table_03_2_26!$C$2:$C$596=$E$1)*(A87&gt;Task_table_03_2_26!$J$2:$J$596)*(A87&lt;Task_table_03_2_26!$K$2:$K$596))</f>
        <v>1</v>
      </c>
    </row>
    <row r="88" spans="1:5">
      <c r="A88" s="5">
        <v>45956</v>
      </c>
      <c r="B88" cm="1">
        <f t="array" ref="B88">SUMPRODUCT((Task_table_03_2_26!$C$2:$C$596=$B$1)*(A88&gt;Task_table_03_2_26!$J$2:$J$596)*(A88&lt;Task_table_03_2_26!$K$2:$K$596))</f>
        <v>39</v>
      </c>
      <c r="C88" cm="1">
        <f t="array" ref="C88">SUMPRODUCT((Task_table_03_2_26!$C$2:$C$596=$C$1)*(A88&gt;Task_table_03_2_26!$J$2:$J$596)*(A88&lt;Task_table_03_2_26!$K$2:$K$596))</f>
        <v>0</v>
      </c>
      <c r="D88" cm="1">
        <f t="array" ref="D88">SUMPRODUCT((Task_table_03_2_26!$C$2:$C$596=$D$1)*(A88&gt;Task_table_03_2_26!$J$2:$J$596)*(A88&lt;Task_table_03_2_26!$K$2:$K$596))</f>
        <v>0</v>
      </c>
      <c r="E88" cm="1">
        <f t="array" ref="E88">SUMPRODUCT((Task_table_03_2_26!$C$2:$C$596=$E$1)*(A88&gt;Task_table_03_2_26!$J$2:$J$596)*(A88&lt;Task_table_03_2_26!$K$2:$K$596))</f>
        <v>1</v>
      </c>
    </row>
    <row r="89" spans="1:5">
      <c r="A89" s="5">
        <v>45957</v>
      </c>
      <c r="B89" cm="1">
        <f t="array" ref="B89">SUMPRODUCT((Task_table_03_2_26!$C$2:$C$596=$B$1)*(A89&gt;Task_table_03_2_26!$J$2:$J$596)*(A89&lt;Task_table_03_2_26!$K$2:$K$596))</f>
        <v>39</v>
      </c>
      <c r="C89" cm="1">
        <f t="array" ref="C89">SUMPRODUCT((Task_table_03_2_26!$C$2:$C$596=$C$1)*(A89&gt;Task_table_03_2_26!$J$2:$J$596)*(A89&lt;Task_table_03_2_26!$K$2:$K$596))</f>
        <v>0</v>
      </c>
      <c r="D89" cm="1">
        <f t="array" ref="D89">SUMPRODUCT((Task_table_03_2_26!$C$2:$C$596=$D$1)*(A89&gt;Task_table_03_2_26!$J$2:$J$596)*(A89&lt;Task_table_03_2_26!$K$2:$K$596))</f>
        <v>0</v>
      </c>
      <c r="E89" cm="1">
        <f t="array" ref="E89">SUMPRODUCT((Task_table_03_2_26!$C$2:$C$596=$E$1)*(A89&gt;Task_table_03_2_26!$J$2:$J$596)*(A89&lt;Task_table_03_2_26!$K$2:$K$596))</f>
        <v>1</v>
      </c>
    </row>
    <row r="90" spans="1:5">
      <c r="A90" s="5">
        <v>45958</v>
      </c>
      <c r="B90" cm="1">
        <f t="array" ref="B90">SUMPRODUCT((Task_table_03_2_26!$C$2:$C$596=$B$1)*(A90&gt;Task_table_03_2_26!$J$2:$J$596)*(A90&lt;Task_table_03_2_26!$K$2:$K$596))</f>
        <v>39</v>
      </c>
      <c r="C90" cm="1">
        <f t="array" ref="C90">SUMPRODUCT((Task_table_03_2_26!$C$2:$C$596=$C$1)*(A90&gt;Task_table_03_2_26!$J$2:$J$596)*(A90&lt;Task_table_03_2_26!$K$2:$K$596))</f>
        <v>0</v>
      </c>
      <c r="D90" cm="1">
        <f t="array" ref="D90">SUMPRODUCT((Task_table_03_2_26!$C$2:$C$596=$D$1)*(A90&gt;Task_table_03_2_26!$J$2:$J$596)*(A90&lt;Task_table_03_2_26!$K$2:$K$596))</f>
        <v>0</v>
      </c>
      <c r="E90" cm="1">
        <f t="array" ref="E90">SUMPRODUCT((Task_table_03_2_26!$C$2:$C$596=$E$1)*(A90&gt;Task_table_03_2_26!$J$2:$J$596)*(A90&lt;Task_table_03_2_26!$K$2:$K$596))</f>
        <v>1</v>
      </c>
    </row>
    <row r="91" spans="1:5">
      <c r="A91" s="5">
        <v>45959</v>
      </c>
      <c r="B91" cm="1">
        <f t="array" ref="B91">SUMPRODUCT((Task_table_03_2_26!$C$2:$C$596=$B$1)*(A91&gt;Task_table_03_2_26!$J$2:$J$596)*(A91&lt;Task_table_03_2_26!$K$2:$K$596))</f>
        <v>39</v>
      </c>
      <c r="C91" cm="1">
        <f t="array" ref="C91">SUMPRODUCT((Task_table_03_2_26!$C$2:$C$596=$C$1)*(A91&gt;Task_table_03_2_26!$J$2:$J$596)*(A91&lt;Task_table_03_2_26!$K$2:$K$596))</f>
        <v>0</v>
      </c>
      <c r="D91" cm="1">
        <f t="array" ref="D91">SUMPRODUCT((Task_table_03_2_26!$C$2:$C$596=$D$1)*(A91&gt;Task_table_03_2_26!$J$2:$J$596)*(A91&lt;Task_table_03_2_26!$K$2:$K$596))</f>
        <v>0</v>
      </c>
      <c r="E91" cm="1">
        <f t="array" ref="E91">SUMPRODUCT((Task_table_03_2_26!$C$2:$C$596=$E$1)*(A91&gt;Task_table_03_2_26!$J$2:$J$596)*(A91&lt;Task_table_03_2_26!$K$2:$K$596))</f>
        <v>1</v>
      </c>
    </row>
    <row r="92" spans="1:5">
      <c r="A92" s="5">
        <v>45960</v>
      </c>
      <c r="B92" cm="1">
        <f t="array" ref="B92">SUMPRODUCT((Task_table_03_2_26!$C$2:$C$596=$B$1)*(A92&gt;Task_table_03_2_26!$J$2:$J$596)*(A92&lt;Task_table_03_2_26!$K$2:$K$596))</f>
        <v>39</v>
      </c>
      <c r="C92" cm="1">
        <f t="array" ref="C92">SUMPRODUCT((Task_table_03_2_26!$C$2:$C$596=$C$1)*(A92&gt;Task_table_03_2_26!$J$2:$J$596)*(A92&lt;Task_table_03_2_26!$K$2:$K$596))</f>
        <v>0</v>
      </c>
      <c r="D92" cm="1">
        <f t="array" ref="D92">SUMPRODUCT((Task_table_03_2_26!$C$2:$C$596=$D$1)*(A92&gt;Task_table_03_2_26!$J$2:$J$596)*(A92&lt;Task_table_03_2_26!$K$2:$K$596))</f>
        <v>0</v>
      </c>
      <c r="E92" cm="1">
        <f t="array" ref="E92">SUMPRODUCT((Task_table_03_2_26!$C$2:$C$596=$E$1)*(A92&gt;Task_table_03_2_26!$J$2:$J$596)*(A92&lt;Task_table_03_2_26!$K$2:$K$596))</f>
        <v>1</v>
      </c>
    </row>
    <row r="93" spans="1:5">
      <c r="A93" s="5">
        <v>45961</v>
      </c>
      <c r="B93" cm="1">
        <f t="array" ref="B93">SUMPRODUCT((Task_table_03_2_26!$C$2:$C$596=$B$1)*(A93&gt;Task_table_03_2_26!$J$2:$J$596)*(A93&lt;Task_table_03_2_26!$K$2:$K$596))</f>
        <v>38</v>
      </c>
      <c r="C93" cm="1">
        <f t="array" ref="C93">SUMPRODUCT((Task_table_03_2_26!$C$2:$C$596=$C$1)*(A93&gt;Task_table_03_2_26!$J$2:$J$596)*(A93&lt;Task_table_03_2_26!$K$2:$K$596))</f>
        <v>0</v>
      </c>
      <c r="D93" cm="1">
        <f t="array" ref="D93">SUMPRODUCT((Task_table_03_2_26!$C$2:$C$596=$D$1)*(A93&gt;Task_table_03_2_26!$J$2:$J$596)*(A93&lt;Task_table_03_2_26!$K$2:$K$596))</f>
        <v>0</v>
      </c>
      <c r="E93" cm="1">
        <f t="array" ref="E93">SUMPRODUCT((Task_table_03_2_26!$C$2:$C$596=$E$1)*(A93&gt;Task_table_03_2_26!$J$2:$J$596)*(A93&lt;Task_table_03_2_26!$K$2:$K$596))</f>
        <v>1</v>
      </c>
    </row>
    <row r="94" spans="1:5">
      <c r="A94" s="5">
        <v>45962</v>
      </c>
      <c r="B94" cm="1">
        <f t="array" ref="B94">SUMPRODUCT((Task_table_03_2_26!$C$2:$C$596=$B$1)*(A94&gt;Task_table_03_2_26!$J$2:$J$596)*(A94&lt;Task_table_03_2_26!$K$2:$K$596))</f>
        <v>38</v>
      </c>
      <c r="C94" cm="1">
        <f t="array" ref="C94">SUMPRODUCT((Task_table_03_2_26!$C$2:$C$596=$C$1)*(A94&gt;Task_table_03_2_26!$J$2:$J$596)*(A94&lt;Task_table_03_2_26!$K$2:$K$596))</f>
        <v>0</v>
      </c>
      <c r="D94" cm="1">
        <f t="array" ref="D94">SUMPRODUCT((Task_table_03_2_26!$C$2:$C$596=$D$1)*(A94&gt;Task_table_03_2_26!$J$2:$J$596)*(A94&lt;Task_table_03_2_26!$K$2:$K$596))</f>
        <v>0</v>
      </c>
      <c r="E94" cm="1">
        <f t="array" ref="E94">SUMPRODUCT((Task_table_03_2_26!$C$2:$C$596=$E$1)*(A94&gt;Task_table_03_2_26!$J$2:$J$596)*(A94&lt;Task_table_03_2_26!$K$2:$K$596))</f>
        <v>1</v>
      </c>
    </row>
    <row r="95" spans="1:5">
      <c r="A95" s="5">
        <v>45963</v>
      </c>
      <c r="B95" cm="1">
        <f t="array" ref="B95">SUMPRODUCT((Task_table_03_2_26!$C$2:$C$596=$B$1)*(A95&gt;Task_table_03_2_26!$J$2:$J$596)*(A95&lt;Task_table_03_2_26!$K$2:$K$596))</f>
        <v>38</v>
      </c>
      <c r="C95" cm="1">
        <f t="array" ref="C95">SUMPRODUCT((Task_table_03_2_26!$C$2:$C$596=$C$1)*(A95&gt;Task_table_03_2_26!$J$2:$J$596)*(A95&lt;Task_table_03_2_26!$K$2:$K$596))</f>
        <v>4</v>
      </c>
      <c r="D95" cm="1">
        <f t="array" ref="D95">SUMPRODUCT((Task_table_03_2_26!$C$2:$C$596=$D$1)*(A95&gt;Task_table_03_2_26!$J$2:$J$596)*(A95&lt;Task_table_03_2_26!$K$2:$K$596))</f>
        <v>0</v>
      </c>
      <c r="E95" cm="1">
        <f t="array" ref="E95">SUMPRODUCT((Task_table_03_2_26!$C$2:$C$596=$E$1)*(A95&gt;Task_table_03_2_26!$J$2:$J$596)*(A95&lt;Task_table_03_2_26!$K$2:$K$596))</f>
        <v>1</v>
      </c>
    </row>
    <row r="96" spans="1:5">
      <c r="A96" s="5">
        <v>45964</v>
      </c>
      <c r="B96" cm="1">
        <f t="array" ref="B96">SUMPRODUCT((Task_table_03_2_26!$C$2:$C$596=$B$1)*(A96&gt;Task_table_03_2_26!$J$2:$J$596)*(A96&lt;Task_table_03_2_26!$K$2:$K$596))</f>
        <v>38</v>
      </c>
      <c r="C96" cm="1">
        <f t="array" ref="C96">SUMPRODUCT((Task_table_03_2_26!$C$2:$C$596=$C$1)*(A96&gt;Task_table_03_2_26!$J$2:$J$596)*(A96&lt;Task_table_03_2_26!$K$2:$K$596))</f>
        <v>4</v>
      </c>
      <c r="D96" cm="1">
        <f t="array" ref="D96">SUMPRODUCT((Task_table_03_2_26!$C$2:$C$596=$D$1)*(A96&gt;Task_table_03_2_26!$J$2:$J$596)*(A96&lt;Task_table_03_2_26!$K$2:$K$596))</f>
        <v>0</v>
      </c>
      <c r="E96" cm="1">
        <f t="array" ref="E96">SUMPRODUCT((Task_table_03_2_26!$C$2:$C$596=$E$1)*(A96&gt;Task_table_03_2_26!$J$2:$J$596)*(A96&lt;Task_table_03_2_26!$K$2:$K$596))</f>
        <v>1</v>
      </c>
    </row>
    <row r="97" spans="1:5">
      <c r="A97" s="5">
        <v>45965</v>
      </c>
      <c r="B97" cm="1">
        <f t="array" ref="B97">SUMPRODUCT((Task_table_03_2_26!$C$2:$C$596=$B$1)*(A97&gt;Task_table_03_2_26!$J$2:$J$596)*(A97&lt;Task_table_03_2_26!$K$2:$K$596))</f>
        <v>38</v>
      </c>
      <c r="C97" cm="1">
        <f t="array" ref="C97">SUMPRODUCT((Task_table_03_2_26!$C$2:$C$596=$C$1)*(A97&gt;Task_table_03_2_26!$J$2:$J$596)*(A97&lt;Task_table_03_2_26!$K$2:$K$596))</f>
        <v>4</v>
      </c>
      <c r="D97" cm="1">
        <f t="array" ref="D97">SUMPRODUCT((Task_table_03_2_26!$C$2:$C$596=$D$1)*(A97&gt;Task_table_03_2_26!$J$2:$J$596)*(A97&lt;Task_table_03_2_26!$K$2:$K$596))</f>
        <v>0</v>
      </c>
      <c r="E97" cm="1">
        <f t="array" ref="E97">SUMPRODUCT((Task_table_03_2_26!$C$2:$C$596=$E$1)*(A97&gt;Task_table_03_2_26!$J$2:$J$596)*(A97&lt;Task_table_03_2_26!$K$2:$K$596))</f>
        <v>5</v>
      </c>
    </row>
    <row r="98" spans="1:5">
      <c r="A98" s="5">
        <v>45966</v>
      </c>
      <c r="B98" cm="1">
        <f t="array" ref="B98">SUMPRODUCT((Task_table_03_2_26!$C$2:$C$596=$B$1)*(A98&gt;Task_table_03_2_26!$J$2:$J$596)*(A98&lt;Task_table_03_2_26!$K$2:$K$596))</f>
        <v>38</v>
      </c>
      <c r="C98" cm="1">
        <f t="array" ref="C98">SUMPRODUCT((Task_table_03_2_26!$C$2:$C$596=$C$1)*(A98&gt;Task_table_03_2_26!$J$2:$J$596)*(A98&lt;Task_table_03_2_26!$K$2:$K$596))</f>
        <v>4</v>
      </c>
      <c r="D98" cm="1">
        <f t="array" ref="D98">SUMPRODUCT((Task_table_03_2_26!$C$2:$C$596=$D$1)*(A98&gt;Task_table_03_2_26!$J$2:$J$596)*(A98&lt;Task_table_03_2_26!$K$2:$K$596))</f>
        <v>0</v>
      </c>
      <c r="E98" cm="1">
        <f t="array" ref="E98">SUMPRODUCT((Task_table_03_2_26!$C$2:$C$596=$E$1)*(A98&gt;Task_table_03_2_26!$J$2:$J$596)*(A98&lt;Task_table_03_2_26!$K$2:$K$596))</f>
        <v>5</v>
      </c>
    </row>
    <row r="99" spans="1:5">
      <c r="A99" s="5">
        <v>45967</v>
      </c>
      <c r="B99" cm="1">
        <f t="array" ref="B99">SUMPRODUCT((Task_table_03_2_26!$C$2:$C$596=$B$1)*(A99&gt;Task_table_03_2_26!$J$2:$J$596)*(A99&lt;Task_table_03_2_26!$K$2:$K$596))</f>
        <v>38</v>
      </c>
      <c r="C99" cm="1">
        <f t="array" ref="C99">SUMPRODUCT((Task_table_03_2_26!$C$2:$C$596=$C$1)*(A99&gt;Task_table_03_2_26!$J$2:$J$596)*(A99&lt;Task_table_03_2_26!$K$2:$K$596))</f>
        <v>4</v>
      </c>
      <c r="D99" cm="1">
        <f t="array" ref="D99">SUMPRODUCT((Task_table_03_2_26!$C$2:$C$596=$D$1)*(A99&gt;Task_table_03_2_26!$J$2:$J$596)*(A99&lt;Task_table_03_2_26!$K$2:$K$596))</f>
        <v>0</v>
      </c>
      <c r="E99" cm="1">
        <f t="array" ref="E99">SUMPRODUCT((Task_table_03_2_26!$C$2:$C$596=$E$1)*(A99&gt;Task_table_03_2_26!$J$2:$J$596)*(A99&lt;Task_table_03_2_26!$K$2:$K$596))</f>
        <v>5</v>
      </c>
    </row>
    <row r="100" spans="1:5">
      <c r="A100" s="5">
        <v>45968</v>
      </c>
      <c r="B100" cm="1">
        <f t="array" ref="B100">SUMPRODUCT((Task_table_03_2_26!$C$2:$C$596=$B$1)*(A100&gt;Task_table_03_2_26!$J$2:$J$596)*(A100&lt;Task_table_03_2_26!$K$2:$K$596))</f>
        <v>38</v>
      </c>
      <c r="C100" cm="1">
        <f t="array" ref="C100">SUMPRODUCT((Task_table_03_2_26!$C$2:$C$596=$C$1)*(A100&gt;Task_table_03_2_26!$J$2:$J$596)*(A100&lt;Task_table_03_2_26!$K$2:$K$596))</f>
        <v>4</v>
      </c>
      <c r="D100" cm="1">
        <f t="array" ref="D100">SUMPRODUCT((Task_table_03_2_26!$C$2:$C$596=$D$1)*(A100&gt;Task_table_03_2_26!$J$2:$J$596)*(A100&lt;Task_table_03_2_26!$K$2:$K$596))</f>
        <v>0</v>
      </c>
      <c r="E100" cm="1">
        <f t="array" ref="E100">SUMPRODUCT((Task_table_03_2_26!$C$2:$C$596=$E$1)*(A100&gt;Task_table_03_2_26!$J$2:$J$596)*(A100&lt;Task_table_03_2_26!$K$2:$K$596))</f>
        <v>5</v>
      </c>
    </row>
    <row r="101" spans="1:5">
      <c r="A101" s="5">
        <v>45969</v>
      </c>
      <c r="B101" cm="1">
        <f t="array" ref="B101">SUMPRODUCT((Task_table_03_2_26!$C$2:$C$596=$B$1)*(A101&gt;Task_table_03_2_26!$J$2:$J$596)*(A101&lt;Task_table_03_2_26!$K$2:$K$596))</f>
        <v>38</v>
      </c>
      <c r="C101" cm="1">
        <f t="array" ref="C101">SUMPRODUCT((Task_table_03_2_26!$C$2:$C$596=$C$1)*(A101&gt;Task_table_03_2_26!$J$2:$J$596)*(A101&lt;Task_table_03_2_26!$K$2:$K$596))</f>
        <v>4</v>
      </c>
      <c r="D101" cm="1">
        <f t="array" ref="D101">SUMPRODUCT((Task_table_03_2_26!$C$2:$C$596=$D$1)*(A101&gt;Task_table_03_2_26!$J$2:$J$596)*(A101&lt;Task_table_03_2_26!$K$2:$K$596))</f>
        <v>0</v>
      </c>
      <c r="E101" cm="1">
        <f t="array" ref="E101">SUMPRODUCT((Task_table_03_2_26!$C$2:$C$596=$E$1)*(A101&gt;Task_table_03_2_26!$J$2:$J$596)*(A101&lt;Task_table_03_2_26!$K$2:$K$596))</f>
        <v>5</v>
      </c>
    </row>
    <row r="102" spans="1:5">
      <c r="A102" s="5">
        <v>45970</v>
      </c>
      <c r="B102" cm="1">
        <f t="array" ref="B102">SUMPRODUCT((Task_table_03_2_26!$C$2:$C$596=$B$1)*(A102&gt;Task_table_03_2_26!$J$2:$J$596)*(A102&lt;Task_table_03_2_26!$K$2:$K$596))</f>
        <v>38</v>
      </c>
      <c r="C102" cm="1">
        <f t="array" ref="C102">SUMPRODUCT((Task_table_03_2_26!$C$2:$C$596=$C$1)*(A102&gt;Task_table_03_2_26!$J$2:$J$596)*(A102&lt;Task_table_03_2_26!$K$2:$K$596))</f>
        <v>4</v>
      </c>
      <c r="D102" cm="1">
        <f t="array" ref="D102">SUMPRODUCT((Task_table_03_2_26!$C$2:$C$596=$D$1)*(A102&gt;Task_table_03_2_26!$J$2:$J$596)*(A102&lt;Task_table_03_2_26!$K$2:$K$596))</f>
        <v>0</v>
      </c>
      <c r="E102" cm="1">
        <f t="array" ref="E102">SUMPRODUCT((Task_table_03_2_26!$C$2:$C$596=$E$1)*(A102&gt;Task_table_03_2_26!$J$2:$J$596)*(A102&lt;Task_table_03_2_26!$K$2:$K$596))</f>
        <v>5</v>
      </c>
    </row>
    <row r="103" spans="1:5">
      <c r="A103" s="5">
        <v>45971</v>
      </c>
      <c r="B103" cm="1">
        <f t="array" ref="B103">SUMPRODUCT((Task_table_03_2_26!$C$2:$C$596=$B$1)*(A103&gt;Task_table_03_2_26!$J$2:$J$596)*(A103&lt;Task_table_03_2_26!$K$2:$K$596))</f>
        <v>38</v>
      </c>
      <c r="C103" cm="1">
        <f t="array" ref="C103">SUMPRODUCT((Task_table_03_2_26!$C$2:$C$596=$C$1)*(A103&gt;Task_table_03_2_26!$J$2:$J$596)*(A103&lt;Task_table_03_2_26!$K$2:$K$596))</f>
        <v>4</v>
      </c>
      <c r="D103" cm="1">
        <f t="array" ref="D103">SUMPRODUCT((Task_table_03_2_26!$C$2:$C$596=$D$1)*(A103&gt;Task_table_03_2_26!$J$2:$J$596)*(A103&lt;Task_table_03_2_26!$K$2:$K$596))</f>
        <v>0</v>
      </c>
      <c r="E103" cm="1">
        <f t="array" ref="E103">SUMPRODUCT((Task_table_03_2_26!$C$2:$C$596=$E$1)*(A103&gt;Task_table_03_2_26!$J$2:$J$596)*(A103&lt;Task_table_03_2_26!$K$2:$K$596))</f>
        <v>5</v>
      </c>
    </row>
    <row r="104" spans="1:5">
      <c r="A104" s="5">
        <v>45972</v>
      </c>
      <c r="B104" cm="1">
        <f t="array" ref="B104">SUMPRODUCT((Task_table_03_2_26!$C$2:$C$596=$B$1)*(A104&gt;Task_table_03_2_26!$J$2:$J$596)*(A104&lt;Task_table_03_2_26!$K$2:$K$596))</f>
        <v>39</v>
      </c>
      <c r="C104" cm="1">
        <f t="array" ref="C104">SUMPRODUCT((Task_table_03_2_26!$C$2:$C$596=$C$1)*(A104&gt;Task_table_03_2_26!$J$2:$J$596)*(A104&lt;Task_table_03_2_26!$K$2:$K$596))</f>
        <v>4</v>
      </c>
      <c r="D104" cm="1">
        <f t="array" ref="D104">SUMPRODUCT((Task_table_03_2_26!$C$2:$C$596=$D$1)*(A104&gt;Task_table_03_2_26!$J$2:$J$596)*(A104&lt;Task_table_03_2_26!$K$2:$K$596))</f>
        <v>0</v>
      </c>
      <c r="E104" cm="1">
        <f t="array" ref="E104">SUMPRODUCT((Task_table_03_2_26!$C$2:$C$596=$E$1)*(A104&gt;Task_table_03_2_26!$J$2:$J$596)*(A104&lt;Task_table_03_2_26!$K$2:$K$596))</f>
        <v>5</v>
      </c>
    </row>
    <row r="105" spans="1:5">
      <c r="A105" s="5">
        <v>45973</v>
      </c>
      <c r="B105" cm="1">
        <f t="array" ref="B105">SUMPRODUCT((Task_table_03_2_26!$C$2:$C$596=$B$1)*(A105&gt;Task_table_03_2_26!$J$2:$J$596)*(A105&lt;Task_table_03_2_26!$K$2:$K$596))</f>
        <v>47</v>
      </c>
      <c r="C105" cm="1">
        <f t="array" ref="C105">SUMPRODUCT((Task_table_03_2_26!$C$2:$C$596=$C$1)*(A105&gt;Task_table_03_2_26!$J$2:$J$596)*(A105&lt;Task_table_03_2_26!$K$2:$K$596))</f>
        <v>4</v>
      </c>
      <c r="D105" cm="1">
        <f t="array" ref="D105">SUMPRODUCT((Task_table_03_2_26!$C$2:$C$596=$D$1)*(A105&gt;Task_table_03_2_26!$J$2:$J$596)*(A105&lt;Task_table_03_2_26!$K$2:$K$596))</f>
        <v>0</v>
      </c>
      <c r="E105" cm="1">
        <f t="array" ref="E105">SUMPRODUCT((Task_table_03_2_26!$C$2:$C$596=$E$1)*(A105&gt;Task_table_03_2_26!$J$2:$J$596)*(A105&lt;Task_table_03_2_26!$K$2:$K$596))</f>
        <v>5</v>
      </c>
    </row>
    <row r="106" spans="1:5">
      <c r="A106" s="5">
        <v>45974</v>
      </c>
      <c r="B106" cm="1">
        <f t="array" ref="B106">SUMPRODUCT((Task_table_03_2_26!$C$2:$C$596=$B$1)*(A106&gt;Task_table_03_2_26!$J$2:$J$596)*(A106&lt;Task_table_03_2_26!$K$2:$K$596))</f>
        <v>47</v>
      </c>
      <c r="C106" cm="1">
        <f t="array" ref="C106">SUMPRODUCT((Task_table_03_2_26!$C$2:$C$596=$C$1)*(A106&gt;Task_table_03_2_26!$J$2:$J$596)*(A106&lt;Task_table_03_2_26!$K$2:$K$596))</f>
        <v>4</v>
      </c>
      <c r="D106" cm="1">
        <f t="array" ref="D106">SUMPRODUCT((Task_table_03_2_26!$C$2:$C$596=$D$1)*(A106&gt;Task_table_03_2_26!$J$2:$J$596)*(A106&lt;Task_table_03_2_26!$K$2:$K$596))</f>
        <v>0</v>
      </c>
      <c r="E106" cm="1">
        <f t="array" ref="E106">SUMPRODUCT((Task_table_03_2_26!$C$2:$C$596=$E$1)*(A106&gt;Task_table_03_2_26!$J$2:$J$596)*(A106&lt;Task_table_03_2_26!$K$2:$K$596))</f>
        <v>5</v>
      </c>
    </row>
    <row r="107" spans="1:5">
      <c r="A107" s="5">
        <v>45975</v>
      </c>
      <c r="B107" cm="1">
        <f t="array" ref="B107">SUMPRODUCT((Task_table_03_2_26!$C$2:$C$596=$B$1)*(A107&gt;Task_table_03_2_26!$J$2:$J$596)*(A107&lt;Task_table_03_2_26!$K$2:$K$596))</f>
        <v>47</v>
      </c>
      <c r="C107" cm="1">
        <f t="array" ref="C107">SUMPRODUCT((Task_table_03_2_26!$C$2:$C$596=$C$1)*(A107&gt;Task_table_03_2_26!$J$2:$J$596)*(A107&lt;Task_table_03_2_26!$K$2:$K$596))</f>
        <v>4</v>
      </c>
      <c r="D107" cm="1">
        <f t="array" ref="D107">SUMPRODUCT((Task_table_03_2_26!$C$2:$C$596=$D$1)*(A107&gt;Task_table_03_2_26!$J$2:$J$596)*(A107&lt;Task_table_03_2_26!$K$2:$K$596))</f>
        <v>0</v>
      </c>
      <c r="E107" cm="1">
        <f t="array" ref="E107">SUMPRODUCT((Task_table_03_2_26!$C$2:$C$596=$E$1)*(A107&gt;Task_table_03_2_26!$J$2:$J$596)*(A107&lt;Task_table_03_2_26!$K$2:$K$596))</f>
        <v>5</v>
      </c>
    </row>
    <row r="108" spans="1:5">
      <c r="A108" s="5">
        <v>45976</v>
      </c>
      <c r="B108" cm="1">
        <f t="array" ref="B108">SUMPRODUCT((Task_table_03_2_26!$C$2:$C$596=$B$1)*(A108&gt;Task_table_03_2_26!$J$2:$J$596)*(A108&lt;Task_table_03_2_26!$K$2:$K$596))</f>
        <v>47</v>
      </c>
      <c r="C108" cm="1">
        <f t="array" ref="C108">SUMPRODUCT((Task_table_03_2_26!$C$2:$C$596=$C$1)*(A108&gt;Task_table_03_2_26!$J$2:$J$596)*(A108&lt;Task_table_03_2_26!$K$2:$K$596))</f>
        <v>4</v>
      </c>
      <c r="D108" cm="1">
        <f t="array" ref="D108">SUMPRODUCT((Task_table_03_2_26!$C$2:$C$596=$D$1)*(A108&gt;Task_table_03_2_26!$J$2:$J$596)*(A108&lt;Task_table_03_2_26!$K$2:$K$596))</f>
        <v>0</v>
      </c>
      <c r="E108" cm="1">
        <f t="array" ref="E108">SUMPRODUCT((Task_table_03_2_26!$C$2:$C$596=$E$1)*(A108&gt;Task_table_03_2_26!$J$2:$J$596)*(A108&lt;Task_table_03_2_26!$K$2:$K$596))</f>
        <v>5</v>
      </c>
    </row>
    <row r="109" spans="1:5">
      <c r="A109" s="5">
        <v>45977</v>
      </c>
      <c r="B109" cm="1">
        <f t="array" ref="B109">SUMPRODUCT((Task_table_03_2_26!$C$2:$C$596=$B$1)*(A109&gt;Task_table_03_2_26!$J$2:$J$596)*(A109&lt;Task_table_03_2_26!$K$2:$K$596))</f>
        <v>47</v>
      </c>
      <c r="C109" cm="1">
        <f t="array" ref="C109">SUMPRODUCT((Task_table_03_2_26!$C$2:$C$596=$C$1)*(A109&gt;Task_table_03_2_26!$J$2:$J$596)*(A109&lt;Task_table_03_2_26!$K$2:$K$596))</f>
        <v>4</v>
      </c>
      <c r="D109" cm="1">
        <f t="array" ref="D109">SUMPRODUCT((Task_table_03_2_26!$C$2:$C$596=$D$1)*(A109&gt;Task_table_03_2_26!$J$2:$J$596)*(A109&lt;Task_table_03_2_26!$K$2:$K$596))</f>
        <v>0</v>
      </c>
      <c r="E109" cm="1">
        <f t="array" ref="E109">SUMPRODUCT((Task_table_03_2_26!$C$2:$C$596=$E$1)*(A109&gt;Task_table_03_2_26!$J$2:$J$596)*(A109&lt;Task_table_03_2_26!$K$2:$K$596))</f>
        <v>5</v>
      </c>
    </row>
    <row r="110" spans="1:5">
      <c r="A110" s="5">
        <v>45978</v>
      </c>
      <c r="B110" cm="1">
        <f t="array" ref="B110">SUMPRODUCT((Task_table_03_2_26!$C$2:$C$596=$B$1)*(A110&gt;Task_table_03_2_26!$J$2:$J$596)*(A110&lt;Task_table_03_2_26!$K$2:$K$596))</f>
        <v>47</v>
      </c>
      <c r="C110" cm="1">
        <f t="array" ref="C110">SUMPRODUCT((Task_table_03_2_26!$C$2:$C$596=$C$1)*(A110&gt;Task_table_03_2_26!$J$2:$J$596)*(A110&lt;Task_table_03_2_26!$K$2:$K$596))</f>
        <v>4</v>
      </c>
      <c r="D110" cm="1">
        <f t="array" ref="D110">SUMPRODUCT((Task_table_03_2_26!$C$2:$C$596=$D$1)*(A110&gt;Task_table_03_2_26!$J$2:$J$596)*(A110&lt;Task_table_03_2_26!$K$2:$K$596))</f>
        <v>0</v>
      </c>
      <c r="E110" cm="1">
        <f t="array" ref="E110">SUMPRODUCT((Task_table_03_2_26!$C$2:$C$596=$E$1)*(A110&gt;Task_table_03_2_26!$J$2:$J$596)*(A110&lt;Task_table_03_2_26!$K$2:$K$596))</f>
        <v>5</v>
      </c>
    </row>
    <row r="111" spans="1:5">
      <c r="A111" s="5">
        <v>45979</v>
      </c>
      <c r="B111" cm="1">
        <f t="array" ref="B111">SUMPRODUCT((Task_table_03_2_26!$C$2:$C$596=$B$1)*(A111&gt;Task_table_03_2_26!$J$2:$J$596)*(A111&lt;Task_table_03_2_26!$K$2:$K$596))</f>
        <v>47</v>
      </c>
      <c r="C111" cm="1">
        <f t="array" ref="C111">SUMPRODUCT((Task_table_03_2_26!$C$2:$C$596=$C$1)*(A111&gt;Task_table_03_2_26!$J$2:$J$596)*(A111&lt;Task_table_03_2_26!$K$2:$K$596))</f>
        <v>4</v>
      </c>
      <c r="D111" cm="1">
        <f t="array" ref="D111">SUMPRODUCT((Task_table_03_2_26!$C$2:$C$596=$D$1)*(A111&gt;Task_table_03_2_26!$J$2:$J$596)*(A111&lt;Task_table_03_2_26!$K$2:$K$596))</f>
        <v>0</v>
      </c>
      <c r="E111" cm="1">
        <f t="array" ref="E111">SUMPRODUCT((Task_table_03_2_26!$C$2:$C$596=$E$1)*(A111&gt;Task_table_03_2_26!$J$2:$J$596)*(A111&lt;Task_table_03_2_26!$K$2:$K$596))</f>
        <v>5</v>
      </c>
    </row>
    <row r="112" spans="1:5">
      <c r="A112" s="5">
        <v>45980</v>
      </c>
      <c r="B112" cm="1">
        <f t="array" ref="B112">SUMPRODUCT((Task_table_03_2_26!$C$2:$C$596=$B$1)*(A112&gt;Task_table_03_2_26!$J$2:$J$596)*(A112&lt;Task_table_03_2_26!$K$2:$K$596))</f>
        <v>47</v>
      </c>
      <c r="C112" cm="1">
        <f t="array" ref="C112">SUMPRODUCT((Task_table_03_2_26!$C$2:$C$596=$C$1)*(A112&gt;Task_table_03_2_26!$J$2:$J$596)*(A112&lt;Task_table_03_2_26!$K$2:$K$596))</f>
        <v>4</v>
      </c>
      <c r="D112" cm="1">
        <f t="array" ref="D112">SUMPRODUCT((Task_table_03_2_26!$C$2:$C$596=$D$1)*(A112&gt;Task_table_03_2_26!$J$2:$J$596)*(A112&lt;Task_table_03_2_26!$K$2:$K$596))</f>
        <v>0</v>
      </c>
      <c r="E112" cm="1">
        <f t="array" ref="E112">SUMPRODUCT((Task_table_03_2_26!$C$2:$C$596=$E$1)*(A112&gt;Task_table_03_2_26!$J$2:$J$596)*(A112&lt;Task_table_03_2_26!$K$2:$K$596))</f>
        <v>5</v>
      </c>
    </row>
    <row r="113" spans="1:5">
      <c r="A113" s="5">
        <v>45981</v>
      </c>
      <c r="B113" cm="1">
        <f t="array" ref="B113">SUMPRODUCT((Task_table_03_2_26!$C$2:$C$596=$B$1)*(A113&gt;Task_table_03_2_26!$J$2:$J$596)*(A113&lt;Task_table_03_2_26!$K$2:$K$596))</f>
        <v>47</v>
      </c>
      <c r="C113" cm="1">
        <f t="array" ref="C113">SUMPRODUCT((Task_table_03_2_26!$C$2:$C$596=$C$1)*(A113&gt;Task_table_03_2_26!$J$2:$J$596)*(A113&lt;Task_table_03_2_26!$K$2:$K$596))</f>
        <v>4</v>
      </c>
      <c r="D113" cm="1">
        <f t="array" ref="D113">SUMPRODUCT((Task_table_03_2_26!$C$2:$C$596=$D$1)*(A113&gt;Task_table_03_2_26!$J$2:$J$596)*(A113&lt;Task_table_03_2_26!$K$2:$K$596))</f>
        <v>0</v>
      </c>
      <c r="E113" cm="1">
        <f t="array" ref="E113">SUMPRODUCT((Task_table_03_2_26!$C$2:$C$596=$E$1)*(A113&gt;Task_table_03_2_26!$J$2:$J$596)*(A113&lt;Task_table_03_2_26!$K$2:$K$596))</f>
        <v>5</v>
      </c>
    </row>
    <row r="114" spans="1:5">
      <c r="A114" s="5">
        <v>45982</v>
      </c>
      <c r="B114" cm="1">
        <f t="array" ref="B114">SUMPRODUCT((Task_table_03_2_26!$C$2:$C$596=$B$1)*(A114&gt;Task_table_03_2_26!$J$2:$J$596)*(A114&lt;Task_table_03_2_26!$K$2:$K$596))</f>
        <v>47</v>
      </c>
      <c r="C114" cm="1">
        <f t="array" ref="C114">SUMPRODUCT((Task_table_03_2_26!$C$2:$C$596=$C$1)*(A114&gt;Task_table_03_2_26!$J$2:$J$596)*(A114&lt;Task_table_03_2_26!$K$2:$K$596))</f>
        <v>4</v>
      </c>
      <c r="D114" cm="1">
        <f t="array" ref="D114">SUMPRODUCT((Task_table_03_2_26!$C$2:$C$596=$D$1)*(A114&gt;Task_table_03_2_26!$J$2:$J$596)*(A114&lt;Task_table_03_2_26!$K$2:$K$596))</f>
        <v>0</v>
      </c>
      <c r="E114" cm="1">
        <f t="array" ref="E114">SUMPRODUCT((Task_table_03_2_26!$C$2:$C$596=$E$1)*(A114&gt;Task_table_03_2_26!$J$2:$J$596)*(A114&lt;Task_table_03_2_26!$K$2:$K$596))</f>
        <v>5</v>
      </c>
    </row>
    <row r="115" spans="1:5">
      <c r="A115" s="5">
        <v>45983</v>
      </c>
      <c r="B115" cm="1">
        <f t="array" ref="B115">SUMPRODUCT((Task_table_03_2_26!$C$2:$C$596=$B$1)*(A115&gt;Task_table_03_2_26!$J$2:$J$596)*(A115&lt;Task_table_03_2_26!$K$2:$K$596))</f>
        <v>47</v>
      </c>
      <c r="C115" cm="1">
        <f t="array" ref="C115">SUMPRODUCT((Task_table_03_2_26!$C$2:$C$596=$C$1)*(A115&gt;Task_table_03_2_26!$J$2:$J$596)*(A115&lt;Task_table_03_2_26!$K$2:$K$596))</f>
        <v>4</v>
      </c>
      <c r="D115" cm="1">
        <f t="array" ref="D115">SUMPRODUCT((Task_table_03_2_26!$C$2:$C$596=$D$1)*(A115&gt;Task_table_03_2_26!$J$2:$J$596)*(A115&lt;Task_table_03_2_26!$K$2:$K$596))</f>
        <v>0</v>
      </c>
      <c r="E115" cm="1">
        <f t="array" ref="E115">SUMPRODUCT((Task_table_03_2_26!$C$2:$C$596=$E$1)*(A115&gt;Task_table_03_2_26!$J$2:$J$596)*(A115&lt;Task_table_03_2_26!$K$2:$K$596))</f>
        <v>5</v>
      </c>
    </row>
    <row r="116" spans="1:5">
      <c r="A116" s="5">
        <v>45984</v>
      </c>
      <c r="B116" cm="1">
        <f t="array" ref="B116">SUMPRODUCT((Task_table_03_2_26!$C$2:$C$596=$B$1)*(A116&gt;Task_table_03_2_26!$J$2:$J$596)*(A116&lt;Task_table_03_2_26!$K$2:$K$596))</f>
        <v>47</v>
      </c>
      <c r="C116" cm="1">
        <f t="array" ref="C116">SUMPRODUCT((Task_table_03_2_26!$C$2:$C$596=$C$1)*(A116&gt;Task_table_03_2_26!$J$2:$J$596)*(A116&lt;Task_table_03_2_26!$K$2:$K$596))</f>
        <v>4</v>
      </c>
      <c r="D116" cm="1">
        <f t="array" ref="D116">SUMPRODUCT((Task_table_03_2_26!$C$2:$C$596=$D$1)*(A116&gt;Task_table_03_2_26!$J$2:$J$596)*(A116&lt;Task_table_03_2_26!$K$2:$K$596))</f>
        <v>0</v>
      </c>
      <c r="E116" cm="1">
        <f t="array" ref="E116">SUMPRODUCT((Task_table_03_2_26!$C$2:$C$596=$E$1)*(A116&gt;Task_table_03_2_26!$J$2:$J$596)*(A116&lt;Task_table_03_2_26!$K$2:$K$596))</f>
        <v>5</v>
      </c>
    </row>
    <row r="117" spans="1:5">
      <c r="A117" s="5">
        <v>45985</v>
      </c>
      <c r="B117" cm="1">
        <f t="array" ref="B117">SUMPRODUCT((Task_table_03_2_26!$C$2:$C$596=$B$1)*(A117&gt;Task_table_03_2_26!$J$2:$J$596)*(A117&lt;Task_table_03_2_26!$K$2:$K$596))</f>
        <v>47</v>
      </c>
      <c r="C117" cm="1">
        <f t="array" ref="C117">SUMPRODUCT((Task_table_03_2_26!$C$2:$C$596=$C$1)*(A117&gt;Task_table_03_2_26!$J$2:$J$596)*(A117&lt;Task_table_03_2_26!$K$2:$K$596))</f>
        <v>4</v>
      </c>
      <c r="D117" cm="1">
        <f t="array" ref="D117">SUMPRODUCT((Task_table_03_2_26!$C$2:$C$596=$D$1)*(A117&gt;Task_table_03_2_26!$J$2:$J$596)*(A117&lt;Task_table_03_2_26!$K$2:$K$596))</f>
        <v>0</v>
      </c>
      <c r="E117" cm="1">
        <f t="array" ref="E117">SUMPRODUCT((Task_table_03_2_26!$C$2:$C$596=$E$1)*(A117&gt;Task_table_03_2_26!$J$2:$J$596)*(A117&lt;Task_table_03_2_26!$K$2:$K$596))</f>
        <v>5</v>
      </c>
    </row>
    <row r="118" spans="1:5">
      <c r="A118" s="5">
        <v>45986</v>
      </c>
      <c r="B118" cm="1">
        <f t="array" ref="B118">SUMPRODUCT((Task_table_03_2_26!$C$2:$C$596=$B$1)*(A118&gt;Task_table_03_2_26!$J$2:$J$596)*(A118&lt;Task_table_03_2_26!$K$2:$K$596))</f>
        <v>47</v>
      </c>
      <c r="C118" cm="1">
        <f t="array" ref="C118">SUMPRODUCT((Task_table_03_2_26!$C$2:$C$596=$C$1)*(A118&gt;Task_table_03_2_26!$J$2:$J$596)*(A118&lt;Task_table_03_2_26!$K$2:$K$596))</f>
        <v>4</v>
      </c>
      <c r="D118" cm="1">
        <f t="array" ref="D118">SUMPRODUCT((Task_table_03_2_26!$C$2:$C$596=$D$1)*(A118&gt;Task_table_03_2_26!$J$2:$J$596)*(A118&lt;Task_table_03_2_26!$K$2:$K$596))</f>
        <v>0</v>
      </c>
      <c r="E118" cm="1">
        <f t="array" ref="E118">SUMPRODUCT((Task_table_03_2_26!$C$2:$C$596=$E$1)*(A118&gt;Task_table_03_2_26!$J$2:$J$596)*(A118&lt;Task_table_03_2_26!$K$2:$K$596))</f>
        <v>5</v>
      </c>
    </row>
    <row r="119" spans="1:5">
      <c r="A119" s="5">
        <v>45987</v>
      </c>
      <c r="B119" cm="1">
        <f t="array" ref="B119">SUMPRODUCT((Task_table_03_2_26!$C$2:$C$596=$B$1)*(A119&gt;Task_table_03_2_26!$J$2:$J$596)*(A119&lt;Task_table_03_2_26!$K$2:$K$596))</f>
        <v>47</v>
      </c>
      <c r="C119" cm="1">
        <f t="array" ref="C119">SUMPRODUCT((Task_table_03_2_26!$C$2:$C$596=$C$1)*(A119&gt;Task_table_03_2_26!$J$2:$J$596)*(A119&lt;Task_table_03_2_26!$K$2:$K$596))</f>
        <v>4</v>
      </c>
      <c r="D119" cm="1">
        <f t="array" ref="D119">SUMPRODUCT((Task_table_03_2_26!$C$2:$C$596=$D$1)*(A119&gt;Task_table_03_2_26!$J$2:$J$596)*(A119&lt;Task_table_03_2_26!$K$2:$K$596))</f>
        <v>0</v>
      </c>
      <c r="E119" cm="1">
        <f t="array" ref="E119">SUMPRODUCT((Task_table_03_2_26!$C$2:$C$596=$E$1)*(A119&gt;Task_table_03_2_26!$J$2:$J$596)*(A119&lt;Task_table_03_2_26!$K$2:$K$596))</f>
        <v>5</v>
      </c>
    </row>
    <row r="120" spans="1:5">
      <c r="A120" s="5">
        <v>45988</v>
      </c>
      <c r="B120" cm="1">
        <f t="array" ref="B120">SUMPRODUCT((Task_table_03_2_26!$C$2:$C$596=$B$1)*(A120&gt;Task_table_03_2_26!$J$2:$J$596)*(A120&lt;Task_table_03_2_26!$K$2:$K$596))</f>
        <v>47</v>
      </c>
      <c r="C120" cm="1">
        <f t="array" ref="C120">SUMPRODUCT((Task_table_03_2_26!$C$2:$C$596=$C$1)*(A120&gt;Task_table_03_2_26!$J$2:$J$596)*(A120&lt;Task_table_03_2_26!$K$2:$K$596))</f>
        <v>4</v>
      </c>
      <c r="D120" cm="1">
        <f t="array" ref="D120">SUMPRODUCT((Task_table_03_2_26!$C$2:$C$596=$D$1)*(A120&gt;Task_table_03_2_26!$J$2:$J$596)*(A120&lt;Task_table_03_2_26!$K$2:$K$596))</f>
        <v>0</v>
      </c>
      <c r="E120" cm="1">
        <f t="array" ref="E120">SUMPRODUCT((Task_table_03_2_26!$C$2:$C$596=$E$1)*(A120&gt;Task_table_03_2_26!$J$2:$J$596)*(A120&lt;Task_table_03_2_26!$K$2:$K$596))</f>
        <v>5</v>
      </c>
    </row>
    <row r="121" spans="1:5">
      <c r="A121" s="5">
        <v>45989</v>
      </c>
      <c r="B121" cm="1">
        <f t="array" ref="B121">SUMPRODUCT((Task_table_03_2_26!$C$2:$C$596=$B$1)*(A121&gt;Task_table_03_2_26!$J$2:$J$596)*(A121&lt;Task_table_03_2_26!$K$2:$K$596))</f>
        <v>47</v>
      </c>
      <c r="C121" cm="1">
        <f t="array" ref="C121">SUMPRODUCT((Task_table_03_2_26!$C$2:$C$596=$C$1)*(A121&gt;Task_table_03_2_26!$J$2:$J$596)*(A121&lt;Task_table_03_2_26!$K$2:$K$596))</f>
        <v>4</v>
      </c>
      <c r="D121" cm="1">
        <f t="array" ref="D121">SUMPRODUCT((Task_table_03_2_26!$C$2:$C$596=$D$1)*(A121&gt;Task_table_03_2_26!$J$2:$J$596)*(A121&lt;Task_table_03_2_26!$K$2:$K$596))</f>
        <v>0</v>
      </c>
      <c r="E121" cm="1">
        <f t="array" ref="E121">SUMPRODUCT((Task_table_03_2_26!$C$2:$C$596=$E$1)*(A121&gt;Task_table_03_2_26!$J$2:$J$596)*(A121&lt;Task_table_03_2_26!$K$2:$K$596))</f>
        <v>5</v>
      </c>
    </row>
    <row r="122" spans="1:5">
      <c r="A122" s="5">
        <v>45990</v>
      </c>
      <c r="B122" cm="1">
        <f t="array" ref="B122">SUMPRODUCT((Task_table_03_2_26!$C$2:$C$596=$B$1)*(A122&gt;Task_table_03_2_26!$J$2:$J$596)*(A122&lt;Task_table_03_2_26!$K$2:$K$596))</f>
        <v>47</v>
      </c>
      <c r="C122" cm="1">
        <f t="array" ref="C122">SUMPRODUCT((Task_table_03_2_26!$C$2:$C$596=$C$1)*(A122&gt;Task_table_03_2_26!$J$2:$J$596)*(A122&lt;Task_table_03_2_26!$K$2:$K$596))</f>
        <v>4</v>
      </c>
      <c r="D122" cm="1">
        <f t="array" ref="D122">SUMPRODUCT((Task_table_03_2_26!$C$2:$C$596=$D$1)*(A122&gt;Task_table_03_2_26!$J$2:$J$596)*(A122&lt;Task_table_03_2_26!$K$2:$K$596))</f>
        <v>0</v>
      </c>
      <c r="E122" cm="1">
        <f t="array" ref="E122">SUMPRODUCT((Task_table_03_2_26!$C$2:$C$596=$E$1)*(A122&gt;Task_table_03_2_26!$J$2:$J$596)*(A122&lt;Task_table_03_2_26!$K$2:$K$596))</f>
        <v>5</v>
      </c>
    </row>
    <row r="123" spans="1:5">
      <c r="A123" s="5">
        <v>45991</v>
      </c>
      <c r="B123" cm="1">
        <f t="array" ref="B123">SUMPRODUCT((Task_table_03_2_26!$C$2:$C$596=$B$1)*(A123&gt;Task_table_03_2_26!$J$2:$J$596)*(A123&lt;Task_table_03_2_26!$K$2:$K$596))</f>
        <v>47</v>
      </c>
      <c r="C123" cm="1">
        <f t="array" ref="C123">SUMPRODUCT((Task_table_03_2_26!$C$2:$C$596=$C$1)*(A123&gt;Task_table_03_2_26!$J$2:$J$596)*(A123&lt;Task_table_03_2_26!$K$2:$K$596))</f>
        <v>4</v>
      </c>
      <c r="D123" cm="1">
        <f t="array" ref="D123">SUMPRODUCT((Task_table_03_2_26!$C$2:$C$596=$D$1)*(A123&gt;Task_table_03_2_26!$J$2:$J$596)*(A123&lt;Task_table_03_2_26!$K$2:$K$596))</f>
        <v>0</v>
      </c>
      <c r="E123" cm="1">
        <f t="array" ref="E123">SUMPRODUCT((Task_table_03_2_26!$C$2:$C$596=$E$1)*(A123&gt;Task_table_03_2_26!$J$2:$J$596)*(A123&lt;Task_table_03_2_26!$K$2:$K$596))</f>
        <v>5</v>
      </c>
    </row>
    <row r="124" spans="1:5">
      <c r="A124" s="5">
        <v>45992</v>
      </c>
      <c r="B124" cm="1">
        <f t="array" ref="B124">SUMPRODUCT((Task_table_03_2_26!$C$2:$C$596=$B$1)*(A124&gt;Task_table_03_2_26!$J$2:$J$596)*(A124&lt;Task_table_03_2_26!$K$2:$K$596))</f>
        <v>47</v>
      </c>
      <c r="C124" cm="1">
        <f t="array" ref="C124">SUMPRODUCT((Task_table_03_2_26!$C$2:$C$596=$C$1)*(A124&gt;Task_table_03_2_26!$J$2:$J$596)*(A124&lt;Task_table_03_2_26!$K$2:$K$596))</f>
        <v>4</v>
      </c>
      <c r="D124" cm="1">
        <f t="array" ref="D124">SUMPRODUCT((Task_table_03_2_26!$C$2:$C$596=$D$1)*(A124&gt;Task_table_03_2_26!$J$2:$J$596)*(A124&lt;Task_table_03_2_26!$K$2:$K$596))</f>
        <v>0</v>
      </c>
      <c r="E124" cm="1">
        <f t="array" ref="E124">SUMPRODUCT((Task_table_03_2_26!$C$2:$C$596=$E$1)*(A124&gt;Task_table_03_2_26!$J$2:$J$596)*(A124&lt;Task_table_03_2_26!$K$2:$K$596))</f>
        <v>5</v>
      </c>
    </row>
    <row r="125" spans="1:5">
      <c r="A125" s="5">
        <v>45993</v>
      </c>
      <c r="B125" cm="1">
        <f t="array" ref="B125">SUMPRODUCT((Task_table_03_2_26!$C$2:$C$596=$B$1)*(A125&gt;Task_table_03_2_26!$J$2:$J$596)*(A125&lt;Task_table_03_2_26!$K$2:$K$596))</f>
        <v>47</v>
      </c>
      <c r="C125" cm="1">
        <f t="array" ref="C125">SUMPRODUCT((Task_table_03_2_26!$C$2:$C$596=$C$1)*(A125&gt;Task_table_03_2_26!$J$2:$J$596)*(A125&lt;Task_table_03_2_26!$K$2:$K$596))</f>
        <v>4</v>
      </c>
      <c r="D125" cm="1">
        <f t="array" ref="D125">SUMPRODUCT((Task_table_03_2_26!$C$2:$C$596=$D$1)*(A125&gt;Task_table_03_2_26!$J$2:$J$596)*(A125&lt;Task_table_03_2_26!$K$2:$K$596))</f>
        <v>0</v>
      </c>
      <c r="E125" cm="1">
        <f t="array" ref="E125">SUMPRODUCT((Task_table_03_2_26!$C$2:$C$596=$E$1)*(A125&gt;Task_table_03_2_26!$J$2:$J$596)*(A125&lt;Task_table_03_2_26!$K$2:$K$596))</f>
        <v>5</v>
      </c>
    </row>
    <row r="126" spans="1:5">
      <c r="A126" s="5">
        <v>45994</v>
      </c>
      <c r="B126" cm="1">
        <f t="array" ref="B126">SUMPRODUCT((Task_table_03_2_26!$C$2:$C$596=$B$1)*(A126&gt;Task_table_03_2_26!$J$2:$J$596)*(A126&lt;Task_table_03_2_26!$K$2:$K$596))</f>
        <v>47</v>
      </c>
      <c r="C126" cm="1">
        <f t="array" ref="C126">SUMPRODUCT((Task_table_03_2_26!$C$2:$C$596=$C$1)*(A126&gt;Task_table_03_2_26!$J$2:$J$596)*(A126&lt;Task_table_03_2_26!$K$2:$K$596))</f>
        <v>4</v>
      </c>
      <c r="D126" cm="1">
        <f t="array" ref="D126">SUMPRODUCT((Task_table_03_2_26!$C$2:$C$596=$D$1)*(A126&gt;Task_table_03_2_26!$J$2:$J$596)*(A126&lt;Task_table_03_2_26!$K$2:$K$596))</f>
        <v>0</v>
      </c>
      <c r="E126" cm="1">
        <f t="array" ref="E126">SUMPRODUCT((Task_table_03_2_26!$C$2:$C$596=$E$1)*(A126&gt;Task_table_03_2_26!$J$2:$J$596)*(A126&lt;Task_table_03_2_26!$K$2:$K$596))</f>
        <v>5</v>
      </c>
    </row>
    <row r="127" spans="1:5">
      <c r="A127" s="5">
        <v>45995</v>
      </c>
      <c r="B127" cm="1">
        <f t="array" ref="B127">SUMPRODUCT((Task_table_03_2_26!$C$2:$C$596=$B$1)*(A127&gt;Task_table_03_2_26!$J$2:$J$596)*(A127&lt;Task_table_03_2_26!$K$2:$K$596))</f>
        <v>47</v>
      </c>
      <c r="C127" cm="1">
        <f t="array" ref="C127">SUMPRODUCT((Task_table_03_2_26!$C$2:$C$596=$C$1)*(A127&gt;Task_table_03_2_26!$J$2:$J$596)*(A127&lt;Task_table_03_2_26!$K$2:$K$596))</f>
        <v>4</v>
      </c>
      <c r="D127" cm="1">
        <f t="array" ref="D127">SUMPRODUCT((Task_table_03_2_26!$C$2:$C$596=$D$1)*(A127&gt;Task_table_03_2_26!$J$2:$J$596)*(A127&lt;Task_table_03_2_26!$K$2:$K$596))</f>
        <v>0</v>
      </c>
      <c r="E127" cm="1">
        <f t="array" ref="E127">SUMPRODUCT((Task_table_03_2_26!$C$2:$C$596=$E$1)*(A127&gt;Task_table_03_2_26!$J$2:$J$596)*(A127&lt;Task_table_03_2_26!$K$2:$K$596))</f>
        <v>5</v>
      </c>
    </row>
    <row r="128" spans="1:5">
      <c r="A128" s="5">
        <v>45996</v>
      </c>
      <c r="B128" cm="1">
        <f t="array" ref="B128">SUMPRODUCT((Task_table_03_2_26!$C$2:$C$596=$B$1)*(A128&gt;Task_table_03_2_26!$J$2:$J$596)*(A128&lt;Task_table_03_2_26!$K$2:$K$596))</f>
        <v>47</v>
      </c>
      <c r="C128" cm="1">
        <f t="array" ref="C128">SUMPRODUCT((Task_table_03_2_26!$C$2:$C$596=$C$1)*(A128&gt;Task_table_03_2_26!$J$2:$J$596)*(A128&lt;Task_table_03_2_26!$K$2:$K$596))</f>
        <v>4</v>
      </c>
      <c r="D128" cm="1">
        <f t="array" ref="D128">SUMPRODUCT((Task_table_03_2_26!$C$2:$C$596=$D$1)*(A128&gt;Task_table_03_2_26!$J$2:$J$596)*(A128&lt;Task_table_03_2_26!$K$2:$K$596))</f>
        <v>0</v>
      </c>
      <c r="E128" cm="1">
        <f t="array" ref="E128">SUMPRODUCT((Task_table_03_2_26!$C$2:$C$596=$E$1)*(A128&gt;Task_table_03_2_26!$J$2:$J$596)*(A128&lt;Task_table_03_2_26!$K$2:$K$596))</f>
        <v>5</v>
      </c>
    </row>
    <row r="129" spans="1:5">
      <c r="A129" s="5">
        <v>45997</v>
      </c>
      <c r="B129" cm="1">
        <f t="array" ref="B129">SUMPRODUCT((Task_table_03_2_26!$C$2:$C$596=$B$1)*(A129&gt;Task_table_03_2_26!$J$2:$J$596)*(A129&lt;Task_table_03_2_26!$K$2:$K$596))</f>
        <v>47</v>
      </c>
      <c r="C129" cm="1">
        <f t="array" ref="C129">SUMPRODUCT((Task_table_03_2_26!$C$2:$C$596=$C$1)*(A129&gt;Task_table_03_2_26!$J$2:$J$596)*(A129&lt;Task_table_03_2_26!$K$2:$K$596))</f>
        <v>4</v>
      </c>
      <c r="D129" cm="1">
        <f t="array" ref="D129">SUMPRODUCT((Task_table_03_2_26!$C$2:$C$596=$D$1)*(A129&gt;Task_table_03_2_26!$J$2:$J$596)*(A129&lt;Task_table_03_2_26!$K$2:$K$596))</f>
        <v>0</v>
      </c>
      <c r="E129" cm="1">
        <f t="array" ref="E129">SUMPRODUCT((Task_table_03_2_26!$C$2:$C$596=$E$1)*(A129&gt;Task_table_03_2_26!$J$2:$J$596)*(A129&lt;Task_table_03_2_26!$K$2:$K$596))</f>
        <v>5</v>
      </c>
    </row>
    <row r="130" spans="1:5">
      <c r="A130" s="5">
        <v>45998</v>
      </c>
      <c r="B130" cm="1">
        <f t="array" ref="B130">SUMPRODUCT((Task_table_03_2_26!$C$2:$C$596=$B$1)*(A130&gt;Task_table_03_2_26!$J$2:$J$596)*(A130&lt;Task_table_03_2_26!$K$2:$K$596))</f>
        <v>47</v>
      </c>
      <c r="C130" cm="1">
        <f t="array" ref="C130">SUMPRODUCT((Task_table_03_2_26!$C$2:$C$596=$C$1)*(A130&gt;Task_table_03_2_26!$J$2:$J$596)*(A130&lt;Task_table_03_2_26!$K$2:$K$596))</f>
        <v>4</v>
      </c>
      <c r="D130" cm="1">
        <f t="array" ref="D130">SUMPRODUCT((Task_table_03_2_26!$C$2:$C$596=$D$1)*(A130&gt;Task_table_03_2_26!$J$2:$J$596)*(A130&lt;Task_table_03_2_26!$K$2:$K$596))</f>
        <v>0</v>
      </c>
      <c r="E130" cm="1">
        <f t="array" ref="E130">SUMPRODUCT((Task_table_03_2_26!$C$2:$C$596=$E$1)*(A130&gt;Task_table_03_2_26!$J$2:$J$596)*(A130&lt;Task_table_03_2_26!$K$2:$K$596))</f>
        <v>5</v>
      </c>
    </row>
    <row r="131" spans="1:5">
      <c r="A131" s="5">
        <v>45999</v>
      </c>
      <c r="B131" cm="1">
        <f t="array" ref="B131">SUMPRODUCT((Task_table_03_2_26!$C$2:$C$596=$B$1)*(A131&gt;Task_table_03_2_26!$J$2:$J$596)*(A131&lt;Task_table_03_2_26!$K$2:$K$596))</f>
        <v>47</v>
      </c>
      <c r="C131" cm="1">
        <f t="array" ref="C131">SUMPRODUCT((Task_table_03_2_26!$C$2:$C$596=$C$1)*(A131&gt;Task_table_03_2_26!$J$2:$J$596)*(A131&lt;Task_table_03_2_26!$K$2:$K$596))</f>
        <v>4</v>
      </c>
      <c r="D131" cm="1">
        <f t="array" ref="D131">SUMPRODUCT((Task_table_03_2_26!$C$2:$C$596=$D$1)*(A131&gt;Task_table_03_2_26!$J$2:$J$596)*(A131&lt;Task_table_03_2_26!$K$2:$K$596))</f>
        <v>0</v>
      </c>
      <c r="E131" cm="1">
        <f t="array" ref="E131">SUMPRODUCT((Task_table_03_2_26!$C$2:$C$596=$E$1)*(A131&gt;Task_table_03_2_26!$J$2:$J$596)*(A131&lt;Task_table_03_2_26!$K$2:$K$596))</f>
        <v>5</v>
      </c>
    </row>
    <row r="132" spans="1:5">
      <c r="A132" s="5">
        <v>46000</v>
      </c>
      <c r="B132" cm="1">
        <f t="array" ref="B132">SUMPRODUCT((Task_table_03_2_26!$C$2:$C$596=$B$1)*(A132&gt;Task_table_03_2_26!$J$2:$J$596)*(A132&lt;Task_table_03_2_26!$K$2:$K$596))</f>
        <v>47</v>
      </c>
      <c r="C132" cm="1">
        <f t="array" ref="C132">SUMPRODUCT((Task_table_03_2_26!$C$2:$C$596=$C$1)*(A132&gt;Task_table_03_2_26!$J$2:$J$596)*(A132&lt;Task_table_03_2_26!$K$2:$K$596))</f>
        <v>4</v>
      </c>
      <c r="D132" cm="1">
        <f t="array" ref="D132">SUMPRODUCT((Task_table_03_2_26!$C$2:$C$596=$D$1)*(A132&gt;Task_table_03_2_26!$J$2:$J$596)*(A132&lt;Task_table_03_2_26!$K$2:$K$596))</f>
        <v>0</v>
      </c>
      <c r="E132" cm="1">
        <f t="array" ref="E132">SUMPRODUCT((Task_table_03_2_26!$C$2:$C$596=$E$1)*(A132&gt;Task_table_03_2_26!$J$2:$J$596)*(A132&lt;Task_table_03_2_26!$K$2:$K$596))</f>
        <v>5</v>
      </c>
    </row>
    <row r="133" spans="1:5">
      <c r="A133" s="5">
        <v>46001</v>
      </c>
      <c r="B133" cm="1">
        <f t="array" ref="B133">SUMPRODUCT((Task_table_03_2_26!$C$2:$C$596=$B$1)*(A133&gt;Task_table_03_2_26!$J$2:$J$596)*(A133&lt;Task_table_03_2_26!$K$2:$K$596))</f>
        <v>39</v>
      </c>
      <c r="C133" cm="1">
        <f t="array" ref="C133">SUMPRODUCT((Task_table_03_2_26!$C$2:$C$596=$C$1)*(A133&gt;Task_table_03_2_26!$J$2:$J$596)*(A133&lt;Task_table_03_2_26!$K$2:$K$596))</f>
        <v>4</v>
      </c>
      <c r="D133" cm="1">
        <f t="array" ref="D133">SUMPRODUCT((Task_table_03_2_26!$C$2:$C$596=$D$1)*(A133&gt;Task_table_03_2_26!$J$2:$J$596)*(A133&lt;Task_table_03_2_26!$K$2:$K$596))</f>
        <v>0</v>
      </c>
      <c r="E133" cm="1">
        <f t="array" ref="E133">SUMPRODUCT((Task_table_03_2_26!$C$2:$C$596=$E$1)*(A133&gt;Task_table_03_2_26!$J$2:$J$596)*(A133&lt;Task_table_03_2_26!$K$2:$K$596))</f>
        <v>5</v>
      </c>
    </row>
    <row r="134" spans="1:5">
      <c r="A134" s="5">
        <v>46002</v>
      </c>
      <c r="B134" cm="1">
        <f t="array" ref="B134">SUMPRODUCT((Task_table_03_2_26!$C$2:$C$596=$B$1)*(A134&gt;Task_table_03_2_26!$J$2:$J$596)*(A134&lt;Task_table_03_2_26!$K$2:$K$596))</f>
        <v>39</v>
      </c>
      <c r="C134" cm="1">
        <f t="array" ref="C134">SUMPRODUCT((Task_table_03_2_26!$C$2:$C$596=$C$1)*(A134&gt;Task_table_03_2_26!$J$2:$J$596)*(A134&lt;Task_table_03_2_26!$K$2:$K$596))</f>
        <v>4</v>
      </c>
      <c r="D134" cm="1">
        <f t="array" ref="D134">SUMPRODUCT((Task_table_03_2_26!$C$2:$C$596=$D$1)*(A134&gt;Task_table_03_2_26!$J$2:$J$596)*(A134&lt;Task_table_03_2_26!$K$2:$K$596))</f>
        <v>0</v>
      </c>
      <c r="E134" cm="1">
        <f t="array" ref="E134">SUMPRODUCT((Task_table_03_2_26!$C$2:$C$596=$E$1)*(A134&gt;Task_table_03_2_26!$J$2:$J$596)*(A134&lt;Task_table_03_2_26!$K$2:$K$596))</f>
        <v>5</v>
      </c>
    </row>
    <row r="135" spans="1:5">
      <c r="A135" s="5">
        <v>46003</v>
      </c>
      <c r="B135" cm="1">
        <f t="array" ref="B135">SUMPRODUCT((Task_table_03_2_26!$C$2:$C$596=$B$1)*(A135&gt;Task_table_03_2_26!$J$2:$J$596)*(A135&lt;Task_table_03_2_26!$K$2:$K$596))</f>
        <v>39</v>
      </c>
      <c r="C135" cm="1">
        <f t="array" ref="C135">SUMPRODUCT((Task_table_03_2_26!$C$2:$C$596=$C$1)*(A135&gt;Task_table_03_2_26!$J$2:$J$596)*(A135&lt;Task_table_03_2_26!$K$2:$K$596))</f>
        <v>4</v>
      </c>
      <c r="D135" cm="1">
        <f t="array" ref="D135">SUMPRODUCT((Task_table_03_2_26!$C$2:$C$596=$D$1)*(A135&gt;Task_table_03_2_26!$J$2:$J$596)*(A135&lt;Task_table_03_2_26!$K$2:$K$596))</f>
        <v>0</v>
      </c>
      <c r="E135" cm="1">
        <f t="array" ref="E135">SUMPRODUCT((Task_table_03_2_26!$C$2:$C$596=$E$1)*(A135&gt;Task_table_03_2_26!$J$2:$J$596)*(A135&lt;Task_table_03_2_26!$K$2:$K$596))</f>
        <v>5</v>
      </c>
    </row>
    <row r="136" spans="1:5">
      <c r="A136" s="5">
        <v>46004</v>
      </c>
      <c r="B136" cm="1">
        <f t="array" ref="B136">SUMPRODUCT((Task_table_03_2_26!$C$2:$C$596=$B$1)*(A136&gt;Task_table_03_2_26!$J$2:$J$596)*(A136&lt;Task_table_03_2_26!$K$2:$K$596))</f>
        <v>39</v>
      </c>
      <c r="C136" cm="1">
        <f t="array" ref="C136">SUMPRODUCT((Task_table_03_2_26!$C$2:$C$596=$C$1)*(A136&gt;Task_table_03_2_26!$J$2:$J$596)*(A136&lt;Task_table_03_2_26!$K$2:$K$596))</f>
        <v>4</v>
      </c>
      <c r="D136" cm="1">
        <f t="array" ref="D136">SUMPRODUCT((Task_table_03_2_26!$C$2:$C$596=$D$1)*(A136&gt;Task_table_03_2_26!$J$2:$J$596)*(A136&lt;Task_table_03_2_26!$K$2:$K$596))</f>
        <v>0</v>
      </c>
      <c r="E136" cm="1">
        <f t="array" ref="E136">SUMPRODUCT((Task_table_03_2_26!$C$2:$C$596=$E$1)*(A136&gt;Task_table_03_2_26!$J$2:$J$596)*(A136&lt;Task_table_03_2_26!$K$2:$K$596))</f>
        <v>5</v>
      </c>
    </row>
    <row r="137" spans="1:5">
      <c r="A137" s="5">
        <v>46005</v>
      </c>
      <c r="B137" cm="1">
        <f t="array" ref="B137">SUMPRODUCT((Task_table_03_2_26!$C$2:$C$596=$B$1)*(A137&gt;Task_table_03_2_26!$J$2:$J$596)*(A137&lt;Task_table_03_2_26!$K$2:$K$596))</f>
        <v>39</v>
      </c>
      <c r="C137" cm="1">
        <f t="array" ref="C137">SUMPRODUCT((Task_table_03_2_26!$C$2:$C$596=$C$1)*(A137&gt;Task_table_03_2_26!$J$2:$J$596)*(A137&lt;Task_table_03_2_26!$K$2:$K$596))</f>
        <v>4</v>
      </c>
      <c r="D137" cm="1">
        <f t="array" ref="D137">SUMPRODUCT((Task_table_03_2_26!$C$2:$C$596=$D$1)*(A137&gt;Task_table_03_2_26!$J$2:$J$596)*(A137&lt;Task_table_03_2_26!$K$2:$K$596))</f>
        <v>0</v>
      </c>
      <c r="E137" cm="1">
        <f t="array" ref="E137">SUMPRODUCT((Task_table_03_2_26!$C$2:$C$596=$E$1)*(A137&gt;Task_table_03_2_26!$J$2:$J$596)*(A137&lt;Task_table_03_2_26!$K$2:$K$596))</f>
        <v>5</v>
      </c>
    </row>
    <row r="138" spans="1:5">
      <c r="A138" s="5">
        <v>46006</v>
      </c>
      <c r="B138" cm="1">
        <f t="array" ref="B138">SUMPRODUCT((Task_table_03_2_26!$C$2:$C$596=$B$1)*(A138&gt;Task_table_03_2_26!$J$2:$J$596)*(A138&lt;Task_table_03_2_26!$K$2:$K$596))</f>
        <v>39</v>
      </c>
      <c r="C138" cm="1">
        <f t="array" ref="C138">SUMPRODUCT((Task_table_03_2_26!$C$2:$C$596=$C$1)*(A138&gt;Task_table_03_2_26!$J$2:$J$596)*(A138&lt;Task_table_03_2_26!$K$2:$K$596))</f>
        <v>4</v>
      </c>
      <c r="D138" cm="1">
        <f t="array" ref="D138">SUMPRODUCT((Task_table_03_2_26!$C$2:$C$596=$D$1)*(A138&gt;Task_table_03_2_26!$J$2:$J$596)*(A138&lt;Task_table_03_2_26!$K$2:$K$596))</f>
        <v>0</v>
      </c>
      <c r="E138" cm="1">
        <f t="array" ref="E138">SUMPRODUCT((Task_table_03_2_26!$C$2:$C$596=$E$1)*(A138&gt;Task_table_03_2_26!$J$2:$J$596)*(A138&lt;Task_table_03_2_26!$K$2:$K$596))</f>
        <v>5</v>
      </c>
    </row>
    <row r="139" spans="1:5">
      <c r="A139" s="5">
        <v>46007</v>
      </c>
      <c r="B139" cm="1">
        <f t="array" ref="B139">SUMPRODUCT((Task_table_03_2_26!$C$2:$C$596=$B$1)*(A139&gt;Task_table_03_2_26!$J$2:$J$596)*(A139&lt;Task_table_03_2_26!$K$2:$K$596))</f>
        <v>39</v>
      </c>
      <c r="C139" cm="1">
        <f t="array" ref="C139">SUMPRODUCT((Task_table_03_2_26!$C$2:$C$596=$C$1)*(A139&gt;Task_table_03_2_26!$J$2:$J$596)*(A139&lt;Task_table_03_2_26!$K$2:$K$596))</f>
        <v>4</v>
      </c>
      <c r="D139" cm="1">
        <f t="array" ref="D139">SUMPRODUCT((Task_table_03_2_26!$C$2:$C$596=$D$1)*(A139&gt;Task_table_03_2_26!$J$2:$J$596)*(A139&lt;Task_table_03_2_26!$K$2:$K$596))</f>
        <v>0</v>
      </c>
      <c r="E139" cm="1">
        <f t="array" ref="E139">SUMPRODUCT((Task_table_03_2_26!$C$2:$C$596=$E$1)*(A139&gt;Task_table_03_2_26!$J$2:$J$596)*(A139&lt;Task_table_03_2_26!$K$2:$K$596))</f>
        <v>5</v>
      </c>
    </row>
    <row r="140" spans="1:5">
      <c r="A140" s="5">
        <v>46008</v>
      </c>
      <c r="B140" cm="1">
        <f t="array" ref="B140">SUMPRODUCT((Task_table_03_2_26!$C$2:$C$596=$B$1)*(A140&gt;Task_table_03_2_26!$J$2:$J$596)*(A140&lt;Task_table_03_2_26!$K$2:$K$596))</f>
        <v>39</v>
      </c>
      <c r="C140" cm="1">
        <f t="array" ref="C140">SUMPRODUCT((Task_table_03_2_26!$C$2:$C$596=$C$1)*(A140&gt;Task_table_03_2_26!$J$2:$J$596)*(A140&lt;Task_table_03_2_26!$K$2:$K$596))</f>
        <v>4</v>
      </c>
      <c r="D140" cm="1">
        <f t="array" ref="D140">SUMPRODUCT((Task_table_03_2_26!$C$2:$C$596=$D$1)*(A140&gt;Task_table_03_2_26!$J$2:$J$596)*(A140&lt;Task_table_03_2_26!$K$2:$K$596))</f>
        <v>0</v>
      </c>
      <c r="E140" cm="1">
        <f t="array" ref="E140">SUMPRODUCT((Task_table_03_2_26!$C$2:$C$596=$E$1)*(A140&gt;Task_table_03_2_26!$J$2:$J$596)*(A140&lt;Task_table_03_2_26!$K$2:$K$596))</f>
        <v>5</v>
      </c>
    </row>
    <row r="141" spans="1:5">
      <c r="A141" s="5">
        <v>46009</v>
      </c>
      <c r="B141" cm="1">
        <f t="array" ref="B141">SUMPRODUCT((Task_table_03_2_26!$C$2:$C$596=$B$1)*(A141&gt;Task_table_03_2_26!$J$2:$J$596)*(A141&lt;Task_table_03_2_26!$K$2:$K$596))</f>
        <v>39</v>
      </c>
      <c r="C141" cm="1">
        <f t="array" ref="C141">SUMPRODUCT((Task_table_03_2_26!$C$2:$C$596=$C$1)*(A141&gt;Task_table_03_2_26!$J$2:$J$596)*(A141&lt;Task_table_03_2_26!$K$2:$K$596))</f>
        <v>4</v>
      </c>
      <c r="D141" cm="1">
        <f t="array" ref="D141">SUMPRODUCT((Task_table_03_2_26!$C$2:$C$596=$D$1)*(A141&gt;Task_table_03_2_26!$J$2:$J$596)*(A141&lt;Task_table_03_2_26!$K$2:$K$596))</f>
        <v>0</v>
      </c>
      <c r="E141" cm="1">
        <f t="array" ref="E141">SUMPRODUCT((Task_table_03_2_26!$C$2:$C$596=$E$1)*(A141&gt;Task_table_03_2_26!$J$2:$J$596)*(A141&lt;Task_table_03_2_26!$K$2:$K$596))</f>
        <v>5</v>
      </c>
    </row>
    <row r="142" spans="1:5">
      <c r="A142" s="5">
        <v>46010</v>
      </c>
      <c r="B142" cm="1">
        <f t="array" ref="B142">SUMPRODUCT((Task_table_03_2_26!$C$2:$C$596=$B$1)*(A142&gt;Task_table_03_2_26!$J$2:$J$596)*(A142&lt;Task_table_03_2_26!$K$2:$K$596))</f>
        <v>39</v>
      </c>
      <c r="C142" cm="1">
        <f t="array" ref="C142">SUMPRODUCT((Task_table_03_2_26!$C$2:$C$596=$C$1)*(A142&gt;Task_table_03_2_26!$J$2:$J$596)*(A142&lt;Task_table_03_2_26!$K$2:$K$596))</f>
        <v>4</v>
      </c>
      <c r="D142" cm="1">
        <f t="array" ref="D142">SUMPRODUCT((Task_table_03_2_26!$C$2:$C$596=$D$1)*(A142&gt;Task_table_03_2_26!$J$2:$J$596)*(A142&lt;Task_table_03_2_26!$K$2:$K$596))</f>
        <v>0</v>
      </c>
      <c r="E142" cm="1">
        <f t="array" ref="E142">SUMPRODUCT((Task_table_03_2_26!$C$2:$C$596=$E$1)*(A142&gt;Task_table_03_2_26!$J$2:$J$596)*(A142&lt;Task_table_03_2_26!$K$2:$K$596))</f>
        <v>5</v>
      </c>
    </row>
    <row r="143" spans="1:5">
      <c r="A143" s="5">
        <v>46011</v>
      </c>
      <c r="B143" cm="1">
        <f t="array" ref="B143">SUMPRODUCT((Task_table_03_2_26!$C$2:$C$596=$B$1)*(A143&gt;Task_table_03_2_26!$J$2:$J$596)*(A143&lt;Task_table_03_2_26!$K$2:$K$596))</f>
        <v>39</v>
      </c>
      <c r="C143" cm="1">
        <f t="array" ref="C143">SUMPRODUCT((Task_table_03_2_26!$C$2:$C$596=$C$1)*(A143&gt;Task_table_03_2_26!$J$2:$J$596)*(A143&lt;Task_table_03_2_26!$K$2:$K$596))</f>
        <v>4</v>
      </c>
      <c r="D143" cm="1">
        <f t="array" ref="D143">SUMPRODUCT((Task_table_03_2_26!$C$2:$C$596=$D$1)*(A143&gt;Task_table_03_2_26!$J$2:$J$596)*(A143&lt;Task_table_03_2_26!$K$2:$K$596))</f>
        <v>0</v>
      </c>
      <c r="E143" cm="1">
        <f t="array" ref="E143">SUMPRODUCT((Task_table_03_2_26!$C$2:$C$596=$E$1)*(A143&gt;Task_table_03_2_26!$J$2:$J$596)*(A143&lt;Task_table_03_2_26!$K$2:$K$596))</f>
        <v>5</v>
      </c>
    </row>
    <row r="144" spans="1:5">
      <c r="A144" s="5">
        <v>46012</v>
      </c>
      <c r="B144" cm="1">
        <f t="array" ref="B144">SUMPRODUCT((Task_table_03_2_26!$C$2:$C$596=$B$1)*(A144&gt;Task_table_03_2_26!$J$2:$J$596)*(A144&lt;Task_table_03_2_26!$K$2:$K$596))</f>
        <v>39</v>
      </c>
      <c r="C144" cm="1">
        <f t="array" ref="C144">SUMPRODUCT((Task_table_03_2_26!$C$2:$C$596=$C$1)*(A144&gt;Task_table_03_2_26!$J$2:$J$596)*(A144&lt;Task_table_03_2_26!$K$2:$K$596))</f>
        <v>4</v>
      </c>
      <c r="D144" cm="1">
        <f t="array" ref="D144">SUMPRODUCT((Task_table_03_2_26!$C$2:$C$596=$D$1)*(A144&gt;Task_table_03_2_26!$J$2:$J$596)*(A144&lt;Task_table_03_2_26!$K$2:$K$596))</f>
        <v>0</v>
      </c>
      <c r="E144" cm="1">
        <f t="array" ref="E144">SUMPRODUCT((Task_table_03_2_26!$C$2:$C$596=$E$1)*(A144&gt;Task_table_03_2_26!$J$2:$J$596)*(A144&lt;Task_table_03_2_26!$K$2:$K$596))</f>
        <v>5</v>
      </c>
    </row>
    <row r="145" spans="1:5">
      <c r="A145" s="5">
        <v>46013</v>
      </c>
      <c r="B145" cm="1">
        <f t="array" ref="B145">SUMPRODUCT((Task_table_03_2_26!$C$2:$C$596=$B$1)*(A145&gt;Task_table_03_2_26!$J$2:$J$596)*(A145&lt;Task_table_03_2_26!$K$2:$K$596))</f>
        <v>39</v>
      </c>
      <c r="C145" cm="1">
        <f t="array" ref="C145">SUMPRODUCT((Task_table_03_2_26!$C$2:$C$596=$C$1)*(A145&gt;Task_table_03_2_26!$J$2:$J$596)*(A145&lt;Task_table_03_2_26!$K$2:$K$596))</f>
        <v>4</v>
      </c>
      <c r="D145" cm="1">
        <f t="array" ref="D145">SUMPRODUCT((Task_table_03_2_26!$C$2:$C$596=$D$1)*(A145&gt;Task_table_03_2_26!$J$2:$J$596)*(A145&lt;Task_table_03_2_26!$K$2:$K$596))</f>
        <v>0</v>
      </c>
      <c r="E145" cm="1">
        <f t="array" ref="E145">SUMPRODUCT((Task_table_03_2_26!$C$2:$C$596=$E$1)*(A145&gt;Task_table_03_2_26!$J$2:$J$596)*(A145&lt;Task_table_03_2_26!$K$2:$K$596))</f>
        <v>5</v>
      </c>
    </row>
    <row r="146" spans="1:5">
      <c r="A146" s="5">
        <v>46014</v>
      </c>
      <c r="B146" cm="1">
        <f t="array" ref="B146">SUMPRODUCT((Task_table_03_2_26!$C$2:$C$596=$B$1)*(A146&gt;Task_table_03_2_26!$J$2:$J$596)*(A146&lt;Task_table_03_2_26!$K$2:$K$596))</f>
        <v>39</v>
      </c>
      <c r="C146" cm="1">
        <f t="array" ref="C146">SUMPRODUCT((Task_table_03_2_26!$C$2:$C$596=$C$1)*(A146&gt;Task_table_03_2_26!$J$2:$J$596)*(A146&lt;Task_table_03_2_26!$K$2:$K$596))</f>
        <v>4</v>
      </c>
      <c r="D146" cm="1">
        <f t="array" ref="D146">SUMPRODUCT((Task_table_03_2_26!$C$2:$C$596=$D$1)*(A146&gt;Task_table_03_2_26!$J$2:$J$596)*(A146&lt;Task_table_03_2_26!$K$2:$K$596))</f>
        <v>0</v>
      </c>
      <c r="E146" cm="1">
        <f t="array" ref="E146">SUMPRODUCT((Task_table_03_2_26!$C$2:$C$596=$E$1)*(A146&gt;Task_table_03_2_26!$J$2:$J$596)*(A146&lt;Task_table_03_2_26!$K$2:$K$596))</f>
        <v>5</v>
      </c>
    </row>
    <row r="147" spans="1:5">
      <c r="A147" s="5">
        <v>46015</v>
      </c>
      <c r="B147" cm="1">
        <f t="array" ref="B147">SUMPRODUCT((Task_table_03_2_26!$C$2:$C$596=$B$1)*(A147&gt;Task_table_03_2_26!$J$2:$J$596)*(A147&lt;Task_table_03_2_26!$K$2:$K$596))</f>
        <v>39</v>
      </c>
      <c r="C147" cm="1">
        <f t="array" ref="C147">SUMPRODUCT((Task_table_03_2_26!$C$2:$C$596=$C$1)*(A147&gt;Task_table_03_2_26!$J$2:$J$596)*(A147&lt;Task_table_03_2_26!$K$2:$K$596))</f>
        <v>4</v>
      </c>
      <c r="D147" cm="1">
        <f t="array" ref="D147">SUMPRODUCT((Task_table_03_2_26!$C$2:$C$596=$D$1)*(A147&gt;Task_table_03_2_26!$J$2:$J$596)*(A147&lt;Task_table_03_2_26!$K$2:$K$596))</f>
        <v>0</v>
      </c>
      <c r="E147" cm="1">
        <f t="array" ref="E147">SUMPRODUCT((Task_table_03_2_26!$C$2:$C$596=$E$1)*(A147&gt;Task_table_03_2_26!$J$2:$J$596)*(A147&lt;Task_table_03_2_26!$K$2:$K$596))</f>
        <v>5</v>
      </c>
    </row>
    <row r="148" spans="1:5">
      <c r="A148" s="5">
        <v>46016</v>
      </c>
      <c r="B148" cm="1">
        <f t="array" ref="B148">SUMPRODUCT((Task_table_03_2_26!$C$2:$C$596=$B$1)*(A148&gt;Task_table_03_2_26!$J$2:$J$596)*(A148&lt;Task_table_03_2_26!$K$2:$K$596))</f>
        <v>39</v>
      </c>
      <c r="C148" cm="1">
        <f t="array" ref="C148">SUMPRODUCT((Task_table_03_2_26!$C$2:$C$596=$C$1)*(A148&gt;Task_table_03_2_26!$J$2:$J$596)*(A148&lt;Task_table_03_2_26!$K$2:$K$596))</f>
        <v>4</v>
      </c>
      <c r="D148" cm="1">
        <f t="array" ref="D148">SUMPRODUCT((Task_table_03_2_26!$C$2:$C$596=$D$1)*(A148&gt;Task_table_03_2_26!$J$2:$J$596)*(A148&lt;Task_table_03_2_26!$K$2:$K$596))</f>
        <v>0</v>
      </c>
      <c r="E148" cm="1">
        <f t="array" ref="E148">SUMPRODUCT((Task_table_03_2_26!$C$2:$C$596=$E$1)*(A148&gt;Task_table_03_2_26!$J$2:$J$596)*(A148&lt;Task_table_03_2_26!$K$2:$K$596))</f>
        <v>5</v>
      </c>
    </row>
    <row r="149" spans="1:5">
      <c r="A149" s="5">
        <v>46017</v>
      </c>
      <c r="B149" cm="1">
        <f t="array" ref="B149">SUMPRODUCT((Task_table_03_2_26!$C$2:$C$596=$B$1)*(A149&gt;Task_table_03_2_26!$J$2:$J$596)*(A149&lt;Task_table_03_2_26!$K$2:$K$596))</f>
        <v>39</v>
      </c>
      <c r="C149" cm="1">
        <f t="array" ref="C149">SUMPRODUCT((Task_table_03_2_26!$C$2:$C$596=$C$1)*(A149&gt;Task_table_03_2_26!$J$2:$J$596)*(A149&lt;Task_table_03_2_26!$K$2:$K$596))</f>
        <v>4</v>
      </c>
      <c r="D149" cm="1">
        <f t="array" ref="D149">SUMPRODUCT((Task_table_03_2_26!$C$2:$C$596=$D$1)*(A149&gt;Task_table_03_2_26!$J$2:$J$596)*(A149&lt;Task_table_03_2_26!$K$2:$K$596))</f>
        <v>0</v>
      </c>
      <c r="E149" cm="1">
        <f t="array" ref="E149">SUMPRODUCT((Task_table_03_2_26!$C$2:$C$596=$E$1)*(A149&gt;Task_table_03_2_26!$J$2:$J$596)*(A149&lt;Task_table_03_2_26!$K$2:$K$596))</f>
        <v>5</v>
      </c>
    </row>
    <row r="150" spans="1:5">
      <c r="A150" s="5">
        <v>46018</v>
      </c>
      <c r="B150" cm="1">
        <f t="array" ref="B150">SUMPRODUCT((Task_table_03_2_26!$C$2:$C$596=$B$1)*(A150&gt;Task_table_03_2_26!$J$2:$J$596)*(A150&lt;Task_table_03_2_26!$K$2:$K$596))</f>
        <v>39</v>
      </c>
      <c r="C150" cm="1">
        <f t="array" ref="C150">SUMPRODUCT((Task_table_03_2_26!$C$2:$C$596=$C$1)*(A150&gt;Task_table_03_2_26!$J$2:$J$596)*(A150&lt;Task_table_03_2_26!$K$2:$K$596))</f>
        <v>4</v>
      </c>
      <c r="D150" cm="1">
        <f t="array" ref="D150">SUMPRODUCT((Task_table_03_2_26!$C$2:$C$596=$D$1)*(A150&gt;Task_table_03_2_26!$J$2:$J$596)*(A150&lt;Task_table_03_2_26!$K$2:$K$596))</f>
        <v>0</v>
      </c>
      <c r="E150" cm="1">
        <f t="array" ref="E150">SUMPRODUCT((Task_table_03_2_26!$C$2:$C$596=$E$1)*(A150&gt;Task_table_03_2_26!$J$2:$J$596)*(A150&lt;Task_table_03_2_26!$K$2:$K$596))</f>
        <v>5</v>
      </c>
    </row>
    <row r="151" spans="1:5">
      <c r="A151" s="5">
        <v>46019</v>
      </c>
      <c r="B151" cm="1">
        <f t="array" ref="B151">SUMPRODUCT((Task_table_03_2_26!$C$2:$C$596=$B$1)*(A151&gt;Task_table_03_2_26!$J$2:$J$596)*(A151&lt;Task_table_03_2_26!$K$2:$K$596))</f>
        <v>39</v>
      </c>
      <c r="C151" cm="1">
        <f t="array" ref="C151">SUMPRODUCT((Task_table_03_2_26!$C$2:$C$596=$C$1)*(A151&gt;Task_table_03_2_26!$J$2:$J$596)*(A151&lt;Task_table_03_2_26!$K$2:$K$596))</f>
        <v>4</v>
      </c>
      <c r="D151" cm="1">
        <f t="array" ref="D151">SUMPRODUCT((Task_table_03_2_26!$C$2:$C$596=$D$1)*(A151&gt;Task_table_03_2_26!$J$2:$J$596)*(A151&lt;Task_table_03_2_26!$K$2:$K$596))</f>
        <v>0</v>
      </c>
      <c r="E151" cm="1">
        <f t="array" ref="E151">SUMPRODUCT((Task_table_03_2_26!$C$2:$C$596=$E$1)*(A151&gt;Task_table_03_2_26!$J$2:$J$596)*(A151&lt;Task_table_03_2_26!$K$2:$K$596))</f>
        <v>5</v>
      </c>
    </row>
    <row r="152" spans="1:5">
      <c r="A152" s="5">
        <v>46020</v>
      </c>
      <c r="B152" cm="1">
        <f t="array" ref="B152">SUMPRODUCT((Task_table_03_2_26!$C$2:$C$596=$B$1)*(A152&gt;Task_table_03_2_26!$J$2:$J$596)*(A152&lt;Task_table_03_2_26!$K$2:$K$596))</f>
        <v>39</v>
      </c>
      <c r="C152" cm="1">
        <f t="array" ref="C152">SUMPRODUCT((Task_table_03_2_26!$C$2:$C$596=$C$1)*(A152&gt;Task_table_03_2_26!$J$2:$J$596)*(A152&lt;Task_table_03_2_26!$K$2:$K$596))</f>
        <v>4</v>
      </c>
      <c r="D152" cm="1">
        <f t="array" ref="D152">SUMPRODUCT((Task_table_03_2_26!$C$2:$C$596=$D$1)*(A152&gt;Task_table_03_2_26!$J$2:$J$596)*(A152&lt;Task_table_03_2_26!$K$2:$K$596))</f>
        <v>0</v>
      </c>
      <c r="E152" cm="1">
        <f t="array" ref="E152">SUMPRODUCT((Task_table_03_2_26!$C$2:$C$596=$E$1)*(A152&gt;Task_table_03_2_26!$J$2:$J$596)*(A152&lt;Task_table_03_2_26!$K$2:$K$596))</f>
        <v>5</v>
      </c>
    </row>
    <row r="153" spans="1:5">
      <c r="A153" s="5">
        <v>46021</v>
      </c>
      <c r="B153" cm="1">
        <f t="array" ref="B153">SUMPRODUCT((Task_table_03_2_26!$C$2:$C$596=$B$1)*(A153&gt;Task_table_03_2_26!$J$2:$J$596)*(A153&lt;Task_table_03_2_26!$K$2:$K$596))</f>
        <v>39</v>
      </c>
      <c r="C153" cm="1">
        <f t="array" ref="C153">SUMPRODUCT((Task_table_03_2_26!$C$2:$C$596=$C$1)*(A153&gt;Task_table_03_2_26!$J$2:$J$596)*(A153&lt;Task_table_03_2_26!$K$2:$K$596))</f>
        <v>4</v>
      </c>
      <c r="D153" cm="1">
        <f t="array" ref="D153">SUMPRODUCT((Task_table_03_2_26!$C$2:$C$596=$D$1)*(A153&gt;Task_table_03_2_26!$J$2:$J$596)*(A153&lt;Task_table_03_2_26!$K$2:$K$596))</f>
        <v>0</v>
      </c>
      <c r="E153" cm="1">
        <f t="array" ref="E153">SUMPRODUCT((Task_table_03_2_26!$C$2:$C$596=$E$1)*(A153&gt;Task_table_03_2_26!$J$2:$J$596)*(A153&lt;Task_table_03_2_26!$K$2:$K$596))</f>
        <v>5</v>
      </c>
    </row>
    <row r="154" spans="1:5">
      <c r="A154" s="5">
        <v>46022</v>
      </c>
      <c r="B154" cm="1">
        <f t="array" ref="B154">SUMPRODUCT((Task_table_03_2_26!$C$2:$C$596=$B$1)*(A154&gt;Task_table_03_2_26!$J$2:$J$596)*(A154&lt;Task_table_03_2_26!$K$2:$K$596))</f>
        <v>38</v>
      </c>
      <c r="C154" cm="1">
        <f t="array" ref="C154">SUMPRODUCT((Task_table_03_2_26!$C$2:$C$596=$C$1)*(A154&gt;Task_table_03_2_26!$J$2:$J$596)*(A154&lt;Task_table_03_2_26!$K$2:$K$596))</f>
        <v>4</v>
      </c>
      <c r="D154" cm="1">
        <f t="array" ref="D154">SUMPRODUCT((Task_table_03_2_26!$C$2:$C$596=$D$1)*(A154&gt;Task_table_03_2_26!$J$2:$J$596)*(A154&lt;Task_table_03_2_26!$K$2:$K$596))</f>
        <v>0</v>
      </c>
      <c r="E154" cm="1">
        <f t="array" ref="E154">SUMPRODUCT((Task_table_03_2_26!$C$2:$C$596=$E$1)*(A154&gt;Task_table_03_2_26!$J$2:$J$596)*(A154&lt;Task_table_03_2_26!$K$2:$K$596))</f>
        <v>5</v>
      </c>
    </row>
    <row r="155" spans="1:5">
      <c r="A155" s="5">
        <v>46023</v>
      </c>
      <c r="B155" cm="1">
        <f t="array" ref="B155">SUMPRODUCT((Task_table_03_2_26!$C$2:$C$596=$B$1)*(A155&gt;Task_table_03_2_26!$J$2:$J$596)*(A155&lt;Task_table_03_2_26!$K$2:$K$596))</f>
        <v>38</v>
      </c>
      <c r="C155" cm="1">
        <f t="array" ref="C155">SUMPRODUCT((Task_table_03_2_26!$C$2:$C$596=$C$1)*(A155&gt;Task_table_03_2_26!$J$2:$J$596)*(A155&lt;Task_table_03_2_26!$K$2:$K$596))</f>
        <v>4</v>
      </c>
      <c r="D155" cm="1">
        <f t="array" ref="D155">SUMPRODUCT((Task_table_03_2_26!$C$2:$C$596=$D$1)*(A155&gt;Task_table_03_2_26!$J$2:$J$596)*(A155&lt;Task_table_03_2_26!$K$2:$K$596))</f>
        <v>0</v>
      </c>
      <c r="E155" cm="1">
        <f t="array" ref="E155">SUMPRODUCT((Task_table_03_2_26!$C$2:$C$596=$E$1)*(A155&gt;Task_table_03_2_26!$J$2:$J$596)*(A155&lt;Task_table_03_2_26!$K$2:$K$596))</f>
        <v>5</v>
      </c>
    </row>
    <row r="156" spans="1:5">
      <c r="A156" s="5">
        <v>46024</v>
      </c>
      <c r="B156" cm="1">
        <f t="array" ref="B156">SUMPRODUCT((Task_table_03_2_26!$C$2:$C$596=$B$1)*(A156&gt;Task_table_03_2_26!$J$2:$J$596)*(A156&lt;Task_table_03_2_26!$K$2:$K$596))</f>
        <v>39</v>
      </c>
      <c r="C156" cm="1">
        <f t="array" ref="C156">SUMPRODUCT((Task_table_03_2_26!$C$2:$C$596=$C$1)*(A156&gt;Task_table_03_2_26!$J$2:$J$596)*(A156&lt;Task_table_03_2_26!$K$2:$K$596))</f>
        <v>5</v>
      </c>
      <c r="D156" cm="1">
        <f t="array" ref="D156">SUMPRODUCT((Task_table_03_2_26!$C$2:$C$596=$D$1)*(A156&gt;Task_table_03_2_26!$J$2:$J$596)*(A156&lt;Task_table_03_2_26!$K$2:$K$596))</f>
        <v>0</v>
      </c>
      <c r="E156" cm="1">
        <f t="array" ref="E156">SUMPRODUCT((Task_table_03_2_26!$C$2:$C$596=$E$1)*(A156&gt;Task_table_03_2_26!$J$2:$J$596)*(A156&lt;Task_table_03_2_26!$K$2:$K$596))</f>
        <v>5</v>
      </c>
    </row>
    <row r="157" spans="1:5">
      <c r="A157" s="5">
        <v>46025</v>
      </c>
      <c r="B157" cm="1">
        <f t="array" ref="B157">SUMPRODUCT((Task_table_03_2_26!$C$2:$C$596=$B$1)*(A157&gt;Task_table_03_2_26!$J$2:$J$596)*(A157&lt;Task_table_03_2_26!$K$2:$K$596))</f>
        <v>39</v>
      </c>
      <c r="C157" cm="1">
        <f t="array" ref="C157">SUMPRODUCT((Task_table_03_2_26!$C$2:$C$596=$C$1)*(A157&gt;Task_table_03_2_26!$J$2:$J$596)*(A157&lt;Task_table_03_2_26!$K$2:$K$596))</f>
        <v>5</v>
      </c>
      <c r="D157" cm="1">
        <f t="array" ref="D157">SUMPRODUCT((Task_table_03_2_26!$C$2:$C$596=$D$1)*(A157&gt;Task_table_03_2_26!$J$2:$J$596)*(A157&lt;Task_table_03_2_26!$K$2:$K$596))</f>
        <v>0</v>
      </c>
      <c r="E157" cm="1">
        <f t="array" ref="E157">SUMPRODUCT((Task_table_03_2_26!$C$2:$C$596=$E$1)*(A157&gt;Task_table_03_2_26!$J$2:$J$596)*(A157&lt;Task_table_03_2_26!$K$2:$K$596))</f>
        <v>5</v>
      </c>
    </row>
    <row r="158" spans="1:5">
      <c r="A158" s="5">
        <v>46026</v>
      </c>
      <c r="B158" cm="1">
        <f t="array" ref="B158">SUMPRODUCT((Task_table_03_2_26!$C$2:$C$596=$B$1)*(A158&gt;Task_table_03_2_26!$J$2:$J$596)*(A158&lt;Task_table_03_2_26!$K$2:$K$596))</f>
        <v>39</v>
      </c>
      <c r="C158" cm="1">
        <f t="array" ref="C158">SUMPRODUCT((Task_table_03_2_26!$C$2:$C$596=$C$1)*(A158&gt;Task_table_03_2_26!$J$2:$J$596)*(A158&lt;Task_table_03_2_26!$K$2:$K$596))</f>
        <v>5</v>
      </c>
      <c r="D158" cm="1">
        <f t="array" ref="D158">SUMPRODUCT((Task_table_03_2_26!$C$2:$C$596=$D$1)*(A158&gt;Task_table_03_2_26!$J$2:$J$596)*(A158&lt;Task_table_03_2_26!$K$2:$K$596))</f>
        <v>0</v>
      </c>
      <c r="E158" cm="1">
        <f t="array" ref="E158">SUMPRODUCT((Task_table_03_2_26!$C$2:$C$596=$E$1)*(A158&gt;Task_table_03_2_26!$J$2:$J$596)*(A158&lt;Task_table_03_2_26!$K$2:$K$596))</f>
        <v>5</v>
      </c>
    </row>
    <row r="159" spans="1:5">
      <c r="A159" s="5">
        <v>46027</v>
      </c>
      <c r="B159" cm="1">
        <f t="array" ref="B159">SUMPRODUCT((Task_table_03_2_26!$C$2:$C$596=$B$1)*(A159&gt;Task_table_03_2_26!$J$2:$J$596)*(A159&lt;Task_table_03_2_26!$K$2:$K$596))</f>
        <v>39</v>
      </c>
      <c r="C159" cm="1">
        <f t="array" ref="C159">SUMPRODUCT((Task_table_03_2_26!$C$2:$C$596=$C$1)*(A159&gt;Task_table_03_2_26!$J$2:$J$596)*(A159&lt;Task_table_03_2_26!$K$2:$K$596))</f>
        <v>5</v>
      </c>
      <c r="D159" cm="1">
        <f t="array" ref="D159">SUMPRODUCT((Task_table_03_2_26!$C$2:$C$596=$D$1)*(A159&gt;Task_table_03_2_26!$J$2:$J$596)*(A159&lt;Task_table_03_2_26!$K$2:$K$596))</f>
        <v>0</v>
      </c>
      <c r="E159" cm="1">
        <f t="array" ref="E159">SUMPRODUCT((Task_table_03_2_26!$C$2:$C$596=$E$1)*(A159&gt;Task_table_03_2_26!$J$2:$J$596)*(A159&lt;Task_table_03_2_26!$K$2:$K$596))</f>
        <v>5</v>
      </c>
    </row>
    <row r="160" spans="1:5">
      <c r="A160" s="5">
        <v>46028</v>
      </c>
      <c r="B160" cm="1">
        <f t="array" ref="B160">SUMPRODUCT((Task_table_03_2_26!$C$2:$C$596=$B$1)*(A160&gt;Task_table_03_2_26!$J$2:$J$596)*(A160&lt;Task_table_03_2_26!$K$2:$K$596))</f>
        <v>39</v>
      </c>
      <c r="C160" cm="1">
        <f t="array" ref="C160">SUMPRODUCT((Task_table_03_2_26!$C$2:$C$596=$C$1)*(A160&gt;Task_table_03_2_26!$J$2:$J$596)*(A160&lt;Task_table_03_2_26!$K$2:$K$596))</f>
        <v>5</v>
      </c>
      <c r="D160" cm="1">
        <f t="array" ref="D160">SUMPRODUCT((Task_table_03_2_26!$C$2:$C$596=$D$1)*(A160&gt;Task_table_03_2_26!$J$2:$J$596)*(A160&lt;Task_table_03_2_26!$K$2:$K$596))</f>
        <v>0</v>
      </c>
      <c r="E160" cm="1">
        <f t="array" ref="E160">SUMPRODUCT((Task_table_03_2_26!$C$2:$C$596=$E$1)*(A160&gt;Task_table_03_2_26!$J$2:$J$596)*(A160&lt;Task_table_03_2_26!$K$2:$K$596))</f>
        <v>5</v>
      </c>
    </row>
    <row r="161" spans="1:5">
      <c r="A161" s="5">
        <v>46029</v>
      </c>
      <c r="B161" cm="1">
        <f t="array" ref="B161">SUMPRODUCT((Task_table_03_2_26!$C$2:$C$596=$B$1)*(A161&gt;Task_table_03_2_26!$J$2:$J$596)*(A161&lt;Task_table_03_2_26!$K$2:$K$596))</f>
        <v>39</v>
      </c>
      <c r="C161" cm="1">
        <f t="array" ref="C161">SUMPRODUCT((Task_table_03_2_26!$C$2:$C$596=$C$1)*(A161&gt;Task_table_03_2_26!$J$2:$J$596)*(A161&lt;Task_table_03_2_26!$K$2:$K$596))</f>
        <v>5</v>
      </c>
      <c r="D161" cm="1">
        <f t="array" ref="D161">SUMPRODUCT((Task_table_03_2_26!$C$2:$C$596=$D$1)*(A161&gt;Task_table_03_2_26!$J$2:$J$596)*(A161&lt;Task_table_03_2_26!$K$2:$K$596))</f>
        <v>0</v>
      </c>
      <c r="E161" cm="1">
        <f t="array" ref="E161">SUMPRODUCT((Task_table_03_2_26!$C$2:$C$596=$E$1)*(A161&gt;Task_table_03_2_26!$J$2:$J$596)*(A161&lt;Task_table_03_2_26!$K$2:$K$596))</f>
        <v>5</v>
      </c>
    </row>
    <row r="162" spans="1:5">
      <c r="A162" s="5">
        <v>46030</v>
      </c>
      <c r="B162" cm="1">
        <f t="array" ref="B162">SUMPRODUCT((Task_table_03_2_26!$C$2:$C$596=$B$1)*(A162&gt;Task_table_03_2_26!$J$2:$J$596)*(A162&lt;Task_table_03_2_26!$K$2:$K$596))</f>
        <v>41</v>
      </c>
      <c r="C162" cm="1">
        <f t="array" ref="C162">SUMPRODUCT((Task_table_03_2_26!$C$2:$C$596=$C$1)*(A162&gt;Task_table_03_2_26!$J$2:$J$596)*(A162&lt;Task_table_03_2_26!$K$2:$K$596))</f>
        <v>6</v>
      </c>
      <c r="D162" cm="1">
        <f t="array" ref="D162">SUMPRODUCT((Task_table_03_2_26!$C$2:$C$596=$D$1)*(A162&gt;Task_table_03_2_26!$J$2:$J$596)*(A162&lt;Task_table_03_2_26!$K$2:$K$596))</f>
        <v>0</v>
      </c>
      <c r="E162" cm="1">
        <f t="array" ref="E162">SUMPRODUCT((Task_table_03_2_26!$C$2:$C$596=$E$1)*(A162&gt;Task_table_03_2_26!$J$2:$J$596)*(A162&lt;Task_table_03_2_26!$K$2:$K$596))</f>
        <v>6</v>
      </c>
    </row>
    <row r="163" spans="1:5">
      <c r="A163" s="5">
        <v>46031</v>
      </c>
      <c r="B163" cm="1">
        <f t="array" ref="B163">SUMPRODUCT((Task_table_03_2_26!$C$2:$C$596=$B$1)*(A163&gt;Task_table_03_2_26!$J$2:$J$596)*(A163&lt;Task_table_03_2_26!$K$2:$K$596))</f>
        <v>41</v>
      </c>
      <c r="C163" cm="1">
        <f t="array" ref="C163">SUMPRODUCT((Task_table_03_2_26!$C$2:$C$596=$C$1)*(A163&gt;Task_table_03_2_26!$J$2:$J$596)*(A163&lt;Task_table_03_2_26!$K$2:$K$596))</f>
        <v>6</v>
      </c>
      <c r="D163" cm="1">
        <f t="array" ref="D163">SUMPRODUCT((Task_table_03_2_26!$C$2:$C$596=$D$1)*(A163&gt;Task_table_03_2_26!$J$2:$J$596)*(A163&lt;Task_table_03_2_26!$K$2:$K$596))</f>
        <v>0</v>
      </c>
      <c r="E163" cm="1">
        <f t="array" ref="E163">SUMPRODUCT((Task_table_03_2_26!$C$2:$C$596=$E$1)*(A163&gt;Task_table_03_2_26!$J$2:$J$596)*(A163&lt;Task_table_03_2_26!$K$2:$K$596))</f>
        <v>6</v>
      </c>
    </row>
    <row r="164" spans="1:5">
      <c r="A164" s="5">
        <v>46032</v>
      </c>
      <c r="B164" cm="1">
        <f t="array" ref="B164">SUMPRODUCT((Task_table_03_2_26!$C$2:$C$596=$B$1)*(A164&gt;Task_table_03_2_26!$J$2:$J$596)*(A164&lt;Task_table_03_2_26!$K$2:$K$596))</f>
        <v>41</v>
      </c>
      <c r="C164" cm="1">
        <f t="array" ref="C164">SUMPRODUCT((Task_table_03_2_26!$C$2:$C$596=$C$1)*(A164&gt;Task_table_03_2_26!$J$2:$J$596)*(A164&lt;Task_table_03_2_26!$K$2:$K$596))</f>
        <v>6</v>
      </c>
      <c r="D164" cm="1">
        <f t="array" ref="D164">SUMPRODUCT((Task_table_03_2_26!$C$2:$C$596=$D$1)*(A164&gt;Task_table_03_2_26!$J$2:$J$596)*(A164&lt;Task_table_03_2_26!$K$2:$K$596))</f>
        <v>0</v>
      </c>
      <c r="E164" cm="1">
        <f t="array" ref="E164">SUMPRODUCT((Task_table_03_2_26!$C$2:$C$596=$E$1)*(A164&gt;Task_table_03_2_26!$J$2:$J$596)*(A164&lt;Task_table_03_2_26!$K$2:$K$596))</f>
        <v>6</v>
      </c>
    </row>
    <row r="165" spans="1:5">
      <c r="A165" s="5">
        <v>46033</v>
      </c>
      <c r="B165" cm="1">
        <f t="array" ref="B165">SUMPRODUCT((Task_table_03_2_26!$C$2:$C$596=$B$1)*(A165&gt;Task_table_03_2_26!$J$2:$J$596)*(A165&lt;Task_table_03_2_26!$K$2:$K$596))</f>
        <v>41</v>
      </c>
      <c r="C165" cm="1">
        <f t="array" ref="C165">SUMPRODUCT((Task_table_03_2_26!$C$2:$C$596=$C$1)*(A165&gt;Task_table_03_2_26!$J$2:$J$596)*(A165&lt;Task_table_03_2_26!$K$2:$K$596))</f>
        <v>6</v>
      </c>
      <c r="D165" cm="1">
        <f t="array" ref="D165">SUMPRODUCT((Task_table_03_2_26!$C$2:$C$596=$D$1)*(A165&gt;Task_table_03_2_26!$J$2:$J$596)*(A165&lt;Task_table_03_2_26!$K$2:$K$596))</f>
        <v>0</v>
      </c>
      <c r="E165" cm="1">
        <f t="array" ref="E165">SUMPRODUCT((Task_table_03_2_26!$C$2:$C$596=$E$1)*(A165&gt;Task_table_03_2_26!$J$2:$J$596)*(A165&lt;Task_table_03_2_26!$K$2:$K$596))</f>
        <v>6</v>
      </c>
    </row>
    <row r="166" spans="1:5">
      <c r="A166" s="5">
        <v>46034</v>
      </c>
      <c r="B166" cm="1">
        <f t="array" ref="B166">SUMPRODUCT((Task_table_03_2_26!$C$2:$C$596=$B$1)*(A166&gt;Task_table_03_2_26!$J$2:$J$596)*(A166&lt;Task_table_03_2_26!$K$2:$K$596))</f>
        <v>41</v>
      </c>
      <c r="C166" cm="1">
        <f t="array" ref="C166">SUMPRODUCT((Task_table_03_2_26!$C$2:$C$596=$C$1)*(A166&gt;Task_table_03_2_26!$J$2:$J$596)*(A166&lt;Task_table_03_2_26!$K$2:$K$596))</f>
        <v>6</v>
      </c>
      <c r="D166" cm="1">
        <f t="array" ref="D166">SUMPRODUCT((Task_table_03_2_26!$C$2:$C$596=$D$1)*(A166&gt;Task_table_03_2_26!$J$2:$J$596)*(A166&lt;Task_table_03_2_26!$K$2:$K$596))</f>
        <v>0</v>
      </c>
      <c r="E166" cm="1">
        <f t="array" ref="E166">SUMPRODUCT((Task_table_03_2_26!$C$2:$C$596=$E$1)*(A166&gt;Task_table_03_2_26!$J$2:$J$596)*(A166&lt;Task_table_03_2_26!$K$2:$K$596))</f>
        <v>6</v>
      </c>
    </row>
    <row r="167" spans="1:5">
      <c r="A167" s="5">
        <v>46035</v>
      </c>
      <c r="B167" cm="1">
        <f t="array" ref="B167">SUMPRODUCT((Task_table_03_2_26!$C$2:$C$596=$B$1)*(A167&gt;Task_table_03_2_26!$J$2:$J$596)*(A167&lt;Task_table_03_2_26!$K$2:$K$596))</f>
        <v>49</v>
      </c>
      <c r="C167" cm="1">
        <f t="array" ref="C167">SUMPRODUCT((Task_table_03_2_26!$C$2:$C$596=$C$1)*(A167&gt;Task_table_03_2_26!$J$2:$J$596)*(A167&lt;Task_table_03_2_26!$K$2:$K$596))</f>
        <v>6</v>
      </c>
      <c r="D167" cm="1">
        <f t="array" ref="D167">SUMPRODUCT((Task_table_03_2_26!$C$2:$C$596=$D$1)*(A167&gt;Task_table_03_2_26!$J$2:$J$596)*(A167&lt;Task_table_03_2_26!$K$2:$K$596))</f>
        <v>0</v>
      </c>
      <c r="E167" cm="1">
        <f t="array" ref="E167">SUMPRODUCT((Task_table_03_2_26!$C$2:$C$596=$E$1)*(A167&gt;Task_table_03_2_26!$J$2:$J$596)*(A167&lt;Task_table_03_2_26!$K$2:$K$596))</f>
        <v>6</v>
      </c>
    </row>
    <row r="168" spans="1:5">
      <c r="A168" s="5">
        <v>46036</v>
      </c>
      <c r="B168" cm="1">
        <f t="array" ref="B168">SUMPRODUCT((Task_table_03_2_26!$C$2:$C$596=$B$1)*(A168&gt;Task_table_03_2_26!$J$2:$J$596)*(A168&lt;Task_table_03_2_26!$K$2:$K$596))</f>
        <v>51</v>
      </c>
      <c r="C168" cm="1">
        <f t="array" ref="C168">SUMPRODUCT((Task_table_03_2_26!$C$2:$C$596=$C$1)*(A168&gt;Task_table_03_2_26!$J$2:$J$596)*(A168&lt;Task_table_03_2_26!$K$2:$K$596))</f>
        <v>6</v>
      </c>
      <c r="D168" cm="1">
        <f t="array" ref="D168">SUMPRODUCT((Task_table_03_2_26!$C$2:$C$596=$D$1)*(A168&gt;Task_table_03_2_26!$J$2:$J$596)*(A168&lt;Task_table_03_2_26!$K$2:$K$596))</f>
        <v>0</v>
      </c>
      <c r="E168" cm="1">
        <f t="array" ref="E168">SUMPRODUCT((Task_table_03_2_26!$C$2:$C$596=$E$1)*(A168&gt;Task_table_03_2_26!$J$2:$J$596)*(A168&lt;Task_table_03_2_26!$K$2:$K$596))</f>
        <v>6</v>
      </c>
    </row>
    <row r="169" spans="1:5">
      <c r="A169" s="5">
        <v>46037</v>
      </c>
      <c r="B169" cm="1">
        <f t="array" ref="B169">SUMPRODUCT((Task_table_03_2_26!$C$2:$C$596=$B$1)*(A169&gt;Task_table_03_2_26!$J$2:$J$596)*(A169&lt;Task_table_03_2_26!$K$2:$K$596))</f>
        <v>52</v>
      </c>
      <c r="C169" cm="1">
        <f t="array" ref="C169">SUMPRODUCT((Task_table_03_2_26!$C$2:$C$596=$C$1)*(A169&gt;Task_table_03_2_26!$J$2:$J$596)*(A169&lt;Task_table_03_2_26!$K$2:$K$596))</f>
        <v>6</v>
      </c>
      <c r="D169" cm="1">
        <f t="array" ref="D169">SUMPRODUCT((Task_table_03_2_26!$C$2:$C$596=$D$1)*(A169&gt;Task_table_03_2_26!$J$2:$J$596)*(A169&lt;Task_table_03_2_26!$K$2:$K$596))</f>
        <v>0</v>
      </c>
      <c r="E169" cm="1">
        <f t="array" ref="E169">SUMPRODUCT((Task_table_03_2_26!$C$2:$C$596=$E$1)*(A169&gt;Task_table_03_2_26!$J$2:$J$596)*(A169&lt;Task_table_03_2_26!$K$2:$K$596))</f>
        <v>6</v>
      </c>
    </row>
    <row r="170" spans="1:5">
      <c r="A170" s="5">
        <v>46038</v>
      </c>
      <c r="B170" cm="1">
        <f t="array" ref="B170">SUMPRODUCT((Task_table_03_2_26!$C$2:$C$596=$B$1)*(A170&gt;Task_table_03_2_26!$J$2:$J$596)*(A170&lt;Task_table_03_2_26!$K$2:$K$596))</f>
        <v>53</v>
      </c>
      <c r="C170" cm="1">
        <f t="array" ref="C170">SUMPRODUCT((Task_table_03_2_26!$C$2:$C$596=$C$1)*(A170&gt;Task_table_03_2_26!$J$2:$J$596)*(A170&lt;Task_table_03_2_26!$K$2:$K$596))</f>
        <v>6</v>
      </c>
      <c r="D170" cm="1">
        <f t="array" ref="D170">SUMPRODUCT((Task_table_03_2_26!$C$2:$C$596=$D$1)*(A170&gt;Task_table_03_2_26!$J$2:$J$596)*(A170&lt;Task_table_03_2_26!$K$2:$K$596))</f>
        <v>0</v>
      </c>
      <c r="E170" cm="1">
        <f t="array" ref="E170">SUMPRODUCT((Task_table_03_2_26!$C$2:$C$596=$E$1)*(A170&gt;Task_table_03_2_26!$J$2:$J$596)*(A170&lt;Task_table_03_2_26!$K$2:$K$596))</f>
        <v>6</v>
      </c>
    </row>
    <row r="171" spans="1:5">
      <c r="A171" s="5">
        <v>46039</v>
      </c>
      <c r="B171" cm="1">
        <f t="array" ref="B171">SUMPRODUCT((Task_table_03_2_26!$C$2:$C$596=$B$1)*(A171&gt;Task_table_03_2_26!$J$2:$J$596)*(A171&lt;Task_table_03_2_26!$K$2:$K$596))</f>
        <v>53</v>
      </c>
      <c r="C171" cm="1">
        <f t="array" ref="C171">SUMPRODUCT((Task_table_03_2_26!$C$2:$C$596=$C$1)*(A171&gt;Task_table_03_2_26!$J$2:$J$596)*(A171&lt;Task_table_03_2_26!$K$2:$K$596))</f>
        <v>5</v>
      </c>
      <c r="D171" cm="1">
        <f t="array" ref="D171">SUMPRODUCT((Task_table_03_2_26!$C$2:$C$596=$D$1)*(A171&gt;Task_table_03_2_26!$J$2:$J$596)*(A171&lt;Task_table_03_2_26!$K$2:$K$596))</f>
        <v>0</v>
      </c>
      <c r="E171" cm="1">
        <f t="array" ref="E171">SUMPRODUCT((Task_table_03_2_26!$C$2:$C$596=$E$1)*(A171&gt;Task_table_03_2_26!$J$2:$J$596)*(A171&lt;Task_table_03_2_26!$K$2:$K$596))</f>
        <v>6</v>
      </c>
    </row>
    <row r="172" spans="1:5">
      <c r="A172" s="5">
        <v>46040</v>
      </c>
      <c r="B172" cm="1">
        <f t="array" ref="B172">SUMPRODUCT((Task_table_03_2_26!$C$2:$C$596=$B$1)*(A172&gt;Task_table_03_2_26!$J$2:$J$596)*(A172&lt;Task_table_03_2_26!$K$2:$K$596))</f>
        <v>53</v>
      </c>
      <c r="C172" cm="1">
        <f t="array" ref="C172">SUMPRODUCT((Task_table_03_2_26!$C$2:$C$596=$C$1)*(A172&gt;Task_table_03_2_26!$J$2:$J$596)*(A172&lt;Task_table_03_2_26!$K$2:$K$596))</f>
        <v>5</v>
      </c>
      <c r="D172" cm="1">
        <f t="array" ref="D172">SUMPRODUCT((Task_table_03_2_26!$C$2:$C$596=$D$1)*(A172&gt;Task_table_03_2_26!$J$2:$J$596)*(A172&lt;Task_table_03_2_26!$K$2:$K$596))</f>
        <v>0</v>
      </c>
      <c r="E172" cm="1">
        <f t="array" ref="E172">SUMPRODUCT((Task_table_03_2_26!$C$2:$C$596=$E$1)*(A172&gt;Task_table_03_2_26!$J$2:$J$596)*(A172&lt;Task_table_03_2_26!$K$2:$K$596))</f>
        <v>6</v>
      </c>
    </row>
    <row r="173" spans="1:5">
      <c r="A173" s="5">
        <v>46041</v>
      </c>
      <c r="B173" cm="1">
        <f t="array" ref="B173">SUMPRODUCT((Task_table_03_2_26!$C$2:$C$596=$B$1)*(A173&gt;Task_table_03_2_26!$J$2:$J$596)*(A173&lt;Task_table_03_2_26!$K$2:$K$596))</f>
        <v>53</v>
      </c>
      <c r="C173" cm="1">
        <f t="array" ref="C173">SUMPRODUCT((Task_table_03_2_26!$C$2:$C$596=$C$1)*(A173&gt;Task_table_03_2_26!$J$2:$J$596)*(A173&lt;Task_table_03_2_26!$K$2:$K$596))</f>
        <v>5</v>
      </c>
      <c r="D173" cm="1">
        <f t="array" ref="D173">SUMPRODUCT((Task_table_03_2_26!$C$2:$C$596=$D$1)*(A173&gt;Task_table_03_2_26!$J$2:$J$596)*(A173&lt;Task_table_03_2_26!$K$2:$K$596))</f>
        <v>0</v>
      </c>
      <c r="E173" cm="1">
        <f t="array" ref="E173">SUMPRODUCT((Task_table_03_2_26!$C$2:$C$596=$E$1)*(A173&gt;Task_table_03_2_26!$J$2:$J$596)*(A173&lt;Task_table_03_2_26!$K$2:$K$596))</f>
        <v>6</v>
      </c>
    </row>
    <row r="174" spans="1:5">
      <c r="A174" s="5">
        <v>46042</v>
      </c>
      <c r="B174" cm="1">
        <f t="array" ref="B174">SUMPRODUCT((Task_table_03_2_26!$C$2:$C$596=$B$1)*(A174&gt;Task_table_03_2_26!$J$2:$J$596)*(A174&lt;Task_table_03_2_26!$K$2:$K$596))</f>
        <v>53</v>
      </c>
      <c r="C174" cm="1">
        <f t="array" ref="C174">SUMPRODUCT((Task_table_03_2_26!$C$2:$C$596=$C$1)*(A174&gt;Task_table_03_2_26!$J$2:$J$596)*(A174&lt;Task_table_03_2_26!$K$2:$K$596))</f>
        <v>5</v>
      </c>
      <c r="D174" cm="1">
        <f t="array" ref="D174">SUMPRODUCT((Task_table_03_2_26!$C$2:$C$596=$D$1)*(A174&gt;Task_table_03_2_26!$J$2:$J$596)*(A174&lt;Task_table_03_2_26!$K$2:$K$596))</f>
        <v>0</v>
      </c>
      <c r="E174" cm="1">
        <f t="array" ref="E174">SUMPRODUCT((Task_table_03_2_26!$C$2:$C$596=$E$1)*(A174&gt;Task_table_03_2_26!$J$2:$J$596)*(A174&lt;Task_table_03_2_26!$K$2:$K$596))</f>
        <v>6</v>
      </c>
    </row>
    <row r="175" spans="1:5">
      <c r="A175" s="5">
        <v>46043</v>
      </c>
      <c r="B175" cm="1">
        <f t="array" ref="B175">SUMPRODUCT((Task_table_03_2_26!$C$2:$C$596=$B$1)*(A175&gt;Task_table_03_2_26!$J$2:$J$596)*(A175&lt;Task_table_03_2_26!$K$2:$K$596))</f>
        <v>54</v>
      </c>
      <c r="C175" cm="1">
        <f t="array" ref="C175">SUMPRODUCT((Task_table_03_2_26!$C$2:$C$596=$C$1)*(A175&gt;Task_table_03_2_26!$J$2:$J$596)*(A175&lt;Task_table_03_2_26!$K$2:$K$596))</f>
        <v>5</v>
      </c>
      <c r="D175" cm="1">
        <f t="array" ref="D175">SUMPRODUCT((Task_table_03_2_26!$C$2:$C$596=$D$1)*(A175&gt;Task_table_03_2_26!$J$2:$J$596)*(A175&lt;Task_table_03_2_26!$K$2:$K$596))</f>
        <v>0</v>
      </c>
      <c r="E175" cm="1">
        <f t="array" ref="E175">SUMPRODUCT((Task_table_03_2_26!$C$2:$C$596=$E$1)*(A175&gt;Task_table_03_2_26!$J$2:$J$596)*(A175&lt;Task_table_03_2_26!$K$2:$K$596))</f>
        <v>6</v>
      </c>
    </row>
    <row r="176" spans="1:5">
      <c r="A176" s="5">
        <v>46044</v>
      </c>
      <c r="B176" cm="1">
        <f t="array" ref="B176">SUMPRODUCT((Task_table_03_2_26!$C$2:$C$596=$B$1)*(A176&gt;Task_table_03_2_26!$J$2:$J$596)*(A176&lt;Task_table_03_2_26!$K$2:$K$596))</f>
        <v>54</v>
      </c>
      <c r="C176" cm="1">
        <f t="array" ref="C176">SUMPRODUCT((Task_table_03_2_26!$C$2:$C$596=$C$1)*(A176&gt;Task_table_03_2_26!$J$2:$J$596)*(A176&lt;Task_table_03_2_26!$K$2:$K$596))</f>
        <v>5</v>
      </c>
      <c r="D176" cm="1">
        <f t="array" ref="D176">SUMPRODUCT((Task_table_03_2_26!$C$2:$C$596=$D$1)*(A176&gt;Task_table_03_2_26!$J$2:$J$596)*(A176&lt;Task_table_03_2_26!$K$2:$K$596))</f>
        <v>0</v>
      </c>
      <c r="E176" cm="1">
        <f t="array" ref="E176">SUMPRODUCT((Task_table_03_2_26!$C$2:$C$596=$E$1)*(A176&gt;Task_table_03_2_26!$J$2:$J$596)*(A176&lt;Task_table_03_2_26!$K$2:$K$596))</f>
        <v>6</v>
      </c>
    </row>
    <row r="177" spans="1:5">
      <c r="A177" s="5">
        <v>46045</v>
      </c>
      <c r="B177" cm="1">
        <f t="array" ref="B177">SUMPRODUCT((Task_table_03_2_26!$C$2:$C$596=$B$1)*(A177&gt;Task_table_03_2_26!$J$2:$J$596)*(A177&lt;Task_table_03_2_26!$K$2:$K$596))</f>
        <v>54</v>
      </c>
      <c r="C177" cm="1">
        <f t="array" ref="C177">SUMPRODUCT((Task_table_03_2_26!$C$2:$C$596=$C$1)*(A177&gt;Task_table_03_2_26!$J$2:$J$596)*(A177&lt;Task_table_03_2_26!$K$2:$K$596))</f>
        <v>5</v>
      </c>
      <c r="D177" cm="1">
        <f t="array" ref="D177">SUMPRODUCT((Task_table_03_2_26!$C$2:$C$596=$D$1)*(A177&gt;Task_table_03_2_26!$J$2:$J$596)*(A177&lt;Task_table_03_2_26!$K$2:$K$596))</f>
        <v>0</v>
      </c>
      <c r="E177" cm="1">
        <f t="array" ref="E177">SUMPRODUCT((Task_table_03_2_26!$C$2:$C$596=$E$1)*(A177&gt;Task_table_03_2_26!$J$2:$J$596)*(A177&lt;Task_table_03_2_26!$K$2:$K$596))</f>
        <v>6</v>
      </c>
    </row>
    <row r="178" spans="1:5">
      <c r="A178" s="5">
        <v>46046</v>
      </c>
      <c r="B178" cm="1">
        <f t="array" ref="B178">SUMPRODUCT((Task_table_03_2_26!$C$2:$C$596=$B$1)*(A178&gt;Task_table_03_2_26!$J$2:$J$596)*(A178&lt;Task_table_03_2_26!$K$2:$K$596))</f>
        <v>54</v>
      </c>
      <c r="C178" cm="1">
        <f t="array" ref="C178">SUMPRODUCT((Task_table_03_2_26!$C$2:$C$596=$C$1)*(A178&gt;Task_table_03_2_26!$J$2:$J$596)*(A178&lt;Task_table_03_2_26!$K$2:$K$596))</f>
        <v>5</v>
      </c>
      <c r="D178" cm="1">
        <f t="array" ref="D178">SUMPRODUCT((Task_table_03_2_26!$C$2:$C$596=$D$1)*(A178&gt;Task_table_03_2_26!$J$2:$J$596)*(A178&lt;Task_table_03_2_26!$K$2:$K$596))</f>
        <v>0</v>
      </c>
      <c r="E178" cm="1">
        <f t="array" ref="E178">SUMPRODUCT((Task_table_03_2_26!$C$2:$C$596=$E$1)*(A178&gt;Task_table_03_2_26!$J$2:$J$596)*(A178&lt;Task_table_03_2_26!$K$2:$K$596))</f>
        <v>6</v>
      </c>
    </row>
    <row r="179" spans="1:5">
      <c r="A179" s="5">
        <v>46047</v>
      </c>
      <c r="B179" cm="1">
        <f t="array" ref="B179">SUMPRODUCT((Task_table_03_2_26!$C$2:$C$596=$B$1)*(A179&gt;Task_table_03_2_26!$J$2:$J$596)*(A179&lt;Task_table_03_2_26!$K$2:$K$596))</f>
        <v>54</v>
      </c>
      <c r="C179" cm="1">
        <f t="array" ref="C179">SUMPRODUCT((Task_table_03_2_26!$C$2:$C$596=$C$1)*(A179&gt;Task_table_03_2_26!$J$2:$J$596)*(A179&lt;Task_table_03_2_26!$K$2:$K$596))</f>
        <v>5</v>
      </c>
      <c r="D179" cm="1">
        <f t="array" ref="D179">SUMPRODUCT((Task_table_03_2_26!$C$2:$C$596=$D$1)*(A179&gt;Task_table_03_2_26!$J$2:$J$596)*(A179&lt;Task_table_03_2_26!$K$2:$K$596))</f>
        <v>0</v>
      </c>
      <c r="E179" cm="1">
        <f t="array" ref="E179">SUMPRODUCT((Task_table_03_2_26!$C$2:$C$596=$E$1)*(A179&gt;Task_table_03_2_26!$J$2:$J$596)*(A179&lt;Task_table_03_2_26!$K$2:$K$596))</f>
        <v>6</v>
      </c>
    </row>
    <row r="180" spans="1:5">
      <c r="A180" s="5">
        <v>46048</v>
      </c>
      <c r="B180" cm="1">
        <f t="array" ref="B180">SUMPRODUCT((Task_table_03_2_26!$C$2:$C$596=$B$1)*(A180&gt;Task_table_03_2_26!$J$2:$J$596)*(A180&lt;Task_table_03_2_26!$K$2:$K$596))</f>
        <v>54</v>
      </c>
      <c r="C180" cm="1">
        <f t="array" ref="C180">SUMPRODUCT((Task_table_03_2_26!$C$2:$C$596=$C$1)*(A180&gt;Task_table_03_2_26!$J$2:$J$596)*(A180&lt;Task_table_03_2_26!$K$2:$K$596))</f>
        <v>5</v>
      </c>
      <c r="D180" cm="1">
        <f t="array" ref="D180">SUMPRODUCT((Task_table_03_2_26!$C$2:$C$596=$D$1)*(A180&gt;Task_table_03_2_26!$J$2:$J$596)*(A180&lt;Task_table_03_2_26!$K$2:$K$596))</f>
        <v>0</v>
      </c>
      <c r="E180" cm="1">
        <f t="array" ref="E180">SUMPRODUCT((Task_table_03_2_26!$C$2:$C$596=$E$1)*(A180&gt;Task_table_03_2_26!$J$2:$J$596)*(A180&lt;Task_table_03_2_26!$K$2:$K$596))</f>
        <v>6</v>
      </c>
    </row>
    <row r="181" spans="1:5">
      <c r="A181" s="5">
        <v>46049</v>
      </c>
      <c r="B181" cm="1">
        <f t="array" ref="B181">SUMPRODUCT((Task_table_03_2_26!$C$2:$C$596=$B$1)*(A181&gt;Task_table_03_2_26!$J$2:$J$596)*(A181&lt;Task_table_03_2_26!$K$2:$K$596))</f>
        <v>54</v>
      </c>
      <c r="C181" cm="1">
        <f t="array" ref="C181">SUMPRODUCT((Task_table_03_2_26!$C$2:$C$596=$C$1)*(A181&gt;Task_table_03_2_26!$J$2:$J$596)*(A181&lt;Task_table_03_2_26!$K$2:$K$596))</f>
        <v>5</v>
      </c>
      <c r="D181" cm="1">
        <f t="array" ref="D181">SUMPRODUCT((Task_table_03_2_26!$C$2:$C$596=$D$1)*(A181&gt;Task_table_03_2_26!$J$2:$J$596)*(A181&lt;Task_table_03_2_26!$K$2:$K$596))</f>
        <v>0</v>
      </c>
      <c r="E181" cm="1">
        <f t="array" ref="E181">SUMPRODUCT((Task_table_03_2_26!$C$2:$C$596=$E$1)*(A181&gt;Task_table_03_2_26!$J$2:$J$596)*(A181&lt;Task_table_03_2_26!$K$2:$K$596))</f>
        <v>6</v>
      </c>
    </row>
    <row r="182" spans="1:5">
      <c r="A182" s="5">
        <v>46050</v>
      </c>
      <c r="B182" cm="1">
        <f t="array" ref="B182">SUMPRODUCT((Task_table_03_2_26!$C$2:$C$596=$B$1)*(A182&gt;Task_table_03_2_26!$J$2:$J$596)*(A182&lt;Task_table_03_2_26!$K$2:$K$596))</f>
        <v>54</v>
      </c>
      <c r="C182" cm="1">
        <f t="array" ref="C182">SUMPRODUCT((Task_table_03_2_26!$C$2:$C$596=$C$1)*(A182&gt;Task_table_03_2_26!$J$2:$J$596)*(A182&lt;Task_table_03_2_26!$K$2:$K$596))</f>
        <v>5</v>
      </c>
      <c r="D182" cm="1">
        <f t="array" ref="D182">SUMPRODUCT((Task_table_03_2_26!$C$2:$C$596=$D$1)*(A182&gt;Task_table_03_2_26!$J$2:$J$596)*(A182&lt;Task_table_03_2_26!$K$2:$K$596))</f>
        <v>0</v>
      </c>
      <c r="E182" cm="1">
        <f t="array" ref="E182">SUMPRODUCT((Task_table_03_2_26!$C$2:$C$596=$E$1)*(A182&gt;Task_table_03_2_26!$J$2:$J$596)*(A182&lt;Task_table_03_2_26!$K$2:$K$596))</f>
        <v>6</v>
      </c>
    </row>
    <row r="183" spans="1:5">
      <c r="A183" s="5">
        <v>46051</v>
      </c>
      <c r="B183" cm="1">
        <f t="array" ref="B183">SUMPRODUCT((Task_table_03_2_26!$C$2:$C$596=$B$1)*(A183&gt;Task_table_03_2_26!$J$2:$J$596)*(A183&lt;Task_table_03_2_26!$K$2:$K$596))</f>
        <v>53</v>
      </c>
      <c r="C183" cm="1">
        <f t="array" ref="C183">SUMPRODUCT((Task_table_03_2_26!$C$2:$C$596=$C$1)*(A183&gt;Task_table_03_2_26!$J$2:$J$596)*(A183&lt;Task_table_03_2_26!$K$2:$K$596))</f>
        <v>5</v>
      </c>
      <c r="D183" cm="1">
        <f t="array" ref="D183">SUMPRODUCT((Task_table_03_2_26!$C$2:$C$596=$D$1)*(A183&gt;Task_table_03_2_26!$J$2:$J$596)*(A183&lt;Task_table_03_2_26!$K$2:$K$596))</f>
        <v>0</v>
      </c>
      <c r="E183" cm="1">
        <f t="array" ref="E183">SUMPRODUCT((Task_table_03_2_26!$C$2:$C$596=$E$1)*(A183&gt;Task_table_03_2_26!$J$2:$J$596)*(A183&lt;Task_table_03_2_26!$K$2:$K$596))</f>
        <v>6</v>
      </c>
    </row>
    <row r="184" spans="1:5">
      <c r="A184" s="5">
        <v>46052</v>
      </c>
      <c r="B184" cm="1">
        <f t="array" ref="B184">SUMPRODUCT((Task_table_03_2_26!$C$2:$C$596=$B$1)*(A184&gt;Task_table_03_2_26!$J$2:$J$596)*(A184&lt;Task_table_03_2_26!$K$2:$K$596))</f>
        <v>52</v>
      </c>
      <c r="C184" cm="1">
        <f t="array" ref="C184">SUMPRODUCT((Task_table_03_2_26!$C$2:$C$596=$C$1)*(A184&gt;Task_table_03_2_26!$J$2:$J$596)*(A184&lt;Task_table_03_2_26!$K$2:$K$596))</f>
        <v>5</v>
      </c>
      <c r="D184" cm="1">
        <f t="array" ref="D184">SUMPRODUCT((Task_table_03_2_26!$C$2:$C$596=$D$1)*(A184&gt;Task_table_03_2_26!$J$2:$J$596)*(A184&lt;Task_table_03_2_26!$K$2:$K$596))</f>
        <v>0</v>
      </c>
      <c r="E184" cm="1">
        <f t="array" ref="E184">SUMPRODUCT((Task_table_03_2_26!$C$2:$C$596=$E$1)*(A184&gt;Task_table_03_2_26!$J$2:$J$596)*(A184&lt;Task_table_03_2_26!$K$2:$K$596))</f>
        <v>6</v>
      </c>
    </row>
    <row r="185" spans="1:5">
      <c r="A185" s="5">
        <v>46053</v>
      </c>
      <c r="B185" cm="1">
        <f t="array" ref="B185">SUMPRODUCT((Task_table_03_2_26!$C$2:$C$596=$B$1)*(A185&gt;Task_table_03_2_26!$J$2:$J$596)*(A185&lt;Task_table_03_2_26!$K$2:$K$596))</f>
        <v>52</v>
      </c>
      <c r="C185" cm="1">
        <f t="array" ref="C185">SUMPRODUCT((Task_table_03_2_26!$C$2:$C$596=$C$1)*(A185&gt;Task_table_03_2_26!$J$2:$J$596)*(A185&lt;Task_table_03_2_26!$K$2:$K$596))</f>
        <v>5</v>
      </c>
      <c r="D185" cm="1">
        <f t="array" ref="D185">SUMPRODUCT((Task_table_03_2_26!$C$2:$C$596=$D$1)*(A185&gt;Task_table_03_2_26!$J$2:$J$596)*(A185&lt;Task_table_03_2_26!$K$2:$K$596))</f>
        <v>0</v>
      </c>
      <c r="E185" cm="1">
        <f t="array" ref="E185">SUMPRODUCT((Task_table_03_2_26!$C$2:$C$596=$E$1)*(A185&gt;Task_table_03_2_26!$J$2:$J$596)*(A185&lt;Task_table_03_2_26!$K$2:$K$596))</f>
        <v>6</v>
      </c>
    </row>
    <row r="186" spans="1:5">
      <c r="A186" s="5">
        <v>46054</v>
      </c>
      <c r="B186" cm="1">
        <f t="array" ref="B186">SUMPRODUCT((Task_table_03_2_26!$C$2:$C$596=$B$1)*(A186&gt;Task_table_03_2_26!$J$2:$J$596)*(A186&lt;Task_table_03_2_26!$K$2:$K$596))</f>
        <v>52</v>
      </c>
      <c r="C186" cm="1">
        <f t="array" ref="C186">SUMPRODUCT((Task_table_03_2_26!$C$2:$C$596=$C$1)*(A186&gt;Task_table_03_2_26!$J$2:$J$596)*(A186&lt;Task_table_03_2_26!$K$2:$K$596))</f>
        <v>5</v>
      </c>
      <c r="D186" cm="1">
        <f t="array" ref="D186">SUMPRODUCT((Task_table_03_2_26!$C$2:$C$596=$D$1)*(A186&gt;Task_table_03_2_26!$J$2:$J$596)*(A186&lt;Task_table_03_2_26!$K$2:$K$596))</f>
        <v>0</v>
      </c>
      <c r="E186" cm="1">
        <f t="array" ref="E186">SUMPRODUCT((Task_table_03_2_26!$C$2:$C$596=$E$1)*(A186&gt;Task_table_03_2_26!$J$2:$J$596)*(A186&lt;Task_table_03_2_26!$K$2:$K$596))</f>
        <v>6</v>
      </c>
    </row>
    <row r="187" spans="1:5">
      <c r="A187" s="5">
        <v>46055</v>
      </c>
      <c r="B187" cm="1">
        <f t="array" ref="B187">SUMPRODUCT((Task_table_03_2_26!$C$2:$C$596=$B$1)*(A187&gt;Task_table_03_2_26!$J$2:$J$596)*(A187&lt;Task_table_03_2_26!$K$2:$K$596))</f>
        <v>52</v>
      </c>
      <c r="C187" cm="1">
        <f t="array" ref="C187">SUMPRODUCT((Task_table_03_2_26!$C$2:$C$596=$C$1)*(A187&gt;Task_table_03_2_26!$J$2:$J$596)*(A187&lt;Task_table_03_2_26!$K$2:$K$596))</f>
        <v>6</v>
      </c>
      <c r="D187" cm="1">
        <f t="array" ref="D187">SUMPRODUCT((Task_table_03_2_26!$C$2:$C$596=$D$1)*(A187&gt;Task_table_03_2_26!$J$2:$J$596)*(A187&lt;Task_table_03_2_26!$K$2:$K$596))</f>
        <v>0</v>
      </c>
      <c r="E187" cm="1">
        <f t="array" ref="E187">SUMPRODUCT((Task_table_03_2_26!$C$2:$C$596=$E$1)*(A187&gt;Task_table_03_2_26!$J$2:$J$596)*(A187&lt;Task_table_03_2_26!$K$2:$K$596))</f>
        <v>6</v>
      </c>
    </row>
    <row r="188" spans="1:5">
      <c r="A188" s="5">
        <v>46056</v>
      </c>
      <c r="B188" cm="1">
        <f t="array" ref="B188">SUMPRODUCT((Task_table_03_2_26!$C$2:$C$596=$B$1)*(A188&gt;Task_table_03_2_26!$J$2:$J$596)*(A188&lt;Task_table_03_2_26!$K$2:$K$596))</f>
        <v>54</v>
      </c>
      <c r="C188" cm="1">
        <f t="array" ref="C188">SUMPRODUCT((Task_table_03_2_26!$C$2:$C$596=$C$1)*(A188&gt;Task_table_03_2_26!$J$2:$J$596)*(A188&lt;Task_table_03_2_26!$K$2:$K$596))</f>
        <v>6</v>
      </c>
      <c r="D188" cm="1">
        <f t="array" ref="D188">SUMPRODUCT((Task_table_03_2_26!$C$2:$C$596=$D$1)*(A188&gt;Task_table_03_2_26!$J$2:$J$596)*(A188&lt;Task_table_03_2_26!$K$2:$K$596))</f>
        <v>0</v>
      </c>
      <c r="E188" cm="1">
        <f t="array" ref="E188">SUMPRODUCT((Task_table_03_2_26!$C$2:$C$596=$E$1)*(A188&gt;Task_table_03_2_26!$J$2:$J$596)*(A188&lt;Task_table_03_2_26!$K$2:$K$596))</f>
        <v>6</v>
      </c>
    </row>
    <row r="189" spans="1:5">
      <c r="A189" s="5">
        <v>46057</v>
      </c>
      <c r="B189" cm="1">
        <f t="array" ref="B189">SUMPRODUCT((Task_table_03_2_26!$C$2:$C$596=$B$1)*(A189&gt;Task_table_03_2_26!$J$2:$J$596)*(A189&lt;Task_table_03_2_26!$K$2:$K$596))</f>
        <v>54</v>
      </c>
      <c r="C189" cm="1">
        <f t="array" ref="C189">SUMPRODUCT((Task_table_03_2_26!$C$2:$C$596=$C$1)*(A189&gt;Task_table_03_2_26!$J$2:$J$596)*(A189&lt;Task_table_03_2_26!$K$2:$K$596))</f>
        <v>6</v>
      </c>
      <c r="D189" cm="1">
        <f t="array" ref="D189">SUMPRODUCT((Task_table_03_2_26!$C$2:$C$596=$D$1)*(A189&gt;Task_table_03_2_26!$J$2:$J$596)*(A189&lt;Task_table_03_2_26!$K$2:$K$596))</f>
        <v>0</v>
      </c>
      <c r="E189" cm="1">
        <f t="array" ref="E189">SUMPRODUCT((Task_table_03_2_26!$C$2:$C$596=$E$1)*(A189&gt;Task_table_03_2_26!$J$2:$J$596)*(A189&lt;Task_table_03_2_26!$K$2:$K$596))</f>
        <v>6</v>
      </c>
    </row>
    <row r="190" spans="1:5">
      <c r="A190" s="5">
        <v>46058</v>
      </c>
      <c r="B190" cm="1">
        <f t="array" ref="B190">SUMPRODUCT((Task_table_03_2_26!$C$2:$C$596=$B$1)*(A190&gt;Task_table_03_2_26!$J$2:$J$596)*(A190&lt;Task_table_03_2_26!$K$2:$K$596))</f>
        <v>54</v>
      </c>
      <c r="C190" cm="1">
        <f t="array" ref="C190">SUMPRODUCT((Task_table_03_2_26!$C$2:$C$596=$C$1)*(A190&gt;Task_table_03_2_26!$J$2:$J$596)*(A190&lt;Task_table_03_2_26!$K$2:$K$596))</f>
        <v>6</v>
      </c>
      <c r="D190" cm="1">
        <f t="array" ref="D190">SUMPRODUCT((Task_table_03_2_26!$C$2:$C$596=$D$1)*(A190&gt;Task_table_03_2_26!$J$2:$J$596)*(A190&lt;Task_table_03_2_26!$K$2:$K$596))</f>
        <v>0</v>
      </c>
      <c r="E190" cm="1">
        <f t="array" ref="E190">SUMPRODUCT((Task_table_03_2_26!$C$2:$C$596=$E$1)*(A190&gt;Task_table_03_2_26!$J$2:$J$596)*(A190&lt;Task_table_03_2_26!$K$2:$K$596))</f>
        <v>6</v>
      </c>
    </row>
    <row r="191" spans="1:5">
      <c r="A191" s="5">
        <v>46059</v>
      </c>
      <c r="B191" cm="1">
        <f t="array" ref="B191">SUMPRODUCT((Task_table_03_2_26!$C$2:$C$596=$B$1)*(A191&gt;Task_table_03_2_26!$J$2:$J$596)*(A191&lt;Task_table_03_2_26!$K$2:$K$596))</f>
        <v>55</v>
      </c>
      <c r="C191" cm="1">
        <f t="array" ref="C191">SUMPRODUCT((Task_table_03_2_26!$C$2:$C$596=$C$1)*(A191&gt;Task_table_03_2_26!$J$2:$J$596)*(A191&lt;Task_table_03_2_26!$K$2:$K$596))</f>
        <v>6</v>
      </c>
      <c r="D191" cm="1">
        <f t="array" ref="D191">SUMPRODUCT((Task_table_03_2_26!$C$2:$C$596=$D$1)*(A191&gt;Task_table_03_2_26!$J$2:$J$596)*(A191&lt;Task_table_03_2_26!$K$2:$K$596))</f>
        <v>0</v>
      </c>
      <c r="E191" cm="1">
        <f t="array" ref="E191">SUMPRODUCT((Task_table_03_2_26!$C$2:$C$596=$E$1)*(A191&gt;Task_table_03_2_26!$J$2:$J$596)*(A191&lt;Task_table_03_2_26!$K$2:$K$596))</f>
        <v>6</v>
      </c>
    </row>
    <row r="192" spans="1:5">
      <c r="A192" s="5">
        <v>46060</v>
      </c>
      <c r="B192" cm="1">
        <f t="array" ref="B192">SUMPRODUCT((Task_table_03_2_26!$C$2:$C$596=$B$1)*(A192&gt;Task_table_03_2_26!$J$2:$J$596)*(A192&lt;Task_table_03_2_26!$K$2:$K$596))</f>
        <v>55</v>
      </c>
      <c r="C192" cm="1">
        <f t="array" ref="C192">SUMPRODUCT((Task_table_03_2_26!$C$2:$C$596=$C$1)*(A192&gt;Task_table_03_2_26!$J$2:$J$596)*(A192&lt;Task_table_03_2_26!$K$2:$K$596))</f>
        <v>6</v>
      </c>
      <c r="D192" cm="1">
        <f t="array" ref="D192">SUMPRODUCT((Task_table_03_2_26!$C$2:$C$596=$D$1)*(A192&gt;Task_table_03_2_26!$J$2:$J$596)*(A192&lt;Task_table_03_2_26!$K$2:$K$596))</f>
        <v>0</v>
      </c>
      <c r="E192" cm="1">
        <f t="array" ref="E192">SUMPRODUCT((Task_table_03_2_26!$C$2:$C$596=$E$1)*(A192&gt;Task_table_03_2_26!$J$2:$J$596)*(A192&lt;Task_table_03_2_26!$K$2:$K$596))</f>
        <v>6</v>
      </c>
    </row>
    <row r="193" spans="1:5">
      <c r="A193" s="5">
        <v>46061</v>
      </c>
      <c r="B193" cm="1">
        <f t="array" ref="B193">SUMPRODUCT((Task_table_03_2_26!$C$2:$C$596=$B$1)*(A193&gt;Task_table_03_2_26!$J$2:$J$596)*(A193&lt;Task_table_03_2_26!$K$2:$K$596))</f>
        <v>55</v>
      </c>
      <c r="C193" cm="1">
        <f t="array" ref="C193">SUMPRODUCT((Task_table_03_2_26!$C$2:$C$596=$C$1)*(A193&gt;Task_table_03_2_26!$J$2:$J$596)*(A193&lt;Task_table_03_2_26!$K$2:$K$596))</f>
        <v>6</v>
      </c>
      <c r="D193" cm="1">
        <f t="array" ref="D193">SUMPRODUCT((Task_table_03_2_26!$C$2:$C$596=$D$1)*(A193&gt;Task_table_03_2_26!$J$2:$J$596)*(A193&lt;Task_table_03_2_26!$K$2:$K$596))</f>
        <v>0</v>
      </c>
      <c r="E193" cm="1">
        <f t="array" ref="E193">SUMPRODUCT((Task_table_03_2_26!$C$2:$C$596=$E$1)*(A193&gt;Task_table_03_2_26!$J$2:$J$596)*(A193&lt;Task_table_03_2_26!$K$2:$K$596))</f>
        <v>6</v>
      </c>
    </row>
    <row r="194" spans="1:5">
      <c r="A194" s="5">
        <v>46062</v>
      </c>
      <c r="B194" cm="1">
        <f t="array" ref="B194">SUMPRODUCT((Task_table_03_2_26!$C$2:$C$596=$B$1)*(A194&gt;Task_table_03_2_26!$J$2:$J$596)*(A194&lt;Task_table_03_2_26!$K$2:$K$596))</f>
        <v>55</v>
      </c>
      <c r="C194" cm="1">
        <f t="array" ref="C194">SUMPRODUCT((Task_table_03_2_26!$C$2:$C$596=$C$1)*(A194&gt;Task_table_03_2_26!$J$2:$J$596)*(A194&lt;Task_table_03_2_26!$K$2:$K$596))</f>
        <v>6</v>
      </c>
      <c r="D194" cm="1">
        <f t="array" ref="D194">SUMPRODUCT((Task_table_03_2_26!$C$2:$C$596=$D$1)*(A194&gt;Task_table_03_2_26!$J$2:$J$596)*(A194&lt;Task_table_03_2_26!$K$2:$K$596))</f>
        <v>0</v>
      </c>
      <c r="E194" cm="1">
        <f t="array" ref="E194">SUMPRODUCT((Task_table_03_2_26!$C$2:$C$596=$E$1)*(A194&gt;Task_table_03_2_26!$J$2:$J$596)*(A194&lt;Task_table_03_2_26!$K$2:$K$596))</f>
        <v>6</v>
      </c>
    </row>
    <row r="195" spans="1:5">
      <c r="A195" s="5">
        <v>46063</v>
      </c>
      <c r="B195" cm="1">
        <f t="array" ref="B195">SUMPRODUCT((Task_table_03_2_26!$C$2:$C$596=$B$1)*(A195&gt;Task_table_03_2_26!$J$2:$J$596)*(A195&lt;Task_table_03_2_26!$K$2:$K$596))</f>
        <v>55</v>
      </c>
      <c r="C195" cm="1">
        <f t="array" ref="C195">SUMPRODUCT((Task_table_03_2_26!$C$2:$C$596=$C$1)*(A195&gt;Task_table_03_2_26!$J$2:$J$596)*(A195&lt;Task_table_03_2_26!$K$2:$K$596))</f>
        <v>6</v>
      </c>
      <c r="D195" cm="1">
        <f t="array" ref="D195">SUMPRODUCT((Task_table_03_2_26!$C$2:$C$596=$D$1)*(A195&gt;Task_table_03_2_26!$J$2:$J$596)*(A195&lt;Task_table_03_2_26!$K$2:$K$596))</f>
        <v>0</v>
      </c>
      <c r="E195" cm="1">
        <f t="array" ref="E195">SUMPRODUCT((Task_table_03_2_26!$C$2:$C$596=$E$1)*(A195&gt;Task_table_03_2_26!$J$2:$J$596)*(A195&lt;Task_table_03_2_26!$K$2:$K$596))</f>
        <v>6</v>
      </c>
    </row>
    <row r="196" spans="1:5">
      <c r="A196" s="5">
        <v>46064</v>
      </c>
      <c r="B196" cm="1">
        <f t="array" ref="B196">SUMPRODUCT((Task_table_03_2_26!$C$2:$C$596=$B$1)*(A196&gt;Task_table_03_2_26!$J$2:$J$596)*(A196&lt;Task_table_03_2_26!$K$2:$K$596))</f>
        <v>55</v>
      </c>
      <c r="C196" cm="1">
        <f t="array" ref="C196">SUMPRODUCT((Task_table_03_2_26!$C$2:$C$596=$C$1)*(A196&gt;Task_table_03_2_26!$J$2:$J$596)*(A196&lt;Task_table_03_2_26!$K$2:$K$596))</f>
        <v>6</v>
      </c>
      <c r="D196" cm="1">
        <f t="array" ref="D196">SUMPRODUCT((Task_table_03_2_26!$C$2:$C$596=$D$1)*(A196&gt;Task_table_03_2_26!$J$2:$J$596)*(A196&lt;Task_table_03_2_26!$K$2:$K$596))</f>
        <v>0</v>
      </c>
      <c r="E196" cm="1">
        <f t="array" ref="E196">SUMPRODUCT((Task_table_03_2_26!$C$2:$C$596=$E$1)*(A196&gt;Task_table_03_2_26!$J$2:$J$596)*(A196&lt;Task_table_03_2_26!$K$2:$K$596))</f>
        <v>6</v>
      </c>
    </row>
    <row r="197" spans="1:5">
      <c r="A197" s="5">
        <v>46065</v>
      </c>
      <c r="B197" cm="1">
        <f t="array" ref="B197">SUMPRODUCT((Task_table_03_2_26!$C$2:$C$596=$B$1)*(A197&gt;Task_table_03_2_26!$J$2:$J$596)*(A197&lt;Task_table_03_2_26!$K$2:$K$596))</f>
        <v>55</v>
      </c>
      <c r="C197" cm="1">
        <f t="array" ref="C197">SUMPRODUCT((Task_table_03_2_26!$C$2:$C$596=$C$1)*(A197&gt;Task_table_03_2_26!$J$2:$J$596)*(A197&lt;Task_table_03_2_26!$K$2:$K$596))</f>
        <v>6</v>
      </c>
      <c r="D197" cm="1">
        <f t="array" ref="D197">SUMPRODUCT((Task_table_03_2_26!$C$2:$C$596=$D$1)*(A197&gt;Task_table_03_2_26!$J$2:$J$596)*(A197&lt;Task_table_03_2_26!$K$2:$K$596))</f>
        <v>0</v>
      </c>
      <c r="E197" cm="1">
        <f t="array" ref="E197">SUMPRODUCT((Task_table_03_2_26!$C$2:$C$596=$E$1)*(A197&gt;Task_table_03_2_26!$J$2:$J$596)*(A197&lt;Task_table_03_2_26!$K$2:$K$596))</f>
        <v>6</v>
      </c>
    </row>
    <row r="198" spans="1:5">
      <c r="A198" s="5">
        <v>46066</v>
      </c>
      <c r="B198" cm="1">
        <f t="array" ref="B198">SUMPRODUCT((Task_table_03_2_26!$C$2:$C$596=$B$1)*(A198&gt;Task_table_03_2_26!$J$2:$J$596)*(A198&lt;Task_table_03_2_26!$K$2:$K$596))</f>
        <v>55</v>
      </c>
      <c r="C198" cm="1">
        <f t="array" ref="C198">SUMPRODUCT((Task_table_03_2_26!$C$2:$C$596=$C$1)*(A198&gt;Task_table_03_2_26!$J$2:$J$596)*(A198&lt;Task_table_03_2_26!$K$2:$K$596))</f>
        <v>6</v>
      </c>
      <c r="D198" cm="1">
        <f t="array" ref="D198">SUMPRODUCT((Task_table_03_2_26!$C$2:$C$596=$D$1)*(A198&gt;Task_table_03_2_26!$J$2:$J$596)*(A198&lt;Task_table_03_2_26!$K$2:$K$596))</f>
        <v>0</v>
      </c>
      <c r="E198" cm="1">
        <f t="array" ref="E198">SUMPRODUCT((Task_table_03_2_26!$C$2:$C$596=$E$1)*(A198&gt;Task_table_03_2_26!$J$2:$J$596)*(A198&lt;Task_table_03_2_26!$K$2:$K$596))</f>
        <v>6</v>
      </c>
    </row>
    <row r="199" spans="1:5">
      <c r="A199" s="5">
        <v>46067</v>
      </c>
      <c r="B199" cm="1">
        <f t="array" ref="B199">SUMPRODUCT((Task_table_03_2_26!$C$2:$C$596=$B$1)*(A199&gt;Task_table_03_2_26!$J$2:$J$596)*(A199&lt;Task_table_03_2_26!$K$2:$K$596))</f>
        <v>55</v>
      </c>
      <c r="C199" cm="1">
        <f t="array" ref="C199">SUMPRODUCT((Task_table_03_2_26!$C$2:$C$596=$C$1)*(A199&gt;Task_table_03_2_26!$J$2:$J$596)*(A199&lt;Task_table_03_2_26!$K$2:$K$596))</f>
        <v>6</v>
      </c>
      <c r="D199" cm="1">
        <f t="array" ref="D199">SUMPRODUCT((Task_table_03_2_26!$C$2:$C$596=$D$1)*(A199&gt;Task_table_03_2_26!$J$2:$J$596)*(A199&lt;Task_table_03_2_26!$K$2:$K$596))</f>
        <v>0</v>
      </c>
      <c r="E199" cm="1">
        <f t="array" ref="E199">SUMPRODUCT((Task_table_03_2_26!$C$2:$C$596=$E$1)*(A199&gt;Task_table_03_2_26!$J$2:$J$596)*(A199&lt;Task_table_03_2_26!$K$2:$K$596))</f>
        <v>6</v>
      </c>
    </row>
    <row r="200" spans="1:5">
      <c r="A200" s="5">
        <v>46068</v>
      </c>
      <c r="B200" cm="1">
        <f t="array" ref="B200">SUMPRODUCT((Task_table_03_2_26!$C$2:$C$596=$B$1)*(A200&gt;Task_table_03_2_26!$J$2:$J$596)*(A200&lt;Task_table_03_2_26!$K$2:$K$596))</f>
        <v>55</v>
      </c>
      <c r="C200" cm="1">
        <f t="array" ref="C200">SUMPRODUCT((Task_table_03_2_26!$C$2:$C$596=$C$1)*(A200&gt;Task_table_03_2_26!$J$2:$J$596)*(A200&lt;Task_table_03_2_26!$K$2:$K$596))</f>
        <v>6</v>
      </c>
      <c r="D200" cm="1">
        <f t="array" ref="D200">SUMPRODUCT((Task_table_03_2_26!$C$2:$C$596=$D$1)*(A200&gt;Task_table_03_2_26!$J$2:$J$596)*(A200&lt;Task_table_03_2_26!$K$2:$K$596))</f>
        <v>0</v>
      </c>
      <c r="E200" cm="1">
        <f t="array" ref="E200">SUMPRODUCT((Task_table_03_2_26!$C$2:$C$596=$E$1)*(A200&gt;Task_table_03_2_26!$J$2:$J$596)*(A200&lt;Task_table_03_2_26!$K$2:$K$596))</f>
        <v>6</v>
      </c>
    </row>
    <row r="201" spans="1:5">
      <c r="A201" s="5">
        <v>46069</v>
      </c>
      <c r="B201" cm="1">
        <f t="array" ref="B201">SUMPRODUCT((Task_table_03_2_26!$C$2:$C$596=$B$1)*(A201&gt;Task_table_03_2_26!$J$2:$J$596)*(A201&lt;Task_table_03_2_26!$K$2:$K$596))</f>
        <v>55</v>
      </c>
      <c r="C201" cm="1">
        <f t="array" ref="C201">SUMPRODUCT((Task_table_03_2_26!$C$2:$C$596=$C$1)*(A201&gt;Task_table_03_2_26!$J$2:$J$596)*(A201&lt;Task_table_03_2_26!$K$2:$K$596))</f>
        <v>6</v>
      </c>
      <c r="D201" cm="1">
        <f t="array" ref="D201">SUMPRODUCT((Task_table_03_2_26!$C$2:$C$596=$D$1)*(A201&gt;Task_table_03_2_26!$J$2:$J$596)*(A201&lt;Task_table_03_2_26!$K$2:$K$596))</f>
        <v>0</v>
      </c>
      <c r="E201" cm="1">
        <f t="array" ref="E201">SUMPRODUCT((Task_table_03_2_26!$C$2:$C$596=$E$1)*(A201&gt;Task_table_03_2_26!$J$2:$J$596)*(A201&lt;Task_table_03_2_26!$K$2:$K$596))</f>
        <v>6</v>
      </c>
    </row>
    <row r="202" spans="1:5">
      <c r="A202" s="5">
        <v>46070</v>
      </c>
      <c r="B202" cm="1">
        <f t="array" ref="B202">SUMPRODUCT((Task_table_03_2_26!$C$2:$C$596=$B$1)*(A202&gt;Task_table_03_2_26!$J$2:$J$596)*(A202&lt;Task_table_03_2_26!$K$2:$K$596))</f>
        <v>57</v>
      </c>
      <c r="C202" cm="1">
        <f t="array" ref="C202">SUMPRODUCT((Task_table_03_2_26!$C$2:$C$596=$C$1)*(A202&gt;Task_table_03_2_26!$J$2:$J$596)*(A202&lt;Task_table_03_2_26!$K$2:$K$596))</f>
        <v>6</v>
      </c>
      <c r="D202" cm="1">
        <f t="array" ref="D202">SUMPRODUCT((Task_table_03_2_26!$C$2:$C$596=$D$1)*(A202&gt;Task_table_03_2_26!$J$2:$J$596)*(A202&lt;Task_table_03_2_26!$K$2:$K$596))</f>
        <v>0</v>
      </c>
      <c r="E202" cm="1">
        <f t="array" ref="E202">SUMPRODUCT((Task_table_03_2_26!$C$2:$C$596=$E$1)*(A202&gt;Task_table_03_2_26!$J$2:$J$596)*(A202&lt;Task_table_03_2_26!$K$2:$K$596))</f>
        <v>6</v>
      </c>
    </row>
    <row r="203" spans="1:5">
      <c r="A203" s="5">
        <v>46071</v>
      </c>
      <c r="B203" cm="1">
        <f t="array" ref="B203">SUMPRODUCT((Task_table_03_2_26!$C$2:$C$596=$B$1)*(A203&gt;Task_table_03_2_26!$J$2:$J$596)*(A203&lt;Task_table_03_2_26!$K$2:$K$596))</f>
        <v>57</v>
      </c>
      <c r="C203" cm="1">
        <f t="array" ref="C203">SUMPRODUCT((Task_table_03_2_26!$C$2:$C$596=$C$1)*(A203&gt;Task_table_03_2_26!$J$2:$J$596)*(A203&lt;Task_table_03_2_26!$K$2:$K$596))</f>
        <v>6</v>
      </c>
      <c r="D203" cm="1">
        <f t="array" ref="D203">SUMPRODUCT((Task_table_03_2_26!$C$2:$C$596=$D$1)*(A203&gt;Task_table_03_2_26!$J$2:$J$596)*(A203&lt;Task_table_03_2_26!$K$2:$K$596))</f>
        <v>0</v>
      </c>
      <c r="E203" cm="1">
        <f t="array" ref="E203">SUMPRODUCT((Task_table_03_2_26!$C$2:$C$596=$E$1)*(A203&gt;Task_table_03_2_26!$J$2:$J$596)*(A203&lt;Task_table_03_2_26!$K$2:$K$596))</f>
        <v>6</v>
      </c>
    </row>
    <row r="204" spans="1:5">
      <c r="A204" s="5">
        <v>46072</v>
      </c>
      <c r="B204" cm="1">
        <f t="array" ref="B204">SUMPRODUCT((Task_table_03_2_26!$C$2:$C$596=$B$1)*(A204&gt;Task_table_03_2_26!$J$2:$J$596)*(A204&lt;Task_table_03_2_26!$K$2:$K$596))</f>
        <v>57</v>
      </c>
      <c r="C204" cm="1">
        <f t="array" ref="C204">SUMPRODUCT((Task_table_03_2_26!$C$2:$C$596=$C$1)*(A204&gt;Task_table_03_2_26!$J$2:$J$596)*(A204&lt;Task_table_03_2_26!$K$2:$K$596))</f>
        <v>6</v>
      </c>
      <c r="D204" cm="1">
        <f t="array" ref="D204">SUMPRODUCT((Task_table_03_2_26!$C$2:$C$596=$D$1)*(A204&gt;Task_table_03_2_26!$J$2:$J$596)*(A204&lt;Task_table_03_2_26!$K$2:$K$596))</f>
        <v>0</v>
      </c>
      <c r="E204" cm="1">
        <f t="array" ref="E204">SUMPRODUCT((Task_table_03_2_26!$C$2:$C$596=$E$1)*(A204&gt;Task_table_03_2_26!$J$2:$J$596)*(A204&lt;Task_table_03_2_26!$K$2:$K$596))</f>
        <v>6</v>
      </c>
    </row>
    <row r="205" spans="1:5">
      <c r="A205" s="5">
        <v>46073</v>
      </c>
      <c r="B205" cm="1">
        <f t="array" ref="B205">SUMPRODUCT((Task_table_03_2_26!$C$2:$C$596=$B$1)*(A205&gt;Task_table_03_2_26!$J$2:$J$596)*(A205&lt;Task_table_03_2_26!$K$2:$K$596))</f>
        <v>57</v>
      </c>
      <c r="C205" cm="1">
        <f t="array" ref="C205">SUMPRODUCT((Task_table_03_2_26!$C$2:$C$596=$C$1)*(A205&gt;Task_table_03_2_26!$J$2:$J$596)*(A205&lt;Task_table_03_2_26!$K$2:$K$596))</f>
        <v>6</v>
      </c>
      <c r="D205" cm="1">
        <f t="array" ref="D205">SUMPRODUCT((Task_table_03_2_26!$C$2:$C$596=$D$1)*(A205&gt;Task_table_03_2_26!$J$2:$J$596)*(A205&lt;Task_table_03_2_26!$K$2:$K$596))</f>
        <v>0</v>
      </c>
      <c r="E205" cm="1">
        <f t="array" ref="E205">SUMPRODUCT((Task_table_03_2_26!$C$2:$C$596=$E$1)*(A205&gt;Task_table_03_2_26!$J$2:$J$596)*(A205&lt;Task_table_03_2_26!$K$2:$K$596))</f>
        <v>6</v>
      </c>
    </row>
    <row r="206" spans="1:5">
      <c r="A206" s="5">
        <v>46074</v>
      </c>
      <c r="B206" cm="1">
        <f t="array" ref="B206">SUMPRODUCT((Task_table_03_2_26!$C$2:$C$596=$B$1)*(A206&gt;Task_table_03_2_26!$J$2:$J$596)*(A206&lt;Task_table_03_2_26!$K$2:$K$596))</f>
        <v>58</v>
      </c>
      <c r="C206" cm="1">
        <f t="array" ref="C206">SUMPRODUCT((Task_table_03_2_26!$C$2:$C$596=$C$1)*(A206&gt;Task_table_03_2_26!$J$2:$J$596)*(A206&lt;Task_table_03_2_26!$K$2:$K$596))</f>
        <v>6</v>
      </c>
      <c r="D206" cm="1">
        <f t="array" ref="D206">SUMPRODUCT((Task_table_03_2_26!$C$2:$C$596=$D$1)*(A206&gt;Task_table_03_2_26!$J$2:$J$596)*(A206&lt;Task_table_03_2_26!$K$2:$K$596))</f>
        <v>0</v>
      </c>
      <c r="E206" cm="1">
        <f t="array" ref="E206">SUMPRODUCT((Task_table_03_2_26!$C$2:$C$596=$E$1)*(A206&gt;Task_table_03_2_26!$J$2:$J$596)*(A206&lt;Task_table_03_2_26!$K$2:$K$596))</f>
        <v>6</v>
      </c>
    </row>
    <row r="207" spans="1:5">
      <c r="A207" s="5">
        <v>46075</v>
      </c>
      <c r="B207" cm="1">
        <f t="array" ref="B207">SUMPRODUCT((Task_table_03_2_26!$C$2:$C$596=$B$1)*(A207&gt;Task_table_03_2_26!$J$2:$J$596)*(A207&lt;Task_table_03_2_26!$K$2:$K$596))</f>
        <v>58</v>
      </c>
      <c r="C207" cm="1">
        <f t="array" ref="C207">SUMPRODUCT((Task_table_03_2_26!$C$2:$C$596=$C$1)*(A207&gt;Task_table_03_2_26!$J$2:$J$596)*(A207&lt;Task_table_03_2_26!$K$2:$K$596))</f>
        <v>6</v>
      </c>
      <c r="D207" cm="1">
        <f t="array" ref="D207">SUMPRODUCT((Task_table_03_2_26!$C$2:$C$596=$D$1)*(A207&gt;Task_table_03_2_26!$J$2:$J$596)*(A207&lt;Task_table_03_2_26!$K$2:$K$596))</f>
        <v>0</v>
      </c>
      <c r="E207" cm="1">
        <f t="array" ref="E207">SUMPRODUCT((Task_table_03_2_26!$C$2:$C$596=$E$1)*(A207&gt;Task_table_03_2_26!$J$2:$J$596)*(A207&lt;Task_table_03_2_26!$K$2:$K$596))</f>
        <v>6</v>
      </c>
    </row>
    <row r="208" spans="1:5">
      <c r="A208" s="5">
        <v>46076</v>
      </c>
      <c r="B208" cm="1">
        <f t="array" ref="B208">SUMPRODUCT((Task_table_03_2_26!$C$2:$C$596=$B$1)*(A208&gt;Task_table_03_2_26!$J$2:$J$596)*(A208&lt;Task_table_03_2_26!$K$2:$K$596))</f>
        <v>58</v>
      </c>
      <c r="C208" cm="1">
        <f t="array" ref="C208">SUMPRODUCT((Task_table_03_2_26!$C$2:$C$596=$C$1)*(A208&gt;Task_table_03_2_26!$J$2:$J$596)*(A208&lt;Task_table_03_2_26!$K$2:$K$596))</f>
        <v>6</v>
      </c>
      <c r="D208" cm="1">
        <f t="array" ref="D208">SUMPRODUCT((Task_table_03_2_26!$C$2:$C$596=$D$1)*(A208&gt;Task_table_03_2_26!$J$2:$J$596)*(A208&lt;Task_table_03_2_26!$K$2:$K$596))</f>
        <v>0</v>
      </c>
      <c r="E208" cm="1">
        <f t="array" ref="E208">SUMPRODUCT((Task_table_03_2_26!$C$2:$C$596=$E$1)*(A208&gt;Task_table_03_2_26!$J$2:$J$596)*(A208&lt;Task_table_03_2_26!$K$2:$K$596))</f>
        <v>6</v>
      </c>
    </row>
    <row r="209" spans="1:5">
      <c r="A209" s="5">
        <v>46077</v>
      </c>
      <c r="B209" cm="1">
        <f t="array" ref="B209">SUMPRODUCT((Task_table_03_2_26!$C$2:$C$596=$B$1)*(A209&gt;Task_table_03_2_26!$J$2:$J$596)*(A209&lt;Task_table_03_2_26!$K$2:$K$596))</f>
        <v>60</v>
      </c>
      <c r="C209" cm="1">
        <f t="array" ref="C209">SUMPRODUCT((Task_table_03_2_26!$C$2:$C$596=$C$1)*(A209&gt;Task_table_03_2_26!$J$2:$J$596)*(A209&lt;Task_table_03_2_26!$K$2:$K$596))</f>
        <v>6</v>
      </c>
      <c r="D209" cm="1">
        <f t="array" ref="D209">SUMPRODUCT((Task_table_03_2_26!$C$2:$C$596=$D$1)*(A209&gt;Task_table_03_2_26!$J$2:$J$596)*(A209&lt;Task_table_03_2_26!$K$2:$K$596))</f>
        <v>0</v>
      </c>
      <c r="E209" cm="1">
        <f t="array" ref="E209">SUMPRODUCT((Task_table_03_2_26!$C$2:$C$596=$E$1)*(A209&gt;Task_table_03_2_26!$J$2:$J$596)*(A209&lt;Task_table_03_2_26!$K$2:$K$596))</f>
        <v>6</v>
      </c>
    </row>
    <row r="210" spans="1:5">
      <c r="A210" s="5">
        <v>46078</v>
      </c>
      <c r="B210" cm="1">
        <f t="array" ref="B210">SUMPRODUCT((Task_table_03_2_26!$C$2:$C$596=$B$1)*(A210&gt;Task_table_03_2_26!$J$2:$J$596)*(A210&lt;Task_table_03_2_26!$K$2:$K$596))</f>
        <v>59</v>
      </c>
      <c r="C210" cm="1">
        <f t="array" ref="C210">SUMPRODUCT((Task_table_03_2_26!$C$2:$C$596=$C$1)*(A210&gt;Task_table_03_2_26!$J$2:$J$596)*(A210&lt;Task_table_03_2_26!$K$2:$K$596))</f>
        <v>6</v>
      </c>
      <c r="D210" cm="1">
        <f t="array" ref="D210">SUMPRODUCT((Task_table_03_2_26!$C$2:$C$596=$D$1)*(A210&gt;Task_table_03_2_26!$J$2:$J$596)*(A210&lt;Task_table_03_2_26!$K$2:$K$596))</f>
        <v>0</v>
      </c>
      <c r="E210" cm="1">
        <f t="array" ref="E210">SUMPRODUCT((Task_table_03_2_26!$C$2:$C$596=$E$1)*(A210&gt;Task_table_03_2_26!$J$2:$J$596)*(A210&lt;Task_table_03_2_26!$K$2:$K$596))</f>
        <v>6</v>
      </c>
    </row>
    <row r="211" spans="1:5">
      <c r="A211" s="5">
        <v>46079</v>
      </c>
      <c r="B211" cm="1">
        <f t="array" ref="B211">SUMPRODUCT((Task_table_03_2_26!$C$2:$C$596=$B$1)*(A211&gt;Task_table_03_2_26!$J$2:$J$596)*(A211&lt;Task_table_03_2_26!$K$2:$K$596))</f>
        <v>59</v>
      </c>
      <c r="C211" cm="1">
        <f t="array" ref="C211">SUMPRODUCT((Task_table_03_2_26!$C$2:$C$596=$C$1)*(A211&gt;Task_table_03_2_26!$J$2:$J$596)*(A211&lt;Task_table_03_2_26!$K$2:$K$596))</f>
        <v>6</v>
      </c>
      <c r="D211" cm="1">
        <f t="array" ref="D211">SUMPRODUCT((Task_table_03_2_26!$C$2:$C$596=$D$1)*(A211&gt;Task_table_03_2_26!$J$2:$J$596)*(A211&lt;Task_table_03_2_26!$K$2:$K$596))</f>
        <v>0</v>
      </c>
      <c r="E211" cm="1">
        <f t="array" ref="E211">SUMPRODUCT((Task_table_03_2_26!$C$2:$C$596=$E$1)*(A211&gt;Task_table_03_2_26!$J$2:$J$596)*(A211&lt;Task_table_03_2_26!$K$2:$K$596))</f>
        <v>6</v>
      </c>
    </row>
    <row r="212" spans="1:5">
      <c r="A212" s="5">
        <v>46080</v>
      </c>
      <c r="B212" cm="1">
        <f t="array" ref="B212">SUMPRODUCT((Task_table_03_2_26!$C$2:$C$596=$B$1)*(A212&gt;Task_table_03_2_26!$J$2:$J$596)*(A212&lt;Task_table_03_2_26!$K$2:$K$596))</f>
        <v>59</v>
      </c>
      <c r="C212" cm="1">
        <f t="array" ref="C212">SUMPRODUCT((Task_table_03_2_26!$C$2:$C$596=$C$1)*(A212&gt;Task_table_03_2_26!$J$2:$J$596)*(A212&lt;Task_table_03_2_26!$K$2:$K$596))</f>
        <v>6</v>
      </c>
      <c r="D212" cm="1">
        <f t="array" ref="D212">SUMPRODUCT((Task_table_03_2_26!$C$2:$C$596=$D$1)*(A212&gt;Task_table_03_2_26!$J$2:$J$596)*(A212&lt;Task_table_03_2_26!$K$2:$K$596))</f>
        <v>0</v>
      </c>
      <c r="E212" cm="1">
        <f t="array" ref="E212">SUMPRODUCT((Task_table_03_2_26!$C$2:$C$596=$E$1)*(A212&gt;Task_table_03_2_26!$J$2:$J$596)*(A212&lt;Task_table_03_2_26!$K$2:$K$596))</f>
        <v>6</v>
      </c>
    </row>
    <row r="213" spans="1:5">
      <c r="A213" s="5">
        <v>46081</v>
      </c>
      <c r="B213" cm="1">
        <f t="array" ref="B213">SUMPRODUCT((Task_table_03_2_26!$C$2:$C$596=$B$1)*(A213&gt;Task_table_03_2_26!$J$2:$J$596)*(A213&lt;Task_table_03_2_26!$K$2:$K$596))</f>
        <v>57</v>
      </c>
      <c r="C213" cm="1">
        <f t="array" ref="C213">SUMPRODUCT((Task_table_03_2_26!$C$2:$C$596=$C$1)*(A213&gt;Task_table_03_2_26!$J$2:$J$596)*(A213&lt;Task_table_03_2_26!$K$2:$K$596))</f>
        <v>2</v>
      </c>
      <c r="D213" cm="1">
        <f t="array" ref="D213">SUMPRODUCT((Task_table_03_2_26!$C$2:$C$596=$D$1)*(A213&gt;Task_table_03_2_26!$J$2:$J$596)*(A213&lt;Task_table_03_2_26!$K$2:$K$596))</f>
        <v>0</v>
      </c>
      <c r="E213" cm="1">
        <f t="array" ref="E213">SUMPRODUCT((Task_table_03_2_26!$C$2:$C$596=$E$1)*(A213&gt;Task_table_03_2_26!$J$2:$J$596)*(A213&lt;Task_table_03_2_26!$K$2:$K$596))</f>
        <v>6</v>
      </c>
    </row>
    <row r="214" spans="1:5">
      <c r="A214" s="5">
        <v>46082</v>
      </c>
      <c r="B214" cm="1">
        <f t="array" ref="B214">SUMPRODUCT((Task_table_03_2_26!$C$2:$C$596=$B$1)*(A214&gt;Task_table_03_2_26!$J$2:$J$596)*(A214&lt;Task_table_03_2_26!$K$2:$K$596))</f>
        <v>57</v>
      </c>
      <c r="C214" cm="1">
        <f t="array" ref="C214">SUMPRODUCT((Task_table_03_2_26!$C$2:$C$596=$C$1)*(A214&gt;Task_table_03_2_26!$J$2:$J$596)*(A214&lt;Task_table_03_2_26!$K$2:$K$596))</f>
        <v>2</v>
      </c>
      <c r="D214" cm="1">
        <f t="array" ref="D214">SUMPRODUCT((Task_table_03_2_26!$C$2:$C$596=$D$1)*(A214&gt;Task_table_03_2_26!$J$2:$J$596)*(A214&lt;Task_table_03_2_26!$K$2:$K$596))</f>
        <v>0</v>
      </c>
      <c r="E214" cm="1">
        <f t="array" ref="E214">SUMPRODUCT((Task_table_03_2_26!$C$2:$C$596=$E$1)*(A214&gt;Task_table_03_2_26!$J$2:$J$596)*(A214&lt;Task_table_03_2_26!$K$2:$K$596))</f>
        <v>6</v>
      </c>
    </row>
    <row r="215" spans="1:5">
      <c r="A215" s="5">
        <v>46083</v>
      </c>
      <c r="B215" cm="1">
        <f t="array" ref="B215">SUMPRODUCT((Task_table_03_2_26!$C$2:$C$596=$B$1)*(A215&gt;Task_table_03_2_26!$J$2:$J$596)*(A215&lt;Task_table_03_2_26!$K$2:$K$596))</f>
        <v>57</v>
      </c>
      <c r="C215" cm="1">
        <f t="array" ref="C215">SUMPRODUCT((Task_table_03_2_26!$C$2:$C$596=$C$1)*(A215&gt;Task_table_03_2_26!$J$2:$J$596)*(A215&lt;Task_table_03_2_26!$K$2:$K$596))</f>
        <v>4</v>
      </c>
      <c r="D215" cm="1">
        <f t="array" ref="D215">SUMPRODUCT((Task_table_03_2_26!$C$2:$C$596=$D$1)*(A215&gt;Task_table_03_2_26!$J$2:$J$596)*(A215&lt;Task_table_03_2_26!$K$2:$K$596))</f>
        <v>0</v>
      </c>
      <c r="E215" cm="1">
        <f t="array" ref="E215">SUMPRODUCT((Task_table_03_2_26!$C$2:$C$596=$E$1)*(A215&gt;Task_table_03_2_26!$J$2:$J$596)*(A215&lt;Task_table_03_2_26!$K$2:$K$596))</f>
        <v>6</v>
      </c>
    </row>
    <row r="216" spans="1:5">
      <c r="A216" s="5">
        <v>46084</v>
      </c>
      <c r="B216" cm="1">
        <f t="array" ref="B216">SUMPRODUCT((Task_table_03_2_26!$C$2:$C$596=$B$1)*(A216&gt;Task_table_03_2_26!$J$2:$J$596)*(A216&lt;Task_table_03_2_26!$K$2:$K$596))</f>
        <v>57</v>
      </c>
      <c r="C216" cm="1">
        <f t="array" ref="C216">SUMPRODUCT((Task_table_03_2_26!$C$2:$C$596=$C$1)*(A216&gt;Task_table_03_2_26!$J$2:$J$596)*(A216&lt;Task_table_03_2_26!$K$2:$K$596))</f>
        <v>4</v>
      </c>
      <c r="D216" cm="1">
        <f t="array" ref="D216">SUMPRODUCT((Task_table_03_2_26!$C$2:$C$596=$D$1)*(A216&gt;Task_table_03_2_26!$J$2:$J$596)*(A216&lt;Task_table_03_2_26!$K$2:$K$596))</f>
        <v>0</v>
      </c>
      <c r="E216" cm="1">
        <f t="array" ref="E216">SUMPRODUCT((Task_table_03_2_26!$C$2:$C$596=$E$1)*(A216&gt;Task_table_03_2_26!$J$2:$J$596)*(A216&lt;Task_table_03_2_26!$K$2:$K$596))</f>
        <v>6</v>
      </c>
    </row>
    <row r="217" spans="1:5">
      <c r="A217" s="5">
        <v>46085</v>
      </c>
      <c r="B217" cm="1">
        <f t="array" ref="B217">SUMPRODUCT((Task_table_03_2_26!$C$2:$C$596=$B$1)*(A217&gt;Task_table_03_2_26!$J$2:$J$596)*(A217&lt;Task_table_03_2_26!$K$2:$K$596))</f>
        <v>57</v>
      </c>
      <c r="C217" cm="1">
        <f t="array" ref="C217">SUMPRODUCT((Task_table_03_2_26!$C$2:$C$596=$C$1)*(A217&gt;Task_table_03_2_26!$J$2:$J$596)*(A217&lt;Task_table_03_2_26!$K$2:$K$596))</f>
        <v>4</v>
      </c>
      <c r="D217" cm="1">
        <f t="array" ref="D217">SUMPRODUCT((Task_table_03_2_26!$C$2:$C$596=$D$1)*(A217&gt;Task_table_03_2_26!$J$2:$J$596)*(A217&lt;Task_table_03_2_26!$K$2:$K$596))</f>
        <v>0</v>
      </c>
      <c r="E217" cm="1">
        <f t="array" ref="E217">SUMPRODUCT((Task_table_03_2_26!$C$2:$C$596=$E$1)*(A217&gt;Task_table_03_2_26!$J$2:$J$596)*(A217&lt;Task_table_03_2_26!$K$2:$K$596))</f>
        <v>6</v>
      </c>
    </row>
    <row r="218" spans="1:5">
      <c r="A218" s="5">
        <v>46086</v>
      </c>
      <c r="B218" cm="1">
        <f t="array" ref="B218">SUMPRODUCT((Task_table_03_2_26!$C$2:$C$596=$B$1)*(A218&gt;Task_table_03_2_26!$J$2:$J$596)*(A218&lt;Task_table_03_2_26!$K$2:$K$596))</f>
        <v>57</v>
      </c>
      <c r="C218" cm="1">
        <f t="array" ref="C218">SUMPRODUCT((Task_table_03_2_26!$C$2:$C$596=$C$1)*(A218&gt;Task_table_03_2_26!$J$2:$J$596)*(A218&lt;Task_table_03_2_26!$K$2:$K$596))</f>
        <v>4</v>
      </c>
      <c r="D218" cm="1">
        <f t="array" ref="D218">SUMPRODUCT((Task_table_03_2_26!$C$2:$C$596=$D$1)*(A218&gt;Task_table_03_2_26!$J$2:$J$596)*(A218&lt;Task_table_03_2_26!$K$2:$K$596))</f>
        <v>0</v>
      </c>
      <c r="E218" cm="1">
        <f t="array" ref="E218">SUMPRODUCT((Task_table_03_2_26!$C$2:$C$596=$E$1)*(A218&gt;Task_table_03_2_26!$J$2:$J$596)*(A218&lt;Task_table_03_2_26!$K$2:$K$596))</f>
        <v>6</v>
      </c>
    </row>
    <row r="219" spans="1:5">
      <c r="A219" s="5">
        <v>46087</v>
      </c>
      <c r="B219" cm="1">
        <f t="array" ref="B219">SUMPRODUCT((Task_table_03_2_26!$C$2:$C$596=$B$1)*(A219&gt;Task_table_03_2_26!$J$2:$J$596)*(A219&lt;Task_table_03_2_26!$K$2:$K$596))</f>
        <v>57</v>
      </c>
      <c r="C219" cm="1">
        <f t="array" ref="C219">SUMPRODUCT((Task_table_03_2_26!$C$2:$C$596=$C$1)*(A219&gt;Task_table_03_2_26!$J$2:$J$596)*(A219&lt;Task_table_03_2_26!$K$2:$K$596))</f>
        <v>4</v>
      </c>
      <c r="D219" cm="1">
        <f t="array" ref="D219">SUMPRODUCT((Task_table_03_2_26!$C$2:$C$596=$D$1)*(A219&gt;Task_table_03_2_26!$J$2:$J$596)*(A219&lt;Task_table_03_2_26!$K$2:$K$596))</f>
        <v>0</v>
      </c>
      <c r="E219" cm="1">
        <f t="array" ref="E219">SUMPRODUCT((Task_table_03_2_26!$C$2:$C$596=$E$1)*(A219&gt;Task_table_03_2_26!$J$2:$J$596)*(A219&lt;Task_table_03_2_26!$K$2:$K$596))</f>
        <v>6</v>
      </c>
    </row>
    <row r="220" spans="1:5">
      <c r="A220" s="5">
        <v>46088</v>
      </c>
      <c r="B220" cm="1">
        <f t="array" ref="B220">SUMPRODUCT((Task_table_03_2_26!$C$2:$C$596=$B$1)*(A220&gt;Task_table_03_2_26!$J$2:$J$596)*(A220&lt;Task_table_03_2_26!$K$2:$K$596))</f>
        <v>57</v>
      </c>
      <c r="C220" cm="1">
        <f t="array" ref="C220">SUMPRODUCT((Task_table_03_2_26!$C$2:$C$596=$C$1)*(A220&gt;Task_table_03_2_26!$J$2:$J$596)*(A220&lt;Task_table_03_2_26!$K$2:$K$596))</f>
        <v>4</v>
      </c>
      <c r="D220" cm="1">
        <f t="array" ref="D220">SUMPRODUCT((Task_table_03_2_26!$C$2:$C$596=$D$1)*(A220&gt;Task_table_03_2_26!$J$2:$J$596)*(A220&lt;Task_table_03_2_26!$K$2:$K$596))</f>
        <v>0</v>
      </c>
      <c r="E220" cm="1">
        <f t="array" ref="E220">SUMPRODUCT((Task_table_03_2_26!$C$2:$C$596=$E$1)*(A220&gt;Task_table_03_2_26!$J$2:$J$596)*(A220&lt;Task_table_03_2_26!$K$2:$K$596))</f>
        <v>6</v>
      </c>
    </row>
    <row r="221" spans="1:5">
      <c r="A221" s="5">
        <v>46089</v>
      </c>
      <c r="B221" cm="1">
        <f t="array" ref="B221">SUMPRODUCT((Task_table_03_2_26!$C$2:$C$596=$B$1)*(A221&gt;Task_table_03_2_26!$J$2:$J$596)*(A221&lt;Task_table_03_2_26!$K$2:$K$596))</f>
        <v>57</v>
      </c>
      <c r="C221" cm="1">
        <f t="array" ref="C221">SUMPRODUCT((Task_table_03_2_26!$C$2:$C$596=$C$1)*(A221&gt;Task_table_03_2_26!$J$2:$J$596)*(A221&lt;Task_table_03_2_26!$K$2:$K$596))</f>
        <v>4</v>
      </c>
      <c r="D221" cm="1">
        <f t="array" ref="D221">SUMPRODUCT((Task_table_03_2_26!$C$2:$C$596=$D$1)*(A221&gt;Task_table_03_2_26!$J$2:$J$596)*(A221&lt;Task_table_03_2_26!$K$2:$K$596))</f>
        <v>0</v>
      </c>
      <c r="E221" cm="1">
        <f t="array" ref="E221">SUMPRODUCT((Task_table_03_2_26!$C$2:$C$596=$E$1)*(A221&gt;Task_table_03_2_26!$J$2:$J$596)*(A221&lt;Task_table_03_2_26!$K$2:$K$596))</f>
        <v>6</v>
      </c>
    </row>
    <row r="222" spans="1:5">
      <c r="A222" s="5">
        <v>46090</v>
      </c>
      <c r="B222" cm="1">
        <f t="array" ref="B222">SUMPRODUCT((Task_table_03_2_26!$C$2:$C$596=$B$1)*(A222&gt;Task_table_03_2_26!$J$2:$J$596)*(A222&lt;Task_table_03_2_26!$K$2:$K$596))</f>
        <v>57</v>
      </c>
      <c r="C222" cm="1">
        <f t="array" ref="C222">SUMPRODUCT((Task_table_03_2_26!$C$2:$C$596=$C$1)*(A222&gt;Task_table_03_2_26!$J$2:$J$596)*(A222&lt;Task_table_03_2_26!$K$2:$K$596))</f>
        <v>4</v>
      </c>
      <c r="D222" cm="1">
        <f t="array" ref="D222">SUMPRODUCT((Task_table_03_2_26!$C$2:$C$596=$D$1)*(A222&gt;Task_table_03_2_26!$J$2:$J$596)*(A222&lt;Task_table_03_2_26!$K$2:$K$596))</f>
        <v>0</v>
      </c>
      <c r="E222" cm="1">
        <f t="array" ref="E222">SUMPRODUCT((Task_table_03_2_26!$C$2:$C$596=$E$1)*(A222&gt;Task_table_03_2_26!$J$2:$J$596)*(A222&lt;Task_table_03_2_26!$K$2:$K$596))</f>
        <v>6</v>
      </c>
    </row>
    <row r="223" spans="1:5">
      <c r="A223" s="5">
        <v>46091</v>
      </c>
      <c r="B223" cm="1">
        <f t="array" ref="B223">SUMPRODUCT((Task_table_03_2_26!$C$2:$C$596=$B$1)*(A223&gt;Task_table_03_2_26!$J$2:$J$596)*(A223&lt;Task_table_03_2_26!$K$2:$K$596))</f>
        <v>57</v>
      </c>
      <c r="C223" cm="1">
        <f t="array" ref="C223">SUMPRODUCT((Task_table_03_2_26!$C$2:$C$596=$C$1)*(A223&gt;Task_table_03_2_26!$J$2:$J$596)*(A223&lt;Task_table_03_2_26!$K$2:$K$596))</f>
        <v>4</v>
      </c>
      <c r="D223" cm="1">
        <f t="array" ref="D223">SUMPRODUCT((Task_table_03_2_26!$C$2:$C$596=$D$1)*(A223&gt;Task_table_03_2_26!$J$2:$J$596)*(A223&lt;Task_table_03_2_26!$K$2:$K$596))</f>
        <v>0</v>
      </c>
      <c r="E223" cm="1">
        <f t="array" ref="E223">SUMPRODUCT((Task_table_03_2_26!$C$2:$C$596=$E$1)*(A223&gt;Task_table_03_2_26!$J$2:$J$596)*(A223&lt;Task_table_03_2_26!$K$2:$K$596))</f>
        <v>6</v>
      </c>
    </row>
    <row r="224" spans="1:5">
      <c r="A224" s="5">
        <v>46092</v>
      </c>
      <c r="B224" cm="1">
        <f t="array" ref="B224">SUMPRODUCT((Task_table_03_2_26!$C$2:$C$596=$B$1)*(A224&gt;Task_table_03_2_26!$J$2:$J$596)*(A224&lt;Task_table_03_2_26!$K$2:$K$596))</f>
        <v>57</v>
      </c>
      <c r="C224" cm="1">
        <f t="array" ref="C224">SUMPRODUCT((Task_table_03_2_26!$C$2:$C$596=$C$1)*(A224&gt;Task_table_03_2_26!$J$2:$J$596)*(A224&lt;Task_table_03_2_26!$K$2:$K$596))</f>
        <v>4</v>
      </c>
      <c r="D224" cm="1">
        <f t="array" ref="D224">SUMPRODUCT((Task_table_03_2_26!$C$2:$C$596=$D$1)*(A224&gt;Task_table_03_2_26!$J$2:$J$596)*(A224&lt;Task_table_03_2_26!$K$2:$K$596))</f>
        <v>0</v>
      </c>
      <c r="E224" cm="1">
        <f t="array" ref="E224">SUMPRODUCT((Task_table_03_2_26!$C$2:$C$596=$E$1)*(A224&gt;Task_table_03_2_26!$J$2:$J$596)*(A224&lt;Task_table_03_2_26!$K$2:$K$596))</f>
        <v>6</v>
      </c>
    </row>
    <row r="225" spans="1:5">
      <c r="A225" s="5">
        <v>46093</v>
      </c>
      <c r="B225" cm="1">
        <f t="array" ref="B225">SUMPRODUCT((Task_table_03_2_26!$C$2:$C$596=$B$1)*(A225&gt;Task_table_03_2_26!$J$2:$J$596)*(A225&lt;Task_table_03_2_26!$K$2:$K$596))</f>
        <v>57</v>
      </c>
      <c r="C225" cm="1">
        <f t="array" ref="C225">SUMPRODUCT((Task_table_03_2_26!$C$2:$C$596=$C$1)*(A225&gt;Task_table_03_2_26!$J$2:$J$596)*(A225&lt;Task_table_03_2_26!$K$2:$K$596))</f>
        <v>4</v>
      </c>
      <c r="D225" cm="1">
        <f t="array" ref="D225">SUMPRODUCT((Task_table_03_2_26!$C$2:$C$596=$D$1)*(A225&gt;Task_table_03_2_26!$J$2:$J$596)*(A225&lt;Task_table_03_2_26!$K$2:$K$596))</f>
        <v>0</v>
      </c>
      <c r="E225" cm="1">
        <f t="array" ref="E225">SUMPRODUCT((Task_table_03_2_26!$C$2:$C$596=$E$1)*(A225&gt;Task_table_03_2_26!$J$2:$J$596)*(A225&lt;Task_table_03_2_26!$K$2:$K$596))</f>
        <v>6</v>
      </c>
    </row>
    <row r="226" spans="1:5">
      <c r="A226" s="5">
        <v>46094</v>
      </c>
      <c r="B226" cm="1">
        <f t="array" ref="B226">SUMPRODUCT((Task_table_03_2_26!$C$2:$C$596=$B$1)*(A226&gt;Task_table_03_2_26!$J$2:$J$596)*(A226&lt;Task_table_03_2_26!$K$2:$K$596))</f>
        <v>56</v>
      </c>
      <c r="C226" cm="1">
        <f t="array" ref="C226">SUMPRODUCT((Task_table_03_2_26!$C$2:$C$596=$C$1)*(A226&gt;Task_table_03_2_26!$J$2:$J$596)*(A226&lt;Task_table_03_2_26!$K$2:$K$596))</f>
        <v>4</v>
      </c>
      <c r="D226" cm="1">
        <f t="array" ref="D226">SUMPRODUCT((Task_table_03_2_26!$C$2:$C$596=$D$1)*(A226&gt;Task_table_03_2_26!$J$2:$J$596)*(A226&lt;Task_table_03_2_26!$K$2:$K$596))</f>
        <v>0</v>
      </c>
      <c r="E226" cm="1">
        <f t="array" ref="E226">SUMPRODUCT((Task_table_03_2_26!$C$2:$C$596=$E$1)*(A226&gt;Task_table_03_2_26!$J$2:$J$596)*(A226&lt;Task_table_03_2_26!$K$2:$K$596))</f>
        <v>6</v>
      </c>
    </row>
    <row r="227" spans="1:5">
      <c r="A227" s="5">
        <v>46095</v>
      </c>
      <c r="B227" cm="1">
        <f t="array" ref="B227">SUMPRODUCT((Task_table_03_2_26!$C$2:$C$596=$B$1)*(A227&gt;Task_table_03_2_26!$J$2:$J$596)*(A227&lt;Task_table_03_2_26!$K$2:$K$596))</f>
        <v>56</v>
      </c>
      <c r="C227" cm="1">
        <f t="array" ref="C227">SUMPRODUCT((Task_table_03_2_26!$C$2:$C$596=$C$1)*(A227&gt;Task_table_03_2_26!$J$2:$J$596)*(A227&lt;Task_table_03_2_26!$K$2:$K$596))</f>
        <v>4</v>
      </c>
      <c r="D227" cm="1">
        <f t="array" ref="D227">SUMPRODUCT((Task_table_03_2_26!$C$2:$C$596=$D$1)*(A227&gt;Task_table_03_2_26!$J$2:$J$596)*(A227&lt;Task_table_03_2_26!$K$2:$K$596))</f>
        <v>0</v>
      </c>
      <c r="E227" cm="1">
        <f t="array" ref="E227">SUMPRODUCT((Task_table_03_2_26!$C$2:$C$596=$E$1)*(A227&gt;Task_table_03_2_26!$J$2:$J$596)*(A227&lt;Task_table_03_2_26!$K$2:$K$596))</f>
        <v>6</v>
      </c>
    </row>
    <row r="228" spans="1:5">
      <c r="A228" s="5">
        <v>46096</v>
      </c>
      <c r="B228" cm="1">
        <f t="array" ref="B228">SUMPRODUCT((Task_table_03_2_26!$C$2:$C$596=$B$1)*(A228&gt;Task_table_03_2_26!$J$2:$J$596)*(A228&lt;Task_table_03_2_26!$K$2:$K$596))</f>
        <v>56</v>
      </c>
      <c r="C228" cm="1">
        <f t="array" ref="C228">SUMPRODUCT((Task_table_03_2_26!$C$2:$C$596=$C$1)*(A228&gt;Task_table_03_2_26!$J$2:$J$596)*(A228&lt;Task_table_03_2_26!$K$2:$K$596))</f>
        <v>4</v>
      </c>
      <c r="D228" cm="1">
        <f t="array" ref="D228">SUMPRODUCT((Task_table_03_2_26!$C$2:$C$596=$D$1)*(A228&gt;Task_table_03_2_26!$J$2:$J$596)*(A228&lt;Task_table_03_2_26!$K$2:$K$596))</f>
        <v>0</v>
      </c>
      <c r="E228" cm="1">
        <f t="array" ref="E228">SUMPRODUCT((Task_table_03_2_26!$C$2:$C$596=$E$1)*(A228&gt;Task_table_03_2_26!$J$2:$J$596)*(A228&lt;Task_table_03_2_26!$K$2:$K$596))</f>
        <v>6</v>
      </c>
    </row>
    <row r="229" spans="1:5">
      <c r="A229" s="5">
        <v>46097</v>
      </c>
      <c r="B229" cm="1">
        <f t="array" ref="B229">SUMPRODUCT((Task_table_03_2_26!$C$2:$C$596=$B$1)*(A229&gt;Task_table_03_2_26!$J$2:$J$596)*(A229&lt;Task_table_03_2_26!$K$2:$K$596))</f>
        <v>55</v>
      </c>
      <c r="C229" cm="1">
        <f t="array" ref="C229">SUMPRODUCT((Task_table_03_2_26!$C$2:$C$596=$C$1)*(A229&gt;Task_table_03_2_26!$J$2:$J$596)*(A229&lt;Task_table_03_2_26!$K$2:$K$596))</f>
        <v>4</v>
      </c>
      <c r="D229" cm="1">
        <f t="array" ref="D229">SUMPRODUCT((Task_table_03_2_26!$C$2:$C$596=$D$1)*(A229&gt;Task_table_03_2_26!$J$2:$J$596)*(A229&lt;Task_table_03_2_26!$K$2:$K$596))</f>
        <v>0</v>
      </c>
      <c r="E229" cm="1">
        <f t="array" ref="E229">SUMPRODUCT((Task_table_03_2_26!$C$2:$C$596=$E$1)*(A229&gt;Task_table_03_2_26!$J$2:$J$596)*(A229&lt;Task_table_03_2_26!$K$2:$K$596))</f>
        <v>6</v>
      </c>
    </row>
    <row r="230" spans="1:5">
      <c r="A230" s="5">
        <v>46098</v>
      </c>
      <c r="B230" cm="1">
        <f t="array" ref="B230">SUMPRODUCT((Task_table_03_2_26!$C$2:$C$596=$B$1)*(A230&gt;Task_table_03_2_26!$J$2:$J$596)*(A230&lt;Task_table_03_2_26!$K$2:$K$596))</f>
        <v>56</v>
      </c>
      <c r="C230" cm="1">
        <f t="array" ref="C230">SUMPRODUCT((Task_table_03_2_26!$C$2:$C$596=$C$1)*(A230&gt;Task_table_03_2_26!$J$2:$J$596)*(A230&lt;Task_table_03_2_26!$K$2:$K$596))</f>
        <v>4</v>
      </c>
      <c r="D230" cm="1">
        <f t="array" ref="D230">SUMPRODUCT((Task_table_03_2_26!$C$2:$C$596=$D$1)*(A230&gt;Task_table_03_2_26!$J$2:$J$596)*(A230&lt;Task_table_03_2_26!$K$2:$K$596))</f>
        <v>0</v>
      </c>
      <c r="E230" cm="1">
        <f t="array" ref="E230">SUMPRODUCT((Task_table_03_2_26!$C$2:$C$596=$E$1)*(A230&gt;Task_table_03_2_26!$J$2:$J$596)*(A230&lt;Task_table_03_2_26!$K$2:$K$596))</f>
        <v>6</v>
      </c>
    </row>
    <row r="231" spans="1:5">
      <c r="A231" s="5">
        <v>46099</v>
      </c>
      <c r="B231" cm="1">
        <f t="array" ref="B231">SUMPRODUCT((Task_table_03_2_26!$C$2:$C$596=$B$1)*(A231&gt;Task_table_03_2_26!$J$2:$J$596)*(A231&lt;Task_table_03_2_26!$K$2:$K$596))</f>
        <v>55</v>
      </c>
      <c r="C231" cm="1">
        <f t="array" ref="C231">SUMPRODUCT((Task_table_03_2_26!$C$2:$C$596=$C$1)*(A231&gt;Task_table_03_2_26!$J$2:$J$596)*(A231&lt;Task_table_03_2_26!$K$2:$K$596))</f>
        <v>4</v>
      </c>
      <c r="D231" cm="1">
        <f t="array" ref="D231">SUMPRODUCT((Task_table_03_2_26!$C$2:$C$596=$D$1)*(A231&gt;Task_table_03_2_26!$J$2:$J$596)*(A231&lt;Task_table_03_2_26!$K$2:$K$596))</f>
        <v>0</v>
      </c>
      <c r="E231" cm="1">
        <f t="array" ref="E231">SUMPRODUCT((Task_table_03_2_26!$C$2:$C$596=$E$1)*(A231&gt;Task_table_03_2_26!$J$2:$J$596)*(A231&lt;Task_table_03_2_26!$K$2:$K$596))</f>
        <v>6</v>
      </c>
    </row>
    <row r="232" spans="1:5">
      <c r="A232" s="5">
        <v>46100</v>
      </c>
      <c r="B232" cm="1">
        <f t="array" ref="B232">SUMPRODUCT((Task_table_03_2_26!$C$2:$C$596=$B$1)*(A232&gt;Task_table_03_2_26!$J$2:$J$596)*(A232&lt;Task_table_03_2_26!$K$2:$K$596))</f>
        <v>52</v>
      </c>
      <c r="C232" cm="1">
        <f t="array" ref="C232">SUMPRODUCT((Task_table_03_2_26!$C$2:$C$596=$C$1)*(A232&gt;Task_table_03_2_26!$J$2:$J$596)*(A232&lt;Task_table_03_2_26!$K$2:$K$596))</f>
        <v>4</v>
      </c>
      <c r="D232" cm="1">
        <f t="array" ref="D232">SUMPRODUCT((Task_table_03_2_26!$C$2:$C$596=$D$1)*(A232&gt;Task_table_03_2_26!$J$2:$J$596)*(A232&lt;Task_table_03_2_26!$K$2:$K$596))</f>
        <v>0</v>
      </c>
      <c r="E232" cm="1">
        <f t="array" ref="E232">SUMPRODUCT((Task_table_03_2_26!$C$2:$C$596=$E$1)*(A232&gt;Task_table_03_2_26!$J$2:$J$596)*(A232&lt;Task_table_03_2_26!$K$2:$K$596))</f>
        <v>6</v>
      </c>
    </row>
    <row r="233" spans="1:5">
      <c r="A233" s="5">
        <v>46101</v>
      </c>
      <c r="B233" cm="1">
        <f t="array" ref="B233">SUMPRODUCT((Task_table_03_2_26!$C$2:$C$596=$B$1)*(A233&gt;Task_table_03_2_26!$J$2:$J$596)*(A233&lt;Task_table_03_2_26!$K$2:$K$596))</f>
        <v>52</v>
      </c>
      <c r="C233" cm="1">
        <f t="array" ref="C233">SUMPRODUCT((Task_table_03_2_26!$C$2:$C$596=$C$1)*(A233&gt;Task_table_03_2_26!$J$2:$J$596)*(A233&lt;Task_table_03_2_26!$K$2:$K$596))</f>
        <v>4</v>
      </c>
      <c r="D233" cm="1">
        <f t="array" ref="D233">SUMPRODUCT((Task_table_03_2_26!$C$2:$C$596=$D$1)*(A233&gt;Task_table_03_2_26!$J$2:$J$596)*(A233&lt;Task_table_03_2_26!$K$2:$K$596))</f>
        <v>0</v>
      </c>
      <c r="E233" cm="1">
        <f t="array" ref="E233">SUMPRODUCT((Task_table_03_2_26!$C$2:$C$596=$E$1)*(A233&gt;Task_table_03_2_26!$J$2:$J$596)*(A233&lt;Task_table_03_2_26!$K$2:$K$596))</f>
        <v>6</v>
      </c>
    </row>
    <row r="234" spans="1:5">
      <c r="A234" s="5">
        <v>46102</v>
      </c>
      <c r="B234" cm="1">
        <f t="array" ref="B234">SUMPRODUCT((Task_table_03_2_26!$C$2:$C$596=$B$1)*(A234&gt;Task_table_03_2_26!$J$2:$J$596)*(A234&lt;Task_table_03_2_26!$K$2:$K$596))</f>
        <v>52</v>
      </c>
      <c r="C234" cm="1">
        <f t="array" ref="C234">SUMPRODUCT((Task_table_03_2_26!$C$2:$C$596=$C$1)*(A234&gt;Task_table_03_2_26!$J$2:$J$596)*(A234&lt;Task_table_03_2_26!$K$2:$K$596))</f>
        <v>4</v>
      </c>
      <c r="D234" cm="1">
        <f t="array" ref="D234">SUMPRODUCT((Task_table_03_2_26!$C$2:$C$596=$D$1)*(A234&gt;Task_table_03_2_26!$J$2:$J$596)*(A234&lt;Task_table_03_2_26!$K$2:$K$596))</f>
        <v>0</v>
      </c>
      <c r="E234" cm="1">
        <f t="array" ref="E234">SUMPRODUCT((Task_table_03_2_26!$C$2:$C$596=$E$1)*(A234&gt;Task_table_03_2_26!$J$2:$J$596)*(A234&lt;Task_table_03_2_26!$K$2:$K$596))</f>
        <v>6</v>
      </c>
    </row>
    <row r="235" spans="1:5">
      <c r="A235" s="5">
        <v>46103</v>
      </c>
      <c r="B235" cm="1">
        <f t="array" ref="B235">SUMPRODUCT((Task_table_03_2_26!$C$2:$C$596=$B$1)*(A235&gt;Task_table_03_2_26!$J$2:$J$596)*(A235&lt;Task_table_03_2_26!$K$2:$K$596))</f>
        <v>52</v>
      </c>
      <c r="C235" cm="1">
        <f t="array" ref="C235">SUMPRODUCT((Task_table_03_2_26!$C$2:$C$596=$C$1)*(A235&gt;Task_table_03_2_26!$J$2:$J$596)*(A235&lt;Task_table_03_2_26!$K$2:$K$596))</f>
        <v>4</v>
      </c>
      <c r="D235" cm="1">
        <f t="array" ref="D235">SUMPRODUCT((Task_table_03_2_26!$C$2:$C$596=$D$1)*(A235&gt;Task_table_03_2_26!$J$2:$J$596)*(A235&lt;Task_table_03_2_26!$K$2:$K$596))</f>
        <v>0</v>
      </c>
      <c r="E235" cm="1">
        <f t="array" ref="E235">SUMPRODUCT((Task_table_03_2_26!$C$2:$C$596=$E$1)*(A235&gt;Task_table_03_2_26!$J$2:$J$596)*(A235&lt;Task_table_03_2_26!$K$2:$K$596))</f>
        <v>6</v>
      </c>
    </row>
    <row r="236" spans="1:5">
      <c r="A236" s="5">
        <v>46104</v>
      </c>
      <c r="B236" cm="1">
        <f t="array" ref="B236">SUMPRODUCT((Task_table_03_2_26!$C$2:$C$596=$B$1)*(A236&gt;Task_table_03_2_26!$J$2:$J$596)*(A236&lt;Task_table_03_2_26!$K$2:$K$596))</f>
        <v>52</v>
      </c>
      <c r="C236" cm="1">
        <f t="array" ref="C236">SUMPRODUCT((Task_table_03_2_26!$C$2:$C$596=$C$1)*(A236&gt;Task_table_03_2_26!$J$2:$J$596)*(A236&lt;Task_table_03_2_26!$K$2:$K$596))</f>
        <v>4</v>
      </c>
      <c r="D236" cm="1">
        <f t="array" ref="D236">SUMPRODUCT((Task_table_03_2_26!$C$2:$C$596=$D$1)*(A236&gt;Task_table_03_2_26!$J$2:$J$596)*(A236&lt;Task_table_03_2_26!$K$2:$K$596))</f>
        <v>0</v>
      </c>
      <c r="E236" cm="1">
        <f t="array" ref="E236">SUMPRODUCT((Task_table_03_2_26!$C$2:$C$596=$E$1)*(A236&gt;Task_table_03_2_26!$J$2:$J$596)*(A236&lt;Task_table_03_2_26!$K$2:$K$596))</f>
        <v>6</v>
      </c>
    </row>
    <row r="237" spans="1:5">
      <c r="A237" s="5">
        <v>46105</v>
      </c>
      <c r="B237" cm="1">
        <f t="array" ref="B237">SUMPRODUCT((Task_table_03_2_26!$C$2:$C$596=$B$1)*(A237&gt;Task_table_03_2_26!$J$2:$J$596)*(A237&lt;Task_table_03_2_26!$K$2:$K$596))</f>
        <v>52</v>
      </c>
      <c r="C237" cm="1">
        <f t="array" ref="C237">SUMPRODUCT((Task_table_03_2_26!$C$2:$C$596=$C$1)*(A237&gt;Task_table_03_2_26!$J$2:$J$596)*(A237&lt;Task_table_03_2_26!$K$2:$K$596))</f>
        <v>4</v>
      </c>
      <c r="D237" cm="1">
        <f t="array" ref="D237">SUMPRODUCT((Task_table_03_2_26!$C$2:$C$596=$D$1)*(A237&gt;Task_table_03_2_26!$J$2:$J$596)*(A237&lt;Task_table_03_2_26!$K$2:$K$596))</f>
        <v>0</v>
      </c>
      <c r="E237" cm="1">
        <f t="array" ref="E237">SUMPRODUCT((Task_table_03_2_26!$C$2:$C$596=$E$1)*(A237&gt;Task_table_03_2_26!$J$2:$J$596)*(A237&lt;Task_table_03_2_26!$K$2:$K$596))</f>
        <v>6</v>
      </c>
    </row>
    <row r="238" spans="1:5">
      <c r="A238" s="5">
        <v>46106</v>
      </c>
      <c r="B238" cm="1">
        <f t="array" ref="B238">SUMPRODUCT((Task_table_03_2_26!$C$2:$C$596=$B$1)*(A238&gt;Task_table_03_2_26!$J$2:$J$596)*(A238&lt;Task_table_03_2_26!$K$2:$K$596))</f>
        <v>52</v>
      </c>
      <c r="C238" cm="1">
        <f t="array" ref="C238">SUMPRODUCT((Task_table_03_2_26!$C$2:$C$596=$C$1)*(A238&gt;Task_table_03_2_26!$J$2:$J$596)*(A238&lt;Task_table_03_2_26!$K$2:$K$596))</f>
        <v>4</v>
      </c>
      <c r="D238" cm="1">
        <f t="array" ref="D238">SUMPRODUCT((Task_table_03_2_26!$C$2:$C$596=$D$1)*(A238&gt;Task_table_03_2_26!$J$2:$J$596)*(A238&lt;Task_table_03_2_26!$K$2:$K$596))</f>
        <v>0</v>
      </c>
      <c r="E238" cm="1">
        <f t="array" ref="E238">SUMPRODUCT((Task_table_03_2_26!$C$2:$C$596=$E$1)*(A238&gt;Task_table_03_2_26!$J$2:$J$596)*(A238&lt;Task_table_03_2_26!$K$2:$K$596))</f>
        <v>6</v>
      </c>
    </row>
    <row r="239" spans="1:5">
      <c r="A239" s="5">
        <v>46107</v>
      </c>
      <c r="B239" cm="1">
        <f t="array" ref="B239">SUMPRODUCT((Task_table_03_2_26!$C$2:$C$596=$B$1)*(A239&gt;Task_table_03_2_26!$J$2:$J$596)*(A239&lt;Task_table_03_2_26!$K$2:$K$596))</f>
        <v>52</v>
      </c>
      <c r="C239" cm="1">
        <f t="array" ref="C239">SUMPRODUCT((Task_table_03_2_26!$C$2:$C$596=$C$1)*(A239&gt;Task_table_03_2_26!$J$2:$J$596)*(A239&lt;Task_table_03_2_26!$K$2:$K$596))</f>
        <v>4</v>
      </c>
      <c r="D239" cm="1">
        <f t="array" ref="D239">SUMPRODUCT((Task_table_03_2_26!$C$2:$C$596=$D$1)*(A239&gt;Task_table_03_2_26!$J$2:$J$596)*(A239&lt;Task_table_03_2_26!$K$2:$K$596))</f>
        <v>0</v>
      </c>
      <c r="E239" cm="1">
        <f t="array" ref="E239">SUMPRODUCT((Task_table_03_2_26!$C$2:$C$596=$E$1)*(A239&gt;Task_table_03_2_26!$J$2:$J$596)*(A239&lt;Task_table_03_2_26!$K$2:$K$596))</f>
        <v>6</v>
      </c>
    </row>
    <row r="240" spans="1:5">
      <c r="A240" s="5">
        <v>46108</v>
      </c>
      <c r="B240" cm="1">
        <f t="array" ref="B240">SUMPRODUCT((Task_table_03_2_26!$C$2:$C$596=$B$1)*(A240&gt;Task_table_03_2_26!$J$2:$J$596)*(A240&lt;Task_table_03_2_26!$K$2:$K$596))</f>
        <v>52</v>
      </c>
      <c r="C240" cm="1">
        <f t="array" ref="C240">SUMPRODUCT((Task_table_03_2_26!$C$2:$C$596=$C$1)*(A240&gt;Task_table_03_2_26!$J$2:$J$596)*(A240&lt;Task_table_03_2_26!$K$2:$K$596))</f>
        <v>4</v>
      </c>
      <c r="D240" cm="1">
        <f t="array" ref="D240">SUMPRODUCT((Task_table_03_2_26!$C$2:$C$596=$D$1)*(A240&gt;Task_table_03_2_26!$J$2:$J$596)*(A240&lt;Task_table_03_2_26!$K$2:$K$596))</f>
        <v>0</v>
      </c>
      <c r="E240" cm="1">
        <f t="array" ref="E240">SUMPRODUCT((Task_table_03_2_26!$C$2:$C$596=$E$1)*(A240&gt;Task_table_03_2_26!$J$2:$J$596)*(A240&lt;Task_table_03_2_26!$K$2:$K$596))</f>
        <v>6</v>
      </c>
    </row>
    <row r="241" spans="1:5">
      <c r="A241" s="5">
        <v>46109</v>
      </c>
      <c r="B241" cm="1">
        <f t="array" ref="B241">SUMPRODUCT((Task_table_03_2_26!$C$2:$C$596=$B$1)*(A241&gt;Task_table_03_2_26!$J$2:$J$596)*(A241&lt;Task_table_03_2_26!$K$2:$K$596))</f>
        <v>52</v>
      </c>
      <c r="C241" cm="1">
        <f t="array" ref="C241">SUMPRODUCT((Task_table_03_2_26!$C$2:$C$596=$C$1)*(A241&gt;Task_table_03_2_26!$J$2:$J$596)*(A241&lt;Task_table_03_2_26!$K$2:$K$596))</f>
        <v>4</v>
      </c>
      <c r="D241" cm="1">
        <f t="array" ref="D241">SUMPRODUCT((Task_table_03_2_26!$C$2:$C$596=$D$1)*(A241&gt;Task_table_03_2_26!$J$2:$J$596)*(A241&lt;Task_table_03_2_26!$K$2:$K$596))</f>
        <v>0</v>
      </c>
      <c r="E241" cm="1">
        <f t="array" ref="E241">SUMPRODUCT((Task_table_03_2_26!$C$2:$C$596=$E$1)*(A241&gt;Task_table_03_2_26!$J$2:$J$596)*(A241&lt;Task_table_03_2_26!$K$2:$K$596))</f>
        <v>6</v>
      </c>
    </row>
    <row r="242" spans="1:5">
      <c r="A242" s="5">
        <v>46110</v>
      </c>
      <c r="B242" cm="1">
        <f t="array" ref="B242">SUMPRODUCT((Task_table_03_2_26!$C$2:$C$596=$B$1)*(A242&gt;Task_table_03_2_26!$J$2:$J$596)*(A242&lt;Task_table_03_2_26!$K$2:$K$596))</f>
        <v>52</v>
      </c>
      <c r="C242" cm="1">
        <f t="array" ref="C242">SUMPRODUCT((Task_table_03_2_26!$C$2:$C$596=$C$1)*(A242&gt;Task_table_03_2_26!$J$2:$J$596)*(A242&lt;Task_table_03_2_26!$K$2:$K$596))</f>
        <v>4</v>
      </c>
      <c r="D242" cm="1">
        <f t="array" ref="D242">SUMPRODUCT((Task_table_03_2_26!$C$2:$C$596=$D$1)*(A242&gt;Task_table_03_2_26!$J$2:$J$596)*(A242&lt;Task_table_03_2_26!$K$2:$K$596))</f>
        <v>0</v>
      </c>
      <c r="E242" cm="1">
        <f t="array" ref="E242">SUMPRODUCT((Task_table_03_2_26!$C$2:$C$596=$E$1)*(A242&gt;Task_table_03_2_26!$J$2:$J$596)*(A242&lt;Task_table_03_2_26!$K$2:$K$596))</f>
        <v>6</v>
      </c>
    </row>
    <row r="243" spans="1:5">
      <c r="A243" s="5">
        <v>46111</v>
      </c>
      <c r="B243" cm="1">
        <f t="array" ref="B243">SUMPRODUCT((Task_table_03_2_26!$C$2:$C$596=$B$1)*(A243&gt;Task_table_03_2_26!$J$2:$J$596)*(A243&lt;Task_table_03_2_26!$K$2:$K$596))</f>
        <v>51</v>
      </c>
      <c r="C243" cm="1">
        <f t="array" ref="C243">SUMPRODUCT((Task_table_03_2_26!$C$2:$C$596=$C$1)*(A243&gt;Task_table_03_2_26!$J$2:$J$596)*(A243&lt;Task_table_03_2_26!$K$2:$K$596))</f>
        <v>4</v>
      </c>
      <c r="D243" cm="1">
        <f t="array" ref="D243">SUMPRODUCT((Task_table_03_2_26!$C$2:$C$596=$D$1)*(A243&gt;Task_table_03_2_26!$J$2:$J$596)*(A243&lt;Task_table_03_2_26!$K$2:$K$596))</f>
        <v>0</v>
      </c>
      <c r="E243" cm="1">
        <f t="array" ref="E243">SUMPRODUCT((Task_table_03_2_26!$C$2:$C$596=$E$1)*(A243&gt;Task_table_03_2_26!$J$2:$J$596)*(A243&lt;Task_table_03_2_26!$K$2:$K$596))</f>
        <v>6</v>
      </c>
    </row>
    <row r="244" spans="1:5">
      <c r="A244" s="5">
        <v>46112</v>
      </c>
      <c r="B244" cm="1">
        <f t="array" ref="B244">SUMPRODUCT((Task_table_03_2_26!$C$2:$C$596=$B$1)*(A244&gt;Task_table_03_2_26!$J$2:$J$596)*(A244&lt;Task_table_03_2_26!$K$2:$K$596))</f>
        <v>50</v>
      </c>
      <c r="C244" cm="1">
        <f t="array" ref="C244">SUMPRODUCT((Task_table_03_2_26!$C$2:$C$596=$C$1)*(A244&gt;Task_table_03_2_26!$J$2:$J$596)*(A244&lt;Task_table_03_2_26!$K$2:$K$596))</f>
        <v>4</v>
      </c>
      <c r="D244" cm="1">
        <f t="array" ref="D244">SUMPRODUCT((Task_table_03_2_26!$C$2:$C$596=$D$1)*(A244&gt;Task_table_03_2_26!$J$2:$J$596)*(A244&lt;Task_table_03_2_26!$K$2:$K$596))</f>
        <v>0</v>
      </c>
      <c r="E244" cm="1">
        <f t="array" ref="E244">SUMPRODUCT((Task_table_03_2_26!$C$2:$C$596=$E$1)*(A244&gt;Task_table_03_2_26!$J$2:$J$596)*(A244&lt;Task_table_03_2_26!$K$2:$K$596))</f>
        <v>2</v>
      </c>
    </row>
    <row r="245" spans="1:5">
      <c r="A245" s="5">
        <v>46113</v>
      </c>
      <c r="B245" cm="1">
        <f t="array" ref="B245">SUMPRODUCT((Task_table_03_2_26!$C$2:$C$596=$B$1)*(A245&gt;Task_table_03_2_26!$J$2:$J$596)*(A245&lt;Task_table_03_2_26!$K$2:$K$596))</f>
        <v>50</v>
      </c>
      <c r="C245" cm="1">
        <f t="array" ref="C245">SUMPRODUCT((Task_table_03_2_26!$C$2:$C$596=$C$1)*(A245&gt;Task_table_03_2_26!$J$2:$J$596)*(A245&lt;Task_table_03_2_26!$K$2:$K$596))</f>
        <v>4</v>
      </c>
      <c r="D245" cm="1">
        <f t="array" ref="D245">SUMPRODUCT((Task_table_03_2_26!$C$2:$C$596=$D$1)*(A245&gt;Task_table_03_2_26!$J$2:$J$596)*(A245&lt;Task_table_03_2_26!$K$2:$K$596))</f>
        <v>0</v>
      </c>
      <c r="E245" cm="1">
        <f t="array" ref="E245">SUMPRODUCT((Task_table_03_2_26!$C$2:$C$596=$E$1)*(A245&gt;Task_table_03_2_26!$J$2:$J$596)*(A245&lt;Task_table_03_2_26!$K$2:$K$596))</f>
        <v>2</v>
      </c>
    </row>
    <row r="246" spans="1:5">
      <c r="A246" s="5">
        <v>46114</v>
      </c>
      <c r="B246" cm="1">
        <f t="array" ref="B246">SUMPRODUCT((Task_table_03_2_26!$C$2:$C$596=$B$1)*(A246&gt;Task_table_03_2_26!$J$2:$J$596)*(A246&lt;Task_table_03_2_26!$K$2:$K$596))</f>
        <v>54</v>
      </c>
      <c r="C246" cm="1">
        <f t="array" ref="C246">SUMPRODUCT((Task_table_03_2_26!$C$2:$C$596=$C$1)*(A246&gt;Task_table_03_2_26!$J$2:$J$596)*(A246&lt;Task_table_03_2_26!$K$2:$K$596))</f>
        <v>10</v>
      </c>
      <c r="D246" cm="1">
        <f t="array" ref="D246">SUMPRODUCT((Task_table_03_2_26!$C$2:$C$596=$D$1)*(A246&gt;Task_table_03_2_26!$J$2:$J$596)*(A246&lt;Task_table_03_2_26!$K$2:$K$596))</f>
        <v>2</v>
      </c>
      <c r="E246" cm="1">
        <f t="array" ref="E246">SUMPRODUCT((Task_table_03_2_26!$C$2:$C$596=$E$1)*(A246&gt;Task_table_03_2_26!$J$2:$J$596)*(A246&lt;Task_table_03_2_26!$K$2:$K$596))</f>
        <v>5</v>
      </c>
    </row>
    <row r="247" spans="1:5">
      <c r="A247" s="5">
        <v>46115</v>
      </c>
      <c r="B247" cm="1">
        <f t="array" ref="B247">SUMPRODUCT((Task_table_03_2_26!$C$2:$C$596=$B$1)*(A247&gt;Task_table_03_2_26!$J$2:$J$596)*(A247&lt;Task_table_03_2_26!$K$2:$K$596))</f>
        <v>54</v>
      </c>
      <c r="C247" cm="1">
        <f t="array" ref="C247">SUMPRODUCT((Task_table_03_2_26!$C$2:$C$596=$C$1)*(A247&gt;Task_table_03_2_26!$J$2:$J$596)*(A247&lt;Task_table_03_2_26!$K$2:$K$596))</f>
        <v>10</v>
      </c>
      <c r="D247" cm="1">
        <f t="array" ref="D247">SUMPRODUCT((Task_table_03_2_26!$C$2:$C$596=$D$1)*(A247&gt;Task_table_03_2_26!$J$2:$J$596)*(A247&lt;Task_table_03_2_26!$K$2:$K$596))</f>
        <v>2</v>
      </c>
      <c r="E247" cm="1">
        <f t="array" ref="E247">SUMPRODUCT((Task_table_03_2_26!$C$2:$C$596=$E$1)*(A247&gt;Task_table_03_2_26!$J$2:$J$596)*(A247&lt;Task_table_03_2_26!$K$2:$K$596))</f>
        <v>5</v>
      </c>
    </row>
    <row r="248" spans="1:5">
      <c r="A248" s="5">
        <v>46116</v>
      </c>
      <c r="B248" cm="1">
        <f t="array" ref="B248">SUMPRODUCT((Task_table_03_2_26!$C$2:$C$596=$B$1)*(A248&gt;Task_table_03_2_26!$J$2:$J$596)*(A248&lt;Task_table_03_2_26!$K$2:$K$596))</f>
        <v>54</v>
      </c>
      <c r="C248" cm="1">
        <f t="array" ref="C248">SUMPRODUCT((Task_table_03_2_26!$C$2:$C$596=$C$1)*(A248&gt;Task_table_03_2_26!$J$2:$J$596)*(A248&lt;Task_table_03_2_26!$K$2:$K$596))</f>
        <v>10</v>
      </c>
      <c r="D248" cm="1">
        <f t="array" ref="D248">SUMPRODUCT((Task_table_03_2_26!$C$2:$C$596=$D$1)*(A248&gt;Task_table_03_2_26!$J$2:$J$596)*(A248&lt;Task_table_03_2_26!$K$2:$K$596))</f>
        <v>2</v>
      </c>
      <c r="E248" cm="1">
        <f t="array" ref="E248">SUMPRODUCT((Task_table_03_2_26!$C$2:$C$596=$E$1)*(A248&gt;Task_table_03_2_26!$J$2:$J$596)*(A248&lt;Task_table_03_2_26!$K$2:$K$596))</f>
        <v>5</v>
      </c>
    </row>
    <row r="249" spans="1:5">
      <c r="A249" s="5">
        <v>46117</v>
      </c>
      <c r="B249" cm="1">
        <f t="array" ref="B249">SUMPRODUCT((Task_table_03_2_26!$C$2:$C$596=$B$1)*(A249&gt;Task_table_03_2_26!$J$2:$J$596)*(A249&lt;Task_table_03_2_26!$K$2:$K$596))</f>
        <v>54</v>
      </c>
      <c r="C249" cm="1">
        <f t="array" ref="C249">SUMPRODUCT((Task_table_03_2_26!$C$2:$C$596=$C$1)*(A249&gt;Task_table_03_2_26!$J$2:$J$596)*(A249&lt;Task_table_03_2_26!$K$2:$K$596))</f>
        <v>10</v>
      </c>
      <c r="D249" cm="1">
        <f t="array" ref="D249">SUMPRODUCT((Task_table_03_2_26!$C$2:$C$596=$D$1)*(A249&gt;Task_table_03_2_26!$J$2:$J$596)*(A249&lt;Task_table_03_2_26!$K$2:$K$596))</f>
        <v>2</v>
      </c>
      <c r="E249" cm="1">
        <f t="array" ref="E249">SUMPRODUCT((Task_table_03_2_26!$C$2:$C$596=$E$1)*(A249&gt;Task_table_03_2_26!$J$2:$J$596)*(A249&lt;Task_table_03_2_26!$K$2:$K$596))</f>
        <v>5</v>
      </c>
    </row>
    <row r="250" spans="1:5">
      <c r="A250" s="5">
        <v>46118</v>
      </c>
      <c r="B250" cm="1">
        <f t="array" ref="B250">SUMPRODUCT((Task_table_03_2_26!$C$2:$C$596=$B$1)*(A250&gt;Task_table_03_2_26!$J$2:$J$596)*(A250&lt;Task_table_03_2_26!$K$2:$K$596))</f>
        <v>54</v>
      </c>
      <c r="C250" cm="1">
        <f t="array" ref="C250">SUMPRODUCT((Task_table_03_2_26!$C$2:$C$596=$C$1)*(A250&gt;Task_table_03_2_26!$J$2:$J$596)*(A250&lt;Task_table_03_2_26!$K$2:$K$596))</f>
        <v>10</v>
      </c>
      <c r="D250" cm="1">
        <f t="array" ref="D250">SUMPRODUCT((Task_table_03_2_26!$C$2:$C$596=$D$1)*(A250&gt;Task_table_03_2_26!$J$2:$J$596)*(A250&lt;Task_table_03_2_26!$K$2:$K$596))</f>
        <v>2</v>
      </c>
      <c r="E250" cm="1">
        <f t="array" ref="E250">SUMPRODUCT((Task_table_03_2_26!$C$2:$C$596=$E$1)*(A250&gt;Task_table_03_2_26!$J$2:$J$596)*(A250&lt;Task_table_03_2_26!$K$2:$K$596))</f>
        <v>5</v>
      </c>
    </row>
    <row r="251" spans="1:5">
      <c r="A251" s="5">
        <v>46119</v>
      </c>
      <c r="B251" cm="1">
        <f t="array" ref="B251">SUMPRODUCT((Task_table_03_2_26!$C$2:$C$596=$B$1)*(A251&gt;Task_table_03_2_26!$J$2:$J$596)*(A251&lt;Task_table_03_2_26!$K$2:$K$596))</f>
        <v>54</v>
      </c>
      <c r="C251" cm="1">
        <f t="array" ref="C251">SUMPRODUCT((Task_table_03_2_26!$C$2:$C$596=$C$1)*(A251&gt;Task_table_03_2_26!$J$2:$J$596)*(A251&lt;Task_table_03_2_26!$K$2:$K$596))</f>
        <v>10</v>
      </c>
      <c r="D251" cm="1">
        <f t="array" ref="D251">SUMPRODUCT((Task_table_03_2_26!$C$2:$C$596=$D$1)*(A251&gt;Task_table_03_2_26!$J$2:$J$596)*(A251&lt;Task_table_03_2_26!$K$2:$K$596))</f>
        <v>2</v>
      </c>
      <c r="E251" cm="1">
        <f t="array" ref="E251">SUMPRODUCT((Task_table_03_2_26!$C$2:$C$596=$E$1)*(A251&gt;Task_table_03_2_26!$J$2:$J$596)*(A251&lt;Task_table_03_2_26!$K$2:$K$596))</f>
        <v>5</v>
      </c>
    </row>
    <row r="252" spans="1:5">
      <c r="A252" s="5">
        <v>46120</v>
      </c>
      <c r="B252" cm="1">
        <f t="array" ref="B252">SUMPRODUCT((Task_table_03_2_26!$C$2:$C$596=$B$1)*(A252&gt;Task_table_03_2_26!$J$2:$J$596)*(A252&lt;Task_table_03_2_26!$K$2:$K$596))</f>
        <v>54</v>
      </c>
      <c r="C252" cm="1">
        <f t="array" ref="C252">SUMPRODUCT((Task_table_03_2_26!$C$2:$C$596=$C$1)*(A252&gt;Task_table_03_2_26!$J$2:$J$596)*(A252&lt;Task_table_03_2_26!$K$2:$K$596))</f>
        <v>10</v>
      </c>
      <c r="D252" cm="1">
        <f t="array" ref="D252">SUMPRODUCT((Task_table_03_2_26!$C$2:$C$596=$D$1)*(A252&gt;Task_table_03_2_26!$J$2:$J$596)*(A252&lt;Task_table_03_2_26!$K$2:$K$596))</f>
        <v>2</v>
      </c>
      <c r="E252" cm="1">
        <f t="array" ref="E252">SUMPRODUCT((Task_table_03_2_26!$C$2:$C$596=$E$1)*(A252&gt;Task_table_03_2_26!$J$2:$J$596)*(A252&lt;Task_table_03_2_26!$K$2:$K$596))</f>
        <v>5</v>
      </c>
    </row>
    <row r="253" spans="1:5">
      <c r="A253" s="5">
        <v>46121</v>
      </c>
      <c r="B253" cm="1">
        <f t="array" ref="B253">SUMPRODUCT((Task_table_03_2_26!$C$2:$C$596=$B$1)*(A253&gt;Task_table_03_2_26!$J$2:$J$596)*(A253&lt;Task_table_03_2_26!$K$2:$K$596))</f>
        <v>54</v>
      </c>
      <c r="C253" cm="1">
        <f t="array" ref="C253">SUMPRODUCT((Task_table_03_2_26!$C$2:$C$596=$C$1)*(A253&gt;Task_table_03_2_26!$J$2:$J$596)*(A253&lt;Task_table_03_2_26!$K$2:$K$596))</f>
        <v>10</v>
      </c>
      <c r="D253" cm="1">
        <f t="array" ref="D253">SUMPRODUCT((Task_table_03_2_26!$C$2:$C$596=$D$1)*(A253&gt;Task_table_03_2_26!$J$2:$J$596)*(A253&lt;Task_table_03_2_26!$K$2:$K$596))</f>
        <v>2</v>
      </c>
      <c r="E253" cm="1">
        <f t="array" ref="E253">SUMPRODUCT((Task_table_03_2_26!$C$2:$C$596=$E$1)*(A253&gt;Task_table_03_2_26!$J$2:$J$596)*(A253&lt;Task_table_03_2_26!$K$2:$K$596))</f>
        <v>5</v>
      </c>
    </row>
    <row r="254" spans="1:5">
      <c r="A254" s="5">
        <v>46122</v>
      </c>
      <c r="B254" cm="1">
        <f t="array" ref="B254">SUMPRODUCT((Task_table_03_2_26!$C$2:$C$596=$B$1)*(A254&gt;Task_table_03_2_26!$J$2:$J$596)*(A254&lt;Task_table_03_2_26!$K$2:$K$596))</f>
        <v>54</v>
      </c>
      <c r="C254" cm="1">
        <f t="array" ref="C254">SUMPRODUCT((Task_table_03_2_26!$C$2:$C$596=$C$1)*(A254&gt;Task_table_03_2_26!$J$2:$J$596)*(A254&lt;Task_table_03_2_26!$K$2:$K$596))</f>
        <v>10</v>
      </c>
      <c r="D254" cm="1">
        <f t="array" ref="D254">SUMPRODUCT((Task_table_03_2_26!$C$2:$C$596=$D$1)*(A254&gt;Task_table_03_2_26!$J$2:$J$596)*(A254&lt;Task_table_03_2_26!$K$2:$K$596))</f>
        <v>2</v>
      </c>
      <c r="E254" cm="1">
        <f t="array" ref="E254">SUMPRODUCT((Task_table_03_2_26!$C$2:$C$596=$E$1)*(A254&gt;Task_table_03_2_26!$J$2:$J$596)*(A254&lt;Task_table_03_2_26!$K$2:$K$596))</f>
        <v>5</v>
      </c>
    </row>
    <row r="255" spans="1:5">
      <c r="A255" s="5">
        <v>46123</v>
      </c>
      <c r="B255" cm="1">
        <f t="array" ref="B255">SUMPRODUCT((Task_table_03_2_26!$C$2:$C$596=$B$1)*(A255&gt;Task_table_03_2_26!$J$2:$J$596)*(A255&lt;Task_table_03_2_26!$K$2:$K$596))</f>
        <v>54</v>
      </c>
      <c r="C255" cm="1">
        <f t="array" ref="C255">SUMPRODUCT((Task_table_03_2_26!$C$2:$C$596=$C$1)*(A255&gt;Task_table_03_2_26!$J$2:$J$596)*(A255&lt;Task_table_03_2_26!$K$2:$K$596))</f>
        <v>10</v>
      </c>
      <c r="D255" cm="1">
        <f t="array" ref="D255">SUMPRODUCT((Task_table_03_2_26!$C$2:$C$596=$D$1)*(A255&gt;Task_table_03_2_26!$J$2:$J$596)*(A255&lt;Task_table_03_2_26!$K$2:$K$596))</f>
        <v>2</v>
      </c>
      <c r="E255" cm="1">
        <f t="array" ref="E255">SUMPRODUCT((Task_table_03_2_26!$C$2:$C$596=$E$1)*(A255&gt;Task_table_03_2_26!$J$2:$J$596)*(A255&lt;Task_table_03_2_26!$K$2:$K$596))</f>
        <v>5</v>
      </c>
    </row>
    <row r="256" spans="1:5">
      <c r="A256" s="5">
        <v>46124</v>
      </c>
      <c r="B256" cm="1">
        <f t="array" ref="B256">SUMPRODUCT((Task_table_03_2_26!$C$2:$C$596=$B$1)*(A256&gt;Task_table_03_2_26!$J$2:$J$596)*(A256&lt;Task_table_03_2_26!$K$2:$K$596))</f>
        <v>54</v>
      </c>
      <c r="C256" cm="1">
        <f t="array" ref="C256">SUMPRODUCT((Task_table_03_2_26!$C$2:$C$596=$C$1)*(A256&gt;Task_table_03_2_26!$J$2:$J$596)*(A256&lt;Task_table_03_2_26!$K$2:$K$596))</f>
        <v>10</v>
      </c>
      <c r="D256" cm="1">
        <f t="array" ref="D256">SUMPRODUCT((Task_table_03_2_26!$C$2:$C$596=$D$1)*(A256&gt;Task_table_03_2_26!$J$2:$J$596)*(A256&lt;Task_table_03_2_26!$K$2:$K$596))</f>
        <v>2</v>
      </c>
      <c r="E256" cm="1">
        <f t="array" ref="E256">SUMPRODUCT((Task_table_03_2_26!$C$2:$C$596=$E$1)*(A256&gt;Task_table_03_2_26!$J$2:$J$596)*(A256&lt;Task_table_03_2_26!$K$2:$K$596))</f>
        <v>5</v>
      </c>
    </row>
    <row r="257" spans="1:5">
      <c r="A257" s="5">
        <v>46125</v>
      </c>
      <c r="B257" cm="1">
        <f t="array" ref="B257">SUMPRODUCT((Task_table_03_2_26!$C$2:$C$596=$B$1)*(A257&gt;Task_table_03_2_26!$J$2:$J$596)*(A257&lt;Task_table_03_2_26!$K$2:$K$596))</f>
        <v>54</v>
      </c>
      <c r="C257" cm="1">
        <f t="array" ref="C257">SUMPRODUCT((Task_table_03_2_26!$C$2:$C$596=$C$1)*(A257&gt;Task_table_03_2_26!$J$2:$J$596)*(A257&lt;Task_table_03_2_26!$K$2:$K$596))</f>
        <v>10</v>
      </c>
      <c r="D257" cm="1">
        <f t="array" ref="D257">SUMPRODUCT((Task_table_03_2_26!$C$2:$C$596=$D$1)*(A257&gt;Task_table_03_2_26!$J$2:$J$596)*(A257&lt;Task_table_03_2_26!$K$2:$K$596))</f>
        <v>2</v>
      </c>
      <c r="E257" cm="1">
        <f t="array" ref="E257">SUMPRODUCT((Task_table_03_2_26!$C$2:$C$596=$E$1)*(A257&gt;Task_table_03_2_26!$J$2:$J$596)*(A257&lt;Task_table_03_2_26!$K$2:$K$596))</f>
        <v>5</v>
      </c>
    </row>
    <row r="258" spans="1:5">
      <c r="A258" s="5">
        <v>46126</v>
      </c>
      <c r="B258" cm="1">
        <f t="array" ref="B258">SUMPRODUCT((Task_table_03_2_26!$C$2:$C$596=$B$1)*(A258&gt;Task_table_03_2_26!$J$2:$J$596)*(A258&lt;Task_table_03_2_26!$K$2:$K$596))</f>
        <v>54</v>
      </c>
      <c r="C258" cm="1">
        <f t="array" ref="C258">SUMPRODUCT((Task_table_03_2_26!$C$2:$C$596=$C$1)*(A258&gt;Task_table_03_2_26!$J$2:$J$596)*(A258&lt;Task_table_03_2_26!$K$2:$K$596))</f>
        <v>10</v>
      </c>
      <c r="D258" cm="1">
        <f t="array" ref="D258">SUMPRODUCT((Task_table_03_2_26!$C$2:$C$596=$D$1)*(A258&gt;Task_table_03_2_26!$J$2:$J$596)*(A258&lt;Task_table_03_2_26!$K$2:$K$596))</f>
        <v>2</v>
      </c>
      <c r="E258" cm="1">
        <f t="array" ref="E258">SUMPRODUCT((Task_table_03_2_26!$C$2:$C$596=$E$1)*(A258&gt;Task_table_03_2_26!$J$2:$J$596)*(A258&lt;Task_table_03_2_26!$K$2:$K$596))</f>
        <v>5</v>
      </c>
    </row>
    <row r="259" spans="1:5">
      <c r="A259" s="5">
        <v>46127</v>
      </c>
      <c r="B259" cm="1">
        <f t="array" ref="B259">SUMPRODUCT((Task_table_03_2_26!$C$2:$C$596=$B$1)*(A259&gt;Task_table_03_2_26!$J$2:$J$596)*(A259&lt;Task_table_03_2_26!$K$2:$K$596))</f>
        <v>54</v>
      </c>
      <c r="C259" cm="1">
        <f t="array" ref="C259">SUMPRODUCT((Task_table_03_2_26!$C$2:$C$596=$C$1)*(A259&gt;Task_table_03_2_26!$J$2:$J$596)*(A259&lt;Task_table_03_2_26!$K$2:$K$596))</f>
        <v>10</v>
      </c>
      <c r="D259" cm="1">
        <f t="array" ref="D259">SUMPRODUCT((Task_table_03_2_26!$C$2:$C$596=$D$1)*(A259&gt;Task_table_03_2_26!$J$2:$J$596)*(A259&lt;Task_table_03_2_26!$K$2:$K$596))</f>
        <v>2</v>
      </c>
      <c r="E259" cm="1">
        <f t="array" ref="E259">SUMPRODUCT((Task_table_03_2_26!$C$2:$C$596=$E$1)*(A259&gt;Task_table_03_2_26!$J$2:$J$596)*(A259&lt;Task_table_03_2_26!$K$2:$K$596))</f>
        <v>5</v>
      </c>
    </row>
    <row r="260" spans="1:5">
      <c r="A260" s="5">
        <v>46128</v>
      </c>
      <c r="B260" cm="1">
        <f t="array" ref="B260">SUMPRODUCT((Task_table_03_2_26!$C$2:$C$596=$B$1)*(A260&gt;Task_table_03_2_26!$J$2:$J$596)*(A260&lt;Task_table_03_2_26!$K$2:$K$596))</f>
        <v>57</v>
      </c>
      <c r="C260" cm="1">
        <f t="array" ref="C260">SUMPRODUCT((Task_table_03_2_26!$C$2:$C$596=$C$1)*(A260&gt;Task_table_03_2_26!$J$2:$J$596)*(A260&lt;Task_table_03_2_26!$K$2:$K$596))</f>
        <v>14</v>
      </c>
      <c r="D260" cm="1">
        <f t="array" ref="D260">SUMPRODUCT((Task_table_03_2_26!$C$2:$C$596=$D$1)*(A260&gt;Task_table_03_2_26!$J$2:$J$596)*(A260&lt;Task_table_03_2_26!$K$2:$K$596))</f>
        <v>2</v>
      </c>
      <c r="E260" cm="1">
        <f t="array" ref="E260">SUMPRODUCT((Task_table_03_2_26!$C$2:$C$596=$E$1)*(A260&gt;Task_table_03_2_26!$J$2:$J$596)*(A260&lt;Task_table_03_2_26!$K$2:$K$596))</f>
        <v>5</v>
      </c>
    </row>
    <row r="261" spans="1:5">
      <c r="A261" s="5">
        <v>46129</v>
      </c>
      <c r="B261" cm="1">
        <f t="array" ref="B261">SUMPRODUCT((Task_table_03_2_26!$C$2:$C$596=$B$1)*(A261&gt;Task_table_03_2_26!$J$2:$J$596)*(A261&lt;Task_table_03_2_26!$K$2:$K$596))</f>
        <v>57</v>
      </c>
      <c r="C261" cm="1">
        <f t="array" ref="C261">SUMPRODUCT((Task_table_03_2_26!$C$2:$C$596=$C$1)*(A261&gt;Task_table_03_2_26!$J$2:$J$596)*(A261&lt;Task_table_03_2_26!$K$2:$K$596))</f>
        <v>14</v>
      </c>
      <c r="D261" cm="1">
        <f t="array" ref="D261">SUMPRODUCT((Task_table_03_2_26!$C$2:$C$596=$D$1)*(A261&gt;Task_table_03_2_26!$J$2:$J$596)*(A261&lt;Task_table_03_2_26!$K$2:$K$596))</f>
        <v>2</v>
      </c>
      <c r="E261" cm="1">
        <f t="array" ref="E261">SUMPRODUCT((Task_table_03_2_26!$C$2:$C$596=$E$1)*(A261&gt;Task_table_03_2_26!$J$2:$J$596)*(A261&lt;Task_table_03_2_26!$K$2:$K$596))</f>
        <v>5</v>
      </c>
    </row>
    <row r="262" spans="1:5">
      <c r="A262" s="5">
        <v>46130</v>
      </c>
      <c r="B262" cm="1">
        <f t="array" ref="B262">SUMPRODUCT((Task_table_03_2_26!$C$2:$C$596=$B$1)*(A262&gt;Task_table_03_2_26!$J$2:$J$596)*(A262&lt;Task_table_03_2_26!$K$2:$K$596))</f>
        <v>57</v>
      </c>
      <c r="C262" cm="1">
        <f t="array" ref="C262">SUMPRODUCT((Task_table_03_2_26!$C$2:$C$596=$C$1)*(A262&gt;Task_table_03_2_26!$J$2:$J$596)*(A262&lt;Task_table_03_2_26!$K$2:$K$596))</f>
        <v>14</v>
      </c>
      <c r="D262" cm="1">
        <f t="array" ref="D262">SUMPRODUCT((Task_table_03_2_26!$C$2:$C$596=$D$1)*(A262&gt;Task_table_03_2_26!$J$2:$J$596)*(A262&lt;Task_table_03_2_26!$K$2:$K$596))</f>
        <v>2</v>
      </c>
      <c r="E262" cm="1">
        <f t="array" ref="E262">SUMPRODUCT((Task_table_03_2_26!$C$2:$C$596=$E$1)*(A262&gt;Task_table_03_2_26!$J$2:$J$596)*(A262&lt;Task_table_03_2_26!$K$2:$K$596))</f>
        <v>5</v>
      </c>
    </row>
    <row r="263" spans="1:5">
      <c r="A263" s="5">
        <v>46131</v>
      </c>
      <c r="B263" cm="1">
        <f t="array" ref="B263">SUMPRODUCT((Task_table_03_2_26!$C$2:$C$596=$B$1)*(A263&gt;Task_table_03_2_26!$J$2:$J$596)*(A263&lt;Task_table_03_2_26!$K$2:$K$596))</f>
        <v>57</v>
      </c>
      <c r="C263" cm="1">
        <f t="array" ref="C263">SUMPRODUCT((Task_table_03_2_26!$C$2:$C$596=$C$1)*(A263&gt;Task_table_03_2_26!$J$2:$J$596)*(A263&lt;Task_table_03_2_26!$K$2:$K$596))</f>
        <v>14</v>
      </c>
      <c r="D263" cm="1">
        <f t="array" ref="D263">SUMPRODUCT((Task_table_03_2_26!$C$2:$C$596=$D$1)*(A263&gt;Task_table_03_2_26!$J$2:$J$596)*(A263&lt;Task_table_03_2_26!$K$2:$K$596))</f>
        <v>2</v>
      </c>
      <c r="E263" cm="1">
        <f t="array" ref="E263">SUMPRODUCT((Task_table_03_2_26!$C$2:$C$596=$E$1)*(A263&gt;Task_table_03_2_26!$J$2:$J$596)*(A263&lt;Task_table_03_2_26!$K$2:$K$596))</f>
        <v>5</v>
      </c>
    </row>
    <row r="264" spans="1:5">
      <c r="A264" s="5">
        <v>46132</v>
      </c>
      <c r="B264" cm="1">
        <f t="array" ref="B264">SUMPRODUCT((Task_table_03_2_26!$C$2:$C$596=$B$1)*(A264&gt;Task_table_03_2_26!$J$2:$J$596)*(A264&lt;Task_table_03_2_26!$K$2:$K$596))</f>
        <v>57</v>
      </c>
      <c r="C264" cm="1">
        <f t="array" ref="C264">SUMPRODUCT((Task_table_03_2_26!$C$2:$C$596=$C$1)*(A264&gt;Task_table_03_2_26!$J$2:$J$596)*(A264&lt;Task_table_03_2_26!$K$2:$K$596))</f>
        <v>14</v>
      </c>
      <c r="D264" cm="1">
        <f t="array" ref="D264">SUMPRODUCT((Task_table_03_2_26!$C$2:$C$596=$D$1)*(A264&gt;Task_table_03_2_26!$J$2:$J$596)*(A264&lt;Task_table_03_2_26!$K$2:$K$596))</f>
        <v>2</v>
      </c>
      <c r="E264" cm="1">
        <f t="array" ref="E264">SUMPRODUCT((Task_table_03_2_26!$C$2:$C$596=$E$1)*(A264&gt;Task_table_03_2_26!$J$2:$J$596)*(A264&lt;Task_table_03_2_26!$K$2:$K$596))</f>
        <v>5</v>
      </c>
    </row>
    <row r="265" spans="1:5">
      <c r="A265" s="5">
        <v>46133</v>
      </c>
      <c r="B265" cm="1">
        <f t="array" ref="B265">SUMPRODUCT((Task_table_03_2_26!$C$2:$C$596=$B$1)*(A265&gt;Task_table_03_2_26!$J$2:$J$596)*(A265&lt;Task_table_03_2_26!$K$2:$K$596))</f>
        <v>57</v>
      </c>
      <c r="C265" cm="1">
        <f t="array" ref="C265">SUMPRODUCT((Task_table_03_2_26!$C$2:$C$596=$C$1)*(A265&gt;Task_table_03_2_26!$J$2:$J$596)*(A265&lt;Task_table_03_2_26!$K$2:$K$596))</f>
        <v>14</v>
      </c>
      <c r="D265" cm="1">
        <f t="array" ref="D265">SUMPRODUCT((Task_table_03_2_26!$C$2:$C$596=$D$1)*(A265&gt;Task_table_03_2_26!$J$2:$J$596)*(A265&lt;Task_table_03_2_26!$K$2:$K$596))</f>
        <v>2</v>
      </c>
      <c r="E265" cm="1">
        <f t="array" ref="E265">SUMPRODUCT((Task_table_03_2_26!$C$2:$C$596=$E$1)*(A265&gt;Task_table_03_2_26!$J$2:$J$596)*(A265&lt;Task_table_03_2_26!$K$2:$K$596))</f>
        <v>5</v>
      </c>
    </row>
    <row r="266" spans="1:5">
      <c r="A266" s="5">
        <v>46134</v>
      </c>
      <c r="B266" cm="1">
        <f t="array" ref="B266">SUMPRODUCT((Task_table_03_2_26!$C$2:$C$596=$B$1)*(A266&gt;Task_table_03_2_26!$J$2:$J$596)*(A266&lt;Task_table_03_2_26!$K$2:$K$596))</f>
        <v>57</v>
      </c>
      <c r="C266" cm="1">
        <f t="array" ref="C266">SUMPRODUCT((Task_table_03_2_26!$C$2:$C$596=$C$1)*(A266&gt;Task_table_03_2_26!$J$2:$J$596)*(A266&lt;Task_table_03_2_26!$K$2:$K$596))</f>
        <v>14</v>
      </c>
      <c r="D266" cm="1">
        <f t="array" ref="D266">SUMPRODUCT((Task_table_03_2_26!$C$2:$C$596=$D$1)*(A266&gt;Task_table_03_2_26!$J$2:$J$596)*(A266&lt;Task_table_03_2_26!$K$2:$K$596))</f>
        <v>2</v>
      </c>
      <c r="E266" cm="1">
        <f t="array" ref="E266">SUMPRODUCT((Task_table_03_2_26!$C$2:$C$596=$E$1)*(A266&gt;Task_table_03_2_26!$J$2:$J$596)*(A266&lt;Task_table_03_2_26!$K$2:$K$596))</f>
        <v>5</v>
      </c>
    </row>
    <row r="267" spans="1:5">
      <c r="A267" s="5">
        <v>46135</v>
      </c>
      <c r="B267" cm="1">
        <f t="array" ref="B267">SUMPRODUCT((Task_table_03_2_26!$C$2:$C$596=$B$1)*(A267&gt;Task_table_03_2_26!$J$2:$J$596)*(A267&lt;Task_table_03_2_26!$K$2:$K$596))</f>
        <v>57</v>
      </c>
      <c r="C267" cm="1">
        <f t="array" ref="C267">SUMPRODUCT((Task_table_03_2_26!$C$2:$C$596=$C$1)*(A267&gt;Task_table_03_2_26!$J$2:$J$596)*(A267&lt;Task_table_03_2_26!$K$2:$K$596))</f>
        <v>15</v>
      </c>
      <c r="D267" cm="1">
        <f t="array" ref="D267">SUMPRODUCT((Task_table_03_2_26!$C$2:$C$596=$D$1)*(A267&gt;Task_table_03_2_26!$J$2:$J$596)*(A267&lt;Task_table_03_2_26!$K$2:$K$596))</f>
        <v>2</v>
      </c>
      <c r="E267" cm="1">
        <f t="array" ref="E267">SUMPRODUCT((Task_table_03_2_26!$C$2:$C$596=$E$1)*(A267&gt;Task_table_03_2_26!$J$2:$J$596)*(A267&lt;Task_table_03_2_26!$K$2:$K$596))</f>
        <v>5</v>
      </c>
    </row>
    <row r="268" spans="1:5">
      <c r="A268" s="5">
        <v>46136</v>
      </c>
      <c r="B268" cm="1">
        <f t="array" ref="B268">SUMPRODUCT((Task_table_03_2_26!$C$2:$C$596=$B$1)*(A268&gt;Task_table_03_2_26!$J$2:$J$596)*(A268&lt;Task_table_03_2_26!$K$2:$K$596))</f>
        <v>57</v>
      </c>
      <c r="C268" cm="1">
        <f t="array" ref="C268">SUMPRODUCT((Task_table_03_2_26!$C$2:$C$596=$C$1)*(A268&gt;Task_table_03_2_26!$J$2:$J$596)*(A268&lt;Task_table_03_2_26!$K$2:$K$596))</f>
        <v>15</v>
      </c>
      <c r="D268" cm="1">
        <f t="array" ref="D268">SUMPRODUCT((Task_table_03_2_26!$C$2:$C$596=$D$1)*(A268&gt;Task_table_03_2_26!$J$2:$J$596)*(A268&lt;Task_table_03_2_26!$K$2:$K$596))</f>
        <v>2</v>
      </c>
      <c r="E268" cm="1">
        <f t="array" ref="E268">SUMPRODUCT((Task_table_03_2_26!$C$2:$C$596=$E$1)*(A268&gt;Task_table_03_2_26!$J$2:$J$596)*(A268&lt;Task_table_03_2_26!$K$2:$K$596))</f>
        <v>5</v>
      </c>
    </row>
    <row r="269" spans="1:5">
      <c r="A269" s="5">
        <v>46137</v>
      </c>
      <c r="B269" cm="1">
        <f t="array" ref="B269">SUMPRODUCT((Task_table_03_2_26!$C$2:$C$596=$B$1)*(A269&gt;Task_table_03_2_26!$J$2:$J$596)*(A269&lt;Task_table_03_2_26!$K$2:$K$596))</f>
        <v>57</v>
      </c>
      <c r="C269" cm="1">
        <f t="array" ref="C269">SUMPRODUCT((Task_table_03_2_26!$C$2:$C$596=$C$1)*(A269&gt;Task_table_03_2_26!$J$2:$J$596)*(A269&lt;Task_table_03_2_26!$K$2:$K$596))</f>
        <v>15</v>
      </c>
      <c r="D269" cm="1">
        <f t="array" ref="D269">SUMPRODUCT((Task_table_03_2_26!$C$2:$C$596=$D$1)*(A269&gt;Task_table_03_2_26!$J$2:$J$596)*(A269&lt;Task_table_03_2_26!$K$2:$K$596))</f>
        <v>2</v>
      </c>
      <c r="E269" cm="1">
        <f t="array" ref="E269">SUMPRODUCT((Task_table_03_2_26!$C$2:$C$596=$E$1)*(A269&gt;Task_table_03_2_26!$J$2:$J$596)*(A269&lt;Task_table_03_2_26!$K$2:$K$596))</f>
        <v>5</v>
      </c>
    </row>
    <row r="270" spans="1:5">
      <c r="A270" s="5">
        <v>46138</v>
      </c>
      <c r="B270" cm="1">
        <f t="array" ref="B270">SUMPRODUCT((Task_table_03_2_26!$C$2:$C$596=$B$1)*(A270&gt;Task_table_03_2_26!$J$2:$J$596)*(A270&lt;Task_table_03_2_26!$K$2:$K$596))</f>
        <v>57</v>
      </c>
      <c r="C270" cm="1">
        <f t="array" ref="C270">SUMPRODUCT((Task_table_03_2_26!$C$2:$C$596=$C$1)*(A270&gt;Task_table_03_2_26!$J$2:$J$596)*(A270&lt;Task_table_03_2_26!$K$2:$K$596))</f>
        <v>15</v>
      </c>
      <c r="D270" cm="1">
        <f t="array" ref="D270">SUMPRODUCT((Task_table_03_2_26!$C$2:$C$596=$D$1)*(A270&gt;Task_table_03_2_26!$J$2:$J$596)*(A270&lt;Task_table_03_2_26!$K$2:$K$596))</f>
        <v>2</v>
      </c>
      <c r="E270" cm="1">
        <f t="array" ref="E270">SUMPRODUCT((Task_table_03_2_26!$C$2:$C$596=$E$1)*(A270&gt;Task_table_03_2_26!$J$2:$J$596)*(A270&lt;Task_table_03_2_26!$K$2:$K$596))</f>
        <v>5</v>
      </c>
    </row>
    <row r="271" spans="1:5">
      <c r="A271" s="5">
        <v>46139</v>
      </c>
      <c r="B271" cm="1">
        <f t="array" ref="B271">SUMPRODUCT((Task_table_03_2_26!$C$2:$C$596=$B$1)*(A271&gt;Task_table_03_2_26!$J$2:$J$596)*(A271&lt;Task_table_03_2_26!$K$2:$K$596))</f>
        <v>57</v>
      </c>
      <c r="C271" cm="1">
        <f t="array" ref="C271">SUMPRODUCT((Task_table_03_2_26!$C$2:$C$596=$C$1)*(A271&gt;Task_table_03_2_26!$J$2:$J$596)*(A271&lt;Task_table_03_2_26!$K$2:$K$596))</f>
        <v>15</v>
      </c>
      <c r="D271" cm="1">
        <f t="array" ref="D271">SUMPRODUCT((Task_table_03_2_26!$C$2:$C$596=$D$1)*(A271&gt;Task_table_03_2_26!$J$2:$J$596)*(A271&lt;Task_table_03_2_26!$K$2:$K$596))</f>
        <v>2</v>
      </c>
      <c r="E271" cm="1">
        <f t="array" ref="E271">SUMPRODUCT((Task_table_03_2_26!$C$2:$C$596=$E$1)*(A271&gt;Task_table_03_2_26!$J$2:$J$596)*(A271&lt;Task_table_03_2_26!$K$2:$K$596))</f>
        <v>5</v>
      </c>
    </row>
    <row r="272" spans="1:5">
      <c r="A272" s="5">
        <v>46140</v>
      </c>
      <c r="B272" cm="1">
        <f t="array" ref="B272">SUMPRODUCT((Task_table_03_2_26!$C$2:$C$596=$B$1)*(A272&gt;Task_table_03_2_26!$J$2:$J$596)*(A272&lt;Task_table_03_2_26!$K$2:$K$596))</f>
        <v>57</v>
      </c>
      <c r="C272" cm="1">
        <f t="array" ref="C272">SUMPRODUCT((Task_table_03_2_26!$C$2:$C$596=$C$1)*(A272&gt;Task_table_03_2_26!$J$2:$J$596)*(A272&lt;Task_table_03_2_26!$K$2:$K$596))</f>
        <v>15</v>
      </c>
      <c r="D272" cm="1">
        <f t="array" ref="D272">SUMPRODUCT((Task_table_03_2_26!$C$2:$C$596=$D$1)*(A272&gt;Task_table_03_2_26!$J$2:$J$596)*(A272&lt;Task_table_03_2_26!$K$2:$K$596))</f>
        <v>2</v>
      </c>
      <c r="E272" cm="1">
        <f t="array" ref="E272">SUMPRODUCT((Task_table_03_2_26!$C$2:$C$596=$E$1)*(A272&gt;Task_table_03_2_26!$J$2:$J$596)*(A272&lt;Task_table_03_2_26!$K$2:$K$596))</f>
        <v>5</v>
      </c>
    </row>
    <row r="273" spans="1:5">
      <c r="A273" s="5">
        <v>46141</v>
      </c>
      <c r="B273" cm="1">
        <f t="array" ref="B273">SUMPRODUCT((Task_table_03_2_26!$C$2:$C$596=$B$1)*(A273&gt;Task_table_03_2_26!$J$2:$J$596)*(A273&lt;Task_table_03_2_26!$K$2:$K$596))</f>
        <v>57</v>
      </c>
      <c r="C273" cm="1">
        <f t="array" ref="C273">SUMPRODUCT((Task_table_03_2_26!$C$2:$C$596=$C$1)*(A273&gt;Task_table_03_2_26!$J$2:$J$596)*(A273&lt;Task_table_03_2_26!$K$2:$K$596))</f>
        <v>15</v>
      </c>
      <c r="D273" cm="1">
        <f t="array" ref="D273">SUMPRODUCT((Task_table_03_2_26!$C$2:$C$596=$D$1)*(A273&gt;Task_table_03_2_26!$J$2:$J$596)*(A273&lt;Task_table_03_2_26!$K$2:$K$596))</f>
        <v>2</v>
      </c>
      <c r="E273" cm="1">
        <f t="array" ref="E273">SUMPRODUCT((Task_table_03_2_26!$C$2:$C$596=$E$1)*(A273&gt;Task_table_03_2_26!$J$2:$J$596)*(A273&lt;Task_table_03_2_26!$K$2:$K$596))</f>
        <v>5</v>
      </c>
    </row>
    <row r="274" spans="1:5">
      <c r="A274" s="5">
        <v>46142</v>
      </c>
      <c r="B274" cm="1">
        <f t="array" ref="B274">SUMPRODUCT((Task_table_03_2_26!$C$2:$C$596=$B$1)*(A274&gt;Task_table_03_2_26!$J$2:$J$596)*(A274&lt;Task_table_03_2_26!$K$2:$K$596))</f>
        <v>53</v>
      </c>
      <c r="C274" cm="1">
        <f t="array" ref="C274">SUMPRODUCT((Task_table_03_2_26!$C$2:$C$596=$C$1)*(A274&gt;Task_table_03_2_26!$J$2:$J$596)*(A274&lt;Task_table_03_2_26!$K$2:$K$596))</f>
        <v>15</v>
      </c>
      <c r="D274" cm="1">
        <f t="array" ref="D274">SUMPRODUCT((Task_table_03_2_26!$C$2:$C$596=$D$1)*(A274&gt;Task_table_03_2_26!$J$2:$J$596)*(A274&lt;Task_table_03_2_26!$K$2:$K$596))</f>
        <v>2</v>
      </c>
      <c r="E274" cm="1">
        <f t="array" ref="E274">SUMPRODUCT((Task_table_03_2_26!$C$2:$C$596=$E$1)*(A274&gt;Task_table_03_2_26!$J$2:$J$596)*(A274&lt;Task_table_03_2_26!$K$2:$K$596))</f>
        <v>4</v>
      </c>
    </row>
    <row r="275" spans="1:5">
      <c r="A275" s="5">
        <v>46143</v>
      </c>
      <c r="B275" cm="1">
        <f t="array" ref="B275">SUMPRODUCT((Task_table_03_2_26!$C$2:$C$596=$B$1)*(A275&gt;Task_table_03_2_26!$J$2:$J$596)*(A275&lt;Task_table_03_2_26!$K$2:$K$596))</f>
        <v>53</v>
      </c>
      <c r="C275" cm="1">
        <f t="array" ref="C275">SUMPRODUCT((Task_table_03_2_26!$C$2:$C$596=$C$1)*(A275&gt;Task_table_03_2_26!$J$2:$J$596)*(A275&lt;Task_table_03_2_26!$K$2:$K$596))</f>
        <v>15</v>
      </c>
      <c r="D275" cm="1">
        <f t="array" ref="D275">SUMPRODUCT((Task_table_03_2_26!$C$2:$C$596=$D$1)*(A275&gt;Task_table_03_2_26!$J$2:$J$596)*(A275&lt;Task_table_03_2_26!$K$2:$K$596))</f>
        <v>2</v>
      </c>
      <c r="E275" cm="1">
        <f t="array" ref="E275">SUMPRODUCT((Task_table_03_2_26!$C$2:$C$596=$E$1)*(A275&gt;Task_table_03_2_26!$J$2:$J$596)*(A275&lt;Task_table_03_2_26!$K$2:$K$596))</f>
        <v>4</v>
      </c>
    </row>
    <row r="276" spans="1:5">
      <c r="A276" s="5">
        <v>46144</v>
      </c>
      <c r="B276" cm="1">
        <f t="array" ref="B276">SUMPRODUCT((Task_table_03_2_26!$C$2:$C$596=$B$1)*(A276&gt;Task_table_03_2_26!$J$2:$J$596)*(A276&lt;Task_table_03_2_26!$K$2:$K$596))</f>
        <v>53</v>
      </c>
      <c r="C276" cm="1">
        <f t="array" ref="C276">SUMPRODUCT((Task_table_03_2_26!$C$2:$C$596=$C$1)*(A276&gt;Task_table_03_2_26!$J$2:$J$596)*(A276&lt;Task_table_03_2_26!$K$2:$K$596))</f>
        <v>16</v>
      </c>
      <c r="D276" cm="1">
        <f t="array" ref="D276">SUMPRODUCT((Task_table_03_2_26!$C$2:$C$596=$D$1)*(A276&gt;Task_table_03_2_26!$J$2:$J$596)*(A276&lt;Task_table_03_2_26!$K$2:$K$596))</f>
        <v>2</v>
      </c>
      <c r="E276" cm="1">
        <f t="array" ref="E276">SUMPRODUCT((Task_table_03_2_26!$C$2:$C$596=$E$1)*(A276&gt;Task_table_03_2_26!$J$2:$J$596)*(A276&lt;Task_table_03_2_26!$K$2:$K$596))</f>
        <v>4</v>
      </c>
    </row>
    <row r="277" spans="1:5">
      <c r="A277" s="5">
        <v>46145</v>
      </c>
      <c r="B277" cm="1">
        <f t="array" ref="B277">SUMPRODUCT((Task_table_03_2_26!$C$2:$C$596=$B$1)*(A277&gt;Task_table_03_2_26!$J$2:$J$596)*(A277&lt;Task_table_03_2_26!$K$2:$K$596))</f>
        <v>53</v>
      </c>
      <c r="C277" cm="1">
        <f t="array" ref="C277">SUMPRODUCT((Task_table_03_2_26!$C$2:$C$596=$C$1)*(A277&gt;Task_table_03_2_26!$J$2:$J$596)*(A277&lt;Task_table_03_2_26!$K$2:$K$596))</f>
        <v>16</v>
      </c>
      <c r="D277" cm="1">
        <f t="array" ref="D277">SUMPRODUCT((Task_table_03_2_26!$C$2:$C$596=$D$1)*(A277&gt;Task_table_03_2_26!$J$2:$J$596)*(A277&lt;Task_table_03_2_26!$K$2:$K$596))</f>
        <v>2</v>
      </c>
      <c r="E277" cm="1">
        <f t="array" ref="E277">SUMPRODUCT((Task_table_03_2_26!$C$2:$C$596=$E$1)*(A277&gt;Task_table_03_2_26!$J$2:$J$596)*(A277&lt;Task_table_03_2_26!$K$2:$K$596))</f>
        <v>4</v>
      </c>
    </row>
    <row r="278" spans="1:5">
      <c r="A278" s="5">
        <v>46146</v>
      </c>
      <c r="B278" cm="1">
        <f t="array" ref="B278">SUMPRODUCT((Task_table_03_2_26!$C$2:$C$596=$B$1)*(A278&gt;Task_table_03_2_26!$J$2:$J$596)*(A278&lt;Task_table_03_2_26!$K$2:$K$596))</f>
        <v>53</v>
      </c>
      <c r="C278" cm="1">
        <f t="array" ref="C278">SUMPRODUCT((Task_table_03_2_26!$C$2:$C$596=$C$1)*(A278&gt;Task_table_03_2_26!$J$2:$J$596)*(A278&lt;Task_table_03_2_26!$K$2:$K$596))</f>
        <v>16</v>
      </c>
      <c r="D278" cm="1">
        <f t="array" ref="D278">SUMPRODUCT((Task_table_03_2_26!$C$2:$C$596=$D$1)*(A278&gt;Task_table_03_2_26!$J$2:$J$596)*(A278&lt;Task_table_03_2_26!$K$2:$K$596))</f>
        <v>2</v>
      </c>
      <c r="E278" cm="1">
        <f t="array" ref="E278">SUMPRODUCT((Task_table_03_2_26!$C$2:$C$596=$E$1)*(A278&gt;Task_table_03_2_26!$J$2:$J$596)*(A278&lt;Task_table_03_2_26!$K$2:$K$596))</f>
        <v>4</v>
      </c>
    </row>
    <row r="279" spans="1:5">
      <c r="A279" s="5">
        <v>46147</v>
      </c>
      <c r="B279" cm="1">
        <f t="array" ref="B279">SUMPRODUCT((Task_table_03_2_26!$C$2:$C$596=$B$1)*(A279&gt;Task_table_03_2_26!$J$2:$J$596)*(A279&lt;Task_table_03_2_26!$K$2:$K$596))</f>
        <v>53</v>
      </c>
      <c r="C279" cm="1">
        <f t="array" ref="C279">SUMPRODUCT((Task_table_03_2_26!$C$2:$C$596=$C$1)*(A279&gt;Task_table_03_2_26!$J$2:$J$596)*(A279&lt;Task_table_03_2_26!$K$2:$K$596))</f>
        <v>16</v>
      </c>
      <c r="D279" cm="1">
        <f t="array" ref="D279">SUMPRODUCT((Task_table_03_2_26!$C$2:$C$596=$D$1)*(A279&gt;Task_table_03_2_26!$J$2:$J$596)*(A279&lt;Task_table_03_2_26!$K$2:$K$596))</f>
        <v>2</v>
      </c>
      <c r="E279" cm="1">
        <f t="array" ref="E279">SUMPRODUCT((Task_table_03_2_26!$C$2:$C$596=$E$1)*(A279&gt;Task_table_03_2_26!$J$2:$J$596)*(A279&lt;Task_table_03_2_26!$K$2:$K$596))</f>
        <v>4</v>
      </c>
    </row>
    <row r="280" spans="1:5">
      <c r="A280" s="5">
        <v>46148</v>
      </c>
      <c r="B280" cm="1">
        <f t="array" ref="B280">SUMPRODUCT((Task_table_03_2_26!$C$2:$C$596=$B$1)*(A280&gt;Task_table_03_2_26!$J$2:$J$596)*(A280&lt;Task_table_03_2_26!$K$2:$K$596))</f>
        <v>53</v>
      </c>
      <c r="C280" cm="1">
        <f t="array" ref="C280">SUMPRODUCT((Task_table_03_2_26!$C$2:$C$596=$C$1)*(A280&gt;Task_table_03_2_26!$J$2:$J$596)*(A280&lt;Task_table_03_2_26!$K$2:$K$596))</f>
        <v>16</v>
      </c>
      <c r="D280" cm="1">
        <f t="array" ref="D280">SUMPRODUCT((Task_table_03_2_26!$C$2:$C$596=$D$1)*(A280&gt;Task_table_03_2_26!$J$2:$J$596)*(A280&lt;Task_table_03_2_26!$K$2:$K$596))</f>
        <v>2</v>
      </c>
      <c r="E280" cm="1">
        <f t="array" ref="E280">SUMPRODUCT((Task_table_03_2_26!$C$2:$C$596=$E$1)*(A280&gt;Task_table_03_2_26!$J$2:$J$596)*(A280&lt;Task_table_03_2_26!$K$2:$K$596))</f>
        <v>4</v>
      </c>
    </row>
    <row r="281" spans="1:5">
      <c r="A281" s="5">
        <v>46149</v>
      </c>
      <c r="B281" cm="1">
        <f t="array" ref="B281">SUMPRODUCT((Task_table_03_2_26!$C$2:$C$596=$B$1)*(A281&gt;Task_table_03_2_26!$J$2:$J$596)*(A281&lt;Task_table_03_2_26!$K$2:$K$596))</f>
        <v>53</v>
      </c>
      <c r="C281" cm="1">
        <f t="array" ref="C281">SUMPRODUCT((Task_table_03_2_26!$C$2:$C$596=$C$1)*(A281&gt;Task_table_03_2_26!$J$2:$J$596)*(A281&lt;Task_table_03_2_26!$K$2:$K$596))</f>
        <v>16</v>
      </c>
      <c r="D281" cm="1">
        <f t="array" ref="D281">SUMPRODUCT((Task_table_03_2_26!$C$2:$C$596=$D$1)*(A281&gt;Task_table_03_2_26!$J$2:$J$596)*(A281&lt;Task_table_03_2_26!$K$2:$K$596))</f>
        <v>2</v>
      </c>
      <c r="E281" cm="1">
        <f t="array" ref="E281">SUMPRODUCT((Task_table_03_2_26!$C$2:$C$596=$E$1)*(A281&gt;Task_table_03_2_26!$J$2:$J$596)*(A281&lt;Task_table_03_2_26!$K$2:$K$596))</f>
        <v>4</v>
      </c>
    </row>
    <row r="282" spans="1:5">
      <c r="A282" s="5">
        <v>46150</v>
      </c>
      <c r="B282" cm="1">
        <f t="array" ref="B282">SUMPRODUCT((Task_table_03_2_26!$C$2:$C$596=$B$1)*(A282&gt;Task_table_03_2_26!$J$2:$J$596)*(A282&lt;Task_table_03_2_26!$K$2:$K$596))</f>
        <v>51</v>
      </c>
      <c r="C282" cm="1">
        <f t="array" ref="C282">SUMPRODUCT((Task_table_03_2_26!$C$2:$C$596=$C$1)*(A282&gt;Task_table_03_2_26!$J$2:$J$596)*(A282&lt;Task_table_03_2_26!$K$2:$K$596))</f>
        <v>16</v>
      </c>
      <c r="D282" cm="1">
        <f t="array" ref="D282">SUMPRODUCT((Task_table_03_2_26!$C$2:$C$596=$D$1)*(A282&gt;Task_table_03_2_26!$J$2:$J$596)*(A282&lt;Task_table_03_2_26!$K$2:$K$596))</f>
        <v>2</v>
      </c>
      <c r="E282" cm="1">
        <f t="array" ref="E282">SUMPRODUCT((Task_table_03_2_26!$C$2:$C$596=$E$1)*(A282&gt;Task_table_03_2_26!$J$2:$J$596)*(A282&lt;Task_table_03_2_26!$K$2:$K$596))</f>
        <v>4</v>
      </c>
    </row>
    <row r="283" spans="1:5">
      <c r="A283" s="5">
        <v>46151</v>
      </c>
      <c r="B283" cm="1">
        <f t="array" ref="B283">SUMPRODUCT((Task_table_03_2_26!$C$2:$C$596=$B$1)*(A283&gt;Task_table_03_2_26!$J$2:$J$596)*(A283&lt;Task_table_03_2_26!$K$2:$K$596))</f>
        <v>51</v>
      </c>
      <c r="C283" cm="1">
        <f t="array" ref="C283">SUMPRODUCT((Task_table_03_2_26!$C$2:$C$596=$C$1)*(A283&gt;Task_table_03_2_26!$J$2:$J$596)*(A283&lt;Task_table_03_2_26!$K$2:$K$596))</f>
        <v>17</v>
      </c>
      <c r="D283" cm="1">
        <f t="array" ref="D283">SUMPRODUCT((Task_table_03_2_26!$C$2:$C$596=$D$1)*(A283&gt;Task_table_03_2_26!$J$2:$J$596)*(A283&lt;Task_table_03_2_26!$K$2:$K$596))</f>
        <v>3</v>
      </c>
      <c r="E283" cm="1">
        <f t="array" ref="E283">SUMPRODUCT((Task_table_03_2_26!$C$2:$C$596=$E$1)*(A283&gt;Task_table_03_2_26!$J$2:$J$596)*(A283&lt;Task_table_03_2_26!$K$2:$K$596))</f>
        <v>5</v>
      </c>
    </row>
    <row r="284" spans="1:5">
      <c r="A284" s="5">
        <v>46152</v>
      </c>
      <c r="B284" cm="1">
        <f t="array" ref="B284">SUMPRODUCT((Task_table_03_2_26!$C$2:$C$596=$B$1)*(A284&gt;Task_table_03_2_26!$J$2:$J$596)*(A284&lt;Task_table_03_2_26!$K$2:$K$596))</f>
        <v>51</v>
      </c>
      <c r="C284" cm="1">
        <f t="array" ref="C284">SUMPRODUCT((Task_table_03_2_26!$C$2:$C$596=$C$1)*(A284&gt;Task_table_03_2_26!$J$2:$J$596)*(A284&lt;Task_table_03_2_26!$K$2:$K$596))</f>
        <v>17</v>
      </c>
      <c r="D284" cm="1">
        <f t="array" ref="D284">SUMPRODUCT((Task_table_03_2_26!$C$2:$C$596=$D$1)*(A284&gt;Task_table_03_2_26!$J$2:$J$596)*(A284&lt;Task_table_03_2_26!$K$2:$K$596))</f>
        <v>3</v>
      </c>
      <c r="E284" cm="1">
        <f t="array" ref="E284">SUMPRODUCT((Task_table_03_2_26!$C$2:$C$596=$E$1)*(A284&gt;Task_table_03_2_26!$J$2:$J$596)*(A284&lt;Task_table_03_2_26!$K$2:$K$596))</f>
        <v>5</v>
      </c>
    </row>
    <row r="285" spans="1:5">
      <c r="A285" s="5">
        <v>46153</v>
      </c>
      <c r="B285" cm="1">
        <f t="array" ref="B285">SUMPRODUCT((Task_table_03_2_26!$C$2:$C$596=$B$1)*(A285&gt;Task_table_03_2_26!$J$2:$J$596)*(A285&lt;Task_table_03_2_26!$K$2:$K$596))</f>
        <v>51</v>
      </c>
      <c r="C285" cm="1">
        <f t="array" ref="C285">SUMPRODUCT((Task_table_03_2_26!$C$2:$C$596=$C$1)*(A285&gt;Task_table_03_2_26!$J$2:$J$596)*(A285&lt;Task_table_03_2_26!$K$2:$K$596))</f>
        <v>17</v>
      </c>
      <c r="D285" cm="1">
        <f t="array" ref="D285">SUMPRODUCT((Task_table_03_2_26!$C$2:$C$596=$D$1)*(A285&gt;Task_table_03_2_26!$J$2:$J$596)*(A285&lt;Task_table_03_2_26!$K$2:$K$596))</f>
        <v>2</v>
      </c>
      <c r="E285" cm="1">
        <f t="array" ref="E285">SUMPRODUCT((Task_table_03_2_26!$C$2:$C$596=$E$1)*(A285&gt;Task_table_03_2_26!$J$2:$J$596)*(A285&lt;Task_table_03_2_26!$K$2:$K$596))</f>
        <v>4</v>
      </c>
    </row>
    <row r="286" spans="1:5">
      <c r="A286" s="5">
        <v>46154</v>
      </c>
      <c r="B286" cm="1">
        <f t="array" ref="B286">SUMPRODUCT((Task_table_03_2_26!$C$2:$C$596=$B$1)*(A286&gt;Task_table_03_2_26!$J$2:$J$596)*(A286&lt;Task_table_03_2_26!$K$2:$K$596))</f>
        <v>51</v>
      </c>
      <c r="C286" cm="1">
        <f t="array" ref="C286">SUMPRODUCT((Task_table_03_2_26!$C$2:$C$596=$C$1)*(A286&gt;Task_table_03_2_26!$J$2:$J$596)*(A286&lt;Task_table_03_2_26!$K$2:$K$596))</f>
        <v>17</v>
      </c>
      <c r="D286" cm="1">
        <f t="array" ref="D286">SUMPRODUCT((Task_table_03_2_26!$C$2:$C$596=$D$1)*(A286&gt;Task_table_03_2_26!$J$2:$J$596)*(A286&lt;Task_table_03_2_26!$K$2:$K$596))</f>
        <v>2</v>
      </c>
      <c r="E286" cm="1">
        <f t="array" ref="E286">SUMPRODUCT((Task_table_03_2_26!$C$2:$C$596=$E$1)*(A286&gt;Task_table_03_2_26!$J$2:$J$596)*(A286&lt;Task_table_03_2_26!$K$2:$K$596))</f>
        <v>4</v>
      </c>
    </row>
    <row r="287" spans="1:5">
      <c r="A287" s="5">
        <v>46155</v>
      </c>
      <c r="B287" cm="1">
        <f t="array" ref="B287">SUMPRODUCT((Task_table_03_2_26!$C$2:$C$596=$B$1)*(A287&gt;Task_table_03_2_26!$J$2:$J$596)*(A287&lt;Task_table_03_2_26!$K$2:$K$596))</f>
        <v>50</v>
      </c>
      <c r="C287" cm="1">
        <f t="array" ref="C287">SUMPRODUCT((Task_table_03_2_26!$C$2:$C$596=$C$1)*(A287&gt;Task_table_03_2_26!$J$2:$J$596)*(A287&lt;Task_table_03_2_26!$K$2:$K$596))</f>
        <v>17</v>
      </c>
      <c r="D287" cm="1">
        <f t="array" ref="D287">SUMPRODUCT((Task_table_03_2_26!$C$2:$C$596=$D$1)*(A287&gt;Task_table_03_2_26!$J$2:$J$596)*(A287&lt;Task_table_03_2_26!$K$2:$K$596))</f>
        <v>2</v>
      </c>
      <c r="E287" cm="1">
        <f t="array" ref="E287">SUMPRODUCT((Task_table_03_2_26!$C$2:$C$596=$E$1)*(A287&gt;Task_table_03_2_26!$J$2:$J$596)*(A287&lt;Task_table_03_2_26!$K$2:$K$596))</f>
        <v>4</v>
      </c>
    </row>
    <row r="288" spans="1:5">
      <c r="A288" s="5">
        <v>46156</v>
      </c>
      <c r="B288" cm="1">
        <f t="array" ref="B288">SUMPRODUCT((Task_table_03_2_26!$C$2:$C$596=$B$1)*(A288&gt;Task_table_03_2_26!$J$2:$J$596)*(A288&lt;Task_table_03_2_26!$K$2:$K$596))</f>
        <v>50</v>
      </c>
      <c r="C288" cm="1">
        <f t="array" ref="C288">SUMPRODUCT((Task_table_03_2_26!$C$2:$C$596=$C$1)*(A288&gt;Task_table_03_2_26!$J$2:$J$596)*(A288&lt;Task_table_03_2_26!$K$2:$K$596))</f>
        <v>17</v>
      </c>
      <c r="D288" cm="1">
        <f t="array" ref="D288">SUMPRODUCT((Task_table_03_2_26!$C$2:$C$596=$D$1)*(A288&gt;Task_table_03_2_26!$J$2:$J$596)*(A288&lt;Task_table_03_2_26!$K$2:$K$596))</f>
        <v>2</v>
      </c>
      <c r="E288" cm="1">
        <f t="array" ref="E288">SUMPRODUCT((Task_table_03_2_26!$C$2:$C$596=$E$1)*(A288&gt;Task_table_03_2_26!$J$2:$J$596)*(A288&lt;Task_table_03_2_26!$K$2:$K$596))</f>
        <v>4</v>
      </c>
    </row>
    <row r="289" spans="1:5">
      <c r="A289" s="5">
        <v>46157</v>
      </c>
      <c r="B289" cm="1">
        <f t="array" ref="B289">SUMPRODUCT((Task_table_03_2_26!$C$2:$C$596=$B$1)*(A289&gt;Task_table_03_2_26!$J$2:$J$596)*(A289&lt;Task_table_03_2_26!$K$2:$K$596))</f>
        <v>48</v>
      </c>
      <c r="C289" cm="1">
        <f t="array" ref="C289">SUMPRODUCT((Task_table_03_2_26!$C$2:$C$596=$C$1)*(A289&gt;Task_table_03_2_26!$J$2:$J$596)*(A289&lt;Task_table_03_2_26!$K$2:$K$596))</f>
        <v>18</v>
      </c>
      <c r="D289" cm="1">
        <f t="array" ref="D289">SUMPRODUCT((Task_table_03_2_26!$C$2:$C$596=$D$1)*(A289&gt;Task_table_03_2_26!$J$2:$J$596)*(A289&lt;Task_table_03_2_26!$K$2:$K$596))</f>
        <v>2</v>
      </c>
      <c r="E289" cm="1">
        <f t="array" ref="E289">SUMPRODUCT((Task_table_03_2_26!$C$2:$C$596=$E$1)*(A289&gt;Task_table_03_2_26!$J$2:$J$596)*(A289&lt;Task_table_03_2_26!$K$2:$K$596))</f>
        <v>4</v>
      </c>
    </row>
    <row r="290" spans="1:5">
      <c r="A290" s="5">
        <v>46158</v>
      </c>
      <c r="B290" cm="1">
        <f t="array" ref="B290">SUMPRODUCT((Task_table_03_2_26!$C$2:$C$596=$B$1)*(A290&gt;Task_table_03_2_26!$J$2:$J$596)*(A290&lt;Task_table_03_2_26!$K$2:$K$596))</f>
        <v>48</v>
      </c>
      <c r="C290" cm="1">
        <f t="array" ref="C290">SUMPRODUCT((Task_table_03_2_26!$C$2:$C$596=$C$1)*(A290&gt;Task_table_03_2_26!$J$2:$J$596)*(A290&lt;Task_table_03_2_26!$K$2:$K$596))</f>
        <v>18</v>
      </c>
      <c r="D290" cm="1">
        <f t="array" ref="D290">SUMPRODUCT((Task_table_03_2_26!$C$2:$C$596=$D$1)*(A290&gt;Task_table_03_2_26!$J$2:$J$596)*(A290&lt;Task_table_03_2_26!$K$2:$K$596))</f>
        <v>2</v>
      </c>
      <c r="E290" cm="1">
        <f t="array" ref="E290">SUMPRODUCT((Task_table_03_2_26!$C$2:$C$596=$E$1)*(A290&gt;Task_table_03_2_26!$J$2:$J$596)*(A290&lt;Task_table_03_2_26!$K$2:$K$596))</f>
        <v>4</v>
      </c>
    </row>
    <row r="291" spans="1:5">
      <c r="A291" s="5">
        <v>46159</v>
      </c>
      <c r="B291" cm="1">
        <f t="array" ref="B291">SUMPRODUCT((Task_table_03_2_26!$C$2:$C$596=$B$1)*(A291&gt;Task_table_03_2_26!$J$2:$J$596)*(A291&lt;Task_table_03_2_26!$K$2:$K$596))</f>
        <v>48</v>
      </c>
      <c r="C291" cm="1">
        <f t="array" ref="C291">SUMPRODUCT((Task_table_03_2_26!$C$2:$C$596=$C$1)*(A291&gt;Task_table_03_2_26!$J$2:$J$596)*(A291&lt;Task_table_03_2_26!$K$2:$K$596))</f>
        <v>18</v>
      </c>
      <c r="D291" cm="1">
        <f t="array" ref="D291">SUMPRODUCT((Task_table_03_2_26!$C$2:$C$596=$D$1)*(A291&gt;Task_table_03_2_26!$J$2:$J$596)*(A291&lt;Task_table_03_2_26!$K$2:$K$596))</f>
        <v>2</v>
      </c>
      <c r="E291" cm="1">
        <f t="array" ref="E291">SUMPRODUCT((Task_table_03_2_26!$C$2:$C$596=$E$1)*(A291&gt;Task_table_03_2_26!$J$2:$J$596)*(A291&lt;Task_table_03_2_26!$K$2:$K$596))</f>
        <v>4</v>
      </c>
    </row>
    <row r="292" spans="1:5">
      <c r="A292" s="5">
        <v>46160</v>
      </c>
      <c r="B292" cm="1">
        <f t="array" ref="B292">SUMPRODUCT((Task_table_03_2_26!$C$2:$C$596=$B$1)*(A292&gt;Task_table_03_2_26!$J$2:$J$596)*(A292&lt;Task_table_03_2_26!$K$2:$K$596))</f>
        <v>48</v>
      </c>
      <c r="C292" cm="1">
        <f t="array" ref="C292">SUMPRODUCT((Task_table_03_2_26!$C$2:$C$596=$C$1)*(A292&gt;Task_table_03_2_26!$J$2:$J$596)*(A292&lt;Task_table_03_2_26!$K$2:$K$596))</f>
        <v>18</v>
      </c>
      <c r="D292" cm="1">
        <f t="array" ref="D292">SUMPRODUCT((Task_table_03_2_26!$C$2:$C$596=$D$1)*(A292&gt;Task_table_03_2_26!$J$2:$J$596)*(A292&lt;Task_table_03_2_26!$K$2:$K$596))</f>
        <v>2</v>
      </c>
      <c r="E292" cm="1">
        <f t="array" ref="E292">SUMPRODUCT((Task_table_03_2_26!$C$2:$C$596=$E$1)*(A292&gt;Task_table_03_2_26!$J$2:$J$596)*(A292&lt;Task_table_03_2_26!$K$2:$K$596))</f>
        <v>4</v>
      </c>
    </row>
    <row r="293" spans="1:5">
      <c r="A293" s="5">
        <v>46161</v>
      </c>
      <c r="B293" cm="1">
        <f t="array" ref="B293">SUMPRODUCT((Task_table_03_2_26!$C$2:$C$596=$B$1)*(A293&gt;Task_table_03_2_26!$J$2:$J$596)*(A293&lt;Task_table_03_2_26!$K$2:$K$596))</f>
        <v>48</v>
      </c>
      <c r="C293" cm="1">
        <f t="array" ref="C293">SUMPRODUCT((Task_table_03_2_26!$C$2:$C$596=$C$1)*(A293&gt;Task_table_03_2_26!$J$2:$J$596)*(A293&lt;Task_table_03_2_26!$K$2:$K$596))</f>
        <v>19</v>
      </c>
      <c r="D293" cm="1">
        <f t="array" ref="D293">SUMPRODUCT((Task_table_03_2_26!$C$2:$C$596=$D$1)*(A293&gt;Task_table_03_2_26!$J$2:$J$596)*(A293&lt;Task_table_03_2_26!$K$2:$K$596))</f>
        <v>2</v>
      </c>
      <c r="E293" cm="1">
        <f t="array" ref="E293">SUMPRODUCT((Task_table_03_2_26!$C$2:$C$596=$E$1)*(A293&gt;Task_table_03_2_26!$J$2:$J$596)*(A293&lt;Task_table_03_2_26!$K$2:$K$596))</f>
        <v>4</v>
      </c>
    </row>
    <row r="294" spans="1:5">
      <c r="A294" s="5">
        <v>46162</v>
      </c>
      <c r="B294" cm="1">
        <f t="array" ref="B294">SUMPRODUCT((Task_table_03_2_26!$C$2:$C$596=$B$1)*(A294&gt;Task_table_03_2_26!$J$2:$J$596)*(A294&lt;Task_table_03_2_26!$K$2:$K$596))</f>
        <v>47</v>
      </c>
      <c r="C294" cm="1">
        <f t="array" ref="C294">SUMPRODUCT((Task_table_03_2_26!$C$2:$C$596=$C$1)*(A294&gt;Task_table_03_2_26!$J$2:$J$596)*(A294&lt;Task_table_03_2_26!$K$2:$K$596))</f>
        <v>19</v>
      </c>
      <c r="D294" cm="1">
        <f t="array" ref="D294">SUMPRODUCT((Task_table_03_2_26!$C$2:$C$596=$D$1)*(A294&gt;Task_table_03_2_26!$J$2:$J$596)*(A294&lt;Task_table_03_2_26!$K$2:$K$596))</f>
        <v>2</v>
      </c>
      <c r="E294" cm="1">
        <f t="array" ref="E294">SUMPRODUCT((Task_table_03_2_26!$C$2:$C$596=$E$1)*(A294&gt;Task_table_03_2_26!$J$2:$J$596)*(A294&lt;Task_table_03_2_26!$K$2:$K$596))</f>
        <v>4</v>
      </c>
    </row>
    <row r="295" spans="1:5">
      <c r="A295" s="5">
        <v>46163</v>
      </c>
      <c r="B295" cm="1">
        <f t="array" ref="B295">SUMPRODUCT((Task_table_03_2_26!$C$2:$C$596=$B$1)*(A295&gt;Task_table_03_2_26!$J$2:$J$596)*(A295&lt;Task_table_03_2_26!$K$2:$K$596))</f>
        <v>46</v>
      </c>
      <c r="C295" cm="1">
        <f t="array" ref="C295">SUMPRODUCT((Task_table_03_2_26!$C$2:$C$596=$C$1)*(A295&gt;Task_table_03_2_26!$J$2:$J$596)*(A295&lt;Task_table_03_2_26!$K$2:$K$596))</f>
        <v>19</v>
      </c>
      <c r="D295" cm="1">
        <f t="array" ref="D295">SUMPRODUCT((Task_table_03_2_26!$C$2:$C$596=$D$1)*(A295&gt;Task_table_03_2_26!$J$2:$J$596)*(A295&lt;Task_table_03_2_26!$K$2:$K$596))</f>
        <v>2</v>
      </c>
      <c r="E295" cm="1">
        <f t="array" ref="E295">SUMPRODUCT((Task_table_03_2_26!$C$2:$C$596=$E$1)*(A295&gt;Task_table_03_2_26!$J$2:$J$596)*(A295&lt;Task_table_03_2_26!$K$2:$K$596))</f>
        <v>4</v>
      </c>
    </row>
    <row r="296" spans="1:5">
      <c r="A296" s="5">
        <v>46164</v>
      </c>
      <c r="B296" cm="1">
        <f t="array" ref="B296">SUMPRODUCT((Task_table_03_2_26!$C$2:$C$596=$B$1)*(A296&gt;Task_table_03_2_26!$J$2:$J$596)*(A296&lt;Task_table_03_2_26!$K$2:$K$596))</f>
        <v>46</v>
      </c>
      <c r="C296" cm="1">
        <f t="array" ref="C296">SUMPRODUCT((Task_table_03_2_26!$C$2:$C$596=$C$1)*(A296&gt;Task_table_03_2_26!$J$2:$J$596)*(A296&lt;Task_table_03_2_26!$K$2:$K$596))</f>
        <v>19</v>
      </c>
      <c r="D296" cm="1">
        <f t="array" ref="D296">SUMPRODUCT((Task_table_03_2_26!$C$2:$C$596=$D$1)*(A296&gt;Task_table_03_2_26!$J$2:$J$596)*(A296&lt;Task_table_03_2_26!$K$2:$K$596))</f>
        <v>2</v>
      </c>
      <c r="E296" cm="1">
        <f t="array" ref="E296">SUMPRODUCT((Task_table_03_2_26!$C$2:$C$596=$E$1)*(A296&gt;Task_table_03_2_26!$J$2:$J$596)*(A296&lt;Task_table_03_2_26!$K$2:$K$596))</f>
        <v>4</v>
      </c>
    </row>
    <row r="297" spans="1:5">
      <c r="A297" s="5">
        <v>46165</v>
      </c>
      <c r="B297" cm="1">
        <f t="array" ref="B297">SUMPRODUCT((Task_table_03_2_26!$C$2:$C$596=$B$1)*(A297&gt;Task_table_03_2_26!$J$2:$J$596)*(A297&lt;Task_table_03_2_26!$K$2:$K$596))</f>
        <v>46</v>
      </c>
      <c r="C297" cm="1">
        <f t="array" ref="C297">SUMPRODUCT((Task_table_03_2_26!$C$2:$C$596=$C$1)*(A297&gt;Task_table_03_2_26!$J$2:$J$596)*(A297&lt;Task_table_03_2_26!$K$2:$K$596))</f>
        <v>19</v>
      </c>
      <c r="D297" cm="1">
        <f t="array" ref="D297">SUMPRODUCT((Task_table_03_2_26!$C$2:$C$596=$D$1)*(A297&gt;Task_table_03_2_26!$J$2:$J$596)*(A297&lt;Task_table_03_2_26!$K$2:$K$596))</f>
        <v>2</v>
      </c>
      <c r="E297" cm="1">
        <f t="array" ref="E297">SUMPRODUCT((Task_table_03_2_26!$C$2:$C$596=$E$1)*(A297&gt;Task_table_03_2_26!$J$2:$J$596)*(A297&lt;Task_table_03_2_26!$K$2:$K$596))</f>
        <v>4</v>
      </c>
    </row>
    <row r="298" spans="1:5">
      <c r="A298" s="5">
        <v>46166</v>
      </c>
      <c r="B298" cm="1">
        <f t="array" ref="B298">SUMPRODUCT((Task_table_03_2_26!$C$2:$C$596=$B$1)*(A298&gt;Task_table_03_2_26!$J$2:$J$596)*(A298&lt;Task_table_03_2_26!$K$2:$K$596))</f>
        <v>46</v>
      </c>
      <c r="C298" cm="1">
        <f t="array" ref="C298">SUMPRODUCT((Task_table_03_2_26!$C$2:$C$596=$C$1)*(A298&gt;Task_table_03_2_26!$J$2:$J$596)*(A298&lt;Task_table_03_2_26!$K$2:$K$596))</f>
        <v>19</v>
      </c>
      <c r="D298" cm="1">
        <f t="array" ref="D298">SUMPRODUCT((Task_table_03_2_26!$C$2:$C$596=$D$1)*(A298&gt;Task_table_03_2_26!$J$2:$J$596)*(A298&lt;Task_table_03_2_26!$K$2:$K$596))</f>
        <v>2</v>
      </c>
      <c r="E298" cm="1">
        <f t="array" ref="E298">SUMPRODUCT((Task_table_03_2_26!$C$2:$C$596=$E$1)*(A298&gt;Task_table_03_2_26!$J$2:$J$596)*(A298&lt;Task_table_03_2_26!$K$2:$K$596))</f>
        <v>4</v>
      </c>
    </row>
    <row r="299" spans="1:5">
      <c r="A299" s="5">
        <v>46167</v>
      </c>
      <c r="B299" cm="1">
        <f t="array" ref="B299">SUMPRODUCT((Task_table_03_2_26!$C$2:$C$596=$B$1)*(A299&gt;Task_table_03_2_26!$J$2:$J$596)*(A299&lt;Task_table_03_2_26!$K$2:$K$596))</f>
        <v>46</v>
      </c>
      <c r="C299" cm="1">
        <f t="array" ref="C299">SUMPRODUCT((Task_table_03_2_26!$C$2:$C$596=$C$1)*(A299&gt;Task_table_03_2_26!$J$2:$J$596)*(A299&lt;Task_table_03_2_26!$K$2:$K$596))</f>
        <v>19</v>
      </c>
      <c r="D299" cm="1">
        <f t="array" ref="D299">SUMPRODUCT((Task_table_03_2_26!$C$2:$C$596=$D$1)*(A299&gt;Task_table_03_2_26!$J$2:$J$596)*(A299&lt;Task_table_03_2_26!$K$2:$K$596))</f>
        <v>2</v>
      </c>
      <c r="E299" cm="1">
        <f t="array" ref="E299">SUMPRODUCT((Task_table_03_2_26!$C$2:$C$596=$E$1)*(A299&gt;Task_table_03_2_26!$J$2:$J$596)*(A299&lt;Task_table_03_2_26!$K$2:$K$596))</f>
        <v>4</v>
      </c>
    </row>
    <row r="300" spans="1:5">
      <c r="A300" s="5">
        <v>46168</v>
      </c>
      <c r="B300" cm="1">
        <f t="array" ref="B300">SUMPRODUCT((Task_table_03_2_26!$C$2:$C$596=$B$1)*(A300&gt;Task_table_03_2_26!$J$2:$J$596)*(A300&lt;Task_table_03_2_26!$K$2:$K$596))</f>
        <v>46</v>
      </c>
      <c r="C300" cm="1">
        <f t="array" ref="C300">SUMPRODUCT((Task_table_03_2_26!$C$2:$C$596=$C$1)*(A300&gt;Task_table_03_2_26!$J$2:$J$596)*(A300&lt;Task_table_03_2_26!$K$2:$K$596))</f>
        <v>20</v>
      </c>
      <c r="D300" cm="1">
        <f t="array" ref="D300">SUMPRODUCT((Task_table_03_2_26!$C$2:$C$596=$D$1)*(A300&gt;Task_table_03_2_26!$J$2:$J$596)*(A300&lt;Task_table_03_2_26!$K$2:$K$596))</f>
        <v>2</v>
      </c>
      <c r="E300" cm="1">
        <f t="array" ref="E300">SUMPRODUCT((Task_table_03_2_26!$C$2:$C$596=$E$1)*(A300&gt;Task_table_03_2_26!$J$2:$J$596)*(A300&lt;Task_table_03_2_26!$K$2:$K$596))</f>
        <v>4</v>
      </c>
    </row>
    <row r="301" spans="1:5">
      <c r="A301" s="5">
        <v>46169</v>
      </c>
      <c r="B301" cm="1">
        <f t="array" ref="B301">SUMPRODUCT((Task_table_03_2_26!$C$2:$C$596=$B$1)*(A301&gt;Task_table_03_2_26!$J$2:$J$596)*(A301&lt;Task_table_03_2_26!$K$2:$K$596))</f>
        <v>46</v>
      </c>
      <c r="C301" cm="1">
        <f t="array" ref="C301">SUMPRODUCT((Task_table_03_2_26!$C$2:$C$596=$C$1)*(A301&gt;Task_table_03_2_26!$J$2:$J$596)*(A301&lt;Task_table_03_2_26!$K$2:$K$596))</f>
        <v>20</v>
      </c>
      <c r="D301" cm="1">
        <f t="array" ref="D301">SUMPRODUCT((Task_table_03_2_26!$C$2:$C$596=$D$1)*(A301&gt;Task_table_03_2_26!$J$2:$J$596)*(A301&lt;Task_table_03_2_26!$K$2:$K$596))</f>
        <v>2</v>
      </c>
      <c r="E301" cm="1">
        <f t="array" ref="E301">SUMPRODUCT((Task_table_03_2_26!$C$2:$C$596=$E$1)*(A301&gt;Task_table_03_2_26!$J$2:$J$596)*(A301&lt;Task_table_03_2_26!$K$2:$K$596))</f>
        <v>4</v>
      </c>
    </row>
    <row r="302" spans="1:5">
      <c r="A302" s="5">
        <v>46170</v>
      </c>
      <c r="B302" cm="1">
        <f t="array" ref="B302">SUMPRODUCT((Task_table_03_2_26!$C$2:$C$596=$B$1)*(A302&gt;Task_table_03_2_26!$J$2:$J$596)*(A302&lt;Task_table_03_2_26!$K$2:$K$596))</f>
        <v>46</v>
      </c>
      <c r="C302" cm="1">
        <f t="array" ref="C302">SUMPRODUCT((Task_table_03_2_26!$C$2:$C$596=$C$1)*(A302&gt;Task_table_03_2_26!$J$2:$J$596)*(A302&lt;Task_table_03_2_26!$K$2:$K$596))</f>
        <v>20</v>
      </c>
      <c r="D302" cm="1">
        <f t="array" ref="D302">SUMPRODUCT((Task_table_03_2_26!$C$2:$C$596=$D$1)*(A302&gt;Task_table_03_2_26!$J$2:$J$596)*(A302&lt;Task_table_03_2_26!$K$2:$K$596))</f>
        <v>2</v>
      </c>
      <c r="E302" cm="1">
        <f t="array" ref="E302">SUMPRODUCT((Task_table_03_2_26!$C$2:$C$596=$E$1)*(A302&gt;Task_table_03_2_26!$J$2:$J$596)*(A302&lt;Task_table_03_2_26!$K$2:$K$596))</f>
        <v>4</v>
      </c>
    </row>
    <row r="303" spans="1:5">
      <c r="A303" s="5">
        <v>46171</v>
      </c>
      <c r="B303" cm="1">
        <f t="array" ref="B303">SUMPRODUCT((Task_table_03_2_26!$C$2:$C$596=$B$1)*(A303&gt;Task_table_03_2_26!$J$2:$J$596)*(A303&lt;Task_table_03_2_26!$K$2:$K$596))</f>
        <v>46</v>
      </c>
      <c r="C303" cm="1">
        <f t="array" ref="C303">SUMPRODUCT((Task_table_03_2_26!$C$2:$C$596=$C$1)*(A303&gt;Task_table_03_2_26!$J$2:$J$596)*(A303&lt;Task_table_03_2_26!$K$2:$K$596))</f>
        <v>20</v>
      </c>
      <c r="D303" cm="1">
        <f t="array" ref="D303">SUMPRODUCT((Task_table_03_2_26!$C$2:$C$596=$D$1)*(A303&gt;Task_table_03_2_26!$J$2:$J$596)*(A303&lt;Task_table_03_2_26!$K$2:$K$596))</f>
        <v>2</v>
      </c>
      <c r="E303" cm="1">
        <f t="array" ref="E303">SUMPRODUCT((Task_table_03_2_26!$C$2:$C$596=$E$1)*(A303&gt;Task_table_03_2_26!$J$2:$J$596)*(A303&lt;Task_table_03_2_26!$K$2:$K$596))</f>
        <v>4</v>
      </c>
    </row>
    <row r="304" spans="1:5">
      <c r="A304" s="5">
        <v>46172</v>
      </c>
      <c r="B304" cm="1">
        <f t="array" ref="B304">SUMPRODUCT((Task_table_03_2_26!$C$2:$C$596=$B$1)*(A304&gt;Task_table_03_2_26!$J$2:$J$596)*(A304&lt;Task_table_03_2_26!$K$2:$K$596))</f>
        <v>46</v>
      </c>
      <c r="C304" cm="1">
        <f t="array" ref="C304">SUMPRODUCT((Task_table_03_2_26!$C$2:$C$596=$C$1)*(A304&gt;Task_table_03_2_26!$J$2:$J$596)*(A304&lt;Task_table_03_2_26!$K$2:$K$596))</f>
        <v>20</v>
      </c>
      <c r="D304" cm="1">
        <f t="array" ref="D304">SUMPRODUCT((Task_table_03_2_26!$C$2:$C$596=$D$1)*(A304&gt;Task_table_03_2_26!$J$2:$J$596)*(A304&lt;Task_table_03_2_26!$K$2:$K$596))</f>
        <v>2</v>
      </c>
      <c r="E304" cm="1">
        <f t="array" ref="E304">SUMPRODUCT((Task_table_03_2_26!$C$2:$C$596=$E$1)*(A304&gt;Task_table_03_2_26!$J$2:$J$596)*(A304&lt;Task_table_03_2_26!$K$2:$K$596))</f>
        <v>4</v>
      </c>
    </row>
    <row r="305" spans="1:5">
      <c r="A305" s="5">
        <v>46173</v>
      </c>
      <c r="B305" cm="1">
        <f t="array" ref="B305">SUMPRODUCT((Task_table_03_2_26!$C$2:$C$596=$B$1)*(A305&gt;Task_table_03_2_26!$J$2:$J$596)*(A305&lt;Task_table_03_2_26!$K$2:$K$596))</f>
        <v>39</v>
      </c>
      <c r="C305" cm="1">
        <f t="array" ref="C305">SUMPRODUCT((Task_table_03_2_26!$C$2:$C$596=$C$1)*(A305&gt;Task_table_03_2_26!$J$2:$J$596)*(A305&lt;Task_table_03_2_26!$K$2:$K$596))</f>
        <v>19</v>
      </c>
      <c r="D305" cm="1">
        <f t="array" ref="D305">SUMPRODUCT((Task_table_03_2_26!$C$2:$C$596=$D$1)*(A305&gt;Task_table_03_2_26!$J$2:$J$596)*(A305&lt;Task_table_03_2_26!$K$2:$K$596))</f>
        <v>2</v>
      </c>
      <c r="E305" cm="1">
        <f t="array" ref="E305">SUMPRODUCT((Task_table_03_2_26!$C$2:$C$596=$E$1)*(A305&gt;Task_table_03_2_26!$J$2:$J$596)*(A305&lt;Task_table_03_2_26!$K$2:$K$596))</f>
        <v>4</v>
      </c>
    </row>
    <row r="306" spans="1:5">
      <c r="A306" s="5">
        <v>46174</v>
      </c>
      <c r="B306" cm="1">
        <f t="array" ref="B306">SUMPRODUCT((Task_table_03_2_26!$C$2:$C$596=$B$1)*(A306&gt;Task_table_03_2_26!$J$2:$J$596)*(A306&lt;Task_table_03_2_26!$K$2:$K$596))</f>
        <v>39</v>
      </c>
      <c r="C306" cm="1">
        <f t="array" ref="C306">SUMPRODUCT((Task_table_03_2_26!$C$2:$C$596=$C$1)*(A306&gt;Task_table_03_2_26!$J$2:$J$596)*(A306&lt;Task_table_03_2_26!$K$2:$K$596))</f>
        <v>19</v>
      </c>
      <c r="D306" cm="1">
        <f t="array" ref="D306">SUMPRODUCT((Task_table_03_2_26!$C$2:$C$596=$D$1)*(A306&gt;Task_table_03_2_26!$J$2:$J$596)*(A306&lt;Task_table_03_2_26!$K$2:$K$596))</f>
        <v>2</v>
      </c>
      <c r="E306" cm="1">
        <f t="array" ref="E306">SUMPRODUCT((Task_table_03_2_26!$C$2:$C$596=$E$1)*(A306&gt;Task_table_03_2_26!$J$2:$J$596)*(A306&lt;Task_table_03_2_26!$K$2:$K$596))</f>
        <v>4</v>
      </c>
    </row>
    <row r="307" spans="1:5">
      <c r="A307" s="5">
        <v>46175</v>
      </c>
      <c r="B307" cm="1">
        <f t="array" ref="B307">SUMPRODUCT((Task_table_03_2_26!$C$2:$C$596=$B$1)*(A307&gt;Task_table_03_2_26!$J$2:$J$596)*(A307&lt;Task_table_03_2_26!$K$2:$K$596))</f>
        <v>39</v>
      </c>
      <c r="C307" cm="1">
        <f t="array" ref="C307">SUMPRODUCT((Task_table_03_2_26!$C$2:$C$596=$C$1)*(A307&gt;Task_table_03_2_26!$J$2:$J$596)*(A307&lt;Task_table_03_2_26!$K$2:$K$596))</f>
        <v>20</v>
      </c>
      <c r="D307" cm="1">
        <f t="array" ref="D307">SUMPRODUCT((Task_table_03_2_26!$C$2:$C$596=$D$1)*(A307&gt;Task_table_03_2_26!$J$2:$J$596)*(A307&lt;Task_table_03_2_26!$K$2:$K$596))</f>
        <v>3</v>
      </c>
      <c r="E307" cm="1">
        <f t="array" ref="E307">SUMPRODUCT((Task_table_03_2_26!$C$2:$C$596=$E$1)*(A307&gt;Task_table_03_2_26!$J$2:$J$596)*(A307&lt;Task_table_03_2_26!$K$2:$K$596))</f>
        <v>5</v>
      </c>
    </row>
    <row r="308" spans="1:5">
      <c r="A308" s="5">
        <v>46176</v>
      </c>
      <c r="B308" cm="1">
        <f t="array" ref="B308">SUMPRODUCT((Task_table_03_2_26!$C$2:$C$596=$B$1)*(A308&gt;Task_table_03_2_26!$J$2:$J$596)*(A308&lt;Task_table_03_2_26!$K$2:$K$596))</f>
        <v>39</v>
      </c>
      <c r="C308" cm="1">
        <f t="array" ref="C308">SUMPRODUCT((Task_table_03_2_26!$C$2:$C$596=$C$1)*(A308&gt;Task_table_03_2_26!$J$2:$J$596)*(A308&lt;Task_table_03_2_26!$K$2:$K$596))</f>
        <v>20</v>
      </c>
      <c r="D308" cm="1">
        <f t="array" ref="D308">SUMPRODUCT((Task_table_03_2_26!$C$2:$C$596=$D$1)*(A308&gt;Task_table_03_2_26!$J$2:$J$596)*(A308&lt;Task_table_03_2_26!$K$2:$K$596))</f>
        <v>3</v>
      </c>
      <c r="E308" cm="1">
        <f t="array" ref="E308">SUMPRODUCT((Task_table_03_2_26!$C$2:$C$596=$E$1)*(A308&gt;Task_table_03_2_26!$J$2:$J$596)*(A308&lt;Task_table_03_2_26!$K$2:$K$596))</f>
        <v>5</v>
      </c>
    </row>
    <row r="309" spans="1:5">
      <c r="A309" s="5">
        <v>46177</v>
      </c>
      <c r="B309" cm="1">
        <f t="array" ref="B309">SUMPRODUCT((Task_table_03_2_26!$C$2:$C$596=$B$1)*(A309&gt;Task_table_03_2_26!$J$2:$J$596)*(A309&lt;Task_table_03_2_26!$K$2:$K$596))</f>
        <v>39</v>
      </c>
      <c r="C309" cm="1">
        <f t="array" ref="C309">SUMPRODUCT((Task_table_03_2_26!$C$2:$C$596=$C$1)*(A309&gt;Task_table_03_2_26!$J$2:$J$596)*(A309&lt;Task_table_03_2_26!$K$2:$K$596))</f>
        <v>20</v>
      </c>
      <c r="D309" cm="1">
        <f t="array" ref="D309">SUMPRODUCT((Task_table_03_2_26!$C$2:$C$596=$D$1)*(A309&gt;Task_table_03_2_26!$J$2:$J$596)*(A309&lt;Task_table_03_2_26!$K$2:$K$596))</f>
        <v>3</v>
      </c>
      <c r="E309" cm="1">
        <f t="array" ref="E309">SUMPRODUCT((Task_table_03_2_26!$C$2:$C$596=$E$1)*(A309&gt;Task_table_03_2_26!$J$2:$J$596)*(A309&lt;Task_table_03_2_26!$K$2:$K$596))</f>
        <v>5</v>
      </c>
    </row>
    <row r="310" spans="1:5">
      <c r="A310" s="5">
        <v>46178</v>
      </c>
      <c r="B310" cm="1">
        <f t="array" ref="B310">SUMPRODUCT((Task_table_03_2_26!$C$2:$C$596=$B$1)*(A310&gt;Task_table_03_2_26!$J$2:$J$596)*(A310&lt;Task_table_03_2_26!$K$2:$K$596))</f>
        <v>39</v>
      </c>
      <c r="C310" cm="1">
        <f t="array" ref="C310">SUMPRODUCT((Task_table_03_2_26!$C$2:$C$596=$C$1)*(A310&gt;Task_table_03_2_26!$J$2:$J$596)*(A310&lt;Task_table_03_2_26!$K$2:$K$596))</f>
        <v>20</v>
      </c>
      <c r="D310" cm="1">
        <f t="array" ref="D310">SUMPRODUCT((Task_table_03_2_26!$C$2:$C$596=$D$1)*(A310&gt;Task_table_03_2_26!$J$2:$J$596)*(A310&lt;Task_table_03_2_26!$K$2:$K$596))</f>
        <v>3</v>
      </c>
      <c r="E310" cm="1">
        <f t="array" ref="E310">SUMPRODUCT((Task_table_03_2_26!$C$2:$C$596=$E$1)*(A310&gt;Task_table_03_2_26!$J$2:$J$596)*(A310&lt;Task_table_03_2_26!$K$2:$K$596))</f>
        <v>5</v>
      </c>
    </row>
    <row r="311" spans="1:5">
      <c r="A311" s="5">
        <v>46179</v>
      </c>
      <c r="B311" cm="1">
        <f t="array" ref="B311">SUMPRODUCT((Task_table_03_2_26!$C$2:$C$596=$B$1)*(A311&gt;Task_table_03_2_26!$J$2:$J$596)*(A311&lt;Task_table_03_2_26!$K$2:$K$596))</f>
        <v>39</v>
      </c>
      <c r="C311" cm="1">
        <f t="array" ref="C311">SUMPRODUCT((Task_table_03_2_26!$C$2:$C$596=$C$1)*(A311&gt;Task_table_03_2_26!$J$2:$J$596)*(A311&lt;Task_table_03_2_26!$K$2:$K$596))</f>
        <v>20</v>
      </c>
      <c r="D311" cm="1">
        <f t="array" ref="D311">SUMPRODUCT((Task_table_03_2_26!$C$2:$C$596=$D$1)*(A311&gt;Task_table_03_2_26!$J$2:$J$596)*(A311&lt;Task_table_03_2_26!$K$2:$K$596))</f>
        <v>3</v>
      </c>
      <c r="E311" cm="1">
        <f t="array" ref="E311">SUMPRODUCT((Task_table_03_2_26!$C$2:$C$596=$E$1)*(A311&gt;Task_table_03_2_26!$J$2:$J$596)*(A311&lt;Task_table_03_2_26!$K$2:$K$596))</f>
        <v>5</v>
      </c>
    </row>
    <row r="312" spans="1:5">
      <c r="A312" s="5">
        <v>46180</v>
      </c>
      <c r="B312" cm="1">
        <f t="array" ref="B312">SUMPRODUCT((Task_table_03_2_26!$C$2:$C$596=$B$1)*(A312&gt;Task_table_03_2_26!$J$2:$J$596)*(A312&lt;Task_table_03_2_26!$K$2:$K$596))</f>
        <v>39</v>
      </c>
      <c r="C312" cm="1">
        <f t="array" ref="C312">SUMPRODUCT((Task_table_03_2_26!$C$2:$C$596=$C$1)*(A312&gt;Task_table_03_2_26!$J$2:$J$596)*(A312&lt;Task_table_03_2_26!$K$2:$K$596))</f>
        <v>20</v>
      </c>
      <c r="D312" cm="1">
        <f t="array" ref="D312">SUMPRODUCT((Task_table_03_2_26!$C$2:$C$596=$D$1)*(A312&gt;Task_table_03_2_26!$J$2:$J$596)*(A312&lt;Task_table_03_2_26!$K$2:$K$596))</f>
        <v>3</v>
      </c>
      <c r="E312" cm="1">
        <f t="array" ref="E312">SUMPRODUCT((Task_table_03_2_26!$C$2:$C$596=$E$1)*(A312&gt;Task_table_03_2_26!$J$2:$J$596)*(A312&lt;Task_table_03_2_26!$K$2:$K$596))</f>
        <v>5</v>
      </c>
    </row>
    <row r="313" spans="1:5">
      <c r="A313" s="5">
        <v>46181</v>
      </c>
      <c r="B313" cm="1">
        <f t="array" ref="B313">SUMPRODUCT((Task_table_03_2_26!$C$2:$C$596=$B$1)*(A313&gt;Task_table_03_2_26!$J$2:$J$596)*(A313&lt;Task_table_03_2_26!$K$2:$K$596))</f>
        <v>39</v>
      </c>
      <c r="C313" cm="1">
        <f t="array" ref="C313">SUMPRODUCT((Task_table_03_2_26!$C$2:$C$596=$C$1)*(A313&gt;Task_table_03_2_26!$J$2:$J$596)*(A313&lt;Task_table_03_2_26!$K$2:$K$596))</f>
        <v>20</v>
      </c>
      <c r="D313" cm="1">
        <f t="array" ref="D313">SUMPRODUCT((Task_table_03_2_26!$C$2:$C$596=$D$1)*(A313&gt;Task_table_03_2_26!$J$2:$J$596)*(A313&lt;Task_table_03_2_26!$K$2:$K$596))</f>
        <v>3</v>
      </c>
      <c r="E313" cm="1">
        <f t="array" ref="E313">SUMPRODUCT((Task_table_03_2_26!$C$2:$C$596=$E$1)*(A313&gt;Task_table_03_2_26!$J$2:$J$596)*(A313&lt;Task_table_03_2_26!$K$2:$K$596))</f>
        <v>5</v>
      </c>
    </row>
    <row r="314" spans="1:5">
      <c r="A314" s="5">
        <v>46182</v>
      </c>
      <c r="B314" cm="1">
        <f t="array" ref="B314">SUMPRODUCT((Task_table_03_2_26!$C$2:$C$596=$B$1)*(A314&gt;Task_table_03_2_26!$J$2:$J$596)*(A314&lt;Task_table_03_2_26!$K$2:$K$596))</f>
        <v>39</v>
      </c>
      <c r="C314" cm="1">
        <f t="array" ref="C314">SUMPRODUCT((Task_table_03_2_26!$C$2:$C$596=$C$1)*(A314&gt;Task_table_03_2_26!$J$2:$J$596)*(A314&lt;Task_table_03_2_26!$K$2:$K$596))</f>
        <v>20</v>
      </c>
      <c r="D314" cm="1">
        <f t="array" ref="D314">SUMPRODUCT((Task_table_03_2_26!$C$2:$C$596=$D$1)*(A314&gt;Task_table_03_2_26!$J$2:$J$596)*(A314&lt;Task_table_03_2_26!$K$2:$K$596))</f>
        <v>3</v>
      </c>
      <c r="E314" cm="1">
        <f t="array" ref="E314">SUMPRODUCT((Task_table_03_2_26!$C$2:$C$596=$E$1)*(A314&gt;Task_table_03_2_26!$J$2:$J$596)*(A314&lt;Task_table_03_2_26!$K$2:$K$596))</f>
        <v>5</v>
      </c>
    </row>
    <row r="315" spans="1:5">
      <c r="A315" s="5">
        <v>46183</v>
      </c>
      <c r="B315" cm="1">
        <f t="array" ref="B315">SUMPRODUCT((Task_table_03_2_26!$C$2:$C$596=$B$1)*(A315&gt;Task_table_03_2_26!$J$2:$J$596)*(A315&lt;Task_table_03_2_26!$K$2:$K$596))</f>
        <v>39</v>
      </c>
      <c r="C315" cm="1">
        <f t="array" ref="C315">SUMPRODUCT((Task_table_03_2_26!$C$2:$C$596=$C$1)*(A315&gt;Task_table_03_2_26!$J$2:$J$596)*(A315&lt;Task_table_03_2_26!$K$2:$K$596))</f>
        <v>20</v>
      </c>
      <c r="D315" cm="1">
        <f t="array" ref="D315">SUMPRODUCT((Task_table_03_2_26!$C$2:$C$596=$D$1)*(A315&gt;Task_table_03_2_26!$J$2:$J$596)*(A315&lt;Task_table_03_2_26!$K$2:$K$596))</f>
        <v>3</v>
      </c>
      <c r="E315" cm="1">
        <f t="array" ref="E315">SUMPRODUCT((Task_table_03_2_26!$C$2:$C$596=$E$1)*(A315&gt;Task_table_03_2_26!$J$2:$J$596)*(A315&lt;Task_table_03_2_26!$K$2:$K$596))</f>
        <v>5</v>
      </c>
    </row>
    <row r="316" spans="1:5">
      <c r="A316" s="5">
        <v>46184</v>
      </c>
      <c r="B316" cm="1">
        <f t="array" ref="B316">SUMPRODUCT((Task_table_03_2_26!$C$2:$C$596=$B$1)*(A316&gt;Task_table_03_2_26!$J$2:$J$596)*(A316&lt;Task_table_03_2_26!$K$2:$K$596))</f>
        <v>39</v>
      </c>
      <c r="C316" cm="1">
        <f t="array" ref="C316">SUMPRODUCT((Task_table_03_2_26!$C$2:$C$596=$C$1)*(A316&gt;Task_table_03_2_26!$J$2:$J$596)*(A316&lt;Task_table_03_2_26!$K$2:$K$596))</f>
        <v>20</v>
      </c>
      <c r="D316" cm="1">
        <f t="array" ref="D316">SUMPRODUCT((Task_table_03_2_26!$C$2:$C$596=$D$1)*(A316&gt;Task_table_03_2_26!$J$2:$J$596)*(A316&lt;Task_table_03_2_26!$K$2:$K$596))</f>
        <v>3</v>
      </c>
      <c r="E316" cm="1">
        <f t="array" ref="E316">SUMPRODUCT((Task_table_03_2_26!$C$2:$C$596=$E$1)*(A316&gt;Task_table_03_2_26!$J$2:$J$596)*(A316&lt;Task_table_03_2_26!$K$2:$K$596))</f>
        <v>5</v>
      </c>
    </row>
    <row r="317" spans="1:5">
      <c r="A317" s="5">
        <v>46185</v>
      </c>
      <c r="B317" cm="1">
        <f t="array" ref="B317">SUMPRODUCT((Task_table_03_2_26!$C$2:$C$596=$B$1)*(A317&gt;Task_table_03_2_26!$J$2:$J$596)*(A317&lt;Task_table_03_2_26!$K$2:$K$596))</f>
        <v>39</v>
      </c>
      <c r="C317" cm="1">
        <f t="array" ref="C317">SUMPRODUCT((Task_table_03_2_26!$C$2:$C$596=$C$1)*(A317&gt;Task_table_03_2_26!$J$2:$J$596)*(A317&lt;Task_table_03_2_26!$K$2:$K$596))</f>
        <v>20</v>
      </c>
      <c r="D317" cm="1">
        <f t="array" ref="D317">SUMPRODUCT((Task_table_03_2_26!$C$2:$C$596=$D$1)*(A317&gt;Task_table_03_2_26!$J$2:$J$596)*(A317&lt;Task_table_03_2_26!$K$2:$K$596))</f>
        <v>3</v>
      </c>
      <c r="E317" cm="1">
        <f t="array" ref="E317">SUMPRODUCT((Task_table_03_2_26!$C$2:$C$596=$E$1)*(A317&gt;Task_table_03_2_26!$J$2:$J$596)*(A317&lt;Task_table_03_2_26!$K$2:$K$596))</f>
        <v>5</v>
      </c>
    </row>
    <row r="318" spans="1:5">
      <c r="A318" s="5">
        <v>46186</v>
      </c>
      <c r="B318" cm="1">
        <f t="array" ref="B318">SUMPRODUCT((Task_table_03_2_26!$C$2:$C$596=$B$1)*(A318&gt;Task_table_03_2_26!$J$2:$J$596)*(A318&lt;Task_table_03_2_26!$K$2:$K$596))</f>
        <v>39</v>
      </c>
      <c r="C318" cm="1">
        <f t="array" ref="C318">SUMPRODUCT((Task_table_03_2_26!$C$2:$C$596=$C$1)*(A318&gt;Task_table_03_2_26!$J$2:$J$596)*(A318&lt;Task_table_03_2_26!$K$2:$K$596))</f>
        <v>20</v>
      </c>
      <c r="D318" cm="1">
        <f t="array" ref="D318">SUMPRODUCT((Task_table_03_2_26!$C$2:$C$596=$D$1)*(A318&gt;Task_table_03_2_26!$J$2:$J$596)*(A318&lt;Task_table_03_2_26!$K$2:$K$596))</f>
        <v>3</v>
      </c>
      <c r="E318" cm="1">
        <f t="array" ref="E318">SUMPRODUCT((Task_table_03_2_26!$C$2:$C$596=$E$1)*(A318&gt;Task_table_03_2_26!$J$2:$J$596)*(A318&lt;Task_table_03_2_26!$K$2:$K$596))</f>
        <v>5</v>
      </c>
    </row>
    <row r="319" spans="1:5">
      <c r="A319" s="5">
        <v>46187</v>
      </c>
      <c r="B319" cm="1">
        <f t="array" ref="B319">SUMPRODUCT((Task_table_03_2_26!$C$2:$C$596=$B$1)*(A319&gt;Task_table_03_2_26!$J$2:$J$596)*(A319&lt;Task_table_03_2_26!$K$2:$K$596))</f>
        <v>39</v>
      </c>
      <c r="C319" cm="1">
        <f t="array" ref="C319">SUMPRODUCT((Task_table_03_2_26!$C$2:$C$596=$C$1)*(A319&gt;Task_table_03_2_26!$J$2:$J$596)*(A319&lt;Task_table_03_2_26!$K$2:$K$596))</f>
        <v>20</v>
      </c>
      <c r="D319" cm="1">
        <f t="array" ref="D319">SUMPRODUCT((Task_table_03_2_26!$C$2:$C$596=$D$1)*(A319&gt;Task_table_03_2_26!$J$2:$J$596)*(A319&lt;Task_table_03_2_26!$K$2:$K$596))</f>
        <v>3</v>
      </c>
      <c r="E319" cm="1">
        <f t="array" ref="E319">SUMPRODUCT((Task_table_03_2_26!$C$2:$C$596=$E$1)*(A319&gt;Task_table_03_2_26!$J$2:$J$596)*(A319&lt;Task_table_03_2_26!$K$2:$K$596))</f>
        <v>5</v>
      </c>
    </row>
    <row r="320" spans="1:5">
      <c r="A320" s="5">
        <v>46188</v>
      </c>
      <c r="B320" cm="1">
        <f t="array" ref="B320">SUMPRODUCT((Task_table_03_2_26!$C$2:$C$596=$B$1)*(A320&gt;Task_table_03_2_26!$J$2:$J$596)*(A320&lt;Task_table_03_2_26!$K$2:$K$596))</f>
        <v>36</v>
      </c>
      <c r="C320" cm="1">
        <f t="array" ref="C320">SUMPRODUCT((Task_table_03_2_26!$C$2:$C$596=$C$1)*(A320&gt;Task_table_03_2_26!$J$2:$J$596)*(A320&lt;Task_table_03_2_26!$K$2:$K$596))</f>
        <v>16</v>
      </c>
      <c r="D320" cm="1">
        <f t="array" ref="D320">SUMPRODUCT((Task_table_03_2_26!$C$2:$C$596=$D$1)*(A320&gt;Task_table_03_2_26!$J$2:$J$596)*(A320&lt;Task_table_03_2_26!$K$2:$K$596))</f>
        <v>3</v>
      </c>
      <c r="E320" cm="1">
        <f t="array" ref="E320">SUMPRODUCT((Task_table_03_2_26!$C$2:$C$596=$E$1)*(A320&gt;Task_table_03_2_26!$J$2:$J$596)*(A320&lt;Task_table_03_2_26!$K$2:$K$596))</f>
        <v>4</v>
      </c>
    </row>
    <row r="321" spans="1:5">
      <c r="A321" s="5">
        <v>46189</v>
      </c>
      <c r="B321" cm="1">
        <f t="array" ref="B321">SUMPRODUCT((Task_table_03_2_26!$C$2:$C$596=$B$1)*(A321&gt;Task_table_03_2_26!$J$2:$J$596)*(A321&lt;Task_table_03_2_26!$K$2:$K$596))</f>
        <v>36</v>
      </c>
      <c r="C321" cm="1">
        <f t="array" ref="C321">SUMPRODUCT((Task_table_03_2_26!$C$2:$C$596=$C$1)*(A321&gt;Task_table_03_2_26!$J$2:$J$596)*(A321&lt;Task_table_03_2_26!$K$2:$K$596))</f>
        <v>17</v>
      </c>
      <c r="D321" cm="1">
        <f t="array" ref="D321">SUMPRODUCT((Task_table_03_2_26!$C$2:$C$596=$D$1)*(A321&gt;Task_table_03_2_26!$J$2:$J$596)*(A321&lt;Task_table_03_2_26!$K$2:$K$596))</f>
        <v>3</v>
      </c>
      <c r="E321" cm="1">
        <f t="array" ref="E321">SUMPRODUCT((Task_table_03_2_26!$C$2:$C$596=$E$1)*(A321&gt;Task_table_03_2_26!$J$2:$J$596)*(A321&lt;Task_table_03_2_26!$K$2:$K$596))</f>
        <v>4</v>
      </c>
    </row>
    <row r="322" spans="1:5">
      <c r="A322" s="5">
        <v>46190</v>
      </c>
      <c r="B322" cm="1">
        <f t="array" ref="B322">SUMPRODUCT((Task_table_03_2_26!$C$2:$C$596=$B$1)*(A322&gt;Task_table_03_2_26!$J$2:$J$596)*(A322&lt;Task_table_03_2_26!$K$2:$K$596))</f>
        <v>34</v>
      </c>
      <c r="C322" cm="1">
        <f t="array" ref="C322">SUMPRODUCT((Task_table_03_2_26!$C$2:$C$596=$C$1)*(A322&gt;Task_table_03_2_26!$J$2:$J$596)*(A322&lt;Task_table_03_2_26!$K$2:$K$596))</f>
        <v>17</v>
      </c>
      <c r="D322" cm="1">
        <f t="array" ref="D322">SUMPRODUCT((Task_table_03_2_26!$C$2:$C$596=$D$1)*(A322&gt;Task_table_03_2_26!$J$2:$J$596)*(A322&lt;Task_table_03_2_26!$K$2:$K$596))</f>
        <v>3</v>
      </c>
      <c r="E322" cm="1">
        <f t="array" ref="E322">SUMPRODUCT((Task_table_03_2_26!$C$2:$C$596=$E$1)*(A322&gt;Task_table_03_2_26!$J$2:$J$596)*(A322&lt;Task_table_03_2_26!$K$2:$K$596))</f>
        <v>4</v>
      </c>
    </row>
    <row r="323" spans="1:5">
      <c r="A323" s="5">
        <v>46191</v>
      </c>
      <c r="B323" cm="1">
        <f t="array" ref="B323">SUMPRODUCT((Task_table_03_2_26!$C$2:$C$596=$B$1)*(A323&gt;Task_table_03_2_26!$J$2:$J$596)*(A323&lt;Task_table_03_2_26!$K$2:$K$596))</f>
        <v>34</v>
      </c>
      <c r="C323" cm="1">
        <f t="array" ref="C323">SUMPRODUCT((Task_table_03_2_26!$C$2:$C$596=$C$1)*(A323&gt;Task_table_03_2_26!$J$2:$J$596)*(A323&lt;Task_table_03_2_26!$K$2:$K$596))</f>
        <v>17</v>
      </c>
      <c r="D323" cm="1">
        <f t="array" ref="D323">SUMPRODUCT((Task_table_03_2_26!$C$2:$C$596=$D$1)*(A323&gt;Task_table_03_2_26!$J$2:$J$596)*(A323&lt;Task_table_03_2_26!$K$2:$K$596))</f>
        <v>3</v>
      </c>
      <c r="E323" cm="1">
        <f t="array" ref="E323">SUMPRODUCT((Task_table_03_2_26!$C$2:$C$596=$E$1)*(A323&gt;Task_table_03_2_26!$J$2:$J$596)*(A323&lt;Task_table_03_2_26!$K$2:$K$596))</f>
        <v>4</v>
      </c>
    </row>
    <row r="324" spans="1:5">
      <c r="A324" s="5">
        <v>46192</v>
      </c>
      <c r="B324" cm="1">
        <f t="array" ref="B324">SUMPRODUCT((Task_table_03_2_26!$C$2:$C$596=$B$1)*(A324&gt;Task_table_03_2_26!$J$2:$J$596)*(A324&lt;Task_table_03_2_26!$K$2:$K$596))</f>
        <v>34</v>
      </c>
      <c r="C324" cm="1">
        <f t="array" ref="C324">SUMPRODUCT((Task_table_03_2_26!$C$2:$C$596=$C$1)*(A324&gt;Task_table_03_2_26!$J$2:$J$596)*(A324&lt;Task_table_03_2_26!$K$2:$K$596))</f>
        <v>17</v>
      </c>
      <c r="D324" cm="1">
        <f t="array" ref="D324">SUMPRODUCT((Task_table_03_2_26!$C$2:$C$596=$D$1)*(A324&gt;Task_table_03_2_26!$J$2:$J$596)*(A324&lt;Task_table_03_2_26!$K$2:$K$596))</f>
        <v>3</v>
      </c>
      <c r="E324" cm="1">
        <f t="array" ref="E324">SUMPRODUCT((Task_table_03_2_26!$C$2:$C$596=$E$1)*(A324&gt;Task_table_03_2_26!$J$2:$J$596)*(A324&lt;Task_table_03_2_26!$K$2:$K$596))</f>
        <v>4</v>
      </c>
    </row>
    <row r="325" spans="1:5">
      <c r="A325" s="5">
        <v>46193</v>
      </c>
      <c r="B325" cm="1">
        <f t="array" ref="B325">SUMPRODUCT((Task_table_03_2_26!$C$2:$C$596=$B$1)*(A325&gt;Task_table_03_2_26!$J$2:$J$596)*(A325&lt;Task_table_03_2_26!$K$2:$K$596))</f>
        <v>34</v>
      </c>
      <c r="C325" cm="1">
        <f t="array" ref="C325">SUMPRODUCT((Task_table_03_2_26!$C$2:$C$596=$C$1)*(A325&gt;Task_table_03_2_26!$J$2:$J$596)*(A325&lt;Task_table_03_2_26!$K$2:$K$596))</f>
        <v>17</v>
      </c>
      <c r="D325" cm="1">
        <f t="array" ref="D325">SUMPRODUCT((Task_table_03_2_26!$C$2:$C$596=$D$1)*(A325&gt;Task_table_03_2_26!$J$2:$J$596)*(A325&lt;Task_table_03_2_26!$K$2:$K$596))</f>
        <v>3</v>
      </c>
      <c r="E325" cm="1">
        <f t="array" ref="E325">SUMPRODUCT((Task_table_03_2_26!$C$2:$C$596=$E$1)*(A325&gt;Task_table_03_2_26!$J$2:$J$596)*(A325&lt;Task_table_03_2_26!$K$2:$K$596))</f>
        <v>4</v>
      </c>
    </row>
    <row r="326" spans="1:5">
      <c r="A326" s="5">
        <v>46194</v>
      </c>
      <c r="B326" cm="1">
        <f t="array" ref="B326">SUMPRODUCT((Task_table_03_2_26!$C$2:$C$596=$B$1)*(A326&gt;Task_table_03_2_26!$J$2:$J$596)*(A326&lt;Task_table_03_2_26!$K$2:$K$596))</f>
        <v>34</v>
      </c>
      <c r="C326" cm="1">
        <f t="array" ref="C326">SUMPRODUCT((Task_table_03_2_26!$C$2:$C$596=$C$1)*(A326&gt;Task_table_03_2_26!$J$2:$J$596)*(A326&lt;Task_table_03_2_26!$K$2:$K$596))</f>
        <v>17</v>
      </c>
      <c r="D326" cm="1">
        <f t="array" ref="D326">SUMPRODUCT((Task_table_03_2_26!$C$2:$C$596=$D$1)*(A326&gt;Task_table_03_2_26!$J$2:$J$596)*(A326&lt;Task_table_03_2_26!$K$2:$K$596))</f>
        <v>3</v>
      </c>
      <c r="E326" cm="1">
        <f t="array" ref="E326">SUMPRODUCT((Task_table_03_2_26!$C$2:$C$596=$E$1)*(A326&gt;Task_table_03_2_26!$J$2:$J$596)*(A326&lt;Task_table_03_2_26!$K$2:$K$596))</f>
        <v>4</v>
      </c>
    </row>
    <row r="327" spans="1:5">
      <c r="A327" s="5">
        <v>46195</v>
      </c>
      <c r="B327" cm="1">
        <f t="array" ref="B327">SUMPRODUCT((Task_table_03_2_26!$C$2:$C$596=$B$1)*(A327&gt;Task_table_03_2_26!$J$2:$J$596)*(A327&lt;Task_table_03_2_26!$K$2:$K$596))</f>
        <v>34</v>
      </c>
      <c r="C327" cm="1">
        <f t="array" ref="C327">SUMPRODUCT((Task_table_03_2_26!$C$2:$C$596=$C$1)*(A327&gt;Task_table_03_2_26!$J$2:$J$596)*(A327&lt;Task_table_03_2_26!$K$2:$K$596))</f>
        <v>16</v>
      </c>
      <c r="D327" cm="1">
        <f t="array" ref="D327">SUMPRODUCT((Task_table_03_2_26!$C$2:$C$596=$D$1)*(A327&gt;Task_table_03_2_26!$J$2:$J$596)*(A327&lt;Task_table_03_2_26!$K$2:$K$596))</f>
        <v>3</v>
      </c>
      <c r="E327" cm="1">
        <f t="array" ref="E327">SUMPRODUCT((Task_table_03_2_26!$C$2:$C$596=$E$1)*(A327&gt;Task_table_03_2_26!$J$2:$J$596)*(A327&lt;Task_table_03_2_26!$K$2:$K$596))</f>
        <v>4</v>
      </c>
    </row>
    <row r="328" spans="1:5">
      <c r="A328" s="5">
        <v>46196</v>
      </c>
      <c r="B328" cm="1">
        <f t="array" ref="B328">SUMPRODUCT((Task_table_03_2_26!$C$2:$C$596=$B$1)*(A328&gt;Task_table_03_2_26!$J$2:$J$596)*(A328&lt;Task_table_03_2_26!$K$2:$K$596))</f>
        <v>34</v>
      </c>
      <c r="C328" cm="1">
        <f t="array" ref="C328">SUMPRODUCT((Task_table_03_2_26!$C$2:$C$596=$C$1)*(A328&gt;Task_table_03_2_26!$J$2:$J$596)*(A328&lt;Task_table_03_2_26!$K$2:$K$596))</f>
        <v>16</v>
      </c>
      <c r="D328" cm="1">
        <f t="array" ref="D328">SUMPRODUCT((Task_table_03_2_26!$C$2:$C$596=$D$1)*(A328&gt;Task_table_03_2_26!$J$2:$J$596)*(A328&lt;Task_table_03_2_26!$K$2:$K$596))</f>
        <v>3</v>
      </c>
      <c r="E328" cm="1">
        <f t="array" ref="E328">SUMPRODUCT((Task_table_03_2_26!$C$2:$C$596=$E$1)*(A328&gt;Task_table_03_2_26!$J$2:$J$596)*(A328&lt;Task_table_03_2_26!$K$2:$K$596))</f>
        <v>4</v>
      </c>
    </row>
    <row r="329" spans="1:5">
      <c r="A329" s="5">
        <v>46197</v>
      </c>
      <c r="B329" cm="1">
        <f t="array" ref="B329">SUMPRODUCT((Task_table_03_2_26!$C$2:$C$596=$B$1)*(A329&gt;Task_table_03_2_26!$J$2:$J$596)*(A329&lt;Task_table_03_2_26!$K$2:$K$596))</f>
        <v>34</v>
      </c>
      <c r="C329" cm="1">
        <f t="array" ref="C329">SUMPRODUCT((Task_table_03_2_26!$C$2:$C$596=$C$1)*(A329&gt;Task_table_03_2_26!$J$2:$J$596)*(A329&lt;Task_table_03_2_26!$K$2:$K$596))</f>
        <v>16</v>
      </c>
      <c r="D329" cm="1">
        <f t="array" ref="D329">SUMPRODUCT((Task_table_03_2_26!$C$2:$C$596=$D$1)*(A329&gt;Task_table_03_2_26!$J$2:$J$596)*(A329&lt;Task_table_03_2_26!$K$2:$K$596))</f>
        <v>3</v>
      </c>
      <c r="E329" cm="1">
        <f t="array" ref="E329">SUMPRODUCT((Task_table_03_2_26!$C$2:$C$596=$E$1)*(A329&gt;Task_table_03_2_26!$J$2:$J$596)*(A329&lt;Task_table_03_2_26!$K$2:$K$596))</f>
        <v>4</v>
      </c>
    </row>
    <row r="330" spans="1:5">
      <c r="A330" s="5">
        <v>46198</v>
      </c>
      <c r="B330" cm="1">
        <f t="array" ref="B330">SUMPRODUCT((Task_table_03_2_26!$C$2:$C$596=$B$1)*(A330&gt;Task_table_03_2_26!$J$2:$J$596)*(A330&lt;Task_table_03_2_26!$K$2:$K$596))</f>
        <v>34</v>
      </c>
      <c r="C330" cm="1">
        <f t="array" ref="C330">SUMPRODUCT((Task_table_03_2_26!$C$2:$C$596=$C$1)*(A330&gt;Task_table_03_2_26!$J$2:$J$596)*(A330&lt;Task_table_03_2_26!$K$2:$K$596))</f>
        <v>16</v>
      </c>
      <c r="D330" cm="1">
        <f t="array" ref="D330">SUMPRODUCT((Task_table_03_2_26!$C$2:$C$596=$D$1)*(A330&gt;Task_table_03_2_26!$J$2:$J$596)*(A330&lt;Task_table_03_2_26!$K$2:$K$596))</f>
        <v>3</v>
      </c>
      <c r="E330" cm="1">
        <f t="array" ref="E330">SUMPRODUCT((Task_table_03_2_26!$C$2:$C$596=$E$1)*(A330&gt;Task_table_03_2_26!$J$2:$J$596)*(A330&lt;Task_table_03_2_26!$K$2:$K$596))</f>
        <v>4</v>
      </c>
    </row>
    <row r="331" spans="1:5">
      <c r="A331" s="5">
        <v>46199</v>
      </c>
      <c r="B331" cm="1">
        <f t="array" ref="B331">SUMPRODUCT((Task_table_03_2_26!$C$2:$C$596=$B$1)*(A331&gt;Task_table_03_2_26!$J$2:$J$596)*(A331&lt;Task_table_03_2_26!$K$2:$K$596))</f>
        <v>34</v>
      </c>
      <c r="C331" cm="1">
        <f t="array" ref="C331">SUMPRODUCT((Task_table_03_2_26!$C$2:$C$596=$C$1)*(A331&gt;Task_table_03_2_26!$J$2:$J$596)*(A331&lt;Task_table_03_2_26!$K$2:$K$596))</f>
        <v>16</v>
      </c>
      <c r="D331" cm="1">
        <f t="array" ref="D331">SUMPRODUCT((Task_table_03_2_26!$C$2:$C$596=$D$1)*(A331&gt;Task_table_03_2_26!$J$2:$J$596)*(A331&lt;Task_table_03_2_26!$K$2:$K$596))</f>
        <v>3</v>
      </c>
      <c r="E331" cm="1">
        <f t="array" ref="E331">SUMPRODUCT((Task_table_03_2_26!$C$2:$C$596=$E$1)*(A331&gt;Task_table_03_2_26!$J$2:$J$596)*(A331&lt;Task_table_03_2_26!$K$2:$K$596))</f>
        <v>4</v>
      </c>
    </row>
    <row r="332" spans="1:5">
      <c r="A332" s="5">
        <v>46200</v>
      </c>
      <c r="B332" cm="1">
        <f t="array" ref="B332">SUMPRODUCT((Task_table_03_2_26!$C$2:$C$596=$B$1)*(A332&gt;Task_table_03_2_26!$J$2:$J$596)*(A332&lt;Task_table_03_2_26!$K$2:$K$596))</f>
        <v>34</v>
      </c>
      <c r="C332" cm="1">
        <f t="array" ref="C332">SUMPRODUCT((Task_table_03_2_26!$C$2:$C$596=$C$1)*(A332&gt;Task_table_03_2_26!$J$2:$J$596)*(A332&lt;Task_table_03_2_26!$K$2:$K$596))</f>
        <v>16</v>
      </c>
      <c r="D332" cm="1">
        <f t="array" ref="D332">SUMPRODUCT((Task_table_03_2_26!$C$2:$C$596=$D$1)*(A332&gt;Task_table_03_2_26!$J$2:$J$596)*(A332&lt;Task_table_03_2_26!$K$2:$K$596))</f>
        <v>3</v>
      </c>
      <c r="E332" cm="1">
        <f t="array" ref="E332">SUMPRODUCT((Task_table_03_2_26!$C$2:$C$596=$E$1)*(A332&gt;Task_table_03_2_26!$J$2:$J$596)*(A332&lt;Task_table_03_2_26!$K$2:$K$596))</f>
        <v>4</v>
      </c>
    </row>
    <row r="333" spans="1:5">
      <c r="A333" s="5">
        <v>46201</v>
      </c>
      <c r="B333" cm="1">
        <f t="array" ref="B333">SUMPRODUCT((Task_table_03_2_26!$C$2:$C$596=$B$1)*(A333&gt;Task_table_03_2_26!$J$2:$J$596)*(A333&lt;Task_table_03_2_26!$K$2:$K$596))</f>
        <v>34</v>
      </c>
      <c r="C333" cm="1">
        <f t="array" ref="C333">SUMPRODUCT((Task_table_03_2_26!$C$2:$C$596=$C$1)*(A333&gt;Task_table_03_2_26!$J$2:$J$596)*(A333&lt;Task_table_03_2_26!$K$2:$K$596))</f>
        <v>16</v>
      </c>
      <c r="D333" cm="1">
        <f t="array" ref="D333">SUMPRODUCT((Task_table_03_2_26!$C$2:$C$596=$D$1)*(A333&gt;Task_table_03_2_26!$J$2:$J$596)*(A333&lt;Task_table_03_2_26!$K$2:$K$596))</f>
        <v>3</v>
      </c>
      <c r="E333" cm="1">
        <f t="array" ref="E333">SUMPRODUCT((Task_table_03_2_26!$C$2:$C$596=$E$1)*(A333&gt;Task_table_03_2_26!$J$2:$J$596)*(A333&lt;Task_table_03_2_26!$K$2:$K$596))</f>
        <v>4</v>
      </c>
    </row>
    <row r="334" spans="1:5">
      <c r="A334" s="5">
        <v>46202</v>
      </c>
      <c r="B334" cm="1">
        <f t="array" ref="B334">SUMPRODUCT((Task_table_03_2_26!$C$2:$C$596=$B$1)*(A334&gt;Task_table_03_2_26!$J$2:$J$596)*(A334&lt;Task_table_03_2_26!$K$2:$K$596))</f>
        <v>34</v>
      </c>
      <c r="C334" cm="1">
        <f t="array" ref="C334">SUMPRODUCT((Task_table_03_2_26!$C$2:$C$596=$C$1)*(A334&gt;Task_table_03_2_26!$J$2:$J$596)*(A334&lt;Task_table_03_2_26!$K$2:$K$596))</f>
        <v>16</v>
      </c>
      <c r="D334" cm="1">
        <f t="array" ref="D334">SUMPRODUCT((Task_table_03_2_26!$C$2:$C$596=$D$1)*(A334&gt;Task_table_03_2_26!$J$2:$J$596)*(A334&lt;Task_table_03_2_26!$K$2:$K$596))</f>
        <v>3</v>
      </c>
      <c r="E334" cm="1">
        <f t="array" ref="E334">SUMPRODUCT((Task_table_03_2_26!$C$2:$C$596=$E$1)*(A334&gt;Task_table_03_2_26!$J$2:$J$596)*(A334&lt;Task_table_03_2_26!$K$2:$K$596))</f>
        <v>4</v>
      </c>
    </row>
    <row r="335" spans="1:5">
      <c r="A335" s="5">
        <v>46203</v>
      </c>
      <c r="B335" cm="1">
        <f t="array" ref="B335">SUMPRODUCT((Task_table_03_2_26!$C$2:$C$596=$B$1)*(A335&gt;Task_table_03_2_26!$J$2:$J$596)*(A335&lt;Task_table_03_2_26!$K$2:$K$596))</f>
        <v>30</v>
      </c>
      <c r="C335" cm="1">
        <f t="array" ref="C335">SUMPRODUCT((Task_table_03_2_26!$C$2:$C$596=$C$1)*(A335&gt;Task_table_03_2_26!$J$2:$J$596)*(A335&lt;Task_table_03_2_26!$K$2:$K$596))</f>
        <v>10</v>
      </c>
      <c r="D335" cm="1">
        <f t="array" ref="D335">SUMPRODUCT((Task_table_03_2_26!$C$2:$C$596=$D$1)*(A335&gt;Task_table_03_2_26!$J$2:$J$596)*(A335&lt;Task_table_03_2_26!$K$2:$K$596))</f>
        <v>1</v>
      </c>
      <c r="E335" cm="1">
        <f t="array" ref="E335">SUMPRODUCT((Task_table_03_2_26!$C$2:$C$596=$E$1)*(A335&gt;Task_table_03_2_26!$J$2:$J$596)*(A335&lt;Task_table_03_2_26!$K$2:$K$596))</f>
        <v>2</v>
      </c>
    </row>
    <row r="336" spans="1:5">
      <c r="A336" s="5">
        <v>46204</v>
      </c>
      <c r="B336" cm="1">
        <f t="array" ref="B336">SUMPRODUCT((Task_table_03_2_26!$C$2:$C$596=$B$1)*(A336&gt;Task_table_03_2_26!$J$2:$J$596)*(A336&lt;Task_table_03_2_26!$K$2:$K$596))</f>
        <v>30</v>
      </c>
      <c r="C336" cm="1">
        <f t="array" ref="C336">SUMPRODUCT((Task_table_03_2_26!$C$2:$C$596=$C$1)*(A336&gt;Task_table_03_2_26!$J$2:$J$596)*(A336&lt;Task_table_03_2_26!$K$2:$K$596))</f>
        <v>9</v>
      </c>
      <c r="D336" cm="1">
        <f t="array" ref="D336">SUMPRODUCT((Task_table_03_2_26!$C$2:$C$596=$D$1)*(A336&gt;Task_table_03_2_26!$J$2:$J$596)*(A336&lt;Task_table_03_2_26!$K$2:$K$596))</f>
        <v>0</v>
      </c>
      <c r="E336" cm="1">
        <f t="array" ref="E336">SUMPRODUCT((Task_table_03_2_26!$C$2:$C$596=$E$1)*(A336&gt;Task_table_03_2_26!$J$2:$J$596)*(A336&lt;Task_table_03_2_26!$K$2:$K$596))</f>
        <v>1</v>
      </c>
    </row>
    <row r="337" spans="1:5">
      <c r="A337" s="5">
        <v>46205</v>
      </c>
      <c r="B337" cm="1">
        <f t="array" ref="B337">SUMPRODUCT((Task_table_03_2_26!$C$2:$C$596=$B$1)*(A337&gt;Task_table_03_2_26!$J$2:$J$596)*(A337&lt;Task_table_03_2_26!$K$2:$K$596))</f>
        <v>30</v>
      </c>
      <c r="C337" cm="1">
        <f t="array" ref="C337">SUMPRODUCT((Task_table_03_2_26!$C$2:$C$596=$C$1)*(A337&gt;Task_table_03_2_26!$J$2:$J$596)*(A337&lt;Task_table_03_2_26!$K$2:$K$596))</f>
        <v>9</v>
      </c>
      <c r="D337" cm="1">
        <f t="array" ref="D337">SUMPRODUCT((Task_table_03_2_26!$C$2:$C$596=$D$1)*(A337&gt;Task_table_03_2_26!$J$2:$J$596)*(A337&lt;Task_table_03_2_26!$K$2:$K$596))</f>
        <v>0</v>
      </c>
      <c r="E337" cm="1">
        <f t="array" ref="E337">SUMPRODUCT((Task_table_03_2_26!$C$2:$C$596=$E$1)*(A337&gt;Task_table_03_2_26!$J$2:$J$596)*(A337&lt;Task_table_03_2_26!$K$2:$K$596))</f>
        <v>1</v>
      </c>
    </row>
    <row r="338" spans="1:5">
      <c r="A338" s="5">
        <v>46206</v>
      </c>
      <c r="B338" cm="1">
        <f t="array" ref="B338">SUMPRODUCT((Task_table_03_2_26!$C$2:$C$596=$B$1)*(A338&gt;Task_table_03_2_26!$J$2:$J$596)*(A338&lt;Task_table_03_2_26!$K$2:$K$596))</f>
        <v>30</v>
      </c>
      <c r="C338" cm="1">
        <f t="array" ref="C338">SUMPRODUCT((Task_table_03_2_26!$C$2:$C$596=$C$1)*(A338&gt;Task_table_03_2_26!$J$2:$J$596)*(A338&lt;Task_table_03_2_26!$K$2:$K$596))</f>
        <v>9</v>
      </c>
      <c r="D338" cm="1">
        <f t="array" ref="D338">SUMPRODUCT((Task_table_03_2_26!$C$2:$C$596=$D$1)*(A338&gt;Task_table_03_2_26!$J$2:$J$596)*(A338&lt;Task_table_03_2_26!$K$2:$K$596))</f>
        <v>0</v>
      </c>
      <c r="E338" cm="1">
        <f t="array" ref="E338">SUMPRODUCT((Task_table_03_2_26!$C$2:$C$596=$E$1)*(A338&gt;Task_table_03_2_26!$J$2:$J$596)*(A338&lt;Task_table_03_2_26!$K$2:$K$596))</f>
        <v>1</v>
      </c>
    </row>
    <row r="339" spans="1:5">
      <c r="A339" s="5">
        <v>46207</v>
      </c>
      <c r="B339" cm="1">
        <f t="array" ref="B339">SUMPRODUCT((Task_table_03_2_26!$C$2:$C$596=$B$1)*(A339&gt;Task_table_03_2_26!$J$2:$J$596)*(A339&lt;Task_table_03_2_26!$K$2:$K$596))</f>
        <v>30</v>
      </c>
      <c r="C339" cm="1">
        <f t="array" ref="C339">SUMPRODUCT((Task_table_03_2_26!$C$2:$C$596=$C$1)*(A339&gt;Task_table_03_2_26!$J$2:$J$596)*(A339&lt;Task_table_03_2_26!$K$2:$K$596))</f>
        <v>9</v>
      </c>
      <c r="D339" cm="1">
        <f t="array" ref="D339">SUMPRODUCT((Task_table_03_2_26!$C$2:$C$596=$D$1)*(A339&gt;Task_table_03_2_26!$J$2:$J$596)*(A339&lt;Task_table_03_2_26!$K$2:$K$596))</f>
        <v>0</v>
      </c>
      <c r="E339" cm="1">
        <f t="array" ref="E339">SUMPRODUCT((Task_table_03_2_26!$C$2:$C$596=$E$1)*(A339&gt;Task_table_03_2_26!$J$2:$J$596)*(A339&lt;Task_table_03_2_26!$K$2:$K$596))</f>
        <v>1</v>
      </c>
    </row>
    <row r="340" spans="1:5">
      <c r="A340" s="5">
        <v>46208</v>
      </c>
      <c r="B340" cm="1">
        <f t="array" ref="B340">SUMPRODUCT((Task_table_03_2_26!$C$2:$C$596=$B$1)*(A340&gt;Task_table_03_2_26!$J$2:$J$596)*(A340&lt;Task_table_03_2_26!$K$2:$K$596))</f>
        <v>30</v>
      </c>
      <c r="C340" cm="1">
        <f t="array" ref="C340">SUMPRODUCT((Task_table_03_2_26!$C$2:$C$596=$C$1)*(A340&gt;Task_table_03_2_26!$J$2:$J$596)*(A340&lt;Task_table_03_2_26!$K$2:$K$596))</f>
        <v>9</v>
      </c>
      <c r="D340" cm="1">
        <f t="array" ref="D340">SUMPRODUCT((Task_table_03_2_26!$C$2:$C$596=$D$1)*(A340&gt;Task_table_03_2_26!$J$2:$J$596)*(A340&lt;Task_table_03_2_26!$K$2:$K$596))</f>
        <v>0</v>
      </c>
      <c r="E340" cm="1">
        <f t="array" ref="E340">SUMPRODUCT((Task_table_03_2_26!$C$2:$C$596=$E$1)*(A340&gt;Task_table_03_2_26!$J$2:$J$596)*(A340&lt;Task_table_03_2_26!$K$2:$K$596))</f>
        <v>1</v>
      </c>
    </row>
    <row r="341" spans="1:5">
      <c r="A341" s="5">
        <v>46209</v>
      </c>
      <c r="B341" cm="1">
        <f t="array" ref="B341">SUMPRODUCT((Task_table_03_2_26!$C$2:$C$596=$B$1)*(A341&gt;Task_table_03_2_26!$J$2:$J$596)*(A341&lt;Task_table_03_2_26!$K$2:$K$596))</f>
        <v>30</v>
      </c>
      <c r="C341" cm="1">
        <f t="array" ref="C341">SUMPRODUCT((Task_table_03_2_26!$C$2:$C$596=$C$1)*(A341&gt;Task_table_03_2_26!$J$2:$J$596)*(A341&lt;Task_table_03_2_26!$K$2:$K$596))</f>
        <v>9</v>
      </c>
      <c r="D341" cm="1">
        <f t="array" ref="D341">SUMPRODUCT((Task_table_03_2_26!$C$2:$C$596=$D$1)*(A341&gt;Task_table_03_2_26!$J$2:$J$596)*(A341&lt;Task_table_03_2_26!$K$2:$K$596))</f>
        <v>0</v>
      </c>
      <c r="E341" cm="1">
        <f t="array" ref="E341">SUMPRODUCT((Task_table_03_2_26!$C$2:$C$596=$E$1)*(A341&gt;Task_table_03_2_26!$J$2:$J$596)*(A341&lt;Task_table_03_2_26!$K$2:$K$596))</f>
        <v>1</v>
      </c>
    </row>
    <row r="342" spans="1:5">
      <c r="A342" s="5">
        <v>46210</v>
      </c>
      <c r="B342" cm="1">
        <f t="array" ref="B342">SUMPRODUCT((Task_table_03_2_26!$C$2:$C$596=$B$1)*(A342&gt;Task_table_03_2_26!$J$2:$J$596)*(A342&lt;Task_table_03_2_26!$K$2:$K$596))</f>
        <v>30</v>
      </c>
      <c r="C342" cm="1">
        <f t="array" ref="C342">SUMPRODUCT((Task_table_03_2_26!$C$2:$C$596=$C$1)*(A342&gt;Task_table_03_2_26!$J$2:$J$596)*(A342&lt;Task_table_03_2_26!$K$2:$K$596))</f>
        <v>9</v>
      </c>
      <c r="D342" cm="1">
        <f t="array" ref="D342">SUMPRODUCT((Task_table_03_2_26!$C$2:$C$596=$D$1)*(A342&gt;Task_table_03_2_26!$J$2:$J$596)*(A342&lt;Task_table_03_2_26!$K$2:$K$596))</f>
        <v>0</v>
      </c>
      <c r="E342" cm="1">
        <f t="array" ref="E342">SUMPRODUCT((Task_table_03_2_26!$C$2:$C$596=$E$1)*(A342&gt;Task_table_03_2_26!$J$2:$J$596)*(A342&lt;Task_table_03_2_26!$K$2:$K$596))</f>
        <v>1</v>
      </c>
    </row>
    <row r="343" spans="1:5">
      <c r="A343" s="5">
        <v>46211</v>
      </c>
      <c r="B343" cm="1">
        <f t="array" ref="B343">SUMPRODUCT((Task_table_03_2_26!$C$2:$C$596=$B$1)*(A343&gt;Task_table_03_2_26!$J$2:$J$596)*(A343&lt;Task_table_03_2_26!$K$2:$K$596))</f>
        <v>30</v>
      </c>
      <c r="C343" cm="1">
        <f t="array" ref="C343">SUMPRODUCT((Task_table_03_2_26!$C$2:$C$596=$C$1)*(A343&gt;Task_table_03_2_26!$J$2:$J$596)*(A343&lt;Task_table_03_2_26!$K$2:$K$596))</f>
        <v>9</v>
      </c>
      <c r="D343" cm="1">
        <f t="array" ref="D343">SUMPRODUCT((Task_table_03_2_26!$C$2:$C$596=$D$1)*(A343&gt;Task_table_03_2_26!$J$2:$J$596)*(A343&lt;Task_table_03_2_26!$K$2:$K$596))</f>
        <v>0</v>
      </c>
      <c r="E343" cm="1">
        <f t="array" ref="E343">SUMPRODUCT((Task_table_03_2_26!$C$2:$C$596=$E$1)*(A343&gt;Task_table_03_2_26!$J$2:$J$596)*(A343&lt;Task_table_03_2_26!$K$2:$K$596))</f>
        <v>1</v>
      </c>
    </row>
    <row r="344" spans="1:5">
      <c r="A344" s="5">
        <v>46212</v>
      </c>
      <c r="B344" cm="1">
        <f t="array" ref="B344">SUMPRODUCT((Task_table_03_2_26!$C$2:$C$596=$B$1)*(A344&gt;Task_table_03_2_26!$J$2:$J$596)*(A344&lt;Task_table_03_2_26!$K$2:$K$596))</f>
        <v>30</v>
      </c>
      <c r="C344" cm="1">
        <f t="array" ref="C344">SUMPRODUCT((Task_table_03_2_26!$C$2:$C$596=$C$1)*(A344&gt;Task_table_03_2_26!$J$2:$J$596)*(A344&lt;Task_table_03_2_26!$K$2:$K$596))</f>
        <v>9</v>
      </c>
      <c r="D344" cm="1">
        <f t="array" ref="D344">SUMPRODUCT((Task_table_03_2_26!$C$2:$C$596=$D$1)*(A344&gt;Task_table_03_2_26!$J$2:$J$596)*(A344&lt;Task_table_03_2_26!$K$2:$K$596))</f>
        <v>0</v>
      </c>
      <c r="E344" cm="1">
        <f t="array" ref="E344">SUMPRODUCT((Task_table_03_2_26!$C$2:$C$596=$E$1)*(A344&gt;Task_table_03_2_26!$J$2:$J$596)*(A344&lt;Task_table_03_2_26!$K$2:$K$596))</f>
        <v>1</v>
      </c>
    </row>
    <row r="345" spans="1:5">
      <c r="A345" s="5">
        <v>46213</v>
      </c>
      <c r="B345" cm="1">
        <f t="array" ref="B345">SUMPRODUCT((Task_table_03_2_26!$C$2:$C$596=$B$1)*(A345&gt;Task_table_03_2_26!$J$2:$J$596)*(A345&lt;Task_table_03_2_26!$K$2:$K$596))</f>
        <v>30</v>
      </c>
      <c r="C345" cm="1">
        <f t="array" ref="C345">SUMPRODUCT((Task_table_03_2_26!$C$2:$C$596=$C$1)*(A345&gt;Task_table_03_2_26!$J$2:$J$596)*(A345&lt;Task_table_03_2_26!$K$2:$K$596))</f>
        <v>9</v>
      </c>
      <c r="D345" cm="1">
        <f t="array" ref="D345">SUMPRODUCT((Task_table_03_2_26!$C$2:$C$596=$D$1)*(A345&gt;Task_table_03_2_26!$J$2:$J$596)*(A345&lt;Task_table_03_2_26!$K$2:$K$596))</f>
        <v>0</v>
      </c>
      <c r="E345" cm="1">
        <f t="array" ref="E345">SUMPRODUCT((Task_table_03_2_26!$C$2:$C$596=$E$1)*(A345&gt;Task_table_03_2_26!$J$2:$J$596)*(A345&lt;Task_table_03_2_26!$K$2:$K$596))</f>
        <v>1</v>
      </c>
    </row>
    <row r="346" spans="1:5">
      <c r="A346" s="5">
        <v>46214</v>
      </c>
      <c r="B346" cm="1">
        <f t="array" ref="B346">SUMPRODUCT((Task_table_03_2_26!$C$2:$C$596=$B$1)*(A346&gt;Task_table_03_2_26!$J$2:$J$596)*(A346&lt;Task_table_03_2_26!$K$2:$K$596))</f>
        <v>30</v>
      </c>
      <c r="C346" cm="1">
        <f t="array" ref="C346">SUMPRODUCT((Task_table_03_2_26!$C$2:$C$596=$C$1)*(A346&gt;Task_table_03_2_26!$J$2:$J$596)*(A346&lt;Task_table_03_2_26!$K$2:$K$596))</f>
        <v>9</v>
      </c>
      <c r="D346" cm="1">
        <f t="array" ref="D346">SUMPRODUCT((Task_table_03_2_26!$C$2:$C$596=$D$1)*(A346&gt;Task_table_03_2_26!$J$2:$J$596)*(A346&lt;Task_table_03_2_26!$K$2:$K$596))</f>
        <v>0</v>
      </c>
      <c r="E346" cm="1">
        <f t="array" ref="E346">SUMPRODUCT((Task_table_03_2_26!$C$2:$C$596=$E$1)*(A346&gt;Task_table_03_2_26!$J$2:$J$596)*(A346&lt;Task_table_03_2_26!$K$2:$K$596))</f>
        <v>1</v>
      </c>
    </row>
    <row r="347" spans="1:5">
      <c r="A347" s="5">
        <v>46215</v>
      </c>
      <c r="B347" cm="1">
        <f t="array" ref="B347">SUMPRODUCT((Task_table_03_2_26!$C$2:$C$596=$B$1)*(A347&gt;Task_table_03_2_26!$J$2:$J$596)*(A347&lt;Task_table_03_2_26!$K$2:$K$596))</f>
        <v>30</v>
      </c>
      <c r="C347" cm="1">
        <f t="array" ref="C347">SUMPRODUCT((Task_table_03_2_26!$C$2:$C$596=$C$1)*(A347&gt;Task_table_03_2_26!$J$2:$J$596)*(A347&lt;Task_table_03_2_26!$K$2:$K$596))</f>
        <v>9</v>
      </c>
      <c r="D347" cm="1">
        <f t="array" ref="D347">SUMPRODUCT((Task_table_03_2_26!$C$2:$C$596=$D$1)*(A347&gt;Task_table_03_2_26!$J$2:$J$596)*(A347&lt;Task_table_03_2_26!$K$2:$K$596))</f>
        <v>0</v>
      </c>
      <c r="E347" cm="1">
        <f t="array" ref="E347">SUMPRODUCT((Task_table_03_2_26!$C$2:$C$596=$E$1)*(A347&gt;Task_table_03_2_26!$J$2:$J$596)*(A347&lt;Task_table_03_2_26!$K$2:$K$596))</f>
        <v>1</v>
      </c>
    </row>
    <row r="348" spans="1:5">
      <c r="A348" s="5">
        <v>46216</v>
      </c>
      <c r="B348" cm="1">
        <f t="array" ref="B348">SUMPRODUCT((Task_table_03_2_26!$C$2:$C$596=$B$1)*(A348&gt;Task_table_03_2_26!$J$2:$J$596)*(A348&lt;Task_table_03_2_26!$K$2:$K$596))</f>
        <v>30</v>
      </c>
      <c r="C348" cm="1">
        <f t="array" ref="C348">SUMPRODUCT((Task_table_03_2_26!$C$2:$C$596=$C$1)*(A348&gt;Task_table_03_2_26!$J$2:$J$596)*(A348&lt;Task_table_03_2_26!$K$2:$K$596))</f>
        <v>9</v>
      </c>
      <c r="D348" cm="1">
        <f t="array" ref="D348">SUMPRODUCT((Task_table_03_2_26!$C$2:$C$596=$D$1)*(A348&gt;Task_table_03_2_26!$J$2:$J$596)*(A348&lt;Task_table_03_2_26!$K$2:$K$596))</f>
        <v>0</v>
      </c>
      <c r="E348" cm="1">
        <f t="array" ref="E348">SUMPRODUCT((Task_table_03_2_26!$C$2:$C$596=$E$1)*(A348&gt;Task_table_03_2_26!$J$2:$J$596)*(A348&lt;Task_table_03_2_26!$K$2:$K$596))</f>
        <v>1</v>
      </c>
    </row>
    <row r="349" spans="1:5">
      <c r="A349" s="5">
        <v>46217</v>
      </c>
      <c r="B349" cm="1">
        <f t="array" ref="B349">SUMPRODUCT((Task_table_03_2_26!$C$2:$C$596=$B$1)*(A349&gt;Task_table_03_2_26!$J$2:$J$596)*(A349&lt;Task_table_03_2_26!$K$2:$K$596))</f>
        <v>30</v>
      </c>
      <c r="C349" cm="1">
        <f t="array" ref="C349">SUMPRODUCT((Task_table_03_2_26!$C$2:$C$596=$C$1)*(A349&gt;Task_table_03_2_26!$J$2:$J$596)*(A349&lt;Task_table_03_2_26!$K$2:$K$596))</f>
        <v>10</v>
      </c>
      <c r="D349" cm="1">
        <f t="array" ref="D349">SUMPRODUCT((Task_table_03_2_26!$C$2:$C$596=$D$1)*(A349&gt;Task_table_03_2_26!$J$2:$J$596)*(A349&lt;Task_table_03_2_26!$K$2:$K$596))</f>
        <v>0</v>
      </c>
      <c r="E349" cm="1">
        <f t="array" ref="E349">SUMPRODUCT((Task_table_03_2_26!$C$2:$C$596=$E$1)*(A349&gt;Task_table_03_2_26!$J$2:$J$596)*(A349&lt;Task_table_03_2_26!$K$2:$K$596))</f>
        <v>1</v>
      </c>
    </row>
    <row r="350" spans="1:5">
      <c r="A350" s="5">
        <v>46218</v>
      </c>
      <c r="B350" cm="1">
        <f t="array" ref="B350">SUMPRODUCT((Task_table_03_2_26!$C$2:$C$596=$B$1)*(A350&gt;Task_table_03_2_26!$J$2:$J$596)*(A350&lt;Task_table_03_2_26!$K$2:$K$596))</f>
        <v>30</v>
      </c>
      <c r="C350" cm="1">
        <f t="array" ref="C350">SUMPRODUCT((Task_table_03_2_26!$C$2:$C$596=$C$1)*(A350&gt;Task_table_03_2_26!$J$2:$J$596)*(A350&lt;Task_table_03_2_26!$K$2:$K$596))</f>
        <v>10</v>
      </c>
      <c r="D350" cm="1">
        <f t="array" ref="D350">SUMPRODUCT((Task_table_03_2_26!$C$2:$C$596=$D$1)*(A350&gt;Task_table_03_2_26!$J$2:$J$596)*(A350&lt;Task_table_03_2_26!$K$2:$K$596))</f>
        <v>0</v>
      </c>
      <c r="E350" cm="1">
        <f t="array" ref="E350">SUMPRODUCT((Task_table_03_2_26!$C$2:$C$596=$E$1)*(A350&gt;Task_table_03_2_26!$J$2:$J$596)*(A350&lt;Task_table_03_2_26!$K$2:$K$596))</f>
        <v>1</v>
      </c>
    </row>
    <row r="351" spans="1:5">
      <c r="A351" s="5">
        <v>46219</v>
      </c>
      <c r="B351" cm="1">
        <f t="array" ref="B351">SUMPRODUCT((Task_table_03_2_26!$C$2:$C$596=$B$1)*(A351&gt;Task_table_03_2_26!$J$2:$J$596)*(A351&lt;Task_table_03_2_26!$K$2:$K$596))</f>
        <v>30</v>
      </c>
      <c r="C351" cm="1">
        <f t="array" ref="C351">SUMPRODUCT((Task_table_03_2_26!$C$2:$C$596=$C$1)*(A351&gt;Task_table_03_2_26!$J$2:$J$596)*(A351&lt;Task_table_03_2_26!$K$2:$K$596))</f>
        <v>11</v>
      </c>
      <c r="D351" cm="1">
        <f t="array" ref="D351">SUMPRODUCT((Task_table_03_2_26!$C$2:$C$596=$D$1)*(A351&gt;Task_table_03_2_26!$J$2:$J$596)*(A351&lt;Task_table_03_2_26!$K$2:$K$596))</f>
        <v>0</v>
      </c>
      <c r="E351" cm="1">
        <f t="array" ref="E351">SUMPRODUCT((Task_table_03_2_26!$C$2:$C$596=$E$1)*(A351&gt;Task_table_03_2_26!$J$2:$J$596)*(A351&lt;Task_table_03_2_26!$K$2:$K$596))</f>
        <v>1</v>
      </c>
    </row>
    <row r="352" spans="1:5">
      <c r="A352" s="5">
        <v>46220</v>
      </c>
      <c r="B352" cm="1">
        <f t="array" ref="B352">SUMPRODUCT((Task_table_03_2_26!$C$2:$C$596=$B$1)*(A352&gt;Task_table_03_2_26!$J$2:$J$596)*(A352&lt;Task_table_03_2_26!$K$2:$K$596))</f>
        <v>30</v>
      </c>
      <c r="C352" cm="1">
        <f t="array" ref="C352">SUMPRODUCT((Task_table_03_2_26!$C$2:$C$596=$C$1)*(A352&gt;Task_table_03_2_26!$J$2:$J$596)*(A352&lt;Task_table_03_2_26!$K$2:$K$596))</f>
        <v>11</v>
      </c>
      <c r="D352" cm="1">
        <f t="array" ref="D352">SUMPRODUCT((Task_table_03_2_26!$C$2:$C$596=$D$1)*(A352&gt;Task_table_03_2_26!$J$2:$J$596)*(A352&lt;Task_table_03_2_26!$K$2:$K$596))</f>
        <v>0</v>
      </c>
      <c r="E352" cm="1">
        <f t="array" ref="E352">SUMPRODUCT((Task_table_03_2_26!$C$2:$C$596=$E$1)*(A352&gt;Task_table_03_2_26!$J$2:$J$596)*(A352&lt;Task_table_03_2_26!$K$2:$K$596))</f>
        <v>1</v>
      </c>
    </row>
    <row r="353" spans="1:5">
      <c r="A353" s="5">
        <v>46221</v>
      </c>
      <c r="B353" cm="1">
        <f t="array" ref="B353">SUMPRODUCT((Task_table_03_2_26!$C$2:$C$596=$B$1)*(A353&gt;Task_table_03_2_26!$J$2:$J$596)*(A353&lt;Task_table_03_2_26!$K$2:$K$596))</f>
        <v>30</v>
      </c>
      <c r="C353" cm="1">
        <f t="array" ref="C353">SUMPRODUCT((Task_table_03_2_26!$C$2:$C$596=$C$1)*(A353&gt;Task_table_03_2_26!$J$2:$J$596)*(A353&lt;Task_table_03_2_26!$K$2:$K$596))</f>
        <v>11</v>
      </c>
      <c r="D353" cm="1">
        <f t="array" ref="D353">SUMPRODUCT((Task_table_03_2_26!$C$2:$C$596=$D$1)*(A353&gt;Task_table_03_2_26!$J$2:$J$596)*(A353&lt;Task_table_03_2_26!$K$2:$K$596))</f>
        <v>0</v>
      </c>
      <c r="E353" cm="1">
        <f t="array" ref="E353">SUMPRODUCT((Task_table_03_2_26!$C$2:$C$596=$E$1)*(A353&gt;Task_table_03_2_26!$J$2:$J$596)*(A353&lt;Task_table_03_2_26!$K$2:$K$596))</f>
        <v>1</v>
      </c>
    </row>
    <row r="354" spans="1:5">
      <c r="A354" s="5">
        <v>46222</v>
      </c>
      <c r="B354" cm="1">
        <f t="array" ref="B354">SUMPRODUCT((Task_table_03_2_26!$C$2:$C$596=$B$1)*(A354&gt;Task_table_03_2_26!$J$2:$J$596)*(A354&lt;Task_table_03_2_26!$K$2:$K$596))</f>
        <v>30</v>
      </c>
      <c r="C354" cm="1">
        <f t="array" ref="C354">SUMPRODUCT((Task_table_03_2_26!$C$2:$C$596=$C$1)*(A354&gt;Task_table_03_2_26!$J$2:$J$596)*(A354&lt;Task_table_03_2_26!$K$2:$K$596))</f>
        <v>11</v>
      </c>
      <c r="D354" cm="1">
        <f t="array" ref="D354">SUMPRODUCT((Task_table_03_2_26!$C$2:$C$596=$D$1)*(A354&gt;Task_table_03_2_26!$J$2:$J$596)*(A354&lt;Task_table_03_2_26!$K$2:$K$596))</f>
        <v>0</v>
      </c>
      <c r="E354" cm="1">
        <f t="array" ref="E354">SUMPRODUCT((Task_table_03_2_26!$C$2:$C$596=$E$1)*(A354&gt;Task_table_03_2_26!$J$2:$J$596)*(A354&lt;Task_table_03_2_26!$K$2:$K$596))</f>
        <v>1</v>
      </c>
    </row>
    <row r="355" spans="1:5">
      <c r="A355" s="5">
        <v>46223</v>
      </c>
      <c r="B355" cm="1">
        <f t="array" ref="B355">SUMPRODUCT((Task_table_03_2_26!$C$2:$C$596=$B$1)*(A355&gt;Task_table_03_2_26!$J$2:$J$596)*(A355&lt;Task_table_03_2_26!$K$2:$K$596))</f>
        <v>30</v>
      </c>
      <c r="C355" cm="1">
        <f t="array" ref="C355">SUMPRODUCT((Task_table_03_2_26!$C$2:$C$596=$C$1)*(A355&gt;Task_table_03_2_26!$J$2:$J$596)*(A355&lt;Task_table_03_2_26!$K$2:$K$596))</f>
        <v>11</v>
      </c>
      <c r="D355" cm="1">
        <f t="array" ref="D355">SUMPRODUCT((Task_table_03_2_26!$C$2:$C$596=$D$1)*(A355&gt;Task_table_03_2_26!$J$2:$J$596)*(A355&lt;Task_table_03_2_26!$K$2:$K$596))</f>
        <v>0</v>
      </c>
      <c r="E355" cm="1">
        <f t="array" ref="E355">SUMPRODUCT((Task_table_03_2_26!$C$2:$C$596=$E$1)*(A355&gt;Task_table_03_2_26!$J$2:$J$596)*(A355&lt;Task_table_03_2_26!$K$2:$K$596))</f>
        <v>1</v>
      </c>
    </row>
    <row r="356" spans="1:5">
      <c r="A356" s="5">
        <v>46224</v>
      </c>
      <c r="B356" cm="1">
        <f t="array" ref="B356">SUMPRODUCT((Task_table_03_2_26!$C$2:$C$596=$B$1)*(A356&gt;Task_table_03_2_26!$J$2:$J$596)*(A356&lt;Task_table_03_2_26!$K$2:$K$596))</f>
        <v>30</v>
      </c>
      <c r="C356" cm="1">
        <f t="array" ref="C356">SUMPRODUCT((Task_table_03_2_26!$C$2:$C$596=$C$1)*(A356&gt;Task_table_03_2_26!$J$2:$J$596)*(A356&lt;Task_table_03_2_26!$K$2:$K$596))</f>
        <v>11</v>
      </c>
      <c r="D356" cm="1">
        <f t="array" ref="D356">SUMPRODUCT((Task_table_03_2_26!$C$2:$C$596=$D$1)*(A356&gt;Task_table_03_2_26!$J$2:$J$596)*(A356&lt;Task_table_03_2_26!$K$2:$K$596))</f>
        <v>0</v>
      </c>
      <c r="E356" cm="1">
        <f t="array" ref="E356">SUMPRODUCT((Task_table_03_2_26!$C$2:$C$596=$E$1)*(A356&gt;Task_table_03_2_26!$J$2:$J$596)*(A356&lt;Task_table_03_2_26!$K$2:$K$596))</f>
        <v>1</v>
      </c>
    </row>
    <row r="357" spans="1:5">
      <c r="A357" s="5">
        <v>46225</v>
      </c>
      <c r="B357" cm="1">
        <f t="array" ref="B357">SUMPRODUCT((Task_table_03_2_26!$C$2:$C$596=$B$1)*(A357&gt;Task_table_03_2_26!$J$2:$J$596)*(A357&lt;Task_table_03_2_26!$K$2:$K$596))</f>
        <v>30</v>
      </c>
      <c r="C357" cm="1">
        <f t="array" ref="C357">SUMPRODUCT((Task_table_03_2_26!$C$2:$C$596=$C$1)*(A357&gt;Task_table_03_2_26!$J$2:$J$596)*(A357&lt;Task_table_03_2_26!$K$2:$K$596))</f>
        <v>11</v>
      </c>
      <c r="D357" cm="1">
        <f t="array" ref="D357">SUMPRODUCT((Task_table_03_2_26!$C$2:$C$596=$D$1)*(A357&gt;Task_table_03_2_26!$J$2:$J$596)*(A357&lt;Task_table_03_2_26!$K$2:$K$596))</f>
        <v>0</v>
      </c>
      <c r="E357" cm="1">
        <f t="array" ref="E357">SUMPRODUCT((Task_table_03_2_26!$C$2:$C$596=$E$1)*(A357&gt;Task_table_03_2_26!$J$2:$J$596)*(A357&lt;Task_table_03_2_26!$K$2:$K$596))</f>
        <v>1</v>
      </c>
    </row>
    <row r="358" spans="1:5">
      <c r="A358" s="5">
        <v>46226</v>
      </c>
      <c r="B358" cm="1">
        <f t="array" ref="B358">SUMPRODUCT((Task_table_03_2_26!$C$2:$C$596=$B$1)*(A358&gt;Task_table_03_2_26!$J$2:$J$596)*(A358&lt;Task_table_03_2_26!$K$2:$K$596))</f>
        <v>30</v>
      </c>
      <c r="C358" cm="1">
        <f t="array" ref="C358">SUMPRODUCT((Task_table_03_2_26!$C$2:$C$596=$C$1)*(A358&gt;Task_table_03_2_26!$J$2:$J$596)*(A358&lt;Task_table_03_2_26!$K$2:$K$596))</f>
        <v>11</v>
      </c>
      <c r="D358" cm="1">
        <f t="array" ref="D358">SUMPRODUCT((Task_table_03_2_26!$C$2:$C$596=$D$1)*(A358&gt;Task_table_03_2_26!$J$2:$J$596)*(A358&lt;Task_table_03_2_26!$K$2:$K$596))</f>
        <v>0</v>
      </c>
      <c r="E358" cm="1">
        <f t="array" ref="E358">SUMPRODUCT((Task_table_03_2_26!$C$2:$C$596=$E$1)*(A358&gt;Task_table_03_2_26!$J$2:$J$596)*(A358&lt;Task_table_03_2_26!$K$2:$K$596))</f>
        <v>1</v>
      </c>
    </row>
    <row r="359" spans="1:5">
      <c r="A359" s="5">
        <v>46227</v>
      </c>
      <c r="B359" cm="1">
        <f t="array" ref="B359">SUMPRODUCT((Task_table_03_2_26!$C$2:$C$596=$B$1)*(A359&gt;Task_table_03_2_26!$J$2:$J$596)*(A359&lt;Task_table_03_2_26!$K$2:$K$596))</f>
        <v>30</v>
      </c>
      <c r="C359" cm="1">
        <f t="array" ref="C359">SUMPRODUCT((Task_table_03_2_26!$C$2:$C$596=$C$1)*(A359&gt;Task_table_03_2_26!$J$2:$J$596)*(A359&lt;Task_table_03_2_26!$K$2:$K$596))</f>
        <v>11</v>
      </c>
      <c r="D359" cm="1">
        <f t="array" ref="D359">SUMPRODUCT((Task_table_03_2_26!$C$2:$C$596=$D$1)*(A359&gt;Task_table_03_2_26!$J$2:$J$596)*(A359&lt;Task_table_03_2_26!$K$2:$K$596))</f>
        <v>0</v>
      </c>
      <c r="E359" cm="1">
        <f t="array" ref="E359">SUMPRODUCT((Task_table_03_2_26!$C$2:$C$596=$E$1)*(A359&gt;Task_table_03_2_26!$J$2:$J$596)*(A359&lt;Task_table_03_2_26!$K$2:$K$596))</f>
        <v>1</v>
      </c>
    </row>
    <row r="360" spans="1:5">
      <c r="A360" s="5">
        <v>46228</v>
      </c>
      <c r="B360" cm="1">
        <f t="array" ref="B360">SUMPRODUCT((Task_table_03_2_26!$C$2:$C$596=$B$1)*(A360&gt;Task_table_03_2_26!$J$2:$J$596)*(A360&lt;Task_table_03_2_26!$K$2:$K$596))</f>
        <v>30</v>
      </c>
      <c r="C360" cm="1">
        <f t="array" ref="C360">SUMPRODUCT((Task_table_03_2_26!$C$2:$C$596=$C$1)*(A360&gt;Task_table_03_2_26!$J$2:$J$596)*(A360&lt;Task_table_03_2_26!$K$2:$K$596))</f>
        <v>11</v>
      </c>
      <c r="D360" cm="1">
        <f t="array" ref="D360">SUMPRODUCT((Task_table_03_2_26!$C$2:$C$596=$D$1)*(A360&gt;Task_table_03_2_26!$J$2:$J$596)*(A360&lt;Task_table_03_2_26!$K$2:$K$596))</f>
        <v>0</v>
      </c>
      <c r="E360" cm="1">
        <f t="array" ref="E360">SUMPRODUCT((Task_table_03_2_26!$C$2:$C$596=$E$1)*(A360&gt;Task_table_03_2_26!$J$2:$J$596)*(A360&lt;Task_table_03_2_26!$K$2:$K$596))</f>
        <v>1</v>
      </c>
    </row>
    <row r="361" spans="1:5">
      <c r="A361" s="5">
        <v>46229</v>
      </c>
      <c r="B361" cm="1">
        <f t="array" ref="B361">SUMPRODUCT((Task_table_03_2_26!$C$2:$C$596=$B$1)*(A361&gt;Task_table_03_2_26!$J$2:$J$596)*(A361&lt;Task_table_03_2_26!$K$2:$K$596))</f>
        <v>30</v>
      </c>
      <c r="C361" cm="1">
        <f t="array" ref="C361">SUMPRODUCT((Task_table_03_2_26!$C$2:$C$596=$C$1)*(A361&gt;Task_table_03_2_26!$J$2:$J$596)*(A361&lt;Task_table_03_2_26!$K$2:$K$596))</f>
        <v>11</v>
      </c>
      <c r="D361" cm="1">
        <f t="array" ref="D361">SUMPRODUCT((Task_table_03_2_26!$C$2:$C$596=$D$1)*(A361&gt;Task_table_03_2_26!$J$2:$J$596)*(A361&lt;Task_table_03_2_26!$K$2:$K$596))</f>
        <v>0</v>
      </c>
      <c r="E361" cm="1">
        <f t="array" ref="E361">SUMPRODUCT((Task_table_03_2_26!$C$2:$C$596=$E$1)*(A361&gt;Task_table_03_2_26!$J$2:$J$596)*(A361&lt;Task_table_03_2_26!$K$2:$K$596))</f>
        <v>1</v>
      </c>
    </row>
    <row r="362" spans="1:5">
      <c r="A362" s="5">
        <v>46230</v>
      </c>
      <c r="B362" cm="1">
        <f t="array" ref="B362">SUMPRODUCT((Task_table_03_2_26!$C$2:$C$596=$B$1)*(A362&gt;Task_table_03_2_26!$J$2:$J$596)*(A362&lt;Task_table_03_2_26!$K$2:$K$596))</f>
        <v>30</v>
      </c>
      <c r="C362" cm="1">
        <f t="array" ref="C362">SUMPRODUCT((Task_table_03_2_26!$C$2:$C$596=$C$1)*(A362&gt;Task_table_03_2_26!$J$2:$J$596)*(A362&lt;Task_table_03_2_26!$K$2:$K$596))</f>
        <v>11</v>
      </c>
      <c r="D362" cm="1">
        <f t="array" ref="D362">SUMPRODUCT((Task_table_03_2_26!$C$2:$C$596=$D$1)*(A362&gt;Task_table_03_2_26!$J$2:$J$596)*(A362&lt;Task_table_03_2_26!$K$2:$K$596))</f>
        <v>0</v>
      </c>
      <c r="E362" cm="1">
        <f t="array" ref="E362">SUMPRODUCT((Task_table_03_2_26!$C$2:$C$596=$E$1)*(A362&gt;Task_table_03_2_26!$J$2:$J$596)*(A362&lt;Task_table_03_2_26!$K$2:$K$596))</f>
        <v>1</v>
      </c>
    </row>
    <row r="363" spans="1:5">
      <c r="A363" s="5">
        <v>46231</v>
      </c>
      <c r="B363" cm="1">
        <f t="array" ref="B363">SUMPRODUCT((Task_table_03_2_26!$C$2:$C$596=$B$1)*(A363&gt;Task_table_03_2_26!$J$2:$J$596)*(A363&lt;Task_table_03_2_26!$K$2:$K$596))</f>
        <v>30</v>
      </c>
      <c r="C363" cm="1">
        <f t="array" ref="C363">SUMPRODUCT((Task_table_03_2_26!$C$2:$C$596=$C$1)*(A363&gt;Task_table_03_2_26!$J$2:$J$596)*(A363&lt;Task_table_03_2_26!$K$2:$K$596))</f>
        <v>11</v>
      </c>
      <c r="D363" cm="1">
        <f t="array" ref="D363">SUMPRODUCT((Task_table_03_2_26!$C$2:$C$596=$D$1)*(A363&gt;Task_table_03_2_26!$J$2:$J$596)*(A363&lt;Task_table_03_2_26!$K$2:$K$596))</f>
        <v>0</v>
      </c>
      <c r="E363" cm="1">
        <f t="array" ref="E363">SUMPRODUCT((Task_table_03_2_26!$C$2:$C$596=$E$1)*(A363&gt;Task_table_03_2_26!$J$2:$J$596)*(A363&lt;Task_table_03_2_26!$K$2:$K$596))</f>
        <v>1</v>
      </c>
    </row>
    <row r="364" spans="1:5">
      <c r="A364" s="5">
        <v>46232</v>
      </c>
      <c r="B364" cm="1">
        <f t="array" ref="B364">SUMPRODUCT((Task_table_03_2_26!$C$2:$C$596=$B$1)*(A364&gt;Task_table_03_2_26!$J$2:$J$596)*(A364&lt;Task_table_03_2_26!$K$2:$K$596))</f>
        <v>30</v>
      </c>
      <c r="C364" cm="1">
        <f t="array" ref="C364">SUMPRODUCT((Task_table_03_2_26!$C$2:$C$596=$C$1)*(A364&gt;Task_table_03_2_26!$J$2:$J$596)*(A364&lt;Task_table_03_2_26!$K$2:$K$596))</f>
        <v>10</v>
      </c>
      <c r="D364" cm="1">
        <f t="array" ref="D364">SUMPRODUCT((Task_table_03_2_26!$C$2:$C$596=$D$1)*(A364&gt;Task_table_03_2_26!$J$2:$J$596)*(A364&lt;Task_table_03_2_26!$K$2:$K$596))</f>
        <v>0</v>
      </c>
      <c r="E364" cm="1">
        <f t="array" ref="E364">SUMPRODUCT((Task_table_03_2_26!$C$2:$C$596=$E$1)*(A364&gt;Task_table_03_2_26!$J$2:$J$596)*(A364&lt;Task_table_03_2_26!$K$2:$K$596))</f>
        <v>1</v>
      </c>
    </row>
    <row r="365" spans="1:5">
      <c r="A365" s="5">
        <v>46233</v>
      </c>
      <c r="B365" cm="1">
        <f t="array" ref="B365">SUMPRODUCT((Task_table_03_2_26!$C$2:$C$596=$B$1)*(A365&gt;Task_table_03_2_26!$J$2:$J$596)*(A365&lt;Task_table_03_2_26!$K$2:$K$596))</f>
        <v>30</v>
      </c>
      <c r="C365" cm="1">
        <f t="array" ref="C365">SUMPRODUCT((Task_table_03_2_26!$C$2:$C$596=$C$1)*(A365&gt;Task_table_03_2_26!$J$2:$J$596)*(A365&lt;Task_table_03_2_26!$K$2:$K$596))</f>
        <v>10</v>
      </c>
      <c r="D365" cm="1">
        <f t="array" ref="D365">SUMPRODUCT((Task_table_03_2_26!$C$2:$C$596=$D$1)*(A365&gt;Task_table_03_2_26!$J$2:$J$596)*(A365&lt;Task_table_03_2_26!$K$2:$K$596))</f>
        <v>0</v>
      </c>
      <c r="E365" cm="1">
        <f t="array" ref="E365">SUMPRODUCT((Task_table_03_2_26!$C$2:$C$596=$E$1)*(A365&gt;Task_table_03_2_26!$J$2:$J$596)*(A365&lt;Task_table_03_2_26!$K$2:$K$596))</f>
        <v>1</v>
      </c>
    </row>
    <row r="366" spans="1:5">
      <c r="A366" s="5">
        <v>46234</v>
      </c>
      <c r="B366" cm="1">
        <f t="array" ref="B366">SUMPRODUCT((Task_table_03_2_26!$C$2:$C$596=$B$1)*(A366&gt;Task_table_03_2_26!$J$2:$J$596)*(A366&lt;Task_table_03_2_26!$K$2:$K$596))</f>
        <v>30</v>
      </c>
      <c r="C366" cm="1">
        <f t="array" ref="C366">SUMPRODUCT((Task_table_03_2_26!$C$2:$C$596=$C$1)*(A366&gt;Task_table_03_2_26!$J$2:$J$596)*(A366&lt;Task_table_03_2_26!$K$2:$K$596))</f>
        <v>9</v>
      </c>
      <c r="D366" cm="1">
        <f t="array" ref="D366">SUMPRODUCT((Task_table_03_2_26!$C$2:$C$596=$D$1)*(A366&gt;Task_table_03_2_26!$J$2:$J$596)*(A366&lt;Task_table_03_2_26!$K$2:$K$596))</f>
        <v>0</v>
      </c>
      <c r="E366" cm="1">
        <f t="array" ref="E366">SUMPRODUCT((Task_table_03_2_26!$C$2:$C$596=$E$1)*(A366&gt;Task_table_03_2_26!$J$2:$J$596)*(A366&lt;Task_table_03_2_26!$K$2:$K$596))</f>
        <v>1</v>
      </c>
    </row>
    <row r="367" spans="1:5">
      <c r="A367" s="5">
        <v>46235</v>
      </c>
      <c r="B367" cm="1">
        <f t="array" ref="B367">SUMPRODUCT((Task_table_03_2_26!$C$2:$C$596=$B$1)*(A367&gt;Task_table_03_2_26!$J$2:$J$596)*(A367&lt;Task_table_03_2_26!$K$2:$K$596))</f>
        <v>30</v>
      </c>
      <c r="C367" cm="1">
        <f t="array" ref="C367">SUMPRODUCT((Task_table_03_2_26!$C$2:$C$596=$C$1)*(A367&gt;Task_table_03_2_26!$J$2:$J$596)*(A367&lt;Task_table_03_2_26!$K$2:$K$596))</f>
        <v>9</v>
      </c>
      <c r="D367" cm="1">
        <f t="array" ref="D367">SUMPRODUCT((Task_table_03_2_26!$C$2:$C$596=$D$1)*(A367&gt;Task_table_03_2_26!$J$2:$J$596)*(A367&lt;Task_table_03_2_26!$K$2:$K$596))</f>
        <v>0</v>
      </c>
      <c r="E367" cm="1">
        <f t="array" ref="E367">SUMPRODUCT((Task_table_03_2_26!$C$2:$C$596=$E$1)*(A367&gt;Task_table_03_2_26!$J$2:$J$596)*(A367&lt;Task_table_03_2_26!$K$2:$K$596))</f>
        <v>1</v>
      </c>
    </row>
    <row r="368" spans="1:5">
      <c r="A368" s="5">
        <v>46236</v>
      </c>
      <c r="B368" cm="1">
        <f t="array" ref="B368">SUMPRODUCT((Task_table_03_2_26!$C$2:$C$596=$B$1)*(A368&gt;Task_table_03_2_26!$J$2:$J$596)*(A368&lt;Task_table_03_2_26!$K$2:$K$596))</f>
        <v>30</v>
      </c>
      <c r="C368" cm="1">
        <f t="array" ref="C368">SUMPRODUCT((Task_table_03_2_26!$C$2:$C$596=$C$1)*(A368&gt;Task_table_03_2_26!$J$2:$J$596)*(A368&lt;Task_table_03_2_26!$K$2:$K$596))</f>
        <v>9</v>
      </c>
      <c r="D368" cm="1">
        <f t="array" ref="D368">SUMPRODUCT((Task_table_03_2_26!$C$2:$C$596=$D$1)*(A368&gt;Task_table_03_2_26!$J$2:$J$596)*(A368&lt;Task_table_03_2_26!$K$2:$K$596))</f>
        <v>0</v>
      </c>
      <c r="E368" cm="1">
        <f t="array" ref="E368">SUMPRODUCT((Task_table_03_2_26!$C$2:$C$596=$E$1)*(A368&gt;Task_table_03_2_26!$J$2:$J$596)*(A368&lt;Task_table_03_2_26!$K$2:$K$596))</f>
        <v>1</v>
      </c>
    </row>
    <row r="369" spans="1:5">
      <c r="A369" s="5">
        <v>46237</v>
      </c>
      <c r="B369" cm="1">
        <f t="array" ref="B369">SUMPRODUCT((Task_table_03_2_26!$C$2:$C$596=$B$1)*(A369&gt;Task_table_03_2_26!$J$2:$J$596)*(A369&lt;Task_table_03_2_26!$K$2:$K$596))</f>
        <v>30</v>
      </c>
      <c r="C369" cm="1">
        <f t="array" ref="C369">SUMPRODUCT((Task_table_03_2_26!$C$2:$C$596=$C$1)*(A369&gt;Task_table_03_2_26!$J$2:$J$596)*(A369&lt;Task_table_03_2_26!$K$2:$K$596))</f>
        <v>9</v>
      </c>
      <c r="D369" cm="1">
        <f t="array" ref="D369">SUMPRODUCT((Task_table_03_2_26!$C$2:$C$596=$D$1)*(A369&gt;Task_table_03_2_26!$J$2:$J$596)*(A369&lt;Task_table_03_2_26!$K$2:$K$596))</f>
        <v>0</v>
      </c>
      <c r="E369" cm="1">
        <f t="array" ref="E369">SUMPRODUCT((Task_table_03_2_26!$C$2:$C$596=$E$1)*(A369&gt;Task_table_03_2_26!$J$2:$J$596)*(A369&lt;Task_table_03_2_26!$K$2:$K$596))</f>
        <v>1</v>
      </c>
    </row>
    <row r="370" spans="1:5">
      <c r="A370" s="5">
        <v>46238</v>
      </c>
      <c r="B370" cm="1">
        <f t="array" ref="B370">SUMPRODUCT((Task_table_03_2_26!$C$2:$C$596=$B$1)*(A370&gt;Task_table_03_2_26!$J$2:$J$596)*(A370&lt;Task_table_03_2_26!$K$2:$K$596))</f>
        <v>30</v>
      </c>
      <c r="C370" cm="1">
        <f t="array" ref="C370">SUMPRODUCT((Task_table_03_2_26!$C$2:$C$596=$C$1)*(A370&gt;Task_table_03_2_26!$J$2:$J$596)*(A370&lt;Task_table_03_2_26!$K$2:$K$596))</f>
        <v>9</v>
      </c>
      <c r="D370" cm="1">
        <f t="array" ref="D370">SUMPRODUCT((Task_table_03_2_26!$C$2:$C$596=$D$1)*(A370&gt;Task_table_03_2_26!$J$2:$J$596)*(A370&lt;Task_table_03_2_26!$K$2:$K$596))</f>
        <v>0</v>
      </c>
      <c r="E370" cm="1">
        <f t="array" ref="E370">SUMPRODUCT((Task_table_03_2_26!$C$2:$C$596=$E$1)*(A370&gt;Task_table_03_2_26!$J$2:$J$596)*(A370&lt;Task_table_03_2_26!$K$2:$K$596))</f>
        <v>1</v>
      </c>
    </row>
    <row r="371" spans="1:5">
      <c r="A371" s="5">
        <v>46239</v>
      </c>
      <c r="B371" cm="1">
        <f t="array" ref="B371">SUMPRODUCT((Task_table_03_2_26!$C$2:$C$596=$B$1)*(A371&gt;Task_table_03_2_26!$J$2:$J$596)*(A371&lt;Task_table_03_2_26!$K$2:$K$596))</f>
        <v>30</v>
      </c>
      <c r="C371" cm="1">
        <f t="array" ref="C371">SUMPRODUCT((Task_table_03_2_26!$C$2:$C$596=$C$1)*(A371&gt;Task_table_03_2_26!$J$2:$J$596)*(A371&lt;Task_table_03_2_26!$K$2:$K$596))</f>
        <v>9</v>
      </c>
      <c r="D371" cm="1">
        <f t="array" ref="D371">SUMPRODUCT((Task_table_03_2_26!$C$2:$C$596=$D$1)*(A371&gt;Task_table_03_2_26!$J$2:$J$596)*(A371&lt;Task_table_03_2_26!$K$2:$K$596))</f>
        <v>0</v>
      </c>
      <c r="E371" cm="1">
        <f t="array" ref="E371">SUMPRODUCT((Task_table_03_2_26!$C$2:$C$596=$E$1)*(A371&gt;Task_table_03_2_26!$J$2:$J$596)*(A371&lt;Task_table_03_2_26!$K$2:$K$596))</f>
        <v>1</v>
      </c>
    </row>
    <row r="372" spans="1:5">
      <c r="A372" s="5">
        <v>46240</v>
      </c>
      <c r="B372" cm="1">
        <f t="array" ref="B372">SUMPRODUCT((Task_table_03_2_26!$C$2:$C$596=$B$1)*(A372&gt;Task_table_03_2_26!$J$2:$J$596)*(A372&lt;Task_table_03_2_26!$K$2:$K$596))</f>
        <v>30</v>
      </c>
      <c r="C372" cm="1">
        <f t="array" ref="C372">SUMPRODUCT((Task_table_03_2_26!$C$2:$C$596=$C$1)*(A372&gt;Task_table_03_2_26!$J$2:$J$596)*(A372&lt;Task_table_03_2_26!$K$2:$K$596))</f>
        <v>9</v>
      </c>
      <c r="D372" cm="1">
        <f t="array" ref="D372">SUMPRODUCT((Task_table_03_2_26!$C$2:$C$596=$D$1)*(A372&gt;Task_table_03_2_26!$J$2:$J$596)*(A372&lt;Task_table_03_2_26!$K$2:$K$596))</f>
        <v>0</v>
      </c>
      <c r="E372" cm="1">
        <f t="array" ref="E372">SUMPRODUCT((Task_table_03_2_26!$C$2:$C$596=$E$1)*(A372&gt;Task_table_03_2_26!$J$2:$J$596)*(A372&lt;Task_table_03_2_26!$K$2:$K$596))</f>
        <v>1</v>
      </c>
    </row>
    <row r="373" spans="1:5">
      <c r="A373" s="5">
        <v>46241</v>
      </c>
      <c r="B373" cm="1">
        <f t="array" ref="B373">SUMPRODUCT((Task_table_03_2_26!$C$2:$C$596=$B$1)*(A373&gt;Task_table_03_2_26!$J$2:$J$596)*(A373&lt;Task_table_03_2_26!$K$2:$K$596))</f>
        <v>30</v>
      </c>
      <c r="C373" cm="1">
        <f t="array" ref="C373">SUMPRODUCT((Task_table_03_2_26!$C$2:$C$596=$C$1)*(A373&gt;Task_table_03_2_26!$J$2:$J$596)*(A373&lt;Task_table_03_2_26!$K$2:$K$596))</f>
        <v>9</v>
      </c>
      <c r="D373" cm="1">
        <f t="array" ref="D373">SUMPRODUCT((Task_table_03_2_26!$C$2:$C$596=$D$1)*(A373&gt;Task_table_03_2_26!$J$2:$J$596)*(A373&lt;Task_table_03_2_26!$K$2:$K$596))</f>
        <v>0</v>
      </c>
      <c r="E373" cm="1">
        <f t="array" ref="E373">SUMPRODUCT((Task_table_03_2_26!$C$2:$C$596=$E$1)*(A373&gt;Task_table_03_2_26!$J$2:$J$596)*(A373&lt;Task_table_03_2_26!$K$2:$K$596))</f>
        <v>1</v>
      </c>
    </row>
    <row r="374" spans="1:5">
      <c r="A374" s="5">
        <v>46242</v>
      </c>
      <c r="B374" cm="1">
        <f t="array" ref="B374">SUMPRODUCT((Task_table_03_2_26!$C$2:$C$596=$B$1)*(A374&gt;Task_table_03_2_26!$J$2:$J$596)*(A374&lt;Task_table_03_2_26!$K$2:$K$596))</f>
        <v>30</v>
      </c>
      <c r="C374" cm="1">
        <f t="array" ref="C374">SUMPRODUCT((Task_table_03_2_26!$C$2:$C$596=$C$1)*(A374&gt;Task_table_03_2_26!$J$2:$J$596)*(A374&lt;Task_table_03_2_26!$K$2:$K$596))</f>
        <v>9</v>
      </c>
      <c r="D374" cm="1">
        <f t="array" ref="D374">SUMPRODUCT((Task_table_03_2_26!$C$2:$C$596=$D$1)*(A374&gt;Task_table_03_2_26!$J$2:$J$596)*(A374&lt;Task_table_03_2_26!$K$2:$K$596))</f>
        <v>0</v>
      </c>
      <c r="E374" cm="1">
        <f t="array" ref="E374">SUMPRODUCT((Task_table_03_2_26!$C$2:$C$596=$E$1)*(A374&gt;Task_table_03_2_26!$J$2:$J$596)*(A374&lt;Task_table_03_2_26!$K$2:$K$596))</f>
        <v>1</v>
      </c>
    </row>
    <row r="375" spans="1:5">
      <c r="A375" s="5">
        <v>46243</v>
      </c>
      <c r="B375" cm="1">
        <f t="array" ref="B375">SUMPRODUCT((Task_table_03_2_26!$C$2:$C$596=$B$1)*(A375&gt;Task_table_03_2_26!$J$2:$J$596)*(A375&lt;Task_table_03_2_26!$K$2:$K$596))</f>
        <v>30</v>
      </c>
      <c r="C375" cm="1">
        <f t="array" ref="C375">SUMPRODUCT((Task_table_03_2_26!$C$2:$C$596=$C$1)*(A375&gt;Task_table_03_2_26!$J$2:$J$596)*(A375&lt;Task_table_03_2_26!$K$2:$K$596))</f>
        <v>9</v>
      </c>
      <c r="D375" cm="1">
        <f t="array" ref="D375">SUMPRODUCT((Task_table_03_2_26!$C$2:$C$596=$D$1)*(A375&gt;Task_table_03_2_26!$J$2:$J$596)*(A375&lt;Task_table_03_2_26!$K$2:$K$596))</f>
        <v>0</v>
      </c>
      <c r="E375" cm="1">
        <f t="array" ref="E375">SUMPRODUCT((Task_table_03_2_26!$C$2:$C$596=$E$1)*(A375&gt;Task_table_03_2_26!$J$2:$J$596)*(A375&lt;Task_table_03_2_26!$K$2:$K$596))</f>
        <v>1</v>
      </c>
    </row>
    <row r="376" spans="1:5">
      <c r="A376" s="5">
        <v>46244</v>
      </c>
      <c r="B376" cm="1">
        <f t="array" ref="B376">SUMPRODUCT((Task_table_03_2_26!$C$2:$C$596=$B$1)*(A376&gt;Task_table_03_2_26!$J$2:$J$596)*(A376&lt;Task_table_03_2_26!$K$2:$K$596))</f>
        <v>30</v>
      </c>
      <c r="C376" cm="1">
        <f t="array" ref="C376">SUMPRODUCT((Task_table_03_2_26!$C$2:$C$596=$C$1)*(A376&gt;Task_table_03_2_26!$J$2:$J$596)*(A376&lt;Task_table_03_2_26!$K$2:$K$596))</f>
        <v>9</v>
      </c>
      <c r="D376" cm="1">
        <f t="array" ref="D376">SUMPRODUCT((Task_table_03_2_26!$C$2:$C$596=$D$1)*(A376&gt;Task_table_03_2_26!$J$2:$J$596)*(A376&lt;Task_table_03_2_26!$K$2:$K$596))</f>
        <v>0</v>
      </c>
      <c r="E376" cm="1">
        <f t="array" ref="E376">SUMPRODUCT((Task_table_03_2_26!$C$2:$C$596=$E$1)*(A376&gt;Task_table_03_2_26!$J$2:$J$596)*(A376&lt;Task_table_03_2_26!$K$2:$K$596))</f>
        <v>1</v>
      </c>
    </row>
    <row r="377" spans="1:5">
      <c r="A377" s="5">
        <v>46245</v>
      </c>
      <c r="B377" cm="1">
        <f t="array" ref="B377">SUMPRODUCT((Task_table_03_2_26!$C$2:$C$596=$B$1)*(A377&gt;Task_table_03_2_26!$J$2:$J$596)*(A377&lt;Task_table_03_2_26!$K$2:$K$596))</f>
        <v>30</v>
      </c>
      <c r="C377" cm="1">
        <f t="array" ref="C377">SUMPRODUCT((Task_table_03_2_26!$C$2:$C$596=$C$1)*(A377&gt;Task_table_03_2_26!$J$2:$J$596)*(A377&lt;Task_table_03_2_26!$K$2:$K$596))</f>
        <v>9</v>
      </c>
      <c r="D377" cm="1">
        <f t="array" ref="D377">SUMPRODUCT((Task_table_03_2_26!$C$2:$C$596=$D$1)*(A377&gt;Task_table_03_2_26!$J$2:$J$596)*(A377&lt;Task_table_03_2_26!$K$2:$K$596))</f>
        <v>0</v>
      </c>
      <c r="E377" cm="1">
        <f t="array" ref="E377">SUMPRODUCT((Task_table_03_2_26!$C$2:$C$596=$E$1)*(A377&gt;Task_table_03_2_26!$J$2:$J$596)*(A377&lt;Task_table_03_2_26!$K$2:$K$596))</f>
        <v>1</v>
      </c>
    </row>
    <row r="378" spans="1:5">
      <c r="A378" s="5">
        <v>46246</v>
      </c>
      <c r="B378" cm="1">
        <f t="array" ref="B378">SUMPRODUCT((Task_table_03_2_26!$C$2:$C$596=$B$1)*(A378&gt;Task_table_03_2_26!$J$2:$J$596)*(A378&lt;Task_table_03_2_26!$K$2:$K$596))</f>
        <v>30</v>
      </c>
      <c r="C378" cm="1">
        <f t="array" ref="C378">SUMPRODUCT((Task_table_03_2_26!$C$2:$C$596=$C$1)*(A378&gt;Task_table_03_2_26!$J$2:$J$596)*(A378&lt;Task_table_03_2_26!$K$2:$K$596))</f>
        <v>9</v>
      </c>
      <c r="D378" cm="1">
        <f t="array" ref="D378">SUMPRODUCT((Task_table_03_2_26!$C$2:$C$596=$D$1)*(A378&gt;Task_table_03_2_26!$J$2:$J$596)*(A378&lt;Task_table_03_2_26!$K$2:$K$596))</f>
        <v>0</v>
      </c>
      <c r="E378" cm="1">
        <f t="array" ref="E378">SUMPRODUCT((Task_table_03_2_26!$C$2:$C$596=$E$1)*(A378&gt;Task_table_03_2_26!$J$2:$J$596)*(A378&lt;Task_table_03_2_26!$K$2:$K$596))</f>
        <v>1</v>
      </c>
    </row>
    <row r="379" spans="1:5">
      <c r="A379" s="5">
        <v>46247</v>
      </c>
      <c r="B379" cm="1">
        <f t="array" ref="B379">SUMPRODUCT((Task_table_03_2_26!$C$2:$C$596=$B$1)*(A379&gt;Task_table_03_2_26!$J$2:$J$596)*(A379&lt;Task_table_03_2_26!$K$2:$K$596))</f>
        <v>30</v>
      </c>
      <c r="C379" cm="1">
        <f t="array" ref="C379">SUMPRODUCT((Task_table_03_2_26!$C$2:$C$596=$C$1)*(A379&gt;Task_table_03_2_26!$J$2:$J$596)*(A379&lt;Task_table_03_2_26!$K$2:$K$596))</f>
        <v>9</v>
      </c>
      <c r="D379" cm="1">
        <f t="array" ref="D379">SUMPRODUCT((Task_table_03_2_26!$C$2:$C$596=$D$1)*(A379&gt;Task_table_03_2_26!$J$2:$J$596)*(A379&lt;Task_table_03_2_26!$K$2:$K$596))</f>
        <v>0</v>
      </c>
      <c r="E379" cm="1">
        <f t="array" ref="E379">SUMPRODUCT((Task_table_03_2_26!$C$2:$C$596=$E$1)*(A379&gt;Task_table_03_2_26!$J$2:$J$596)*(A379&lt;Task_table_03_2_26!$K$2:$K$596))</f>
        <v>1</v>
      </c>
    </row>
    <row r="380" spans="1:5">
      <c r="A380" s="5">
        <v>46248</v>
      </c>
      <c r="B380" cm="1">
        <f t="array" ref="B380">SUMPRODUCT((Task_table_03_2_26!$C$2:$C$596=$B$1)*(A380&gt;Task_table_03_2_26!$J$2:$J$596)*(A380&lt;Task_table_03_2_26!$K$2:$K$596))</f>
        <v>30</v>
      </c>
      <c r="C380" cm="1">
        <f t="array" ref="C380">SUMPRODUCT((Task_table_03_2_26!$C$2:$C$596=$C$1)*(A380&gt;Task_table_03_2_26!$J$2:$J$596)*(A380&lt;Task_table_03_2_26!$K$2:$K$596))</f>
        <v>8</v>
      </c>
      <c r="D380" cm="1">
        <f t="array" ref="D380">SUMPRODUCT((Task_table_03_2_26!$C$2:$C$596=$D$1)*(A380&gt;Task_table_03_2_26!$J$2:$J$596)*(A380&lt;Task_table_03_2_26!$K$2:$K$596))</f>
        <v>0</v>
      </c>
      <c r="E380" cm="1">
        <f t="array" ref="E380">SUMPRODUCT((Task_table_03_2_26!$C$2:$C$596=$E$1)*(A380&gt;Task_table_03_2_26!$J$2:$J$596)*(A380&lt;Task_table_03_2_26!$K$2:$K$596))</f>
        <v>1</v>
      </c>
    </row>
    <row r="381" spans="1:5">
      <c r="A381" s="5">
        <v>46249</v>
      </c>
      <c r="B381" cm="1">
        <f t="array" ref="B381">SUMPRODUCT((Task_table_03_2_26!$C$2:$C$596=$B$1)*(A381&gt;Task_table_03_2_26!$J$2:$J$596)*(A381&lt;Task_table_03_2_26!$K$2:$K$596))</f>
        <v>30</v>
      </c>
      <c r="C381" cm="1">
        <f t="array" ref="C381">SUMPRODUCT((Task_table_03_2_26!$C$2:$C$596=$C$1)*(A381&gt;Task_table_03_2_26!$J$2:$J$596)*(A381&lt;Task_table_03_2_26!$K$2:$K$596))</f>
        <v>8</v>
      </c>
      <c r="D381" cm="1">
        <f t="array" ref="D381">SUMPRODUCT((Task_table_03_2_26!$C$2:$C$596=$D$1)*(A381&gt;Task_table_03_2_26!$J$2:$J$596)*(A381&lt;Task_table_03_2_26!$K$2:$K$596))</f>
        <v>0</v>
      </c>
      <c r="E381" cm="1">
        <f t="array" ref="E381">SUMPRODUCT((Task_table_03_2_26!$C$2:$C$596=$E$1)*(A381&gt;Task_table_03_2_26!$J$2:$J$596)*(A381&lt;Task_table_03_2_26!$K$2:$K$596))</f>
        <v>1</v>
      </c>
    </row>
    <row r="382" spans="1:5">
      <c r="A382" s="5">
        <v>46250</v>
      </c>
      <c r="B382" cm="1">
        <f t="array" ref="B382">SUMPRODUCT((Task_table_03_2_26!$C$2:$C$596=$B$1)*(A382&gt;Task_table_03_2_26!$J$2:$J$596)*(A382&lt;Task_table_03_2_26!$K$2:$K$596))</f>
        <v>30</v>
      </c>
      <c r="C382" cm="1">
        <f t="array" ref="C382">SUMPRODUCT((Task_table_03_2_26!$C$2:$C$596=$C$1)*(A382&gt;Task_table_03_2_26!$J$2:$J$596)*(A382&lt;Task_table_03_2_26!$K$2:$K$596))</f>
        <v>8</v>
      </c>
      <c r="D382" cm="1">
        <f t="array" ref="D382">SUMPRODUCT((Task_table_03_2_26!$C$2:$C$596=$D$1)*(A382&gt;Task_table_03_2_26!$J$2:$J$596)*(A382&lt;Task_table_03_2_26!$K$2:$K$596))</f>
        <v>0</v>
      </c>
      <c r="E382" cm="1">
        <f t="array" ref="E382">SUMPRODUCT((Task_table_03_2_26!$C$2:$C$596=$E$1)*(A382&gt;Task_table_03_2_26!$J$2:$J$596)*(A382&lt;Task_table_03_2_26!$K$2:$K$596))</f>
        <v>1</v>
      </c>
    </row>
    <row r="383" spans="1:5">
      <c r="A383" s="5">
        <v>46251</v>
      </c>
      <c r="B383" cm="1">
        <f t="array" ref="B383">SUMPRODUCT((Task_table_03_2_26!$C$2:$C$596=$B$1)*(A383&gt;Task_table_03_2_26!$J$2:$J$596)*(A383&lt;Task_table_03_2_26!$K$2:$K$596))</f>
        <v>30</v>
      </c>
      <c r="C383" cm="1">
        <f t="array" ref="C383">SUMPRODUCT((Task_table_03_2_26!$C$2:$C$596=$C$1)*(A383&gt;Task_table_03_2_26!$J$2:$J$596)*(A383&lt;Task_table_03_2_26!$K$2:$K$596))</f>
        <v>8</v>
      </c>
      <c r="D383" cm="1">
        <f t="array" ref="D383">SUMPRODUCT((Task_table_03_2_26!$C$2:$C$596=$D$1)*(A383&gt;Task_table_03_2_26!$J$2:$J$596)*(A383&lt;Task_table_03_2_26!$K$2:$K$596))</f>
        <v>0</v>
      </c>
      <c r="E383" cm="1">
        <f t="array" ref="E383">SUMPRODUCT((Task_table_03_2_26!$C$2:$C$596=$E$1)*(A383&gt;Task_table_03_2_26!$J$2:$J$596)*(A383&lt;Task_table_03_2_26!$K$2:$K$596))</f>
        <v>1</v>
      </c>
    </row>
    <row r="384" spans="1:5">
      <c r="A384" s="5">
        <v>46252</v>
      </c>
      <c r="B384" cm="1">
        <f t="array" ref="B384">SUMPRODUCT((Task_table_03_2_26!$C$2:$C$596=$B$1)*(A384&gt;Task_table_03_2_26!$J$2:$J$596)*(A384&lt;Task_table_03_2_26!$K$2:$K$596))</f>
        <v>30</v>
      </c>
      <c r="C384" cm="1">
        <f t="array" ref="C384">SUMPRODUCT((Task_table_03_2_26!$C$2:$C$596=$C$1)*(A384&gt;Task_table_03_2_26!$J$2:$J$596)*(A384&lt;Task_table_03_2_26!$K$2:$K$596))</f>
        <v>8</v>
      </c>
      <c r="D384" cm="1">
        <f t="array" ref="D384">SUMPRODUCT((Task_table_03_2_26!$C$2:$C$596=$D$1)*(A384&gt;Task_table_03_2_26!$J$2:$J$596)*(A384&lt;Task_table_03_2_26!$K$2:$K$596))</f>
        <v>0</v>
      </c>
      <c r="E384" cm="1">
        <f t="array" ref="E384">SUMPRODUCT((Task_table_03_2_26!$C$2:$C$596=$E$1)*(A384&gt;Task_table_03_2_26!$J$2:$J$596)*(A384&lt;Task_table_03_2_26!$K$2:$K$596))</f>
        <v>1</v>
      </c>
    </row>
    <row r="385" spans="1:5">
      <c r="A385" s="5">
        <v>46253</v>
      </c>
      <c r="B385" cm="1">
        <f t="array" ref="B385">SUMPRODUCT((Task_table_03_2_26!$C$2:$C$596=$B$1)*(A385&gt;Task_table_03_2_26!$J$2:$J$596)*(A385&lt;Task_table_03_2_26!$K$2:$K$596))</f>
        <v>30</v>
      </c>
      <c r="C385" cm="1">
        <f t="array" ref="C385">SUMPRODUCT((Task_table_03_2_26!$C$2:$C$596=$C$1)*(A385&gt;Task_table_03_2_26!$J$2:$J$596)*(A385&lt;Task_table_03_2_26!$K$2:$K$596))</f>
        <v>8</v>
      </c>
      <c r="D385" cm="1">
        <f t="array" ref="D385">SUMPRODUCT((Task_table_03_2_26!$C$2:$C$596=$D$1)*(A385&gt;Task_table_03_2_26!$J$2:$J$596)*(A385&lt;Task_table_03_2_26!$K$2:$K$596))</f>
        <v>0</v>
      </c>
      <c r="E385" cm="1">
        <f t="array" ref="E385">SUMPRODUCT((Task_table_03_2_26!$C$2:$C$596=$E$1)*(A385&gt;Task_table_03_2_26!$J$2:$J$596)*(A385&lt;Task_table_03_2_26!$K$2:$K$596))</f>
        <v>1</v>
      </c>
    </row>
    <row r="386" spans="1:5">
      <c r="A386" s="5">
        <v>46254</v>
      </c>
      <c r="B386" cm="1">
        <f t="array" ref="B386">SUMPRODUCT((Task_table_03_2_26!$C$2:$C$596=$B$1)*(A386&gt;Task_table_03_2_26!$J$2:$J$596)*(A386&lt;Task_table_03_2_26!$K$2:$K$596))</f>
        <v>30</v>
      </c>
      <c r="C386" cm="1">
        <f t="array" ref="C386">SUMPRODUCT((Task_table_03_2_26!$C$2:$C$596=$C$1)*(A386&gt;Task_table_03_2_26!$J$2:$J$596)*(A386&lt;Task_table_03_2_26!$K$2:$K$596))</f>
        <v>8</v>
      </c>
      <c r="D386" cm="1">
        <f t="array" ref="D386">SUMPRODUCT((Task_table_03_2_26!$C$2:$C$596=$D$1)*(A386&gt;Task_table_03_2_26!$J$2:$J$596)*(A386&lt;Task_table_03_2_26!$K$2:$K$596))</f>
        <v>0</v>
      </c>
      <c r="E386" cm="1">
        <f t="array" ref="E386">SUMPRODUCT((Task_table_03_2_26!$C$2:$C$596=$E$1)*(A386&gt;Task_table_03_2_26!$J$2:$J$596)*(A386&lt;Task_table_03_2_26!$K$2:$K$596))</f>
        <v>1</v>
      </c>
    </row>
    <row r="387" spans="1:5">
      <c r="A387" s="5">
        <v>46255</v>
      </c>
      <c r="B387" cm="1">
        <f t="array" ref="B387">SUMPRODUCT((Task_table_03_2_26!$C$2:$C$596=$B$1)*(A387&gt;Task_table_03_2_26!$J$2:$J$596)*(A387&lt;Task_table_03_2_26!$K$2:$K$596))</f>
        <v>30</v>
      </c>
      <c r="C387" cm="1">
        <f t="array" ref="C387">SUMPRODUCT((Task_table_03_2_26!$C$2:$C$596=$C$1)*(A387&gt;Task_table_03_2_26!$J$2:$J$596)*(A387&lt;Task_table_03_2_26!$K$2:$K$596))</f>
        <v>8</v>
      </c>
      <c r="D387" cm="1">
        <f t="array" ref="D387">SUMPRODUCT((Task_table_03_2_26!$C$2:$C$596=$D$1)*(A387&gt;Task_table_03_2_26!$J$2:$J$596)*(A387&lt;Task_table_03_2_26!$K$2:$K$596))</f>
        <v>0</v>
      </c>
      <c r="E387" cm="1">
        <f t="array" ref="E387">SUMPRODUCT((Task_table_03_2_26!$C$2:$C$596=$E$1)*(A387&gt;Task_table_03_2_26!$J$2:$J$596)*(A387&lt;Task_table_03_2_26!$K$2:$K$596))</f>
        <v>1</v>
      </c>
    </row>
    <row r="388" spans="1:5">
      <c r="A388" s="5">
        <v>46256</v>
      </c>
      <c r="B388" cm="1">
        <f t="array" ref="B388">SUMPRODUCT((Task_table_03_2_26!$C$2:$C$596=$B$1)*(A388&gt;Task_table_03_2_26!$J$2:$J$596)*(A388&lt;Task_table_03_2_26!$K$2:$K$596))</f>
        <v>30</v>
      </c>
      <c r="C388" cm="1">
        <f t="array" ref="C388">SUMPRODUCT((Task_table_03_2_26!$C$2:$C$596=$C$1)*(A388&gt;Task_table_03_2_26!$J$2:$J$596)*(A388&lt;Task_table_03_2_26!$K$2:$K$596))</f>
        <v>8</v>
      </c>
      <c r="D388" cm="1">
        <f t="array" ref="D388">SUMPRODUCT((Task_table_03_2_26!$C$2:$C$596=$D$1)*(A388&gt;Task_table_03_2_26!$J$2:$J$596)*(A388&lt;Task_table_03_2_26!$K$2:$K$596))</f>
        <v>0</v>
      </c>
      <c r="E388" cm="1">
        <f t="array" ref="E388">SUMPRODUCT((Task_table_03_2_26!$C$2:$C$596=$E$1)*(A388&gt;Task_table_03_2_26!$J$2:$J$596)*(A388&lt;Task_table_03_2_26!$K$2:$K$596))</f>
        <v>1</v>
      </c>
    </row>
    <row r="389" spans="1:5">
      <c r="A389" s="5">
        <v>46257</v>
      </c>
      <c r="B389" cm="1">
        <f t="array" ref="B389">SUMPRODUCT((Task_table_03_2_26!$C$2:$C$596=$B$1)*(A389&gt;Task_table_03_2_26!$J$2:$J$596)*(A389&lt;Task_table_03_2_26!$K$2:$K$596))</f>
        <v>30</v>
      </c>
      <c r="C389" cm="1">
        <f t="array" ref="C389">SUMPRODUCT((Task_table_03_2_26!$C$2:$C$596=$C$1)*(A389&gt;Task_table_03_2_26!$J$2:$J$596)*(A389&lt;Task_table_03_2_26!$K$2:$K$596))</f>
        <v>8</v>
      </c>
      <c r="D389" cm="1">
        <f t="array" ref="D389">SUMPRODUCT((Task_table_03_2_26!$C$2:$C$596=$D$1)*(A389&gt;Task_table_03_2_26!$J$2:$J$596)*(A389&lt;Task_table_03_2_26!$K$2:$K$596))</f>
        <v>0</v>
      </c>
      <c r="E389" cm="1">
        <f t="array" ref="E389">SUMPRODUCT((Task_table_03_2_26!$C$2:$C$596=$E$1)*(A389&gt;Task_table_03_2_26!$J$2:$J$596)*(A389&lt;Task_table_03_2_26!$K$2:$K$596))</f>
        <v>1</v>
      </c>
    </row>
    <row r="390" spans="1:5">
      <c r="A390" s="5">
        <v>46258</v>
      </c>
      <c r="B390" cm="1">
        <f t="array" ref="B390">SUMPRODUCT((Task_table_03_2_26!$C$2:$C$596=$B$1)*(A390&gt;Task_table_03_2_26!$J$2:$J$596)*(A390&lt;Task_table_03_2_26!$K$2:$K$596))</f>
        <v>30</v>
      </c>
      <c r="C390" cm="1">
        <f t="array" ref="C390">SUMPRODUCT((Task_table_03_2_26!$C$2:$C$596=$C$1)*(A390&gt;Task_table_03_2_26!$J$2:$J$596)*(A390&lt;Task_table_03_2_26!$K$2:$K$596))</f>
        <v>8</v>
      </c>
      <c r="D390" cm="1">
        <f t="array" ref="D390">SUMPRODUCT((Task_table_03_2_26!$C$2:$C$596=$D$1)*(A390&gt;Task_table_03_2_26!$J$2:$J$596)*(A390&lt;Task_table_03_2_26!$K$2:$K$596))</f>
        <v>0</v>
      </c>
      <c r="E390" cm="1">
        <f t="array" ref="E390">SUMPRODUCT((Task_table_03_2_26!$C$2:$C$596=$E$1)*(A390&gt;Task_table_03_2_26!$J$2:$J$596)*(A390&lt;Task_table_03_2_26!$K$2:$K$596))</f>
        <v>1</v>
      </c>
    </row>
    <row r="391" spans="1:5">
      <c r="A391" s="5">
        <v>46259</v>
      </c>
      <c r="B391" cm="1">
        <f t="array" ref="B391">SUMPRODUCT((Task_table_03_2_26!$C$2:$C$596=$B$1)*(A391&gt;Task_table_03_2_26!$J$2:$J$596)*(A391&lt;Task_table_03_2_26!$K$2:$K$596))</f>
        <v>30</v>
      </c>
      <c r="C391" cm="1">
        <f t="array" ref="C391">SUMPRODUCT((Task_table_03_2_26!$C$2:$C$596=$C$1)*(A391&gt;Task_table_03_2_26!$J$2:$J$596)*(A391&lt;Task_table_03_2_26!$K$2:$K$596))</f>
        <v>8</v>
      </c>
      <c r="D391" cm="1">
        <f t="array" ref="D391">SUMPRODUCT((Task_table_03_2_26!$C$2:$C$596=$D$1)*(A391&gt;Task_table_03_2_26!$J$2:$J$596)*(A391&lt;Task_table_03_2_26!$K$2:$K$596))</f>
        <v>0</v>
      </c>
      <c r="E391" cm="1">
        <f t="array" ref="E391">SUMPRODUCT((Task_table_03_2_26!$C$2:$C$596=$E$1)*(A391&gt;Task_table_03_2_26!$J$2:$J$596)*(A391&lt;Task_table_03_2_26!$K$2:$K$596))</f>
        <v>1</v>
      </c>
    </row>
    <row r="392" spans="1:5">
      <c r="A392" s="5">
        <v>46260</v>
      </c>
      <c r="B392" cm="1">
        <f t="array" ref="B392">SUMPRODUCT((Task_table_03_2_26!$C$2:$C$596=$B$1)*(A392&gt;Task_table_03_2_26!$J$2:$J$596)*(A392&lt;Task_table_03_2_26!$K$2:$K$596))</f>
        <v>30</v>
      </c>
      <c r="C392" cm="1">
        <f t="array" ref="C392">SUMPRODUCT((Task_table_03_2_26!$C$2:$C$596=$C$1)*(A392&gt;Task_table_03_2_26!$J$2:$J$596)*(A392&lt;Task_table_03_2_26!$K$2:$K$596))</f>
        <v>8</v>
      </c>
      <c r="D392" cm="1">
        <f t="array" ref="D392">SUMPRODUCT((Task_table_03_2_26!$C$2:$C$596=$D$1)*(A392&gt;Task_table_03_2_26!$J$2:$J$596)*(A392&lt;Task_table_03_2_26!$K$2:$K$596))</f>
        <v>0</v>
      </c>
      <c r="E392" cm="1">
        <f t="array" ref="E392">SUMPRODUCT((Task_table_03_2_26!$C$2:$C$596=$E$1)*(A392&gt;Task_table_03_2_26!$J$2:$J$596)*(A392&lt;Task_table_03_2_26!$K$2:$K$596))</f>
        <v>1</v>
      </c>
    </row>
    <row r="393" spans="1:5">
      <c r="A393" s="5">
        <v>46261</v>
      </c>
      <c r="B393" cm="1">
        <f t="array" ref="B393">SUMPRODUCT((Task_table_03_2_26!$C$2:$C$596=$B$1)*(A393&gt;Task_table_03_2_26!$J$2:$J$596)*(A393&lt;Task_table_03_2_26!$K$2:$K$596))</f>
        <v>30</v>
      </c>
      <c r="C393" cm="1">
        <f t="array" ref="C393">SUMPRODUCT((Task_table_03_2_26!$C$2:$C$596=$C$1)*(A393&gt;Task_table_03_2_26!$J$2:$J$596)*(A393&lt;Task_table_03_2_26!$K$2:$K$596))</f>
        <v>8</v>
      </c>
      <c r="D393" cm="1">
        <f t="array" ref="D393">SUMPRODUCT((Task_table_03_2_26!$C$2:$C$596=$D$1)*(A393&gt;Task_table_03_2_26!$J$2:$J$596)*(A393&lt;Task_table_03_2_26!$K$2:$K$596))</f>
        <v>0</v>
      </c>
      <c r="E393" cm="1">
        <f t="array" ref="E393">SUMPRODUCT((Task_table_03_2_26!$C$2:$C$596=$E$1)*(A393&gt;Task_table_03_2_26!$J$2:$J$596)*(A393&lt;Task_table_03_2_26!$K$2:$K$596))</f>
        <v>1</v>
      </c>
    </row>
    <row r="394" spans="1:5">
      <c r="A394" s="5">
        <v>46262</v>
      </c>
      <c r="B394" cm="1">
        <f t="array" ref="B394">SUMPRODUCT((Task_table_03_2_26!$C$2:$C$596=$B$1)*(A394&gt;Task_table_03_2_26!$J$2:$J$596)*(A394&lt;Task_table_03_2_26!$K$2:$K$596))</f>
        <v>30</v>
      </c>
      <c r="C394" cm="1">
        <f t="array" ref="C394">SUMPRODUCT((Task_table_03_2_26!$C$2:$C$596=$C$1)*(A394&gt;Task_table_03_2_26!$J$2:$J$596)*(A394&lt;Task_table_03_2_26!$K$2:$K$596))</f>
        <v>8</v>
      </c>
      <c r="D394" cm="1">
        <f t="array" ref="D394">SUMPRODUCT((Task_table_03_2_26!$C$2:$C$596=$D$1)*(A394&gt;Task_table_03_2_26!$J$2:$J$596)*(A394&lt;Task_table_03_2_26!$K$2:$K$596))</f>
        <v>0</v>
      </c>
      <c r="E394" cm="1">
        <f t="array" ref="E394">SUMPRODUCT((Task_table_03_2_26!$C$2:$C$596=$E$1)*(A394&gt;Task_table_03_2_26!$J$2:$J$596)*(A394&lt;Task_table_03_2_26!$K$2:$K$596))</f>
        <v>1</v>
      </c>
    </row>
    <row r="395" spans="1:5">
      <c r="A395" s="5">
        <v>46263</v>
      </c>
      <c r="B395" cm="1">
        <f t="array" ref="B395">SUMPRODUCT((Task_table_03_2_26!$C$2:$C$596=$B$1)*(A395&gt;Task_table_03_2_26!$J$2:$J$596)*(A395&lt;Task_table_03_2_26!$K$2:$K$596))</f>
        <v>30</v>
      </c>
      <c r="C395" cm="1">
        <f t="array" ref="C395">SUMPRODUCT((Task_table_03_2_26!$C$2:$C$596=$C$1)*(A395&gt;Task_table_03_2_26!$J$2:$J$596)*(A395&lt;Task_table_03_2_26!$K$2:$K$596))</f>
        <v>8</v>
      </c>
      <c r="D395" cm="1">
        <f t="array" ref="D395">SUMPRODUCT((Task_table_03_2_26!$C$2:$C$596=$D$1)*(A395&gt;Task_table_03_2_26!$J$2:$J$596)*(A395&lt;Task_table_03_2_26!$K$2:$K$596))</f>
        <v>0</v>
      </c>
      <c r="E395" cm="1">
        <f t="array" ref="E395">SUMPRODUCT((Task_table_03_2_26!$C$2:$C$596=$E$1)*(A395&gt;Task_table_03_2_26!$J$2:$J$596)*(A395&lt;Task_table_03_2_26!$K$2:$K$596))</f>
        <v>1</v>
      </c>
    </row>
    <row r="396" spans="1:5">
      <c r="A396" s="5">
        <v>46264</v>
      </c>
      <c r="B396" cm="1">
        <f t="array" ref="B396">SUMPRODUCT((Task_table_03_2_26!$C$2:$C$596=$B$1)*(A396&gt;Task_table_03_2_26!$J$2:$J$596)*(A396&lt;Task_table_03_2_26!$K$2:$K$596))</f>
        <v>30</v>
      </c>
      <c r="C396" cm="1">
        <f t="array" ref="C396">SUMPRODUCT((Task_table_03_2_26!$C$2:$C$596=$C$1)*(A396&gt;Task_table_03_2_26!$J$2:$J$596)*(A396&lt;Task_table_03_2_26!$K$2:$K$596))</f>
        <v>8</v>
      </c>
      <c r="D396" cm="1">
        <f t="array" ref="D396">SUMPRODUCT((Task_table_03_2_26!$C$2:$C$596=$D$1)*(A396&gt;Task_table_03_2_26!$J$2:$J$596)*(A396&lt;Task_table_03_2_26!$K$2:$K$596))</f>
        <v>0</v>
      </c>
      <c r="E396" cm="1">
        <f t="array" ref="E396">SUMPRODUCT((Task_table_03_2_26!$C$2:$C$596=$E$1)*(A396&gt;Task_table_03_2_26!$J$2:$J$596)*(A396&lt;Task_table_03_2_26!$K$2:$K$596))</f>
        <v>1</v>
      </c>
    </row>
    <row r="397" spans="1:5">
      <c r="A397" s="5">
        <v>46265</v>
      </c>
      <c r="B397" cm="1">
        <f t="array" ref="B397">SUMPRODUCT((Task_table_03_2_26!$C$2:$C$596=$B$1)*(A397&gt;Task_table_03_2_26!$J$2:$J$596)*(A397&lt;Task_table_03_2_26!$K$2:$K$596))</f>
        <v>30</v>
      </c>
      <c r="C397" cm="1">
        <f t="array" ref="C397">SUMPRODUCT((Task_table_03_2_26!$C$2:$C$596=$C$1)*(A397&gt;Task_table_03_2_26!$J$2:$J$596)*(A397&lt;Task_table_03_2_26!$K$2:$K$596))</f>
        <v>5</v>
      </c>
      <c r="D397" cm="1">
        <f t="array" ref="D397">SUMPRODUCT((Task_table_03_2_26!$C$2:$C$596=$D$1)*(A397&gt;Task_table_03_2_26!$J$2:$J$596)*(A397&lt;Task_table_03_2_26!$K$2:$K$596))</f>
        <v>0</v>
      </c>
      <c r="E397" cm="1">
        <f t="array" ref="E397">SUMPRODUCT((Task_table_03_2_26!$C$2:$C$596=$E$1)*(A397&gt;Task_table_03_2_26!$J$2:$J$596)*(A397&lt;Task_table_03_2_26!$K$2:$K$596))</f>
        <v>1</v>
      </c>
    </row>
    <row r="398" spans="1:5">
      <c r="A398" s="5">
        <v>46266</v>
      </c>
      <c r="B398" cm="1">
        <f t="array" ref="B398">SUMPRODUCT((Task_table_03_2_26!$C$2:$C$596=$B$1)*(A398&gt;Task_table_03_2_26!$J$2:$J$596)*(A398&lt;Task_table_03_2_26!$K$2:$K$596))</f>
        <v>30</v>
      </c>
      <c r="C398" cm="1">
        <f t="array" ref="C398">SUMPRODUCT((Task_table_03_2_26!$C$2:$C$596=$C$1)*(A398&gt;Task_table_03_2_26!$J$2:$J$596)*(A398&lt;Task_table_03_2_26!$K$2:$K$596))</f>
        <v>5</v>
      </c>
      <c r="D398" cm="1">
        <f t="array" ref="D398">SUMPRODUCT((Task_table_03_2_26!$C$2:$C$596=$D$1)*(A398&gt;Task_table_03_2_26!$J$2:$J$596)*(A398&lt;Task_table_03_2_26!$K$2:$K$596))</f>
        <v>0</v>
      </c>
      <c r="E398" cm="1">
        <f t="array" ref="E398">SUMPRODUCT((Task_table_03_2_26!$C$2:$C$596=$E$1)*(A398&gt;Task_table_03_2_26!$J$2:$J$596)*(A398&lt;Task_table_03_2_26!$K$2:$K$596))</f>
        <v>1</v>
      </c>
    </row>
    <row r="399" spans="1:5">
      <c r="A399" s="5">
        <v>46267</v>
      </c>
      <c r="B399" cm="1">
        <f t="array" ref="B399">SUMPRODUCT((Task_table_03_2_26!$C$2:$C$596=$B$1)*(A399&gt;Task_table_03_2_26!$J$2:$J$596)*(A399&lt;Task_table_03_2_26!$K$2:$K$596))</f>
        <v>30</v>
      </c>
      <c r="C399" cm="1">
        <f t="array" ref="C399">SUMPRODUCT((Task_table_03_2_26!$C$2:$C$596=$C$1)*(A399&gt;Task_table_03_2_26!$J$2:$J$596)*(A399&lt;Task_table_03_2_26!$K$2:$K$596))</f>
        <v>5</v>
      </c>
      <c r="D399" cm="1">
        <f t="array" ref="D399">SUMPRODUCT((Task_table_03_2_26!$C$2:$C$596=$D$1)*(A399&gt;Task_table_03_2_26!$J$2:$J$596)*(A399&lt;Task_table_03_2_26!$K$2:$K$596))</f>
        <v>0</v>
      </c>
      <c r="E399" cm="1">
        <f t="array" ref="E399">SUMPRODUCT((Task_table_03_2_26!$C$2:$C$596=$E$1)*(A399&gt;Task_table_03_2_26!$J$2:$J$596)*(A399&lt;Task_table_03_2_26!$K$2:$K$596))</f>
        <v>1</v>
      </c>
    </row>
    <row r="400" spans="1:5">
      <c r="A400" s="5">
        <v>46268</v>
      </c>
      <c r="B400" cm="1">
        <f t="array" ref="B400">SUMPRODUCT((Task_table_03_2_26!$C$2:$C$596=$B$1)*(A400&gt;Task_table_03_2_26!$J$2:$J$596)*(A400&lt;Task_table_03_2_26!$K$2:$K$596))</f>
        <v>30</v>
      </c>
      <c r="C400" cm="1">
        <f t="array" ref="C400">SUMPRODUCT((Task_table_03_2_26!$C$2:$C$596=$C$1)*(A400&gt;Task_table_03_2_26!$J$2:$J$596)*(A400&lt;Task_table_03_2_26!$K$2:$K$596))</f>
        <v>5</v>
      </c>
      <c r="D400" cm="1">
        <f t="array" ref="D400">SUMPRODUCT((Task_table_03_2_26!$C$2:$C$596=$D$1)*(A400&gt;Task_table_03_2_26!$J$2:$J$596)*(A400&lt;Task_table_03_2_26!$K$2:$K$596))</f>
        <v>0</v>
      </c>
      <c r="E400" cm="1">
        <f t="array" ref="E400">SUMPRODUCT((Task_table_03_2_26!$C$2:$C$596=$E$1)*(A400&gt;Task_table_03_2_26!$J$2:$J$596)*(A400&lt;Task_table_03_2_26!$K$2:$K$596))</f>
        <v>1</v>
      </c>
    </row>
    <row r="401" spans="1:5">
      <c r="A401" s="5">
        <v>46269</v>
      </c>
      <c r="B401" cm="1">
        <f t="array" ref="B401">SUMPRODUCT((Task_table_03_2_26!$C$2:$C$596=$B$1)*(A401&gt;Task_table_03_2_26!$J$2:$J$596)*(A401&lt;Task_table_03_2_26!$K$2:$K$596))</f>
        <v>30</v>
      </c>
      <c r="C401" cm="1">
        <f t="array" ref="C401">SUMPRODUCT((Task_table_03_2_26!$C$2:$C$596=$C$1)*(A401&gt;Task_table_03_2_26!$J$2:$J$596)*(A401&lt;Task_table_03_2_26!$K$2:$K$596))</f>
        <v>5</v>
      </c>
      <c r="D401" cm="1">
        <f t="array" ref="D401">SUMPRODUCT((Task_table_03_2_26!$C$2:$C$596=$D$1)*(A401&gt;Task_table_03_2_26!$J$2:$J$596)*(A401&lt;Task_table_03_2_26!$K$2:$K$596))</f>
        <v>0</v>
      </c>
      <c r="E401" cm="1">
        <f t="array" ref="E401">SUMPRODUCT((Task_table_03_2_26!$C$2:$C$596=$E$1)*(A401&gt;Task_table_03_2_26!$J$2:$J$596)*(A401&lt;Task_table_03_2_26!$K$2:$K$596))</f>
        <v>1</v>
      </c>
    </row>
    <row r="402" spans="1:5">
      <c r="A402" s="5">
        <v>46270</v>
      </c>
      <c r="B402" cm="1">
        <f t="array" ref="B402">SUMPRODUCT((Task_table_03_2_26!$C$2:$C$596=$B$1)*(A402&gt;Task_table_03_2_26!$J$2:$J$596)*(A402&lt;Task_table_03_2_26!$K$2:$K$596))</f>
        <v>30</v>
      </c>
      <c r="C402" cm="1">
        <f t="array" ref="C402">SUMPRODUCT((Task_table_03_2_26!$C$2:$C$596=$C$1)*(A402&gt;Task_table_03_2_26!$J$2:$J$596)*(A402&lt;Task_table_03_2_26!$K$2:$K$596))</f>
        <v>5</v>
      </c>
      <c r="D402" cm="1">
        <f t="array" ref="D402">SUMPRODUCT((Task_table_03_2_26!$C$2:$C$596=$D$1)*(A402&gt;Task_table_03_2_26!$J$2:$J$596)*(A402&lt;Task_table_03_2_26!$K$2:$K$596))</f>
        <v>0</v>
      </c>
      <c r="E402" cm="1">
        <f t="array" ref="E402">SUMPRODUCT((Task_table_03_2_26!$C$2:$C$596=$E$1)*(A402&gt;Task_table_03_2_26!$J$2:$J$596)*(A402&lt;Task_table_03_2_26!$K$2:$K$596))</f>
        <v>1</v>
      </c>
    </row>
    <row r="403" spans="1:5">
      <c r="A403" s="5">
        <v>46271</v>
      </c>
      <c r="B403" cm="1">
        <f t="array" ref="B403">SUMPRODUCT((Task_table_03_2_26!$C$2:$C$596=$B$1)*(A403&gt;Task_table_03_2_26!$J$2:$J$596)*(A403&lt;Task_table_03_2_26!$K$2:$K$596))</f>
        <v>30</v>
      </c>
      <c r="C403" cm="1">
        <f t="array" ref="C403">SUMPRODUCT((Task_table_03_2_26!$C$2:$C$596=$C$1)*(A403&gt;Task_table_03_2_26!$J$2:$J$596)*(A403&lt;Task_table_03_2_26!$K$2:$K$596))</f>
        <v>5</v>
      </c>
      <c r="D403" cm="1">
        <f t="array" ref="D403">SUMPRODUCT((Task_table_03_2_26!$C$2:$C$596=$D$1)*(A403&gt;Task_table_03_2_26!$J$2:$J$596)*(A403&lt;Task_table_03_2_26!$K$2:$K$596))</f>
        <v>0</v>
      </c>
      <c r="E403" cm="1">
        <f t="array" ref="E403">SUMPRODUCT((Task_table_03_2_26!$C$2:$C$596=$E$1)*(A403&gt;Task_table_03_2_26!$J$2:$J$596)*(A403&lt;Task_table_03_2_26!$K$2:$K$596))</f>
        <v>1</v>
      </c>
    </row>
    <row r="404" spans="1:5">
      <c r="A404" s="5">
        <v>46272</v>
      </c>
      <c r="B404" cm="1">
        <f t="array" ref="B404">SUMPRODUCT((Task_table_03_2_26!$C$2:$C$596=$B$1)*(A404&gt;Task_table_03_2_26!$J$2:$J$596)*(A404&lt;Task_table_03_2_26!$K$2:$K$596))</f>
        <v>30</v>
      </c>
      <c r="C404" cm="1">
        <f t="array" ref="C404">SUMPRODUCT((Task_table_03_2_26!$C$2:$C$596=$C$1)*(A404&gt;Task_table_03_2_26!$J$2:$J$596)*(A404&lt;Task_table_03_2_26!$K$2:$K$596))</f>
        <v>5</v>
      </c>
      <c r="D404" cm="1">
        <f t="array" ref="D404">SUMPRODUCT((Task_table_03_2_26!$C$2:$C$596=$D$1)*(A404&gt;Task_table_03_2_26!$J$2:$J$596)*(A404&lt;Task_table_03_2_26!$K$2:$K$596))</f>
        <v>0</v>
      </c>
      <c r="E404" cm="1">
        <f t="array" ref="E404">SUMPRODUCT((Task_table_03_2_26!$C$2:$C$596=$E$1)*(A404&gt;Task_table_03_2_26!$J$2:$J$596)*(A404&lt;Task_table_03_2_26!$K$2:$K$596))</f>
        <v>1</v>
      </c>
    </row>
    <row r="405" spans="1:5">
      <c r="A405" s="5">
        <v>46273</v>
      </c>
      <c r="B405" cm="1">
        <f t="array" ref="B405">SUMPRODUCT((Task_table_03_2_26!$C$2:$C$596=$B$1)*(A405&gt;Task_table_03_2_26!$J$2:$J$596)*(A405&lt;Task_table_03_2_26!$K$2:$K$596))</f>
        <v>30</v>
      </c>
      <c r="C405" cm="1">
        <f t="array" ref="C405">SUMPRODUCT((Task_table_03_2_26!$C$2:$C$596=$C$1)*(A405&gt;Task_table_03_2_26!$J$2:$J$596)*(A405&lt;Task_table_03_2_26!$K$2:$K$596))</f>
        <v>4</v>
      </c>
      <c r="D405" cm="1">
        <f t="array" ref="D405">SUMPRODUCT((Task_table_03_2_26!$C$2:$C$596=$D$1)*(A405&gt;Task_table_03_2_26!$J$2:$J$596)*(A405&lt;Task_table_03_2_26!$K$2:$K$596))</f>
        <v>0</v>
      </c>
      <c r="E405" cm="1">
        <f t="array" ref="E405">SUMPRODUCT((Task_table_03_2_26!$C$2:$C$596=$E$1)*(A405&gt;Task_table_03_2_26!$J$2:$J$596)*(A405&lt;Task_table_03_2_26!$K$2:$K$596))</f>
        <v>1</v>
      </c>
    </row>
    <row r="406" spans="1:5">
      <c r="A406" s="5">
        <v>46274</v>
      </c>
      <c r="B406" cm="1">
        <f t="array" ref="B406">SUMPRODUCT((Task_table_03_2_26!$C$2:$C$596=$B$1)*(A406&gt;Task_table_03_2_26!$J$2:$J$596)*(A406&lt;Task_table_03_2_26!$K$2:$K$596))</f>
        <v>30</v>
      </c>
      <c r="C406" cm="1">
        <f t="array" ref="C406">SUMPRODUCT((Task_table_03_2_26!$C$2:$C$596=$C$1)*(A406&gt;Task_table_03_2_26!$J$2:$J$596)*(A406&lt;Task_table_03_2_26!$K$2:$K$596))</f>
        <v>4</v>
      </c>
      <c r="D406" cm="1">
        <f t="array" ref="D406">SUMPRODUCT((Task_table_03_2_26!$C$2:$C$596=$D$1)*(A406&gt;Task_table_03_2_26!$J$2:$J$596)*(A406&lt;Task_table_03_2_26!$K$2:$K$596))</f>
        <v>0</v>
      </c>
      <c r="E406" cm="1">
        <f t="array" ref="E406">SUMPRODUCT((Task_table_03_2_26!$C$2:$C$596=$E$1)*(A406&gt;Task_table_03_2_26!$J$2:$J$596)*(A406&lt;Task_table_03_2_26!$K$2:$K$596))</f>
        <v>1</v>
      </c>
    </row>
    <row r="407" spans="1:5">
      <c r="A407" s="5">
        <v>46275</v>
      </c>
      <c r="B407" cm="1">
        <f t="array" ref="B407">SUMPRODUCT((Task_table_03_2_26!$C$2:$C$596=$B$1)*(A407&gt;Task_table_03_2_26!$J$2:$J$596)*(A407&lt;Task_table_03_2_26!$K$2:$K$596))</f>
        <v>30</v>
      </c>
      <c r="C407" cm="1">
        <f t="array" ref="C407">SUMPRODUCT((Task_table_03_2_26!$C$2:$C$596=$C$1)*(A407&gt;Task_table_03_2_26!$J$2:$J$596)*(A407&lt;Task_table_03_2_26!$K$2:$K$596))</f>
        <v>4</v>
      </c>
      <c r="D407" cm="1">
        <f t="array" ref="D407">SUMPRODUCT((Task_table_03_2_26!$C$2:$C$596=$D$1)*(A407&gt;Task_table_03_2_26!$J$2:$J$596)*(A407&lt;Task_table_03_2_26!$K$2:$K$596))</f>
        <v>0</v>
      </c>
      <c r="E407" cm="1">
        <f t="array" ref="E407">SUMPRODUCT((Task_table_03_2_26!$C$2:$C$596=$E$1)*(A407&gt;Task_table_03_2_26!$J$2:$J$596)*(A407&lt;Task_table_03_2_26!$K$2:$K$596))</f>
        <v>1</v>
      </c>
    </row>
    <row r="408" spans="1:5">
      <c r="A408" s="5">
        <v>46276</v>
      </c>
      <c r="B408" cm="1">
        <f t="array" ref="B408">SUMPRODUCT((Task_table_03_2_26!$C$2:$C$596=$B$1)*(A408&gt;Task_table_03_2_26!$J$2:$J$596)*(A408&lt;Task_table_03_2_26!$K$2:$K$596))</f>
        <v>30</v>
      </c>
      <c r="C408" cm="1">
        <f t="array" ref="C408">SUMPRODUCT((Task_table_03_2_26!$C$2:$C$596=$C$1)*(A408&gt;Task_table_03_2_26!$J$2:$J$596)*(A408&lt;Task_table_03_2_26!$K$2:$K$596))</f>
        <v>4</v>
      </c>
      <c r="D408" cm="1">
        <f t="array" ref="D408">SUMPRODUCT((Task_table_03_2_26!$C$2:$C$596=$D$1)*(A408&gt;Task_table_03_2_26!$J$2:$J$596)*(A408&lt;Task_table_03_2_26!$K$2:$K$596))</f>
        <v>0</v>
      </c>
      <c r="E408" cm="1">
        <f t="array" ref="E408">SUMPRODUCT((Task_table_03_2_26!$C$2:$C$596=$E$1)*(A408&gt;Task_table_03_2_26!$J$2:$J$596)*(A408&lt;Task_table_03_2_26!$K$2:$K$596))</f>
        <v>1</v>
      </c>
    </row>
    <row r="409" spans="1:5">
      <c r="A409" s="5">
        <v>46277</v>
      </c>
      <c r="B409" cm="1">
        <f t="array" ref="B409">SUMPRODUCT((Task_table_03_2_26!$C$2:$C$596=$B$1)*(A409&gt;Task_table_03_2_26!$J$2:$J$596)*(A409&lt;Task_table_03_2_26!$K$2:$K$596))</f>
        <v>30</v>
      </c>
      <c r="C409" cm="1">
        <f t="array" ref="C409">SUMPRODUCT((Task_table_03_2_26!$C$2:$C$596=$C$1)*(A409&gt;Task_table_03_2_26!$J$2:$J$596)*(A409&lt;Task_table_03_2_26!$K$2:$K$596))</f>
        <v>4</v>
      </c>
      <c r="D409" cm="1">
        <f t="array" ref="D409">SUMPRODUCT((Task_table_03_2_26!$C$2:$C$596=$D$1)*(A409&gt;Task_table_03_2_26!$J$2:$J$596)*(A409&lt;Task_table_03_2_26!$K$2:$K$596))</f>
        <v>0</v>
      </c>
      <c r="E409" cm="1">
        <f t="array" ref="E409">SUMPRODUCT((Task_table_03_2_26!$C$2:$C$596=$E$1)*(A409&gt;Task_table_03_2_26!$J$2:$J$596)*(A409&lt;Task_table_03_2_26!$K$2:$K$596))</f>
        <v>1</v>
      </c>
    </row>
    <row r="410" spans="1:5">
      <c r="A410" s="5">
        <v>46278</v>
      </c>
      <c r="B410" cm="1">
        <f t="array" ref="B410">SUMPRODUCT((Task_table_03_2_26!$C$2:$C$596=$B$1)*(A410&gt;Task_table_03_2_26!$J$2:$J$596)*(A410&lt;Task_table_03_2_26!$K$2:$K$596))</f>
        <v>30</v>
      </c>
      <c r="C410" cm="1">
        <f t="array" ref="C410">SUMPRODUCT((Task_table_03_2_26!$C$2:$C$596=$C$1)*(A410&gt;Task_table_03_2_26!$J$2:$J$596)*(A410&lt;Task_table_03_2_26!$K$2:$K$596))</f>
        <v>4</v>
      </c>
      <c r="D410" cm="1">
        <f t="array" ref="D410">SUMPRODUCT((Task_table_03_2_26!$C$2:$C$596=$D$1)*(A410&gt;Task_table_03_2_26!$J$2:$J$596)*(A410&lt;Task_table_03_2_26!$K$2:$K$596))</f>
        <v>0</v>
      </c>
      <c r="E410" cm="1">
        <f t="array" ref="E410">SUMPRODUCT((Task_table_03_2_26!$C$2:$C$596=$E$1)*(A410&gt;Task_table_03_2_26!$J$2:$J$596)*(A410&lt;Task_table_03_2_26!$K$2:$K$596))</f>
        <v>1</v>
      </c>
    </row>
    <row r="411" spans="1:5">
      <c r="A411" s="5">
        <v>46279</v>
      </c>
      <c r="B411" cm="1">
        <f t="array" ref="B411">SUMPRODUCT((Task_table_03_2_26!$C$2:$C$596=$B$1)*(A411&gt;Task_table_03_2_26!$J$2:$J$596)*(A411&lt;Task_table_03_2_26!$K$2:$K$596))</f>
        <v>30</v>
      </c>
      <c r="C411" cm="1">
        <f t="array" ref="C411">SUMPRODUCT((Task_table_03_2_26!$C$2:$C$596=$C$1)*(A411&gt;Task_table_03_2_26!$J$2:$J$596)*(A411&lt;Task_table_03_2_26!$K$2:$K$596))</f>
        <v>4</v>
      </c>
      <c r="D411" cm="1">
        <f t="array" ref="D411">SUMPRODUCT((Task_table_03_2_26!$C$2:$C$596=$D$1)*(A411&gt;Task_table_03_2_26!$J$2:$J$596)*(A411&lt;Task_table_03_2_26!$K$2:$K$596))</f>
        <v>0</v>
      </c>
      <c r="E411" cm="1">
        <f t="array" ref="E411">SUMPRODUCT((Task_table_03_2_26!$C$2:$C$596=$E$1)*(A411&gt;Task_table_03_2_26!$J$2:$J$596)*(A411&lt;Task_table_03_2_26!$K$2:$K$596))</f>
        <v>1</v>
      </c>
    </row>
    <row r="412" spans="1:5">
      <c r="A412" s="5">
        <v>46280</v>
      </c>
      <c r="B412" cm="1">
        <f t="array" ref="B412">SUMPRODUCT((Task_table_03_2_26!$C$2:$C$596=$B$1)*(A412&gt;Task_table_03_2_26!$J$2:$J$596)*(A412&lt;Task_table_03_2_26!$K$2:$K$596))</f>
        <v>30</v>
      </c>
      <c r="C412" cm="1">
        <f t="array" ref="C412">SUMPRODUCT((Task_table_03_2_26!$C$2:$C$596=$C$1)*(A412&gt;Task_table_03_2_26!$J$2:$J$596)*(A412&lt;Task_table_03_2_26!$K$2:$K$596))</f>
        <v>4</v>
      </c>
      <c r="D412" cm="1">
        <f t="array" ref="D412">SUMPRODUCT((Task_table_03_2_26!$C$2:$C$596=$D$1)*(A412&gt;Task_table_03_2_26!$J$2:$J$596)*(A412&lt;Task_table_03_2_26!$K$2:$K$596))</f>
        <v>0</v>
      </c>
      <c r="E412" cm="1">
        <f t="array" ref="E412">SUMPRODUCT((Task_table_03_2_26!$C$2:$C$596=$E$1)*(A412&gt;Task_table_03_2_26!$J$2:$J$596)*(A412&lt;Task_table_03_2_26!$K$2:$K$596))</f>
        <v>1</v>
      </c>
    </row>
    <row r="413" spans="1:5">
      <c r="A413" s="5">
        <v>46281</v>
      </c>
      <c r="B413" cm="1">
        <f t="array" ref="B413">SUMPRODUCT((Task_table_03_2_26!$C$2:$C$596=$B$1)*(A413&gt;Task_table_03_2_26!$J$2:$J$596)*(A413&lt;Task_table_03_2_26!$K$2:$K$596))</f>
        <v>30</v>
      </c>
      <c r="C413" cm="1">
        <f t="array" ref="C413">SUMPRODUCT((Task_table_03_2_26!$C$2:$C$596=$C$1)*(A413&gt;Task_table_03_2_26!$J$2:$J$596)*(A413&lt;Task_table_03_2_26!$K$2:$K$596))</f>
        <v>4</v>
      </c>
      <c r="D413" cm="1">
        <f t="array" ref="D413">SUMPRODUCT((Task_table_03_2_26!$C$2:$C$596=$D$1)*(A413&gt;Task_table_03_2_26!$J$2:$J$596)*(A413&lt;Task_table_03_2_26!$K$2:$K$596))</f>
        <v>0</v>
      </c>
      <c r="E413" cm="1">
        <f t="array" ref="E413">SUMPRODUCT((Task_table_03_2_26!$C$2:$C$596=$E$1)*(A413&gt;Task_table_03_2_26!$J$2:$J$596)*(A413&lt;Task_table_03_2_26!$K$2:$K$596))</f>
        <v>1</v>
      </c>
    </row>
    <row r="414" spans="1:5">
      <c r="A414" s="5">
        <v>46282</v>
      </c>
      <c r="B414" cm="1">
        <f t="array" ref="B414">SUMPRODUCT((Task_table_03_2_26!$C$2:$C$596=$B$1)*(A414&gt;Task_table_03_2_26!$J$2:$J$596)*(A414&lt;Task_table_03_2_26!$K$2:$K$596))</f>
        <v>30</v>
      </c>
      <c r="C414" cm="1">
        <f t="array" ref="C414">SUMPRODUCT((Task_table_03_2_26!$C$2:$C$596=$C$1)*(A414&gt;Task_table_03_2_26!$J$2:$J$596)*(A414&lt;Task_table_03_2_26!$K$2:$K$596))</f>
        <v>4</v>
      </c>
      <c r="D414" cm="1">
        <f t="array" ref="D414">SUMPRODUCT((Task_table_03_2_26!$C$2:$C$596=$D$1)*(A414&gt;Task_table_03_2_26!$J$2:$J$596)*(A414&lt;Task_table_03_2_26!$K$2:$K$596))</f>
        <v>0</v>
      </c>
      <c r="E414" cm="1">
        <f t="array" ref="E414">SUMPRODUCT((Task_table_03_2_26!$C$2:$C$596=$E$1)*(A414&gt;Task_table_03_2_26!$J$2:$J$596)*(A414&lt;Task_table_03_2_26!$K$2:$K$596))</f>
        <v>1</v>
      </c>
    </row>
    <row r="415" spans="1:5">
      <c r="A415" s="5">
        <v>46283</v>
      </c>
      <c r="B415" cm="1">
        <f t="array" ref="B415">SUMPRODUCT((Task_table_03_2_26!$C$2:$C$596=$B$1)*(A415&gt;Task_table_03_2_26!$J$2:$J$596)*(A415&lt;Task_table_03_2_26!$K$2:$K$596))</f>
        <v>30</v>
      </c>
      <c r="C415" cm="1">
        <f t="array" ref="C415">SUMPRODUCT((Task_table_03_2_26!$C$2:$C$596=$C$1)*(A415&gt;Task_table_03_2_26!$J$2:$J$596)*(A415&lt;Task_table_03_2_26!$K$2:$K$596))</f>
        <v>4</v>
      </c>
      <c r="D415" cm="1">
        <f t="array" ref="D415">SUMPRODUCT((Task_table_03_2_26!$C$2:$C$596=$D$1)*(A415&gt;Task_table_03_2_26!$J$2:$J$596)*(A415&lt;Task_table_03_2_26!$K$2:$K$596))</f>
        <v>0</v>
      </c>
      <c r="E415" cm="1">
        <f t="array" ref="E415">SUMPRODUCT((Task_table_03_2_26!$C$2:$C$596=$E$1)*(A415&gt;Task_table_03_2_26!$J$2:$J$596)*(A415&lt;Task_table_03_2_26!$K$2:$K$596))</f>
        <v>1</v>
      </c>
    </row>
    <row r="416" spans="1:5">
      <c r="A416" s="5">
        <v>46284</v>
      </c>
      <c r="B416" cm="1">
        <f t="array" ref="B416">SUMPRODUCT((Task_table_03_2_26!$C$2:$C$596=$B$1)*(A416&gt;Task_table_03_2_26!$J$2:$J$596)*(A416&lt;Task_table_03_2_26!$K$2:$K$596))</f>
        <v>30</v>
      </c>
      <c r="C416" cm="1">
        <f t="array" ref="C416">SUMPRODUCT((Task_table_03_2_26!$C$2:$C$596=$C$1)*(A416&gt;Task_table_03_2_26!$J$2:$J$596)*(A416&lt;Task_table_03_2_26!$K$2:$K$596))</f>
        <v>4</v>
      </c>
      <c r="D416" cm="1">
        <f t="array" ref="D416">SUMPRODUCT((Task_table_03_2_26!$C$2:$C$596=$D$1)*(A416&gt;Task_table_03_2_26!$J$2:$J$596)*(A416&lt;Task_table_03_2_26!$K$2:$K$596))</f>
        <v>0</v>
      </c>
      <c r="E416" cm="1">
        <f t="array" ref="E416">SUMPRODUCT((Task_table_03_2_26!$C$2:$C$596=$E$1)*(A416&gt;Task_table_03_2_26!$J$2:$J$596)*(A416&lt;Task_table_03_2_26!$K$2:$K$596))</f>
        <v>1</v>
      </c>
    </row>
    <row r="417" spans="1:5">
      <c r="A417" s="5">
        <v>46285</v>
      </c>
      <c r="B417" cm="1">
        <f t="array" ref="B417">SUMPRODUCT((Task_table_03_2_26!$C$2:$C$596=$B$1)*(A417&gt;Task_table_03_2_26!$J$2:$J$596)*(A417&lt;Task_table_03_2_26!$K$2:$K$596))</f>
        <v>30</v>
      </c>
      <c r="C417" cm="1">
        <f t="array" ref="C417">SUMPRODUCT((Task_table_03_2_26!$C$2:$C$596=$C$1)*(A417&gt;Task_table_03_2_26!$J$2:$J$596)*(A417&lt;Task_table_03_2_26!$K$2:$K$596))</f>
        <v>4</v>
      </c>
      <c r="D417" cm="1">
        <f t="array" ref="D417">SUMPRODUCT((Task_table_03_2_26!$C$2:$C$596=$D$1)*(A417&gt;Task_table_03_2_26!$J$2:$J$596)*(A417&lt;Task_table_03_2_26!$K$2:$K$596))</f>
        <v>0</v>
      </c>
      <c r="E417" cm="1">
        <f t="array" ref="E417">SUMPRODUCT((Task_table_03_2_26!$C$2:$C$596=$E$1)*(A417&gt;Task_table_03_2_26!$J$2:$J$596)*(A417&lt;Task_table_03_2_26!$K$2:$K$596))</f>
        <v>1</v>
      </c>
    </row>
    <row r="418" spans="1:5">
      <c r="A418" s="5">
        <v>46286</v>
      </c>
      <c r="B418" cm="1">
        <f t="array" ref="B418">SUMPRODUCT((Task_table_03_2_26!$C$2:$C$596=$B$1)*(A418&gt;Task_table_03_2_26!$J$2:$J$596)*(A418&lt;Task_table_03_2_26!$K$2:$K$596))</f>
        <v>30</v>
      </c>
      <c r="C418" cm="1">
        <f t="array" ref="C418">SUMPRODUCT((Task_table_03_2_26!$C$2:$C$596=$C$1)*(A418&gt;Task_table_03_2_26!$J$2:$J$596)*(A418&lt;Task_table_03_2_26!$K$2:$K$596))</f>
        <v>4</v>
      </c>
      <c r="D418" cm="1">
        <f t="array" ref="D418">SUMPRODUCT((Task_table_03_2_26!$C$2:$C$596=$D$1)*(A418&gt;Task_table_03_2_26!$J$2:$J$596)*(A418&lt;Task_table_03_2_26!$K$2:$K$596))</f>
        <v>0</v>
      </c>
      <c r="E418" cm="1">
        <f t="array" ref="E418">SUMPRODUCT((Task_table_03_2_26!$C$2:$C$596=$E$1)*(A418&gt;Task_table_03_2_26!$J$2:$J$596)*(A418&lt;Task_table_03_2_26!$K$2:$K$596))</f>
        <v>1</v>
      </c>
    </row>
    <row r="419" spans="1:5">
      <c r="A419" s="5">
        <v>46287</v>
      </c>
      <c r="B419" cm="1">
        <f t="array" ref="B419">SUMPRODUCT((Task_table_03_2_26!$C$2:$C$596=$B$1)*(A419&gt;Task_table_03_2_26!$J$2:$J$596)*(A419&lt;Task_table_03_2_26!$K$2:$K$596))</f>
        <v>30</v>
      </c>
      <c r="C419" cm="1">
        <f t="array" ref="C419">SUMPRODUCT((Task_table_03_2_26!$C$2:$C$596=$C$1)*(A419&gt;Task_table_03_2_26!$J$2:$J$596)*(A419&lt;Task_table_03_2_26!$K$2:$K$596))</f>
        <v>4</v>
      </c>
      <c r="D419" cm="1">
        <f t="array" ref="D419">SUMPRODUCT((Task_table_03_2_26!$C$2:$C$596=$D$1)*(A419&gt;Task_table_03_2_26!$J$2:$J$596)*(A419&lt;Task_table_03_2_26!$K$2:$K$596))</f>
        <v>0</v>
      </c>
      <c r="E419" cm="1">
        <f t="array" ref="E419">SUMPRODUCT((Task_table_03_2_26!$C$2:$C$596=$E$1)*(A419&gt;Task_table_03_2_26!$J$2:$J$596)*(A419&lt;Task_table_03_2_26!$K$2:$K$596))</f>
        <v>1</v>
      </c>
    </row>
    <row r="420" spans="1:5">
      <c r="A420" s="5">
        <v>46288</v>
      </c>
      <c r="B420" cm="1">
        <f t="array" ref="B420">SUMPRODUCT((Task_table_03_2_26!$C$2:$C$596=$B$1)*(A420&gt;Task_table_03_2_26!$J$2:$J$596)*(A420&lt;Task_table_03_2_26!$K$2:$K$596))</f>
        <v>30</v>
      </c>
      <c r="C420" cm="1">
        <f t="array" ref="C420">SUMPRODUCT((Task_table_03_2_26!$C$2:$C$596=$C$1)*(A420&gt;Task_table_03_2_26!$J$2:$J$596)*(A420&lt;Task_table_03_2_26!$K$2:$K$596))</f>
        <v>4</v>
      </c>
      <c r="D420" cm="1">
        <f t="array" ref="D420">SUMPRODUCT((Task_table_03_2_26!$C$2:$C$596=$D$1)*(A420&gt;Task_table_03_2_26!$J$2:$J$596)*(A420&lt;Task_table_03_2_26!$K$2:$K$596))</f>
        <v>0</v>
      </c>
      <c r="E420" cm="1">
        <f t="array" ref="E420">SUMPRODUCT((Task_table_03_2_26!$C$2:$C$596=$E$1)*(A420&gt;Task_table_03_2_26!$J$2:$J$596)*(A420&lt;Task_table_03_2_26!$K$2:$K$596))</f>
        <v>1</v>
      </c>
    </row>
    <row r="421" spans="1:5">
      <c r="A421" s="5">
        <v>46289</v>
      </c>
      <c r="B421" cm="1">
        <f t="array" ref="B421">SUMPRODUCT((Task_table_03_2_26!$C$2:$C$596=$B$1)*(A421&gt;Task_table_03_2_26!$J$2:$J$596)*(A421&lt;Task_table_03_2_26!$K$2:$K$596))</f>
        <v>30</v>
      </c>
      <c r="C421" cm="1">
        <f t="array" ref="C421">SUMPRODUCT((Task_table_03_2_26!$C$2:$C$596=$C$1)*(A421&gt;Task_table_03_2_26!$J$2:$J$596)*(A421&lt;Task_table_03_2_26!$K$2:$K$596))</f>
        <v>4</v>
      </c>
      <c r="D421" cm="1">
        <f t="array" ref="D421">SUMPRODUCT((Task_table_03_2_26!$C$2:$C$596=$D$1)*(A421&gt;Task_table_03_2_26!$J$2:$J$596)*(A421&lt;Task_table_03_2_26!$K$2:$K$596))</f>
        <v>0</v>
      </c>
      <c r="E421" cm="1">
        <f t="array" ref="E421">SUMPRODUCT((Task_table_03_2_26!$C$2:$C$596=$E$1)*(A421&gt;Task_table_03_2_26!$J$2:$J$596)*(A421&lt;Task_table_03_2_26!$K$2:$K$596))</f>
        <v>1</v>
      </c>
    </row>
    <row r="422" spans="1:5">
      <c r="A422" s="5">
        <v>46290</v>
      </c>
      <c r="B422" cm="1">
        <f t="array" ref="B422">SUMPRODUCT((Task_table_03_2_26!$C$2:$C$596=$B$1)*(A422&gt;Task_table_03_2_26!$J$2:$J$596)*(A422&lt;Task_table_03_2_26!$K$2:$K$596))</f>
        <v>30</v>
      </c>
      <c r="C422" cm="1">
        <f t="array" ref="C422">SUMPRODUCT((Task_table_03_2_26!$C$2:$C$596=$C$1)*(A422&gt;Task_table_03_2_26!$J$2:$J$596)*(A422&lt;Task_table_03_2_26!$K$2:$K$596))</f>
        <v>4</v>
      </c>
      <c r="D422" cm="1">
        <f t="array" ref="D422">SUMPRODUCT((Task_table_03_2_26!$C$2:$C$596=$D$1)*(A422&gt;Task_table_03_2_26!$J$2:$J$596)*(A422&lt;Task_table_03_2_26!$K$2:$K$596))</f>
        <v>0</v>
      </c>
      <c r="E422" cm="1">
        <f t="array" ref="E422">SUMPRODUCT((Task_table_03_2_26!$C$2:$C$596=$E$1)*(A422&gt;Task_table_03_2_26!$J$2:$J$596)*(A422&lt;Task_table_03_2_26!$K$2:$K$596))</f>
        <v>1</v>
      </c>
    </row>
    <row r="423" spans="1:5">
      <c r="A423" s="5">
        <v>46291</v>
      </c>
      <c r="B423" cm="1">
        <f t="array" ref="B423">SUMPRODUCT((Task_table_03_2_26!$C$2:$C$596=$B$1)*(A423&gt;Task_table_03_2_26!$J$2:$J$596)*(A423&lt;Task_table_03_2_26!$K$2:$K$596))</f>
        <v>30</v>
      </c>
      <c r="C423" cm="1">
        <f t="array" ref="C423">SUMPRODUCT((Task_table_03_2_26!$C$2:$C$596=$C$1)*(A423&gt;Task_table_03_2_26!$J$2:$J$596)*(A423&lt;Task_table_03_2_26!$K$2:$K$596))</f>
        <v>4</v>
      </c>
      <c r="D423" cm="1">
        <f t="array" ref="D423">SUMPRODUCT((Task_table_03_2_26!$C$2:$C$596=$D$1)*(A423&gt;Task_table_03_2_26!$J$2:$J$596)*(A423&lt;Task_table_03_2_26!$K$2:$K$596))</f>
        <v>0</v>
      </c>
      <c r="E423" cm="1">
        <f t="array" ref="E423">SUMPRODUCT((Task_table_03_2_26!$C$2:$C$596=$E$1)*(A423&gt;Task_table_03_2_26!$J$2:$J$596)*(A423&lt;Task_table_03_2_26!$K$2:$K$596))</f>
        <v>1</v>
      </c>
    </row>
    <row r="424" spans="1:5">
      <c r="A424" s="5">
        <v>46292</v>
      </c>
      <c r="B424" cm="1">
        <f t="array" ref="B424">SUMPRODUCT((Task_table_03_2_26!$C$2:$C$596=$B$1)*(A424&gt;Task_table_03_2_26!$J$2:$J$596)*(A424&lt;Task_table_03_2_26!$K$2:$K$596))</f>
        <v>30</v>
      </c>
      <c r="C424" cm="1">
        <f t="array" ref="C424">SUMPRODUCT((Task_table_03_2_26!$C$2:$C$596=$C$1)*(A424&gt;Task_table_03_2_26!$J$2:$J$596)*(A424&lt;Task_table_03_2_26!$K$2:$K$596))</f>
        <v>4</v>
      </c>
      <c r="D424" cm="1">
        <f t="array" ref="D424">SUMPRODUCT((Task_table_03_2_26!$C$2:$C$596=$D$1)*(A424&gt;Task_table_03_2_26!$J$2:$J$596)*(A424&lt;Task_table_03_2_26!$K$2:$K$596))</f>
        <v>0</v>
      </c>
      <c r="E424" cm="1">
        <f t="array" ref="E424">SUMPRODUCT((Task_table_03_2_26!$C$2:$C$596=$E$1)*(A424&gt;Task_table_03_2_26!$J$2:$J$596)*(A424&lt;Task_table_03_2_26!$K$2:$K$596))</f>
        <v>1</v>
      </c>
    </row>
    <row r="425" spans="1:5">
      <c r="A425" s="5">
        <v>46293</v>
      </c>
      <c r="B425" cm="1">
        <f t="array" ref="B425">SUMPRODUCT((Task_table_03_2_26!$C$2:$C$596=$B$1)*(A425&gt;Task_table_03_2_26!$J$2:$J$596)*(A425&lt;Task_table_03_2_26!$K$2:$K$596))</f>
        <v>30</v>
      </c>
      <c r="C425" cm="1">
        <f t="array" ref="C425">SUMPRODUCT((Task_table_03_2_26!$C$2:$C$596=$C$1)*(A425&gt;Task_table_03_2_26!$J$2:$J$596)*(A425&lt;Task_table_03_2_26!$K$2:$K$596))</f>
        <v>4</v>
      </c>
      <c r="D425" cm="1">
        <f t="array" ref="D425">SUMPRODUCT((Task_table_03_2_26!$C$2:$C$596=$D$1)*(A425&gt;Task_table_03_2_26!$J$2:$J$596)*(A425&lt;Task_table_03_2_26!$K$2:$K$596))</f>
        <v>0</v>
      </c>
      <c r="E425" cm="1">
        <f t="array" ref="E425">SUMPRODUCT((Task_table_03_2_26!$C$2:$C$596=$E$1)*(A425&gt;Task_table_03_2_26!$J$2:$J$596)*(A425&lt;Task_table_03_2_26!$K$2:$K$596))</f>
        <v>1</v>
      </c>
    </row>
    <row r="426" spans="1:5">
      <c r="A426" s="5">
        <v>46294</v>
      </c>
      <c r="B426" cm="1">
        <f t="array" ref="B426">SUMPRODUCT((Task_table_03_2_26!$C$2:$C$596=$B$1)*(A426&gt;Task_table_03_2_26!$J$2:$J$596)*(A426&lt;Task_table_03_2_26!$K$2:$K$596))</f>
        <v>30</v>
      </c>
      <c r="C426" cm="1">
        <f t="array" ref="C426">SUMPRODUCT((Task_table_03_2_26!$C$2:$C$596=$C$1)*(A426&gt;Task_table_03_2_26!$J$2:$J$596)*(A426&lt;Task_table_03_2_26!$K$2:$K$596))</f>
        <v>4</v>
      </c>
      <c r="D426" cm="1">
        <f t="array" ref="D426">SUMPRODUCT((Task_table_03_2_26!$C$2:$C$596=$D$1)*(A426&gt;Task_table_03_2_26!$J$2:$J$596)*(A426&lt;Task_table_03_2_26!$K$2:$K$596))</f>
        <v>0</v>
      </c>
      <c r="E426" cm="1">
        <f t="array" ref="E426">SUMPRODUCT((Task_table_03_2_26!$C$2:$C$596=$E$1)*(A426&gt;Task_table_03_2_26!$J$2:$J$596)*(A426&lt;Task_table_03_2_26!$K$2:$K$596))</f>
        <v>1</v>
      </c>
    </row>
    <row r="427" spans="1:5">
      <c r="A427" s="5">
        <v>46295</v>
      </c>
      <c r="B427" cm="1">
        <f t="array" ref="B427">SUMPRODUCT((Task_table_03_2_26!$C$2:$C$596=$B$1)*(A427&gt;Task_table_03_2_26!$J$2:$J$596)*(A427&lt;Task_table_03_2_26!$K$2:$K$596))</f>
        <v>23</v>
      </c>
      <c r="C427" cm="1">
        <f t="array" ref="C427">SUMPRODUCT((Task_table_03_2_26!$C$2:$C$596=$C$1)*(A427&gt;Task_table_03_2_26!$J$2:$J$596)*(A427&lt;Task_table_03_2_26!$K$2:$K$596))</f>
        <v>3</v>
      </c>
      <c r="D427" cm="1">
        <f t="array" ref="D427">SUMPRODUCT((Task_table_03_2_26!$C$2:$C$596=$D$1)*(A427&gt;Task_table_03_2_26!$J$2:$J$596)*(A427&lt;Task_table_03_2_26!$K$2:$K$596))</f>
        <v>0</v>
      </c>
      <c r="E427" cm="1">
        <f t="array" ref="E427">SUMPRODUCT((Task_table_03_2_26!$C$2:$C$596=$E$1)*(A427&gt;Task_table_03_2_26!$J$2:$J$596)*(A427&lt;Task_table_03_2_26!$K$2:$K$596))</f>
        <v>1</v>
      </c>
    </row>
    <row r="428" spans="1:5">
      <c r="A428" s="5">
        <v>46296</v>
      </c>
      <c r="B428" cm="1">
        <f t="array" ref="B428">SUMPRODUCT((Task_table_03_2_26!$C$2:$C$596=$B$1)*(A428&gt;Task_table_03_2_26!$J$2:$J$596)*(A428&lt;Task_table_03_2_26!$K$2:$K$596))</f>
        <v>23</v>
      </c>
      <c r="C428" cm="1">
        <f t="array" ref="C428">SUMPRODUCT((Task_table_03_2_26!$C$2:$C$596=$C$1)*(A428&gt;Task_table_03_2_26!$J$2:$J$596)*(A428&lt;Task_table_03_2_26!$K$2:$K$596))</f>
        <v>3</v>
      </c>
      <c r="D428" cm="1">
        <f t="array" ref="D428">SUMPRODUCT((Task_table_03_2_26!$C$2:$C$596=$D$1)*(A428&gt;Task_table_03_2_26!$J$2:$J$596)*(A428&lt;Task_table_03_2_26!$K$2:$K$596))</f>
        <v>0</v>
      </c>
      <c r="E428" cm="1">
        <f t="array" ref="E428">SUMPRODUCT((Task_table_03_2_26!$C$2:$C$596=$E$1)*(A428&gt;Task_table_03_2_26!$J$2:$J$596)*(A428&lt;Task_table_03_2_26!$K$2:$K$596))</f>
        <v>1</v>
      </c>
    </row>
    <row r="429" spans="1:5">
      <c r="A429" s="5">
        <v>46297</v>
      </c>
      <c r="B429" cm="1">
        <f t="array" ref="B429">SUMPRODUCT((Task_table_03_2_26!$C$2:$C$596=$B$1)*(A429&gt;Task_table_03_2_26!$J$2:$J$596)*(A429&lt;Task_table_03_2_26!$K$2:$K$596))</f>
        <v>23</v>
      </c>
      <c r="C429" cm="1">
        <f t="array" ref="C429">SUMPRODUCT((Task_table_03_2_26!$C$2:$C$596=$C$1)*(A429&gt;Task_table_03_2_26!$J$2:$J$596)*(A429&lt;Task_table_03_2_26!$K$2:$K$596))</f>
        <v>3</v>
      </c>
      <c r="D429" cm="1">
        <f t="array" ref="D429">SUMPRODUCT((Task_table_03_2_26!$C$2:$C$596=$D$1)*(A429&gt;Task_table_03_2_26!$J$2:$J$596)*(A429&lt;Task_table_03_2_26!$K$2:$K$596))</f>
        <v>0</v>
      </c>
      <c r="E429" cm="1">
        <f t="array" ref="E429">SUMPRODUCT((Task_table_03_2_26!$C$2:$C$596=$E$1)*(A429&gt;Task_table_03_2_26!$J$2:$J$596)*(A429&lt;Task_table_03_2_26!$K$2:$K$596))</f>
        <v>1</v>
      </c>
    </row>
    <row r="430" spans="1:5">
      <c r="A430" s="5">
        <v>46298</v>
      </c>
      <c r="B430" cm="1">
        <f t="array" ref="B430">SUMPRODUCT((Task_table_03_2_26!$C$2:$C$596=$B$1)*(A430&gt;Task_table_03_2_26!$J$2:$J$596)*(A430&lt;Task_table_03_2_26!$K$2:$K$596))</f>
        <v>23</v>
      </c>
      <c r="C430" cm="1">
        <f t="array" ref="C430">SUMPRODUCT((Task_table_03_2_26!$C$2:$C$596=$C$1)*(A430&gt;Task_table_03_2_26!$J$2:$J$596)*(A430&lt;Task_table_03_2_26!$K$2:$K$596))</f>
        <v>3</v>
      </c>
      <c r="D430" cm="1">
        <f t="array" ref="D430">SUMPRODUCT((Task_table_03_2_26!$C$2:$C$596=$D$1)*(A430&gt;Task_table_03_2_26!$J$2:$J$596)*(A430&lt;Task_table_03_2_26!$K$2:$K$596))</f>
        <v>0</v>
      </c>
      <c r="E430" cm="1">
        <f t="array" ref="E430">SUMPRODUCT((Task_table_03_2_26!$C$2:$C$596=$E$1)*(A430&gt;Task_table_03_2_26!$J$2:$J$596)*(A430&lt;Task_table_03_2_26!$K$2:$K$596))</f>
        <v>1</v>
      </c>
    </row>
    <row r="431" spans="1:5">
      <c r="A431" s="5">
        <v>46299</v>
      </c>
      <c r="B431" cm="1">
        <f t="array" ref="B431">SUMPRODUCT((Task_table_03_2_26!$C$2:$C$596=$B$1)*(A431&gt;Task_table_03_2_26!$J$2:$J$596)*(A431&lt;Task_table_03_2_26!$K$2:$K$596))</f>
        <v>23</v>
      </c>
      <c r="C431" cm="1">
        <f t="array" ref="C431">SUMPRODUCT((Task_table_03_2_26!$C$2:$C$596=$C$1)*(A431&gt;Task_table_03_2_26!$J$2:$J$596)*(A431&lt;Task_table_03_2_26!$K$2:$K$596))</f>
        <v>3</v>
      </c>
      <c r="D431" cm="1">
        <f t="array" ref="D431">SUMPRODUCT((Task_table_03_2_26!$C$2:$C$596=$D$1)*(A431&gt;Task_table_03_2_26!$J$2:$J$596)*(A431&lt;Task_table_03_2_26!$K$2:$K$596))</f>
        <v>0</v>
      </c>
      <c r="E431" cm="1">
        <f t="array" ref="E431">SUMPRODUCT((Task_table_03_2_26!$C$2:$C$596=$E$1)*(A431&gt;Task_table_03_2_26!$J$2:$J$596)*(A431&lt;Task_table_03_2_26!$K$2:$K$596))</f>
        <v>1</v>
      </c>
    </row>
    <row r="432" spans="1:5">
      <c r="A432" s="5">
        <v>46300</v>
      </c>
      <c r="B432" cm="1">
        <f t="array" ref="B432">SUMPRODUCT((Task_table_03_2_26!$C$2:$C$596=$B$1)*(A432&gt;Task_table_03_2_26!$J$2:$J$596)*(A432&lt;Task_table_03_2_26!$K$2:$K$596))</f>
        <v>23</v>
      </c>
      <c r="C432" cm="1">
        <f t="array" ref="C432">SUMPRODUCT((Task_table_03_2_26!$C$2:$C$596=$C$1)*(A432&gt;Task_table_03_2_26!$J$2:$J$596)*(A432&lt;Task_table_03_2_26!$K$2:$K$596))</f>
        <v>3</v>
      </c>
      <c r="D432" cm="1">
        <f t="array" ref="D432">SUMPRODUCT((Task_table_03_2_26!$C$2:$C$596=$D$1)*(A432&gt;Task_table_03_2_26!$J$2:$J$596)*(A432&lt;Task_table_03_2_26!$K$2:$K$596))</f>
        <v>0</v>
      </c>
      <c r="E432" cm="1">
        <f t="array" ref="E432">SUMPRODUCT((Task_table_03_2_26!$C$2:$C$596=$E$1)*(A432&gt;Task_table_03_2_26!$J$2:$J$596)*(A432&lt;Task_table_03_2_26!$K$2:$K$596))</f>
        <v>1</v>
      </c>
    </row>
    <row r="433" spans="1:5">
      <c r="A433" s="5">
        <v>46301</v>
      </c>
      <c r="B433" cm="1">
        <f t="array" ref="B433">SUMPRODUCT((Task_table_03_2_26!$C$2:$C$596=$B$1)*(A433&gt;Task_table_03_2_26!$J$2:$J$596)*(A433&lt;Task_table_03_2_26!$K$2:$K$596))</f>
        <v>23</v>
      </c>
      <c r="C433" cm="1">
        <f t="array" ref="C433">SUMPRODUCT((Task_table_03_2_26!$C$2:$C$596=$C$1)*(A433&gt;Task_table_03_2_26!$J$2:$J$596)*(A433&lt;Task_table_03_2_26!$K$2:$K$596))</f>
        <v>3</v>
      </c>
      <c r="D433" cm="1">
        <f t="array" ref="D433">SUMPRODUCT((Task_table_03_2_26!$C$2:$C$596=$D$1)*(A433&gt;Task_table_03_2_26!$J$2:$J$596)*(A433&lt;Task_table_03_2_26!$K$2:$K$596))</f>
        <v>0</v>
      </c>
      <c r="E433" cm="1">
        <f t="array" ref="E433">SUMPRODUCT((Task_table_03_2_26!$C$2:$C$596=$E$1)*(A433&gt;Task_table_03_2_26!$J$2:$J$596)*(A433&lt;Task_table_03_2_26!$K$2:$K$596))</f>
        <v>1</v>
      </c>
    </row>
    <row r="434" spans="1:5">
      <c r="A434" s="5">
        <v>46302</v>
      </c>
      <c r="B434" cm="1">
        <f t="array" ref="B434">SUMPRODUCT((Task_table_03_2_26!$C$2:$C$596=$B$1)*(A434&gt;Task_table_03_2_26!$J$2:$J$596)*(A434&lt;Task_table_03_2_26!$K$2:$K$596))</f>
        <v>23</v>
      </c>
      <c r="C434" cm="1">
        <f t="array" ref="C434">SUMPRODUCT((Task_table_03_2_26!$C$2:$C$596=$C$1)*(A434&gt;Task_table_03_2_26!$J$2:$J$596)*(A434&lt;Task_table_03_2_26!$K$2:$K$596))</f>
        <v>3</v>
      </c>
      <c r="D434" cm="1">
        <f t="array" ref="D434">SUMPRODUCT((Task_table_03_2_26!$C$2:$C$596=$D$1)*(A434&gt;Task_table_03_2_26!$J$2:$J$596)*(A434&lt;Task_table_03_2_26!$K$2:$K$596))</f>
        <v>0</v>
      </c>
      <c r="E434" cm="1">
        <f t="array" ref="E434">SUMPRODUCT((Task_table_03_2_26!$C$2:$C$596=$E$1)*(A434&gt;Task_table_03_2_26!$J$2:$J$596)*(A434&lt;Task_table_03_2_26!$K$2:$K$596))</f>
        <v>1</v>
      </c>
    </row>
    <row r="435" spans="1:5">
      <c r="A435" s="5">
        <v>46303</v>
      </c>
      <c r="B435" cm="1">
        <f t="array" ref="B435">SUMPRODUCT((Task_table_03_2_26!$C$2:$C$596=$B$1)*(A435&gt;Task_table_03_2_26!$J$2:$J$596)*(A435&lt;Task_table_03_2_26!$K$2:$K$596))</f>
        <v>23</v>
      </c>
      <c r="C435" cm="1">
        <f t="array" ref="C435">SUMPRODUCT((Task_table_03_2_26!$C$2:$C$596=$C$1)*(A435&gt;Task_table_03_2_26!$J$2:$J$596)*(A435&lt;Task_table_03_2_26!$K$2:$K$596))</f>
        <v>3</v>
      </c>
      <c r="D435" cm="1">
        <f t="array" ref="D435">SUMPRODUCT((Task_table_03_2_26!$C$2:$C$596=$D$1)*(A435&gt;Task_table_03_2_26!$J$2:$J$596)*(A435&lt;Task_table_03_2_26!$K$2:$K$596))</f>
        <v>0</v>
      </c>
      <c r="E435" cm="1">
        <f t="array" ref="E435">SUMPRODUCT((Task_table_03_2_26!$C$2:$C$596=$E$1)*(A435&gt;Task_table_03_2_26!$J$2:$J$596)*(A435&lt;Task_table_03_2_26!$K$2:$K$596))</f>
        <v>1</v>
      </c>
    </row>
    <row r="436" spans="1:5">
      <c r="A436" s="5">
        <v>46304</v>
      </c>
      <c r="B436" cm="1">
        <f t="array" ref="B436">SUMPRODUCT((Task_table_03_2_26!$C$2:$C$596=$B$1)*(A436&gt;Task_table_03_2_26!$J$2:$J$596)*(A436&lt;Task_table_03_2_26!$K$2:$K$596))</f>
        <v>23</v>
      </c>
      <c r="C436" cm="1">
        <f t="array" ref="C436">SUMPRODUCT((Task_table_03_2_26!$C$2:$C$596=$C$1)*(A436&gt;Task_table_03_2_26!$J$2:$J$596)*(A436&lt;Task_table_03_2_26!$K$2:$K$596))</f>
        <v>3</v>
      </c>
      <c r="D436" cm="1">
        <f t="array" ref="D436">SUMPRODUCT((Task_table_03_2_26!$C$2:$C$596=$D$1)*(A436&gt;Task_table_03_2_26!$J$2:$J$596)*(A436&lt;Task_table_03_2_26!$K$2:$K$596))</f>
        <v>0</v>
      </c>
      <c r="E436" cm="1">
        <f t="array" ref="E436">SUMPRODUCT((Task_table_03_2_26!$C$2:$C$596=$E$1)*(A436&gt;Task_table_03_2_26!$J$2:$J$596)*(A436&lt;Task_table_03_2_26!$K$2:$K$596))</f>
        <v>1</v>
      </c>
    </row>
    <row r="437" spans="1:5">
      <c r="A437" s="5">
        <v>46305</v>
      </c>
      <c r="B437" cm="1">
        <f t="array" ref="B437">SUMPRODUCT((Task_table_03_2_26!$C$2:$C$596=$B$1)*(A437&gt;Task_table_03_2_26!$J$2:$J$596)*(A437&lt;Task_table_03_2_26!$K$2:$K$596))</f>
        <v>23</v>
      </c>
      <c r="C437" cm="1">
        <f t="array" ref="C437">SUMPRODUCT((Task_table_03_2_26!$C$2:$C$596=$C$1)*(A437&gt;Task_table_03_2_26!$J$2:$J$596)*(A437&lt;Task_table_03_2_26!$K$2:$K$596))</f>
        <v>3</v>
      </c>
      <c r="D437" cm="1">
        <f t="array" ref="D437">SUMPRODUCT((Task_table_03_2_26!$C$2:$C$596=$D$1)*(A437&gt;Task_table_03_2_26!$J$2:$J$596)*(A437&lt;Task_table_03_2_26!$K$2:$K$596))</f>
        <v>0</v>
      </c>
      <c r="E437" cm="1">
        <f t="array" ref="E437">SUMPRODUCT((Task_table_03_2_26!$C$2:$C$596=$E$1)*(A437&gt;Task_table_03_2_26!$J$2:$J$596)*(A437&lt;Task_table_03_2_26!$K$2:$K$596))</f>
        <v>1</v>
      </c>
    </row>
    <row r="438" spans="1:5">
      <c r="A438" s="5">
        <v>46306</v>
      </c>
      <c r="B438" cm="1">
        <f t="array" ref="B438">SUMPRODUCT((Task_table_03_2_26!$C$2:$C$596=$B$1)*(A438&gt;Task_table_03_2_26!$J$2:$J$596)*(A438&lt;Task_table_03_2_26!$K$2:$K$596))</f>
        <v>23</v>
      </c>
      <c r="C438" cm="1">
        <f t="array" ref="C438">SUMPRODUCT((Task_table_03_2_26!$C$2:$C$596=$C$1)*(A438&gt;Task_table_03_2_26!$J$2:$J$596)*(A438&lt;Task_table_03_2_26!$K$2:$K$596))</f>
        <v>3</v>
      </c>
      <c r="D438" cm="1">
        <f t="array" ref="D438">SUMPRODUCT((Task_table_03_2_26!$C$2:$C$596=$D$1)*(A438&gt;Task_table_03_2_26!$J$2:$J$596)*(A438&lt;Task_table_03_2_26!$K$2:$K$596))</f>
        <v>0</v>
      </c>
      <c r="E438" cm="1">
        <f t="array" ref="E438">SUMPRODUCT((Task_table_03_2_26!$C$2:$C$596=$E$1)*(A438&gt;Task_table_03_2_26!$J$2:$J$596)*(A438&lt;Task_table_03_2_26!$K$2:$K$596))</f>
        <v>1</v>
      </c>
    </row>
    <row r="439" spans="1:5">
      <c r="A439" s="5">
        <v>46307</v>
      </c>
      <c r="B439" cm="1">
        <f t="array" ref="B439">SUMPRODUCT((Task_table_03_2_26!$C$2:$C$596=$B$1)*(A439&gt;Task_table_03_2_26!$J$2:$J$596)*(A439&lt;Task_table_03_2_26!$K$2:$K$596))</f>
        <v>23</v>
      </c>
      <c r="C439" cm="1">
        <f t="array" ref="C439">SUMPRODUCT((Task_table_03_2_26!$C$2:$C$596=$C$1)*(A439&gt;Task_table_03_2_26!$J$2:$J$596)*(A439&lt;Task_table_03_2_26!$K$2:$K$596))</f>
        <v>3</v>
      </c>
      <c r="D439" cm="1">
        <f t="array" ref="D439">SUMPRODUCT((Task_table_03_2_26!$C$2:$C$596=$D$1)*(A439&gt;Task_table_03_2_26!$J$2:$J$596)*(A439&lt;Task_table_03_2_26!$K$2:$K$596))</f>
        <v>0</v>
      </c>
      <c r="E439" cm="1">
        <f t="array" ref="E439">SUMPRODUCT((Task_table_03_2_26!$C$2:$C$596=$E$1)*(A439&gt;Task_table_03_2_26!$J$2:$J$596)*(A439&lt;Task_table_03_2_26!$K$2:$K$596))</f>
        <v>1</v>
      </c>
    </row>
    <row r="440" spans="1:5">
      <c r="A440" s="5">
        <v>46308</v>
      </c>
      <c r="B440" cm="1">
        <f t="array" ref="B440">SUMPRODUCT((Task_table_03_2_26!$C$2:$C$596=$B$1)*(A440&gt;Task_table_03_2_26!$J$2:$J$596)*(A440&lt;Task_table_03_2_26!$K$2:$K$596))</f>
        <v>23</v>
      </c>
      <c r="C440" cm="1">
        <f t="array" ref="C440">SUMPRODUCT((Task_table_03_2_26!$C$2:$C$596=$C$1)*(A440&gt;Task_table_03_2_26!$J$2:$J$596)*(A440&lt;Task_table_03_2_26!$K$2:$K$596))</f>
        <v>3</v>
      </c>
      <c r="D440" cm="1">
        <f t="array" ref="D440">SUMPRODUCT((Task_table_03_2_26!$C$2:$C$596=$D$1)*(A440&gt;Task_table_03_2_26!$J$2:$J$596)*(A440&lt;Task_table_03_2_26!$K$2:$K$596))</f>
        <v>0</v>
      </c>
      <c r="E440" cm="1">
        <f t="array" ref="E440">SUMPRODUCT((Task_table_03_2_26!$C$2:$C$596=$E$1)*(A440&gt;Task_table_03_2_26!$J$2:$J$596)*(A440&lt;Task_table_03_2_26!$K$2:$K$596))</f>
        <v>1</v>
      </c>
    </row>
    <row r="441" spans="1:5">
      <c r="A441" s="5">
        <v>46309</v>
      </c>
      <c r="B441" cm="1">
        <f t="array" ref="B441">SUMPRODUCT((Task_table_03_2_26!$C$2:$C$596=$B$1)*(A441&gt;Task_table_03_2_26!$J$2:$J$596)*(A441&lt;Task_table_03_2_26!$K$2:$K$596))</f>
        <v>23</v>
      </c>
      <c r="C441" cm="1">
        <f t="array" ref="C441">SUMPRODUCT((Task_table_03_2_26!$C$2:$C$596=$C$1)*(A441&gt;Task_table_03_2_26!$J$2:$J$596)*(A441&lt;Task_table_03_2_26!$K$2:$K$596))</f>
        <v>3</v>
      </c>
      <c r="D441" cm="1">
        <f t="array" ref="D441">SUMPRODUCT((Task_table_03_2_26!$C$2:$C$596=$D$1)*(A441&gt;Task_table_03_2_26!$J$2:$J$596)*(A441&lt;Task_table_03_2_26!$K$2:$K$596))</f>
        <v>0</v>
      </c>
      <c r="E441" cm="1">
        <f t="array" ref="E441">SUMPRODUCT((Task_table_03_2_26!$C$2:$C$596=$E$1)*(A441&gt;Task_table_03_2_26!$J$2:$J$596)*(A441&lt;Task_table_03_2_26!$K$2:$K$596))</f>
        <v>1</v>
      </c>
    </row>
    <row r="442" spans="1:5">
      <c r="A442" s="5">
        <v>46310</v>
      </c>
      <c r="B442" cm="1">
        <f t="array" ref="B442">SUMPRODUCT((Task_table_03_2_26!$C$2:$C$596=$B$1)*(A442&gt;Task_table_03_2_26!$J$2:$J$596)*(A442&lt;Task_table_03_2_26!$K$2:$K$596))</f>
        <v>23</v>
      </c>
      <c r="C442" cm="1">
        <f t="array" ref="C442">SUMPRODUCT((Task_table_03_2_26!$C$2:$C$596=$C$1)*(A442&gt;Task_table_03_2_26!$J$2:$J$596)*(A442&lt;Task_table_03_2_26!$K$2:$K$596))</f>
        <v>3</v>
      </c>
      <c r="D442" cm="1">
        <f t="array" ref="D442">SUMPRODUCT((Task_table_03_2_26!$C$2:$C$596=$D$1)*(A442&gt;Task_table_03_2_26!$J$2:$J$596)*(A442&lt;Task_table_03_2_26!$K$2:$K$596))</f>
        <v>0</v>
      </c>
      <c r="E442" cm="1">
        <f t="array" ref="E442">SUMPRODUCT((Task_table_03_2_26!$C$2:$C$596=$E$1)*(A442&gt;Task_table_03_2_26!$J$2:$J$596)*(A442&lt;Task_table_03_2_26!$K$2:$K$596))</f>
        <v>1</v>
      </c>
    </row>
    <row r="443" spans="1:5">
      <c r="A443" s="5">
        <v>46311</v>
      </c>
      <c r="B443" cm="1">
        <f t="array" ref="B443">SUMPRODUCT((Task_table_03_2_26!$C$2:$C$596=$B$1)*(A443&gt;Task_table_03_2_26!$J$2:$J$596)*(A443&lt;Task_table_03_2_26!$K$2:$K$596))</f>
        <v>23</v>
      </c>
      <c r="C443" cm="1">
        <f t="array" ref="C443">SUMPRODUCT((Task_table_03_2_26!$C$2:$C$596=$C$1)*(A443&gt;Task_table_03_2_26!$J$2:$J$596)*(A443&lt;Task_table_03_2_26!$K$2:$K$596))</f>
        <v>4</v>
      </c>
      <c r="D443" cm="1">
        <f t="array" ref="D443">SUMPRODUCT((Task_table_03_2_26!$C$2:$C$596=$D$1)*(A443&gt;Task_table_03_2_26!$J$2:$J$596)*(A443&lt;Task_table_03_2_26!$K$2:$K$596))</f>
        <v>0</v>
      </c>
      <c r="E443" cm="1">
        <f t="array" ref="E443">SUMPRODUCT((Task_table_03_2_26!$C$2:$C$596=$E$1)*(A443&gt;Task_table_03_2_26!$J$2:$J$596)*(A443&lt;Task_table_03_2_26!$K$2:$K$596))</f>
        <v>1</v>
      </c>
    </row>
    <row r="444" spans="1:5">
      <c r="A444" s="5">
        <v>46312</v>
      </c>
      <c r="B444" cm="1">
        <f t="array" ref="B444">SUMPRODUCT((Task_table_03_2_26!$C$2:$C$596=$B$1)*(A444&gt;Task_table_03_2_26!$J$2:$J$596)*(A444&lt;Task_table_03_2_26!$K$2:$K$596))</f>
        <v>23</v>
      </c>
      <c r="C444" cm="1">
        <f t="array" ref="C444">SUMPRODUCT((Task_table_03_2_26!$C$2:$C$596=$C$1)*(A444&gt;Task_table_03_2_26!$J$2:$J$596)*(A444&lt;Task_table_03_2_26!$K$2:$K$596))</f>
        <v>4</v>
      </c>
      <c r="D444" cm="1">
        <f t="array" ref="D444">SUMPRODUCT((Task_table_03_2_26!$C$2:$C$596=$D$1)*(A444&gt;Task_table_03_2_26!$J$2:$J$596)*(A444&lt;Task_table_03_2_26!$K$2:$K$596))</f>
        <v>0</v>
      </c>
      <c r="E444" cm="1">
        <f t="array" ref="E444">SUMPRODUCT((Task_table_03_2_26!$C$2:$C$596=$E$1)*(A444&gt;Task_table_03_2_26!$J$2:$J$596)*(A444&lt;Task_table_03_2_26!$K$2:$K$596))</f>
        <v>1</v>
      </c>
    </row>
    <row r="445" spans="1:5">
      <c r="A445" s="5">
        <v>46313</v>
      </c>
      <c r="B445" cm="1">
        <f t="array" ref="B445">SUMPRODUCT((Task_table_03_2_26!$C$2:$C$596=$B$1)*(A445&gt;Task_table_03_2_26!$J$2:$J$596)*(A445&lt;Task_table_03_2_26!$K$2:$K$596))</f>
        <v>23</v>
      </c>
      <c r="C445" cm="1">
        <f t="array" ref="C445">SUMPRODUCT((Task_table_03_2_26!$C$2:$C$596=$C$1)*(A445&gt;Task_table_03_2_26!$J$2:$J$596)*(A445&lt;Task_table_03_2_26!$K$2:$K$596))</f>
        <v>4</v>
      </c>
      <c r="D445" cm="1">
        <f t="array" ref="D445">SUMPRODUCT((Task_table_03_2_26!$C$2:$C$596=$D$1)*(A445&gt;Task_table_03_2_26!$J$2:$J$596)*(A445&lt;Task_table_03_2_26!$K$2:$K$596))</f>
        <v>0</v>
      </c>
      <c r="E445" cm="1">
        <f t="array" ref="E445">SUMPRODUCT((Task_table_03_2_26!$C$2:$C$596=$E$1)*(A445&gt;Task_table_03_2_26!$J$2:$J$596)*(A445&lt;Task_table_03_2_26!$K$2:$K$596))</f>
        <v>1</v>
      </c>
    </row>
    <row r="446" spans="1:5">
      <c r="A446" s="5">
        <v>46314</v>
      </c>
      <c r="B446" cm="1">
        <f t="array" ref="B446">SUMPRODUCT((Task_table_03_2_26!$C$2:$C$596=$B$1)*(A446&gt;Task_table_03_2_26!$J$2:$J$596)*(A446&lt;Task_table_03_2_26!$K$2:$K$596))</f>
        <v>23</v>
      </c>
      <c r="C446" cm="1">
        <f t="array" ref="C446">SUMPRODUCT((Task_table_03_2_26!$C$2:$C$596=$C$1)*(A446&gt;Task_table_03_2_26!$J$2:$J$596)*(A446&lt;Task_table_03_2_26!$K$2:$K$596))</f>
        <v>4</v>
      </c>
      <c r="D446" cm="1">
        <f t="array" ref="D446">SUMPRODUCT((Task_table_03_2_26!$C$2:$C$596=$D$1)*(A446&gt;Task_table_03_2_26!$J$2:$J$596)*(A446&lt;Task_table_03_2_26!$K$2:$K$596))</f>
        <v>0</v>
      </c>
      <c r="E446" cm="1">
        <f t="array" ref="E446">SUMPRODUCT((Task_table_03_2_26!$C$2:$C$596=$E$1)*(A446&gt;Task_table_03_2_26!$J$2:$J$596)*(A446&lt;Task_table_03_2_26!$K$2:$K$596))</f>
        <v>1</v>
      </c>
    </row>
    <row r="447" spans="1:5">
      <c r="A447" s="5">
        <v>46315</v>
      </c>
      <c r="B447" cm="1">
        <f t="array" ref="B447">SUMPRODUCT((Task_table_03_2_26!$C$2:$C$596=$B$1)*(A447&gt;Task_table_03_2_26!$J$2:$J$596)*(A447&lt;Task_table_03_2_26!$K$2:$K$596))</f>
        <v>23</v>
      </c>
      <c r="C447" cm="1">
        <f t="array" ref="C447">SUMPRODUCT((Task_table_03_2_26!$C$2:$C$596=$C$1)*(A447&gt;Task_table_03_2_26!$J$2:$J$596)*(A447&lt;Task_table_03_2_26!$K$2:$K$596))</f>
        <v>4</v>
      </c>
      <c r="D447" cm="1">
        <f t="array" ref="D447">SUMPRODUCT((Task_table_03_2_26!$C$2:$C$596=$D$1)*(A447&gt;Task_table_03_2_26!$J$2:$J$596)*(A447&lt;Task_table_03_2_26!$K$2:$K$596))</f>
        <v>0</v>
      </c>
      <c r="E447" cm="1">
        <f t="array" ref="E447">SUMPRODUCT((Task_table_03_2_26!$C$2:$C$596=$E$1)*(A447&gt;Task_table_03_2_26!$J$2:$J$596)*(A447&lt;Task_table_03_2_26!$K$2:$K$596))</f>
        <v>1</v>
      </c>
    </row>
    <row r="448" spans="1:5">
      <c r="A448" s="5">
        <v>46316</v>
      </c>
      <c r="B448" cm="1">
        <f t="array" ref="B448">SUMPRODUCT((Task_table_03_2_26!$C$2:$C$596=$B$1)*(A448&gt;Task_table_03_2_26!$J$2:$J$596)*(A448&lt;Task_table_03_2_26!$K$2:$K$596))</f>
        <v>23</v>
      </c>
      <c r="C448" cm="1">
        <f t="array" ref="C448">SUMPRODUCT((Task_table_03_2_26!$C$2:$C$596=$C$1)*(A448&gt;Task_table_03_2_26!$J$2:$J$596)*(A448&lt;Task_table_03_2_26!$K$2:$K$596))</f>
        <v>4</v>
      </c>
      <c r="D448" cm="1">
        <f t="array" ref="D448">SUMPRODUCT((Task_table_03_2_26!$C$2:$C$596=$D$1)*(A448&gt;Task_table_03_2_26!$J$2:$J$596)*(A448&lt;Task_table_03_2_26!$K$2:$K$596))</f>
        <v>0</v>
      </c>
      <c r="E448" cm="1">
        <f t="array" ref="E448">SUMPRODUCT((Task_table_03_2_26!$C$2:$C$596=$E$1)*(A448&gt;Task_table_03_2_26!$J$2:$J$596)*(A448&lt;Task_table_03_2_26!$K$2:$K$596))</f>
        <v>1</v>
      </c>
    </row>
    <row r="449" spans="1:5">
      <c r="A449" s="5">
        <v>46317</v>
      </c>
      <c r="B449" cm="1">
        <f t="array" ref="B449">SUMPRODUCT((Task_table_03_2_26!$C$2:$C$596=$B$1)*(A449&gt;Task_table_03_2_26!$J$2:$J$596)*(A449&lt;Task_table_03_2_26!$K$2:$K$596))</f>
        <v>23</v>
      </c>
      <c r="C449" cm="1">
        <f t="array" ref="C449">SUMPRODUCT((Task_table_03_2_26!$C$2:$C$596=$C$1)*(A449&gt;Task_table_03_2_26!$J$2:$J$596)*(A449&lt;Task_table_03_2_26!$K$2:$K$596))</f>
        <v>4</v>
      </c>
      <c r="D449" cm="1">
        <f t="array" ref="D449">SUMPRODUCT((Task_table_03_2_26!$C$2:$C$596=$D$1)*(A449&gt;Task_table_03_2_26!$J$2:$J$596)*(A449&lt;Task_table_03_2_26!$K$2:$K$596))</f>
        <v>0</v>
      </c>
      <c r="E449" cm="1">
        <f t="array" ref="E449">SUMPRODUCT((Task_table_03_2_26!$C$2:$C$596=$E$1)*(A449&gt;Task_table_03_2_26!$J$2:$J$596)*(A449&lt;Task_table_03_2_26!$K$2:$K$596))</f>
        <v>1</v>
      </c>
    </row>
    <row r="450" spans="1:5">
      <c r="A450" s="5">
        <v>46318</v>
      </c>
      <c r="B450" cm="1">
        <f t="array" ref="B450">SUMPRODUCT((Task_table_03_2_26!$C$2:$C$596=$B$1)*(A450&gt;Task_table_03_2_26!$J$2:$J$596)*(A450&lt;Task_table_03_2_26!$K$2:$K$596))</f>
        <v>23</v>
      </c>
      <c r="C450" cm="1">
        <f t="array" ref="C450">SUMPRODUCT((Task_table_03_2_26!$C$2:$C$596=$C$1)*(A450&gt;Task_table_03_2_26!$J$2:$J$596)*(A450&lt;Task_table_03_2_26!$K$2:$K$596))</f>
        <v>4</v>
      </c>
      <c r="D450" cm="1">
        <f t="array" ref="D450">SUMPRODUCT((Task_table_03_2_26!$C$2:$C$596=$D$1)*(A450&gt;Task_table_03_2_26!$J$2:$J$596)*(A450&lt;Task_table_03_2_26!$K$2:$K$596))</f>
        <v>0</v>
      </c>
      <c r="E450" cm="1">
        <f t="array" ref="E450">SUMPRODUCT((Task_table_03_2_26!$C$2:$C$596=$E$1)*(A450&gt;Task_table_03_2_26!$J$2:$J$596)*(A450&lt;Task_table_03_2_26!$K$2:$K$596))</f>
        <v>1</v>
      </c>
    </row>
    <row r="451" spans="1:5">
      <c r="A451" s="5">
        <v>46319</v>
      </c>
      <c r="B451" cm="1">
        <f t="array" ref="B451">SUMPRODUCT((Task_table_03_2_26!$C$2:$C$596=$B$1)*(A451&gt;Task_table_03_2_26!$J$2:$J$596)*(A451&lt;Task_table_03_2_26!$K$2:$K$596))</f>
        <v>23</v>
      </c>
      <c r="C451" cm="1">
        <f t="array" ref="C451">SUMPRODUCT((Task_table_03_2_26!$C$2:$C$596=$C$1)*(A451&gt;Task_table_03_2_26!$J$2:$J$596)*(A451&lt;Task_table_03_2_26!$K$2:$K$596))</f>
        <v>4</v>
      </c>
      <c r="D451" cm="1">
        <f t="array" ref="D451">SUMPRODUCT((Task_table_03_2_26!$C$2:$C$596=$D$1)*(A451&gt;Task_table_03_2_26!$J$2:$J$596)*(A451&lt;Task_table_03_2_26!$K$2:$K$596))</f>
        <v>0</v>
      </c>
      <c r="E451" cm="1">
        <f t="array" ref="E451">SUMPRODUCT((Task_table_03_2_26!$C$2:$C$596=$E$1)*(A451&gt;Task_table_03_2_26!$J$2:$J$596)*(A451&lt;Task_table_03_2_26!$K$2:$K$596))</f>
        <v>1</v>
      </c>
    </row>
    <row r="452" spans="1:5">
      <c r="A452" s="5">
        <v>46320</v>
      </c>
      <c r="B452" cm="1">
        <f t="array" ref="B452">SUMPRODUCT((Task_table_03_2_26!$C$2:$C$596=$B$1)*(A452&gt;Task_table_03_2_26!$J$2:$J$596)*(A452&lt;Task_table_03_2_26!$K$2:$K$596))</f>
        <v>23</v>
      </c>
      <c r="C452" cm="1">
        <f t="array" ref="C452">SUMPRODUCT((Task_table_03_2_26!$C$2:$C$596=$C$1)*(A452&gt;Task_table_03_2_26!$J$2:$J$596)*(A452&lt;Task_table_03_2_26!$K$2:$K$596))</f>
        <v>4</v>
      </c>
      <c r="D452" cm="1">
        <f t="array" ref="D452">SUMPRODUCT((Task_table_03_2_26!$C$2:$C$596=$D$1)*(A452&gt;Task_table_03_2_26!$J$2:$J$596)*(A452&lt;Task_table_03_2_26!$K$2:$K$596))</f>
        <v>0</v>
      </c>
      <c r="E452" cm="1">
        <f t="array" ref="E452">SUMPRODUCT((Task_table_03_2_26!$C$2:$C$596=$E$1)*(A452&gt;Task_table_03_2_26!$J$2:$J$596)*(A452&lt;Task_table_03_2_26!$K$2:$K$596))</f>
        <v>1</v>
      </c>
    </row>
    <row r="453" spans="1:5">
      <c r="A453" s="5">
        <v>46321</v>
      </c>
      <c r="B453" cm="1">
        <f t="array" ref="B453">SUMPRODUCT((Task_table_03_2_26!$C$2:$C$596=$B$1)*(A453&gt;Task_table_03_2_26!$J$2:$J$596)*(A453&lt;Task_table_03_2_26!$K$2:$K$596))</f>
        <v>23</v>
      </c>
      <c r="C453" cm="1">
        <f t="array" ref="C453">SUMPRODUCT((Task_table_03_2_26!$C$2:$C$596=$C$1)*(A453&gt;Task_table_03_2_26!$J$2:$J$596)*(A453&lt;Task_table_03_2_26!$K$2:$K$596))</f>
        <v>4</v>
      </c>
      <c r="D453" cm="1">
        <f t="array" ref="D453">SUMPRODUCT((Task_table_03_2_26!$C$2:$C$596=$D$1)*(A453&gt;Task_table_03_2_26!$J$2:$J$596)*(A453&lt;Task_table_03_2_26!$K$2:$K$596))</f>
        <v>0</v>
      </c>
      <c r="E453" cm="1">
        <f t="array" ref="E453">SUMPRODUCT((Task_table_03_2_26!$C$2:$C$596=$E$1)*(A453&gt;Task_table_03_2_26!$J$2:$J$596)*(A453&lt;Task_table_03_2_26!$K$2:$K$596))</f>
        <v>1</v>
      </c>
    </row>
    <row r="454" spans="1:5">
      <c r="A454" s="5">
        <v>46322</v>
      </c>
      <c r="B454" cm="1">
        <f t="array" ref="B454">SUMPRODUCT((Task_table_03_2_26!$C$2:$C$596=$B$1)*(A454&gt;Task_table_03_2_26!$J$2:$J$596)*(A454&lt;Task_table_03_2_26!$K$2:$K$596))</f>
        <v>23</v>
      </c>
      <c r="C454" cm="1">
        <f t="array" ref="C454">SUMPRODUCT((Task_table_03_2_26!$C$2:$C$596=$C$1)*(A454&gt;Task_table_03_2_26!$J$2:$J$596)*(A454&lt;Task_table_03_2_26!$K$2:$K$596))</f>
        <v>4</v>
      </c>
      <c r="D454" cm="1">
        <f t="array" ref="D454">SUMPRODUCT((Task_table_03_2_26!$C$2:$C$596=$D$1)*(A454&gt;Task_table_03_2_26!$J$2:$J$596)*(A454&lt;Task_table_03_2_26!$K$2:$K$596))</f>
        <v>0</v>
      </c>
      <c r="E454" cm="1">
        <f t="array" ref="E454">SUMPRODUCT((Task_table_03_2_26!$C$2:$C$596=$E$1)*(A454&gt;Task_table_03_2_26!$J$2:$J$596)*(A454&lt;Task_table_03_2_26!$K$2:$K$596))</f>
        <v>1</v>
      </c>
    </row>
    <row r="455" spans="1:5">
      <c r="A455" s="5">
        <v>46323</v>
      </c>
      <c r="B455" cm="1">
        <f t="array" ref="B455">SUMPRODUCT((Task_table_03_2_26!$C$2:$C$596=$B$1)*(A455&gt;Task_table_03_2_26!$J$2:$J$596)*(A455&lt;Task_table_03_2_26!$K$2:$K$596))</f>
        <v>23</v>
      </c>
      <c r="C455" cm="1">
        <f t="array" ref="C455">SUMPRODUCT((Task_table_03_2_26!$C$2:$C$596=$C$1)*(A455&gt;Task_table_03_2_26!$J$2:$J$596)*(A455&lt;Task_table_03_2_26!$K$2:$K$596))</f>
        <v>4</v>
      </c>
      <c r="D455" cm="1">
        <f t="array" ref="D455">SUMPRODUCT((Task_table_03_2_26!$C$2:$C$596=$D$1)*(A455&gt;Task_table_03_2_26!$J$2:$J$596)*(A455&lt;Task_table_03_2_26!$K$2:$K$596))</f>
        <v>0</v>
      </c>
      <c r="E455" cm="1">
        <f t="array" ref="E455">SUMPRODUCT((Task_table_03_2_26!$C$2:$C$596=$E$1)*(A455&gt;Task_table_03_2_26!$J$2:$J$596)*(A455&lt;Task_table_03_2_26!$K$2:$K$596))</f>
        <v>1</v>
      </c>
    </row>
    <row r="456" spans="1:5">
      <c r="A456" s="5">
        <v>46324</v>
      </c>
      <c r="B456" cm="1">
        <f t="array" ref="B456">SUMPRODUCT((Task_table_03_2_26!$C$2:$C$596=$B$1)*(A456&gt;Task_table_03_2_26!$J$2:$J$596)*(A456&lt;Task_table_03_2_26!$K$2:$K$596))</f>
        <v>23</v>
      </c>
      <c r="C456" cm="1">
        <f t="array" ref="C456">SUMPRODUCT((Task_table_03_2_26!$C$2:$C$596=$C$1)*(A456&gt;Task_table_03_2_26!$J$2:$J$596)*(A456&lt;Task_table_03_2_26!$K$2:$K$596))</f>
        <v>4</v>
      </c>
      <c r="D456" cm="1">
        <f t="array" ref="D456">SUMPRODUCT((Task_table_03_2_26!$C$2:$C$596=$D$1)*(A456&gt;Task_table_03_2_26!$J$2:$J$596)*(A456&lt;Task_table_03_2_26!$K$2:$K$596))</f>
        <v>0</v>
      </c>
      <c r="E456" cm="1">
        <f t="array" ref="E456">SUMPRODUCT((Task_table_03_2_26!$C$2:$C$596=$E$1)*(A456&gt;Task_table_03_2_26!$J$2:$J$596)*(A456&lt;Task_table_03_2_26!$K$2:$K$596))</f>
        <v>1</v>
      </c>
    </row>
    <row r="457" spans="1:5">
      <c r="A457" s="5">
        <v>46325</v>
      </c>
      <c r="B457" cm="1">
        <f t="array" ref="B457">SUMPRODUCT((Task_table_03_2_26!$C$2:$C$596=$B$1)*(A457&gt;Task_table_03_2_26!$J$2:$J$596)*(A457&lt;Task_table_03_2_26!$K$2:$K$596))</f>
        <v>23</v>
      </c>
      <c r="C457" cm="1">
        <f t="array" ref="C457">SUMPRODUCT((Task_table_03_2_26!$C$2:$C$596=$C$1)*(A457&gt;Task_table_03_2_26!$J$2:$J$596)*(A457&lt;Task_table_03_2_26!$K$2:$K$596))</f>
        <v>4</v>
      </c>
      <c r="D457" cm="1">
        <f t="array" ref="D457">SUMPRODUCT((Task_table_03_2_26!$C$2:$C$596=$D$1)*(A457&gt;Task_table_03_2_26!$J$2:$J$596)*(A457&lt;Task_table_03_2_26!$K$2:$K$596))</f>
        <v>0</v>
      </c>
      <c r="E457" cm="1">
        <f t="array" ref="E457">SUMPRODUCT((Task_table_03_2_26!$C$2:$C$596=$E$1)*(A457&gt;Task_table_03_2_26!$J$2:$J$596)*(A457&lt;Task_table_03_2_26!$K$2:$K$596))</f>
        <v>1</v>
      </c>
    </row>
    <row r="458" spans="1:5">
      <c r="A458" s="5">
        <v>46326</v>
      </c>
      <c r="B458" cm="1">
        <f t="array" ref="B458">SUMPRODUCT((Task_table_03_2_26!$C$2:$C$596=$B$1)*(A458&gt;Task_table_03_2_26!$J$2:$J$596)*(A458&lt;Task_table_03_2_26!$K$2:$K$596))</f>
        <v>23</v>
      </c>
      <c r="C458" cm="1">
        <f t="array" ref="C458">SUMPRODUCT((Task_table_03_2_26!$C$2:$C$596=$C$1)*(A458&gt;Task_table_03_2_26!$J$2:$J$596)*(A458&lt;Task_table_03_2_26!$K$2:$K$596))</f>
        <v>4</v>
      </c>
      <c r="D458" cm="1">
        <f t="array" ref="D458">SUMPRODUCT((Task_table_03_2_26!$C$2:$C$596=$D$1)*(A458&gt;Task_table_03_2_26!$J$2:$J$596)*(A458&lt;Task_table_03_2_26!$K$2:$K$596))</f>
        <v>0</v>
      </c>
      <c r="E458" cm="1">
        <f t="array" ref="E458">SUMPRODUCT((Task_table_03_2_26!$C$2:$C$596=$E$1)*(A458&gt;Task_table_03_2_26!$J$2:$J$596)*(A458&lt;Task_table_03_2_26!$K$2:$K$596))</f>
        <v>1</v>
      </c>
    </row>
    <row r="459" spans="1:5">
      <c r="A459" s="5">
        <v>46327</v>
      </c>
      <c r="B459" cm="1">
        <f t="array" ref="B459">SUMPRODUCT((Task_table_03_2_26!$C$2:$C$596=$B$1)*(A459&gt;Task_table_03_2_26!$J$2:$J$596)*(A459&lt;Task_table_03_2_26!$K$2:$K$596))</f>
        <v>23</v>
      </c>
      <c r="C459" cm="1">
        <f t="array" ref="C459">SUMPRODUCT((Task_table_03_2_26!$C$2:$C$596=$C$1)*(A459&gt;Task_table_03_2_26!$J$2:$J$596)*(A459&lt;Task_table_03_2_26!$K$2:$K$596))</f>
        <v>4</v>
      </c>
      <c r="D459" cm="1">
        <f t="array" ref="D459">SUMPRODUCT((Task_table_03_2_26!$C$2:$C$596=$D$1)*(A459&gt;Task_table_03_2_26!$J$2:$J$596)*(A459&lt;Task_table_03_2_26!$K$2:$K$596))</f>
        <v>0</v>
      </c>
      <c r="E459" cm="1">
        <f t="array" ref="E459">SUMPRODUCT((Task_table_03_2_26!$C$2:$C$596=$E$1)*(A459&gt;Task_table_03_2_26!$J$2:$J$596)*(A459&lt;Task_table_03_2_26!$K$2:$K$596))</f>
        <v>1</v>
      </c>
    </row>
    <row r="460" spans="1:5">
      <c r="A460" s="5">
        <v>46328</v>
      </c>
      <c r="B460" cm="1">
        <f t="array" ref="B460">SUMPRODUCT((Task_table_03_2_26!$C$2:$C$596=$B$1)*(A460&gt;Task_table_03_2_26!$J$2:$J$596)*(A460&lt;Task_table_03_2_26!$K$2:$K$596))</f>
        <v>23</v>
      </c>
      <c r="C460" cm="1">
        <f t="array" ref="C460">SUMPRODUCT((Task_table_03_2_26!$C$2:$C$596=$C$1)*(A460&gt;Task_table_03_2_26!$J$2:$J$596)*(A460&lt;Task_table_03_2_26!$K$2:$K$596))</f>
        <v>4</v>
      </c>
      <c r="D460" cm="1">
        <f t="array" ref="D460">SUMPRODUCT((Task_table_03_2_26!$C$2:$C$596=$D$1)*(A460&gt;Task_table_03_2_26!$J$2:$J$596)*(A460&lt;Task_table_03_2_26!$K$2:$K$596))</f>
        <v>0</v>
      </c>
      <c r="E460" cm="1">
        <f t="array" ref="E460">SUMPRODUCT((Task_table_03_2_26!$C$2:$C$596=$E$1)*(A460&gt;Task_table_03_2_26!$J$2:$J$596)*(A460&lt;Task_table_03_2_26!$K$2:$K$596))</f>
        <v>1</v>
      </c>
    </row>
    <row r="461" spans="1:5">
      <c r="A461" s="5">
        <v>46329</v>
      </c>
      <c r="B461" cm="1">
        <f t="array" ref="B461">SUMPRODUCT((Task_table_03_2_26!$C$2:$C$596=$B$1)*(A461&gt;Task_table_03_2_26!$J$2:$J$596)*(A461&lt;Task_table_03_2_26!$K$2:$K$596))</f>
        <v>23</v>
      </c>
      <c r="C461" cm="1">
        <f t="array" ref="C461">SUMPRODUCT((Task_table_03_2_26!$C$2:$C$596=$C$1)*(A461&gt;Task_table_03_2_26!$J$2:$J$596)*(A461&lt;Task_table_03_2_26!$K$2:$K$596))</f>
        <v>4</v>
      </c>
      <c r="D461" cm="1">
        <f t="array" ref="D461">SUMPRODUCT((Task_table_03_2_26!$C$2:$C$596=$D$1)*(A461&gt;Task_table_03_2_26!$J$2:$J$596)*(A461&lt;Task_table_03_2_26!$K$2:$K$596))</f>
        <v>0</v>
      </c>
      <c r="E461" cm="1">
        <f t="array" ref="E461">SUMPRODUCT((Task_table_03_2_26!$C$2:$C$596=$E$1)*(A461&gt;Task_table_03_2_26!$J$2:$J$596)*(A461&lt;Task_table_03_2_26!$K$2:$K$596))</f>
        <v>1</v>
      </c>
    </row>
    <row r="462" spans="1:5">
      <c r="A462" s="5">
        <v>46330</v>
      </c>
      <c r="B462" cm="1">
        <f t="array" ref="B462">SUMPRODUCT((Task_table_03_2_26!$C$2:$C$596=$B$1)*(A462&gt;Task_table_03_2_26!$J$2:$J$596)*(A462&lt;Task_table_03_2_26!$K$2:$K$596))</f>
        <v>23</v>
      </c>
      <c r="C462" cm="1">
        <f t="array" ref="C462">SUMPRODUCT((Task_table_03_2_26!$C$2:$C$596=$C$1)*(A462&gt;Task_table_03_2_26!$J$2:$J$596)*(A462&lt;Task_table_03_2_26!$K$2:$K$596))</f>
        <v>4</v>
      </c>
      <c r="D462" cm="1">
        <f t="array" ref="D462">SUMPRODUCT((Task_table_03_2_26!$C$2:$C$596=$D$1)*(A462&gt;Task_table_03_2_26!$J$2:$J$596)*(A462&lt;Task_table_03_2_26!$K$2:$K$596))</f>
        <v>0</v>
      </c>
      <c r="E462" cm="1">
        <f t="array" ref="E462">SUMPRODUCT((Task_table_03_2_26!$C$2:$C$596=$E$1)*(A462&gt;Task_table_03_2_26!$J$2:$J$596)*(A462&lt;Task_table_03_2_26!$K$2:$K$596))</f>
        <v>1</v>
      </c>
    </row>
    <row r="463" spans="1:5">
      <c r="A463" s="5">
        <v>46331</v>
      </c>
      <c r="B463" cm="1">
        <f t="array" ref="B463">SUMPRODUCT((Task_table_03_2_26!$C$2:$C$596=$B$1)*(A463&gt;Task_table_03_2_26!$J$2:$J$596)*(A463&lt;Task_table_03_2_26!$K$2:$K$596))</f>
        <v>23</v>
      </c>
      <c r="C463" cm="1">
        <f t="array" ref="C463">SUMPRODUCT((Task_table_03_2_26!$C$2:$C$596=$C$1)*(A463&gt;Task_table_03_2_26!$J$2:$J$596)*(A463&lt;Task_table_03_2_26!$K$2:$K$596))</f>
        <v>4</v>
      </c>
      <c r="D463" cm="1">
        <f t="array" ref="D463">SUMPRODUCT((Task_table_03_2_26!$C$2:$C$596=$D$1)*(A463&gt;Task_table_03_2_26!$J$2:$J$596)*(A463&lt;Task_table_03_2_26!$K$2:$K$596))</f>
        <v>0</v>
      </c>
      <c r="E463" cm="1">
        <f t="array" ref="E463">SUMPRODUCT((Task_table_03_2_26!$C$2:$C$596=$E$1)*(A463&gt;Task_table_03_2_26!$J$2:$J$596)*(A463&lt;Task_table_03_2_26!$K$2:$K$596))</f>
        <v>1</v>
      </c>
    </row>
    <row r="464" spans="1:5">
      <c r="A464" s="5">
        <v>46332</v>
      </c>
      <c r="B464" cm="1">
        <f t="array" ref="B464">SUMPRODUCT((Task_table_03_2_26!$C$2:$C$596=$B$1)*(A464&gt;Task_table_03_2_26!$J$2:$J$596)*(A464&lt;Task_table_03_2_26!$K$2:$K$596))</f>
        <v>23</v>
      </c>
      <c r="C464" cm="1">
        <f t="array" ref="C464">SUMPRODUCT((Task_table_03_2_26!$C$2:$C$596=$C$1)*(A464&gt;Task_table_03_2_26!$J$2:$J$596)*(A464&lt;Task_table_03_2_26!$K$2:$K$596))</f>
        <v>4</v>
      </c>
      <c r="D464" cm="1">
        <f t="array" ref="D464">SUMPRODUCT((Task_table_03_2_26!$C$2:$C$596=$D$1)*(A464&gt;Task_table_03_2_26!$J$2:$J$596)*(A464&lt;Task_table_03_2_26!$K$2:$K$596))</f>
        <v>0</v>
      </c>
      <c r="E464" cm="1">
        <f t="array" ref="E464">SUMPRODUCT((Task_table_03_2_26!$C$2:$C$596=$E$1)*(A464&gt;Task_table_03_2_26!$J$2:$J$596)*(A464&lt;Task_table_03_2_26!$K$2:$K$596))</f>
        <v>1</v>
      </c>
    </row>
    <row r="465" spans="1:5">
      <c r="A465" s="5">
        <v>46333</v>
      </c>
      <c r="B465" cm="1">
        <f t="array" ref="B465">SUMPRODUCT((Task_table_03_2_26!$C$2:$C$596=$B$1)*(A465&gt;Task_table_03_2_26!$J$2:$J$596)*(A465&lt;Task_table_03_2_26!$K$2:$K$596))</f>
        <v>23</v>
      </c>
      <c r="C465" cm="1">
        <f t="array" ref="C465">SUMPRODUCT((Task_table_03_2_26!$C$2:$C$596=$C$1)*(A465&gt;Task_table_03_2_26!$J$2:$J$596)*(A465&lt;Task_table_03_2_26!$K$2:$K$596))</f>
        <v>4</v>
      </c>
      <c r="D465" cm="1">
        <f t="array" ref="D465">SUMPRODUCT((Task_table_03_2_26!$C$2:$C$596=$D$1)*(A465&gt;Task_table_03_2_26!$J$2:$J$596)*(A465&lt;Task_table_03_2_26!$K$2:$K$596))</f>
        <v>0</v>
      </c>
      <c r="E465" cm="1">
        <f t="array" ref="E465">SUMPRODUCT((Task_table_03_2_26!$C$2:$C$596=$E$1)*(A465&gt;Task_table_03_2_26!$J$2:$J$596)*(A465&lt;Task_table_03_2_26!$K$2:$K$596))</f>
        <v>1</v>
      </c>
    </row>
    <row r="466" spans="1:5">
      <c r="A466" s="5">
        <v>46334</v>
      </c>
      <c r="B466" cm="1">
        <f t="array" ref="B466">SUMPRODUCT((Task_table_03_2_26!$C$2:$C$596=$B$1)*(A466&gt;Task_table_03_2_26!$J$2:$J$596)*(A466&lt;Task_table_03_2_26!$K$2:$K$596))</f>
        <v>23</v>
      </c>
      <c r="C466" cm="1">
        <f t="array" ref="C466">SUMPRODUCT((Task_table_03_2_26!$C$2:$C$596=$C$1)*(A466&gt;Task_table_03_2_26!$J$2:$J$596)*(A466&lt;Task_table_03_2_26!$K$2:$K$596))</f>
        <v>4</v>
      </c>
      <c r="D466" cm="1">
        <f t="array" ref="D466">SUMPRODUCT((Task_table_03_2_26!$C$2:$C$596=$D$1)*(A466&gt;Task_table_03_2_26!$J$2:$J$596)*(A466&lt;Task_table_03_2_26!$K$2:$K$596))</f>
        <v>0</v>
      </c>
      <c r="E466" cm="1">
        <f t="array" ref="E466">SUMPRODUCT((Task_table_03_2_26!$C$2:$C$596=$E$1)*(A466&gt;Task_table_03_2_26!$J$2:$J$596)*(A466&lt;Task_table_03_2_26!$K$2:$K$596))</f>
        <v>1</v>
      </c>
    </row>
    <row r="467" spans="1:5">
      <c r="A467" s="5">
        <v>46335</v>
      </c>
      <c r="B467" cm="1">
        <f t="array" ref="B467">SUMPRODUCT((Task_table_03_2_26!$C$2:$C$596=$B$1)*(A467&gt;Task_table_03_2_26!$J$2:$J$596)*(A467&lt;Task_table_03_2_26!$K$2:$K$596))</f>
        <v>23</v>
      </c>
      <c r="C467" cm="1">
        <f t="array" ref="C467">SUMPRODUCT((Task_table_03_2_26!$C$2:$C$596=$C$1)*(A467&gt;Task_table_03_2_26!$J$2:$J$596)*(A467&lt;Task_table_03_2_26!$K$2:$K$596))</f>
        <v>4</v>
      </c>
      <c r="D467" cm="1">
        <f t="array" ref="D467">SUMPRODUCT((Task_table_03_2_26!$C$2:$C$596=$D$1)*(A467&gt;Task_table_03_2_26!$J$2:$J$596)*(A467&lt;Task_table_03_2_26!$K$2:$K$596))</f>
        <v>0</v>
      </c>
      <c r="E467" cm="1">
        <f t="array" ref="E467">SUMPRODUCT((Task_table_03_2_26!$C$2:$C$596=$E$1)*(A467&gt;Task_table_03_2_26!$J$2:$J$596)*(A467&lt;Task_table_03_2_26!$K$2:$K$596))</f>
        <v>1</v>
      </c>
    </row>
    <row r="468" spans="1:5">
      <c r="A468" s="5">
        <v>46336</v>
      </c>
      <c r="B468" cm="1">
        <f t="array" ref="B468">SUMPRODUCT((Task_table_03_2_26!$C$2:$C$596=$B$1)*(A468&gt;Task_table_03_2_26!$J$2:$J$596)*(A468&lt;Task_table_03_2_26!$K$2:$K$596))</f>
        <v>23</v>
      </c>
      <c r="C468" cm="1">
        <f t="array" ref="C468">SUMPRODUCT((Task_table_03_2_26!$C$2:$C$596=$C$1)*(A468&gt;Task_table_03_2_26!$J$2:$J$596)*(A468&lt;Task_table_03_2_26!$K$2:$K$596))</f>
        <v>4</v>
      </c>
      <c r="D468" cm="1">
        <f t="array" ref="D468">SUMPRODUCT((Task_table_03_2_26!$C$2:$C$596=$D$1)*(A468&gt;Task_table_03_2_26!$J$2:$J$596)*(A468&lt;Task_table_03_2_26!$K$2:$K$596))</f>
        <v>0</v>
      </c>
      <c r="E468" cm="1">
        <f t="array" ref="E468">SUMPRODUCT((Task_table_03_2_26!$C$2:$C$596=$E$1)*(A468&gt;Task_table_03_2_26!$J$2:$J$596)*(A468&lt;Task_table_03_2_26!$K$2:$K$596))</f>
        <v>1</v>
      </c>
    </row>
    <row r="469" spans="1:5">
      <c r="A469" s="5">
        <v>46337</v>
      </c>
      <c r="B469" cm="1">
        <f t="array" ref="B469">SUMPRODUCT((Task_table_03_2_26!$C$2:$C$596=$B$1)*(A469&gt;Task_table_03_2_26!$J$2:$J$596)*(A469&lt;Task_table_03_2_26!$K$2:$K$596))</f>
        <v>23</v>
      </c>
      <c r="C469" cm="1">
        <f t="array" ref="C469">SUMPRODUCT((Task_table_03_2_26!$C$2:$C$596=$C$1)*(A469&gt;Task_table_03_2_26!$J$2:$J$596)*(A469&lt;Task_table_03_2_26!$K$2:$K$596))</f>
        <v>4</v>
      </c>
      <c r="D469" cm="1">
        <f t="array" ref="D469">SUMPRODUCT((Task_table_03_2_26!$C$2:$C$596=$D$1)*(A469&gt;Task_table_03_2_26!$J$2:$J$596)*(A469&lt;Task_table_03_2_26!$K$2:$K$596))</f>
        <v>0</v>
      </c>
      <c r="E469" cm="1">
        <f t="array" ref="E469">SUMPRODUCT((Task_table_03_2_26!$C$2:$C$596=$E$1)*(A469&gt;Task_table_03_2_26!$J$2:$J$596)*(A469&lt;Task_table_03_2_26!$K$2:$K$596))</f>
        <v>1</v>
      </c>
    </row>
    <row r="470" spans="1:5">
      <c r="A470" s="5">
        <v>46338</v>
      </c>
      <c r="B470" cm="1">
        <f t="array" ref="B470">SUMPRODUCT((Task_table_03_2_26!$C$2:$C$596=$B$1)*(A470&gt;Task_table_03_2_26!$J$2:$J$596)*(A470&lt;Task_table_03_2_26!$K$2:$K$596))</f>
        <v>23</v>
      </c>
      <c r="C470" cm="1">
        <f t="array" ref="C470">SUMPRODUCT((Task_table_03_2_26!$C$2:$C$596=$C$1)*(A470&gt;Task_table_03_2_26!$J$2:$J$596)*(A470&lt;Task_table_03_2_26!$K$2:$K$596))</f>
        <v>4</v>
      </c>
      <c r="D470" cm="1">
        <f t="array" ref="D470">SUMPRODUCT((Task_table_03_2_26!$C$2:$C$596=$D$1)*(A470&gt;Task_table_03_2_26!$J$2:$J$596)*(A470&lt;Task_table_03_2_26!$K$2:$K$596))</f>
        <v>0</v>
      </c>
      <c r="E470" cm="1">
        <f t="array" ref="E470">SUMPRODUCT((Task_table_03_2_26!$C$2:$C$596=$E$1)*(A470&gt;Task_table_03_2_26!$J$2:$J$596)*(A470&lt;Task_table_03_2_26!$K$2:$K$596))</f>
        <v>1</v>
      </c>
    </row>
    <row r="471" spans="1:5">
      <c r="A471" s="5">
        <v>46339</v>
      </c>
      <c r="B471" cm="1">
        <f t="array" ref="B471">SUMPRODUCT((Task_table_03_2_26!$C$2:$C$596=$B$1)*(A471&gt;Task_table_03_2_26!$J$2:$J$596)*(A471&lt;Task_table_03_2_26!$K$2:$K$596))</f>
        <v>23</v>
      </c>
      <c r="C471" cm="1">
        <f t="array" ref="C471">SUMPRODUCT((Task_table_03_2_26!$C$2:$C$596=$C$1)*(A471&gt;Task_table_03_2_26!$J$2:$J$596)*(A471&lt;Task_table_03_2_26!$K$2:$K$596))</f>
        <v>4</v>
      </c>
      <c r="D471" cm="1">
        <f t="array" ref="D471">SUMPRODUCT((Task_table_03_2_26!$C$2:$C$596=$D$1)*(A471&gt;Task_table_03_2_26!$J$2:$J$596)*(A471&lt;Task_table_03_2_26!$K$2:$K$596))</f>
        <v>0</v>
      </c>
      <c r="E471" cm="1">
        <f t="array" ref="E471">SUMPRODUCT((Task_table_03_2_26!$C$2:$C$596=$E$1)*(A471&gt;Task_table_03_2_26!$J$2:$J$596)*(A471&lt;Task_table_03_2_26!$K$2:$K$596))</f>
        <v>1</v>
      </c>
    </row>
    <row r="472" spans="1:5">
      <c r="A472" s="5">
        <v>46340</v>
      </c>
      <c r="B472" cm="1">
        <f t="array" ref="B472">SUMPRODUCT((Task_table_03_2_26!$C$2:$C$596=$B$1)*(A472&gt;Task_table_03_2_26!$J$2:$J$596)*(A472&lt;Task_table_03_2_26!$K$2:$K$596))</f>
        <v>23</v>
      </c>
      <c r="C472" cm="1">
        <f t="array" ref="C472">SUMPRODUCT((Task_table_03_2_26!$C$2:$C$596=$C$1)*(A472&gt;Task_table_03_2_26!$J$2:$J$596)*(A472&lt;Task_table_03_2_26!$K$2:$K$596))</f>
        <v>4</v>
      </c>
      <c r="D472" cm="1">
        <f t="array" ref="D472">SUMPRODUCT((Task_table_03_2_26!$C$2:$C$596=$D$1)*(A472&gt;Task_table_03_2_26!$J$2:$J$596)*(A472&lt;Task_table_03_2_26!$K$2:$K$596))</f>
        <v>0</v>
      </c>
      <c r="E472" cm="1">
        <f t="array" ref="E472">SUMPRODUCT((Task_table_03_2_26!$C$2:$C$596=$E$1)*(A472&gt;Task_table_03_2_26!$J$2:$J$596)*(A472&lt;Task_table_03_2_26!$K$2:$K$596))</f>
        <v>1</v>
      </c>
    </row>
    <row r="473" spans="1:5">
      <c r="A473" s="5">
        <v>46341</v>
      </c>
      <c r="B473" cm="1">
        <f t="array" ref="B473">SUMPRODUCT((Task_table_03_2_26!$C$2:$C$596=$B$1)*(A473&gt;Task_table_03_2_26!$J$2:$J$596)*(A473&lt;Task_table_03_2_26!$K$2:$K$596))</f>
        <v>23</v>
      </c>
      <c r="C473" cm="1">
        <f t="array" ref="C473">SUMPRODUCT((Task_table_03_2_26!$C$2:$C$596=$C$1)*(A473&gt;Task_table_03_2_26!$J$2:$J$596)*(A473&lt;Task_table_03_2_26!$K$2:$K$596))</f>
        <v>4</v>
      </c>
      <c r="D473" cm="1">
        <f t="array" ref="D473">SUMPRODUCT((Task_table_03_2_26!$C$2:$C$596=$D$1)*(A473&gt;Task_table_03_2_26!$J$2:$J$596)*(A473&lt;Task_table_03_2_26!$K$2:$K$596))</f>
        <v>0</v>
      </c>
      <c r="E473" cm="1">
        <f t="array" ref="E473">SUMPRODUCT((Task_table_03_2_26!$C$2:$C$596=$E$1)*(A473&gt;Task_table_03_2_26!$J$2:$J$596)*(A473&lt;Task_table_03_2_26!$K$2:$K$596))</f>
        <v>1</v>
      </c>
    </row>
    <row r="474" spans="1:5">
      <c r="A474" s="5">
        <v>46342</v>
      </c>
      <c r="B474" cm="1">
        <f t="array" ref="B474">SUMPRODUCT((Task_table_03_2_26!$C$2:$C$596=$B$1)*(A474&gt;Task_table_03_2_26!$J$2:$J$596)*(A474&lt;Task_table_03_2_26!$K$2:$K$596))</f>
        <v>23</v>
      </c>
      <c r="C474" cm="1">
        <f t="array" ref="C474">SUMPRODUCT((Task_table_03_2_26!$C$2:$C$596=$C$1)*(A474&gt;Task_table_03_2_26!$J$2:$J$596)*(A474&lt;Task_table_03_2_26!$K$2:$K$596))</f>
        <v>4</v>
      </c>
      <c r="D474" cm="1">
        <f t="array" ref="D474">SUMPRODUCT((Task_table_03_2_26!$C$2:$C$596=$D$1)*(A474&gt;Task_table_03_2_26!$J$2:$J$596)*(A474&lt;Task_table_03_2_26!$K$2:$K$596))</f>
        <v>0</v>
      </c>
      <c r="E474" cm="1">
        <f t="array" ref="E474">SUMPRODUCT((Task_table_03_2_26!$C$2:$C$596=$E$1)*(A474&gt;Task_table_03_2_26!$J$2:$J$596)*(A474&lt;Task_table_03_2_26!$K$2:$K$596))</f>
        <v>1</v>
      </c>
    </row>
    <row r="475" spans="1:5">
      <c r="A475" s="5">
        <v>46343</v>
      </c>
      <c r="B475" cm="1">
        <f t="array" ref="B475">SUMPRODUCT((Task_table_03_2_26!$C$2:$C$596=$B$1)*(A475&gt;Task_table_03_2_26!$J$2:$J$596)*(A475&lt;Task_table_03_2_26!$K$2:$K$596))</f>
        <v>23</v>
      </c>
      <c r="C475" cm="1">
        <f t="array" ref="C475">SUMPRODUCT((Task_table_03_2_26!$C$2:$C$596=$C$1)*(A475&gt;Task_table_03_2_26!$J$2:$J$596)*(A475&lt;Task_table_03_2_26!$K$2:$K$596))</f>
        <v>4</v>
      </c>
      <c r="D475" cm="1">
        <f t="array" ref="D475">SUMPRODUCT((Task_table_03_2_26!$C$2:$C$596=$D$1)*(A475&gt;Task_table_03_2_26!$J$2:$J$596)*(A475&lt;Task_table_03_2_26!$K$2:$K$596))</f>
        <v>0</v>
      </c>
      <c r="E475" cm="1">
        <f t="array" ref="E475">SUMPRODUCT((Task_table_03_2_26!$C$2:$C$596=$E$1)*(A475&gt;Task_table_03_2_26!$J$2:$J$596)*(A475&lt;Task_table_03_2_26!$K$2:$K$596))</f>
        <v>1</v>
      </c>
    </row>
    <row r="476" spans="1:5">
      <c r="A476" s="5">
        <v>46344</v>
      </c>
      <c r="B476" cm="1">
        <f t="array" ref="B476">SUMPRODUCT((Task_table_03_2_26!$C$2:$C$596=$B$1)*(A476&gt;Task_table_03_2_26!$J$2:$J$596)*(A476&lt;Task_table_03_2_26!$K$2:$K$596))</f>
        <v>23</v>
      </c>
      <c r="C476" cm="1">
        <f t="array" ref="C476">SUMPRODUCT((Task_table_03_2_26!$C$2:$C$596=$C$1)*(A476&gt;Task_table_03_2_26!$J$2:$J$596)*(A476&lt;Task_table_03_2_26!$K$2:$K$596))</f>
        <v>4</v>
      </c>
      <c r="D476" cm="1">
        <f t="array" ref="D476">SUMPRODUCT((Task_table_03_2_26!$C$2:$C$596=$D$1)*(A476&gt;Task_table_03_2_26!$J$2:$J$596)*(A476&lt;Task_table_03_2_26!$K$2:$K$596))</f>
        <v>0</v>
      </c>
      <c r="E476" cm="1">
        <f t="array" ref="E476">SUMPRODUCT((Task_table_03_2_26!$C$2:$C$596=$E$1)*(A476&gt;Task_table_03_2_26!$J$2:$J$596)*(A476&lt;Task_table_03_2_26!$K$2:$K$596))</f>
        <v>1</v>
      </c>
    </row>
    <row r="477" spans="1:5">
      <c r="A477" s="5">
        <v>46345</v>
      </c>
      <c r="B477" cm="1">
        <f t="array" ref="B477">SUMPRODUCT((Task_table_03_2_26!$C$2:$C$596=$B$1)*(A477&gt;Task_table_03_2_26!$J$2:$J$596)*(A477&lt;Task_table_03_2_26!$K$2:$K$596))</f>
        <v>23</v>
      </c>
      <c r="C477" cm="1">
        <f t="array" ref="C477">SUMPRODUCT((Task_table_03_2_26!$C$2:$C$596=$C$1)*(A477&gt;Task_table_03_2_26!$J$2:$J$596)*(A477&lt;Task_table_03_2_26!$K$2:$K$596))</f>
        <v>4</v>
      </c>
      <c r="D477" cm="1">
        <f t="array" ref="D477">SUMPRODUCT((Task_table_03_2_26!$C$2:$C$596=$D$1)*(A477&gt;Task_table_03_2_26!$J$2:$J$596)*(A477&lt;Task_table_03_2_26!$K$2:$K$596))</f>
        <v>0</v>
      </c>
      <c r="E477" cm="1">
        <f t="array" ref="E477">SUMPRODUCT((Task_table_03_2_26!$C$2:$C$596=$E$1)*(A477&gt;Task_table_03_2_26!$J$2:$J$596)*(A477&lt;Task_table_03_2_26!$K$2:$K$596))</f>
        <v>1</v>
      </c>
    </row>
    <row r="478" spans="1:5">
      <c r="A478" s="5">
        <v>46346</v>
      </c>
      <c r="B478" cm="1">
        <f t="array" ref="B478">SUMPRODUCT((Task_table_03_2_26!$C$2:$C$596=$B$1)*(A478&gt;Task_table_03_2_26!$J$2:$J$596)*(A478&lt;Task_table_03_2_26!$K$2:$K$596))</f>
        <v>23</v>
      </c>
      <c r="C478" cm="1">
        <f t="array" ref="C478">SUMPRODUCT((Task_table_03_2_26!$C$2:$C$596=$C$1)*(A478&gt;Task_table_03_2_26!$J$2:$J$596)*(A478&lt;Task_table_03_2_26!$K$2:$K$596))</f>
        <v>4</v>
      </c>
      <c r="D478" cm="1">
        <f t="array" ref="D478">SUMPRODUCT((Task_table_03_2_26!$C$2:$C$596=$D$1)*(A478&gt;Task_table_03_2_26!$J$2:$J$596)*(A478&lt;Task_table_03_2_26!$K$2:$K$596))</f>
        <v>0</v>
      </c>
      <c r="E478" cm="1">
        <f t="array" ref="E478">SUMPRODUCT((Task_table_03_2_26!$C$2:$C$596=$E$1)*(A478&gt;Task_table_03_2_26!$J$2:$J$596)*(A478&lt;Task_table_03_2_26!$K$2:$K$596))</f>
        <v>1</v>
      </c>
    </row>
    <row r="479" spans="1:5">
      <c r="A479" s="5">
        <v>46347</v>
      </c>
      <c r="B479" cm="1">
        <f t="array" ref="B479">SUMPRODUCT((Task_table_03_2_26!$C$2:$C$596=$B$1)*(A479&gt;Task_table_03_2_26!$J$2:$J$596)*(A479&lt;Task_table_03_2_26!$K$2:$K$596))</f>
        <v>23</v>
      </c>
      <c r="C479" cm="1">
        <f t="array" ref="C479">SUMPRODUCT((Task_table_03_2_26!$C$2:$C$596=$C$1)*(A479&gt;Task_table_03_2_26!$J$2:$J$596)*(A479&lt;Task_table_03_2_26!$K$2:$K$596))</f>
        <v>4</v>
      </c>
      <c r="D479" cm="1">
        <f t="array" ref="D479">SUMPRODUCT((Task_table_03_2_26!$C$2:$C$596=$D$1)*(A479&gt;Task_table_03_2_26!$J$2:$J$596)*(A479&lt;Task_table_03_2_26!$K$2:$K$596))</f>
        <v>0</v>
      </c>
      <c r="E479" cm="1">
        <f t="array" ref="E479">SUMPRODUCT((Task_table_03_2_26!$C$2:$C$596=$E$1)*(A479&gt;Task_table_03_2_26!$J$2:$J$596)*(A479&lt;Task_table_03_2_26!$K$2:$K$596))</f>
        <v>1</v>
      </c>
    </row>
    <row r="480" spans="1:5">
      <c r="A480" s="5">
        <v>46348</v>
      </c>
      <c r="B480" cm="1">
        <f t="array" ref="B480">SUMPRODUCT((Task_table_03_2_26!$C$2:$C$596=$B$1)*(A480&gt;Task_table_03_2_26!$J$2:$J$596)*(A480&lt;Task_table_03_2_26!$K$2:$K$596))</f>
        <v>23</v>
      </c>
      <c r="C480" cm="1">
        <f t="array" ref="C480">SUMPRODUCT((Task_table_03_2_26!$C$2:$C$596=$C$1)*(A480&gt;Task_table_03_2_26!$J$2:$J$596)*(A480&lt;Task_table_03_2_26!$K$2:$K$596))</f>
        <v>4</v>
      </c>
      <c r="D480" cm="1">
        <f t="array" ref="D480">SUMPRODUCT((Task_table_03_2_26!$C$2:$C$596=$D$1)*(A480&gt;Task_table_03_2_26!$J$2:$J$596)*(A480&lt;Task_table_03_2_26!$K$2:$K$596))</f>
        <v>0</v>
      </c>
      <c r="E480" cm="1">
        <f t="array" ref="E480">SUMPRODUCT((Task_table_03_2_26!$C$2:$C$596=$E$1)*(A480&gt;Task_table_03_2_26!$J$2:$J$596)*(A480&lt;Task_table_03_2_26!$K$2:$K$596))</f>
        <v>1</v>
      </c>
    </row>
    <row r="481" spans="1:5">
      <c r="A481" s="5">
        <v>46349</v>
      </c>
      <c r="B481" cm="1">
        <f t="array" ref="B481">SUMPRODUCT((Task_table_03_2_26!$C$2:$C$596=$B$1)*(A481&gt;Task_table_03_2_26!$J$2:$J$596)*(A481&lt;Task_table_03_2_26!$K$2:$K$596))</f>
        <v>23</v>
      </c>
      <c r="C481" cm="1">
        <f t="array" ref="C481">SUMPRODUCT((Task_table_03_2_26!$C$2:$C$596=$C$1)*(A481&gt;Task_table_03_2_26!$J$2:$J$596)*(A481&lt;Task_table_03_2_26!$K$2:$K$596))</f>
        <v>4</v>
      </c>
      <c r="D481" cm="1">
        <f t="array" ref="D481">SUMPRODUCT((Task_table_03_2_26!$C$2:$C$596=$D$1)*(A481&gt;Task_table_03_2_26!$J$2:$J$596)*(A481&lt;Task_table_03_2_26!$K$2:$K$596))</f>
        <v>0</v>
      </c>
      <c r="E481" cm="1">
        <f t="array" ref="E481">SUMPRODUCT((Task_table_03_2_26!$C$2:$C$596=$E$1)*(A481&gt;Task_table_03_2_26!$J$2:$J$596)*(A481&lt;Task_table_03_2_26!$K$2:$K$596))</f>
        <v>1</v>
      </c>
    </row>
    <row r="482" spans="1:5">
      <c r="A482" s="5">
        <v>46350</v>
      </c>
      <c r="B482" cm="1">
        <f t="array" ref="B482">SUMPRODUCT((Task_table_03_2_26!$C$2:$C$596=$B$1)*(A482&gt;Task_table_03_2_26!$J$2:$J$596)*(A482&lt;Task_table_03_2_26!$K$2:$K$596))</f>
        <v>23</v>
      </c>
      <c r="C482" cm="1">
        <f t="array" ref="C482">SUMPRODUCT((Task_table_03_2_26!$C$2:$C$596=$C$1)*(A482&gt;Task_table_03_2_26!$J$2:$J$596)*(A482&lt;Task_table_03_2_26!$K$2:$K$596))</f>
        <v>4</v>
      </c>
      <c r="D482" cm="1">
        <f t="array" ref="D482">SUMPRODUCT((Task_table_03_2_26!$C$2:$C$596=$D$1)*(A482&gt;Task_table_03_2_26!$J$2:$J$596)*(A482&lt;Task_table_03_2_26!$K$2:$K$596))</f>
        <v>0</v>
      </c>
      <c r="E482" cm="1">
        <f t="array" ref="E482">SUMPRODUCT((Task_table_03_2_26!$C$2:$C$596=$E$1)*(A482&gt;Task_table_03_2_26!$J$2:$J$596)*(A482&lt;Task_table_03_2_26!$K$2:$K$596))</f>
        <v>1</v>
      </c>
    </row>
    <row r="483" spans="1:5">
      <c r="A483" s="5">
        <v>46351</v>
      </c>
      <c r="B483" cm="1">
        <f t="array" ref="B483">SUMPRODUCT((Task_table_03_2_26!$C$2:$C$596=$B$1)*(A483&gt;Task_table_03_2_26!$J$2:$J$596)*(A483&lt;Task_table_03_2_26!$K$2:$K$596))</f>
        <v>23</v>
      </c>
      <c r="C483" cm="1">
        <f t="array" ref="C483">SUMPRODUCT((Task_table_03_2_26!$C$2:$C$596=$C$1)*(A483&gt;Task_table_03_2_26!$J$2:$J$596)*(A483&lt;Task_table_03_2_26!$K$2:$K$596))</f>
        <v>4</v>
      </c>
      <c r="D483" cm="1">
        <f t="array" ref="D483">SUMPRODUCT((Task_table_03_2_26!$C$2:$C$596=$D$1)*(A483&gt;Task_table_03_2_26!$J$2:$J$596)*(A483&lt;Task_table_03_2_26!$K$2:$K$596))</f>
        <v>0</v>
      </c>
      <c r="E483" cm="1">
        <f t="array" ref="E483">SUMPRODUCT((Task_table_03_2_26!$C$2:$C$596=$E$1)*(A483&gt;Task_table_03_2_26!$J$2:$J$596)*(A483&lt;Task_table_03_2_26!$K$2:$K$596))</f>
        <v>1</v>
      </c>
    </row>
    <row r="484" spans="1:5">
      <c r="A484" s="5">
        <v>46352</v>
      </c>
      <c r="B484" cm="1">
        <f t="array" ref="B484">SUMPRODUCT((Task_table_03_2_26!$C$2:$C$596=$B$1)*(A484&gt;Task_table_03_2_26!$J$2:$J$596)*(A484&lt;Task_table_03_2_26!$K$2:$K$596))</f>
        <v>23</v>
      </c>
      <c r="C484" cm="1">
        <f t="array" ref="C484">SUMPRODUCT((Task_table_03_2_26!$C$2:$C$596=$C$1)*(A484&gt;Task_table_03_2_26!$J$2:$J$596)*(A484&lt;Task_table_03_2_26!$K$2:$K$596))</f>
        <v>4</v>
      </c>
      <c r="D484" cm="1">
        <f t="array" ref="D484">SUMPRODUCT((Task_table_03_2_26!$C$2:$C$596=$D$1)*(A484&gt;Task_table_03_2_26!$J$2:$J$596)*(A484&lt;Task_table_03_2_26!$K$2:$K$596))</f>
        <v>0</v>
      </c>
      <c r="E484" cm="1">
        <f t="array" ref="E484">SUMPRODUCT((Task_table_03_2_26!$C$2:$C$596=$E$1)*(A484&gt;Task_table_03_2_26!$J$2:$J$596)*(A484&lt;Task_table_03_2_26!$K$2:$K$596))</f>
        <v>1</v>
      </c>
    </row>
    <row r="485" spans="1:5">
      <c r="A485" s="5">
        <v>46353</v>
      </c>
      <c r="B485" cm="1">
        <f t="array" ref="B485">SUMPRODUCT((Task_table_03_2_26!$C$2:$C$596=$B$1)*(A485&gt;Task_table_03_2_26!$J$2:$J$596)*(A485&lt;Task_table_03_2_26!$K$2:$K$596))</f>
        <v>23</v>
      </c>
      <c r="C485" cm="1">
        <f t="array" ref="C485">SUMPRODUCT((Task_table_03_2_26!$C$2:$C$596=$C$1)*(A485&gt;Task_table_03_2_26!$J$2:$J$596)*(A485&lt;Task_table_03_2_26!$K$2:$K$596))</f>
        <v>4</v>
      </c>
      <c r="D485" cm="1">
        <f t="array" ref="D485">SUMPRODUCT((Task_table_03_2_26!$C$2:$C$596=$D$1)*(A485&gt;Task_table_03_2_26!$J$2:$J$596)*(A485&lt;Task_table_03_2_26!$K$2:$K$596))</f>
        <v>0</v>
      </c>
      <c r="E485" cm="1">
        <f t="array" ref="E485">SUMPRODUCT((Task_table_03_2_26!$C$2:$C$596=$E$1)*(A485&gt;Task_table_03_2_26!$J$2:$J$596)*(A485&lt;Task_table_03_2_26!$K$2:$K$596))</f>
        <v>1</v>
      </c>
    </row>
    <row r="486" spans="1:5">
      <c r="A486" s="5">
        <v>46354</v>
      </c>
      <c r="B486" cm="1">
        <f t="array" ref="B486">SUMPRODUCT((Task_table_03_2_26!$C$2:$C$596=$B$1)*(A486&gt;Task_table_03_2_26!$J$2:$J$596)*(A486&lt;Task_table_03_2_26!$K$2:$K$596))</f>
        <v>23</v>
      </c>
      <c r="C486" cm="1">
        <f t="array" ref="C486">SUMPRODUCT((Task_table_03_2_26!$C$2:$C$596=$C$1)*(A486&gt;Task_table_03_2_26!$J$2:$J$596)*(A486&lt;Task_table_03_2_26!$K$2:$K$596))</f>
        <v>4</v>
      </c>
      <c r="D486" cm="1">
        <f t="array" ref="D486">SUMPRODUCT((Task_table_03_2_26!$C$2:$C$596=$D$1)*(A486&gt;Task_table_03_2_26!$J$2:$J$596)*(A486&lt;Task_table_03_2_26!$K$2:$K$596))</f>
        <v>0</v>
      </c>
      <c r="E486" cm="1">
        <f t="array" ref="E486">SUMPRODUCT((Task_table_03_2_26!$C$2:$C$596=$E$1)*(A486&gt;Task_table_03_2_26!$J$2:$J$596)*(A486&lt;Task_table_03_2_26!$K$2:$K$596))</f>
        <v>1</v>
      </c>
    </row>
    <row r="487" spans="1:5">
      <c r="A487" s="5">
        <v>46355</v>
      </c>
      <c r="B487" cm="1">
        <f t="array" ref="B487">SUMPRODUCT((Task_table_03_2_26!$C$2:$C$596=$B$1)*(A487&gt;Task_table_03_2_26!$J$2:$J$596)*(A487&lt;Task_table_03_2_26!$K$2:$K$596))</f>
        <v>23</v>
      </c>
      <c r="C487" cm="1">
        <f t="array" ref="C487">SUMPRODUCT((Task_table_03_2_26!$C$2:$C$596=$C$1)*(A487&gt;Task_table_03_2_26!$J$2:$J$596)*(A487&lt;Task_table_03_2_26!$K$2:$K$596))</f>
        <v>4</v>
      </c>
      <c r="D487" cm="1">
        <f t="array" ref="D487">SUMPRODUCT((Task_table_03_2_26!$C$2:$C$596=$D$1)*(A487&gt;Task_table_03_2_26!$J$2:$J$596)*(A487&lt;Task_table_03_2_26!$K$2:$K$596))</f>
        <v>0</v>
      </c>
      <c r="E487" cm="1">
        <f t="array" ref="E487">SUMPRODUCT((Task_table_03_2_26!$C$2:$C$596=$E$1)*(A487&gt;Task_table_03_2_26!$J$2:$J$596)*(A487&lt;Task_table_03_2_26!$K$2:$K$596))</f>
        <v>1</v>
      </c>
    </row>
    <row r="488" spans="1:5">
      <c r="A488" s="5">
        <v>46356</v>
      </c>
      <c r="B488" cm="1">
        <f t="array" ref="B488">SUMPRODUCT((Task_table_03_2_26!$C$2:$C$596=$B$1)*(A488&gt;Task_table_03_2_26!$J$2:$J$596)*(A488&lt;Task_table_03_2_26!$K$2:$K$596))</f>
        <v>23</v>
      </c>
      <c r="C488" cm="1">
        <f t="array" ref="C488">SUMPRODUCT((Task_table_03_2_26!$C$2:$C$596=$C$1)*(A488&gt;Task_table_03_2_26!$J$2:$J$596)*(A488&lt;Task_table_03_2_26!$K$2:$K$596))</f>
        <v>4</v>
      </c>
      <c r="D488" cm="1">
        <f t="array" ref="D488">SUMPRODUCT((Task_table_03_2_26!$C$2:$C$596=$D$1)*(A488&gt;Task_table_03_2_26!$J$2:$J$596)*(A488&lt;Task_table_03_2_26!$K$2:$K$596))</f>
        <v>0</v>
      </c>
      <c r="E488" cm="1">
        <f t="array" ref="E488">SUMPRODUCT((Task_table_03_2_26!$C$2:$C$596=$E$1)*(A488&gt;Task_table_03_2_26!$J$2:$J$596)*(A488&lt;Task_table_03_2_26!$K$2:$K$596))</f>
        <v>1</v>
      </c>
    </row>
    <row r="489" spans="1:5">
      <c r="A489" s="5">
        <v>46357</v>
      </c>
      <c r="B489" cm="1">
        <f t="array" ref="B489">SUMPRODUCT((Task_table_03_2_26!$C$2:$C$596=$B$1)*(A489&gt;Task_table_03_2_26!$J$2:$J$596)*(A489&lt;Task_table_03_2_26!$K$2:$K$596))</f>
        <v>23</v>
      </c>
      <c r="C489" cm="1">
        <f t="array" ref="C489">SUMPRODUCT((Task_table_03_2_26!$C$2:$C$596=$C$1)*(A489&gt;Task_table_03_2_26!$J$2:$J$596)*(A489&lt;Task_table_03_2_26!$K$2:$K$596))</f>
        <v>4</v>
      </c>
      <c r="D489" cm="1">
        <f t="array" ref="D489">SUMPRODUCT((Task_table_03_2_26!$C$2:$C$596=$D$1)*(A489&gt;Task_table_03_2_26!$J$2:$J$596)*(A489&lt;Task_table_03_2_26!$K$2:$K$596))</f>
        <v>0</v>
      </c>
      <c r="E489" cm="1">
        <f t="array" ref="E489">SUMPRODUCT((Task_table_03_2_26!$C$2:$C$596=$E$1)*(A489&gt;Task_table_03_2_26!$J$2:$J$596)*(A489&lt;Task_table_03_2_26!$K$2:$K$596))</f>
        <v>1</v>
      </c>
    </row>
    <row r="490" spans="1:5">
      <c r="A490" s="5">
        <v>46358</v>
      </c>
      <c r="B490" cm="1">
        <f t="array" ref="B490">SUMPRODUCT((Task_table_03_2_26!$C$2:$C$596=$B$1)*(A490&gt;Task_table_03_2_26!$J$2:$J$596)*(A490&lt;Task_table_03_2_26!$K$2:$K$596))</f>
        <v>23</v>
      </c>
      <c r="C490" cm="1">
        <f t="array" ref="C490">SUMPRODUCT((Task_table_03_2_26!$C$2:$C$596=$C$1)*(A490&gt;Task_table_03_2_26!$J$2:$J$596)*(A490&lt;Task_table_03_2_26!$K$2:$K$596))</f>
        <v>4</v>
      </c>
      <c r="D490" cm="1">
        <f t="array" ref="D490">SUMPRODUCT((Task_table_03_2_26!$C$2:$C$596=$D$1)*(A490&gt;Task_table_03_2_26!$J$2:$J$596)*(A490&lt;Task_table_03_2_26!$K$2:$K$596))</f>
        <v>0</v>
      </c>
      <c r="E490" cm="1">
        <f t="array" ref="E490">SUMPRODUCT((Task_table_03_2_26!$C$2:$C$596=$E$1)*(A490&gt;Task_table_03_2_26!$J$2:$J$596)*(A490&lt;Task_table_03_2_26!$K$2:$K$596))</f>
        <v>1</v>
      </c>
    </row>
    <row r="491" spans="1:5">
      <c r="A491" s="5">
        <v>46359</v>
      </c>
      <c r="B491" cm="1">
        <f t="array" ref="B491">SUMPRODUCT((Task_table_03_2_26!$C$2:$C$596=$B$1)*(A491&gt;Task_table_03_2_26!$J$2:$J$596)*(A491&lt;Task_table_03_2_26!$K$2:$K$596))</f>
        <v>23</v>
      </c>
      <c r="C491" cm="1">
        <f t="array" ref="C491">SUMPRODUCT((Task_table_03_2_26!$C$2:$C$596=$C$1)*(A491&gt;Task_table_03_2_26!$J$2:$J$596)*(A491&lt;Task_table_03_2_26!$K$2:$K$596))</f>
        <v>4</v>
      </c>
      <c r="D491" cm="1">
        <f t="array" ref="D491">SUMPRODUCT((Task_table_03_2_26!$C$2:$C$596=$D$1)*(A491&gt;Task_table_03_2_26!$J$2:$J$596)*(A491&lt;Task_table_03_2_26!$K$2:$K$596))</f>
        <v>0</v>
      </c>
      <c r="E491" cm="1">
        <f t="array" ref="E491">SUMPRODUCT((Task_table_03_2_26!$C$2:$C$596=$E$1)*(A491&gt;Task_table_03_2_26!$J$2:$J$596)*(A491&lt;Task_table_03_2_26!$K$2:$K$596))</f>
        <v>1</v>
      </c>
    </row>
    <row r="492" spans="1:5">
      <c r="A492" s="5">
        <v>46360</v>
      </c>
      <c r="B492" cm="1">
        <f t="array" ref="B492">SUMPRODUCT((Task_table_03_2_26!$C$2:$C$596=$B$1)*(A492&gt;Task_table_03_2_26!$J$2:$J$596)*(A492&lt;Task_table_03_2_26!$K$2:$K$596))</f>
        <v>23</v>
      </c>
      <c r="C492" cm="1">
        <f t="array" ref="C492">SUMPRODUCT((Task_table_03_2_26!$C$2:$C$596=$C$1)*(A492&gt;Task_table_03_2_26!$J$2:$J$596)*(A492&lt;Task_table_03_2_26!$K$2:$K$596))</f>
        <v>4</v>
      </c>
      <c r="D492" cm="1">
        <f t="array" ref="D492">SUMPRODUCT((Task_table_03_2_26!$C$2:$C$596=$D$1)*(A492&gt;Task_table_03_2_26!$J$2:$J$596)*(A492&lt;Task_table_03_2_26!$K$2:$K$596))</f>
        <v>0</v>
      </c>
      <c r="E492" cm="1">
        <f t="array" ref="E492">SUMPRODUCT((Task_table_03_2_26!$C$2:$C$596=$E$1)*(A492&gt;Task_table_03_2_26!$J$2:$J$596)*(A492&lt;Task_table_03_2_26!$K$2:$K$596))</f>
        <v>1</v>
      </c>
    </row>
    <row r="493" spans="1:5">
      <c r="A493" s="5">
        <v>46361</v>
      </c>
      <c r="B493" cm="1">
        <f t="array" ref="B493">SUMPRODUCT((Task_table_03_2_26!$C$2:$C$596=$B$1)*(A493&gt;Task_table_03_2_26!$J$2:$J$596)*(A493&lt;Task_table_03_2_26!$K$2:$K$596))</f>
        <v>23</v>
      </c>
      <c r="C493" cm="1">
        <f t="array" ref="C493">SUMPRODUCT((Task_table_03_2_26!$C$2:$C$596=$C$1)*(A493&gt;Task_table_03_2_26!$J$2:$J$596)*(A493&lt;Task_table_03_2_26!$K$2:$K$596))</f>
        <v>4</v>
      </c>
      <c r="D493" cm="1">
        <f t="array" ref="D493">SUMPRODUCT((Task_table_03_2_26!$C$2:$C$596=$D$1)*(A493&gt;Task_table_03_2_26!$J$2:$J$596)*(A493&lt;Task_table_03_2_26!$K$2:$K$596))</f>
        <v>0</v>
      </c>
      <c r="E493" cm="1">
        <f t="array" ref="E493">SUMPRODUCT((Task_table_03_2_26!$C$2:$C$596=$E$1)*(A493&gt;Task_table_03_2_26!$J$2:$J$596)*(A493&lt;Task_table_03_2_26!$K$2:$K$596))</f>
        <v>1</v>
      </c>
    </row>
    <row r="494" spans="1:5">
      <c r="A494" s="5">
        <v>46362</v>
      </c>
      <c r="B494" cm="1">
        <f t="array" ref="B494">SUMPRODUCT((Task_table_03_2_26!$C$2:$C$596=$B$1)*(A494&gt;Task_table_03_2_26!$J$2:$J$596)*(A494&lt;Task_table_03_2_26!$K$2:$K$596))</f>
        <v>23</v>
      </c>
      <c r="C494" cm="1">
        <f t="array" ref="C494">SUMPRODUCT((Task_table_03_2_26!$C$2:$C$596=$C$1)*(A494&gt;Task_table_03_2_26!$J$2:$J$596)*(A494&lt;Task_table_03_2_26!$K$2:$K$596))</f>
        <v>4</v>
      </c>
      <c r="D494" cm="1">
        <f t="array" ref="D494">SUMPRODUCT((Task_table_03_2_26!$C$2:$C$596=$D$1)*(A494&gt;Task_table_03_2_26!$J$2:$J$596)*(A494&lt;Task_table_03_2_26!$K$2:$K$596))</f>
        <v>0</v>
      </c>
      <c r="E494" cm="1">
        <f t="array" ref="E494">SUMPRODUCT((Task_table_03_2_26!$C$2:$C$596=$E$1)*(A494&gt;Task_table_03_2_26!$J$2:$J$596)*(A494&lt;Task_table_03_2_26!$K$2:$K$596))</f>
        <v>1</v>
      </c>
    </row>
    <row r="495" spans="1:5">
      <c r="A495" s="5">
        <v>46363</v>
      </c>
      <c r="B495" cm="1">
        <f t="array" ref="B495">SUMPRODUCT((Task_table_03_2_26!$C$2:$C$596=$B$1)*(A495&gt;Task_table_03_2_26!$J$2:$J$596)*(A495&lt;Task_table_03_2_26!$K$2:$K$596))</f>
        <v>23</v>
      </c>
      <c r="C495" cm="1">
        <f t="array" ref="C495">SUMPRODUCT((Task_table_03_2_26!$C$2:$C$596=$C$1)*(A495&gt;Task_table_03_2_26!$J$2:$J$596)*(A495&lt;Task_table_03_2_26!$K$2:$K$596))</f>
        <v>4</v>
      </c>
      <c r="D495" cm="1">
        <f t="array" ref="D495">SUMPRODUCT((Task_table_03_2_26!$C$2:$C$596=$D$1)*(A495&gt;Task_table_03_2_26!$J$2:$J$596)*(A495&lt;Task_table_03_2_26!$K$2:$K$596))</f>
        <v>0</v>
      </c>
      <c r="E495" cm="1">
        <f t="array" ref="E495">SUMPRODUCT((Task_table_03_2_26!$C$2:$C$596=$E$1)*(A495&gt;Task_table_03_2_26!$J$2:$J$596)*(A495&lt;Task_table_03_2_26!$K$2:$K$596))</f>
        <v>1</v>
      </c>
    </row>
    <row r="496" spans="1:5">
      <c r="A496" s="5">
        <v>46364</v>
      </c>
      <c r="B496" cm="1">
        <f t="array" ref="B496">SUMPRODUCT((Task_table_03_2_26!$C$2:$C$596=$B$1)*(A496&gt;Task_table_03_2_26!$J$2:$J$596)*(A496&lt;Task_table_03_2_26!$K$2:$K$596))</f>
        <v>23</v>
      </c>
      <c r="C496" cm="1">
        <f t="array" ref="C496">SUMPRODUCT((Task_table_03_2_26!$C$2:$C$596=$C$1)*(A496&gt;Task_table_03_2_26!$J$2:$J$596)*(A496&lt;Task_table_03_2_26!$K$2:$K$596))</f>
        <v>4</v>
      </c>
      <c r="D496" cm="1">
        <f t="array" ref="D496">SUMPRODUCT((Task_table_03_2_26!$C$2:$C$596=$D$1)*(A496&gt;Task_table_03_2_26!$J$2:$J$596)*(A496&lt;Task_table_03_2_26!$K$2:$K$596))</f>
        <v>0</v>
      </c>
      <c r="E496" cm="1">
        <f t="array" ref="E496">SUMPRODUCT((Task_table_03_2_26!$C$2:$C$596=$E$1)*(A496&gt;Task_table_03_2_26!$J$2:$J$596)*(A496&lt;Task_table_03_2_26!$K$2:$K$596))</f>
        <v>1</v>
      </c>
    </row>
    <row r="497" spans="1:5">
      <c r="A497" s="5">
        <v>46365</v>
      </c>
      <c r="B497" cm="1">
        <f t="array" ref="B497">SUMPRODUCT((Task_table_03_2_26!$C$2:$C$596=$B$1)*(A497&gt;Task_table_03_2_26!$J$2:$J$596)*(A497&lt;Task_table_03_2_26!$K$2:$K$596))</f>
        <v>23</v>
      </c>
      <c r="C497" cm="1">
        <f t="array" ref="C497">SUMPRODUCT((Task_table_03_2_26!$C$2:$C$596=$C$1)*(A497&gt;Task_table_03_2_26!$J$2:$J$596)*(A497&lt;Task_table_03_2_26!$K$2:$K$596))</f>
        <v>4</v>
      </c>
      <c r="D497" cm="1">
        <f t="array" ref="D497">SUMPRODUCT((Task_table_03_2_26!$C$2:$C$596=$D$1)*(A497&gt;Task_table_03_2_26!$J$2:$J$596)*(A497&lt;Task_table_03_2_26!$K$2:$K$596))</f>
        <v>0</v>
      </c>
      <c r="E497" cm="1">
        <f t="array" ref="E497">SUMPRODUCT((Task_table_03_2_26!$C$2:$C$596=$E$1)*(A497&gt;Task_table_03_2_26!$J$2:$J$596)*(A497&lt;Task_table_03_2_26!$K$2:$K$596))</f>
        <v>1</v>
      </c>
    </row>
    <row r="498" spans="1:5">
      <c r="A498" s="5">
        <v>46366</v>
      </c>
      <c r="B498" cm="1">
        <f t="array" ref="B498">SUMPRODUCT((Task_table_03_2_26!$C$2:$C$596=$B$1)*(A498&gt;Task_table_03_2_26!$J$2:$J$596)*(A498&lt;Task_table_03_2_26!$K$2:$K$596))</f>
        <v>23</v>
      </c>
      <c r="C498" cm="1">
        <f t="array" ref="C498">SUMPRODUCT((Task_table_03_2_26!$C$2:$C$596=$C$1)*(A498&gt;Task_table_03_2_26!$J$2:$J$596)*(A498&lt;Task_table_03_2_26!$K$2:$K$596))</f>
        <v>4</v>
      </c>
      <c r="D498" cm="1">
        <f t="array" ref="D498">SUMPRODUCT((Task_table_03_2_26!$C$2:$C$596=$D$1)*(A498&gt;Task_table_03_2_26!$J$2:$J$596)*(A498&lt;Task_table_03_2_26!$K$2:$K$596))</f>
        <v>0</v>
      </c>
      <c r="E498" cm="1">
        <f t="array" ref="E498">SUMPRODUCT((Task_table_03_2_26!$C$2:$C$596=$E$1)*(A498&gt;Task_table_03_2_26!$J$2:$J$596)*(A498&lt;Task_table_03_2_26!$K$2:$K$596))</f>
        <v>1</v>
      </c>
    </row>
    <row r="499" spans="1:5">
      <c r="A499" s="5">
        <v>46367</v>
      </c>
      <c r="B499" cm="1">
        <f t="array" ref="B499">SUMPRODUCT((Task_table_03_2_26!$C$2:$C$596=$B$1)*(A499&gt;Task_table_03_2_26!$J$2:$J$596)*(A499&lt;Task_table_03_2_26!$K$2:$K$596))</f>
        <v>23</v>
      </c>
      <c r="C499" cm="1">
        <f t="array" ref="C499">SUMPRODUCT((Task_table_03_2_26!$C$2:$C$596=$C$1)*(A499&gt;Task_table_03_2_26!$J$2:$J$596)*(A499&lt;Task_table_03_2_26!$K$2:$K$596))</f>
        <v>4</v>
      </c>
      <c r="D499" cm="1">
        <f t="array" ref="D499">SUMPRODUCT((Task_table_03_2_26!$C$2:$C$596=$D$1)*(A499&gt;Task_table_03_2_26!$J$2:$J$596)*(A499&lt;Task_table_03_2_26!$K$2:$K$596))</f>
        <v>0</v>
      </c>
      <c r="E499" cm="1">
        <f t="array" ref="E499">SUMPRODUCT((Task_table_03_2_26!$C$2:$C$596=$E$1)*(A499&gt;Task_table_03_2_26!$J$2:$J$596)*(A499&lt;Task_table_03_2_26!$K$2:$K$596))</f>
        <v>1</v>
      </c>
    </row>
    <row r="500" spans="1:5">
      <c r="A500" s="5">
        <v>46368</v>
      </c>
      <c r="B500" cm="1">
        <f t="array" ref="B500">SUMPRODUCT((Task_table_03_2_26!$C$2:$C$596=$B$1)*(A500&gt;Task_table_03_2_26!$J$2:$J$596)*(A500&lt;Task_table_03_2_26!$K$2:$K$596))</f>
        <v>23</v>
      </c>
      <c r="C500" cm="1">
        <f t="array" ref="C500">SUMPRODUCT((Task_table_03_2_26!$C$2:$C$596=$C$1)*(A500&gt;Task_table_03_2_26!$J$2:$J$596)*(A500&lt;Task_table_03_2_26!$K$2:$K$596))</f>
        <v>4</v>
      </c>
      <c r="D500" cm="1">
        <f t="array" ref="D500">SUMPRODUCT((Task_table_03_2_26!$C$2:$C$596=$D$1)*(A500&gt;Task_table_03_2_26!$J$2:$J$596)*(A500&lt;Task_table_03_2_26!$K$2:$K$596))</f>
        <v>0</v>
      </c>
      <c r="E500" cm="1">
        <f t="array" ref="E500">SUMPRODUCT((Task_table_03_2_26!$C$2:$C$596=$E$1)*(A500&gt;Task_table_03_2_26!$J$2:$J$596)*(A500&lt;Task_table_03_2_26!$K$2:$K$596))</f>
        <v>1</v>
      </c>
    </row>
    <row r="501" spans="1:5">
      <c r="A501" s="5">
        <v>46369</v>
      </c>
      <c r="B501" cm="1">
        <f t="array" ref="B501">SUMPRODUCT((Task_table_03_2_26!$C$2:$C$596=$B$1)*(A501&gt;Task_table_03_2_26!$J$2:$J$596)*(A501&lt;Task_table_03_2_26!$K$2:$K$596))</f>
        <v>23</v>
      </c>
      <c r="C501" cm="1">
        <f t="array" ref="C501">SUMPRODUCT((Task_table_03_2_26!$C$2:$C$596=$C$1)*(A501&gt;Task_table_03_2_26!$J$2:$J$596)*(A501&lt;Task_table_03_2_26!$K$2:$K$596))</f>
        <v>4</v>
      </c>
      <c r="D501" cm="1">
        <f t="array" ref="D501">SUMPRODUCT((Task_table_03_2_26!$C$2:$C$596=$D$1)*(A501&gt;Task_table_03_2_26!$J$2:$J$596)*(A501&lt;Task_table_03_2_26!$K$2:$K$596))</f>
        <v>0</v>
      </c>
      <c r="E501" cm="1">
        <f t="array" ref="E501">SUMPRODUCT((Task_table_03_2_26!$C$2:$C$596=$E$1)*(A501&gt;Task_table_03_2_26!$J$2:$J$596)*(A501&lt;Task_table_03_2_26!$K$2:$K$596))</f>
        <v>1</v>
      </c>
    </row>
    <row r="502" spans="1:5">
      <c r="A502" s="5">
        <v>46370</v>
      </c>
      <c r="B502" cm="1">
        <f t="array" ref="B502">SUMPRODUCT((Task_table_03_2_26!$C$2:$C$596=$B$1)*(A502&gt;Task_table_03_2_26!$J$2:$J$596)*(A502&lt;Task_table_03_2_26!$K$2:$K$596))</f>
        <v>23</v>
      </c>
      <c r="C502" cm="1">
        <f t="array" ref="C502">SUMPRODUCT((Task_table_03_2_26!$C$2:$C$596=$C$1)*(A502&gt;Task_table_03_2_26!$J$2:$J$596)*(A502&lt;Task_table_03_2_26!$K$2:$K$596))</f>
        <v>4</v>
      </c>
      <c r="D502" cm="1">
        <f t="array" ref="D502">SUMPRODUCT((Task_table_03_2_26!$C$2:$C$596=$D$1)*(A502&gt;Task_table_03_2_26!$J$2:$J$596)*(A502&lt;Task_table_03_2_26!$K$2:$K$596))</f>
        <v>0</v>
      </c>
      <c r="E502" cm="1">
        <f t="array" ref="E502">SUMPRODUCT((Task_table_03_2_26!$C$2:$C$596=$E$1)*(A502&gt;Task_table_03_2_26!$J$2:$J$596)*(A502&lt;Task_table_03_2_26!$K$2:$K$596))</f>
        <v>1</v>
      </c>
    </row>
    <row r="503" spans="1:5">
      <c r="A503" s="5">
        <v>46371</v>
      </c>
      <c r="B503" cm="1">
        <f t="array" ref="B503">SUMPRODUCT((Task_table_03_2_26!$C$2:$C$596=$B$1)*(A503&gt;Task_table_03_2_26!$J$2:$J$596)*(A503&lt;Task_table_03_2_26!$K$2:$K$596))</f>
        <v>23</v>
      </c>
      <c r="C503" cm="1">
        <f t="array" ref="C503">SUMPRODUCT((Task_table_03_2_26!$C$2:$C$596=$C$1)*(A503&gt;Task_table_03_2_26!$J$2:$J$596)*(A503&lt;Task_table_03_2_26!$K$2:$K$596))</f>
        <v>4</v>
      </c>
      <c r="D503" cm="1">
        <f t="array" ref="D503">SUMPRODUCT((Task_table_03_2_26!$C$2:$C$596=$D$1)*(A503&gt;Task_table_03_2_26!$J$2:$J$596)*(A503&lt;Task_table_03_2_26!$K$2:$K$596))</f>
        <v>0</v>
      </c>
      <c r="E503" cm="1">
        <f t="array" ref="E503">SUMPRODUCT((Task_table_03_2_26!$C$2:$C$596=$E$1)*(A503&gt;Task_table_03_2_26!$J$2:$J$596)*(A503&lt;Task_table_03_2_26!$K$2:$K$596))</f>
        <v>1</v>
      </c>
    </row>
    <row r="504" spans="1:5">
      <c r="A504" s="5">
        <v>46372</v>
      </c>
      <c r="B504" cm="1">
        <f t="array" ref="B504">SUMPRODUCT((Task_table_03_2_26!$C$2:$C$596=$B$1)*(A504&gt;Task_table_03_2_26!$J$2:$J$596)*(A504&lt;Task_table_03_2_26!$K$2:$K$596))</f>
        <v>23</v>
      </c>
      <c r="C504" cm="1">
        <f t="array" ref="C504">SUMPRODUCT((Task_table_03_2_26!$C$2:$C$596=$C$1)*(A504&gt;Task_table_03_2_26!$J$2:$J$596)*(A504&lt;Task_table_03_2_26!$K$2:$K$596))</f>
        <v>4</v>
      </c>
      <c r="D504" cm="1">
        <f t="array" ref="D504">SUMPRODUCT((Task_table_03_2_26!$C$2:$C$596=$D$1)*(A504&gt;Task_table_03_2_26!$J$2:$J$596)*(A504&lt;Task_table_03_2_26!$K$2:$K$596))</f>
        <v>0</v>
      </c>
      <c r="E504" cm="1">
        <f t="array" ref="E504">SUMPRODUCT((Task_table_03_2_26!$C$2:$C$596=$E$1)*(A504&gt;Task_table_03_2_26!$J$2:$J$596)*(A504&lt;Task_table_03_2_26!$K$2:$K$596))</f>
        <v>1</v>
      </c>
    </row>
    <row r="505" spans="1:5">
      <c r="A505" s="5">
        <v>46373</v>
      </c>
      <c r="B505" cm="1">
        <f t="array" ref="B505">SUMPRODUCT((Task_table_03_2_26!$C$2:$C$596=$B$1)*(A505&gt;Task_table_03_2_26!$J$2:$J$596)*(A505&lt;Task_table_03_2_26!$K$2:$K$596))</f>
        <v>23</v>
      </c>
      <c r="C505" cm="1">
        <f t="array" ref="C505">SUMPRODUCT((Task_table_03_2_26!$C$2:$C$596=$C$1)*(A505&gt;Task_table_03_2_26!$J$2:$J$596)*(A505&lt;Task_table_03_2_26!$K$2:$K$596))</f>
        <v>4</v>
      </c>
      <c r="D505" cm="1">
        <f t="array" ref="D505">SUMPRODUCT((Task_table_03_2_26!$C$2:$C$596=$D$1)*(A505&gt;Task_table_03_2_26!$J$2:$J$596)*(A505&lt;Task_table_03_2_26!$K$2:$K$596))</f>
        <v>0</v>
      </c>
      <c r="E505" cm="1">
        <f t="array" ref="E505">SUMPRODUCT((Task_table_03_2_26!$C$2:$C$596=$E$1)*(A505&gt;Task_table_03_2_26!$J$2:$J$596)*(A505&lt;Task_table_03_2_26!$K$2:$K$596))</f>
        <v>1</v>
      </c>
    </row>
    <row r="506" spans="1:5">
      <c r="A506" s="5">
        <v>46374</v>
      </c>
      <c r="B506" cm="1">
        <f t="array" ref="B506">SUMPRODUCT((Task_table_03_2_26!$C$2:$C$596=$B$1)*(A506&gt;Task_table_03_2_26!$J$2:$J$596)*(A506&lt;Task_table_03_2_26!$K$2:$K$596))</f>
        <v>23</v>
      </c>
      <c r="C506" cm="1">
        <f t="array" ref="C506">SUMPRODUCT((Task_table_03_2_26!$C$2:$C$596=$C$1)*(A506&gt;Task_table_03_2_26!$J$2:$J$596)*(A506&lt;Task_table_03_2_26!$K$2:$K$596))</f>
        <v>4</v>
      </c>
      <c r="D506" cm="1">
        <f t="array" ref="D506">SUMPRODUCT((Task_table_03_2_26!$C$2:$C$596=$D$1)*(A506&gt;Task_table_03_2_26!$J$2:$J$596)*(A506&lt;Task_table_03_2_26!$K$2:$K$596))</f>
        <v>0</v>
      </c>
      <c r="E506" cm="1">
        <f t="array" ref="E506">SUMPRODUCT((Task_table_03_2_26!$C$2:$C$596=$E$1)*(A506&gt;Task_table_03_2_26!$J$2:$J$596)*(A506&lt;Task_table_03_2_26!$K$2:$K$596))</f>
        <v>1</v>
      </c>
    </row>
    <row r="507" spans="1:5">
      <c r="A507" s="5">
        <v>46375</v>
      </c>
      <c r="B507" cm="1">
        <f t="array" ref="B507">SUMPRODUCT((Task_table_03_2_26!$C$2:$C$596=$B$1)*(A507&gt;Task_table_03_2_26!$J$2:$J$596)*(A507&lt;Task_table_03_2_26!$K$2:$K$596))</f>
        <v>23</v>
      </c>
      <c r="C507" cm="1">
        <f t="array" ref="C507">SUMPRODUCT((Task_table_03_2_26!$C$2:$C$596=$C$1)*(A507&gt;Task_table_03_2_26!$J$2:$J$596)*(A507&lt;Task_table_03_2_26!$K$2:$K$596))</f>
        <v>4</v>
      </c>
      <c r="D507" cm="1">
        <f t="array" ref="D507">SUMPRODUCT((Task_table_03_2_26!$C$2:$C$596=$D$1)*(A507&gt;Task_table_03_2_26!$J$2:$J$596)*(A507&lt;Task_table_03_2_26!$K$2:$K$596))</f>
        <v>0</v>
      </c>
      <c r="E507" cm="1">
        <f t="array" ref="E507">SUMPRODUCT((Task_table_03_2_26!$C$2:$C$596=$E$1)*(A507&gt;Task_table_03_2_26!$J$2:$J$596)*(A507&lt;Task_table_03_2_26!$K$2:$K$596))</f>
        <v>1</v>
      </c>
    </row>
    <row r="508" spans="1:5">
      <c r="A508" s="5">
        <v>46376</v>
      </c>
      <c r="B508" cm="1">
        <f t="array" ref="B508">SUMPRODUCT((Task_table_03_2_26!$C$2:$C$596=$B$1)*(A508&gt;Task_table_03_2_26!$J$2:$J$596)*(A508&lt;Task_table_03_2_26!$K$2:$K$596))</f>
        <v>23</v>
      </c>
      <c r="C508" cm="1">
        <f t="array" ref="C508">SUMPRODUCT((Task_table_03_2_26!$C$2:$C$596=$C$1)*(A508&gt;Task_table_03_2_26!$J$2:$J$596)*(A508&lt;Task_table_03_2_26!$K$2:$K$596))</f>
        <v>4</v>
      </c>
      <c r="D508" cm="1">
        <f t="array" ref="D508">SUMPRODUCT((Task_table_03_2_26!$C$2:$C$596=$D$1)*(A508&gt;Task_table_03_2_26!$J$2:$J$596)*(A508&lt;Task_table_03_2_26!$K$2:$K$596))</f>
        <v>0</v>
      </c>
      <c r="E508" cm="1">
        <f t="array" ref="E508">SUMPRODUCT((Task_table_03_2_26!$C$2:$C$596=$E$1)*(A508&gt;Task_table_03_2_26!$J$2:$J$596)*(A508&lt;Task_table_03_2_26!$K$2:$K$596))</f>
        <v>1</v>
      </c>
    </row>
    <row r="509" spans="1:5">
      <c r="A509" s="5">
        <v>46377</v>
      </c>
      <c r="B509" cm="1">
        <f t="array" ref="B509">SUMPRODUCT((Task_table_03_2_26!$C$2:$C$596=$B$1)*(A509&gt;Task_table_03_2_26!$J$2:$J$596)*(A509&lt;Task_table_03_2_26!$K$2:$K$596))</f>
        <v>23</v>
      </c>
      <c r="C509" cm="1">
        <f t="array" ref="C509">SUMPRODUCT((Task_table_03_2_26!$C$2:$C$596=$C$1)*(A509&gt;Task_table_03_2_26!$J$2:$J$596)*(A509&lt;Task_table_03_2_26!$K$2:$K$596))</f>
        <v>4</v>
      </c>
      <c r="D509" cm="1">
        <f t="array" ref="D509">SUMPRODUCT((Task_table_03_2_26!$C$2:$C$596=$D$1)*(A509&gt;Task_table_03_2_26!$J$2:$J$596)*(A509&lt;Task_table_03_2_26!$K$2:$K$596))</f>
        <v>0</v>
      </c>
      <c r="E509" cm="1">
        <f t="array" ref="E509">SUMPRODUCT((Task_table_03_2_26!$C$2:$C$596=$E$1)*(A509&gt;Task_table_03_2_26!$J$2:$J$596)*(A509&lt;Task_table_03_2_26!$K$2:$K$596))</f>
        <v>1</v>
      </c>
    </row>
    <row r="510" spans="1:5">
      <c r="A510" s="5">
        <v>46378</v>
      </c>
      <c r="B510" cm="1">
        <f t="array" ref="B510">SUMPRODUCT((Task_table_03_2_26!$C$2:$C$596=$B$1)*(A510&gt;Task_table_03_2_26!$J$2:$J$596)*(A510&lt;Task_table_03_2_26!$K$2:$K$596))</f>
        <v>23</v>
      </c>
      <c r="C510" cm="1">
        <f t="array" ref="C510">SUMPRODUCT((Task_table_03_2_26!$C$2:$C$596=$C$1)*(A510&gt;Task_table_03_2_26!$J$2:$J$596)*(A510&lt;Task_table_03_2_26!$K$2:$K$596))</f>
        <v>4</v>
      </c>
      <c r="D510" cm="1">
        <f t="array" ref="D510">SUMPRODUCT((Task_table_03_2_26!$C$2:$C$596=$D$1)*(A510&gt;Task_table_03_2_26!$J$2:$J$596)*(A510&lt;Task_table_03_2_26!$K$2:$K$596))</f>
        <v>0</v>
      </c>
      <c r="E510" cm="1">
        <f t="array" ref="E510">SUMPRODUCT((Task_table_03_2_26!$C$2:$C$596=$E$1)*(A510&gt;Task_table_03_2_26!$J$2:$J$596)*(A510&lt;Task_table_03_2_26!$K$2:$K$596))</f>
        <v>1</v>
      </c>
    </row>
    <row r="511" spans="1:5">
      <c r="A511" s="5">
        <v>46379</v>
      </c>
      <c r="B511" cm="1">
        <f t="array" ref="B511">SUMPRODUCT((Task_table_03_2_26!$C$2:$C$596=$B$1)*(A511&gt;Task_table_03_2_26!$J$2:$J$596)*(A511&lt;Task_table_03_2_26!$K$2:$K$596))</f>
        <v>23</v>
      </c>
      <c r="C511" cm="1">
        <f t="array" ref="C511">SUMPRODUCT((Task_table_03_2_26!$C$2:$C$596=$C$1)*(A511&gt;Task_table_03_2_26!$J$2:$J$596)*(A511&lt;Task_table_03_2_26!$K$2:$K$596))</f>
        <v>3</v>
      </c>
      <c r="D511" cm="1">
        <f t="array" ref="D511">SUMPRODUCT((Task_table_03_2_26!$C$2:$C$596=$D$1)*(A511&gt;Task_table_03_2_26!$J$2:$J$596)*(A511&lt;Task_table_03_2_26!$K$2:$K$596))</f>
        <v>0</v>
      </c>
      <c r="E511" cm="1">
        <f t="array" ref="E511">SUMPRODUCT((Task_table_03_2_26!$C$2:$C$596=$E$1)*(A511&gt;Task_table_03_2_26!$J$2:$J$596)*(A511&lt;Task_table_03_2_26!$K$2:$K$596))</f>
        <v>1</v>
      </c>
    </row>
    <row r="512" spans="1:5">
      <c r="A512" s="5">
        <v>46380</v>
      </c>
      <c r="B512" cm="1">
        <f t="array" ref="B512">SUMPRODUCT((Task_table_03_2_26!$C$2:$C$596=$B$1)*(A512&gt;Task_table_03_2_26!$J$2:$J$596)*(A512&lt;Task_table_03_2_26!$K$2:$K$596))</f>
        <v>23</v>
      </c>
      <c r="C512" cm="1">
        <f t="array" ref="C512">SUMPRODUCT((Task_table_03_2_26!$C$2:$C$596=$C$1)*(A512&gt;Task_table_03_2_26!$J$2:$J$596)*(A512&lt;Task_table_03_2_26!$K$2:$K$596))</f>
        <v>3</v>
      </c>
      <c r="D512" cm="1">
        <f t="array" ref="D512">SUMPRODUCT((Task_table_03_2_26!$C$2:$C$596=$D$1)*(A512&gt;Task_table_03_2_26!$J$2:$J$596)*(A512&lt;Task_table_03_2_26!$K$2:$K$596))</f>
        <v>0</v>
      </c>
      <c r="E512" cm="1">
        <f t="array" ref="E512">SUMPRODUCT((Task_table_03_2_26!$C$2:$C$596=$E$1)*(A512&gt;Task_table_03_2_26!$J$2:$J$596)*(A512&lt;Task_table_03_2_26!$K$2:$K$596))</f>
        <v>1</v>
      </c>
    </row>
    <row r="513" spans="1:5">
      <c r="A513" s="5">
        <v>46381</v>
      </c>
      <c r="B513" cm="1">
        <f t="array" ref="B513">SUMPRODUCT((Task_table_03_2_26!$C$2:$C$596=$B$1)*(A513&gt;Task_table_03_2_26!$J$2:$J$596)*(A513&lt;Task_table_03_2_26!$K$2:$K$596))</f>
        <v>23</v>
      </c>
      <c r="C513" cm="1">
        <f t="array" ref="C513">SUMPRODUCT((Task_table_03_2_26!$C$2:$C$596=$C$1)*(A513&gt;Task_table_03_2_26!$J$2:$J$596)*(A513&lt;Task_table_03_2_26!$K$2:$K$596))</f>
        <v>3</v>
      </c>
      <c r="D513" cm="1">
        <f t="array" ref="D513">SUMPRODUCT((Task_table_03_2_26!$C$2:$C$596=$D$1)*(A513&gt;Task_table_03_2_26!$J$2:$J$596)*(A513&lt;Task_table_03_2_26!$K$2:$K$596))</f>
        <v>0</v>
      </c>
      <c r="E513" cm="1">
        <f t="array" ref="E513">SUMPRODUCT((Task_table_03_2_26!$C$2:$C$596=$E$1)*(A513&gt;Task_table_03_2_26!$J$2:$J$596)*(A513&lt;Task_table_03_2_26!$K$2:$K$596))</f>
        <v>1</v>
      </c>
    </row>
    <row r="514" spans="1:5">
      <c r="A514" s="5">
        <v>46382</v>
      </c>
      <c r="B514" cm="1">
        <f t="array" ref="B514">SUMPRODUCT((Task_table_03_2_26!$C$2:$C$596=$B$1)*(A514&gt;Task_table_03_2_26!$J$2:$J$596)*(A514&lt;Task_table_03_2_26!$K$2:$K$596))</f>
        <v>23</v>
      </c>
      <c r="C514" cm="1">
        <f t="array" ref="C514">SUMPRODUCT((Task_table_03_2_26!$C$2:$C$596=$C$1)*(A514&gt;Task_table_03_2_26!$J$2:$J$596)*(A514&lt;Task_table_03_2_26!$K$2:$K$596))</f>
        <v>3</v>
      </c>
      <c r="D514" cm="1">
        <f t="array" ref="D514">SUMPRODUCT((Task_table_03_2_26!$C$2:$C$596=$D$1)*(A514&gt;Task_table_03_2_26!$J$2:$J$596)*(A514&lt;Task_table_03_2_26!$K$2:$K$596))</f>
        <v>0</v>
      </c>
      <c r="E514" cm="1">
        <f t="array" ref="E514">SUMPRODUCT((Task_table_03_2_26!$C$2:$C$596=$E$1)*(A514&gt;Task_table_03_2_26!$J$2:$J$596)*(A514&lt;Task_table_03_2_26!$K$2:$K$596))</f>
        <v>1</v>
      </c>
    </row>
    <row r="515" spans="1:5">
      <c r="A515" s="5">
        <v>46383</v>
      </c>
      <c r="B515" cm="1">
        <f t="array" ref="B515">SUMPRODUCT((Task_table_03_2_26!$C$2:$C$596=$B$1)*(A515&gt;Task_table_03_2_26!$J$2:$J$596)*(A515&lt;Task_table_03_2_26!$K$2:$K$596))</f>
        <v>23</v>
      </c>
      <c r="C515" cm="1">
        <f t="array" ref="C515">SUMPRODUCT((Task_table_03_2_26!$C$2:$C$596=$C$1)*(A515&gt;Task_table_03_2_26!$J$2:$J$596)*(A515&lt;Task_table_03_2_26!$K$2:$K$596))</f>
        <v>3</v>
      </c>
      <c r="D515" cm="1">
        <f t="array" ref="D515">SUMPRODUCT((Task_table_03_2_26!$C$2:$C$596=$D$1)*(A515&gt;Task_table_03_2_26!$J$2:$J$596)*(A515&lt;Task_table_03_2_26!$K$2:$K$596))</f>
        <v>0</v>
      </c>
      <c r="E515" cm="1">
        <f t="array" ref="E515">SUMPRODUCT((Task_table_03_2_26!$C$2:$C$596=$E$1)*(A515&gt;Task_table_03_2_26!$J$2:$J$596)*(A515&lt;Task_table_03_2_26!$K$2:$K$596))</f>
        <v>1</v>
      </c>
    </row>
    <row r="516" spans="1:5">
      <c r="A516" s="5">
        <v>46384</v>
      </c>
      <c r="B516" cm="1">
        <f t="array" ref="B516">SUMPRODUCT((Task_table_03_2_26!$C$2:$C$596=$B$1)*(A516&gt;Task_table_03_2_26!$J$2:$J$596)*(A516&lt;Task_table_03_2_26!$K$2:$K$596))</f>
        <v>23</v>
      </c>
      <c r="C516" cm="1">
        <f t="array" ref="C516">SUMPRODUCT((Task_table_03_2_26!$C$2:$C$596=$C$1)*(A516&gt;Task_table_03_2_26!$J$2:$J$596)*(A516&lt;Task_table_03_2_26!$K$2:$K$596))</f>
        <v>3</v>
      </c>
      <c r="D516" cm="1">
        <f t="array" ref="D516">SUMPRODUCT((Task_table_03_2_26!$C$2:$C$596=$D$1)*(A516&gt;Task_table_03_2_26!$J$2:$J$596)*(A516&lt;Task_table_03_2_26!$K$2:$K$596))</f>
        <v>0</v>
      </c>
      <c r="E516" cm="1">
        <f t="array" ref="E516">SUMPRODUCT((Task_table_03_2_26!$C$2:$C$596=$E$1)*(A516&gt;Task_table_03_2_26!$J$2:$J$596)*(A516&lt;Task_table_03_2_26!$K$2:$K$596))</f>
        <v>1</v>
      </c>
    </row>
    <row r="517" spans="1:5">
      <c r="A517" s="5">
        <v>46385</v>
      </c>
      <c r="B517" cm="1">
        <f t="array" ref="B517">SUMPRODUCT((Task_table_03_2_26!$C$2:$C$596=$B$1)*(A517&gt;Task_table_03_2_26!$J$2:$J$596)*(A517&lt;Task_table_03_2_26!$K$2:$K$596))</f>
        <v>23</v>
      </c>
      <c r="C517" cm="1">
        <f t="array" ref="C517">SUMPRODUCT((Task_table_03_2_26!$C$2:$C$596=$C$1)*(A517&gt;Task_table_03_2_26!$J$2:$J$596)*(A517&lt;Task_table_03_2_26!$K$2:$K$596))</f>
        <v>3</v>
      </c>
      <c r="D517" cm="1">
        <f t="array" ref="D517">SUMPRODUCT((Task_table_03_2_26!$C$2:$C$596=$D$1)*(A517&gt;Task_table_03_2_26!$J$2:$J$596)*(A517&lt;Task_table_03_2_26!$K$2:$K$596))</f>
        <v>0</v>
      </c>
      <c r="E517" cm="1">
        <f t="array" ref="E517">SUMPRODUCT((Task_table_03_2_26!$C$2:$C$596=$E$1)*(A517&gt;Task_table_03_2_26!$J$2:$J$596)*(A517&lt;Task_table_03_2_26!$K$2:$K$596))</f>
        <v>1</v>
      </c>
    </row>
    <row r="518" spans="1:5">
      <c r="A518" s="5">
        <v>46386</v>
      </c>
      <c r="B518" cm="1">
        <f t="array" ref="B518">SUMPRODUCT((Task_table_03_2_26!$C$2:$C$596=$B$1)*(A518&gt;Task_table_03_2_26!$J$2:$J$596)*(A518&lt;Task_table_03_2_26!$K$2:$K$596))</f>
        <v>23</v>
      </c>
      <c r="C518" cm="1">
        <f t="array" ref="C518">SUMPRODUCT((Task_table_03_2_26!$C$2:$C$596=$C$1)*(A518&gt;Task_table_03_2_26!$J$2:$J$596)*(A518&lt;Task_table_03_2_26!$K$2:$K$596))</f>
        <v>3</v>
      </c>
      <c r="D518" cm="1">
        <f t="array" ref="D518">SUMPRODUCT((Task_table_03_2_26!$C$2:$C$596=$D$1)*(A518&gt;Task_table_03_2_26!$J$2:$J$596)*(A518&lt;Task_table_03_2_26!$K$2:$K$596))</f>
        <v>0</v>
      </c>
      <c r="E518" cm="1">
        <f t="array" ref="E518">SUMPRODUCT((Task_table_03_2_26!$C$2:$C$596=$E$1)*(A518&gt;Task_table_03_2_26!$J$2:$J$596)*(A518&lt;Task_table_03_2_26!$K$2:$K$596))</f>
        <v>1</v>
      </c>
    </row>
    <row r="519" spans="1:5">
      <c r="A519" s="5">
        <v>46387</v>
      </c>
      <c r="B519" cm="1">
        <f t="array" ref="B519">SUMPRODUCT((Task_table_03_2_26!$C$2:$C$596=$B$1)*(A519&gt;Task_table_03_2_26!$J$2:$J$596)*(A519&lt;Task_table_03_2_26!$K$2:$K$596))</f>
        <v>22</v>
      </c>
      <c r="C519" cm="1">
        <f t="array" ref="C519">SUMPRODUCT((Task_table_03_2_26!$C$2:$C$596=$C$1)*(A519&gt;Task_table_03_2_26!$J$2:$J$596)*(A519&lt;Task_table_03_2_26!$K$2:$K$596))</f>
        <v>0</v>
      </c>
      <c r="D519" cm="1">
        <f t="array" ref="D519">SUMPRODUCT((Task_table_03_2_26!$C$2:$C$596=$D$1)*(A519&gt;Task_table_03_2_26!$J$2:$J$596)*(A519&lt;Task_table_03_2_26!$K$2:$K$596))</f>
        <v>0</v>
      </c>
      <c r="E519" cm="1">
        <f t="array" ref="E519">SUMPRODUCT((Task_table_03_2_26!$C$2:$C$596=$E$1)*(A519&gt;Task_table_03_2_26!$J$2:$J$596)*(A519&lt;Task_table_03_2_26!$K$2:$K$596))</f>
        <v>1</v>
      </c>
    </row>
    <row r="520" spans="1:5">
      <c r="A520" s="5">
        <v>46388</v>
      </c>
      <c r="B520" cm="1">
        <f t="array" ref="B520">SUMPRODUCT((Task_table_03_2_26!$C$2:$C$596=$B$1)*(A520&gt;Task_table_03_2_26!$J$2:$J$596)*(A520&lt;Task_table_03_2_26!$K$2:$K$596))</f>
        <v>22</v>
      </c>
      <c r="C520" cm="1">
        <f t="array" ref="C520">SUMPRODUCT((Task_table_03_2_26!$C$2:$C$596=$C$1)*(A520&gt;Task_table_03_2_26!$J$2:$J$596)*(A520&lt;Task_table_03_2_26!$K$2:$K$596))</f>
        <v>0</v>
      </c>
      <c r="D520" cm="1">
        <f t="array" ref="D520">SUMPRODUCT((Task_table_03_2_26!$C$2:$C$596=$D$1)*(A520&gt;Task_table_03_2_26!$J$2:$J$596)*(A520&lt;Task_table_03_2_26!$K$2:$K$596))</f>
        <v>0</v>
      </c>
      <c r="E520" cm="1">
        <f t="array" ref="E520">SUMPRODUCT((Task_table_03_2_26!$C$2:$C$596=$E$1)*(A520&gt;Task_table_03_2_26!$J$2:$J$596)*(A520&lt;Task_table_03_2_26!$K$2:$K$596))</f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7A58F-6939-403E-9A53-B2372F446FC1}">
  <dimension ref="A1:S591"/>
  <sheetViews>
    <sheetView topLeftCell="G1" zoomScale="69" zoomScaleNormal="100" workbookViewId="0">
      <selection activeCell="J3" sqref="J3"/>
    </sheetView>
  </sheetViews>
  <sheetFormatPr defaultColWidth="11.42578125" defaultRowHeight="15"/>
  <cols>
    <col min="1" max="1" width="23.7109375" bestFit="1" customWidth="1"/>
    <col min="2" max="2" width="75.85546875" bestFit="1" customWidth="1"/>
    <col min="3" max="3" width="18.140625" bestFit="1" customWidth="1"/>
    <col min="4" max="4" width="12.5703125" bestFit="1" customWidth="1"/>
    <col min="5" max="5" width="13.85546875" bestFit="1" customWidth="1"/>
    <col min="6" max="6" width="20.42578125" bestFit="1" customWidth="1"/>
    <col min="7" max="7" width="69.7109375" bestFit="1" customWidth="1"/>
    <col min="8" max="8" width="22.85546875" bestFit="1" customWidth="1"/>
    <col min="9" max="9" width="30.85546875" bestFit="1" customWidth="1"/>
    <col min="10" max="11" width="10.85546875" style="5" bestFit="1" customWidth="1"/>
    <col min="12" max="12" width="8.5703125" style="67" bestFit="1" customWidth="1"/>
    <col min="13" max="13" width="19.42578125" style="5" bestFit="1" customWidth="1"/>
    <col min="14" max="14" width="20.140625" bestFit="1" customWidth="1"/>
    <col min="15" max="15" width="22.7109375" bestFit="1" customWidth="1"/>
    <col min="16" max="16" width="44.5703125" bestFit="1" customWidth="1"/>
    <col min="18" max="18" width="20.42578125" bestFit="1" customWidth="1"/>
    <col min="19" max="19" width="9.85546875" bestFit="1" customWidth="1"/>
  </cols>
  <sheetData>
    <row r="1" spans="1:19">
      <c r="A1" s="43" t="s">
        <v>205</v>
      </c>
      <c r="B1" s="43" t="s">
        <v>206</v>
      </c>
      <c r="C1" s="43" t="s">
        <v>2</v>
      </c>
      <c r="D1" s="43" t="s">
        <v>3</v>
      </c>
      <c r="E1" s="43" t="s">
        <v>207</v>
      </c>
      <c r="F1" s="43" t="s">
        <v>460</v>
      </c>
      <c r="G1" s="43" t="s">
        <v>209</v>
      </c>
      <c r="H1" s="43" t="s">
        <v>461</v>
      </c>
      <c r="I1" s="43" t="s">
        <v>210</v>
      </c>
      <c r="J1" s="57" t="s">
        <v>462</v>
      </c>
      <c r="K1" s="57" t="s">
        <v>463</v>
      </c>
      <c r="L1" s="62" t="s">
        <v>464</v>
      </c>
      <c r="M1" s="57" t="s">
        <v>465</v>
      </c>
      <c r="N1" s="43" t="s">
        <v>213</v>
      </c>
      <c r="O1" s="43" t="s">
        <v>14</v>
      </c>
      <c r="P1" s="43" t="s">
        <v>214</v>
      </c>
      <c r="R1" s="89" t="s">
        <v>466</v>
      </c>
      <c r="S1" s="89"/>
    </row>
    <row r="2" spans="1:19">
      <c r="A2" s="46" t="s">
        <v>16</v>
      </c>
      <c r="B2" s="47" t="s">
        <v>215</v>
      </c>
      <c r="C2" s="47" t="s">
        <v>18</v>
      </c>
      <c r="D2" s="47" t="s">
        <v>19</v>
      </c>
      <c r="E2" s="47" t="s">
        <v>20</v>
      </c>
      <c r="F2" s="48">
        <v>0.5</v>
      </c>
      <c r="G2" s="49"/>
      <c r="H2" s="49"/>
      <c r="I2" s="49"/>
      <c r="J2" s="68">
        <v>46055</v>
      </c>
      <c r="K2" s="68">
        <v>46232</v>
      </c>
      <c r="L2" s="63">
        <v>128</v>
      </c>
      <c r="M2" s="58" t="s">
        <v>467</v>
      </c>
      <c r="N2" s="49"/>
      <c r="O2" s="47">
        <v>1</v>
      </c>
      <c r="P2" s="47" t="s">
        <v>17</v>
      </c>
      <c r="R2" s="71" t="s">
        <v>468</v>
      </c>
      <c r="S2" s="72">
        <v>39</v>
      </c>
    </row>
    <row r="3" spans="1:19">
      <c r="A3" s="50" t="s">
        <v>16</v>
      </c>
      <c r="B3" s="51" t="s">
        <v>216</v>
      </c>
      <c r="C3" s="51" t="s">
        <v>22</v>
      </c>
      <c r="D3" s="51" t="s">
        <v>19</v>
      </c>
      <c r="E3" s="51" t="s">
        <v>20</v>
      </c>
      <c r="F3" s="52">
        <v>0.5</v>
      </c>
      <c r="G3" s="51" t="s">
        <v>469</v>
      </c>
      <c r="H3" s="51" t="s">
        <v>24</v>
      </c>
      <c r="I3" s="51" t="s">
        <v>25</v>
      </c>
      <c r="J3" s="69">
        <v>46055</v>
      </c>
      <c r="K3" s="68">
        <v>46142</v>
      </c>
      <c r="L3" s="64">
        <v>64</v>
      </c>
      <c r="M3" s="59" t="s">
        <v>470</v>
      </c>
      <c r="N3" s="51" t="s">
        <v>26</v>
      </c>
      <c r="O3" s="51" t="s">
        <v>26</v>
      </c>
      <c r="P3" s="51" t="s">
        <v>17</v>
      </c>
    </row>
    <row r="4" spans="1:19">
      <c r="A4" s="50" t="s">
        <v>16</v>
      </c>
      <c r="B4" s="51" t="s">
        <v>216</v>
      </c>
      <c r="C4" s="51" t="s">
        <v>28</v>
      </c>
      <c r="D4" s="51" t="s">
        <v>19</v>
      </c>
      <c r="E4" s="51" t="s">
        <v>20</v>
      </c>
      <c r="F4" s="52">
        <v>0</v>
      </c>
      <c r="G4" s="49"/>
      <c r="H4" s="49"/>
      <c r="I4" s="49"/>
      <c r="J4" s="68">
        <v>46156</v>
      </c>
      <c r="K4" s="68">
        <v>46232</v>
      </c>
      <c r="L4" s="64">
        <v>55</v>
      </c>
      <c r="M4" s="59" t="s">
        <v>470</v>
      </c>
      <c r="N4" s="49"/>
      <c r="O4" s="51" t="s">
        <v>27</v>
      </c>
      <c r="P4" s="51" t="s">
        <v>17</v>
      </c>
    </row>
    <row r="5" spans="1:19">
      <c r="A5" s="50" t="s">
        <v>16</v>
      </c>
      <c r="B5" s="51" t="s">
        <v>216</v>
      </c>
      <c r="C5" s="51" t="s">
        <v>29</v>
      </c>
      <c r="D5" s="51" t="s">
        <v>19</v>
      </c>
      <c r="E5" s="51" t="s">
        <v>20</v>
      </c>
      <c r="F5" s="52">
        <v>0</v>
      </c>
      <c r="G5" s="49"/>
      <c r="H5" s="49"/>
      <c r="I5" s="49"/>
      <c r="J5" s="69" t="s">
        <v>229</v>
      </c>
      <c r="K5" s="70" t="s">
        <v>229</v>
      </c>
      <c r="L5" s="64">
        <v>0</v>
      </c>
      <c r="M5" s="59" t="s">
        <v>470</v>
      </c>
      <c r="N5" s="49"/>
      <c r="O5" s="49"/>
      <c r="P5" s="51" t="s">
        <v>17</v>
      </c>
    </row>
    <row r="6" spans="1:19">
      <c r="A6" s="50" t="s">
        <v>16</v>
      </c>
      <c r="B6" s="51" t="s">
        <v>216</v>
      </c>
      <c r="C6" s="51" t="s">
        <v>30</v>
      </c>
      <c r="D6" s="51" t="s">
        <v>19</v>
      </c>
      <c r="E6" s="51" t="s">
        <v>20</v>
      </c>
      <c r="F6" s="52">
        <v>0</v>
      </c>
      <c r="G6" s="49"/>
      <c r="H6" s="49"/>
      <c r="I6" s="49"/>
      <c r="J6" s="69" t="s">
        <v>229</v>
      </c>
      <c r="K6" s="70" t="s">
        <v>229</v>
      </c>
      <c r="L6" s="64">
        <v>0</v>
      </c>
      <c r="M6" s="59" t="s">
        <v>470</v>
      </c>
      <c r="N6" s="49"/>
      <c r="O6" s="49"/>
      <c r="P6" s="51" t="s">
        <v>17</v>
      </c>
    </row>
    <row r="7" spans="1:19">
      <c r="A7" s="53" t="s">
        <v>16</v>
      </c>
      <c r="B7" s="47" t="s">
        <v>217</v>
      </c>
      <c r="C7" s="47" t="s">
        <v>18</v>
      </c>
      <c r="D7" s="47" t="s">
        <v>19</v>
      </c>
      <c r="E7" s="47" t="s">
        <v>20</v>
      </c>
      <c r="F7" s="48">
        <v>0.5</v>
      </c>
      <c r="G7" s="49"/>
      <c r="H7" s="49"/>
      <c r="I7" s="49"/>
      <c r="J7" s="68">
        <v>46029</v>
      </c>
      <c r="K7" s="68">
        <v>46265</v>
      </c>
      <c r="L7" s="63">
        <v>169</v>
      </c>
      <c r="M7" s="58" t="s">
        <v>470</v>
      </c>
      <c r="N7" s="49"/>
      <c r="O7" s="49"/>
      <c r="P7" s="47" t="s">
        <v>31</v>
      </c>
    </row>
    <row r="8" spans="1:19">
      <c r="A8" s="50" t="s">
        <v>16</v>
      </c>
      <c r="B8" s="51" t="s">
        <v>218</v>
      </c>
      <c r="C8" s="51" t="s">
        <v>22</v>
      </c>
      <c r="D8" s="51" t="s">
        <v>19</v>
      </c>
      <c r="E8" s="51" t="s">
        <v>20</v>
      </c>
      <c r="F8" s="52">
        <v>0.5</v>
      </c>
      <c r="G8" s="51" t="s">
        <v>471</v>
      </c>
      <c r="H8" s="51" t="s">
        <v>24</v>
      </c>
      <c r="I8" s="51" t="s">
        <v>25</v>
      </c>
      <c r="J8" s="69">
        <v>46097</v>
      </c>
      <c r="K8" s="68">
        <v>46163</v>
      </c>
      <c r="L8" s="64">
        <v>49</v>
      </c>
      <c r="M8" s="59" t="s">
        <v>470</v>
      </c>
      <c r="N8" s="51" t="s">
        <v>26</v>
      </c>
      <c r="O8" s="51" t="s">
        <v>26</v>
      </c>
      <c r="P8" s="51" t="s">
        <v>31</v>
      </c>
    </row>
    <row r="9" spans="1:19">
      <c r="A9" s="50" t="s">
        <v>16</v>
      </c>
      <c r="B9" s="51" t="s">
        <v>218</v>
      </c>
      <c r="C9" s="51" t="s">
        <v>28</v>
      </c>
      <c r="D9" s="51" t="s">
        <v>19</v>
      </c>
      <c r="E9" s="51" t="s">
        <v>20</v>
      </c>
      <c r="F9" s="52">
        <v>0</v>
      </c>
      <c r="G9" s="49"/>
      <c r="H9" s="49"/>
      <c r="I9" s="49"/>
      <c r="J9" s="68">
        <v>46167</v>
      </c>
      <c r="K9" s="68">
        <v>46265</v>
      </c>
      <c r="L9" s="64">
        <v>71</v>
      </c>
      <c r="M9" s="59" t="s">
        <v>470</v>
      </c>
      <c r="N9" s="49"/>
      <c r="O9" s="51" t="s">
        <v>27</v>
      </c>
      <c r="P9" s="51" t="s">
        <v>31</v>
      </c>
    </row>
    <row r="10" spans="1:19">
      <c r="A10" s="50" t="s">
        <v>16</v>
      </c>
      <c r="B10" s="51" t="s">
        <v>218</v>
      </c>
      <c r="C10" s="51" t="s">
        <v>29</v>
      </c>
      <c r="D10" s="51" t="s">
        <v>19</v>
      </c>
      <c r="E10" s="51" t="s">
        <v>20</v>
      </c>
      <c r="F10" s="52">
        <v>0</v>
      </c>
      <c r="G10" s="49"/>
      <c r="H10" s="49"/>
      <c r="I10" s="49"/>
      <c r="J10" s="69" t="s">
        <v>229</v>
      </c>
      <c r="K10" s="70" t="s">
        <v>229</v>
      </c>
      <c r="L10" s="64">
        <v>0</v>
      </c>
      <c r="M10" s="59" t="s">
        <v>470</v>
      </c>
      <c r="N10" s="49"/>
      <c r="O10" s="49"/>
      <c r="P10" s="51" t="s">
        <v>31</v>
      </c>
    </row>
    <row r="11" spans="1:19">
      <c r="A11" s="50" t="s">
        <v>16</v>
      </c>
      <c r="B11" s="51" t="s">
        <v>218</v>
      </c>
      <c r="C11" s="51" t="s">
        <v>30</v>
      </c>
      <c r="D11" s="51" t="s">
        <v>19</v>
      </c>
      <c r="E11" s="51" t="s">
        <v>20</v>
      </c>
      <c r="F11" s="52">
        <v>0</v>
      </c>
      <c r="G11" s="49"/>
      <c r="H11" s="49"/>
      <c r="I11" s="49"/>
      <c r="J11" s="69" t="s">
        <v>229</v>
      </c>
      <c r="K11" s="70" t="s">
        <v>229</v>
      </c>
      <c r="L11" s="64">
        <v>0</v>
      </c>
      <c r="M11" s="59" t="s">
        <v>470</v>
      </c>
      <c r="N11" s="49"/>
      <c r="O11" s="49"/>
      <c r="P11" s="51" t="s">
        <v>31</v>
      </c>
    </row>
    <row r="12" spans="1:19">
      <c r="A12" s="46" t="s">
        <v>16</v>
      </c>
      <c r="B12" s="44" t="s">
        <v>219</v>
      </c>
      <c r="C12" s="44" t="s">
        <v>18</v>
      </c>
      <c r="D12" s="44" t="s">
        <v>33</v>
      </c>
      <c r="E12" s="44" t="s">
        <v>20</v>
      </c>
      <c r="F12" s="54">
        <v>0.25</v>
      </c>
      <c r="G12" s="45"/>
      <c r="H12" s="45"/>
      <c r="I12" s="45"/>
      <c r="J12" s="68">
        <v>46029</v>
      </c>
      <c r="K12" s="68">
        <v>46039</v>
      </c>
      <c r="L12" s="65">
        <v>8</v>
      </c>
      <c r="M12" s="60" t="s">
        <v>470</v>
      </c>
      <c r="N12" s="45"/>
      <c r="O12" s="45"/>
      <c r="P12" s="44" t="s">
        <v>31</v>
      </c>
    </row>
    <row r="13" spans="1:19">
      <c r="A13" s="50" t="s">
        <v>16</v>
      </c>
      <c r="B13" s="50" t="s">
        <v>220</v>
      </c>
      <c r="C13" s="50" t="s">
        <v>22</v>
      </c>
      <c r="D13" s="50" t="s">
        <v>33</v>
      </c>
      <c r="E13" s="50" t="s">
        <v>20</v>
      </c>
      <c r="F13" s="55">
        <v>0.25</v>
      </c>
      <c r="G13" s="50" t="s">
        <v>23</v>
      </c>
      <c r="H13" s="50" t="s">
        <v>24</v>
      </c>
      <c r="I13" s="50" t="s">
        <v>25</v>
      </c>
      <c r="J13" s="69">
        <v>46029</v>
      </c>
      <c r="K13" s="70" t="s">
        <v>229</v>
      </c>
      <c r="L13" s="66">
        <v>0</v>
      </c>
      <c r="M13" s="61" t="s">
        <v>470</v>
      </c>
      <c r="N13" s="45"/>
      <c r="O13" s="45"/>
      <c r="P13" s="50" t="s">
        <v>31</v>
      </c>
    </row>
    <row r="14" spans="1:19">
      <c r="A14" s="50" t="s">
        <v>16</v>
      </c>
      <c r="B14" s="50" t="s">
        <v>220</v>
      </c>
      <c r="C14" s="50" t="s">
        <v>28</v>
      </c>
      <c r="D14" s="50" t="s">
        <v>33</v>
      </c>
      <c r="E14" s="50" t="s">
        <v>20</v>
      </c>
      <c r="F14" s="55">
        <v>0</v>
      </c>
      <c r="G14" s="45"/>
      <c r="H14" s="45"/>
      <c r="I14" s="45"/>
      <c r="J14" s="69">
        <v>46029</v>
      </c>
      <c r="K14" s="69">
        <v>46039</v>
      </c>
      <c r="L14" s="66">
        <v>7</v>
      </c>
      <c r="M14" s="61" t="s">
        <v>470</v>
      </c>
      <c r="N14" s="50" t="s">
        <v>43</v>
      </c>
      <c r="O14" s="50" t="s">
        <v>132</v>
      </c>
      <c r="P14" s="50" t="s">
        <v>31</v>
      </c>
    </row>
    <row r="15" spans="1:19">
      <c r="A15" s="50" t="s">
        <v>16</v>
      </c>
      <c r="B15" s="50" t="s">
        <v>220</v>
      </c>
      <c r="C15" s="50" t="s">
        <v>29</v>
      </c>
      <c r="D15" s="50" t="s">
        <v>33</v>
      </c>
      <c r="E15" s="50" t="s">
        <v>20</v>
      </c>
      <c r="F15" s="55">
        <v>0</v>
      </c>
      <c r="G15" s="45"/>
      <c r="H15" s="45"/>
      <c r="I15" s="45"/>
      <c r="J15" s="69">
        <v>46029</v>
      </c>
      <c r="K15" s="70" t="s">
        <v>229</v>
      </c>
      <c r="L15" s="66">
        <v>0</v>
      </c>
      <c r="M15" s="61" t="s">
        <v>470</v>
      </c>
      <c r="N15" s="45"/>
      <c r="O15" s="45"/>
      <c r="P15" s="50" t="s">
        <v>31</v>
      </c>
    </row>
    <row r="16" spans="1:19">
      <c r="A16" s="50" t="s">
        <v>16</v>
      </c>
      <c r="B16" s="50" t="s">
        <v>220</v>
      </c>
      <c r="C16" s="50" t="s">
        <v>30</v>
      </c>
      <c r="D16" s="50" t="s">
        <v>33</v>
      </c>
      <c r="E16" s="50" t="s">
        <v>20</v>
      </c>
      <c r="F16" s="55">
        <v>0</v>
      </c>
      <c r="G16" s="45"/>
      <c r="H16" s="45"/>
      <c r="I16" s="45"/>
      <c r="J16" s="69" t="s">
        <v>229</v>
      </c>
      <c r="K16" s="70" t="s">
        <v>229</v>
      </c>
      <c r="L16" s="66">
        <v>0</v>
      </c>
      <c r="M16" s="61" t="s">
        <v>470</v>
      </c>
      <c r="N16" s="45"/>
      <c r="O16" s="45"/>
      <c r="P16" s="50" t="s">
        <v>31</v>
      </c>
    </row>
    <row r="17" spans="1:16">
      <c r="A17" s="53" t="s">
        <v>16</v>
      </c>
      <c r="B17" s="47" t="s">
        <v>221</v>
      </c>
      <c r="C17" s="47" t="s">
        <v>18</v>
      </c>
      <c r="D17" s="47" t="s">
        <v>19</v>
      </c>
      <c r="E17" s="47" t="s">
        <v>20</v>
      </c>
      <c r="F17" s="48">
        <v>0.24</v>
      </c>
      <c r="G17" s="49"/>
      <c r="H17" s="49"/>
      <c r="I17" s="49"/>
      <c r="J17" s="68">
        <v>45946</v>
      </c>
      <c r="K17" s="68">
        <v>46219</v>
      </c>
      <c r="L17" s="63">
        <v>195.85</v>
      </c>
      <c r="M17" s="58" t="s">
        <v>470</v>
      </c>
      <c r="N17" s="49"/>
      <c r="O17" s="49"/>
      <c r="P17" s="47" t="s">
        <v>34</v>
      </c>
    </row>
    <row r="18" spans="1:16">
      <c r="A18" s="50" t="s">
        <v>16</v>
      </c>
      <c r="B18" s="51" t="s">
        <v>222</v>
      </c>
      <c r="C18" s="51" t="s">
        <v>22</v>
      </c>
      <c r="D18" s="51" t="s">
        <v>19</v>
      </c>
      <c r="E18" s="51" t="s">
        <v>20</v>
      </c>
      <c r="F18" s="52">
        <v>0</v>
      </c>
      <c r="G18" s="51" t="s">
        <v>35</v>
      </c>
      <c r="H18" s="51" t="s">
        <v>36</v>
      </c>
      <c r="I18" s="51" t="s">
        <v>37</v>
      </c>
      <c r="J18" s="69">
        <v>46076</v>
      </c>
      <c r="K18" s="68">
        <v>46150</v>
      </c>
      <c r="L18" s="64">
        <v>54.85</v>
      </c>
      <c r="M18" s="59" t="s">
        <v>470</v>
      </c>
      <c r="N18" s="51" t="s">
        <v>43</v>
      </c>
      <c r="O18" s="51" t="s">
        <v>26</v>
      </c>
      <c r="P18" s="51" t="s">
        <v>34</v>
      </c>
    </row>
    <row r="19" spans="1:16">
      <c r="A19" s="50" t="s">
        <v>16</v>
      </c>
      <c r="B19" s="51" t="s">
        <v>222</v>
      </c>
      <c r="C19" s="51" t="s">
        <v>28</v>
      </c>
      <c r="D19" s="51" t="s">
        <v>19</v>
      </c>
      <c r="E19" s="51" t="s">
        <v>20</v>
      </c>
      <c r="F19" s="52">
        <v>0</v>
      </c>
      <c r="G19" s="49"/>
      <c r="H19" s="49"/>
      <c r="I19" s="49"/>
      <c r="J19" s="69">
        <v>46150</v>
      </c>
      <c r="K19" s="69">
        <v>46219</v>
      </c>
      <c r="L19" s="64">
        <v>49</v>
      </c>
      <c r="M19" s="59" t="s">
        <v>470</v>
      </c>
      <c r="N19" s="49"/>
      <c r="O19" s="51" t="s">
        <v>27</v>
      </c>
      <c r="P19" s="51" t="s">
        <v>34</v>
      </c>
    </row>
    <row r="20" spans="1:16">
      <c r="A20" s="50" t="s">
        <v>16</v>
      </c>
      <c r="B20" s="51" t="s">
        <v>222</v>
      </c>
      <c r="C20" s="51" t="s">
        <v>29</v>
      </c>
      <c r="D20" s="51" t="s">
        <v>19</v>
      </c>
      <c r="E20" s="51" t="s">
        <v>20</v>
      </c>
      <c r="F20" s="52">
        <v>0</v>
      </c>
      <c r="G20" s="49"/>
      <c r="H20" s="49"/>
      <c r="I20" s="49"/>
      <c r="J20" s="69">
        <v>46150</v>
      </c>
      <c r="K20" s="69">
        <v>46153</v>
      </c>
      <c r="L20" s="64">
        <v>1</v>
      </c>
      <c r="M20" s="59" t="s">
        <v>470</v>
      </c>
      <c r="N20" s="49"/>
      <c r="O20" s="51" t="s">
        <v>27</v>
      </c>
      <c r="P20" s="51" t="s">
        <v>34</v>
      </c>
    </row>
    <row r="21" spans="1:16">
      <c r="A21" s="50" t="s">
        <v>16</v>
      </c>
      <c r="B21" s="51" t="s">
        <v>222</v>
      </c>
      <c r="C21" s="51" t="s">
        <v>30</v>
      </c>
      <c r="D21" s="51" t="s">
        <v>19</v>
      </c>
      <c r="E21" s="51" t="s">
        <v>20</v>
      </c>
      <c r="F21" s="52">
        <v>0</v>
      </c>
      <c r="G21" s="49"/>
      <c r="H21" s="49"/>
      <c r="I21" s="49"/>
      <c r="J21" s="69">
        <v>46150</v>
      </c>
      <c r="K21" s="69">
        <v>46153</v>
      </c>
      <c r="L21" s="64">
        <v>1</v>
      </c>
      <c r="M21" s="59" t="s">
        <v>470</v>
      </c>
      <c r="N21" s="49"/>
      <c r="O21" s="51" t="s">
        <v>27</v>
      </c>
      <c r="P21" s="51" t="s">
        <v>34</v>
      </c>
    </row>
    <row r="22" spans="1:16">
      <c r="A22" s="46" t="s">
        <v>16</v>
      </c>
      <c r="B22" s="44" t="s">
        <v>224</v>
      </c>
      <c r="C22" s="44" t="s">
        <v>18</v>
      </c>
      <c r="D22" s="44" t="s">
        <v>33</v>
      </c>
      <c r="E22" s="44" t="s">
        <v>20</v>
      </c>
      <c r="F22" s="54">
        <v>0.5</v>
      </c>
      <c r="G22" s="45"/>
      <c r="H22" s="45"/>
      <c r="I22" s="45"/>
      <c r="J22" s="68">
        <v>45946</v>
      </c>
      <c r="K22" s="68">
        <v>46142</v>
      </c>
      <c r="L22" s="65">
        <v>141</v>
      </c>
      <c r="M22" s="60" t="s">
        <v>470</v>
      </c>
      <c r="N22" s="45"/>
      <c r="O22" s="45"/>
      <c r="P22" s="44" t="s">
        <v>34</v>
      </c>
    </row>
    <row r="23" spans="1:16">
      <c r="A23" s="50" t="s">
        <v>16</v>
      </c>
      <c r="B23" s="50" t="s">
        <v>225</v>
      </c>
      <c r="C23" s="50" t="s">
        <v>22</v>
      </c>
      <c r="D23" s="50" t="s">
        <v>33</v>
      </c>
      <c r="E23" s="50" t="s">
        <v>20</v>
      </c>
      <c r="F23" s="55">
        <v>0.5</v>
      </c>
      <c r="G23" s="50" t="s">
        <v>35</v>
      </c>
      <c r="H23" s="50" t="s">
        <v>36</v>
      </c>
      <c r="I23" s="50" t="s">
        <v>37</v>
      </c>
      <c r="J23" s="69">
        <v>46076</v>
      </c>
      <c r="K23" s="68">
        <v>46142</v>
      </c>
      <c r="L23" s="66">
        <v>49</v>
      </c>
      <c r="M23" s="61" t="s">
        <v>470</v>
      </c>
      <c r="N23" s="50" t="s">
        <v>26</v>
      </c>
      <c r="O23" s="50" t="s">
        <v>26</v>
      </c>
      <c r="P23" s="50" t="s">
        <v>34</v>
      </c>
    </row>
    <row r="24" spans="1:16">
      <c r="A24" s="50" t="s">
        <v>16</v>
      </c>
      <c r="B24" s="50" t="s">
        <v>225</v>
      </c>
      <c r="C24" s="50" t="s">
        <v>28</v>
      </c>
      <c r="D24" s="50" t="s">
        <v>33</v>
      </c>
      <c r="E24" s="50" t="s">
        <v>20</v>
      </c>
      <c r="F24" s="55">
        <v>0</v>
      </c>
      <c r="G24" s="45"/>
      <c r="H24" s="45"/>
      <c r="I24" s="45"/>
      <c r="J24" s="69" t="s">
        <v>229</v>
      </c>
      <c r="K24" s="70" t="s">
        <v>229</v>
      </c>
      <c r="L24" s="66">
        <v>0</v>
      </c>
      <c r="M24" s="61" t="s">
        <v>470</v>
      </c>
      <c r="N24" s="45"/>
      <c r="O24" s="45"/>
      <c r="P24" s="50" t="s">
        <v>34</v>
      </c>
    </row>
    <row r="25" spans="1:16">
      <c r="A25" s="50" t="s">
        <v>16</v>
      </c>
      <c r="B25" s="50" t="s">
        <v>225</v>
      </c>
      <c r="C25" s="50" t="s">
        <v>29</v>
      </c>
      <c r="D25" s="50" t="s">
        <v>33</v>
      </c>
      <c r="E25" s="50" t="s">
        <v>20</v>
      </c>
      <c r="F25" s="55">
        <v>0</v>
      </c>
      <c r="G25" s="45"/>
      <c r="H25" s="45"/>
      <c r="I25" s="45"/>
      <c r="J25" s="69" t="s">
        <v>229</v>
      </c>
      <c r="K25" s="70" t="s">
        <v>229</v>
      </c>
      <c r="L25" s="66">
        <v>0</v>
      </c>
      <c r="M25" s="61" t="s">
        <v>470</v>
      </c>
      <c r="N25" s="45"/>
      <c r="O25" s="45"/>
      <c r="P25" s="50" t="s">
        <v>34</v>
      </c>
    </row>
    <row r="26" spans="1:16">
      <c r="A26" s="50" t="s">
        <v>16</v>
      </c>
      <c r="B26" s="50" t="s">
        <v>225</v>
      </c>
      <c r="C26" s="50" t="s">
        <v>30</v>
      </c>
      <c r="D26" s="50" t="s">
        <v>33</v>
      </c>
      <c r="E26" s="50" t="s">
        <v>20</v>
      </c>
      <c r="F26" s="55">
        <v>0</v>
      </c>
      <c r="G26" s="45"/>
      <c r="H26" s="45"/>
      <c r="I26" s="45"/>
      <c r="J26" s="69" t="s">
        <v>229</v>
      </c>
      <c r="K26" s="70" t="s">
        <v>229</v>
      </c>
      <c r="L26" s="66">
        <v>0</v>
      </c>
      <c r="M26" s="61" t="s">
        <v>470</v>
      </c>
      <c r="N26" s="45"/>
      <c r="O26" s="45"/>
      <c r="P26" s="50" t="s">
        <v>34</v>
      </c>
    </row>
    <row r="27" spans="1:16">
      <c r="A27" s="53" t="s">
        <v>39</v>
      </c>
      <c r="B27" s="47" t="s">
        <v>227</v>
      </c>
      <c r="C27" s="47" t="s">
        <v>18</v>
      </c>
      <c r="D27" s="47" t="s">
        <v>19</v>
      </c>
      <c r="E27" s="47" t="s">
        <v>20</v>
      </c>
      <c r="F27" s="48">
        <v>0.69</v>
      </c>
      <c r="G27" s="49"/>
      <c r="H27" s="49"/>
      <c r="I27" s="49"/>
      <c r="J27" s="68">
        <v>45971</v>
      </c>
      <c r="K27" s="68">
        <v>46157</v>
      </c>
      <c r="L27" s="63">
        <v>135</v>
      </c>
      <c r="M27" s="58" t="s">
        <v>470</v>
      </c>
      <c r="N27" s="49"/>
      <c r="O27" s="49"/>
      <c r="P27" s="47" t="s">
        <v>40</v>
      </c>
    </row>
    <row r="28" spans="1:16">
      <c r="A28" s="50" t="s">
        <v>39</v>
      </c>
      <c r="B28" s="51" t="s">
        <v>228</v>
      </c>
      <c r="C28" s="51" t="s">
        <v>22</v>
      </c>
      <c r="D28" s="51" t="s">
        <v>19</v>
      </c>
      <c r="E28" s="51" t="s">
        <v>20</v>
      </c>
      <c r="F28" s="52">
        <v>1</v>
      </c>
      <c r="G28" s="51" t="s">
        <v>41</v>
      </c>
      <c r="H28" s="49"/>
      <c r="I28" s="49"/>
      <c r="J28" s="69">
        <v>45972</v>
      </c>
      <c r="K28" s="69">
        <v>46051</v>
      </c>
      <c r="L28" s="64">
        <v>58</v>
      </c>
      <c r="M28" s="59" t="s">
        <v>470</v>
      </c>
      <c r="N28" s="51" t="s">
        <v>108</v>
      </c>
      <c r="O28" s="51" t="s">
        <v>108</v>
      </c>
      <c r="P28" s="51" t="s">
        <v>40</v>
      </c>
    </row>
    <row r="29" spans="1:16">
      <c r="A29" s="50" t="s">
        <v>39</v>
      </c>
      <c r="B29" s="51" t="s">
        <v>228</v>
      </c>
      <c r="C29" s="51" t="s">
        <v>28</v>
      </c>
      <c r="D29" s="51" t="s">
        <v>19</v>
      </c>
      <c r="E29" s="51" t="s">
        <v>20</v>
      </c>
      <c r="F29" s="52">
        <v>0</v>
      </c>
      <c r="G29" s="49"/>
      <c r="H29" s="49"/>
      <c r="I29" s="49"/>
      <c r="J29" s="69" t="s">
        <v>229</v>
      </c>
      <c r="K29" s="70" t="s">
        <v>229</v>
      </c>
      <c r="L29" s="64">
        <v>0</v>
      </c>
      <c r="M29" s="59" t="s">
        <v>470</v>
      </c>
      <c r="N29" s="49"/>
      <c r="O29" s="49"/>
      <c r="P29" s="51" t="s">
        <v>40</v>
      </c>
    </row>
    <row r="30" spans="1:16">
      <c r="A30" s="50" t="s">
        <v>39</v>
      </c>
      <c r="B30" s="51" t="s">
        <v>228</v>
      </c>
      <c r="C30" s="51" t="s">
        <v>29</v>
      </c>
      <c r="D30" s="51" t="s">
        <v>19</v>
      </c>
      <c r="E30" s="51" t="s">
        <v>20</v>
      </c>
      <c r="F30" s="52">
        <v>0</v>
      </c>
      <c r="G30" s="49"/>
      <c r="H30" s="49"/>
      <c r="I30" s="49"/>
      <c r="J30" s="69" t="s">
        <v>229</v>
      </c>
      <c r="K30" s="70" t="s">
        <v>229</v>
      </c>
      <c r="L30" s="64">
        <v>0</v>
      </c>
      <c r="M30" s="59" t="s">
        <v>470</v>
      </c>
      <c r="N30" s="49"/>
      <c r="O30" s="49"/>
      <c r="P30" s="51" t="s">
        <v>40</v>
      </c>
    </row>
    <row r="31" spans="1:16">
      <c r="A31" s="50" t="s">
        <v>39</v>
      </c>
      <c r="B31" s="51" t="s">
        <v>228</v>
      </c>
      <c r="C31" s="51" t="s">
        <v>30</v>
      </c>
      <c r="D31" s="51" t="s">
        <v>19</v>
      </c>
      <c r="E31" s="51" t="s">
        <v>20</v>
      </c>
      <c r="F31" s="52">
        <v>0</v>
      </c>
      <c r="G31" s="49"/>
      <c r="H31" s="49"/>
      <c r="I31" s="49"/>
      <c r="J31" s="69" t="s">
        <v>229</v>
      </c>
      <c r="K31" s="70" t="s">
        <v>229</v>
      </c>
      <c r="L31" s="64">
        <v>0</v>
      </c>
      <c r="M31" s="59" t="s">
        <v>470</v>
      </c>
      <c r="N31" s="49"/>
      <c r="O31" s="49"/>
      <c r="P31" s="51" t="s">
        <v>40</v>
      </c>
    </row>
    <row r="32" spans="1:16">
      <c r="A32" s="53" t="s">
        <v>44</v>
      </c>
      <c r="B32" s="44" t="s">
        <v>230</v>
      </c>
      <c r="C32" s="44" t="s">
        <v>18</v>
      </c>
      <c r="D32" s="44" t="s">
        <v>33</v>
      </c>
      <c r="E32" s="44" t="s">
        <v>20</v>
      </c>
      <c r="F32" s="54">
        <v>1</v>
      </c>
      <c r="G32" s="45"/>
      <c r="H32" s="45"/>
      <c r="I32" s="45"/>
      <c r="J32" s="68">
        <v>45971</v>
      </c>
      <c r="K32" s="68">
        <v>46173</v>
      </c>
      <c r="L32" s="65">
        <v>145</v>
      </c>
      <c r="M32" s="60" t="s">
        <v>470</v>
      </c>
      <c r="N32" s="45"/>
      <c r="O32" s="45"/>
      <c r="P32" s="44" t="s">
        <v>40</v>
      </c>
    </row>
    <row r="33" spans="1:16">
      <c r="A33" s="50" t="s">
        <v>44</v>
      </c>
      <c r="B33" s="50" t="s">
        <v>231</v>
      </c>
      <c r="C33" s="50" t="s">
        <v>22</v>
      </c>
      <c r="D33" s="50" t="s">
        <v>33</v>
      </c>
      <c r="E33" s="50" t="s">
        <v>20</v>
      </c>
      <c r="F33" s="55">
        <v>1</v>
      </c>
      <c r="G33" s="50" t="s">
        <v>46</v>
      </c>
      <c r="H33" s="50" t="s">
        <v>47</v>
      </c>
      <c r="I33" s="50" t="s">
        <v>48</v>
      </c>
      <c r="J33" s="69">
        <v>45971</v>
      </c>
      <c r="K33" s="69">
        <v>46001</v>
      </c>
      <c r="L33" s="66">
        <v>23</v>
      </c>
      <c r="M33" s="61" t="s">
        <v>472</v>
      </c>
      <c r="N33" s="50" t="s">
        <v>108</v>
      </c>
      <c r="O33" s="50" t="s">
        <v>108</v>
      </c>
      <c r="P33" s="50" t="s">
        <v>40</v>
      </c>
    </row>
    <row r="34" spans="1:16">
      <c r="A34" s="50" t="s">
        <v>44</v>
      </c>
      <c r="B34" s="50" t="s">
        <v>231</v>
      </c>
      <c r="C34" s="50" t="s">
        <v>28</v>
      </c>
      <c r="D34" s="50" t="s">
        <v>33</v>
      </c>
      <c r="E34" s="50" t="s">
        <v>20</v>
      </c>
      <c r="F34" s="55">
        <v>0</v>
      </c>
      <c r="G34" s="45"/>
      <c r="H34" s="45"/>
      <c r="I34" s="45"/>
      <c r="J34" s="69">
        <v>46054</v>
      </c>
      <c r="K34" s="69">
        <v>46173</v>
      </c>
      <c r="L34" s="66">
        <v>85</v>
      </c>
      <c r="M34" s="61" t="s">
        <v>470</v>
      </c>
      <c r="N34" s="50" t="s">
        <v>43</v>
      </c>
      <c r="O34" s="50" t="s">
        <v>28</v>
      </c>
      <c r="P34" s="50" t="s">
        <v>40</v>
      </c>
    </row>
    <row r="35" spans="1:16">
      <c r="A35" s="50" t="s">
        <v>44</v>
      </c>
      <c r="B35" s="50" t="s">
        <v>231</v>
      </c>
      <c r="C35" s="50" t="s">
        <v>29</v>
      </c>
      <c r="D35" s="50" t="s">
        <v>33</v>
      </c>
      <c r="E35" s="50" t="s">
        <v>20</v>
      </c>
      <c r="F35" s="55">
        <v>0</v>
      </c>
      <c r="G35" s="45"/>
      <c r="H35" s="45"/>
      <c r="I35" s="45"/>
      <c r="J35" s="69" t="s">
        <v>229</v>
      </c>
      <c r="K35" s="70" t="s">
        <v>229</v>
      </c>
      <c r="L35" s="66">
        <v>0</v>
      </c>
      <c r="M35" s="61" t="s">
        <v>470</v>
      </c>
      <c r="N35" s="45"/>
      <c r="O35" s="45"/>
      <c r="P35" s="50" t="s">
        <v>40</v>
      </c>
    </row>
    <row r="36" spans="1:16">
      <c r="A36" s="50" t="s">
        <v>44</v>
      </c>
      <c r="B36" s="50" t="s">
        <v>231</v>
      </c>
      <c r="C36" s="50" t="s">
        <v>30</v>
      </c>
      <c r="D36" s="50" t="s">
        <v>33</v>
      </c>
      <c r="E36" s="50" t="s">
        <v>20</v>
      </c>
      <c r="F36" s="55">
        <v>0</v>
      </c>
      <c r="G36" s="45"/>
      <c r="H36" s="45"/>
      <c r="I36" s="45"/>
      <c r="J36" s="69" t="s">
        <v>229</v>
      </c>
      <c r="K36" s="70" t="s">
        <v>229</v>
      </c>
      <c r="L36" s="66">
        <v>0</v>
      </c>
      <c r="M36" s="61" t="s">
        <v>470</v>
      </c>
      <c r="N36" s="45"/>
      <c r="O36" s="45"/>
      <c r="P36" s="50" t="s">
        <v>40</v>
      </c>
    </row>
    <row r="37" spans="1:16">
      <c r="A37" s="46" t="s">
        <v>39</v>
      </c>
      <c r="B37" s="44" t="s">
        <v>232</v>
      </c>
      <c r="C37" s="44" t="s">
        <v>18</v>
      </c>
      <c r="D37" s="44" t="s">
        <v>33</v>
      </c>
      <c r="E37" s="44" t="s">
        <v>20</v>
      </c>
      <c r="F37" s="54">
        <v>0</v>
      </c>
      <c r="G37" s="45"/>
      <c r="H37" s="45"/>
      <c r="I37" s="45"/>
      <c r="J37" s="68">
        <v>46113</v>
      </c>
      <c r="K37" s="68">
        <v>46273</v>
      </c>
      <c r="L37" s="65">
        <v>115</v>
      </c>
      <c r="M37" s="60" t="s">
        <v>470</v>
      </c>
      <c r="N37" s="45"/>
      <c r="O37" s="45"/>
      <c r="P37" s="44" t="s">
        <v>40</v>
      </c>
    </row>
    <row r="38" spans="1:16">
      <c r="A38" s="50" t="s">
        <v>39</v>
      </c>
      <c r="B38" s="50" t="s">
        <v>233</v>
      </c>
      <c r="C38" s="50" t="s">
        <v>22</v>
      </c>
      <c r="D38" s="50" t="s">
        <v>33</v>
      </c>
      <c r="E38" s="50" t="s">
        <v>20</v>
      </c>
      <c r="F38" s="55">
        <v>0</v>
      </c>
      <c r="G38" s="50" t="s">
        <v>41</v>
      </c>
      <c r="H38" s="50" t="s">
        <v>473</v>
      </c>
      <c r="I38" s="50" t="s">
        <v>50</v>
      </c>
      <c r="J38" s="69">
        <v>46113</v>
      </c>
      <c r="K38" s="69">
        <v>46155</v>
      </c>
      <c r="L38" s="66">
        <v>31</v>
      </c>
      <c r="M38" s="61" t="s">
        <v>470</v>
      </c>
      <c r="N38" s="45"/>
      <c r="O38" s="50" t="s">
        <v>27</v>
      </c>
      <c r="P38" s="50" t="s">
        <v>40</v>
      </c>
    </row>
    <row r="39" spans="1:16">
      <c r="A39" s="50" t="s">
        <v>39</v>
      </c>
      <c r="B39" s="50" t="s">
        <v>233</v>
      </c>
      <c r="C39" s="50" t="s">
        <v>28</v>
      </c>
      <c r="D39" s="50" t="s">
        <v>33</v>
      </c>
      <c r="E39" s="50" t="s">
        <v>20</v>
      </c>
      <c r="F39" s="55">
        <v>0</v>
      </c>
      <c r="G39" s="45"/>
      <c r="H39" s="45"/>
      <c r="I39" s="45"/>
      <c r="J39" s="69">
        <v>46188</v>
      </c>
      <c r="K39" s="69">
        <v>46273</v>
      </c>
      <c r="L39" s="66">
        <v>62</v>
      </c>
      <c r="M39" s="61" t="s">
        <v>470</v>
      </c>
      <c r="N39" s="45"/>
      <c r="O39" s="50" t="s">
        <v>27</v>
      </c>
      <c r="P39" s="50" t="s">
        <v>40</v>
      </c>
    </row>
    <row r="40" spans="1:16">
      <c r="A40" s="50" t="s">
        <v>39</v>
      </c>
      <c r="B40" s="50" t="s">
        <v>233</v>
      </c>
      <c r="C40" s="50" t="s">
        <v>29</v>
      </c>
      <c r="D40" s="50" t="s">
        <v>33</v>
      </c>
      <c r="E40" s="50" t="s">
        <v>20</v>
      </c>
      <c r="F40" s="55">
        <v>0</v>
      </c>
      <c r="G40" s="45"/>
      <c r="H40" s="45"/>
      <c r="I40" s="45"/>
      <c r="J40" s="69" t="s">
        <v>229</v>
      </c>
      <c r="K40" s="70" t="s">
        <v>229</v>
      </c>
      <c r="L40" s="66">
        <v>0</v>
      </c>
      <c r="M40" s="61" t="s">
        <v>470</v>
      </c>
      <c r="N40" s="45"/>
      <c r="O40" s="45"/>
      <c r="P40" s="50" t="s">
        <v>40</v>
      </c>
    </row>
    <row r="41" spans="1:16">
      <c r="A41" s="50" t="s">
        <v>39</v>
      </c>
      <c r="B41" s="50" t="s">
        <v>233</v>
      </c>
      <c r="C41" s="50" t="s">
        <v>30</v>
      </c>
      <c r="D41" s="50" t="s">
        <v>33</v>
      </c>
      <c r="E41" s="50" t="s">
        <v>20</v>
      </c>
      <c r="F41" s="55">
        <v>0</v>
      </c>
      <c r="G41" s="45"/>
      <c r="H41" s="45"/>
      <c r="I41" s="45"/>
      <c r="J41" s="69" t="s">
        <v>229</v>
      </c>
      <c r="K41" s="70" t="s">
        <v>229</v>
      </c>
      <c r="L41" s="66">
        <v>0</v>
      </c>
      <c r="M41" s="61" t="s">
        <v>470</v>
      </c>
      <c r="N41" s="45"/>
      <c r="O41" s="45"/>
      <c r="P41" s="50" t="s">
        <v>40</v>
      </c>
    </row>
    <row r="42" spans="1:16">
      <c r="A42" s="53" t="s">
        <v>51</v>
      </c>
      <c r="B42" s="47" t="s">
        <v>474</v>
      </c>
      <c r="C42" s="47" t="s">
        <v>18</v>
      </c>
      <c r="D42" s="47" t="s">
        <v>19</v>
      </c>
      <c r="E42" s="47" t="s">
        <v>20</v>
      </c>
      <c r="F42" s="48">
        <v>0.5</v>
      </c>
      <c r="G42" s="49"/>
      <c r="H42" s="49"/>
      <c r="I42" s="47" t="s">
        <v>55</v>
      </c>
      <c r="J42" s="68">
        <v>45945</v>
      </c>
      <c r="K42" s="68">
        <v>46234</v>
      </c>
      <c r="L42" s="63">
        <v>208</v>
      </c>
      <c r="M42" s="58" t="s">
        <v>470</v>
      </c>
      <c r="N42" s="49"/>
      <c r="O42" s="49"/>
      <c r="P42" s="47" t="s">
        <v>52</v>
      </c>
    </row>
    <row r="43" spans="1:16">
      <c r="A43" s="50" t="s">
        <v>51</v>
      </c>
      <c r="B43" s="51" t="s">
        <v>475</v>
      </c>
      <c r="C43" s="51" t="s">
        <v>22</v>
      </c>
      <c r="D43" s="51" t="s">
        <v>19</v>
      </c>
      <c r="E43" s="51" t="s">
        <v>20</v>
      </c>
      <c r="F43" s="52">
        <v>0.5</v>
      </c>
      <c r="G43" s="51" t="s">
        <v>237</v>
      </c>
      <c r="H43" s="51" t="s">
        <v>54</v>
      </c>
      <c r="I43" s="51" t="s">
        <v>55</v>
      </c>
      <c r="J43" s="69">
        <v>45945</v>
      </c>
      <c r="K43" s="69">
        <v>46142</v>
      </c>
      <c r="L43" s="64">
        <v>142</v>
      </c>
      <c r="M43" s="59" t="s">
        <v>470</v>
      </c>
      <c r="N43" s="51" t="s">
        <v>26</v>
      </c>
      <c r="O43" s="51" t="s">
        <v>26</v>
      </c>
      <c r="P43" s="51" t="s">
        <v>52</v>
      </c>
    </row>
    <row r="44" spans="1:16">
      <c r="A44" s="50" t="s">
        <v>51</v>
      </c>
      <c r="B44" s="51" t="s">
        <v>475</v>
      </c>
      <c r="C44" s="51" t="s">
        <v>28</v>
      </c>
      <c r="D44" s="51" t="s">
        <v>19</v>
      </c>
      <c r="E44" s="51" t="s">
        <v>20</v>
      </c>
      <c r="F44" s="52">
        <v>0</v>
      </c>
      <c r="G44" s="49"/>
      <c r="H44" s="49"/>
      <c r="I44" s="49"/>
      <c r="J44" s="69">
        <v>46143</v>
      </c>
      <c r="K44" s="69">
        <v>46234</v>
      </c>
      <c r="L44" s="64">
        <v>66</v>
      </c>
      <c r="M44" s="59" t="s">
        <v>470</v>
      </c>
      <c r="N44" s="49"/>
      <c r="O44" s="51" t="s">
        <v>27</v>
      </c>
      <c r="P44" s="51" t="s">
        <v>52</v>
      </c>
    </row>
    <row r="45" spans="1:16">
      <c r="A45" s="50" t="s">
        <v>51</v>
      </c>
      <c r="B45" s="51" t="s">
        <v>475</v>
      </c>
      <c r="C45" s="51" t="s">
        <v>29</v>
      </c>
      <c r="D45" s="51" t="s">
        <v>33</v>
      </c>
      <c r="E45" s="51" t="s">
        <v>20</v>
      </c>
      <c r="F45" s="52">
        <v>0</v>
      </c>
      <c r="G45" s="49"/>
      <c r="H45" s="49"/>
      <c r="I45" s="49"/>
      <c r="J45" s="69" t="s">
        <v>229</v>
      </c>
      <c r="K45" s="70" t="s">
        <v>229</v>
      </c>
      <c r="L45" s="64">
        <v>0</v>
      </c>
      <c r="M45" s="59" t="s">
        <v>470</v>
      </c>
      <c r="N45" s="49"/>
      <c r="O45" s="49"/>
      <c r="P45" s="51" t="s">
        <v>52</v>
      </c>
    </row>
    <row r="46" spans="1:16">
      <c r="A46" s="50" t="s">
        <v>51</v>
      </c>
      <c r="B46" s="51" t="s">
        <v>475</v>
      </c>
      <c r="C46" s="51" t="s">
        <v>30</v>
      </c>
      <c r="D46" s="51" t="s">
        <v>19</v>
      </c>
      <c r="E46" s="51" t="s">
        <v>20</v>
      </c>
      <c r="F46" s="52">
        <v>0</v>
      </c>
      <c r="G46" s="49"/>
      <c r="H46" s="49"/>
      <c r="I46" s="49"/>
      <c r="J46" s="69" t="s">
        <v>229</v>
      </c>
      <c r="K46" s="70" t="s">
        <v>229</v>
      </c>
      <c r="L46" s="64">
        <v>0</v>
      </c>
      <c r="M46" s="59" t="s">
        <v>470</v>
      </c>
      <c r="N46" s="49"/>
      <c r="O46" s="49"/>
      <c r="P46" s="51" t="s">
        <v>52</v>
      </c>
    </row>
    <row r="47" spans="1:16">
      <c r="A47" s="53" t="s">
        <v>51</v>
      </c>
      <c r="B47" s="44" t="s">
        <v>238</v>
      </c>
      <c r="C47" s="44" t="s">
        <v>18</v>
      </c>
      <c r="D47" s="44" t="s">
        <v>33</v>
      </c>
      <c r="E47" s="44" t="s">
        <v>20</v>
      </c>
      <c r="F47" s="54">
        <v>0.5</v>
      </c>
      <c r="G47" s="45"/>
      <c r="H47" s="45"/>
      <c r="I47" s="45"/>
      <c r="J47" s="68">
        <v>45945</v>
      </c>
      <c r="K47" s="70" t="s">
        <v>229</v>
      </c>
      <c r="L47" s="65">
        <v>0</v>
      </c>
      <c r="M47" s="60" t="s">
        <v>470</v>
      </c>
      <c r="N47" s="45"/>
      <c r="O47" s="45"/>
      <c r="P47" s="44" t="s">
        <v>52</v>
      </c>
    </row>
    <row r="48" spans="1:16">
      <c r="A48" s="50" t="s">
        <v>51</v>
      </c>
      <c r="B48" s="50" t="s">
        <v>239</v>
      </c>
      <c r="C48" s="50" t="s">
        <v>22</v>
      </c>
      <c r="D48" s="50" t="s">
        <v>33</v>
      </c>
      <c r="E48" s="50" t="s">
        <v>20</v>
      </c>
      <c r="F48" s="55">
        <v>0.5</v>
      </c>
      <c r="G48" s="50" t="s">
        <v>237</v>
      </c>
      <c r="H48" s="50" t="s">
        <v>54</v>
      </c>
      <c r="I48" s="50" t="s">
        <v>25</v>
      </c>
      <c r="J48" s="68">
        <v>45945</v>
      </c>
      <c r="K48" s="70" t="s">
        <v>229</v>
      </c>
      <c r="L48" s="66">
        <v>0</v>
      </c>
      <c r="M48" s="61" t="s">
        <v>470</v>
      </c>
      <c r="N48" s="45"/>
      <c r="O48" s="45"/>
      <c r="P48" s="50" t="s">
        <v>52</v>
      </c>
    </row>
    <row r="49" spans="1:16">
      <c r="A49" s="50" t="s">
        <v>51</v>
      </c>
      <c r="B49" s="50" t="s">
        <v>239</v>
      </c>
      <c r="C49" s="50" t="s">
        <v>28</v>
      </c>
      <c r="D49" s="50" t="s">
        <v>33</v>
      </c>
      <c r="E49" s="50" t="s">
        <v>20</v>
      </c>
      <c r="F49" s="55">
        <v>0</v>
      </c>
      <c r="G49" s="45"/>
      <c r="H49" s="45"/>
      <c r="I49" s="45"/>
      <c r="J49" s="69" t="s">
        <v>229</v>
      </c>
      <c r="K49" s="70" t="s">
        <v>229</v>
      </c>
      <c r="L49" s="66">
        <v>0</v>
      </c>
      <c r="M49" s="61" t="s">
        <v>470</v>
      </c>
      <c r="N49" s="45"/>
      <c r="O49" s="45"/>
      <c r="P49" s="50" t="s">
        <v>52</v>
      </c>
    </row>
    <row r="50" spans="1:16">
      <c r="A50" s="50" t="s">
        <v>51</v>
      </c>
      <c r="B50" s="50" t="s">
        <v>239</v>
      </c>
      <c r="C50" s="50" t="s">
        <v>29</v>
      </c>
      <c r="D50" s="50" t="s">
        <v>33</v>
      </c>
      <c r="E50" s="50" t="s">
        <v>20</v>
      </c>
      <c r="F50" s="55">
        <v>0</v>
      </c>
      <c r="G50" s="45"/>
      <c r="H50" s="45"/>
      <c r="I50" s="45"/>
      <c r="J50" s="69" t="s">
        <v>229</v>
      </c>
      <c r="K50" s="70" t="s">
        <v>229</v>
      </c>
      <c r="L50" s="66">
        <v>0</v>
      </c>
      <c r="M50" s="61" t="s">
        <v>470</v>
      </c>
      <c r="N50" s="45"/>
      <c r="O50" s="45"/>
      <c r="P50" s="50" t="s">
        <v>52</v>
      </c>
    </row>
    <row r="51" spans="1:16">
      <c r="A51" s="50" t="s">
        <v>51</v>
      </c>
      <c r="B51" s="50" t="s">
        <v>239</v>
      </c>
      <c r="C51" s="50" t="s">
        <v>30</v>
      </c>
      <c r="D51" s="50" t="s">
        <v>33</v>
      </c>
      <c r="E51" s="50" t="s">
        <v>20</v>
      </c>
      <c r="F51" s="55">
        <v>0</v>
      </c>
      <c r="G51" s="45"/>
      <c r="H51" s="45"/>
      <c r="I51" s="45"/>
      <c r="J51" s="69" t="s">
        <v>229</v>
      </c>
      <c r="K51" s="70" t="s">
        <v>229</v>
      </c>
      <c r="L51" s="66">
        <v>0</v>
      </c>
      <c r="M51" s="61" t="s">
        <v>470</v>
      </c>
      <c r="N51" s="45"/>
      <c r="O51" s="45"/>
      <c r="P51" s="50" t="s">
        <v>52</v>
      </c>
    </row>
    <row r="52" spans="1:16">
      <c r="A52" s="46" t="s">
        <v>51</v>
      </c>
      <c r="B52" s="44" t="s">
        <v>476</v>
      </c>
      <c r="C52" s="44" t="s">
        <v>18</v>
      </c>
      <c r="D52" s="44" t="s">
        <v>58</v>
      </c>
      <c r="E52" s="44" t="s">
        <v>20</v>
      </c>
      <c r="F52" s="54">
        <v>0.5</v>
      </c>
      <c r="G52" s="45"/>
      <c r="H52" s="45"/>
      <c r="I52" s="45"/>
      <c r="J52" s="68">
        <v>45945</v>
      </c>
      <c r="K52" s="70" t="s">
        <v>229</v>
      </c>
      <c r="L52" s="65">
        <v>0</v>
      </c>
      <c r="M52" s="60" t="s">
        <v>470</v>
      </c>
      <c r="N52" s="45"/>
      <c r="O52" s="45"/>
      <c r="P52" s="44" t="s">
        <v>52</v>
      </c>
    </row>
    <row r="53" spans="1:16">
      <c r="A53" s="50" t="s">
        <v>51</v>
      </c>
      <c r="B53" s="50" t="s">
        <v>477</v>
      </c>
      <c r="C53" s="50" t="s">
        <v>22</v>
      </c>
      <c r="D53" s="50" t="s">
        <v>58</v>
      </c>
      <c r="E53" s="50" t="s">
        <v>20</v>
      </c>
      <c r="F53" s="55">
        <v>0.5</v>
      </c>
      <c r="G53" s="50" t="s">
        <v>237</v>
      </c>
      <c r="H53" s="50" t="s">
        <v>54</v>
      </c>
      <c r="I53" s="50" t="s">
        <v>25</v>
      </c>
      <c r="J53" s="69">
        <v>45945</v>
      </c>
      <c r="K53" s="70" t="s">
        <v>229</v>
      </c>
      <c r="L53" s="66">
        <v>0</v>
      </c>
      <c r="M53" s="61" t="s">
        <v>470</v>
      </c>
      <c r="N53" s="45"/>
      <c r="O53" s="45"/>
      <c r="P53" s="50" t="s">
        <v>52</v>
      </c>
    </row>
    <row r="54" spans="1:16">
      <c r="A54" s="50" t="s">
        <v>51</v>
      </c>
      <c r="B54" s="50" t="s">
        <v>477</v>
      </c>
      <c r="C54" s="50" t="s">
        <v>28</v>
      </c>
      <c r="D54" s="50" t="s">
        <v>58</v>
      </c>
      <c r="E54" s="50" t="s">
        <v>20</v>
      </c>
      <c r="F54" s="55">
        <v>0</v>
      </c>
      <c r="G54" s="45"/>
      <c r="H54" s="45"/>
      <c r="I54" s="45"/>
      <c r="J54" s="69" t="s">
        <v>229</v>
      </c>
      <c r="K54" s="70" t="s">
        <v>229</v>
      </c>
      <c r="L54" s="66">
        <v>0</v>
      </c>
      <c r="M54" s="61" t="s">
        <v>470</v>
      </c>
      <c r="N54" s="45"/>
      <c r="O54" s="45"/>
      <c r="P54" s="50" t="s">
        <v>52</v>
      </c>
    </row>
    <row r="55" spans="1:16">
      <c r="A55" s="50" t="s">
        <v>51</v>
      </c>
      <c r="B55" s="50" t="s">
        <v>477</v>
      </c>
      <c r="C55" s="50" t="s">
        <v>29</v>
      </c>
      <c r="D55" s="50" t="s">
        <v>58</v>
      </c>
      <c r="E55" s="50" t="s">
        <v>20</v>
      </c>
      <c r="F55" s="55">
        <v>0</v>
      </c>
      <c r="G55" s="45"/>
      <c r="H55" s="45"/>
      <c r="I55" s="45"/>
      <c r="J55" s="69" t="s">
        <v>229</v>
      </c>
      <c r="K55" s="70" t="s">
        <v>229</v>
      </c>
      <c r="L55" s="66">
        <v>0</v>
      </c>
      <c r="M55" s="61" t="s">
        <v>470</v>
      </c>
      <c r="N55" s="45"/>
      <c r="O55" s="45"/>
      <c r="P55" s="50" t="s">
        <v>52</v>
      </c>
    </row>
    <row r="56" spans="1:16">
      <c r="A56" s="50" t="s">
        <v>51</v>
      </c>
      <c r="B56" s="50" t="s">
        <v>477</v>
      </c>
      <c r="C56" s="50" t="s">
        <v>30</v>
      </c>
      <c r="D56" s="50" t="s">
        <v>58</v>
      </c>
      <c r="E56" s="50" t="s">
        <v>20</v>
      </c>
      <c r="F56" s="55">
        <v>0</v>
      </c>
      <c r="G56" s="45"/>
      <c r="H56" s="45"/>
      <c r="I56" s="45"/>
      <c r="J56" s="69" t="s">
        <v>229</v>
      </c>
      <c r="K56" s="70" t="s">
        <v>229</v>
      </c>
      <c r="L56" s="66">
        <v>0</v>
      </c>
      <c r="M56" s="61" t="s">
        <v>470</v>
      </c>
      <c r="N56" s="45"/>
      <c r="O56" s="45"/>
      <c r="P56" s="50" t="s">
        <v>52</v>
      </c>
    </row>
    <row r="57" spans="1:16">
      <c r="A57" s="46" t="s">
        <v>51</v>
      </c>
      <c r="B57" s="44" t="s">
        <v>478</v>
      </c>
      <c r="C57" s="44" t="s">
        <v>18</v>
      </c>
      <c r="D57" s="44" t="s">
        <v>58</v>
      </c>
      <c r="E57" s="44" t="s">
        <v>20</v>
      </c>
      <c r="F57" s="54">
        <v>0.5</v>
      </c>
      <c r="G57" s="45"/>
      <c r="H57" s="45"/>
      <c r="I57" s="45"/>
      <c r="J57" s="68">
        <v>45945</v>
      </c>
      <c r="K57" s="70" t="s">
        <v>229</v>
      </c>
      <c r="L57" s="65">
        <v>0</v>
      </c>
      <c r="M57" s="60" t="s">
        <v>470</v>
      </c>
      <c r="N57" s="45"/>
      <c r="O57" s="45"/>
      <c r="P57" s="44" t="s">
        <v>52</v>
      </c>
    </row>
    <row r="58" spans="1:16">
      <c r="A58" s="50" t="s">
        <v>51</v>
      </c>
      <c r="B58" s="50" t="s">
        <v>479</v>
      </c>
      <c r="C58" s="50" t="s">
        <v>22</v>
      </c>
      <c r="D58" s="50" t="s">
        <v>58</v>
      </c>
      <c r="E58" s="50" t="s">
        <v>20</v>
      </c>
      <c r="F58" s="55">
        <v>0.5</v>
      </c>
      <c r="G58" s="50" t="s">
        <v>237</v>
      </c>
      <c r="H58" s="50" t="s">
        <v>54</v>
      </c>
      <c r="I58" s="50" t="s">
        <v>25</v>
      </c>
      <c r="J58" s="69">
        <v>45945</v>
      </c>
      <c r="K58" s="70" t="s">
        <v>229</v>
      </c>
      <c r="L58" s="66">
        <v>0</v>
      </c>
      <c r="M58" s="61" t="s">
        <v>470</v>
      </c>
      <c r="N58" s="45"/>
      <c r="O58" s="45"/>
      <c r="P58" s="50" t="s">
        <v>52</v>
      </c>
    </row>
    <row r="59" spans="1:16">
      <c r="A59" s="50" t="s">
        <v>51</v>
      </c>
      <c r="B59" s="50" t="s">
        <v>479</v>
      </c>
      <c r="C59" s="50" t="s">
        <v>28</v>
      </c>
      <c r="D59" s="50" t="s">
        <v>58</v>
      </c>
      <c r="E59" s="50" t="s">
        <v>20</v>
      </c>
      <c r="F59" s="55">
        <v>0</v>
      </c>
      <c r="G59" s="45"/>
      <c r="H59" s="45"/>
      <c r="I59" s="45"/>
      <c r="J59" s="69" t="s">
        <v>229</v>
      </c>
      <c r="K59" s="70" t="s">
        <v>229</v>
      </c>
      <c r="L59" s="66">
        <v>0</v>
      </c>
      <c r="M59" s="61" t="s">
        <v>470</v>
      </c>
      <c r="N59" s="45"/>
      <c r="O59" s="45"/>
      <c r="P59" s="50" t="s">
        <v>52</v>
      </c>
    </row>
    <row r="60" spans="1:16">
      <c r="A60" s="50" t="s">
        <v>51</v>
      </c>
      <c r="B60" s="50" t="s">
        <v>479</v>
      </c>
      <c r="C60" s="50" t="s">
        <v>29</v>
      </c>
      <c r="D60" s="50" t="s">
        <v>58</v>
      </c>
      <c r="E60" s="50" t="s">
        <v>20</v>
      </c>
      <c r="F60" s="55">
        <v>0</v>
      </c>
      <c r="G60" s="45"/>
      <c r="H60" s="45"/>
      <c r="I60" s="45"/>
      <c r="J60" s="69" t="s">
        <v>229</v>
      </c>
      <c r="K60" s="70" t="s">
        <v>229</v>
      </c>
      <c r="L60" s="66">
        <v>0</v>
      </c>
      <c r="M60" s="61" t="s">
        <v>470</v>
      </c>
      <c r="N60" s="45"/>
      <c r="O60" s="45"/>
      <c r="P60" s="50" t="s">
        <v>52</v>
      </c>
    </row>
    <row r="61" spans="1:16">
      <c r="A61" s="50" t="s">
        <v>51</v>
      </c>
      <c r="B61" s="50" t="s">
        <v>479</v>
      </c>
      <c r="C61" s="50" t="s">
        <v>30</v>
      </c>
      <c r="D61" s="50" t="s">
        <v>58</v>
      </c>
      <c r="E61" s="50" t="s">
        <v>20</v>
      </c>
      <c r="F61" s="55">
        <v>0</v>
      </c>
      <c r="G61" s="45"/>
      <c r="H61" s="45"/>
      <c r="I61" s="45"/>
      <c r="J61" s="69" t="s">
        <v>229</v>
      </c>
      <c r="K61" s="70" t="s">
        <v>229</v>
      </c>
      <c r="L61" s="66">
        <v>0</v>
      </c>
      <c r="M61" s="61" t="s">
        <v>470</v>
      </c>
      <c r="N61" s="45"/>
      <c r="O61" s="45"/>
      <c r="P61" s="50" t="s">
        <v>52</v>
      </c>
    </row>
    <row r="62" spans="1:16">
      <c r="A62" s="46" t="s">
        <v>51</v>
      </c>
      <c r="B62" s="44" t="s">
        <v>480</v>
      </c>
      <c r="C62" s="44" t="s">
        <v>18</v>
      </c>
      <c r="D62" s="44" t="s">
        <v>58</v>
      </c>
      <c r="E62" s="44" t="s">
        <v>20</v>
      </c>
      <c r="F62" s="54">
        <v>0.5</v>
      </c>
      <c r="G62" s="45"/>
      <c r="H62" s="45"/>
      <c r="I62" s="45"/>
      <c r="J62" s="68">
        <v>45945</v>
      </c>
      <c r="K62" s="70" t="s">
        <v>229</v>
      </c>
      <c r="L62" s="65">
        <v>0</v>
      </c>
      <c r="M62" s="60" t="s">
        <v>470</v>
      </c>
      <c r="N62" s="45"/>
      <c r="O62" s="45"/>
      <c r="P62" s="44" t="s">
        <v>52</v>
      </c>
    </row>
    <row r="63" spans="1:16">
      <c r="A63" s="50" t="s">
        <v>51</v>
      </c>
      <c r="B63" s="50" t="s">
        <v>481</v>
      </c>
      <c r="C63" s="50" t="s">
        <v>22</v>
      </c>
      <c r="D63" s="50" t="s">
        <v>58</v>
      </c>
      <c r="E63" s="50" t="s">
        <v>20</v>
      </c>
      <c r="F63" s="55">
        <v>0.5</v>
      </c>
      <c r="G63" s="50" t="s">
        <v>237</v>
      </c>
      <c r="H63" s="50" t="s">
        <v>54</v>
      </c>
      <c r="I63" s="50" t="s">
        <v>25</v>
      </c>
      <c r="J63" s="69">
        <v>45945</v>
      </c>
      <c r="K63" s="70" t="s">
        <v>229</v>
      </c>
      <c r="L63" s="66">
        <v>0</v>
      </c>
      <c r="M63" s="61" t="s">
        <v>470</v>
      </c>
      <c r="N63" s="45"/>
      <c r="O63" s="45"/>
      <c r="P63" s="50" t="s">
        <v>52</v>
      </c>
    </row>
    <row r="64" spans="1:16">
      <c r="A64" s="50" t="s">
        <v>51</v>
      </c>
      <c r="B64" s="50" t="s">
        <v>481</v>
      </c>
      <c r="C64" s="50" t="s">
        <v>28</v>
      </c>
      <c r="D64" s="50" t="s">
        <v>58</v>
      </c>
      <c r="E64" s="50" t="s">
        <v>20</v>
      </c>
      <c r="F64" s="55">
        <v>0</v>
      </c>
      <c r="G64" s="45"/>
      <c r="H64" s="45"/>
      <c r="I64" s="45"/>
      <c r="J64" s="69" t="s">
        <v>229</v>
      </c>
      <c r="K64" s="70" t="s">
        <v>229</v>
      </c>
      <c r="L64" s="66">
        <v>0</v>
      </c>
      <c r="M64" s="61" t="s">
        <v>470</v>
      </c>
      <c r="N64" s="45"/>
      <c r="O64" s="45"/>
      <c r="P64" s="50" t="s">
        <v>52</v>
      </c>
    </row>
    <row r="65" spans="1:16">
      <c r="A65" s="50" t="s">
        <v>51</v>
      </c>
      <c r="B65" s="50" t="s">
        <v>481</v>
      </c>
      <c r="C65" s="50" t="s">
        <v>29</v>
      </c>
      <c r="D65" s="50" t="s">
        <v>58</v>
      </c>
      <c r="E65" s="50" t="s">
        <v>20</v>
      </c>
      <c r="F65" s="55">
        <v>0</v>
      </c>
      <c r="G65" s="45"/>
      <c r="H65" s="45"/>
      <c r="I65" s="45"/>
      <c r="J65" s="69" t="s">
        <v>229</v>
      </c>
      <c r="K65" s="70" t="s">
        <v>229</v>
      </c>
      <c r="L65" s="66">
        <v>0</v>
      </c>
      <c r="M65" s="61" t="s">
        <v>470</v>
      </c>
      <c r="N65" s="45"/>
      <c r="O65" s="45"/>
      <c r="P65" s="50" t="s">
        <v>52</v>
      </c>
    </row>
    <row r="66" spans="1:16">
      <c r="A66" s="50" t="s">
        <v>51</v>
      </c>
      <c r="B66" s="50" t="s">
        <v>481</v>
      </c>
      <c r="C66" s="50" t="s">
        <v>30</v>
      </c>
      <c r="D66" s="50" t="s">
        <v>58</v>
      </c>
      <c r="E66" s="50" t="s">
        <v>20</v>
      </c>
      <c r="F66" s="55">
        <v>0</v>
      </c>
      <c r="G66" s="45"/>
      <c r="H66" s="45"/>
      <c r="I66" s="45"/>
      <c r="J66" s="69" t="s">
        <v>229</v>
      </c>
      <c r="K66" s="70" t="s">
        <v>229</v>
      </c>
      <c r="L66" s="66">
        <v>0</v>
      </c>
      <c r="M66" s="61" t="s">
        <v>470</v>
      </c>
      <c r="N66" s="45"/>
      <c r="O66" s="45"/>
      <c r="P66" s="50" t="s">
        <v>52</v>
      </c>
    </row>
    <row r="67" spans="1:16">
      <c r="A67" s="46" t="s">
        <v>51</v>
      </c>
      <c r="B67" s="44" t="s">
        <v>482</v>
      </c>
      <c r="C67" s="44" t="s">
        <v>18</v>
      </c>
      <c r="D67" s="44" t="s">
        <v>58</v>
      </c>
      <c r="E67" s="44" t="s">
        <v>20</v>
      </c>
      <c r="F67" s="54">
        <v>0.5</v>
      </c>
      <c r="G67" s="45"/>
      <c r="H67" s="45"/>
      <c r="I67" s="45"/>
      <c r="J67" s="68">
        <v>45945</v>
      </c>
      <c r="K67" s="70" t="s">
        <v>229</v>
      </c>
      <c r="L67" s="65">
        <v>0</v>
      </c>
      <c r="M67" s="60" t="s">
        <v>470</v>
      </c>
      <c r="N67" s="45"/>
      <c r="O67" s="45"/>
      <c r="P67" s="44" t="s">
        <v>52</v>
      </c>
    </row>
    <row r="68" spans="1:16">
      <c r="A68" s="50" t="s">
        <v>51</v>
      </c>
      <c r="B68" s="50" t="s">
        <v>483</v>
      </c>
      <c r="C68" s="50" t="s">
        <v>22</v>
      </c>
      <c r="D68" s="50" t="s">
        <v>58</v>
      </c>
      <c r="E68" s="50" t="s">
        <v>20</v>
      </c>
      <c r="F68" s="55">
        <v>0.5</v>
      </c>
      <c r="G68" s="50" t="s">
        <v>237</v>
      </c>
      <c r="H68" s="50" t="s">
        <v>54</v>
      </c>
      <c r="I68" s="50" t="s">
        <v>25</v>
      </c>
      <c r="J68" s="69">
        <v>45945</v>
      </c>
      <c r="K68" s="70" t="s">
        <v>229</v>
      </c>
      <c r="L68" s="66">
        <v>0</v>
      </c>
      <c r="M68" s="61" t="s">
        <v>470</v>
      </c>
      <c r="N68" s="45"/>
      <c r="O68" s="45"/>
      <c r="P68" s="50" t="s">
        <v>52</v>
      </c>
    </row>
    <row r="69" spans="1:16">
      <c r="A69" s="50" t="s">
        <v>51</v>
      </c>
      <c r="B69" s="50" t="s">
        <v>483</v>
      </c>
      <c r="C69" s="50" t="s">
        <v>28</v>
      </c>
      <c r="D69" s="50" t="s">
        <v>58</v>
      </c>
      <c r="E69" s="50" t="s">
        <v>20</v>
      </c>
      <c r="F69" s="55">
        <v>0</v>
      </c>
      <c r="G69" s="45"/>
      <c r="H69" s="45"/>
      <c r="I69" s="45"/>
      <c r="J69" s="69" t="s">
        <v>229</v>
      </c>
      <c r="K69" s="70" t="s">
        <v>229</v>
      </c>
      <c r="L69" s="66">
        <v>0</v>
      </c>
      <c r="M69" s="61" t="s">
        <v>470</v>
      </c>
      <c r="N69" s="45"/>
      <c r="O69" s="45"/>
      <c r="P69" s="50" t="s">
        <v>52</v>
      </c>
    </row>
    <row r="70" spans="1:16">
      <c r="A70" s="50" t="s">
        <v>51</v>
      </c>
      <c r="B70" s="50" t="s">
        <v>483</v>
      </c>
      <c r="C70" s="50" t="s">
        <v>29</v>
      </c>
      <c r="D70" s="50" t="s">
        <v>58</v>
      </c>
      <c r="E70" s="50" t="s">
        <v>20</v>
      </c>
      <c r="F70" s="55">
        <v>0</v>
      </c>
      <c r="G70" s="45"/>
      <c r="H70" s="45"/>
      <c r="I70" s="45"/>
      <c r="J70" s="69" t="s">
        <v>229</v>
      </c>
      <c r="K70" s="70" t="s">
        <v>229</v>
      </c>
      <c r="L70" s="66">
        <v>0</v>
      </c>
      <c r="M70" s="61" t="s">
        <v>470</v>
      </c>
      <c r="N70" s="45"/>
      <c r="O70" s="45"/>
      <c r="P70" s="50" t="s">
        <v>52</v>
      </c>
    </row>
    <row r="71" spans="1:16">
      <c r="A71" s="50" t="s">
        <v>51</v>
      </c>
      <c r="B71" s="50" t="s">
        <v>483</v>
      </c>
      <c r="C71" s="50" t="s">
        <v>30</v>
      </c>
      <c r="D71" s="50" t="s">
        <v>58</v>
      </c>
      <c r="E71" s="50" t="s">
        <v>20</v>
      </c>
      <c r="F71" s="55">
        <v>0</v>
      </c>
      <c r="G71" s="45"/>
      <c r="H71" s="45"/>
      <c r="I71" s="45"/>
      <c r="J71" s="69" t="s">
        <v>229</v>
      </c>
      <c r="K71" s="70" t="s">
        <v>229</v>
      </c>
      <c r="L71" s="66">
        <v>0</v>
      </c>
      <c r="M71" s="61" t="s">
        <v>470</v>
      </c>
      <c r="N71" s="45"/>
      <c r="O71" s="45"/>
      <c r="P71" s="50" t="s">
        <v>52</v>
      </c>
    </row>
    <row r="72" spans="1:16">
      <c r="A72" s="46" t="s">
        <v>51</v>
      </c>
      <c r="B72" s="44" t="s">
        <v>484</v>
      </c>
      <c r="C72" s="44" t="s">
        <v>18</v>
      </c>
      <c r="D72" s="44" t="s">
        <v>58</v>
      </c>
      <c r="E72" s="44" t="s">
        <v>20</v>
      </c>
      <c r="F72" s="54">
        <v>0.5</v>
      </c>
      <c r="G72" s="45"/>
      <c r="H72" s="45"/>
      <c r="I72" s="45"/>
      <c r="J72" s="68">
        <v>45945</v>
      </c>
      <c r="K72" s="70" t="s">
        <v>229</v>
      </c>
      <c r="L72" s="65">
        <v>0</v>
      </c>
      <c r="M72" s="60" t="s">
        <v>470</v>
      </c>
      <c r="N72" s="45"/>
      <c r="O72" s="44">
        <v>18</v>
      </c>
      <c r="P72" s="44" t="s">
        <v>52</v>
      </c>
    </row>
    <row r="73" spans="1:16">
      <c r="A73" s="50" t="s">
        <v>51</v>
      </c>
      <c r="B73" s="50" t="s">
        <v>485</v>
      </c>
      <c r="C73" s="50" t="s">
        <v>22</v>
      </c>
      <c r="D73" s="50" t="s">
        <v>58</v>
      </c>
      <c r="E73" s="50" t="s">
        <v>20</v>
      </c>
      <c r="F73" s="55">
        <v>0.5</v>
      </c>
      <c r="G73" s="50" t="s">
        <v>237</v>
      </c>
      <c r="H73" s="50" t="s">
        <v>54</v>
      </c>
      <c r="I73" s="50" t="s">
        <v>25</v>
      </c>
      <c r="J73" s="69">
        <v>45945</v>
      </c>
      <c r="K73" s="70" t="s">
        <v>229</v>
      </c>
      <c r="L73" s="66">
        <v>0</v>
      </c>
      <c r="M73" s="61" t="s">
        <v>470</v>
      </c>
      <c r="N73" s="45"/>
      <c r="O73" s="45"/>
      <c r="P73" s="50" t="s">
        <v>52</v>
      </c>
    </row>
    <row r="74" spans="1:16">
      <c r="A74" s="50" t="s">
        <v>51</v>
      </c>
      <c r="B74" s="50" t="s">
        <v>485</v>
      </c>
      <c r="C74" s="50" t="s">
        <v>28</v>
      </c>
      <c r="D74" s="50" t="s">
        <v>58</v>
      </c>
      <c r="E74" s="50" t="s">
        <v>20</v>
      </c>
      <c r="F74" s="55">
        <v>0</v>
      </c>
      <c r="G74" s="45"/>
      <c r="H74" s="45"/>
      <c r="I74" s="45"/>
      <c r="J74" s="69" t="s">
        <v>229</v>
      </c>
      <c r="K74" s="70" t="s">
        <v>229</v>
      </c>
      <c r="L74" s="66">
        <v>0</v>
      </c>
      <c r="M74" s="61" t="s">
        <v>470</v>
      </c>
      <c r="N74" s="45"/>
      <c r="O74" s="45"/>
      <c r="P74" s="50" t="s">
        <v>52</v>
      </c>
    </row>
    <row r="75" spans="1:16">
      <c r="A75" s="50" t="s">
        <v>51</v>
      </c>
      <c r="B75" s="50" t="s">
        <v>485</v>
      </c>
      <c r="C75" s="50" t="s">
        <v>29</v>
      </c>
      <c r="D75" s="50" t="s">
        <v>58</v>
      </c>
      <c r="E75" s="50" t="s">
        <v>20</v>
      </c>
      <c r="F75" s="55">
        <v>0</v>
      </c>
      <c r="G75" s="45"/>
      <c r="H75" s="45"/>
      <c r="I75" s="45"/>
      <c r="J75" s="69" t="s">
        <v>229</v>
      </c>
      <c r="K75" s="70" t="s">
        <v>229</v>
      </c>
      <c r="L75" s="66">
        <v>0</v>
      </c>
      <c r="M75" s="61" t="s">
        <v>470</v>
      </c>
      <c r="N75" s="45"/>
      <c r="O75" s="45"/>
      <c r="P75" s="50" t="s">
        <v>52</v>
      </c>
    </row>
    <row r="76" spans="1:16">
      <c r="A76" s="50" t="s">
        <v>51</v>
      </c>
      <c r="B76" s="50" t="s">
        <v>485</v>
      </c>
      <c r="C76" s="50" t="s">
        <v>30</v>
      </c>
      <c r="D76" s="50" t="s">
        <v>58</v>
      </c>
      <c r="E76" s="50" t="s">
        <v>20</v>
      </c>
      <c r="F76" s="55">
        <v>0</v>
      </c>
      <c r="G76" s="45"/>
      <c r="H76" s="45"/>
      <c r="I76" s="45"/>
      <c r="J76" s="69" t="s">
        <v>229</v>
      </c>
      <c r="K76" s="70" t="s">
        <v>229</v>
      </c>
      <c r="L76" s="66">
        <v>0</v>
      </c>
      <c r="M76" s="61" t="s">
        <v>470</v>
      </c>
      <c r="N76" s="45"/>
      <c r="O76" s="45"/>
      <c r="P76" s="50" t="s">
        <v>52</v>
      </c>
    </row>
    <row r="77" spans="1:16">
      <c r="A77" s="46" t="s">
        <v>51</v>
      </c>
      <c r="B77" s="44" t="s">
        <v>486</v>
      </c>
      <c r="C77" s="44" t="s">
        <v>18</v>
      </c>
      <c r="D77" s="44" t="s">
        <v>58</v>
      </c>
      <c r="E77" s="44" t="s">
        <v>20</v>
      </c>
      <c r="F77" s="54">
        <v>0.5</v>
      </c>
      <c r="G77" s="45"/>
      <c r="H77" s="45"/>
      <c r="I77" s="45"/>
      <c r="J77" s="68">
        <v>45945</v>
      </c>
      <c r="K77" s="70" t="s">
        <v>229</v>
      </c>
      <c r="L77" s="65">
        <v>0</v>
      </c>
      <c r="M77" s="60" t="s">
        <v>470</v>
      </c>
      <c r="N77" s="45"/>
      <c r="O77" s="45"/>
      <c r="P77" s="44" t="s">
        <v>52</v>
      </c>
    </row>
    <row r="78" spans="1:16">
      <c r="A78" s="50" t="s">
        <v>51</v>
      </c>
      <c r="B78" s="50" t="s">
        <v>487</v>
      </c>
      <c r="C78" s="50" t="s">
        <v>22</v>
      </c>
      <c r="D78" s="50" t="s">
        <v>58</v>
      </c>
      <c r="E78" s="50" t="s">
        <v>20</v>
      </c>
      <c r="F78" s="55">
        <v>0.5</v>
      </c>
      <c r="G78" s="50" t="s">
        <v>237</v>
      </c>
      <c r="H78" s="50" t="s">
        <v>54</v>
      </c>
      <c r="I78" s="50" t="s">
        <v>25</v>
      </c>
      <c r="J78" s="69">
        <v>45945</v>
      </c>
      <c r="K78" s="70" t="s">
        <v>229</v>
      </c>
      <c r="L78" s="66">
        <v>0</v>
      </c>
      <c r="M78" s="61" t="s">
        <v>470</v>
      </c>
      <c r="N78" s="45"/>
      <c r="O78" s="45"/>
      <c r="P78" s="50" t="s">
        <v>52</v>
      </c>
    </row>
    <row r="79" spans="1:16">
      <c r="A79" s="50" t="s">
        <v>51</v>
      </c>
      <c r="B79" s="50" t="s">
        <v>487</v>
      </c>
      <c r="C79" s="50" t="s">
        <v>28</v>
      </c>
      <c r="D79" s="50" t="s">
        <v>58</v>
      </c>
      <c r="E79" s="50" t="s">
        <v>20</v>
      </c>
      <c r="F79" s="55">
        <v>0</v>
      </c>
      <c r="G79" s="45"/>
      <c r="H79" s="45"/>
      <c r="I79" s="45"/>
      <c r="J79" s="69" t="s">
        <v>229</v>
      </c>
      <c r="K79" s="70" t="s">
        <v>229</v>
      </c>
      <c r="L79" s="66">
        <v>0</v>
      </c>
      <c r="M79" s="61" t="s">
        <v>470</v>
      </c>
      <c r="N79" s="45"/>
      <c r="O79" s="45"/>
      <c r="P79" s="50" t="s">
        <v>52</v>
      </c>
    </row>
    <row r="80" spans="1:16">
      <c r="A80" s="50" t="s">
        <v>51</v>
      </c>
      <c r="B80" s="50" t="s">
        <v>487</v>
      </c>
      <c r="C80" s="50" t="s">
        <v>29</v>
      </c>
      <c r="D80" s="50" t="s">
        <v>58</v>
      </c>
      <c r="E80" s="50" t="s">
        <v>20</v>
      </c>
      <c r="F80" s="55">
        <v>0</v>
      </c>
      <c r="G80" s="45"/>
      <c r="H80" s="45"/>
      <c r="I80" s="45"/>
      <c r="J80" s="69" t="s">
        <v>229</v>
      </c>
      <c r="K80" s="70" t="s">
        <v>229</v>
      </c>
      <c r="L80" s="66">
        <v>0</v>
      </c>
      <c r="M80" s="61" t="s">
        <v>470</v>
      </c>
      <c r="N80" s="45"/>
      <c r="O80" s="45"/>
      <c r="P80" s="50" t="s">
        <v>52</v>
      </c>
    </row>
    <row r="81" spans="1:16">
      <c r="A81" s="50" t="s">
        <v>51</v>
      </c>
      <c r="B81" s="50" t="s">
        <v>487</v>
      </c>
      <c r="C81" s="50" t="s">
        <v>30</v>
      </c>
      <c r="D81" s="50" t="s">
        <v>58</v>
      </c>
      <c r="E81" s="50" t="s">
        <v>20</v>
      </c>
      <c r="F81" s="55">
        <v>0</v>
      </c>
      <c r="G81" s="45"/>
      <c r="H81" s="45"/>
      <c r="I81" s="45"/>
      <c r="J81" s="69" t="s">
        <v>229</v>
      </c>
      <c r="K81" s="70" t="s">
        <v>229</v>
      </c>
      <c r="L81" s="66">
        <v>0</v>
      </c>
      <c r="M81" s="61" t="s">
        <v>470</v>
      </c>
      <c r="N81" s="45"/>
      <c r="O81" s="45"/>
      <c r="P81" s="50" t="s">
        <v>52</v>
      </c>
    </row>
    <row r="82" spans="1:16">
      <c r="A82" s="53" t="s">
        <v>51</v>
      </c>
      <c r="B82" s="44" t="s">
        <v>252</v>
      </c>
      <c r="C82" s="44" t="s">
        <v>18</v>
      </c>
      <c r="D82" s="44" t="s">
        <v>33</v>
      </c>
      <c r="E82" s="44" t="s">
        <v>20</v>
      </c>
      <c r="F82" s="54">
        <v>0.5</v>
      </c>
      <c r="G82" s="45"/>
      <c r="H82" s="45"/>
      <c r="I82" s="45"/>
      <c r="J82" s="68">
        <v>45945</v>
      </c>
      <c r="K82" s="70" t="s">
        <v>229</v>
      </c>
      <c r="L82" s="65">
        <v>0</v>
      </c>
      <c r="M82" s="60" t="s">
        <v>470</v>
      </c>
      <c r="N82" s="45"/>
      <c r="O82" s="45"/>
      <c r="P82" s="44" t="s">
        <v>52</v>
      </c>
    </row>
    <row r="83" spans="1:16">
      <c r="A83" s="50" t="s">
        <v>51</v>
      </c>
      <c r="B83" s="50" t="s">
        <v>253</v>
      </c>
      <c r="C83" s="50" t="s">
        <v>22</v>
      </c>
      <c r="D83" s="50" t="s">
        <v>33</v>
      </c>
      <c r="E83" s="50" t="s">
        <v>20</v>
      </c>
      <c r="F83" s="55">
        <v>0.5</v>
      </c>
      <c r="G83" s="50" t="s">
        <v>237</v>
      </c>
      <c r="H83" s="50" t="s">
        <v>54</v>
      </c>
      <c r="I83" s="50" t="s">
        <v>55</v>
      </c>
      <c r="J83" s="69">
        <v>45945</v>
      </c>
      <c r="K83" s="70" t="s">
        <v>229</v>
      </c>
      <c r="L83" s="66">
        <v>0</v>
      </c>
      <c r="M83" s="61" t="s">
        <v>470</v>
      </c>
      <c r="N83" s="45"/>
      <c r="O83" s="45"/>
      <c r="P83" s="50" t="s">
        <v>52</v>
      </c>
    </row>
    <row r="84" spans="1:16">
      <c r="A84" s="50" t="s">
        <v>51</v>
      </c>
      <c r="B84" s="50" t="s">
        <v>253</v>
      </c>
      <c r="C84" s="50" t="s">
        <v>28</v>
      </c>
      <c r="D84" s="50" t="s">
        <v>33</v>
      </c>
      <c r="E84" s="50" t="s">
        <v>20</v>
      </c>
      <c r="F84" s="55">
        <v>0</v>
      </c>
      <c r="G84" s="45"/>
      <c r="H84" s="45"/>
      <c r="I84" s="45"/>
      <c r="J84" s="69" t="s">
        <v>229</v>
      </c>
      <c r="K84" s="70" t="s">
        <v>229</v>
      </c>
      <c r="L84" s="66">
        <v>0</v>
      </c>
      <c r="M84" s="61" t="s">
        <v>470</v>
      </c>
      <c r="N84" s="45"/>
      <c r="O84" s="45"/>
      <c r="P84" s="50" t="s">
        <v>52</v>
      </c>
    </row>
    <row r="85" spans="1:16">
      <c r="A85" s="50" t="s">
        <v>51</v>
      </c>
      <c r="B85" s="50" t="s">
        <v>253</v>
      </c>
      <c r="C85" s="50" t="s">
        <v>29</v>
      </c>
      <c r="D85" s="50" t="s">
        <v>33</v>
      </c>
      <c r="E85" s="50" t="s">
        <v>20</v>
      </c>
      <c r="F85" s="55">
        <v>0</v>
      </c>
      <c r="G85" s="45"/>
      <c r="H85" s="45"/>
      <c r="I85" s="45"/>
      <c r="J85" s="69" t="s">
        <v>229</v>
      </c>
      <c r="K85" s="70" t="s">
        <v>229</v>
      </c>
      <c r="L85" s="66">
        <v>0</v>
      </c>
      <c r="M85" s="61" t="s">
        <v>470</v>
      </c>
      <c r="N85" s="45"/>
      <c r="O85" s="45"/>
      <c r="P85" s="50" t="s">
        <v>52</v>
      </c>
    </row>
    <row r="86" spans="1:16">
      <c r="A86" s="50" t="s">
        <v>51</v>
      </c>
      <c r="B86" s="50" t="s">
        <v>253</v>
      </c>
      <c r="C86" s="50" t="s">
        <v>30</v>
      </c>
      <c r="D86" s="50" t="s">
        <v>33</v>
      </c>
      <c r="E86" s="50" t="s">
        <v>20</v>
      </c>
      <c r="F86" s="55">
        <v>0</v>
      </c>
      <c r="G86" s="45"/>
      <c r="H86" s="45"/>
      <c r="I86" s="45"/>
      <c r="J86" s="69" t="s">
        <v>229</v>
      </c>
      <c r="K86" s="70" t="s">
        <v>229</v>
      </c>
      <c r="L86" s="66">
        <v>0</v>
      </c>
      <c r="M86" s="61" t="s">
        <v>470</v>
      </c>
      <c r="N86" s="45"/>
      <c r="O86" s="45"/>
      <c r="P86" s="50" t="s">
        <v>52</v>
      </c>
    </row>
    <row r="87" spans="1:16">
      <c r="A87" s="46" t="s">
        <v>51</v>
      </c>
      <c r="B87" s="44" t="s">
        <v>254</v>
      </c>
      <c r="C87" s="44" t="s">
        <v>18</v>
      </c>
      <c r="D87" s="44" t="s">
        <v>58</v>
      </c>
      <c r="E87" s="44" t="s">
        <v>20</v>
      </c>
      <c r="F87" s="54">
        <v>0.5</v>
      </c>
      <c r="G87" s="45"/>
      <c r="H87" s="45"/>
      <c r="I87" s="45"/>
      <c r="J87" s="68">
        <v>45945</v>
      </c>
      <c r="K87" s="70" t="s">
        <v>229</v>
      </c>
      <c r="L87" s="65">
        <v>0</v>
      </c>
      <c r="M87" s="60" t="s">
        <v>470</v>
      </c>
      <c r="N87" s="45"/>
      <c r="O87" s="45"/>
      <c r="P87" s="44" t="s">
        <v>52</v>
      </c>
    </row>
    <row r="88" spans="1:16">
      <c r="A88" s="50" t="s">
        <v>51</v>
      </c>
      <c r="B88" s="50" t="s">
        <v>255</v>
      </c>
      <c r="C88" s="50" t="s">
        <v>22</v>
      </c>
      <c r="D88" s="50" t="s">
        <v>58</v>
      </c>
      <c r="E88" s="50" t="s">
        <v>20</v>
      </c>
      <c r="F88" s="55">
        <v>0.5</v>
      </c>
      <c r="G88" s="50" t="s">
        <v>237</v>
      </c>
      <c r="H88" s="50" t="s">
        <v>54</v>
      </c>
      <c r="I88" s="50" t="s">
        <v>55</v>
      </c>
      <c r="J88" s="69">
        <v>45945</v>
      </c>
      <c r="K88" s="70" t="s">
        <v>229</v>
      </c>
      <c r="L88" s="66">
        <v>0</v>
      </c>
      <c r="M88" s="61" t="s">
        <v>470</v>
      </c>
      <c r="N88" s="45"/>
      <c r="O88" s="45"/>
      <c r="P88" s="50" t="s">
        <v>52</v>
      </c>
    </row>
    <row r="89" spans="1:16">
      <c r="A89" s="50" t="s">
        <v>51</v>
      </c>
      <c r="B89" s="50" t="s">
        <v>255</v>
      </c>
      <c r="C89" s="50" t="s">
        <v>28</v>
      </c>
      <c r="D89" s="50" t="s">
        <v>58</v>
      </c>
      <c r="E89" s="50" t="s">
        <v>20</v>
      </c>
      <c r="F89" s="55">
        <v>0</v>
      </c>
      <c r="G89" s="45"/>
      <c r="H89" s="45"/>
      <c r="I89" s="45"/>
      <c r="J89" s="69" t="s">
        <v>229</v>
      </c>
      <c r="K89" s="70" t="s">
        <v>229</v>
      </c>
      <c r="L89" s="66">
        <v>0</v>
      </c>
      <c r="M89" s="61" t="s">
        <v>470</v>
      </c>
      <c r="N89" s="45"/>
      <c r="O89" s="45"/>
      <c r="P89" s="50" t="s">
        <v>52</v>
      </c>
    </row>
    <row r="90" spans="1:16">
      <c r="A90" s="50" t="s">
        <v>51</v>
      </c>
      <c r="B90" s="50" t="s">
        <v>255</v>
      </c>
      <c r="C90" s="50" t="s">
        <v>29</v>
      </c>
      <c r="D90" s="50" t="s">
        <v>58</v>
      </c>
      <c r="E90" s="50" t="s">
        <v>20</v>
      </c>
      <c r="F90" s="55">
        <v>0</v>
      </c>
      <c r="G90" s="45"/>
      <c r="H90" s="45"/>
      <c r="I90" s="45"/>
      <c r="J90" s="69" t="s">
        <v>229</v>
      </c>
      <c r="K90" s="70" t="s">
        <v>229</v>
      </c>
      <c r="L90" s="66">
        <v>0</v>
      </c>
      <c r="M90" s="61" t="s">
        <v>470</v>
      </c>
      <c r="N90" s="45"/>
      <c r="O90" s="45"/>
      <c r="P90" s="50" t="s">
        <v>52</v>
      </c>
    </row>
    <row r="91" spans="1:16">
      <c r="A91" s="50" t="s">
        <v>51</v>
      </c>
      <c r="B91" s="50" t="s">
        <v>255</v>
      </c>
      <c r="C91" s="50" t="s">
        <v>30</v>
      </c>
      <c r="D91" s="50" t="s">
        <v>58</v>
      </c>
      <c r="E91" s="50" t="s">
        <v>20</v>
      </c>
      <c r="F91" s="55">
        <v>0</v>
      </c>
      <c r="G91" s="45"/>
      <c r="H91" s="45"/>
      <c r="I91" s="45"/>
      <c r="J91" s="69" t="s">
        <v>229</v>
      </c>
      <c r="K91" s="70" t="s">
        <v>229</v>
      </c>
      <c r="L91" s="66">
        <v>0</v>
      </c>
      <c r="M91" s="61" t="s">
        <v>470</v>
      </c>
      <c r="N91" s="45"/>
      <c r="O91" s="45"/>
      <c r="P91" s="50" t="s">
        <v>52</v>
      </c>
    </row>
    <row r="92" spans="1:16">
      <c r="A92" s="46" t="s">
        <v>51</v>
      </c>
      <c r="B92" s="44" t="s">
        <v>256</v>
      </c>
      <c r="C92" s="44" t="s">
        <v>18</v>
      </c>
      <c r="D92" s="44" t="s">
        <v>58</v>
      </c>
      <c r="E92" s="44" t="s">
        <v>20</v>
      </c>
      <c r="F92" s="54">
        <v>0.5</v>
      </c>
      <c r="G92" s="45"/>
      <c r="H92" s="45"/>
      <c r="I92" s="45"/>
      <c r="J92" s="68">
        <v>45945</v>
      </c>
      <c r="K92" s="70" t="s">
        <v>229</v>
      </c>
      <c r="L92" s="65">
        <v>0</v>
      </c>
      <c r="M92" s="60" t="s">
        <v>470</v>
      </c>
      <c r="N92" s="45"/>
      <c r="O92" s="45"/>
      <c r="P92" s="44" t="s">
        <v>52</v>
      </c>
    </row>
    <row r="93" spans="1:16">
      <c r="A93" s="50" t="s">
        <v>51</v>
      </c>
      <c r="B93" s="50" t="s">
        <v>257</v>
      </c>
      <c r="C93" s="50" t="s">
        <v>22</v>
      </c>
      <c r="D93" s="50" t="s">
        <v>58</v>
      </c>
      <c r="E93" s="50" t="s">
        <v>20</v>
      </c>
      <c r="F93" s="55">
        <v>0.5</v>
      </c>
      <c r="G93" s="50" t="s">
        <v>237</v>
      </c>
      <c r="H93" s="50" t="s">
        <v>54</v>
      </c>
      <c r="I93" s="50" t="s">
        <v>55</v>
      </c>
      <c r="J93" s="69">
        <v>45945</v>
      </c>
      <c r="K93" s="70" t="s">
        <v>229</v>
      </c>
      <c r="L93" s="66">
        <v>0</v>
      </c>
      <c r="M93" s="61" t="s">
        <v>470</v>
      </c>
      <c r="N93" s="45"/>
      <c r="O93" s="45"/>
      <c r="P93" s="50" t="s">
        <v>52</v>
      </c>
    </row>
    <row r="94" spans="1:16">
      <c r="A94" s="50" t="s">
        <v>51</v>
      </c>
      <c r="B94" s="50" t="s">
        <v>257</v>
      </c>
      <c r="C94" s="50" t="s">
        <v>28</v>
      </c>
      <c r="D94" s="50" t="s">
        <v>58</v>
      </c>
      <c r="E94" s="50" t="s">
        <v>20</v>
      </c>
      <c r="F94" s="55">
        <v>0</v>
      </c>
      <c r="G94" s="45"/>
      <c r="H94" s="45"/>
      <c r="I94" s="45"/>
      <c r="J94" s="69" t="s">
        <v>229</v>
      </c>
      <c r="K94" s="70" t="s">
        <v>229</v>
      </c>
      <c r="L94" s="66">
        <v>0</v>
      </c>
      <c r="M94" s="61" t="s">
        <v>470</v>
      </c>
      <c r="N94" s="45"/>
      <c r="O94" s="45"/>
      <c r="P94" s="50" t="s">
        <v>52</v>
      </c>
    </row>
    <row r="95" spans="1:16">
      <c r="A95" s="50" t="s">
        <v>51</v>
      </c>
      <c r="B95" s="50" t="s">
        <v>257</v>
      </c>
      <c r="C95" s="50" t="s">
        <v>29</v>
      </c>
      <c r="D95" s="50" t="s">
        <v>58</v>
      </c>
      <c r="E95" s="50" t="s">
        <v>20</v>
      </c>
      <c r="F95" s="55">
        <v>0</v>
      </c>
      <c r="G95" s="45"/>
      <c r="H95" s="45"/>
      <c r="I95" s="45"/>
      <c r="J95" s="69" t="s">
        <v>229</v>
      </c>
      <c r="K95" s="70" t="s">
        <v>229</v>
      </c>
      <c r="L95" s="66">
        <v>0</v>
      </c>
      <c r="M95" s="61" t="s">
        <v>470</v>
      </c>
      <c r="N95" s="45"/>
      <c r="O95" s="45"/>
      <c r="P95" s="50" t="s">
        <v>52</v>
      </c>
    </row>
    <row r="96" spans="1:16">
      <c r="A96" s="50" t="s">
        <v>51</v>
      </c>
      <c r="B96" s="50" t="s">
        <v>257</v>
      </c>
      <c r="C96" s="50" t="s">
        <v>30</v>
      </c>
      <c r="D96" s="50" t="s">
        <v>58</v>
      </c>
      <c r="E96" s="50" t="s">
        <v>20</v>
      </c>
      <c r="F96" s="55">
        <v>0</v>
      </c>
      <c r="G96" s="45"/>
      <c r="H96" s="45"/>
      <c r="I96" s="45"/>
      <c r="J96" s="69" t="s">
        <v>229</v>
      </c>
      <c r="K96" s="70" t="s">
        <v>229</v>
      </c>
      <c r="L96" s="66">
        <v>0</v>
      </c>
      <c r="M96" s="61" t="s">
        <v>470</v>
      </c>
      <c r="N96" s="45"/>
      <c r="O96" s="45"/>
      <c r="P96" s="50" t="s">
        <v>52</v>
      </c>
    </row>
    <row r="97" spans="1:16">
      <c r="A97" s="53" t="s">
        <v>51</v>
      </c>
      <c r="B97" s="44" t="s">
        <v>258</v>
      </c>
      <c r="C97" s="44" t="s">
        <v>18</v>
      </c>
      <c r="D97" s="44" t="s">
        <v>33</v>
      </c>
      <c r="E97" s="44" t="s">
        <v>20</v>
      </c>
      <c r="F97" s="54">
        <v>0.5</v>
      </c>
      <c r="G97" s="45"/>
      <c r="H97" s="45"/>
      <c r="I97" s="45"/>
      <c r="J97" s="68">
        <v>45945</v>
      </c>
      <c r="K97" s="70" t="s">
        <v>229</v>
      </c>
      <c r="L97" s="65">
        <v>0</v>
      </c>
      <c r="M97" s="60" t="s">
        <v>470</v>
      </c>
      <c r="N97" s="45"/>
      <c r="O97" s="45"/>
      <c r="P97" s="44" t="s">
        <v>52</v>
      </c>
    </row>
    <row r="98" spans="1:16">
      <c r="A98" s="50" t="s">
        <v>51</v>
      </c>
      <c r="B98" s="50" t="s">
        <v>259</v>
      </c>
      <c r="C98" s="50" t="s">
        <v>22</v>
      </c>
      <c r="D98" s="50" t="s">
        <v>33</v>
      </c>
      <c r="E98" s="50" t="s">
        <v>20</v>
      </c>
      <c r="F98" s="55">
        <v>0.5</v>
      </c>
      <c r="G98" s="50" t="s">
        <v>237</v>
      </c>
      <c r="H98" s="50" t="s">
        <v>54</v>
      </c>
      <c r="I98" s="50" t="s">
        <v>55</v>
      </c>
      <c r="J98" s="68">
        <v>45945</v>
      </c>
      <c r="K98" s="70" t="s">
        <v>229</v>
      </c>
      <c r="L98" s="66">
        <v>0</v>
      </c>
      <c r="M98" s="61" t="s">
        <v>470</v>
      </c>
      <c r="N98" s="45"/>
      <c r="O98" s="45"/>
      <c r="P98" s="50" t="s">
        <v>52</v>
      </c>
    </row>
    <row r="99" spans="1:16">
      <c r="A99" s="50" t="s">
        <v>51</v>
      </c>
      <c r="B99" s="50" t="s">
        <v>259</v>
      </c>
      <c r="C99" s="50" t="s">
        <v>28</v>
      </c>
      <c r="D99" s="50" t="s">
        <v>33</v>
      </c>
      <c r="E99" s="50" t="s">
        <v>20</v>
      </c>
      <c r="F99" s="55">
        <v>0</v>
      </c>
      <c r="G99" s="45"/>
      <c r="H99" s="45"/>
      <c r="I99" s="45"/>
      <c r="J99" s="69" t="s">
        <v>229</v>
      </c>
      <c r="K99" s="70" t="s">
        <v>229</v>
      </c>
      <c r="L99" s="66">
        <v>0</v>
      </c>
      <c r="M99" s="61" t="s">
        <v>470</v>
      </c>
      <c r="N99" s="45"/>
      <c r="O99" s="45"/>
      <c r="P99" s="50" t="s">
        <v>52</v>
      </c>
    </row>
    <row r="100" spans="1:16">
      <c r="A100" s="50" t="s">
        <v>51</v>
      </c>
      <c r="B100" s="50" t="s">
        <v>259</v>
      </c>
      <c r="C100" s="50" t="s">
        <v>29</v>
      </c>
      <c r="D100" s="45"/>
      <c r="E100" s="50" t="s">
        <v>20</v>
      </c>
      <c r="F100" s="55">
        <v>0</v>
      </c>
      <c r="G100" s="45"/>
      <c r="H100" s="45"/>
      <c r="I100" s="45"/>
      <c r="J100" s="69" t="s">
        <v>229</v>
      </c>
      <c r="K100" s="70" t="s">
        <v>229</v>
      </c>
      <c r="L100" s="66">
        <v>0</v>
      </c>
      <c r="M100" s="61" t="s">
        <v>470</v>
      </c>
      <c r="N100" s="45"/>
      <c r="O100" s="45"/>
      <c r="P100" s="50" t="s">
        <v>52</v>
      </c>
    </row>
    <row r="101" spans="1:16">
      <c r="A101" s="50" t="s">
        <v>51</v>
      </c>
      <c r="B101" s="50" t="s">
        <v>259</v>
      </c>
      <c r="C101" s="50" t="s">
        <v>30</v>
      </c>
      <c r="D101" s="50" t="s">
        <v>33</v>
      </c>
      <c r="E101" s="50" t="s">
        <v>20</v>
      </c>
      <c r="F101" s="55">
        <v>0</v>
      </c>
      <c r="G101" s="45"/>
      <c r="H101" s="45"/>
      <c r="I101" s="45"/>
      <c r="J101" s="69" t="s">
        <v>229</v>
      </c>
      <c r="K101" s="70" t="s">
        <v>229</v>
      </c>
      <c r="L101" s="66">
        <v>0</v>
      </c>
      <c r="M101" s="61" t="s">
        <v>470</v>
      </c>
      <c r="N101" s="45"/>
      <c r="O101" s="45"/>
      <c r="P101" s="50" t="s">
        <v>52</v>
      </c>
    </row>
    <row r="102" spans="1:16">
      <c r="A102" s="46" t="s">
        <v>51</v>
      </c>
      <c r="B102" s="44" t="s">
        <v>488</v>
      </c>
      <c r="C102" s="44" t="s">
        <v>18</v>
      </c>
      <c r="D102" s="44" t="s">
        <v>58</v>
      </c>
      <c r="E102" s="44" t="s">
        <v>20</v>
      </c>
      <c r="F102" s="54">
        <v>0.5</v>
      </c>
      <c r="G102" s="45"/>
      <c r="H102" s="45"/>
      <c r="I102" s="45"/>
      <c r="J102" s="68">
        <v>45945</v>
      </c>
      <c r="K102" s="70" t="s">
        <v>229</v>
      </c>
      <c r="L102" s="65">
        <v>0</v>
      </c>
      <c r="M102" s="60" t="s">
        <v>470</v>
      </c>
      <c r="N102" s="45"/>
      <c r="O102" s="45"/>
      <c r="P102" s="44" t="s">
        <v>52</v>
      </c>
    </row>
    <row r="103" spans="1:16">
      <c r="A103" s="50" t="s">
        <v>51</v>
      </c>
      <c r="B103" s="50" t="s">
        <v>489</v>
      </c>
      <c r="C103" s="50" t="s">
        <v>22</v>
      </c>
      <c r="D103" s="50" t="s">
        <v>58</v>
      </c>
      <c r="E103" s="50" t="s">
        <v>20</v>
      </c>
      <c r="F103" s="55">
        <v>0.5</v>
      </c>
      <c r="G103" s="50" t="s">
        <v>237</v>
      </c>
      <c r="H103" s="50" t="s">
        <v>54</v>
      </c>
      <c r="I103" s="50" t="s">
        <v>55</v>
      </c>
      <c r="J103" s="69">
        <v>45945</v>
      </c>
      <c r="K103" s="70" t="s">
        <v>229</v>
      </c>
      <c r="L103" s="66">
        <v>0</v>
      </c>
      <c r="M103" s="61" t="s">
        <v>470</v>
      </c>
      <c r="N103" s="45"/>
      <c r="O103" s="45"/>
      <c r="P103" s="50" t="s">
        <v>52</v>
      </c>
    </row>
    <row r="104" spans="1:16">
      <c r="A104" s="50" t="s">
        <v>51</v>
      </c>
      <c r="B104" s="50" t="s">
        <v>489</v>
      </c>
      <c r="C104" s="50" t="s">
        <v>28</v>
      </c>
      <c r="D104" s="50" t="s">
        <v>58</v>
      </c>
      <c r="E104" s="50" t="s">
        <v>20</v>
      </c>
      <c r="F104" s="55">
        <v>0</v>
      </c>
      <c r="G104" s="45"/>
      <c r="H104" s="45"/>
      <c r="I104" s="45"/>
      <c r="J104" s="69" t="s">
        <v>229</v>
      </c>
      <c r="K104" s="70" t="s">
        <v>229</v>
      </c>
      <c r="L104" s="66">
        <v>0</v>
      </c>
      <c r="M104" s="61" t="s">
        <v>470</v>
      </c>
      <c r="N104" s="45"/>
      <c r="O104" s="45"/>
      <c r="P104" s="50" t="s">
        <v>52</v>
      </c>
    </row>
    <row r="105" spans="1:16">
      <c r="A105" s="50" t="s">
        <v>51</v>
      </c>
      <c r="B105" s="50" t="s">
        <v>489</v>
      </c>
      <c r="C105" s="50" t="s">
        <v>29</v>
      </c>
      <c r="D105" s="50" t="s">
        <v>58</v>
      </c>
      <c r="E105" s="50" t="s">
        <v>20</v>
      </c>
      <c r="F105" s="55">
        <v>0</v>
      </c>
      <c r="G105" s="45"/>
      <c r="H105" s="45"/>
      <c r="I105" s="45"/>
      <c r="J105" s="69" t="s">
        <v>229</v>
      </c>
      <c r="K105" s="70" t="s">
        <v>229</v>
      </c>
      <c r="L105" s="66">
        <v>0</v>
      </c>
      <c r="M105" s="61" t="s">
        <v>470</v>
      </c>
      <c r="N105" s="45"/>
      <c r="O105" s="45"/>
      <c r="P105" s="50" t="s">
        <v>52</v>
      </c>
    </row>
    <row r="106" spans="1:16">
      <c r="A106" s="50" t="s">
        <v>51</v>
      </c>
      <c r="B106" s="50" t="s">
        <v>489</v>
      </c>
      <c r="C106" s="50" t="s">
        <v>30</v>
      </c>
      <c r="D106" s="50" t="s">
        <v>58</v>
      </c>
      <c r="E106" s="50" t="s">
        <v>20</v>
      </c>
      <c r="F106" s="55">
        <v>0</v>
      </c>
      <c r="G106" s="45"/>
      <c r="H106" s="45"/>
      <c r="I106" s="45"/>
      <c r="J106" s="69" t="s">
        <v>229</v>
      </c>
      <c r="K106" s="70" t="s">
        <v>229</v>
      </c>
      <c r="L106" s="66">
        <v>0</v>
      </c>
      <c r="M106" s="61" t="s">
        <v>470</v>
      </c>
      <c r="N106" s="45"/>
      <c r="O106" s="45"/>
      <c r="P106" s="50" t="s">
        <v>52</v>
      </c>
    </row>
    <row r="107" spans="1:16">
      <c r="A107" s="46" t="s">
        <v>51</v>
      </c>
      <c r="B107" s="44" t="s">
        <v>262</v>
      </c>
      <c r="C107" s="44" t="s">
        <v>18</v>
      </c>
      <c r="D107" s="44" t="s">
        <v>58</v>
      </c>
      <c r="E107" s="44" t="s">
        <v>20</v>
      </c>
      <c r="F107" s="54">
        <v>0.5</v>
      </c>
      <c r="G107" s="45"/>
      <c r="H107" s="45"/>
      <c r="I107" s="45"/>
      <c r="J107" s="68">
        <v>45945</v>
      </c>
      <c r="K107" s="70" t="s">
        <v>229</v>
      </c>
      <c r="L107" s="65">
        <v>0</v>
      </c>
      <c r="M107" s="60" t="s">
        <v>470</v>
      </c>
      <c r="N107" s="45"/>
      <c r="O107" s="45"/>
      <c r="P107" s="44" t="s">
        <v>52</v>
      </c>
    </row>
    <row r="108" spans="1:16">
      <c r="A108" s="50" t="s">
        <v>51</v>
      </c>
      <c r="B108" s="50" t="s">
        <v>263</v>
      </c>
      <c r="C108" s="50" t="s">
        <v>22</v>
      </c>
      <c r="D108" s="50" t="s">
        <v>58</v>
      </c>
      <c r="E108" s="50" t="s">
        <v>20</v>
      </c>
      <c r="F108" s="55">
        <v>0.5</v>
      </c>
      <c r="G108" s="50" t="s">
        <v>237</v>
      </c>
      <c r="H108" s="50" t="s">
        <v>54</v>
      </c>
      <c r="I108" s="50" t="s">
        <v>55</v>
      </c>
      <c r="J108" s="69">
        <v>45945</v>
      </c>
      <c r="K108" s="70" t="s">
        <v>229</v>
      </c>
      <c r="L108" s="66">
        <v>0</v>
      </c>
      <c r="M108" s="61" t="s">
        <v>470</v>
      </c>
      <c r="N108" s="45"/>
      <c r="O108" s="45"/>
      <c r="P108" s="50" t="s">
        <v>52</v>
      </c>
    </row>
    <row r="109" spans="1:16">
      <c r="A109" s="50" t="s">
        <v>51</v>
      </c>
      <c r="B109" s="50" t="s">
        <v>263</v>
      </c>
      <c r="C109" s="50" t="s">
        <v>28</v>
      </c>
      <c r="D109" s="50" t="s">
        <v>58</v>
      </c>
      <c r="E109" s="50" t="s">
        <v>20</v>
      </c>
      <c r="F109" s="55">
        <v>0</v>
      </c>
      <c r="G109" s="45"/>
      <c r="H109" s="45"/>
      <c r="I109" s="45"/>
      <c r="J109" s="69" t="s">
        <v>229</v>
      </c>
      <c r="K109" s="70" t="s">
        <v>229</v>
      </c>
      <c r="L109" s="66">
        <v>0</v>
      </c>
      <c r="M109" s="61" t="s">
        <v>470</v>
      </c>
      <c r="N109" s="45"/>
      <c r="O109" s="45"/>
      <c r="P109" s="50" t="s">
        <v>52</v>
      </c>
    </row>
    <row r="110" spans="1:16">
      <c r="A110" s="50" t="s">
        <v>51</v>
      </c>
      <c r="B110" s="50" t="s">
        <v>263</v>
      </c>
      <c r="C110" s="50" t="s">
        <v>29</v>
      </c>
      <c r="D110" s="50" t="s">
        <v>58</v>
      </c>
      <c r="E110" s="50" t="s">
        <v>20</v>
      </c>
      <c r="F110" s="55">
        <v>0</v>
      </c>
      <c r="G110" s="45"/>
      <c r="H110" s="45"/>
      <c r="I110" s="45"/>
      <c r="J110" s="69" t="s">
        <v>229</v>
      </c>
      <c r="K110" s="70" t="s">
        <v>229</v>
      </c>
      <c r="L110" s="66">
        <v>0</v>
      </c>
      <c r="M110" s="61" t="s">
        <v>470</v>
      </c>
      <c r="N110" s="45"/>
      <c r="O110" s="45"/>
      <c r="P110" s="50" t="s">
        <v>52</v>
      </c>
    </row>
    <row r="111" spans="1:16">
      <c r="A111" s="50" t="s">
        <v>51</v>
      </c>
      <c r="B111" s="50" t="s">
        <v>263</v>
      </c>
      <c r="C111" s="50" t="s">
        <v>30</v>
      </c>
      <c r="D111" s="50" t="s">
        <v>58</v>
      </c>
      <c r="E111" s="50" t="s">
        <v>20</v>
      </c>
      <c r="F111" s="55">
        <v>0</v>
      </c>
      <c r="G111" s="45"/>
      <c r="H111" s="45"/>
      <c r="I111" s="45"/>
      <c r="J111" s="69" t="s">
        <v>229</v>
      </c>
      <c r="K111" s="70" t="s">
        <v>229</v>
      </c>
      <c r="L111" s="66">
        <v>0</v>
      </c>
      <c r="M111" s="61" t="s">
        <v>470</v>
      </c>
      <c r="N111" s="45"/>
      <c r="O111" s="45"/>
      <c r="P111" s="50" t="s">
        <v>52</v>
      </c>
    </row>
    <row r="112" spans="1:16">
      <c r="A112" s="46" t="s">
        <v>51</v>
      </c>
      <c r="B112" s="44" t="s">
        <v>264</v>
      </c>
      <c r="C112" s="44" t="s">
        <v>18</v>
      </c>
      <c r="D112" s="44" t="s">
        <v>58</v>
      </c>
      <c r="E112" s="44" t="s">
        <v>20</v>
      </c>
      <c r="F112" s="54">
        <v>0.5</v>
      </c>
      <c r="G112" s="45"/>
      <c r="H112" s="45"/>
      <c r="I112" s="45"/>
      <c r="J112" s="68">
        <v>45945</v>
      </c>
      <c r="K112" s="70" t="s">
        <v>229</v>
      </c>
      <c r="L112" s="65">
        <v>0</v>
      </c>
      <c r="M112" s="60" t="s">
        <v>470</v>
      </c>
      <c r="N112" s="45"/>
      <c r="O112" s="45"/>
      <c r="P112" s="44" t="s">
        <v>52</v>
      </c>
    </row>
    <row r="113" spans="1:16">
      <c r="A113" s="50" t="s">
        <v>51</v>
      </c>
      <c r="B113" s="50" t="s">
        <v>265</v>
      </c>
      <c r="C113" s="50" t="s">
        <v>22</v>
      </c>
      <c r="D113" s="50" t="s">
        <v>58</v>
      </c>
      <c r="E113" s="50" t="s">
        <v>20</v>
      </c>
      <c r="F113" s="55">
        <v>0.5</v>
      </c>
      <c r="G113" s="50" t="s">
        <v>237</v>
      </c>
      <c r="H113" s="50" t="s">
        <v>54</v>
      </c>
      <c r="I113" s="50" t="s">
        <v>55</v>
      </c>
      <c r="J113" s="69">
        <v>45945</v>
      </c>
      <c r="K113" s="70" t="s">
        <v>229</v>
      </c>
      <c r="L113" s="66">
        <v>0</v>
      </c>
      <c r="M113" s="61" t="s">
        <v>470</v>
      </c>
      <c r="N113" s="45"/>
      <c r="O113" s="45"/>
      <c r="P113" s="50" t="s">
        <v>52</v>
      </c>
    </row>
    <row r="114" spans="1:16">
      <c r="A114" s="50" t="s">
        <v>51</v>
      </c>
      <c r="B114" s="50" t="s">
        <v>265</v>
      </c>
      <c r="C114" s="50" t="s">
        <v>28</v>
      </c>
      <c r="D114" s="50" t="s">
        <v>58</v>
      </c>
      <c r="E114" s="50" t="s">
        <v>20</v>
      </c>
      <c r="F114" s="55">
        <v>0</v>
      </c>
      <c r="G114" s="45"/>
      <c r="H114" s="45"/>
      <c r="I114" s="45"/>
      <c r="J114" s="69" t="s">
        <v>229</v>
      </c>
      <c r="K114" s="70" t="s">
        <v>229</v>
      </c>
      <c r="L114" s="66">
        <v>0</v>
      </c>
      <c r="M114" s="61" t="s">
        <v>470</v>
      </c>
      <c r="N114" s="45"/>
      <c r="O114" s="45"/>
      <c r="P114" s="50" t="s">
        <v>52</v>
      </c>
    </row>
    <row r="115" spans="1:16">
      <c r="A115" s="50" t="s">
        <v>51</v>
      </c>
      <c r="B115" s="50" t="s">
        <v>265</v>
      </c>
      <c r="C115" s="50" t="s">
        <v>29</v>
      </c>
      <c r="D115" s="50" t="s">
        <v>58</v>
      </c>
      <c r="E115" s="50" t="s">
        <v>20</v>
      </c>
      <c r="F115" s="55">
        <v>0</v>
      </c>
      <c r="G115" s="45"/>
      <c r="H115" s="45"/>
      <c r="I115" s="45"/>
      <c r="J115" s="69" t="s">
        <v>229</v>
      </c>
      <c r="K115" s="70" t="s">
        <v>229</v>
      </c>
      <c r="L115" s="66">
        <v>0</v>
      </c>
      <c r="M115" s="61" t="s">
        <v>470</v>
      </c>
      <c r="N115" s="45"/>
      <c r="O115" s="45"/>
      <c r="P115" s="50" t="s">
        <v>52</v>
      </c>
    </row>
    <row r="116" spans="1:16">
      <c r="A116" s="50" t="s">
        <v>51</v>
      </c>
      <c r="B116" s="50" t="s">
        <v>265</v>
      </c>
      <c r="C116" s="50" t="s">
        <v>30</v>
      </c>
      <c r="D116" s="50" t="s">
        <v>58</v>
      </c>
      <c r="E116" s="50" t="s">
        <v>20</v>
      </c>
      <c r="F116" s="55">
        <v>0</v>
      </c>
      <c r="G116" s="45"/>
      <c r="H116" s="45"/>
      <c r="I116" s="45"/>
      <c r="J116" s="69" t="s">
        <v>229</v>
      </c>
      <c r="K116" s="70" t="s">
        <v>229</v>
      </c>
      <c r="L116" s="66">
        <v>0</v>
      </c>
      <c r="M116" s="61" t="s">
        <v>470</v>
      </c>
      <c r="N116" s="45"/>
      <c r="O116" s="45"/>
      <c r="P116" s="50" t="s">
        <v>52</v>
      </c>
    </row>
    <row r="117" spans="1:16">
      <c r="A117" s="53" t="s">
        <v>51</v>
      </c>
      <c r="B117" s="44" t="s">
        <v>266</v>
      </c>
      <c r="C117" s="44" t="s">
        <v>18</v>
      </c>
      <c r="D117" s="44" t="s">
        <v>33</v>
      </c>
      <c r="E117" s="44" t="s">
        <v>20</v>
      </c>
      <c r="F117" s="54">
        <v>0.5</v>
      </c>
      <c r="G117" s="45"/>
      <c r="H117" s="45"/>
      <c r="I117" s="45"/>
      <c r="J117" s="68">
        <v>45945</v>
      </c>
      <c r="K117" s="70" t="s">
        <v>229</v>
      </c>
      <c r="L117" s="65">
        <v>0</v>
      </c>
      <c r="M117" s="60" t="s">
        <v>470</v>
      </c>
      <c r="N117" s="45"/>
      <c r="O117" s="45"/>
      <c r="P117" s="44" t="s">
        <v>52</v>
      </c>
    </row>
    <row r="118" spans="1:16">
      <c r="A118" s="50" t="s">
        <v>51</v>
      </c>
      <c r="B118" s="50" t="s">
        <v>267</v>
      </c>
      <c r="C118" s="50" t="s">
        <v>22</v>
      </c>
      <c r="D118" s="50" t="s">
        <v>33</v>
      </c>
      <c r="E118" s="50" t="s">
        <v>20</v>
      </c>
      <c r="F118" s="55">
        <v>0.5</v>
      </c>
      <c r="G118" s="50" t="s">
        <v>237</v>
      </c>
      <c r="H118" s="50" t="s">
        <v>54</v>
      </c>
      <c r="I118" s="50" t="s">
        <v>55</v>
      </c>
      <c r="J118" s="68">
        <v>45945</v>
      </c>
      <c r="K118" s="70" t="s">
        <v>229</v>
      </c>
      <c r="L118" s="66">
        <v>0</v>
      </c>
      <c r="M118" s="61" t="s">
        <v>470</v>
      </c>
      <c r="N118" s="45"/>
      <c r="O118" s="45"/>
      <c r="P118" s="50" t="s">
        <v>52</v>
      </c>
    </row>
    <row r="119" spans="1:16">
      <c r="A119" s="50" t="s">
        <v>51</v>
      </c>
      <c r="B119" s="50" t="s">
        <v>267</v>
      </c>
      <c r="C119" s="50" t="s">
        <v>28</v>
      </c>
      <c r="D119" s="50" t="s">
        <v>33</v>
      </c>
      <c r="E119" s="50" t="s">
        <v>20</v>
      </c>
      <c r="F119" s="55">
        <v>0</v>
      </c>
      <c r="G119" s="45"/>
      <c r="H119" s="45"/>
      <c r="I119" s="45"/>
      <c r="J119" s="69" t="s">
        <v>229</v>
      </c>
      <c r="K119" s="70" t="s">
        <v>229</v>
      </c>
      <c r="L119" s="66">
        <v>0</v>
      </c>
      <c r="M119" s="61" t="s">
        <v>470</v>
      </c>
      <c r="N119" s="45"/>
      <c r="O119" s="45"/>
      <c r="P119" s="50" t="s">
        <v>52</v>
      </c>
    </row>
    <row r="120" spans="1:16">
      <c r="A120" s="50" t="s">
        <v>51</v>
      </c>
      <c r="B120" s="50" t="s">
        <v>267</v>
      </c>
      <c r="C120" s="50" t="s">
        <v>29</v>
      </c>
      <c r="D120" s="50" t="s">
        <v>33</v>
      </c>
      <c r="E120" s="50" t="s">
        <v>20</v>
      </c>
      <c r="F120" s="55">
        <v>0</v>
      </c>
      <c r="G120" s="45"/>
      <c r="H120" s="45"/>
      <c r="I120" s="45"/>
      <c r="J120" s="69" t="s">
        <v>229</v>
      </c>
      <c r="K120" s="70" t="s">
        <v>229</v>
      </c>
      <c r="L120" s="66">
        <v>0</v>
      </c>
      <c r="M120" s="61" t="s">
        <v>470</v>
      </c>
      <c r="N120" s="45"/>
      <c r="O120" s="45"/>
      <c r="P120" s="50" t="s">
        <v>52</v>
      </c>
    </row>
    <row r="121" spans="1:16">
      <c r="A121" s="50" t="s">
        <v>51</v>
      </c>
      <c r="B121" s="50" t="s">
        <v>267</v>
      </c>
      <c r="C121" s="50" t="s">
        <v>30</v>
      </c>
      <c r="D121" s="50" t="s">
        <v>33</v>
      </c>
      <c r="E121" s="50" t="s">
        <v>20</v>
      </c>
      <c r="F121" s="55">
        <v>0</v>
      </c>
      <c r="G121" s="45"/>
      <c r="H121" s="45"/>
      <c r="I121" s="45"/>
      <c r="J121" s="69" t="s">
        <v>229</v>
      </c>
      <c r="K121" s="70" t="s">
        <v>229</v>
      </c>
      <c r="L121" s="66">
        <v>0</v>
      </c>
      <c r="M121" s="61" t="s">
        <v>470</v>
      </c>
      <c r="N121" s="45"/>
      <c r="O121" s="45"/>
      <c r="P121" s="50" t="s">
        <v>52</v>
      </c>
    </row>
    <row r="122" spans="1:16">
      <c r="A122" s="46" t="s">
        <v>51</v>
      </c>
      <c r="B122" s="44" t="s">
        <v>490</v>
      </c>
      <c r="C122" s="44" t="s">
        <v>18</v>
      </c>
      <c r="D122" s="44" t="s">
        <v>58</v>
      </c>
      <c r="E122" s="44" t="s">
        <v>20</v>
      </c>
      <c r="F122" s="54">
        <v>0.5</v>
      </c>
      <c r="G122" s="45"/>
      <c r="H122" s="45"/>
      <c r="I122" s="45"/>
      <c r="J122" s="68">
        <v>45945</v>
      </c>
      <c r="K122" s="70" t="s">
        <v>229</v>
      </c>
      <c r="L122" s="65">
        <v>0</v>
      </c>
      <c r="M122" s="60" t="s">
        <v>470</v>
      </c>
      <c r="N122" s="45"/>
      <c r="O122" s="45"/>
      <c r="P122" s="44" t="s">
        <v>52</v>
      </c>
    </row>
    <row r="123" spans="1:16">
      <c r="A123" s="50" t="s">
        <v>51</v>
      </c>
      <c r="B123" s="50" t="s">
        <v>491</v>
      </c>
      <c r="C123" s="50" t="s">
        <v>22</v>
      </c>
      <c r="D123" s="50" t="s">
        <v>58</v>
      </c>
      <c r="E123" s="50" t="s">
        <v>20</v>
      </c>
      <c r="F123" s="55">
        <v>0.5</v>
      </c>
      <c r="G123" s="50" t="s">
        <v>237</v>
      </c>
      <c r="H123" s="50" t="s">
        <v>54</v>
      </c>
      <c r="I123" s="50" t="s">
        <v>55</v>
      </c>
      <c r="J123" s="69">
        <v>45945</v>
      </c>
      <c r="K123" s="70" t="s">
        <v>229</v>
      </c>
      <c r="L123" s="66">
        <v>0</v>
      </c>
      <c r="M123" s="61" t="s">
        <v>470</v>
      </c>
      <c r="N123" s="45"/>
      <c r="O123" s="45"/>
      <c r="P123" s="50" t="s">
        <v>52</v>
      </c>
    </row>
    <row r="124" spans="1:16">
      <c r="A124" s="50" t="s">
        <v>51</v>
      </c>
      <c r="B124" s="50" t="s">
        <v>491</v>
      </c>
      <c r="C124" s="50" t="s">
        <v>28</v>
      </c>
      <c r="D124" s="50" t="s">
        <v>58</v>
      </c>
      <c r="E124" s="50" t="s">
        <v>20</v>
      </c>
      <c r="F124" s="55">
        <v>0</v>
      </c>
      <c r="G124" s="45"/>
      <c r="H124" s="45"/>
      <c r="I124" s="45"/>
      <c r="J124" s="69" t="s">
        <v>229</v>
      </c>
      <c r="K124" s="70" t="s">
        <v>229</v>
      </c>
      <c r="L124" s="66">
        <v>0</v>
      </c>
      <c r="M124" s="61" t="s">
        <v>470</v>
      </c>
      <c r="N124" s="45"/>
      <c r="O124" s="45"/>
      <c r="P124" s="50" t="s">
        <v>52</v>
      </c>
    </row>
    <row r="125" spans="1:16">
      <c r="A125" s="50" t="s">
        <v>51</v>
      </c>
      <c r="B125" s="50" t="s">
        <v>491</v>
      </c>
      <c r="C125" s="50" t="s">
        <v>29</v>
      </c>
      <c r="D125" s="50" t="s">
        <v>58</v>
      </c>
      <c r="E125" s="50" t="s">
        <v>20</v>
      </c>
      <c r="F125" s="55">
        <v>0</v>
      </c>
      <c r="G125" s="45"/>
      <c r="H125" s="45"/>
      <c r="I125" s="45"/>
      <c r="J125" s="69" t="s">
        <v>229</v>
      </c>
      <c r="K125" s="70" t="s">
        <v>229</v>
      </c>
      <c r="L125" s="66">
        <v>0</v>
      </c>
      <c r="M125" s="61" t="s">
        <v>470</v>
      </c>
      <c r="N125" s="45"/>
      <c r="O125" s="45"/>
      <c r="P125" s="50" t="s">
        <v>52</v>
      </c>
    </row>
    <row r="126" spans="1:16">
      <c r="A126" s="50" t="s">
        <v>51</v>
      </c>
      <c r="B126" s="50" t="s">
        <v>491</v>
      </c>
      <c r="C126" s="50" t="s">
        <v>30</v>
      </c>
      <c r="D126" s="50" t="s">
        <v>58</v>
      </c>
      <c r="E126" s="50" t="s">
        <v>20</v>
      </c>
      <c r="F126" s="55">
        <v>0</v>
      </c>
      <c r="G126" s="45"/>
      <c r="H126" s="45"/>
      <c r="I126" s="45"/>
      <c r="J126" s="69" t="s">
        <v>229</v>
      </c>
      <c r="K126" s="70" t="s">
        <v>229</v>
      </c>
      <c r="L126" s="66">
        <v>0</v>
      </c>
      <c r="M126" s="61" t="s">
        <v>470</v>
      </c>
      <c r="N126" s="45"/>
      <c r="O126" s="45"/>
      <c r="P126" s="50" t="s">
        <v>52</v>
      </c>
    </row>
    <row r="127" spans="1:16">
      <c r="A127" s="46" t="s">
        <v>51</v>
      </c>
      <c r="B127" s="44" t="s">
        <v>492</v>
      </c>
      <c r="C127" s="44" t="s">
        <v>18</v>
      </c>
      <c r="D127" s="44" t="s">
        <v>58</v>
      </c>
      <c r="E127" s="44" t="s">
        <v>20</v>
      </c>
      <c r="F127" s="54">
        <v>0.5</v>
      </c>
      <c r="G127" s="45"/>
      <c r="H127" s="45"/>
      <c r="I127" s="45"/>
      <c r="J127" s="68">
        <v>45945</v>
      </c>
      <c r="K127" s="70" t="s">
        <v>229</v>
      </c>
      <c r="L127" s="65">
        <v>0</v>
      </c>
      <c r="M127" s="60" t="s">
        <v>470</v>
      </c>
      <c r="N127" s="45"/>
      <c r="O127" s="45"/>
      <c r="P127" s="44" t="s">
        <v>52</v>
      </c>
    </row>
    <row r="128" spans="1:16">
      <c r="A128" s="50" t="s">
        <v>51</v>
      </c>
      <c r="B128" s="50" t="s">
        <v>493</v>
      </c>
      <c r="C128" s="50" t="s">
        <v>22</v>
      </c>
      <c r="D128" s="50" t="s">
        <v>58</v>
      </c>
      <c r="E128" s="50" t="s">
        <v>20</v>
      </c>
      <c r="F128" s="55">
        <v>0.5</v>
      </c>
      <c r="G128" s="50" t="s">
        <v>237</v>
      </c>
      <c r="H128" s="50" t="s">
        <v>54</v>
      </c>
      <c r="I128" s="50" t="s">
        <v>55</v>
      </c>
      <c r="J128" s="69">
        <v>45945</v>
      </c>
      <c r="K128" s="70" t="s">
        <v>229</v>
      </c>
      <c r="L128" s="66">
        <v>0</v>
      </c>
      <c r="M128" s="61" t="s">
        <v>470</v>
      </c>
      <c r="N128" s="45"/>
      <c r="O128" s="45"/>
      <c r="P128" s="50" t="s">
        <v>52</v>
      </c>
    </row>
    <row r="129" spans="1:16">
      <c r="A129" s="50" t="s">
        <v>51</v>
      </c>
      <c r="B129" s="50" t="s">
        <v>493</v>
      </c>
      <c r="C129" s="50" t="s">
        <v>28</v>
      </c>
      <c r="D129" s="50" t="s">
        <v>58</v>
      </c>
      <c r="E129" s="50" t="s">
        <v>20</v>
      </c>
      <c r="F129" s="55">
        <v>0</v>
      </c>
      <c r="G129" s="45"/>
      <c r="H129" s="45"/>
      <c r="I129" s="45"/>
      <c r="J129" s="69" t="s">
        <v>229</v>
      </c>
      <c r="K129" s="70" t="s">
        <v>229</v>
      </c>
      <c r="L129" s="66">
        <v>0</v>
      </c>
      <c r="M129" s="61" t="s">
        <v>470</v>
      </c>
      <c r="N129" s="45"/>
      <c r="O129" s="45"/>
      <c r="P129" s="50" t="s">
        <v>52</v>
      </c>
    </row>
    <row r="130" spans="1:16">
      <c r="A130" s="50" t="s">
        <v>51</v>
      </c>
      <c r="B130" s="50" t="s">
        <v>493</v>
      </c>
      <c r="C130" s="50" t="s">
        <v>29</v>
      </c>
      <c r="D130" s="50" t="s">
        <v>58</v>
      </c>
      <c r="E130" s="50" t="s">
        <v>20</v>
      </c>
      <c r="F130" s="55">
        <v>0</v>
      </c>
      <c r="G130" s="45"/>
      <c r="H130" s="45"/>
      <c r="I130" s="45"/>
      <c r="J130" s="69" t="s">
        <v>229</v>
      </c>
      <c r="K130" s="70" t="s">
        <v>229</v>
      </c>
      <c r="L130" s="66">
        <v>0</v>
      </c>
      <c r="M130" s="61" t="s">
        <v>470</v>
      </c>
      <c r="N130" s="45"/>
      <c r="O130" s="45"/>
      <c r="P130" s="50" t="s">
        <v>52</v>
      </c>
    </row>
    <row r="131" spans="1:16">
      <c r="A131" s="50" t="s">
        <v>51</v>
      </c>
      <c r="B131" s="50" t="s">
        <v>493</v>
      </c>
      <c r="C131" s="50" t="s">
        <v>30</v>
      </c>
      <c r="D131" s="50" t="s">
        <v>58</v>
      </c>
      <c r="E131" s="50" t="s">
        <v>20</v>
      </c>
      <c r="F131" s="55">
        <v>0</v>
      </c>
      <c r="G131" s="45"/>
      <c r="H131" s="45"/>
      <c r="I131" s="45"/>
      <c r="J131" s="69" t="s">
        <v>229</v>
      </c>
      <c r="K131" s="70" t="s">
        <v>229</v>
      </c>
      <c r="L131" s="66">
        <v>0</v>
      </c>
      <c r="M131" s="61" t="s">
        <v>470</v>
      </c>
      <c r="N131" s="45"/>
      <c r="O131" s="45"/>
      <c r="P131" s="50" t="s">
        <v>52</v>
      </c>
    </row>
    <row r="132" spans="1:16">
      <c r="A132" s="46" t="s">
        <v>51</v>
      </c>
      <c r="B132" s="44" t="s">
        <v>494</v>
      </c>
      <c r="C132" s="44" t="s">
        <v>18</v>
      </c>
      <c r="D132" s="44" t="s">
        <v>58</v>
      </c>
      <c r="E132" s="44" t="s">
        <v>20</v>
      </c>
      <c r="F132" s="54">
        <v>0.5</v>
      </c>
      <c r="G132" s="45"/>
      <c r="H132" s="45"/>
      <c r="I132" s="45"/>
      <c r="J132" s="68">
        <v>45945</v>
      </c>
      <c r="K132" s="70" t="s">
        <v>229</v>
      </c>
      <c r="L132" s="65">
        <v>0</v>
      </c>
      <c r="M132" s="60" t="s">
        <v>470</v>
      </c>
      <c r="N132" s="45"/>
      <c r="O132" s="45"/>
      <c r="P132" s="44" t="s">
        <v>52</v>
      </c>
    </row>
    <row r="133" spans="1:16">
      <c r="A133" s="50" t="s">
        <v>51</v>
      </c>
      <c r="B133" s="50" t="s">
        <v>495</v>
      </c>
      <c r="C133" s="50" t="s">
        <v>22</v>
      </c>
      <c r="D133" s="50" t="s">
        <v>58</v>
      </c>
      <c r="E133" s="50" t="s">
        <v>20</v>
      </c>
      <c r="F133" s="55">
        <v>0.5</v>
      </c>
      <c r="G133" s="50" t="s">
        <v>237</v>
      </c>
      <c r="H133" s="50" t="s">
        <v>54</v>
      </c>
      <c r="I133" s="50" t="s">
        <v>55</v>
      </c>
      <c r="J133" s="69">
        <v>45945</v>
      </c>
      <c r="K133" s="70" t="s">
        <v>229</v>
      </c>
      <c r="L133" s="66">
        <v>0</v>
      </c>
      <c r="M133" s="61" t="s">
        <v>470</v>
      </c>
      <c r="N133" s="45"/>
      <c r="O133" s="45"/>
      <c r="P133" s="50" t="s">
        <v>52</v>
      </c>
    </row>
    <row r="134" spans="1:16">
      <c r="A134" s="50" t="s">
        <v>51</v>
      </c>
      <c r="B134" s="50" t="s">
        <v>495</v>
      </c>
      <c r="C134" s="50" t="s">
        <v>28</v>
      </c>
      <c r="D134" s="50" t="s">
        <v>58</v>
      </c>
      <c r="E134" s="50" t="s">
        <v>20</v>
      </c>
      <c r="F134" s="55">
        <v>0</v>
      </c>
      <c r="G134" s="45"/>
      <c r="H134" s="45"/>
      <c r="I134" s="45"/>
      <c r="J134" s="69" t="s">
        <v>229</v>
      </c>
      <c r="K134" s="70" t="s">
        <v>229</v>
      </c>
      <c r="L134" s="66">
        <v>0</v>
      </c>
      <c r="M134" s="61" t="s">
        <v>470</v>
      </c>
      <c r="N134" s="45"/>
      <c r="O134" s="45"/>
      <c r="P134" s="50" t="s">
        <v>52</v>
      </c>
    </row>
    <row r="135" spans="1:16">
      <c r="A135" s="50" t="s">
        <v>51</v>
      </c>
      <c r="B135" s="50" t="s">
        <v>495</v>
      </c>
      <c r="C135" s="50" t="s">
        <v>29</v>
      </c>
      <c r="D135" s="50" t="s">
        <v>58</v>
      </c>
      <c r="E135" s="50" t="s">
        <v>20</v>
      </c>
      <c r="F135" s="55">
        <v>0</v>
      </c>
      <c r="G135" s="45"/>
      <c r="H135" s="45"/>
      <c r="I135" s="45"/>
      <c r="J135" s="69" t="s">
        <v>229</v>
      </c>
      <c r="K135" s="70" t="s">
        <v>229</v>
      </c>
      <c r="L135" s="66">
        <v>0</v>
      </c>
      <c r="M135" s="61" t="s">
        <v>470</v>
      </c>
      <c r="N135" s="45"/>
      <c r="O135" s="45"/>
      <c r="P135" s="50" t="s">
        <v>52</v>
      </c>
    </row>
    <row r="136" spans="1:16">
      <c r="A136" s="50" t="s">
        <v>51</v>
      </c>
      <c r="B136" s="50" t="s">
        <v>495</v>
      </c>
      <c r="C136" s="50" t="s">
        <v>30</v>
      </c>
      <c r="D136" s="50" t="s">
        <v>58</v>
      </c>
      <c r="E136" s="50" t="s">
        <v>20</v>
      </c>
      <c r="F136" s="55">
        <v>0</v>
      </c>
      <c r="G136" s="45"/>
      <c r="H136" s="45"/>
      <c r="I136" s="45"/>
      <c r="J136" s="69" t="s">
        <v>229</v>
      </c>
      <c r="K136" s="70" t="s">
        <v>229</v>
      </c>
      <c r="L136" s="66">
        <v>0</v>
      </c>
      <c r="M136" s="61" t="s">
        <v>470</v>
      </c>
      <c r="N136" s="45"/>
      <c r="O136" s="45"/>
      <c r="P136" s="50" t="s">
        <v>52</v>
      </c>
    </row>
    <row r="137" spans="1:16">
      <c r="A137" s="46" t="s">
        <v>51</v>
      </c>
      <c r="B137" s="44" t="s">
        <v>274</v>
      </c>
      <c r="C137" s="44" t="s">
        <v>18</v>
      </c>
      <c r="D137" s="44" t="s">
        <v>58</v>
      </c>
      <c r="E137" s="44" t="s">
        <v>20</v>
      </c>
      <c r="F137" s="54">
        <v>0.5</v>
      </c>
      <c r="G137" s="45"/>
      <c r="H137" s="45"/>
      <c r="I137" s="45"/>
      <c r="J137" s="68">
        <v>45945</v>
      </c>
      <c r="K137" s="70" t="s">
        <v>229</v>
      </c>
      <c r="L137" s="65">
        <v>0</v>
      </c>
      <c r="M137" s="60" t="s">
        <v>470</v>
      </c>
      <c r="N137" s="45"/>
      <c r="O137" s="45"/>
      <c r="P137" s="44" t="s">
        <v>52</v>
      </c>
    </row>
    <row r="138" spans="1:16">
      <c r="A138" s="50" t="s">
        <v>51</v>
      </c>
      <c r="B138" s="50" t="s">
        <v>275</v>
      </c>
      <c r="C138" s="50" t="s">
        <v>22</v>
      </c>
      <c r="D138" s="50" t="s">
        <v>58</v>
      </c>
      <c r="E138" s="50" t="s">
        <v>20</v>
      </c>
      <c r="F138" s="55">
        <v>0.5</v>
      </c>
      <c r="G138" s="50" t="s">
        <v>237</v>
      </c>
      <c r="H138" s="50" t="s">
        <v>54</v>
      </c>
      <c r="I138" s="50" t="s">
        <v>55</v>
      </c>
      <c r="J138" s="69">
        <v>45945</v>
      </c>
      <c r="K138" s="70" t="s">
        <v>229</v>
      </c>
      <c r="L138" s="66">
        <v>0</v>
      </c>
      <c r="M138" s="61" t="s">
        <v>470</v>
      </c>
      <c r="N138" s="45"/>
      <c r="O138" s="45"/>
      <c r="P138" s="50" t="s">
        <v>52</v>
      </c>
    </row>
    <row r="139" spans="1:16">
      <c r="A139" s="50" t="s">
        <v>51</v>
      </c>
      <c r="B139" s="50" t="s">
        <v>275</v>
      </c>
      <c r="C139" s="50" t="s">
        <v>28</v>
      </c>
      <c r="D139" s="50" t="s">
        <v>58</v>
      </c>
      <c r="E139" s="50" t="s">
        <v>20</v>
      </c>
      <c r="F139" s="55">
        <v>0</v>
      </c>
      <c r="G139" s="45"/>
      <c r="H139" s="45"/>
      <c r="I139" s="45"/>
      <c r="J139" s="69" t="s">
        <v>229</v>
      </c>
      <c r="K139" s="70" t="s">
        <v>229</v>
      </c>
      <c r="L139" s="66">
        <v>0</v>
      </c>
      <c r="M139" s="61" t="s">
        <v>470</v>
      </c>
      <c r="N139" s="45"/>
      <c r="O139" s="45"/>
      <c r="P139" s="50" t="s">
        <v>52</v>
      </c>
    </row>
    <row r="140" spans="1:16">
      <c r="A140" s="50" t="s">
        <v>51</v>
      </c>
      <c r="B140" s="50" t="s">
        <v>275</v>
      </c>
      <c r="C140" s="50" t="s">
        <v>29</v>
      </c>
      <c r="D140" s="50" t="s">
        <v>58</v>
      </c>
      <c r="E140" s="50" t="s">
        <v>20</v>
      </c>
      <c r="F140" s="55">
        <v>0</v>
      </c>
      <c r="G140" s="45"/>
      <c r="H140" s="45"/>
      <c r="I140" s="45"/>
      <c r="J140" s="69" t="s">
        <v>229</v>
      </c>
      <c r="K140" s="70" t="s">
        <v>229</v>
      </c>
      <c r="L140" s="66">
        <v>0</v>
      </c>
      <c r="M140" s="61" t="s">
        <v>470</v>
      </c>
      <c r="N140" s="45"/>
      <c r="O140" s="45"/>
      <c r="P140" s="50" t="s">
        <v>52</v>
      </c>
    </row>
    <row r="141" spans="1:16">
      <c r="A141" s="50" t="s">
        <v>51</v>
      </c>
      <c r="B141" s="50" t="s">
        <v>275</v>
      </c>
      <c r="C141" s="50" t="s">
        <v>30</v>
      </c>
      <c r="D141" s="50" t="s">
        <v>58</v>
      </c>
      <c r="E141" s="50" t="s">
        <v>20</v>
      </c>
      <c r="F141" s="55">
        <v>0</v>
      </c>
      <c r="G141" s="45"/>
      <c r="H141" s="45"/>
      <c r="I141" s="45"/>
      <c r="J141" s="69" t="s">
        <v>229</v>
      </c>
      <c r="K141" s="70" t="s">
        <v>229</v>
      </c>
      <c r="L141" s="66">
        <v>0</v>
      </c>
      <c r="M141" s="61" t="s">
        <v>470</v>
      </c>
      <c r="N141" s="45"/>
      <c r="O141" s="45"/>
      <c r="P141" s="50" t="s">
        <v>52</v>
      </c>
    </row>
    <row r="142" spans="1:16">
      <c r="A142" s="46" t="s">
        <v>51</v>
      </c>
      <c r="B142" s="44" t="s">
        <v>276</v>
      </c>
      <c r="C142" s="44" t="s">
        <v>18</v>
      </c>
      <c r="D142" s="44" t="s">
        <v>58</v>
      </c>
      <c r="E142" s="44" t="s">
        <v>20</v>
      </c>
      <c r="F142" s="54">
        <v>0.5</v>
      </c>
      <c r="G142" s="45"/>
      <c r="H142" s="45"/>
      <c r="I142" s="45"/>
      <c r="J142" s="68">
        <v>45945</v>
      </c>
      <c r="K142" s="70" t="s">
        <v>229</v>
      </c>
      <c r="L142" s="65">
        <v>0</v>
      </c>
      <c r="M142" s="60" t="s">
        <v>470</v>
      </c>
      <c r="N142" s="45"/>
      <c r="O142" s="45"/>
      <c r="P142" s="44" t="s">
        <v>52</v>
      </c>
    </row>
    <row r="143" spans="1:16">
      <c r="A143" s="50" t="s">
        <v>51</v>
      </c>
      <c r="B143" s="50" t="s">
        <v>277</v>
      </c>
      <c r="C143" s="50" t="s">
        <v>22</v>
      </c>
      <c r="D143" s="50" t="s">
        <v>58</v>
      </c>
      <c r="E143" s="50" t="s">
        <v>20</v>
      </c>
      <c r="F143" s="55">
        <v>0.5</v>
      </c>
      <c r="G143" s="50" t="s">
        <v>237</v>
      </c>
      <c r="H143" s="50" t="s">
        <v>54</v>
      </c>
      <c r="I143" s="50" t="s">
        <v>55</v>
      </c>
      <c r="J143" s="69">
        <v>45945</v>
      </c>
      <c r="K143" s="70" t="s">
        <v>229</v>
      </c>
      <c r="L143" s="66">
        <v>0</v>
      </c>
      <c r="M143" s="61" t="s">
        <v>470</v>
      </c>
      <c r="N143" s="45"/>
      <c r="O143" s="45"/>
      <c r="P143" s="50" t="s">
        <v>52</v>
      </c>
    </row>
    <row r="144" spans="1:16">
      <c r="A144" s="50" t="s">
        <v>51</v>
      </c>
      <c r="B144" s="50" t="s">
        <v>277</v>
      </c>
      <c r="C144" s="50" t="s">
        <v>28</v>
      </c>
      <c r="D144" s="50" t="s">
        <v>58</v>
      </c>
      <c r="E144" s="50" t="s">
        <v>20</v>
      </c>
      <c r="F144" s="55">
        <v>0</v>
      </c>
      <c r="G144" s="45"/>
      <c r="H144" s="45"/>
      <c r="I144" s="45"/>
      <c r="J144" s="69" t="s">
        <v>229</v>
      </c>
      <c r="K144" s="70" t="s">
        <v>229</v>
      </c>
      <c r="L144" s="66">
        <v>0</v>
      </c>
      <c r="M144" s="61" t="s">
        <v>470</v>
      </c>
      <c r="N144" s="45"/>
      <c r="O144" s="45"/>
      <c r="P144" s="50" t="s">
        <v>52</v>
      </c>
    </row>
    <row r="145" spans="1:16">
      <c r="A145" s="50" t="s">
        <v>51</v>
      </c>
      <c r="B145" s="50" t="s">
        <v>277</v>
      </c>
      <c r="C145" s="50" t="s">
        <v>29</v>
      </c>
      <c r="D145" s="50" t="s">
        <v>58</v>
      </c>
      <c r="E145" s="50" t="s">
        <v>20</v>
      </c>
      <c r="F145" s="55">
        <v>0</v>
      </c>
      <c r="G145" s="45"/>
      <c r="H145" s="45"/>
      <c r="I145" s="45"/>
      <c r="J145" s="69" t="s">
        <v>229</v>
      </c>
      <c r="K145" s="70" t="s">
        <v>229</v>
      </c>
      <c r="L145" s="66">
        <v>0</v>
      </c>
      <c r="M145" s="61" t="s">
        <v>470</v>
      </c>
      <c r="N145" s="45"/>
      <c r="O145" s="45"/>
      <c r="P145" s="50" t="s">
        <v>52</v>
      </c>
    </row>
    <row r="146" spans="1:16">
      <c r="A146" s="50" t="s">
        <v>51</v>
      </c>
      <c r="B146" s="50" t="s">
        <v>277</v>
      </c>
      <c r="C146" s="50" t="s">
        <v>30</v>
      </c>
      <c r="D146" s="50" t="s">
        <v>58</v>
      </c>
      <c r="E146" s="50" t="s">
        <v>20</v>
      </c>
      <c r="F146" s="55">
        <v>0</v>
      </c>
      <c r="G146" s="45"/>
      <c r="H146" s="45"/>
      <c r="I146" s="45"/>
      <c r="J146" s="69" t="s">
        <v>229</v>
      </c>
      <c r="K146" s="70" t="s">
        <v>229</v>
      </c>
      <c r="L146" s="66">
        <v>0</v>
      </c>
      <c r="M146" s="61" t="s">
        <v>470</v>
      </c>
      <c r="N146" s="45"/>
      <c r="O146" s="45"/>
      <c r="P146" s="50" t="s">
        <v>52</v>
      </c>
    </row>
    <row r="147" spans="1:16">
      <c r="A147" s="46" t="s">
        <v>16</v>
      </c>
      <c r="B147" s="47" t="s">
        <v>278</v>
      </c>
      <c r="C147" s="47" t="s">
        <v>18</v>
      </c>
      <c r="D147" s="47" t="s">
        <v>19</v>
      </c>
      <c r="E147" s="47" t="s">
        <v>20</v>
      </c>
      <c r="F147" s="48">
        <v>0</v>
      </c>
      <c r="G147" s="49"/>
      <c r="H147" s="49"/>
      <c r="I147" s="49"/>
      <c r="J147" s="68">
        <v>46113</v>
      </c>
      <c r="K147" s="68">
        <v>46379</v>
      </c>
      <c r="L147" s="63">
        <v>191</v>
      </c>
      <c r="M147" s="58" t="s">
        <v>470</v>
      </c>
      <c r="N147" s="49"/>
      <c r="O147" s="49"/>
      <c r="P147" s="47" t="s">
        <v>77</v>
      </c>
    </row>
    <row r="148" spans="1:16">
      <c r="A148" s="50" t="s">
        <v>16</v>
      </c>
      <c r="B148" s="51" t="s">
        <v>279</v>
      </c>
      <c r="C148" s="51" t="s">
        <v>22</v>
      </c>
      <c r="D148" s="51" t="s">
        <v>19</v>
      </c>
      <c r="E148" s="51" t="s">
        <v>20</v>
      </c>
      <c r="F148" s="52">
        <v>0</v>
      </c>
      <c r="G148" s="51" t="s">
        <v>469</v>
      </c>
      <c r="H148" s="51" t="s">
        <v>24</v>
      </c>
      <c r="I148" s="51" t="s">
        <v>25</v>
      </c>
      <c r="J148" s="69">
        <v>46113</v>
      </c>
      <c r="K148" s="68">
        <v>46188</v>
      </c>
      <c r="L148" s="64">
        <v>54</v>
      </c>
      <c r="M148" s="59" t="s">
        <v>470</v>
      </c>
      <c r="N148" s="49"/>
      <c r="O148" s="51" t="s">
        <v>27</v>
      </c>
      <c r="P148" s="51" t="s">
        <v>77</v>
      </c>
    </row>
    <row r="149" spans="1:16">
      <c r="A149" s="50" t="s">
        <v>16</v>
      </c>
      <c r="B149" s="51" t="s">
        <v>279</v>
      </c>
      <c r="C149" s="51" t="s">
        <v>28</v>
      </c>
      <c r="D149" s="51" t="s">
        <v>19</v>
      </c>
      <c r="E149" s="51" t="s">
        <v>20</v>
      </c>
      <c r="F149" s="52">
        <v>0</v>
      </c>
      <c r="G149" s="49"/>
      <c r="H149" s="49"/>
      <c r="I149" s="49"/>
      <c r="J149" s="68">
        <v>46310</v>
      </c>
      <c r="K149" s="68">
        <v>46379</v>
      </c>
      <c r="L149" s="64">
        <v>50</v>
      </c>
      <c r="M149" s="59" t="s">
        <v>470</v>
      </c>
      <c r="N149" s="49"/>
      <c r="O149" s="51" t="s">
        <v>27</v>
      </c>
      <c r="P149" s="51" t="s">
        <v>77</v>
      </c>
    </row>
    <row r="150" spans="1:16">
      <c r="A150" s="50" t="s">
        <v>16</v>
      </c>
      <c r="B150" s="51" t="s">
        <v>279</v>
      </c>
      <c r="C150" s="51" t="s">
        <v>29</v>
      </c>
      <c r="D150" s="51" t="s">
        <v>19</v>
      </c>
      <c r="E150" s="51" t="s">
        <v>20</v>
      </c>
      <c r="F150" s="52">
        <v>0</v>
      </c>
      <c r="G150" s="49"/>
      <c r="H150" s="49"/>
      <c r="I150" s="49"/>
      <c r="J150" s="69" t="s">
        <v>229</v>
      </c>
      <c r="K150" s="70" t="s">
        <v>229</v>
      </c>
      <c r="L150" s="64">
        <v>0</v>
      </c>
      <c r="M150" s="59" t="s">
        <v>470</v>
      </c>
      <c r="N150" s="49"/>
      <c r="O150" s="49"/>
      <c r="P150" s="51" t="s">
        <v>77</v>
      </c>
    </row>
    <row r="151" spans="1:16">
      <c r="A151" s="50" t="s">
        <v>16</v>
      </c>
      <c r="B151" s="51" t="s">
        <v>279</v>
      </c>
      <c r="C151" s="51" t="s">
        <v>30</v>
      </c>
      <c r="D151" s="51" t="s">
        <v>19</v>
      </c>
      <c r="E151" s="51" t="s">
        <v>20</v>
      </c>
      <c r="F151" s="52">
        <v>0</v>
      </c>
      <c r="G151" s="49"/>
      <c r="H151" s="49"/>
      <c r="I151" s="49"/>
      <c r="J151" s="69" t="s">
        <v>229</v>
      </c>
      <c r="K151" s="70" t="s">
        <v>229</v>
      </c>
      <c r="L151" s="64">
        <v>0</v>
      </c>
      <c r="M151" s="59" t="s">
        <v>470</v>
      </c>
      <c r="N151" s="49"/>
      <c r="O151" s="49"/>
      <c r="P151" s="51" t="s">
        <v>77</v>
      </c>
    </row>
    <row r="152" spans="1:16">
      <c r="A152" s="46" t="s">
        <v>39</v>
      </c>
      <c r="B152" s="47" t="s">
        <v>496</v>
      </c>
      <c r="C152" s="47" t="s">
        <v>18</v>
      </c>
      <c r="D152" s="47" t="s">
        <v>19</v>
      </c>
      <c r="E152" s="47" t="s">
        <v>20</v>
      </c>
      <c r="F152" s="48">
        <v>0.21</v>
      </c>
      <c r="G152" s="49"/>
      <c r="H152" s="49"/>
      <c r="I152" s="49"/>
      <c r="J152" s="68">
        <v>45931</v>
      </c>
      <c r="K152" s="68">
        <v>46173</v>
      </c>
      <c r="L152" s="63">
        <v>173</v>
      </c>
      <c r="M152" s="58" t="s">
        <v>470</v>
      </c>
      <c r="N152" s="49"/>
      <c r="O152" s="49"/>
      <c r="P152" s="47" t="s">
        <v>78</v>
      </c>
    </row>
    <row r="153" spans="1:16">
      <c r="A153" s="50" t="s">
        <v>39</v>
      </c>
      <c r="B153" s="51" t="s">
        <v>497</v>
      </c>
      <c r="C153" s="51" t="s">
        <v>22</v>
      </c>
      <c r="D153" s="51" t="s">
        <v>19</v>
      </c>
      <c r="E153" s="51" t="s">
        <v>20</v>
      </c>
      <c r="F153" s="52">
        <v>1</v>
      </c>
      <c r="G153" s="51" t="s">
        <v>498</v>
      </c>
      <c r="H153" s="51" t="s">
        <v>48</v>
      </c>
      <c r="I153" s="51" t="s">
        <v>50</v>
      </c>
      <c r="J153" s="69">
        <v>45931</v>
      </c>
      <c r="K153" s="69">
        <v>45931</v>
      </c>
      <c r="L153" s="64">
        <v>1</v>
      </c>
      <c r="M153" s="59" t="s">
        <v>470</v>
      </c>
      <c r="N153" s="51" t="s">
        <v>108</v>
      </c>
      <c r="O153" s="51" t="s">
        <v>108</v>
      </c>
      <c r="P153" s="51" t="s">
        <v>78</v>
      </c>
    </row>
    <row r="154" spans="1:16">
      <c r="A154" s="50" t="s">
        <v>39</v>
      </c>
      <c r="B154" s="51" t="s">
        <v>497</v>
      </c>
      <c r="C154" s="51" t="s">
        <v>28</v>
      </c>
      <c r="D154" s="51" t="s">
        <v>19</v>
      </c>
      <c r="E154" s="51" t="s">
        <v>20</v>
      </c>
      <c r="F154" s="52">
        <v>0</v>
      </c>
      <c r="G154" s="49"/>
      <c r="H154" s="49"/>
      <c r="I154" s="49"/>
      <c r="J154" s="69" t="s">
        <v>229</v>
      </c>
      <c r="K154" s="70" t="s">
        <v>229</v>
      </c>
      <c r="L154" s="64">
        <v>0</v>
      </c>
      <c r="M154" s="59" t="s">
        <v>470</v>
      </c>
      <c r="N154" s="49"/>
      <c r="O154" s="49"/>
      <c r="P154" s="51" t="s">
        <v>78</v>
      </c>
    </row>
    <row r="155" spans="1:16">
      <c r="A155" s="50" t="s">
        <v>39</v>
      </c>
      <c r="B155" s="51" t="s">
        <v>497</v>
      </c>
      <c r="C155" s="51" t="s">
        <v>29</v>
      </c>
      <c r="D155" s="51" t="s">
        <v>19</v>
      </c>
      <c r="E155" s="51" t="s">
        <v>20</v>
      </c>
      <c r="F155" s="52">
        <v>0</v>
      </c>
      <c r="G155" s="49"/>
      <c r="H155" s="49"/>
      <c r="I155" s="49"/>
      <c r="J155" s="69" t="s">
        <v>229</v>
      </c>
      <c r="K155" s="70" t="s">
        <v>229</v>
      </c>
      <c r="L155" s="64">
        <v>0</v>
      </c>
      <c r="M155" s="59" t="s">
        <v>470</v>
      </c>
      <c r="N155" s="49"/>
      <c r="O155" s="49"/>
      <c r="P155" s="51" t="s">
        <v>78</v>
      </c>
    </row>
    <row r="156" spans="1:16">
      <c r="A156" s="50" t="s">
        <v>39</v>
      </c>
      <c r="B156" s="51" t="s">
        <v>497</v>
      </c>
      <c r="C156" s="51" t="s">
        <v>30</v>
      </c>
      <c r="D156" s="51" t="s">
        <v>19</v>
      </c>
      <c r="E156" s="51" t="s">
        <v>20</v>
      </c>
      <c r="F156" s="52">
        <v>0</v>
      </c>
      <c r="G156" s="49"/>
      <c r="H156" s="49"/>
      <c r="I156" s="49"/>
      <c r="J156" s="69" t="s">
        <v>229</v>
      </c>
      <c r="K156" s="70" t="s">
        <v>229</v>
      </c>
      <c r="L156" s="64">
        <v>0</v>
      </c>
      <c r="M156" s="59" t="s">
        <v>470</v>
      </c>
      <c r="N156" s="49"/>
      <c r="O156" s="49"/>
      <c r="P156" s="51" t="s">
        <v>78</v>
      </c>
    </row>
    <row r="157" spans="1:16">
      <c r="A157" s="46" t="s">
        <v>39</v>
      </c>
      <c r="B157" s="44" t="s">
        <v>283</v>
      </c>
      <c r="C157" s="44" t="s">
        <v>18</v>
      </c>
      <c r="D157" s="44" t="s">
        <v>33</v>
      </c>
      <c r="E157" s="44" t="s">
        <v>20</v>
      </c>
      <c r="F157" s="54">
        <v>1</v>
      </c>
      <c r="G157" s="45"/>
      <c r="H157" s="45"/>
      <c r="I157" s="45"/>
      <c r="J157" s="68">
        <v>45945</v>
      </c>
      <c r="K157" s="68">
        <v>45946</v>
      </c>
      <c r="L157" s="65">
        <v>1</v>
      </c>
      <c r="M157" s="60" t="s">
        <v>499</v>
      </c>
      <c r="N157" s="45"/>
      <c r="O157" s="45"/>
      <c r="P157" s="44" t="s">
        <v>78</v>
      </c>
    </row>
    <row r="158" spans="1:16">
      <c r="A158" s="50" t="s">
        <v>39</v>
      </c>
      <c r="B158" s="50" t="s">
        <v>284</v>
      </c>
      <c r="C158" s="50" t="s">
        <v>22</v>
      </c>
      <c r="D158" s="50" t="s">
        <v>33</v>
      </c>
      <c r="E158" s="50" t="s">
        <v>20</v>
      </c>
      <c r="F158" s="55">
        <v>1</v>
      </c>
      <c r="G158" s="50" t="s">
        <v>48</v>
      </c>
      <c r="H158" s="50" t="s">
        <v>48</v>
      </c>
      <c r="I158" s="50" t="s">
        <v>50</v>
      </c>
      <c r="J158" s="69">
        <v>45873</v>
      </c>
      <c r="K158" s="69">
        <v>45899</v>
      </c>
      <c r="L158" s="66">
        <v>20</v>
      </c>
      <c r="M158" s="61" t="s">
        <v>470</v>
      </c>
      <c r="N158" s="50" t="s">
        <v>108</v>
      </c>
      <c r="O158" s="50" t="s">
        <v>108</v>
      </c>
      <c r="P158" s="50" t="s">
        <v>78</v>
      </c>
    </row>
    <row r="159" spans="1:16">
      <c r="A159" s="50" t="s">
        <v>39</v>
      </c>
      <c r="B159" s="50" t="s">
        <v>284</v>
      </c>
      <c r="C159" s="50" t="s">
        <v>28</v>
      </c>
      <c r="D159" s="50" t="s">
        <v>33</v>
      </c>
      <c r="E159" s="50" t="s">
        <v>20</v>
      </c>
      <c r="F159" s="55">
        <v>0</v>
      </c>
      <c r="G159" s="45"/>
      <c r="H159" s="45"/>
      <c r="I159" s="45"/>
      <c r="J159" s="69" t="s">
        <v>229</v>
      </c>
      <c r="K159" s="70" t="s">
        <v>229</v>
      </c>
      <c r="L159" s="66">
        <v>0</v>
      </c>
      <c r="M159" s="61" t="s">
        <v>470</v>
      </c>
      <c r="N159" s="45"/>
      <c r="O159" s="45"/>
      <c r="P159" s="50" t="s">
        <v>78</v>
      </c>
    </row>
    <row r="160" spans="1:16">
      <c r="A160" s="50" t="s">
        <v>39</v>
      </c>
      <c r="B160" s="50" t="s">
        <v>284</v>
      </c>
      <c r="C160" s="50" t="s">
        <v>29</v>
      </c>
      <c r="D160" s="50" t="s">
        <v>33</v>
      </c>
      <c r="E160" s="50" t="s">
        <v>20</v>
      </c>
      <c r="F160" s="55">
        <v>0</v>
      </c>
      <c r="G160" s="45"/>
      <c r="H160" s="45"/>
      <c r="I160" s="45"/>
      <c r="J160" s="69" t="s">
        <v>229</v>
      </c>
      <c r="K160" s="70" t="s">
        <v>229</v>
      </c>
      <c r="L160" s="66">
        <v>0</v>
      </c>
      <c r="M160" s="61" t="s">
        <v>470</v>
      </c>
      <c r="N160" s="45"/>
      <c r="O160" s="45"/>
      <c r="P160" s="50" t="s">
        <v>78</v>
      </c>
    </row>
    <row r="161" spans="1:16">
      <c r="A161" s="50" t="s">
        <v>39</v>
      </c>
      <c r="B161" s="50" t="s">
        <v>284</v>
      </c>
      <c r="C161" s="50" t="s">
        <v>30</v>
      </c>
      <c r="D161" s="50" t="s">
        <v>33</v>
      </c>
      <c r="E161" s="50" t="s">
        <v>20</v>
      </c>
      <c r="F161" s="55">
        <v>0</v>
      </c>
      <c r="G161" s="45"/>
      <c r="H161" s="45"/>
      <c r="I161" s="45"/>
      <c r="J161" s="69" t="s">
        <v>229</v>
      </c>
      <c r="K161" s="70" t="s">
        <v>229</v>
      </c>
      <c r="L161" s="66">
        <v>0</v>
      </c>
      <c r="M161" s="61" t="s">
        <v>470</v>
      </c>
      <c r="N161" s="45"/>
      <c r="O161" s="45"/>
      <c r="P161" s="50" t="s">
        <v>78</v>
      </c>
    </row>
    <row r="162" spans="1:16">
      <c r="A162" s="46" t="s">
        <v>39</v>
      </c>
      <c r="B162" s="44" t="s">
        <v>285</v>
      </c>
      <c r="C162" s="44" t="s">
        <v>18</v>
      </c>
      <c r="D162" s="44" t="s">
        <v>33</v>
      </c>
      <c r="E162" s="44" t="s">
        <v>20</v>
      </c>
      <c r="F162" s="54">
        <v>0</v>
      </c>
      <c r="G162" s="45"/>
      <c r="H162" s="45"/>
      <c r="I162" s="45"/>
      <c r="J162" s="68">
        <v>45931</v>
      </c>
      <c r="K162" s="68">
        <v>46052</v>
      </c>
      <c r="L162" s="65">
        <v>88</v>
      </c>
      <c r="M162" s="60" t="s">
        <v>470</v>
      </c>
      <c r="N162" s="45"/>
      <c r="O162" s="45"/>
      <c r="P162" s="44" t="s">
        <v>78</v>
      </c>
    </row>
    <row r="163" spans="1:16">
      <c r="A163" s="50" t="s">
        <v>39</v>
      </c>
      <c r="B163" s="50" t="s">
        <v>286</v>
      </c>
      <c r="C163" s="50" t="s">
        <v>22</v>
      </c>
      <c r="D163" s="50" t="s">
        <v>33</v>
      </c>
      <c r="E163" s="50" t="s">
        <v>20</v>
      </c>
      <c r="F163" s="55">
        <v>0</v>
      </c>
      <c r="G163" s="50" t="s">
        <v>500</v>
      </c>
      <c r="H163" s="50" t="s">
        <v>79</v>
      </c>
      <c r="I163" s="50" t="s">
        <v>50</v>
      </c>
      <c r="J163" s="69">
        <v>45931</v>
      </c>
      <c r="K163" s="69">
        <v>46052</v>
      </c>
      <c r="L163" s="66">
        <v>88</v>
      </c>
      <c r="M163" s="61" t="s">
        <v>470</v>
      </c>
      <c r="N163" s="50" t="s">
        <v>43</v>
      </c>
      <c r="O163" s="50" t="s">
        <v>108</v>
      </c>
      <c r="P163" s="50" t="s">
        <v>78</v>
      </c>
    </row>
    <row r="164" spans="1:16">
      <c r="A164" s="50" t="s">
        <v>39</v>
      </c>
      <c r="B164" s="50" t="s">
        <v>286</v>
      </c>
      <c r="C164" s="50" t="s">
        <v>28</v>
      </c>
      <c r="D164" s="50" t="s">
        <v>33</v>
      </c>
      <c r="E164" s="50" t="s">
        <v>20</v>
      </c>
      <c r="F164" s="55">
        <v>0</v>
      </c>
      <c r="G164" s="45"/>
      <c r="H164" s="45"/>
      <c r="I164" s="45"/>
      <c r="J164" s="69" t="s">
        <v>229</v>
      </c>
      <c r="K164" s="70" t="s">
        <v>229</v>
      </c>
      <c r="L164" s="66">
        <v>0</v>
      </c>
      <c r="M164" s="61" t="s">
        <v>470</v>
      </c>
      <c r="N164" s="45"/>
      <c r="O164" s="45"/>
      <c r="P164" s="50" t="s">
        <v>78</v>
      </c>
    </row>
    <row r="165" spans="1:16">
      <c r="A165" s="50" t="s">
        <v>39</v>
      </c>
      <c r="B165" s="50" t="s">
        <v>286</v>
      </c>
      <c r="C165" s="50" t="s">
        <v>29</v>
      </c>
      <c r="D165" s="50" t="s">
        <v>33</v>
      </c>
      <c r="E165" s="50" t="s">
        <v>20</v>
      </c>
      <c r="F165" s="55">
        <v>0</v>
      </c>
      <c r="G165" s="45"/>
      <c r="H165" s="45"/>
      <c r="I165" s="45"/>
      <c r="J165" s="69" t="s">
        <v>229</v>
      </c>
      <c r="K165" s="70" t="s">
        <v>229</v>
      </c>
      <c r="L165" s="66">
        <v>0</v>
      </c>
      <c r="M165" s="61" t="s">
        <v>470</v>
      </c>
      <c r="N165" s="45"/>
      <c r="O165" s="45"/>
      <c r="P165" s="50" t="s">
        <v>78</v>
      </c>
    </row>
    <row r="166" spans="1:16">
      <c r="A166" s="50" t="s">
        <v>39</v>
      </c>
      <c r="B166" s="50" t="s">
        <v>286</v>
      </c>
      <c r="C166" s="50" t="s">
        <v>30</v>
      </c>
      <c r="D166" s="50" t="s">
        <v>33</v>
      </c>
      <c r="E166" s="50" t="s">
        <v>20</v>
      </c>
      <c r="F166" s="55">
        <v>0</v>
      </c>
      <c r="G166" s="45"/>
      <c r="H166" s="45"/>
      <c r="I166" s="45"/>
      <c r="J166" s="69" t="s">
        <v>229</v>
      </c>
      <c r="K166" s="70" t="s">
        <v>229</v>
      </c>
      <c r="L166" s="66">
        <v>0</v>
      </c>
      <c r="M166" s="61" t="s">
        <v>470</v>
      </c>
      <c r="N166" s="45"/>
      <c r="O166" s="45"/>
      <c r="P166" s="50" t="s">
        <v>78</v>
      </c>
    </row>
    <row r="167" spans="1:16">
      <c r="A167" s="46" t="s">
        <v>39</v>
      </c>
      <c r="B167" s="44" t="s">
        <v>501</v>
      </c>
      <c r="C167" s="44" t="s">
        <v>18</v>
      </c>
      <c r="D167" s="44" t="s">
        <v>58</v>
      </c>
      <c r="E167" s="44" t="s">
        <v>20</v>
      </c>
      <c r="F167" s="54">
        <v>0</v>
      </c>
      <c r="G167" s="45"/>
      <c r="H167" s="45"/>
      <c r="I167" s="45"/>
      <c r="J167" s="69" t="s">
        <v>229</v>
      </c>
      <c r="K167" s="68">
        <v>45946</v>
      </c>
      <c r="L167" s="65">
        <v>0</v>
      </c>
      <c r="M167" s="60" t="s">
        <v>470</v>
      </c>
      <c r="N167" s="45"/>
      <c r="O167" s="45"/>
      <c r="P167" s="44" t="s">
        <v>78</v>
      </c>
    </row>
    <row r="168" spans="1:16">
      <c r="A168" s="50" t="s">
        <v>39</v>
      </c>
      <c r="B168" s="50" t="s">
        <v>502</v>
      </c>
      <c r="C168" s="50" t="s">
        <v>22</v>
      </c>
      <c r="D168" s="50" t="s">
        <v>58</v>
      </c>
      <c r="E168" s="50" t="s">
        <v>20</v>
      </c>
      <c r="F168" s="55">
        <v>0</v>
      </c>
      <c r="G168" s="50" t="s">
        <v>500</v>
      </c>
      <c r="H168" s="50" t="s">
        <v>79</v>
      </c>
      <c r="I168" s="50" t="s">
        <v>50</v>
      </c>
      <c r="J168" s="69" t="s">
        <v>229</v>
      </c>
      <c r="K168" s="70" t="s">
        <v>229</v>
      </c>
      <c r="L168" s="66">
        <v>0</v>
      </c>
      <c r="M168" s="61" t="s">
        <v>470</v>
      </c>
      <c r="N168" s="45"/>
      <c r="O168" s="45"/>
      <c r="P168" s="50" t="s">
        <v>78</v>
      </c>
    </row>
    <row r="169" spans="1:16">
      <c r="A169" s="50" t="s">
        <v>39</v>
      </c>
      <c r="B169" s="50" t="s">
        <v>502</v>
      </c>
      <c r="C169" s="50" t="s">
        <v>28</v>
      </c>
      <c r="D169" s="50" t="s">
        <v>58</v>
      </c>
      <c r="E169" s="50" t="s">
        <v>20</v>
      </c>
      <c r="F169" s="55">
        <v>0</v>
      </c>
      <c r="G169" s="45"/>
      <c r="H169" s="45"/>
      <c r="I169" s="45"/>
      <c r="J169" s="69" t="s">
        <v>229</v>
      </c>
      <c r="K169" s="70" t="s">
        <v>229</v>
      </c>
      <c r="L169" s="66">
        <v>0</v>
      </c>
      <c r="M169" s="61" t="s">
        <v>470</v>
      </c>
      <c r="N169" s="45"/>
      <c r="O169" s="45"/>
      <c r="P169" s="50" t="s">
        <v>78</v>
      </c>
    </row>
    <row r="170" spans="1:16">
      <c r="A170" s="50" t="s">
        <v>39</v>
      </c>
      <c r="B170" s="50" t="s">
        <v>502</v>
      </c>
      <c r="C170" s="50" t="s">
        <v>29</v>
      </c>
      <c r="D170" s="50" t="s">
        <v>58</v>
      </c>
      <c r="E170" s="50" t="s">
        <v>20</v>
      </c>
      <c r="F170" s="55">
        <v>0</v>
      </c>
      <c r="G170" s="45"/>
      <c r="H170" s="45"/>
      <c r="I170" s="45"/>
      <c r="J170" s="69" t="s">
        <v>229</v>
      </c>
      <c r="K170" s="70" t="s">
        <v>229</v>
      </c>
      <c r="L170" s="66">
        <v>0</v>
      </c>
      <c r="M170" s="61" t="s">
        <v>470</v>
      </c>
      <c r="N170" s="45"/>
      <c r="O170" s="45"/>
      <c r="P170" s="50" t="s">
        <v>78</v>
      </c>
    </row>
    <row r="171" spans="1:16">
      <c r="A171" s="50" t="s">
        <v>39</v>
      </c>
      <c r="B171" s="50" t="s">
        <v>502</v>
      </c>
      <c r="C171" s="50" t="s">
        <v>30</v>
      </c>
      <c r="D171" s="50" t="s">
        <v>58</v>
      </c>
      <c r="E171" s="50" t="s">
        <v>20</v>
      </c>
      <c r="F171" s="55">
        <v>0</v>
      </c>
      <c r="G171" s="45"/>
      <c r="H171" s="45"/>
      <c r="I171" s="45"/>
      <c r="J171" s="69" t="s">
        <v>229</v>
      </c>
      <c r="K171" s="70" t="s">
        <v>229</v>
      </c>
      <c r="L171" s="66">
        <v>0</v>
      </c>
      <c r="M171" s="61" t="s">
        <v>470</v>
      </c>
      <c r="N171" s="45"/>
      <c r="O171" s="45"/>
      <c r="P171" s="50" t="s">
        <v>78</v>
      </c>
    </row>
    <row r="172" spans="1:16">
      <c r="A172" s="46" t="s">
        <v>39</v>
      </c>
      <c r="B172" s="44" t="s">
        <v>289</v>
      </c>
      <c r="C172" s="44" t="s">
        <v>18</v>
      </c>
      <c r="D172" s="44" t="s">
        <v>58</v>
      </c>
      <c r="E172" s="44" t="s">
        <v>20</v>
      </c>
      <c r="F172" s="54">
        <v>0</v>
      </c>
      <c r="G172" s="45"/>
      <c r="H172" s="45"/>
      <c r="I172" s="45"/>
      <c r="J172" s="69" t="s">
        <v>229</v>
      </c>
      <c r="K172" s="68">
        <v>45946</v>
      </c>
      <c r="L172" s="65">
        <v>0</v>
      </c>
      <c r="M172" s="60" t="s">
        <v>470</v>
      </c>
      <c r="N172" s="45"/>
      <c r="O172" s="45"/>
      <c r="P172" s="44" t="s">
        <v>78</v>
      </c>
    </row>
    <row r="173" spans="1:16">
      <c r="A173" s="50" t="s">
        <v>39</v>
      </c>
      <c r="B173" s="50" t="s">
        <v>290</v>
      </c>
      <c r="C173" s="50" t="s">
        <v>22</v>
      </c>
      <c r="D173" s="50" t="s">
        <v>58</v>
      </c>
      <c r="E173" s="50" t="s">
        <v>20</v>
      </c>
      <c r="F173" s="55">
        <v>0</v>
      </c>
      <c r="G173" s="50" t="s">
        <v>500</v>
      </c>
      <c r="H173" s="50" t="s">
        <v>79</v>
      </c>
      <c r="I173" s="50" t="s">
        <v>50</v>
      </c>
      <c r="J173" s="69" t="s">
        <v>229</v>
      </c>
      <c r="K173" s="70" t="s">
        <v>229</v>
      </c>
      <c r="L173" s="66">
        <v>0</v>
      </c>
      <c r="M173" s="61" t="s">
        <v>470</v>
      </c>
      <c r="N173" s="45"/>
      <c r="O173" s="45"/>
      <c r="P173" s="50" t="s">
        <v>78</v>
      </c>
    </row>
    <row r="174" spans="1:16">
      <c r="A174" s="50" t="s">
        <v>39</v>
      </c>
      <c r="B174" s="50" t="s">
        <v>290</v>
      </c>
      <c r="C174" s="50" t="s">
        <v>28</v>
      </c>
      <c r="D174" s="50" t="s">
        <v>58</v>
      </c>
      <c r="E174" s="50" t="s">
        <v>20</v>
      </c>
      <c r="F174" s="55">
        <v>0</v>
      </c>
      <c r="G174" s="45"/>
      <c r="H174" s="45"/>
      <c r="I174" s="45"/>
      <c r="J174" s="69" t="s">
        <v>229</v>
      </c>
      <c r="K174" s="70" t="s">
        <v>229</v>
      </c>
      <c r="L174" s="66">
        <v>0</v>
      </c>
      <c r="M174" s="61" t="s">
        <v>470</v>
      </c>
      <c r="N174" s="45"/>
      <c r="O174" s="45"/>
      <c r="P174" s="50" t="s">
        <v>78</v>
      </c>
    </row>
    <row r="175" spans="1:16">
      <c r="A175" s="50" t="s">
        <v>39</v>
      </c>
      <c r="B175" s="50" t="s">
        <v>290</v>
      </c>
      <c r="C175" s="50" t="s">
        <v>29</v>
      </c>
      <c r="D175" s="50" t="s">
        <v>58</v>
      </c>
      <c r="E175" s="50" t="s">
        <v>20</v>
      </c>
      <c r="F175" s="55">
        <v>0</v>
      </c>
      <c r="G175" s="45"/>
      <c r="H175" s="45"/>
      <c r="I175" s="45"/>
      <c r="J175" s="69" t="s">
        <v>229</v>
      </c>
      <c r="K175" s="70" t="s">
        <v>229</v>
      </c>
      <c r="L175" s="66">
        <v>0</v>
      </c>
      <c r="M175" s="61" t="s">
        <v>470</v>
      </c>
      <c r="N175" s="45"/>
      <c r="O175" s="45"/>
      <c r="P175" s="50" t="s">
        <v>78</v>
      </c>
    </row>
    <row r="176" spans="1:16">
      <c r="A176" s="50" t="s">
        <v>39</v>
      </c>
      <c r="B176" s="50" t="s">
        <v>290</v>
      </c>
      <c r="C176" s="50" t="s">
        <v>30</v>
      </c>
      <c r="D176" s="50" t="s">
        <v>58</v>
      </c>
      <c r="E176" s="50" t="s">
        <v>20</v>
      </c>
      <c r="F176" s="55">
        <v>0</v>
      </c>
      <c r="G176" s="45"/>
      <c r="H176" s="45"/>
      <c r="I176" s="45"/>
      <c r="J176" s="69" t="s">
        <v>229</v>
      </c>
      <c r="K176" s="70" t="s">
        <v>229</v>
      </c>
      <c r="L176" s="66">
        <v>0</v>
      </c>
      <c r="M176" s="61" t="s">
        <v>470</v>
      </c>
      <c r="N176" s="45"/>
      <c r="O176" s="45"/>
      <c r="P176" s="50" t="s">
        <v>78</v>
      </c>
    </row>
    <row r="177" spans="1:16">
      <c r="A177" s="46" t="s">
        <v>39</v>
      </c>
      <c r="B177" s="44" t="s">
        <v>291</v>
      </c>
      <c r="C177" s="44" t="s">
        <v>18</v>
      </c>
      <c r="D177" s="44" t="s">
        <v>33</v>
      </c>
      <c r="E177" s="44" t="s">
        <v>20</v>
      </c>
      <c r="F177" s="54">
        <v>0.25</v>
      </c>
      <c r="G177" s="45"/>
      <c r="H177" s="45"/>
      <c r="I177" s="45"/>
      <c r="J177" s="68">
        <v>45931</v>
      </c>
      <c r="K177" s="68">
        <v>46173</v>
      </c>
      <c r="L177" s="65">
        <v>173</v>
      </c>
      <c r="M177" s="60" t="s">
        <v>499</v>
      </c>
      <c r="N177" s="45"/>
      <c r="O177" s="45"/>
      <c r="P177" s="44" t="s">
        <v>78</v>
      </c>
    </row>
    <row r="178" spans="1:16">
      <c r="A178" s="50" t="s">
        <v>16</v>
      </c>
      <c r="B178" s="50" t="s">
        <v>503</v>
      </c>
      <c r="C178" s="50" t="s">
        <v>22</v>
      </c>
      <c r="D178" s="50" t="s">
        <v>33</v>
      </c>
      <c r="E178" s="50" t="s">
        <v>20</v>
      </c>
      <c r="F178" s="55">
        <v>0.25</v>
      </c>
      <c r="G178" s="50" t="s">
        <v>35</v>
      </c>
      <c r="H178" s="50" t="s">
        <v>48</v>
      </c>
      <c r="I178" s="50" t="s">
        <v>50</v>
      </c>
      <c r="J178" s="69">
        <v>46034</v>
      </c>
      <c r="K178" s="69">
        <v>46173</v>
      </c>
      <c r="L178" s="66">
        <v>100</v>
      </c>
      <c r="M178" s="61" t="s">
        <v>470</v>
      </c>
      <c r="N178" s="50" t="s">
        <v>26</v>
      </c>
      <c r="O178" s="50" t="s">
        <v>26</v>
      </c>
      <c r="P178" s="50" t="s">
        <v>78</v>
      </c>
    </row>
    <row r="179" spans="1:16">
      <c r="A179" s="50" t="s">
        <v>39</v>
      </c>
      <c r="B179" s="50" t="s">
        <v>292</v>
      </c>
      <c r="C179" s="50" t="s">
        <v>28</v>
      </c>
      <c r="D179" s="50" t="s">
        <v>33</v>
      </c>
      <c r="E179" s="50" t="s">
        <v>20</v>
      </c>
      <c r="F179" s="55">
        <v>0</v>
      </c>
      <c r="G179" s="45"/>
      <c r="H179" s="45"/>
      <c r="I179" s="45"/>
      <c r="J179" s="69" t="s">
        <v>229</v>
      </c>
      <c r="K179" s="70" t="s">
        <v>229</v>
      </c>
      <c r="L179" s="66">
        <v>0</v>
      </c>
      <c r="M179" s="61" t="s">
        <v>470</v>
      </c>
      <c r="N179" s="45"/>
      <c r="O179" s="45"/>
      <c r="P179" s="50" t="s">
        <v>78</v>
      </c>
    </row>
    <row r="180" spans="1:16">
      <c r="A180" s="50" t="s">
        <v>39</v>
      </c>
      <c r="B180" s="50" t="s">
        <v>292</v>
      </c>
      <c r="C180" s="50" t="s">
        <v>29</v>
      </c>
      <c r="D180" s="50" t="s">
        <v>33</v>
      </c>
      <c r="E180" s="50" t="s">
        <v>20</v>
      </c>
      <c r="F180" s="55">
        <v>0</v>
      </c>
      <c r="G180" s="45"/>
      <c r="H180" s="45"/>
      <c r="I180" s="45"/>
      <c r="J180" s="69" t="s">
        <v>229</v>
      </c>
      <c r="K180" s="70" t="s">
        <v>229</v>
      </c>
      <c r="L180" s="66">
        <v>0</v>
      </c>
      <c r="M180" s="61" t="s">
        <v>470</v>
      </c>
      <c r="N180" s="45"/>
      <c r="O180" s="45"/>
      <c r="P180" s="50" t="s">
        <v>78</v>
      </c>
    </row>
    <row r="181" spans="1:16">
      <c r="A181" s="50" t="s">
        <v>39</v>
      </c>
      <c r="B181" s="50" t="s">
        <v>292</v>
      </c>
      <c r="C181" s="50" t="s">
        <v>30</v>
      </c>
      <c r="D181" s="50" t="s">
        <v>33</v>
      </c>
      <c r="E181" s="50" t="s">
        <v>20</v>
      </c>
      <c r="F181" s="55">
        <v>0</v>
      </c>
      <c r="G181" s="45"/>
      <c r="H181" s="45"/>
      <c r="I181" s="45"/>
      <c r="J181" s="69" t="s">
        <v>229</v>
      </c>
      <c r="K181" s="70" t="s">
        <v>229</v>
      </c>
      <c r="L181" s="66">
        <v>0</v>
      </c>
      <c r="M181" s="61" t="s">
        <v>470</v>
      </c>
      <c r="N181" s="45"/>
      <c r="O181" s="45"/>
      <c r="P181" s="50" t="s">
        <v>78</v>
      </c>
    </row>
    <row r="182" spans="1:16">
      <c r="A182" s="46" t="s">
        <v>39</v>
      </c>
      <c r="B182" s="44" t="s">
        <v>293</v>
      </c>
      <c r="C182" s="44" t="s">
        <v>18</v>
      </c>
      <c r="D182" s="44" t="s">
        <v>58</v>
      </c>
      <c r="E182" s="44" t="s">
        <v>20</v>
      </c>
      <c r="F182" s="54">
        <v>0.25</v>
      </c>
      <c r="G182" s="45"/>
      <c r="H182" s="45"/>
      <c r="I182" s="45"/>
      <c r="J182" s="68">
        <v>46034</v>
      </c>
      <c r="K182" s="68">
        <v>46173</v>
      </c>
      <c r="L182" s="65">
        <v>100</v>
      </c>
      <c r="M182" s="60" t="s">
        <v>499</v>
      </c>
      <c r="N182" s="45"/>
      <c r="O182" s="45"/>
      <c r="P182" s="44" t="s">
        <v>78</v>
      </c>
    </row>
    <row r="183" spans="1:16">
      <c r="A183" s="50" t="s">
        <v>16</v>
      </c>
      <c r="B183" s="50" t="s">
        <v>504</v>
      </c>
      <c r="C183" s="50" t="s">
        <v>22</v>
      </c>
      <c r="D183" s="50" t="s">
        <v>58</v>
      </c>
      <c r="E183" s="50" t="s">
        <v>20</v>
      </c>
      <c r="F183" s="55">
        <v>0.25</v>
      </c>
      <c r="G183" s="50" t="s">
        <v>35</v>
      </c>
      <c r="H183" s="50" t="s">
        <v>48</v>
      </c>
      <c r="I183" s="50" t="s">
        <v>50</v>
      </c>
      <c r="J183" s="69">
        <v>46034</v>
      </c>
      <c r="K183" s="69">
        <v>46173</v>
      </c>
      <c r="L183" s="66">
        <v>100</v>
      </c>
      <c r="M183" s="61" t="s">
        <v>470</v>
      </c>
      <c r="N183" s="50" t="s">
        <v>26</v>
      </c>
      <c r="O183" s="50" t="s">
        <v>26</v>
      </c>
      <c r="P183" s="50" t="s">
        <v>78</v>
      </c>
    </row>
    <row r="184" spans="1:16">
      <c r="A184" s="50" t="s">
        <v>39</v>
      </c>
      <c r="B184" s="50" t="s">
        <v>294</v>
      </c>
      <c r="C184" s="50" t="s">
        <v>28</v>
      </c>
      <c r="D184" s="50" t="s">
        <v>58</v>
      </c>
      <c r="E184" s="50" t="s">
        <v>20</v>
      </c>
      <c r="F184" s="55">
        <v>0</v>
      </c>
      <c r="G184" s="45"/>
      <c r="H184" s="45"/>
      <c r="I184" s="45"/>
      <c r="J184" s="69" t="s">
        <v>229</v>
      </c>
      <c r="K184" s="70" t="s">
        <v>229</v>
      </c>
      <c r="L184" s="66">
        <v>0</v>
      </c>
      <c r="M184" s="61" t="s">
        <v>470</v>
      </c>
      <c r="N184" s="45"/>
      <c r="O184" s="45"/>
      <c r="P184" s="50" t="s">
        <v>78</v>
      </c>
    </row>
    <row r="185" spans="1:16">
      <c r="A185" s="50" t="s">
        <v>39</v>
      </c>
      <c r="B185" s="50" t="s">
        <v>294</v>
      </c>
      <c r="C185" s="50" t="s">
        <v>29</v>
      </c>
      <c r="D185" s="50" t="s">
        <v>58</v>
      </c>
      <c r="E185" s="50" t="s">
        <v>20</v>
      </c>
      <c r="F185" s="55">
        <v>0</v>
      </c>
      <c r="G185" s="45"/>
      <c r="H185" s="45"/>
      <c r="I185" s="45"/>
      <c r="J185" s="69" t="s">
        <v>229</v>
      </c>
      <c r="K185" s="70" t="s">
        <v>229</v>
      </c>
      <c r="L185" s="66">
        <v>0</v>
      </c>
      <c r="M185" s="61" t="s">
        <v>470</v>
      </c>
      <c r="N185" s="45"/>
      <c r="O185" s="45"/>
      <c r="P185" s="50" t="s">
        <v>78</v>
      </c>
    </row>
    <row r="186" spans="1:16">
      <c r="A186" s="50" t="s">
        <v>39</v>
      </c>
      <c r="B186" s="50" t="s">
        <v>294</v>
      </c>
      <c r="C186" s="50" t="s">
        <v>30</v>
      </c>
      <c r="D186" s="50" t="s">
        <v>58</v>
      </c>
      <c r="E186" s="50" t="s">
        <v>20</v>
      </c>
      <c r="F186" s="55">
        <v>0</v>
      </c>
      <c r="G186" s="45"/>
      <c r="H186" s="45"/>
      <c r="I186" s="45"/>
      <c r="J186" s="69" t="s">
        <v>229</v>
      </c>
      <c r="K186" s="70" t="s">
        <v>229</v>
      </c>
      <c r="L186" s="66">
        <v>0</v>
      </c>
      <c r="M186" s="61" t="s">
        <v>470</v>
      </c>
      <c r="N186" s="45"/>
      <c r="O186" s="45"/>
      <c r="P186" s="50" t="s">
        <v>78</v>
      </c>
    </row>
    <row r="187" spans="1:16">
      <c r="A187" s="46" t="s">
        <v>39</v>
      </c>
      <c r="B187" s="44" t="s">
        <v>295</v>
      </c>
      <c r="C187" s="44" t="s">
        <v>18</v>
      </c>
      <c r="D187" s="44" t="s">
        <v>58</v>
      </c>
      <c r="E187" s="44" t="s">
        <v>20</v>
      </c>
      <c r="F187" s="54">
        <v>0.25</v>
      </c>
      <c r="G187" s="45"/>
      <c r="H187" s="45"/>
      <c r="I187" s="45"/>
      <c r="J187" s="68">
        <v>46034</v>
      </c>
      <c r="K187" s="68">
        <v>46173</v>
      </c>
      <c r="L187" s="65">
        <v>100</v>
      </c>
      <c r="M187" s="60" t="s">
        <v>499</v>
      </c>
      <c r="N187" s="45"/>
      <c r="O187" s="45"/>
      <c r="P187" s="44" t="s">
        <v>78</v>
      </c>
    </row>
    <row r="188" spans="1:16">
      <c r="A188" s="50" t="s">
        <v>16</v>
      </c>
      <c r="B188" s="50" t="s">
        <v>505</v>
      </c>
      <c r="C188" s="50" t="s">
        <v>22</v>
      </c>
      <c r="D188" s="50" t="s">
        <v>58</v>
      </c>
      <c r="E188" s="50" t="s">
        <v>20</v>
      </c>
      <c r="F188" s="55">
        <v>0.25</v>
      </c>
      <c r="G188" s="50" t="s">
        <v>35</v>
      </c>
      <c r="H188" s="50" t="s">
        <v>48</v>
      </c>
      <c r="I188" s="50" t="s">
        <v>50</v>
      </c>
      <c r="J188" s="69">
        <v>46034</v>
      </c>
      <c r="K188" s="69">
        <v>46173</v>
      </c>
      <c r="L188" s="66">
        <v>100</v>
      </c>
      <c r="M188" s="61" t="s">
        <v>470</v>
      </c>
      <c r="N188" s="50" t="s">
        <v>26</v>
      </c>
      <c r="O188" s="50" t="s">
        <v>26</v>
      </c>
      <c r="P188" s="50" t="s">
        <v>78</v>
      </c>
    </row>
    <row r="189" spans="1:16">
      <c r="A189" s="50" t="s">
        <v>39</v>
      </c>
      <c r="B189" s="50" t="s">
        <v>296</v>
      </c>
      <c r="C189" s="50" t="s">
        <v>28</v>
      </c>
      <c r="D189" s="50" t="s">
        <v>58</v>
      </c>
      <c r="E189" s="50" t="s">
        <v>20</v>
      </c>
      <c r="F189" s="55">
        <v>0</v>
      </c>
      <c r="G189" s="45"/>
      <c r="H189" s="45"/>
      <c r="I189" s="45"/>
      <c r="J189" s="69" t="s">
        <v>229</v>
      </c>
      <c r="K189" s="70" t="s">
        <v>229</v>
      </c>
      <c r="L189" s="66">
        <v>0</v>
      </c>
      <c r="M189" s="61" t="s">
        <v>470</v>
      </c>
      <c r="N189" s="45"/>
      <c r="O189" s="45"/>
      <c r="P189" s="50" t="s">
        <v>78</v>
      </c>
    </row>
    <row r="190" spans="1:16">
      <c r="A190" s="50" t="s">
        <v>39</v>
      </c>
      <c r="B190" s="50" t="s">
        <v>296</v>
      </c>
      <c r="C190" s="50" t="s">
        <v>29</v>
      </c>
      <c r="D190" s="50" t="s">
        <v>58</v>
      </c>
      <c r="E190" s="50" t="s">
        <v>20</v>
      </c>
      <c r="F190" s="55">
        <v>0</v>
      </c>
      <c r="G190" s="45"/>
      <c r="H190" s="45"/>
      <c r="I190" s="45"/>
      <c r="J190" s="69" t="s">
        <v>229</v>
      </c>
      <c r="K190" s="70" t="s">
        <v>229</v>
      </c>
      <c r="L190" s="66">
        <v>0</v>
      </c>
      <c r="M190" s="61" t="s">
        <v>470</v>
      </c>
      <c r="N190" s="45"/>
      <c r="O190" s="45"/>
      <c r="P190" s="50" t="s">
        <v>78</v>
      </c>
    </row>
    <row r="191" spans="1:16">
      <c r="A191" s="50" t="s">
        <v>39</v>
      </c>
      <c r="B191" s="50" t="s">
        <v>296</v>
      </c>
      <c r="C191" s="50" t="s">
        <v>30</v>
      </c>
      <c r="D191" s="50" t="s">
        <v>58</v>
      </c>
      <c r="E191" s="50" t="s">
        <v>20</v>
      </c>
      <c r="F191" s="55">
        <v>0</v>
      </c>
      <c r="G191" s="45"/>
      <c r="H191" s="45"/>
      <c r="I191" s="45"/>
      <c r="J191" s="69" t="s">
        <v>229</v>
      </c>
      <c r="K191" s="70" t="s">
        <v>229</v>
      </c>
      <c r="L191" s="66">
        <v>0</v>
      </c>
      <c r="M191" s="61" t="s">
        <v>470</v>
      </c>
      <c r="N191" s="45"/>
      <c r="O191" s="45"/>
      <c r="P191" s="50" t="s">
        <v>78</v>
      </c>
    </row>
    <row r="192" spans="1:16">
      <c r="A192" s="46" t="s">
        <v>39</v>
      </c>
      <c r="B192" s="44" t="s">
        <v>297</v>
      </c>
      <c r="C192" s="44" t="s">
        <v>18</v>
      </c>
      <c r="D192" s="44" t="s">
        <v>58</v>
      </c>
      <c r="E192" s="44" t="s">
        <v>20</v>
      </c>
      <c r="F192" s="54">
        <v>0.25</v>
      </c>
      <c r="G192" s="45"/>
      <c r="H192" s="45"/>
      <c r="I192" s="45"/>
      <c r="J192" s="68">
        <v>46034</v>
      </c>
      <c r="K192" s="68">
        <v>46173</v>
      </c>
      <c r="L192" s="65">
        <v>100</v>
      </c>
      <c r="M192" s="60" t="s">
        <v>499</v>
      </c>
      <c r="N192" s="45"/>
      <c r="O192" s="45"/>
      <c r="P192" s="44" t="s">
        <v>78</v>
      </c>
    </row>
    <row r="193" spans="1:16">
      <c r="A193" s="50" t="s">
        <v>16</v>
      </c>
      <c r="B193" s="50" t="s">
        <v>506</v>
      </c>
      <c r="C193" s="50" t="s">
        <v>22</v>
      </c>
      <c r="D193" s="50" t="s">
        <v>58</v>
      </c>
      <c r="E193" s="50" t="s">
        <v>20</v>
      </c>
      <c r="F193" s="55">
        <v>0.25</v>
      </c>
      <c r="G193" s="50" t="s">
        <v>35</v>
      </c>
      <c r="H193" s="50" t="s">
        <v>48</v>
      </c>
      <c r="I193" s="50" t="s">
        <v>50</v>
      </c>
      <c r="J193" s="69">
        <v>46034</v>
      </c>
      <c r="K193" s="69">
        <v>46173</v>
      </c>
      <c r="L193" s="66">
        <v>100</v>
      </c>
      <c r="M193" s="61" t="s">
        <v>470</v>
      </c>
      <c r="N193" s="50" t="s">
        <v>26</v>
      </c>
      <c r="O193" s="50" t="s">
        <v>26</v>
      </c>
      <c r="P193" s="50" t="s">
        <v>78</v>
      </c>
    </row>
    <row r="194" spans="1:16">
      <c r="A194" s="50" t="s">
        <v>39</v>
      </c>
      <c r="B194" s="50" t="s">
        <v>298</v>
      </c>
      <c r="C194" s="50" t="s">
        <v>28</v>
      </c>
      <c r="D194" s="50" t="s">
        <v>58</v>
      </c>
      <c r="E194" s="50" t="s">
        <v>20</v>
      </c>
      <c r="F194" s="55">
        <v>0</v>
      </c>
      <c r="G194" s="45"/>
      <c r="H194" s="45"/>
      <c r="I194" s="45"/>
      <c r="J194" s="69" t="s">
        <v>229</v>
      </c>
      <c r="K194" s="70" t="s">
        <v>229</v>
      </c>
      <c r="L194" s="66">
        <v>0</v>
      </c>
      <c r="M194" s="61" t="s">
        <v>470</v>
      </c>
      <c r="N194" s="45"/>
      <c r="O194" s="45"/>
      <c r="P194" s="50" t="s">
        <v>78</v>
      </c>
    </row>
    <row r="195" spans="1:16">
      <c r="A195" s="50" t="s">
        <v>39</v>
      </c>
      <c r="B195" s="50" t="s">
        <v>298</v>
      </c>
      <c r="C195" s="50" t="s">
        <v>29</v>
      </c>
      <c r="D195" s="50" t="s">
        <v>58</v>
      </c>
      <c r="E195" s="50" t="s">
        <v>20</v>
      </c>
      <c r="F195" s="55">
        <v>0</v>
      </c>
      <c r="G195" s="45"/>
      <c r="H195" s="45"/>
      <c r="I195" s="45"/>
      <c r="J195" s="69" t="s">
        <v>229</v>
      </c>
      <c r="K195" s="70" t="s">
        <v>229</v>
      </c>
      <c r="L195" s="66">
        <v>0</v>
      </c>
      <c r="M195" s="61" t="s">
        <v>470</v>
      </c>
      <c r="N195" s="45"/>
      <c r="O195" s="45"/>
      <c r="P195" s="50" t="s">
        <v>78</v>
      </c>
    </row>
    <row r="196" spans="1:16">
      <c r="A196" s="50" t="s">
        <v>39</v>
      </c>
      <c r="B196" s="50" t="s">
        <v>298</v>
      </c>
      <c r="C196" s="50" t="s">
        <v>30</v>
      </c>
      <c r="D196" s="50" t="s">
        <v>58</v>
      </c>
      <c r="E196" s="50" t="s">
        <v>20</v>
      </c>
      <c r="F196" s="55">
        <v>0</v>
      </c>
      <c r="G196" s="45"/>
      <c r="H196" s="45"/>
      <c r="I196" s="45"/>
      <c r="J196" s="69" t="s">
        <v>229</v>
      </c>
      <c r="K196" s="70" t="s">
        <v>229</v>
      </c>
      <c r="L196" s="66">
        <v>0</v>
      </c>
      <c r="M196" s="61" t="s">
        <v>470</v>
      </c>
      <c r="N196" s="45"/>
      <c r="O196" s="45"/>
      <c r="P196" s="50" t="s">
        <v>78</v>
      </c>
    </row>
    <row r="197" spans="1:16">
      <c r="A197" s="46" t="s">
        <v>39</v>
      </c>
      <c r="B197" s="44" t="s">
        <v>299</v>
      </c>
      <c r="C197" s="44" t="s">
        <v>18</v>
      </c>
      <c r="D197" s="44" t="s">
        <v>58</v>
      </c>
      <c r="E197" s="44" t="s">
        <v>20</v>
      </c>
      <c r="F197" s="54">
        <v>0.25</v>
      </c>
      <c r="G197" s="45"/>
      <c r="H197" s="45"/>
      <c r="I197" s="45"/>
      <c r="J197" s="68">
        <v>46034</v>
      </c>
      <c r="K197" s="68">
        <v>46173</v>
      </c>
      <c r="L197" s="65">
        <v>100</v>
      </c>
      <c r="M197" s="60" t="s">
        <v>507</v>
      </c>
      <c r="N197" s="45"/>
      <c r="O197" s="45"/>
      <c r="P197" s="44" t="s">
        <v>78</v>
      </c>
    </row>
    <row r="198" spans="1:16">
      <c r="A198" s="50" t="s">
        <v>16</v>
      </c>
      <c r="B198" s="50" t="s">
        <v>508</v>
      </c>
      <c r="C198" s="50" t="s">
        <v>22</v>
      </c>
      <c r="D198" s="50" t="s">
        <v>58</v>
      </c>
      <c r="E198" s="50" t="s">
        <v>20</v>
      </c>
      <c r="F198" s="55">
        <v>0.25</v>
      </c>
      <c r="G198" s="50" t="s">
        <v>35</v>
      </c>
      <c r="H198" s="50" t="s">
        <v>48</v>
      </c>
      <c r="I198" s="50" t="s">
        <v>50</v>
      </c>
      <c r="J198" s="69">
        <v>46034</v>
      </c>
      <c r="K198" s="69">
        <v>46173</v>
      </c>
      <c r="L198" s="66">
        <v>100</v>
      </c>
      <c r="M198" s="61" t="s">
        <v>470</v>
      </c>
      <c r="N198" s="50" t="s">
        <v>26</v>
      </c>
      <c r="O198" s="50" t="s">
        <v>26</v>
      </c>
      <c r="P198" s="50" t="s">
        <v>78</v>
      </c>
    </row>
    <row r="199" spans="1:16">
      <c r="A199" s="50" t="s">
        <v>39</v>
      </c>
      <c r="B199" s="50" t="s">
        <v>300</v>
      </c>
      <c r="C199" s="50" t="s">
        <v>28</v>
      </c>
      <c r="D199" s="50" t="s">
        <v>58</v>
      </c>
      <c r="E199" s="50" t="s">
        <v>20</v>
      </c>
      <c r="F199" s="55">
        <v>0</v>
      </c>
      <c r="G199" s="45"/>
      <c r="H199" s="45"/>
      <c r="I199" s="45"/>
      <c r="J199" s="69" t="s">
        <v>229</v>
      </c>
      <c r="K199" s="70" t="s">
        <v>229</v>
      </c>
      <c r="L199" s="66">
        <v>0</v>
      </c>
      <c r="M199" s="61" t="s">
        <v>470</v>
      </c>
      <c r="N199" s="45"/>
      <c r="O199" s="45"/>
      <c r="P199" s="50" t="s">
        <v>78</v>
      </c>
    </row>
    <row r="200" spans="1:16">
      <c r="A200" s="50" t="s">
        <v>39</v>
      </c>
      <c r="B200" s="50" t="s">
        <v>300</v>
      </c>
      <c r="C200" s="50" t="s">
        <v>29</v>
      </c>
      <c r="D200" s="50" t="s">
        <v>58</v>
      </c>
      <c r="E200" s="50" t="s">
        <v>20</v>
      </c>
      <c r="F200" s="55">
        <v>0</v>
      </c>
      <c r="G200" s="45"/>
      <c r="H200" s="45"/>
      <c r="I200" s="45"/>
      <c r="J200" s="69" t="s">
        <v>229</v>
      </c>
      <c r="K200" s="70" t="s">
        <v>229</v>
      </c>
      <c r="L200" s="66">
        <v>0</v>
      </c>
      <c r="M200" s="61" t="s">
        <v>470</v>
      </c>
      <c r="N200" s="45"/>
      <c r="O200" s="45"/>
      <c r="P200" s="50" t="s">
        <v>78</v>
      </c>
    </row>
    <row r="201" spans="1:16">
      <c r="A201" s="50" t="s">
        <v>39</v>
      </c>
      <c r="B201" s="50" t="s">
        <v>300</v>
      </c>
      <c r="C201" s="50" t="s">
        <v>30</v>
      </c>
      <c r="D201" s="50" t="s">
        <v>58</v>
      </c>
      <c r="E201" s="50" t="s">
        <v>20</v>
      </c>
      <c r="F201" s="55">
        <v>0</v>
      </c>
      <c r="G201" s="45"/>
      <c r="H201" s="45"/>
      <c r="I201" s="45"/>
      <c r="J201" s="69" t="s">
        <v>229</v>
      </c>
      <c r="K201" s="70" t="s">
        <v>229</v>
      </c>
      <c r="L201" s="66">
        <v>0</v>
      </c>
      <c r="M201" s="61" t="s">
        <v>470</v>
      </c>
      <c r="N201" s="45"/>
      <c r="O201" s="45"/>
      <c r="P201" s="50" t="s">
        <v>78</v>
      </c>
    </row>
    <row r="202" spans="1:16">
      <c r="A202" s="46" t="s">
        <v>39</v>
      </c>
      <c r="B202" s="44" t="s">
        <v>301</v>
      </c>
      <c r="C202" s="44" t="s">
        <v>18</v>
      </c>
      <c r="D202" s="44" t="s">
        <v>58</v>
      </c>
      <c r="E202" s="44" t="s">
        <v>20</v>
      </c>
      <c r="F202" s="54">
        <v>1</v>
      </c>
      <c r="G202" s="45"/>
      <c r="H202" s="45"/>
      <c r="I202" s="45"/>
      <c r="J202" s="68">
        <v>45931</v>
      </c>
      <c r="K202" s="68">
        <v>45931</v>
      </c>
      <c r="L202" s="65">
        <v>1</v>
      </c>
      <c r="M202" s="60" t="s">
        <v>499</v>
      </c>
      <c r="N202" s="45"/>
      <c r="O202" s="45"/>
      <c r="P202" s="44" t="s">
        <v>78</v>
      </c>
    </row>
    <row r="203" spans="1:16">
      <c r="A203" s="50" t="s">
        <v>16</v>
      </c>
      <c r="B203" s="50" t="s">
        <v>302</v>
      </c>
      <c r="C203" s="50" t="s">
        <v>22</v>
      </c>
      <c r="D203" s="50" t="s">
        <v>58</v>
      </c>
      <c r="E203" s="50" t="s">
        <v>20</v>
      </c>
      <c r="F203" s="55">
        <v>1</v>
      </c>
      <c r="G203" s="50" t="s">
        <v>35</v>
      </c>
      <c r="H203" s="50" t="s">
        <v>48</v>
      </c>
      <c r="I203" s="50" t="s">
        <v>50</v>
      </c>
      <c r="J203" s="69">
        <v>45931</v>
      </c>
      <c r="K203" s="69">
        <v>45931</v>
      </c>
      <c r="L203" s="66">
        <v>1</v>
      </c>
      <c r="M203" s="61" t="s">
        <v>470</v>
      </c>
      <c r="N203" s="50" t="s">
        <v>108</v>
      </c>
      <c r="O203" s="50" t="s">
        <v>108</v>
      </c>
      <c r="P203" s="50" t="s">
        <v>78</v>
      </c>
    </row>
    <row r="204" spans="1:16">
      <c r="A204" s="50" t="s">
        <v>39</v>
      </c>
      <c r="B204" s="50" t="s">
        <v>302</v>
      </c>
      <c r="C204" s="50" t="s">
        <v>28</v>
      </c>
      <c r="D204" s="50" t="s">
        <v>58</v>
      </c>
      <c r="E204" s="50" t="s">
        <v>20</v>
      </c>
      <c r="F204" s="55">
        <v>0</v>
      </c>
      <c r="G204" s="45"/>
      <c r="H204" s="45"/>
      <c r="I204" s="45"/>
      <c r="J204" s="69" t="s">
        <v>229</v>
      </c>
      <c r="K204" s="70" t="s">
        <v>229</v>
      </c>
      <c r="L204" s="66">
        <v>0</v>
      </c>
      <c r="M204" s="61" t="s">
        <v>470</v>
      </c>
      <c r="N204" s="45"/>
      <c r="O204" s="45"/>
      <c r="P204" s="50" t="s">
        <v>78</v>
      </c>
    </row>
    <row r="205" spans="1:16">
      <c r="A205" s="50" t="s">
        <v>39</v>
      </c>
      <c r="B205" s="50" t="s">
        <v>302</v>
      </c>
      <c r="C205" s="50" t="s">
        <v>29</v>
      </c>
      <c r="D205" s="50" t="s">
        <v>58</v>
      </c>
      <c r="E205" s="50" t="s">
        <v>20</v>
      </c>
      <c r="F205" s="55">
        <v>0</v>
      </c>
      <c r="G205" s="45"/>
      <c r="H205" s="45"/>
      <c r="I205" s="45"/>
      <c r="J205" s="69" t="s">
        <v>229</v>
      </c>
      <c r="K205" s="70" t="s">
        <v>229</v>
      </c>
      <c r="L205" s="66">
        <v>0</v>
      </c>
      <c r="M205" s="61" t="s">
        <v>470</v>
      </c>
      <c r="N205" s="45"/>
      <c r="O205" s="45"/>
      <c r="P205" s="50" t="s">
        <v>78</v>
      </c>
    </row>
    <row r="206" spans="1:16">
      <c r="A206" s="50" t="s">
        <v>39</v>
      </c>
      <c r="B206" s="50" t="s">
        <v>302</v>
      </c>
      <c r="C206" s="50" t="s">
        <v>30</v>
      </c>
      <c r="D206" s="50" t="s">
        <v>58</v>
      </c>
      <c r="E206" s="50" t="s">
        <v>20</v>
      </c>
      <c r="F206" s="55">
        <v>0</v>
      </c>
      <c r="G206" s="45"/>
      <c r="H206" s="45"/>
      <c r="I206" s="45"/>
      <c r="J206" s="69" t="s">
        <v>229</v>
      </c>
      <c r="K206" s="70" t="s">
        <v>229</v>
      </c>
      <c r="L206" s="66">
        <v>0</v>
      </c>
      <c r="M206" s="61" t="s">
        <v>470</v>
      </c>
      <c r="N206" s="45"/>
      <c r="O206" s="45"/>
      <c r="P206" s="50" t="s">
        <v>78</v>
      </c>
    </row>
    <row r="207" spans="1:16">
      <c r="A207" s="46" t="s">
        <v>39</v>
      </c>
      <c r="B207" s="44" t="s">
        <v>303</v>
      </c>
      <c r="C207" s="44" t="s">
        <v>18</v>
      </c>
      <c r="D207" s="44" t="s">
        <v>58</v>
      </c>
      <c r="E207" s="44" t="s">
        <v>20</v>
      </c>
      <c r="F207" s="54">
        <v>1</v>
      </c>
      <c r="G207" s="45"/>
      <c r="H207" s="45"/>
      <c r="I207" s="45"/>
      <c r="J207" s="68">
        <v>45931</v>
      </c>
      <c r="K207" s="68">
        <v>45931</v>
      </c>
      <c r="L207" s="65">
        <v>1</v>
      </c>
      <c r="M207" s="60" t="s">
        <v>499</v>
      </c>
      <c r="N207" s="45"/>
      <c r="O207" s="45"/>
      <c r="P207" s="44" t="s">
        <v>78</v>
      </c>
    </row>
    <row r="208" spans="1:16">
      <c r="A208" s="50" t="s">
        <v>16</v>
      </c>
      <c r="B208" s="50" t="s">
        <v>304</v>
      </c>
      <c r="C208" s="50" t="s">
        <v>22</v>
      </c>
      <c r="D208" s="50" t="s">
        <v>58</v>
      </c>
      <c r="E208" s="50" t="s">
        <v>20</v>
      </c>
      <c r="F208" s="55">
        <v>1</v>
      </c>
      <c r="G208" s="50" t="s">
        <v>35</v>
      </c>
      <c r="H208" s="50" t="s">
        <v>48</v>
      </c>
      <c r="I208" s="50" t="s">
        <v>50</v>
      </c>
      <c r="J208" s="69">
        <v>45931</v>
      </c>
      <c r="K208" s="69">
        <v>45931</v>
      </c>
      <c r="L208" s="66">
        <v>1</v>
      </c>
      <c r="M208" s="61" t="s">
        <v>470</v>
      </c>
      <c r="N208" s="50" t="s">
        <v>108</v>
      </c>
      <c r="O208" s="50" t="s">
        <v>108</v>
      </c>
      <c r="P208" s="50" t="s">
        <v>78</v>
      </c>
    </row>
    <row r="209" spans="1:16">
      <c r="A209" s="50" t="s">
        <v>39</v>
      </c>
      <c r="B209" s="50" t="s">
        <v>304</v>
      </c>
      <c r="C209" s="50" t="s">
        <v>28</v>
      </c>
      <c r="D209" s="50" t="s">
        <v>58</v>
      </c>
      <c r="E209" s="50" t="s">
        <v>20</v>
      </c>
      <c r="F209" s="55">
        <v>0</v>
      </c>
      <c r="G209" s="45"/>
      <c r="H209" s="45"/>
      <c r="I209" s="45"/>
      <c r="J209" s="69" t="s">
        <v>229</v>
      </c>
      <c r="K209" s="70" t="s">
        <v>229</v>
      </c>
      <c r="L209" s="66">
        <v>0</v>
      </c>
      <c r="M209" s="61" t="s">
        <v>470</v>
      </c>
      <c r="N209" s="45"/>
      <c r="O209" s="45"/>
      <c r="P209" s="50" t="s">
        <v>78</v>
      </c>
    </row>
    <row r="210" spans="1:16">
      <c r="A210" s="50" t="s">
        <v>39</v>
      </c>
      <c r="B210" s="50" t="s">
        <v>304</v>
      </c>
      <c r="C210" s="50" t="s">
        <v>29</v>
      </c>
      <c r="D210" s="50" t="s">
        <v>58</v>
      </c>
      <c r="E210" s="50" t="s">
        <v>20</v>
      </c>
      <c r="F210" s="55">
        <v>0</v>
      </c>
      <c r="G210" s="45"/>
      <c r="H210" s="45"/>
      <c r="I210" s="45"/>
      <c r="J210" s="69" t="s">
        <v>229</v>
      </c>
      <c r="K210" s="70" t="s">
        <v>229</v>
      </c>
      <c r="L210" s="66">
        <v>0</v>
      </c>
      <c r="M210" s="61" t="s">
        <v>470</v>
      </c>
      <c r="N210" s="45"/>
      <c r="O210" s="45"/>
      <c r="P210" s="50" t="s">
        <v>78</v>
      </c>
    </row>
    <row r="211" spans="1:16">
      <c r="A211" s="50" t="s">
        <v>39</v>
      </c>
      <c r="B211" s="50" t="s">
        <v>304</v>
      </c>
      <c r="C211" s="50" t="s">
        <v>30</v>
      </c>
      <c r="D211" s="50" t="s">
        <v>58</v>
      </c>
      <c r="E211" s="50" t="s">
        <v>20</v>
      </c>
      <c r="F211" s="55">
        <v>0</v>
      </c>
      <c r="G211" s="45"/>
      <c r="H211" s="45"/>
      <c r="I211" s="45"/>
      <c r="J211" s="69" t="s">
        <v>229</v>
      </c>
      <c r="K211" s="70" t="s">
        <v>229</v>
      </c>
      <c r="L211" s="66">
        <v>0</v>
      </c>
      <c r="M211" s="61" t="s">
        <v>470</v>
      </c>
      <c r="N211" s="45"/>
      <c r="O211" s="45"/>
      <c r="P211" s="50" t="s">
        <v>78</v>
      </c>
    </row>
    <row r="212" spans="1:16">
      <c r="A212" s="53" t="s">
        <v>94</v>
      </c>
      <c r="B212" s="47" t="s">
        <v>509</v>
      </c>
      <c r="C212" s="47" t="s">
        <v>18</v>
      </c>
      <c r="D212" s="47" t="s">
        <v>19</v>
      </c>
      <c r="E212" s="47" t="s">
        <v>20</v>
      </c>
      <c r="F212" s="48">
        <v>0.19</v>
      </c>
      <c r="G212" s="49"/>
      <c r="H212" s="49"/>
      <c r="I212" s="49"/>
      <c r="J212" s="68">
        <v>45931</v>
      </c>
      <c r="K212" s="68">
        <v>46295</v>
      </c>
      <c r="L212" s="63">
        <v>261</v>
      </c>
      <c r="M212" s="58" t="s">
        <v>470</v>
      </c>
      <c r="N212" s="49"/>
      <c r="O212" s="49"/>
      <c r="P212" s="47" t="s">
        <v>95</v>
      </c>
    </row>
    <row r="213" spans="1:16">
      <c r="A213" s="50" t="s">
        <v>94</v>
      </c>
      <c r="B213" s="51" t="s">
        <v>510</v>
      </c>
      <c r="C213" s="51" t="s">
        <v>22</v>
      </c>
      <c r="D213" s="51" t="s">
        <v>19</v>
      </c>
      <c r="E213" s="51" t="s">
        <v>20</v>
      </c>
      <c r="F213" s="52">
        <v>1</v>
      </c>
      <c r="G213" s="51" t="s">
        <v>511</v>
      </c>
      <c r="H213" s="51" t="s">
        <v>96</v>
      </c>
      <c r="I213" s="51" t="s">
        <v>97</v>
      </c>
      <c r="J213" s="69">
        <v>45931</v>
      </c>
      <c r="K213" s="69">
        <v>45931</v>
      </c>
      <c r="L213" s="64">
        <v>1</v>
      </c>
      <c r="M213" s="59" t="s">
        <v>470</v>
      </c>
      <c r="N213" s="51" t="s">
        <v>108</v>
      </c>
      <c r="O213" s="51" t="s">
        <v>108</v>
      </c>
      <c r="P213" s="51" t="s">
        <v>95</v>
      </c>
    </row>
    <row r="214" spans="1:16">
      <c r="A214" s="50" t="s">
        <v>94</v>
      </c>
      <c r="B214" s="51" t="s">
        <v>510</v>
      </c>
      <c r="C214" s="51" t="s">
        <v>28</v>
      </c>
      <c r="D214" s="51" t="s">
        <v>19</v>
      </c>
      <c r="E214" s="51" t="s">
        <v>20</v>
      </c>
      <c r="F214" s="52">
        <v>0</v>
      </c>
      <c r="G214" s="49"/>
      <c r="H214" s="49"/>
      <c r="I214" s="49"/>
      <c r="J214" s="69" t="s">
        <v>229</v>
      </c>
      <c r="K214" s="70" t="s">
        <v>229</v>
      </c>
      <c r="L214" s="64">
        <v>0</v>
      </c>
      <c r="M214" s="59" t="s">
        <v>470</v>
      </c>
      <c r="N214" s="49"/>
      <c r="O214" s="49"/>
      <c r="P214" s="51" t="s">
        <v>95</v>
      </c>
    </row>
    <row r="215" spans="1:16">
      <c r="A215" s="50" t="s">
        <v>94</v>
      </c>
      <c r="B215" s="51" t="s">
        <v>510</v>
      </c>
      <c r="C215" s="51" t="s">
        <v>29</v>
      </c>
      <c r="D215" s="51" t="s">
        <v>19</v>
      </c>
      <c r="E215" s="51" t="s">
        <v>20</v>
      </c>
      <c r="F215" s="52">
        <v>0</v>
      </c>
      <c r="G215" s="49"/>
      <c r="H215" s="49"/>
      <c r="I215" s="49"/>
      <c r="J215" s="69" t="s">
        <v>229</v>
      </c>
      <c r="K215" s="70" t="s">
        <v>229</v>
      </c>
      <c r="L215" s="64">
        <v>0</v>
      </c>
      <c r="M215" s="59" t="s">
        <v>470</v>
      </c>
      <c r="N215" s="49"/>
      <c r="O215" s="49"/>
      <c r="P215" s="51" t="s">
        <v>95</v>
      </c>
    </row>
    <row r="216" spans="1:16">
      <c r="A216" s="50" t="s">
        <v>94</v>
      </c>
      <c r="B216" s="51" t="s">
        <v>510</v>
      </c>
      <c r="C216" s="51" t="s">
        <v>30</v>
      </c>
      <c r="D216" s="51" t="s">
        <v>19</v>
      </c>
      <c r="E216" s="51" t="s">
        <v>20</v>
      </c>
      <c r="F216" s="52">
        <v>0</v>
      </c>
      <c r="G216" s="49"/>
      <c r="H216" s="49"/>
      <c r="I216" s="49"/>
      <c r="J216" s="69" t="s">
        <v>229</v>
      </c>
      <c r="K216" s="70" t="s">
        <v>229</v>
      </c>
      <c r="L216" s="64">
        <v>0</v>
      </c>
      <c r="M216" s="59" t="s">
        <v>470</v>
      </c>
      <c r="N216" s="49"/>
      <c r="O216" s="49"/>
      <c r="P216" s="51" t="s">
        <v>95</v>
      </c>
    </row>
    <row r="217" spans="1:16">
      <c r="A217" s="44" t="s">
        <v>94</v>
      </c>
      <c r="B217" s="44" t="s">
        <v>512</v>
      </c>
      <c r="C217" s="44" t="s">
        <v>18</v>
      </c>
      <c r="D217" s="44" t="s">
        <v>33</v>
      </c>
      <c r="E217" s="44" t="s">
        <v>20</v>
      </c>
      <c r="F217" s="54">
        <v>0</v>
      </c>
      <c r="G217" s="45"/>
      <c r="H217" s="45"/>
      <c r="I217" s="45"/>
      <c r="J217" s="68">
        <v>45931</v>
      </c>
      <c r="K217" s="68">
        <v>46295</v>
      </c>
      <c r="L217" s="65">
        <v>261</v>
      </c>
      <c r="M217" s="60" t="s">
        <v>470</v>
      </c>
      <c r="N217" s="45"/>
      <c r="O217" s="45"/>
      <c r="P217" s="44" t="s">
        <v>95</v>
      </c>
    </row>
    <row r="218" spans="1:16">
      <c r="A218" s="50" t="s">
        <v>94</v>
      </c>
      <c r="B218" s="50" t="s">
        <v>513</v>
      </c>
      <c r="C218" s="50" t="s">
        <v>22</v>
      </c>
      <c r="D218" s="50" t="s">
        <v>33</v>
      </c>
      <c r="E218" s="50" t="s">
        <v>20</v>
      </c>
      <c r="F218" s="55">
        <v>0</v>
      </c>
      <c r="G218" s="50" t="s">
        <v>514</v>
      </c>
      <c r="H218" s="45"/>
      <c r="I218" s="50" t="s">
        <v>97</v>
      </c>
      <c r="J218" s="69" t="s">
        <v>229</v>
      </c>
      <c r="K218" s="70" t="s">
        <v>229</v>
      </c>
      <c r="L218" s="66">
        <v>0</v>
      </c>
      <c r="M218" s="61" t="s">
        <v>470</v>
      </c>
      <c r="N218" s="45"/>
      <c r="O218" s="45"/>
      <c r="P218" s="50" t="s">
        <v>95</v>
      </c>
    </row>
    <row r="219" spans="1:16">
      <c r="A219" s="50" t="s">
        <v>94</v>
      </c>
      <c r="B219" s="50" t="s">
        <v>513</v>
      </c>
      <c r="C219" s="50" t="s">
        <v>28</v>
      </c>
      <c r="D219" s="50" t="s">
        <v>33</v>
      </c>
      <c r="E219" s="50" t="s">
        <v>20</v>
      </c>
      <c r="F219" s="55">
        <v>0</v>
      </c>
      <c r="G219" s="45"/>
      <c r="H219" s="45"/>
      <c r="I219" s="45"/>
      <c r="J219" s="69" t="s">
        <v>229</v>
      </c>
      <c r="K219" s="70" t="s">
        <v>229</v>
      </c>
      <c r="L219" s="66">
        <v>0</v>
      </c>
      <c r="M219" s="61" t="s">
        <v>470</v>
      </c>
      <c r="N219" s="45"/>
      <c r="O219" s="45"/>
      <c r="P219" s="50" t="s">
        <v>95</v>
      </c>
    </row>
    <row r="220" spans="1:16">
      <c r="A220" s="50" t="s">
        <v>94</v>
      </c>
      <c r="B220" s="50" t="s">
        <v>513</v>
      </c>
      <c r="C220" s="50" t="s">
        <v>29</v>
      </c>
      <c r="D220" s="50" t="s">
        <v>33</v>
      </c>
      <c r="E220" s="50" t="s">
        <v>20</v>
      </c>
      <c r="F220" s="55">
        <v>0</v>
      </c>
      <c r="G220" s="45"/>
      <c r="H220" s="45"/>
      <c r="I220" s="45"/>
      <c r="J220" s="69" t="s">
        <v>229</v>
      </c>
      <c r="K220" s="70" t="s">
        <v>229</v>
      </c>
      <c r="L220" s="66">
        <v>0</v>
      </c>
      <c r="M220" s="61" t="s">
        <v>470</v>
      </c>
      <c r="N220" s="45"/>
      <c r="O220" s="45"/>
      <c r="P220" s="50" t="s">
        <v>95</v>
      </c>
    </row>
    <row r="221" spans="1:16">
      <c r="A221" s="50" t="s">
        <v>94</v>
      </c>
      <c r="B221" s="50" t="s">
        <v>513</v>
      </c>
      <c r="C221" s="50" t="s">
        <v>30</v>
      </c>
      <c r="D221" s="50" t="s">
        <v>33</v>
      </c>
      <c r="E221" s="50" t="s">
        <v>20</v>
      </c>
      <c r="F221" s="55">
        <v>0</v>
      </c>
      <c r="G221" s="45"/>
      <c r="H221" s="45"/>
      <c r="I221" s="45"/>
      <c r="J221" s="69" t="s">
        <v>229</v>
      </c>
      <c r="K221" s="70" t="s">
        <v>229</v>
      </c>
      <c r="L221" s="66">
        <v>0</v>
      </c>
      <c r="M221" s="61" t="s">
        <v>470</v>
      </c>
      <c r="N221" s="45"/>
      <c r="O221" s="45"/>
      <c r="P221" s="50" t="s">
        <v>95</v>
      </c>
    </row>
    <row r="222" spans="1:16">
      <c r="A222" s="44" t="s">
        <v>94</v>
      </c>
      <c r="B222" s="44" t="s">
        <v>515</v>
      </c>
      <c r="C222" s="44" t="s">
        <v>18</v>
      </c>
      <c r="D222" s="44" t="s">
        <v>33</v>
      </c>
      <c r="E222" s="44" t="s">
        <v>20</v>
      </c>
      <c r="F222" s="54">
        <v>0.25</v>
      </c>
      <c r="G222" s="45"/>
      <c r="H222" s="45"/>
      <c r="I222" s="45"/>
      <c r="J222" s="68">
        <v>45931</v>
      </c>
      <c r="K222" s="68">
        <v>46295</v>
      </c>
      <c r="L222" s="65">
        <v>261</v>
      </c>
      <c r="M222" s="60" t="s">
        <v>470</v>
      </c>
      <c r="N222" s="45"/>
      <c r="O222" s="45"/>
      <c r="P222" s="44" t="s">
        <v>95</v>
      </c>
    </row>
    <row r="223" spans="1:16">
      <c r="A223" s="44" t="s">
        <v>94</v>
      </c>
      <c r="B223" s="50" t="s">
        <v>516</v>
      </c>
      <c r="C223" s="50" t="s">
        <v>22</v>
      </c>
      <c r="D223" s="50" t="s">
        <v>33</v>
      </c>
      <c r="E223" s="50" t="s">
        <v>20</v>
      </c>
      <c r="F223" s="55">
        <v>0.25</v>
      </c>
      <c r="G223" s="50" t="s">
        <v>469</v>
      </c>
      <c r="H223" s="50" t="s">
        <v>96</v>
      </c>
      <c r="I223" s="50" t="s">
        <v>97</v>
      </c>
      <c r="J223" s="69">
        <v>45931</v>
      </c>
      <c r="K223" s="69">
        <v>46295</v>
      </c>
      <c r="L223" s="66">
        <v>261</v>
      </c>
      <c r="M223" s="61" t="s">
        <v>470</v>
      </c>
      <c r="N223" s="50" t="s">
        <v>26</v>
      </c>
      <c r="O223" s="50" t="s">
        <v>26</v>
      </c>
      <c r="P223" s="50" t="s">
        <v>95</v>
      </c>
    </row>
    <row r="224" spans="1:16">
      <c r="A224" s="44" t="s">
        <v>94</v>
      </c>
      <c r="B224" s="50" t="s">
        <v>516</v>
      </c>
      <c r="C224" s="50" t="s">
        <v>28</v>
      </c>
      <c r="D224" s="50" t="s">
        <v>33</v>
      </c>
      <c r="E224" s="50" t="s">
        <v>20</v>
      </c>
      <c r="F224" s="55">
        <v>0</v>
      </c>
      <c r="G224" s="45"/>
      <c r="H224" s="45"/>
      <c r="I224" s="45"/>
      <c r="J224" s="69" t="s">
        <v>229</v>
      </c>
      <c r="K224" s="70" t="s">
        <v>229</v>
      </c>
      <c r="L224" s="66">
        <v>0</v>
      </c>
      <c r="M224" s="61" t="s">
        <v>470</v>
      </c>
      <c r="N224" s="45"/>
      <c r="O224" s="45"/>
      <c r="P224" s="50" t="s">
        <v>95</v>
      </c>
    </row>
    <row r="225" spans="1:16">
      <c r="A225" s="44" t="s">
        <v>94</v>
      </c>
      <c r="B225" s="50" t="s">
        <v>516</v>
      </c>
      <c r="C225" s="50" t="s">
        <v>29</v>
      </c>
      <c r="D225" s="50" t="s">
        <v>33</v>
      </c>
      <c r="E225" s="50" t="s">
        <v>20</v>
      </c>
      <c r="F225" s="55">
        <v>0</v>
      </c>
      <c r="G225" s="45"/>
      <c r="H225" s="45"/>
      <c r="I225" s="45"/>
      <c r="J225" s="69" t="s">
        <v>229</v>
      </c>
      <c r="K225" s="70" t="s">
        <v>229</v>
      </c>
      <c r="L225" s="66">
        <v>0</v>
      </c>
      <c r="M225" s="61" t="s">
        <v>470</v>
      </c>
      <c r="N225" s="45"/>
      <c r="O225" s="45"/>
      <c r="P225" s="50" t="s">
        <v>95</v>
      </c>
    </row>
    <row r="226" spans="1:16">
      <c r="A226" s="44" t="s">
        <v>94</v>
      </c>
      <c r="B226" s="50" t="s">
        <v>516</v>
      </c>
      <c r="C226" s="50" t="s">
        <v>30</v>
      </c>
      <c r="D226" s="50" t="s">
        <v>33</v>
      </c>
      <c r="E226" s="50" t="s">
        <v>20</v>
      </c>
      <c r="F226" s="55">
        <v>0</v>
      </c>
      <c r="G226" s="45"/>
      <c r="H226" s="45"/>
      <c r="I226" s="45"/>
      <c r="J226" s="69" t="s">
        <v>229</v>
      </c>
      <c r="K226" s="70" t="s">
        <v>229</v>
      </c>
      <c r="L226" s="66">
        <v>0</v>
      </c>
      <c r="M226" s="61" t="s">
        <v>470</v>
      </c>
      <c r="N226" s="45"/>
      <c r="O226" s="45"/>
      <c r="P226" s="50" t="s">
        <v>95</v>
      </c>
    </row>
    <row r="227" spans="1:16">
      <c r="A227" s="46" t="s">
        <v>94</v>
      </c>
      <c r="B227" s="44" t="s">
        <v>310</v>
      </c>
      <c r="C227" s="44" t="s">
        <v>18</v>
      </c>
      <c r="D227" s="44" t="s">
        <v>58</v>
      </c>
      <c r="E227" s="44" t="s">
        <v>20</v>
      </c>
      <c r="F227" s="54">
        <v>0.25</v>
      </c>
      <c r="G227" s="45"/>
      <c r="H227" s="45"/>
      <c r="I227" s="45"/>
      <c r="J227" s="68">
        <v>45931</v>
      </c>
      <c r="K227" s="68">
        <v>46295</v>
      </c>
      <c r="L227" s="65">
        <v>261</v>
      </c>
      <c r="M227" s="60" t="s">
        <v>470</v>
      </c>
      <c r="N227" s="45"/>
      <c r="O227" s="45"/>
      <c r="P227" s="44" t="s">
        <v>95</v>
      </c>
    </row>
    <row r="228" spans="1:16">
      <c r="A228" s="50" t="s">
        <v>94</v>
      </c>
      <c r="B228" s="50" t="s">
        <v>517</v>
      </c>
      <c r="C228" s="50" t="s">
        <v>22</v>
      </c>
      <c r="D228" s="50" t="s">
        <v>58</v>
      </c>
      <c r="E228" s="50" t="s">
        <v>20</v>
      </c>
      <c r="F228" s="55">
        <v>0.25</v>
      </c>
      <c r="G228" s="50" t="s">
        <v>469</v>
      </c>
      <c r="H228" s="50" t="s">
        <v>96</v>
      </c>
      <c r="I228" s="50" t="s">
        <v>97</v>
      </c>
      <c r="J228" s="69">
        <v>45931</v>
      </c>
      <c r="K228" s="69">
        <v>46295</v>
      </c>
      <c r="L228" s="66">
        <v>261</v>
      </c>
      <c r="M228" s="61" t="s">
        <v>470</v>
      </c>
      <c r="N228" s="50" t="s">
        <v>26</v>
      </c>
      <c r="O228" s="50" t="s">
        <v>26</v>
      </c>
      <c r="P228" s="50" t="s">
        <v>95</v>
      </c>
    </row>
    <row r="229" spans="1:16">
      <c r="A229" s="50" t="s">
        <v>94</v>
      </c>
      <c r="B229" s="50" t="s">
        <v>517</v>
      </c>
      <c r="C229" s="50" t="s">
        <v>28</v>
      </c>
      <c r="D229" s="50" t="s">
        <v>58</v>
      </c>
      <c r="E229" s="50" t="s">
        <v>20</v>
      </c>
      <c r="F229" s="55">
        <v>0</v>
      </c>
      <c r="G229" s="45"/>
      <c r="H229" s="45"/>
      <c r="I229" s="45"/>
      <c r="J229" s="69" t="s">
        <v>229</v>
      </c>
      <c r="K229" s="70" t="s">
        <v>229</v>
      </c>
      <c r="L229" s="66">
        <v>0</v>
      </c>
      <c r="M229" s="61" t="s">
        <v>470</v>
      </c>
      <c r="N229" s="45"/>
      <c r="O229" s="45"/>
      <c r="P229" s="50" t="s">
        <v>95</v>
      </c>
    </row>
    <row r="230" spans="1:16">
      <c r="A230" s="50" t="s">
        <v>94</v>
      </c>
      <c r="B230" s="50" t="s">
        <v>517</v>
      </c>
      <c r="C230" s="50" t="s">
        <v>29</v>
      </c>
      <c r="D230" s="50" t="s">
        <v>58</v>
      </c>
      <c r="E230" s="50" t="s">
        <v>20</v>
      </c>
      <c r="F230" s="55">
        <v>0</v>
      </c>
      <c r="G230" s="45"/>
      <c r="H230" s="45"/>
      <c r="I230" s="45"/>
      <c r="J230" s="69" t="s">
        <v>229</v>
      </c>
      <c r="K230" s="70" t="s">
        <v>229</v>
      </c>
      <c r="L230" s="66">
        <v>0</v>
      </c>
      <c r="M230" s="61" t="s">
        <v>470</v>
      </c>
      <c r="N230" s="45"/>
      <c r="O230" s="45"/>
      <c r="P230" s="50" t="s">
        <v>95</v>
      </c>
    </row>
    <row r="231" spans="1:16">
      <c r="A231" s="50" t="s">
        <v>94</v>
      </c>
      <c r="B231" s="50" t="s">
        <v>517</v>
      </c>
      <c r="C231" s="50" t="s">
        <v>30</v>
      </c>
      <c r="D231" s="50" t="s">
        <v>58</v>
      </c>
      <c r="E231" s="50" t="s">
        <v>20</v>
      </c>
      <c r="F231" s="55">
        <v>0</v>
      </c>
      <c r="G231" s="45"/>
      <c r="H231" s="45"/>
      <c r="I231" s="45"/>
      <c r="J231" s="69" t="s">
        <v>229</v>
      </c>
      <c r="K231" s="70" t="s">
        <v>229</v>
      </c>
      <c r="L231" s="66">
        <v>0</v>
      </c>
      <c r="M231" s="61" t="s">
        <v>470</v>
      </c>
      <c r="N231" s="45"/>
      <c r="O231" s="45"/>
      <c r="P231" s="50" t="s">
        <v>95</v>
      </c>
    </row>
    <row r="232" spans="1:16">
      <c r="A232" s="46" t="s">
        <v>94</v>
      </c>
      <c r="B232" s="44" t="s">
        <v>312</v>
      </c>
      <c r="C232" s="44" t="s">
        <v>18</v>
      </c>
      <c r="D232" s="44" t="s">
        <v>58</v>
      </c>
      <c r="E232" s="44" t="s">
        <v>20</v>
      </c>
      <c r="F232" s="54">
        <v>0.25</v>
      </c>
      <c r="G232" s="45"/>
      <c r="H232" s="45"/>
      <c r="I232" s="45"/>
      <c r="J232" s="68">
        <v>45931</v>
      </c>
      <c r="K232" s="68">
        <v>46295</v>
      </c>
      <c r="L232" s="65">
        <v>261</v>
      </c>
      <c r="M232" s="60" t="s">
        <v>470</v>
      </c>
      <c r="N232" s="45"/>
      <c r="O232" s="45"/>
      <c r="P232" s="44" t="s">
        <v>95</v>
      </c>
    </row>
    <row r="233" spans="1:16">
      <c r="A233" s="50" t="s">
        <v>94</v>
      </c>
      <c r="B233" s="50" t="s">
        <v>518</v>
      </c>
      <c r="C233" s="50" t="s">
        <v>22</v>
      </c>
      <c r="D233" s="50" t="s">
        <v>58</v>
      </c>
      <c r="E233" s="50" t="s">
        <v>20</v>
      </c>
      <c r="F233" s="55">
        <v>0.25</v>
      </c>
      <c r="G233" s="50" t="s">
        <v>469</v>
      </c>
      <c r="H233" s="50" t="s">
        <v>96</v>
      </c>
      <c r="I233" s="50" t="s">
        <v>97</v>
      </c>
      <c r="J233" s="69">
        <v>45931</v>
      </c>
      <c r="K233" s="69">
        <v>46295</v>
      </c>
      <c r="L233" s="66">
        <v>261</v>
      </c>
      <c r="M233" s="61" t="s">
        <v>470</v>
      </c>
      <c r="N233" s="50" t="s">
        <v>26</v>
      </c>
      <c r="O233" s="50" t="s">
        <v>26</v>
      </c>
      <c r="P233" s="50" t="s">
        <v>95</v>
      </c>
    </row>
    <row r="234" spans="1:16">
      <c r="A234" s="50" t="s">
        <v>94</v>
      </c>
      <c r="B234" s="50" t="s">
        <v>518</v>
      </c>
      <c r="C234" s="50" t="s">
        <v>28</v>
      </c>
      <c r="D234" s="50" t="s">
        <v>58</v>
      </c>
      <c r="E234" s="50" t="s">
        <v>20</v>
      </c>
      <c r="F234" s="55">
        <v>0</v>
      </c>
      <c r="G234" s="45"/>
      <c r="H234" s="45"/>
      <c r="I234" s="45"/>
      <c r="J234" s="69" t="s">
        <v>229</v>
      </c>
      <c r="K234" s="70" t="s">
        <v>229</v>
      </c>
      <c r="L234" s="66">
        <v>0</v>
      </c>
      <c r="M234" s="61" t="s">
        <v>470</v>
      </c>
      <c r="N234" s="45"/>
      <c r="O234" s="45"/>
      <c r="P234" s="50" t="s">
        <v>95</v>
      </c>
    </row>
    <row r="235" spans="1:16">
      <c r="A235" s="50" t="s">
        <v>94</v>
      </c>
      <c r="B235" s="50" t="s">
        <v>518</v>
      </c>
      <c r="C235" s="50" t="s">
        <v>29</v>
      </c>
      <c r="D235" s="50" t="s">
        <v>58</v>
      </c>
      <c r="E235" s="50" t="s">
        <v>20</v>
      </c>
      <c r="F235" s="55">
        <v>0</v>
      </c>
      <c r="G235" s="45"/>
      <c r="H235" s="45"/>
      <c r="I235" s="45"/>
      <c r="J235" s="69" t="s">
        <v>229</v>
      </c>
      <c r="K235" s="70" t="s">
        <v>229</v>
      </c>
      <c r="L235" s="66">
        <v>0</v>
      </c>
      <c r="M235" s="61" t="s">
        <v>470</v>
      </c>
      <c r="N235" s="45"/>
      <c r="O235" s="45"/>
      <c r="P235" s="50" t="s">
        <v>95</v>
      </c>
    </row>
    <row r="236" spans="1:16">
      <c r="A236" s="50" t="s">
        <v>94</v>
      </c>
      <c r="B236" s="50" t="s">
        <v>518</v>
      </c>
      <c r="C236" s="50" t="s">
        <v>30</v>
      </c>
      <c r="D236" s="50" t="s">
        <v>58</v>
      </c>
      <c r="E236" s="50" t="s">
        <v>20</v>
      </c>
      <c r="F236" s="55">
        <v>0</v>
      </c>
      <c r="G236" s="45"/>
      <c r="H236" s="45"/>
      <c r="I236" s="45"/>
      <c r="J236" s="69" t="s">
        <v>229</v>
      </c>
      <c r="K236" s="70" t="s">
        <v>229</v>
      </c>
      <c r="L236" s="66">
        <v>0</v>
      </c>
      <c r="M236" s="61" t="s">
        <v>470</v>
      </c>
      <c r="N236" s="45"/>
      <c r="O236" s="45"/>
      <c r="P236" s="50" t="s">
        <v>95</v>
      </c>
    </row>
    <row r="237" spans="1:16">
      <c r="A237" s="46" t="s">
        <v>94</v>
      </c>
      <c r="B237" s="44" t="s">
        <v>314</v>
      </c>
      <c r="C237" s="44" t="s">
        <v>18</v>
      </c>
      <c r="D237" s="44" t="s">
        <v>58</v>
      </c>
      <c r="E237" s="44" t="s">
        <v>20</v>
      </c>
      <c r="F237" s="54">
        <v>0.25</v>
      </c>
      <c r="G237" s="45"/>
      <c r="H237" s="45"/>
      <c r="I237" s="45"/>
      <c r="J237" s="68">
        <v>45931</v>
      </c>
      <c r="K237" s="68">
        <v>46295</v>
      </c>
      <c r="L237" s="65">
        <v>261</v>
      </c>
      <c r="M237" s="60" t="s">
        <v>470</v>
      </c>
      <c r="N237" s="45"/>
      <c r="O237" s="45"/>
      <c r="P237" s="44" t="s">
        <v>95</v>
      </c>
    </row>
    <row r="238" spans="1:16">
      <c r="A238" s="50" t="s">
        <v>94</v>
      </c>
      <c r="B238" s="50" t="s">
        <v>519</v>
      </c>
      <c r="C238" s="50" t="s">
        <v>22</v>
      </c>
      <c r="D238" s="50" t="s">
        <v>58</v>
      </c>
      <c r="E238" s="50" t="s">
        <v>20</v>
      </c>
      <c r="F238" s="55">
        <v>0.25</v>
      </c>
      <c r="G238" s="50" t="s">
        <v>469</v>
      </c>
      <c r="H238" s="50" t="s">
        <v>96</v>
      </c>
      <c r="I238" s="50" t="s">
        <v>97</v>
      </c>
      <c r="J238" s="69">
        <v>45931</v>
      </c>
      <c r="K238" s="69">
        <v>46295</v>
      </c>
      <c r="L238" s="66">
        <v>261</v>
      </c>
      <c r="M238" s="61" t="s">
        <v>470</v>
      </c>
      <c r="N238" s="50" t="s">
        <v>26</v>
      </c>
      <c r="O238" s="50" t="s">
        <v>26</v>
      </c>
      <c r="P238" s="50" t="s">
        <v>95</v>
      </c>
    </row>
    <row r="239" spans="1:16">
      <c r="A239" s="50" t="s">
        <v>94</v>
      </c>
      <c r="B239" s="50" t="s">
        <v>519</v>
      </c>
      <c r="C239" s="50" t="s">
        <v>28</v>
      </c>
      <c r="D239" s="50" t="s">
        <v>58</v>
      </c>
      <c r="E239" s="50" t="s">
        <v>20</v>
      </c>
      <c r="F239" s="55">
        <v>0</v>
      </c>
      <c r="G239" s="45"/>
      <c r="H239" s="45"/>
      <c r="I239" s="45"/>
      <c r="J239" s="69" t="s">
        <v>229</v>
      </c>
      <c r="K239" s="70" t="s">
        <v>229</v>
      </c>
      <c r="L239" s="66">
        <v>0</v>
      </c>
      <c r="M239" s="61" t="s">
        <v>470</v>
      </c>
      <c r="N239" s="45"/>
      <c r="O239" s="45"/>
      <c r="P239" s="50" t="s">
        <v>95</v>
      </c>
    </row>
    <row r="240" spans="1:16">
      <c r="A240" s="50" t="s">
        <v>94</v>
      </c>
      <c r="B240" s="50" t="s">
        <v>519</v>
      </c>
      <c r="C240" s="50" t="s">
        <v>29</v>
      </c>
      <c r="D240" s="50" t="s">
        <v>58</v>
      </c>
      <c r="E240" s="50" t="s">
        <v>20</v>
      </c>
      <c r="F240" s="55">
        <v>0</v>
      </c>
      <c r="G240" s="45"/>
      <c r="H240" s="45"/>
      <c r="I240" s="45"/>
      <c r="J240" s="69" t="s">
        <v>229</v>
      </c>
      <c r="K240" s="70" t="s">
        <v>229</v>
      </c>
      <c r="L240" s="66">
        <v>0</v>
      </c>
      <c r="M240" s="61" t="s">
        <v>470</v>
      </c>
      <c r="N240" s="45"/>
      <c r="O240" s="45"/>
      <c r="P240" s="50" t="s">
        <v>95</v>
      </c>
    </row>
    <row r="241" spans="1:16">
      <c r="A241" s="50" t="s">
        <v>94</v>
      </c>
      <c r="B241" s="50" t="s">
        <v>519</v>
      </c>
      <c r="C241" s="50" t="s">
        <v>30</v>
      </c>
      <c r="D241" s="50" t="s">
        <v>58</v>
      </c>
      <c r="E241" s="50" t="s">
        <v>20</v>
      </c>
      <c r="F241" s="55">
        <v>0</v>
      </c>
      <c r="G241" s="45"/>
      <c r="H241" s="45"/>
      <c r="I241" s="45"/>
      <c r="J241" s="69" t="s">
        <v>229</v>
      </c>
      <c r="K241" s="70" t="s">
        <v>229</v>
      </c>
      <c r="L241" s="66">
        <v>0</v>
      </c>
      <c r="M241" s="61" t="s">
        <v>470</v>
      </c>
      <c r="N241" s="45"/>
      <c r="O241" s="45"/>
      <c r="P241" s="50" t="s">
        <v>95</v>
      </c>
    </row>
    <row r="242" spans="1:16">
      <c r="A242" s="46" t="s">
        <v>94</v>
      </c>
      <c r="B242" s="44" t="s">
        <v>316</v>
      </c>
      <c r="C242" s="44" t="s">
        <v>18</v>
      </c>
      <c r="D242" s="44" t="s">
        <v>58</v>
      </c>
      <c r="E242" s="44" t="s">
        <v>20</v>
      </c>
      <c r="F242" s="54">
        <v>0.25</v>
      </c>
      <c r="G242" s="45"/>
      <c r="H242" s="45"/>
      <c r="I242" s="45"/>
      <c r="J242" s="68">
        <v>45931</v>
      </c>
      <c r="K242" s="68">
        <v>46295</v>
      </c>
      <c r="L242" s="65">
        <v>261</v>
      </c>
      <c r="M242" s="60" t="s">
        <v>470</v>
      </c>
      <c r="N242" s="45"/>
      <c r="O242" s="45"/>
      <c r="P242" s="44" t="s">
        <v>95</v>
      </c>
    </row>
    <row r="243" spans="1:16">
      <c r="A243" s="50" t="s">
        <v>94</v>
      </c>
      <c r="B243" s="50" t="s">
        <v>520</v>
      </c>
      <c r="C243" s="50" t="s">
        <v>22</v>
      </c>
      <c r="D243" s="50" t="s">
        <v>58</v>
      </c>
      <c r="E243" s="50" t="s">
        <v>20</v>
      </c>
      <c r="F243" s="55">
        <v>0.25</v>
      </c>
      <c r="G243" s="50" t="s">
        <v>469</v>
      </c>
      <c r="H243" s="50" t="s">
        <v>96</v>
      </c>
      <c r="I243" s="50" t="s">
        <v>97</v>
      </c>
      <c r="J243" s="69">
        <v>45931</v>
      </c>
      <c r="K243" s="69">
        <v>46295</v>
      </c>
      <c r="L243" s="66">
        <v>261</v>
      </c>
      <c r="M243" s="61" t="s">
        <v>470</v>
      </c>
      <c r="N243" s="50" t="s">
        <v>26</v>
      </c>
      <c r="O243" s="50" t="s">
        <v>26</v>
      </c>
      <c r="P243" s="50" t="s">
        <v>95</v>
      </c>
    </row>
    <row r="244" spans="1:16">
      <c r="A244" s="50" t="s">
        <v>94</v>
      </c>
      <c r="B244" s="50" t="s">
        <v>520</v>
      </c>
      <c r="C244" s="50" t="s">
        <v>28</v>
      </c>
      <c r="D244" s="50" t="s">
        <v>58</v>
      </c>
      <c r="E244" s="50" t="s">
        <v>20</v>
      </c>
      <c r="F244" s="55">
        <v>0</v>
      </c>
      <c r="G244" s="45"/>
      <c r="H244" s="45"/>
      <c r="I244" s="45"/>
      <c r="J244" s="69" t="s">
        <v>229</v>
      </c>
      <c r="K244" s="70" t="s">
        <v>229</v>
      </c>
      <c r="L244" s="66">
        <v>0</v>
      </c>
      <c r="M244" s="61" t="s">
        <v>470</v>
      </c>
      <c r="N244" s="45"/>
      <c r="O244" s="45"/>
      <c r="P244" s="50" t="s">
        <v>95</v>
      </c>
    </row>
    <row r="245" spans="1:16">
      <c r="A245" s="50" t="s">
        <v>94</v>
      </c>
      <c r="B245" s="50" t="s">
        <v>520</v>
      </c>
      <c r="C245" s="50" t="s">
        <v>29</v>
      </c>
      <c r="D245" s="50" t="s">
        <v>58</v>
      </c>
      <c r="E245" s="50" t="s">
        <v>20</v>
      </c>
      <c r="F245" s="55">
        <v>0</v>
      </c>
      <c r="G245" s="45"/>
      <c r="H245" s="45"/>
      <c r="I245" s="45"/>
      <c r="J245" s="69" t="s">
        <v>229</v>
      </c>
      <c r="K245" s="70" t="s">
        <v>229</v>
      </c>
      <c r="L245" s="66">
        <v>0</v>
      </c>
      <c r="M245" s="61" t="s">
        <v>470</v>
      </c>
      <c r="N245" s="45"/>
      <c r="O245" s="45"/>
      <c r="P245" s="50" t="s">
        <v>95</v>
      </c>
    </row>
    <row r="246" spans="1:16">
      <c r="A246" s="50" t="s">
        <v>94</v>
      </c>
      <c r="B246" s="50" t="s">
        <v>520</v>
      </c>
      <c r="C246" s="50" t="s">
        <v>30</v>
      </c>
      <c r="D246" s="50" t="s">
        <v>58</v>
      </c>
      <c r="E246" s="50" t="s">
        <v>20</v>
      </c>
      <c r="F246" s="55">
        <v>0</v>
      </c>
      <c r="G246" s="45"/>
      <c r="H246" s="45"/>
      <c r="I246" s="45"/>
      <c r="J246" s="69" t="s">
        <v>229</v>
      </c>
      <c r="K246" s="70" t="s">
        <v>229</v>
      </c>
      <c r="L246" s="66">
        <v>0</v>
      </c>
      <c r="M246" s="61" t="s">
        <v>470</v>
      </c>
      <c r="N246" s="45"/>
      <c r="O246" s="45"/>
      <c r="P246" s="50" t="s">
        <v>95</v>
      </c>
    </row>
    <row r="247" spans="1:16">
      <c r="A247" s="46" t="s">
        <v>94</v>
      </c>
      <c r="B247" s="44" t="s">
        <v>318</v>
      </c>
      <c r="C247" s="44" t="s">
        <v>18</v>
      </c>
      <c r="D247" s="44" t="s">
        <v>58</v>
      </c>
      <c r="E247" s="44" t="s">
        <v>20</v>
      </c>
      <c r="F247" s="54">
        <v>0.25</v>
      </c>
      <c r="G247" s="45"/>
      <c r="H247" s="45"/>
      <c r="I247" s="45"/>
      <c r="J247" s="68">
        <v>45931</v>
      </c>
      <c r="K247" s="68">
        <v>46295</v>
      </c>
      <c r="L247" s="65">
        <v>261</v>
      </c>
      <c r="M247" s="60" t="s">
        <v>470</v>
      </c>
      <c r="N247" s="45"/>
      <c r="O247" s="45"/>
      <c r="P247" s="44" t="s">
        <v>95</v>
      </c>
    </row>
    <row r="248" spans="1:16">
      <c r="A248" s="50" t="s">
        <v>94</v>
      </c>
      <c r="B248" s="50" t="s">
        <v>521</v>
      </c>
      <c r="C248" s="50" t="s">
        <v>22</v>
      </c>
      <c r="D248" s="50" t="s">
        <v>58</v>
      </c>
      <c r="E248" s="50" t="s">
        <v>20</v>
      </c>
      <c r="F248" s="55">
        <v>0.25</v>
      </c>
      <c r="G248" s="50" t="s">
        <v>469</v>
      </c>
      <c r="H248" s="50" t="s">
        <v>96</v>
      </c>
      <c r="I248" s="50" t="s">
        <v>97</v>
      </c>
      <c r="J248" s="69">
        <v>45931</v>
      </c>
      <c r="K248" s="69">
        <v>46295</v>
      </c>
      <c r="L248" s="66">
        <v>261</v>
      </c>
      <c r="M248" s="61" t="s">
        <v>470</v>
      </c>
      <c r="N248" s="50" t="s">
        <v>26</v>
      </c>
      <c r="O248" s="50" t="s">
        <v>26</v>
      </c>
      <c r="P248" s="50" t="s">
        <v>95</v>
      </c>
    </row>
    <row r="249" spans="1:16">
      <c r="A249" s="50" t="s">
        <v>94</v>
      </c>
      <c r="B249" s="50" t="s">
        <v>521</v>
      </c>
      <c r="C249" s="50" t="s">
        <v>28</v>
      </c>
      <c r="D249" s="50" t="s">
        <v>58</v>
      </c>
      <c r="E249" s="50" t="s">
        <v>20</v>
      </c>
      <c r="F249" s="55">
        <v>0</v>
      </c>
      <c r="G249" s="45"/>
      <c r="H249" s="45"/>
      <c r="I249" s="45"/>
      <c r="J249" s="69" t="s">
        <v>229</v>
      </c>
      <c r="K249" s="70" t="s">
        <v>229</v>
      </c>
      <c r="L249" s="66">
        <v>0</v>
      </c>
      <c r="M249" s="61" t="s">
        <v>470</v>
      </c>
      <c r="N249" s="45"/>
      <c r="O249" s="45"/>
      <c r="P249" s="50" t="s">
        <v>95</v>
      </c>
    </row>
    <row r="250" spans="1:16">
      <c r="A250" s="50" t="s">
        <v>94</v>
      </c>
      <c r="B250" s="50" t="s">
        <v>521</v>
      </c>
      <c r="C250" s="50" t="s">
        <v>29</v>
      </c>
      <c r="D250" s="50" t="s">
        <v>58</v>
      </c>
      <c r="E250" s="50" t="s">
        <v>20</v>
      </c>
      <c r="F250" s="55">
        <v>0</v>
      </c>
      <c r="G250" s="45"/>
      <c r="H250" s="45"/>
      <c r="I250" s="45"/>
      <c r="J250" s="69" t="s">
        <v>229</v>
      </c>
      <c r="K250" s="70" t="s">
        <v>229</v>
      </c>
      <c r="L250" s="66">
        <v>0</v>
      </c>
      <c r="M250" s="61" t="s">
        <v>470</v>
      </c>
      <c r="N250" s="45"/>
      <c r="O250" s="45"/>
      <c r="P250" s="50" t="s">
        <v>95</v>
      </c>
    </row>
    <row r="251" spans="1:16">
      <c r="A251" s="50" t="s">
        <v>94</v>
      </c>
      <c r="B251" s="50" t="s">
        <v>521</v>
      </c>
      <c r="C251" s="50" t="s">
        <v>30</v>
      </c>
      <c r="D251" s="50" t="s">
        <v>58</v>
      </c>
      <c r="E251" s="50" t="s">
        <v>20</v>
      </c>
      <c r="F251" s="55">
        <v>0</v>
      </c>
      <c r="G251" s="45"/>
      <c r="H251" s="45"/>
      <c r="I251" s="45"/>
      <c r="J251" s="69" t="s">
        <v>229</v>
      </c>
      <c r="K251" s="70" t="s">
        <v>229</v>
      </c>
      <c r="L251" s="66">
        <v>0</v>
      </c>
      <c r="M251" s="61" t="s">
        <v>470</v>
      </c>
      <c r="N251" s="45"/>
      <c r="O251" s="45"/>
      <c r="P251" s="50" t="s">
        <v>95</v>
      </c>
    </row>
    <row r="252" spans="1:16">
      <c r="A252" s="46" t="s">
        <v>94</v>
      </c>
      <c r="B252" s="44" t="s">
        <v>522</v>
      </c>
      <c r="C252" s="44" t="s">
        <v>18</v>
      </c>
      <c r="D252" s="44" t="s">
        <v>58</v>
      </c>
      <c r="E252" s="44" t="s">
        <v>20</v>
      </c>
      <c r="F252" s="54">
        <v>0.25</v>
      </c>
      <c r="G252" s="45"/>
      <c r="H252" s="45"/>
      <c r="I252" s="45"/>
      <c r="J252" s="68">
        <v>45931</v>
      </c>
      <c r="K252" s="68">
        <v>46295</v>
      </c>
      <c r="L252" s="65">
        <v>261</v>
      </c>
      <c r="M252" s="60" t="s">
        <v>470</v>
      </c>
      <c r="N252" s="45"/>
      <c r="O252" s="45"/>
      <c r="P252" s="44" t="s">
        <v>95</v>
      </c>
    </row>
    <row r="253" spans="1:16">
      <c r="A253" s="50" t="s">
        <v>94</v>
      </c>
      <c r="B253" s="50" t="s">
        <v>523</v>
      </c>
      <c r="C253" s="50" t="s">
        <v>22</v>
      </c>
      <c r="D253" s="50" t="s">
        <v>58</v>
      </c>
      <c r="E253" s="50" t="s">
        <v>20</v>
      </c>
      <c r="F253" s="55">
        <v>0.25</v>
      </c>
      <c r="G253" s="50" t="s">
        <v>469</v>
      </c>
      <c r="H253" s="50" t="s">
        <v>96</v>
      </c>
      <c r="I253" s="50" t="s">
        <v>97</v>
      </c>
      <c r="J253" s="69">
        <v>45931</v>
      </c>
      <c r="K253" s="69">
        <v>46295</v>
      </c>
      <c r="L253" s="66">
        <v>261</v>
      </c>
      <c r="M253" s="61" t="s">
        <v>470</v>
      </c>
      <c r="N253" s="50" t="s">
        <v>26</v>
      </c>
      <c r="O253" s="50" t="s">
        <v>26</v>
      </c>
      <c r="P253" s="50" t="s">
        <v>95</v>
      </c>
    </row>
    <row r="254" spans="1:16">
      <c r="A254" s="50" t="s">
        <v>94</v>
      </c>
      <c r="B254" s="50" t="s">
        <v>523</v>
      </c>
      <c r="C254" s="50" t="s">
        <v>28</v>
      </c>
      <c r="D254" s="50" t="s">
        <v>58</v>
      </c>
      <c r="E254" s="50" t="s">
        <v>20</v>
      </c>
      <c r="F254" s="55">
        <v>0</v>
      </c>
      <c r="G254" s="45"/>
      <c r="H254" s="45"/>
      <c r="I254" s="45"/>
      <c r="J254" s="69" t="s">
        <v>229</v>
      </c>
      <c r="K254" s="70" t="s">
        <v>229</v>
      </c>
      <c r="L254" s="66">
        <v>0</v>
      </c>
      <c r="M254" s="61" t="s">
        <v>470</v>
      </c>
      <c r="N254" s="45"/>
      <c r="O254" s="45"/>
      <c r="P254" s="50" t="s">
        <v>95</v>
      </c>
    </row>
    <row r="255" spans="1:16">
      <c r="A255" s="50" t="s">
        <v>94</v>
      </c>
      <c r="B255" s="50" t="s">
        <v>523</v>
      </c>
      <c r="C255" s="50" t="s">
        <v>29</v>
      </c>
      <c r="D255" s="50" t="s">
        <v>58</v>
      </c>
      <c r="E255" s="50" t="s">
        <v>20</v>
      </c>
      <c r="F255" s="55">
        <v>0</v>
      </c>
      <c r="G255" s="45"/>
      <c r="H255" s="45"/>
      <c r="I255" s="45"/>
      <c r="J255" s="69" t="s">
        <v>229</v>
      </c>
      <c r="K255" s="70" t="s">
        <v>229</v>
      </c>
      <c r="L255" s="66">
        <v>0</v>
      </c>
      <c r="M255" s="61" t="s">
        <v>470</v>
      </c>
      <c r="N255" s="45"/>
      <c r="O255" s="45"/>
      <c r="P255" s="50" t="s">
        <v>95</v>
      </c>
    </row>
    <row r="256" spans="1:16">
      <c r="A256" s="50" t="s">
        <v>94</v>
      </c>
      <c r="B256" s="50" t="s">
        <v>523</v>
      </c>
      <c r="C256" s="50" t="s">
        <v>30</v>
      </c>
      <c r="D256" s="50" t="s">
        <v>58</v>
      </c>
      <c r="E256" s="50" t="s">
        <v>20</v>
      </c>
      <c r="F256" s="55">
        <v>0</v>
      </c>
      <c r="G256" s="45"/>
      <c r="H256" s="45"/>
      <c r="I256" s="45"/>
      <c r="J256" s="69" t="s">
        <v>229</v>
      </c>
      <c r="K256" s="70" t="s">
        <v>229</v>
      </c>
      <c r="L256" s="66">
        <v>0</v>
      </c>
      <c r="M256" s="61" t="s">
        <v>470</v>
      </c>
      <c r="N256" s="45"/>
      <c r="O256" s="45"/>
      <c r="P256" s="50" t="s">
        <v>95</v>
      </c>
    </row>
    <row r="257" spans="1:16">
      <c r="A257" s="53" t="s">
        <v>16</v>
      </c>
      <c r="B257" s="47" t="s">
        <v>321</v>
      </c>
      <c r="C257" s="47" t="s">
        <v>18</v>
      </c>
      <c r="D257" s="47" t="s">
        <v>19</v>
      </c>
      <c r="E257" s="47" t="s">
        <v>105</v>
      </c>
      <c r="F257" s="48">
        <v>1</v>
      </c>
      <c r="G257" s="49"/>
      <c r="H257" s="49"/>
      <c r="I257" s="49"/>
      <c r="J257" s="68">
        <v>45870</v>
      </c>
      <c r="K257" s="68">
        <v>46142</v>
      </c>
      <c r="L257" s="63">
        <v>195</v>
      </c>
      <c r="M257" s="58" t="s">
        <v>470</v>
      </c>
      <c r="N257" s="49"/>
      <c r="O257" s="49"/>
      <c r="P257" s="47" t="s">
        <v>104</v>
      </c>
    </row>
    <row r="258" spans="1:16">
      <c r="A258" s="50" t="s">
        <v>16</v>
      </c>
      <c r="B258" s="51" t="s">
        <v>322</v>
      </c>
      <c r="C258" s="51" t="s">
        <v>22</v>
      </c>
      <c r="D258" s="51" t="s">
        <v>19</v>
      </c>
      <c r="E258" s="51" t="s">
        <v>105</v>
      </c>
      <c r="F258" s="52">
        <v>1</v>
      </c>
      <c r="G258" s="51" t="s">
        <v>23</v>
      </c>
      <c r="H258" s="51" t="s">
        <v>106</v>
      </c>
      <c r="I258" s="51" t="s">
        <v>25</v>
      </c>
      <c r="J258" s="68">
        <v>45946</v>
      </c>
      <c r="K258" s="68">
        <v>45961</v>
      </c>
      <c r="L258" s="64">
        <v>12</v>
      </c>
      <c r="M258" s="59" t="s">
        <v>524</v>
      </c>
      <c r="N258" s="51" t="s">
        <v>108</v>
      </c>
      <c r="O258" s="51" t="s">
        <v>108</v>
      </c>
      <c r="P258" s="51" t="s">
        <v>104</v>
      </c>
    </row>
    <row r="259" spans="1:16">
      <c r="A259" s="50" t="s">
        <v>16</v>
      </c>
      <c r="B259" s="51" t="s">
        <v>322</v>
      </c>
      <c r="C259" s="51" t="s">
        <v>28</v>
      </c>
      <c r="D259" s="51" t="s">
        <v>19</v>
      </c>
      <c r="E259" s="51" t="s">
        <v>105</v>
      </c>
      <c r="F259" s="52">
        <v>0.75</v>
      </c>
      <c r="G259" s="49"/>
      <c r="H259" s="49"/>
      <c r="I259" s="49"/>
      <c r="J259" s="69">
        <v>45962</v>
      </c>
      <c r="K259" s="69">
        <v>46081</v>
      </c>
      <c r="L259" s="64">
        <v>85</v>
      </c>
      <c r="M259" s="59" t="s">
        <v>470</v>
      </c>
      <c r="N259" s="51" t="s">
        <v>43</v>
      </c>
      <c r="O259" s="51" t="s">
        <v>132</v>
      </c>
      <c r="P259" s="51" t="s">
        <v>104</v>
      </c>
    </row>
    <row r="260" spans="1:16">
      <c r="A260" s="50" t="s">
        <v>16</v>
      </c>
      <c r="B260" s="51" t="s">
        <v>322</v>
      </c>
      <c r="C260" s="51" t="s">
        <v>29</v>
      </c>
      <c r="D260" s="51" t="s">
        <v>19</v>
      </c>
      <c r="E260" s="51" t="s">
        <v>105</v>
      </c>
      <c r="F260" s="52">
        <v>0</v>
      </c>
      <c r="G260" s="49"/>
      <c r="H260" s="49"/>
      <c r="I260" s="49"/>
      <c r="J260" s="68">
        <v>45964</v>
      </c>
      <c r="K260" s="68">
        <v>46112</v>
      </c>
      <c r="L260" s="64">
        <v>107</v>
      </c>
      <c r="M260" s="59" t="s">
        <v>470</v>
      </c>
      <c r="N260" s="51" t="s">
        <v>43</v>
      </c>
      <c r="O260" s="51" t="s">
        <v>29</v>
      </c>
      <c r="P260" s="51" t="s">
        <v>104</v>
      </c>
    </row>
    <row r="261" spans="1:16">
      <c r="A261" s="50" t="s">
        <v>16</v>
      </c>
      <c r="B261" s="51" t="s">
        <v>322</v>
      </c>
      <c r="C261" s="51" t="s">
        <v>30</v>
      </c>
      <c r="D261" s="51" t="s">
        <v>19</v>
      </c>
      <c r="E261" s="51" t="s">
        <v>105</v>
      </c>
      <c r="F261" s="52">
        <v>0</v>
      </c>
      <c r="G261" s="49"/>
      <c r="H261" s="49"/>
      <c r="I261" s="49"/>
      <c r="J261" s="69" t="s">
        <v>229</v>
      </c>
      <c r="K261" s="70" t="s">
        <v>229</v>
      </c>
      <c r="L261" s="64">
        <v>0</v>
      </c>
      <c r="M261" s="59" t="s">
        <v>470</v>
      </c>
      <c r="N261" s="49"/>
      <c r="O261" s="49"/>
      <c r="P261" s="51" t="s">
        <v>104</v>
      </c>
    </row>
    <row r="262" spans="1:16">
      <c r="A262" s="46" t="s">
        <v>16</v>
      </c>
      <c r="B262" s="44" t="s">
        <v>323</v>
      </c>
      <c r="C262" s="44" t="s">
        <v>18</v>
      </c>
      <c r="D262" s="44" t="s">
        <v>33</v>
      </c>
      <c r="E262" s="44" t="s">
        <v>105</v>
      </c>
      <c r="F262" s="54">
        <v>1</v>
      </c>
      <c r="G262" s="45"/>
      <c r="H262" s="45"/>
      <c r="I262" s="45"/>
      <c r="J262" s="68">
        <v>45870</v>
      </c>
      <c r="K262" s="68">
        <v>45874</v>
      </c>
      <c r="L262" s="65">
        <v>3</v>
      </c>
      <c r="M262" s="60" t="s">
        <v>525</v>
      </c>
      <c r="N262" s="45"/>
      <c r="O262" s="45"/>
      <c r="P262" s="44" t="s">
        <v>104</v>
      </c>
    </row>
    <row r="263" spans="1:16">
      <c r="A263" s="50" t="s">
        <v>16</v>
      </c>
      <c r="B263" s="50" t="s">
        <v>324</v>
      </c>
      <c r="C263" s="50" t="s">
        <v>22</v>
      </c>
      <c r="D263" s="50" t="s">
        <v>33</v>
      </c>
      <c r="E263" s="50" t="s">
        <v>105</v>
      </c>
      <c r="F263" s="55">
        <v>1</v>
      </c>
      <c r="G263" s="50" t="s">
        <v>23</v>
      </c>
      <c r="H263" s="50" t="s">
        <v>106</v>
      </c>
      <c r="I263" s="50" t="s">
        <v>25</v>
      </c>
      <c r="J263" s="68">
        <v>45870</v>
      </c>
      <c r="K263" s="68">
        <v>45870</v>
      </c>
      <c r="L263" s="66">
        <v>1</v>
      </c>
      <c r="M263" s="61" t="s">
        <v>470</v>
      </c>
      <c r="N263" s="50" t="s">
        <v>108</v>
      </c>
      <c r="O263" s="50" t="s">
        <v>108</v>
      </c>
      <c r="P263" s="50" t="s">
        <v>104</v>
      </c>
    </row>
    <row r="264" spans="1:16">
      <c r="A264" s="50" t="s">
        <v>16</v>
      </c>
      <c r="B264" s="50" t="s">
        <v>324</v>
      </c>
      <c r="C264" s="50" t="s">
        <v>28</v>
      </c>
      <c r="D264" s="50" t="s">
        <v>33</v>
      </c>
      <c r="E264" s="50" t="s">
        <v>105</v>
      </c>
      <c r="F264" s="55">
        <v>0</v>
      </c>
      <c r="G264" s="45"/>
      <c r="H264" s="45"/>
      <c r="I264" s="45"/>
      <c r="J264" s="69">
        <v>45962</v>
      </c>
      <c r="K264" s="69">
        <v>46081</v>
      </c>
      <c r="L264" s="66">
        <v>85</v>
      </c>
      <c r="M264" s="61" t="s">
        <v>470</v>
      </c>
      <c r="N264" s="50" t="s">
        <v>43</v>
      </c>
      <c r="O264" s="50" t="s">
        <v>132</v>
      </c>
      <c r="P264" s="50" t="s">
        <v>104</v>
      </c>
    </row>
    <row r="265" spans="1:16">
      <c r="A265" s="50" t="s">
        <v>16</v>
      </c>
      <c r="B265" s="50" t="s">
        <v>324</v>
      </c>
      <c r="C265" s="50" t="s">
        <v>29</v>
      </c>
      <c r="D265" s="50" t="s">
        <v>33</v>
      </c>
      <c r="E265" s="50" t="s">
        <v>105</v>
      </c>
      <c r="F265" s="55">
        <v>0</v>
      </c>
      <c r="G265" s="45"/>
      <c r="H265" s="45"/>
      <c r="I265" s="45"/>
      <c r="J265" s="68">
        <v>45964</v>
      </c>
      <c r="K265" s="68">
        <v>46112</v>
      </c>
      <c r="L265" s="66">
        <v>107</v>
      </c>
      <c r="M265" s="61" t="s">
        <v>470</v>
      </c>
      <c r="N265" s="50" t="s">
        <v>43</v>
      </c>
      <c r="O265" s="50" t="s">
        <v>29</v>
      </c>
      <c r="P265" s="50" t="s">
        <v>104</v>
      </c>
    </row>
    <row r="266" spans="1:16">
      <c r="A266" s="50" t="s">
        <v>16</v>
      </c>
      <c r="B266" s="50" t="s">
        <v>324</v>
      </c>
      <c r="C266" s="50" t="s">
        <v>30</v>
      </c>
      <c r="D266" s="50" t="s">
        <v>33</v>
      </c>
      <c r="E266" s="50" t="s">
        <v>105</v>
      </c>
      <c r="F266" s="55">
        <v>0</v>
      </c>
      <c r="G266" s="45"/>
      <c r="H266" s="45"/>
      <c r="I266" s="45"/>
      <c r="J266" s="69" t="s">
        <v>229</v>
      </c>
      <c r="K266" s="70" t="s">
        <v>229</v>
      </c>
      <c r="L266" s="66">
        <v>0</v>
      </c>
      <c r="M266" s="61" t="s">
        <v>470</v>
      </c>
      <c r="N266" s="45"/>
      <c r="O266" s="45"/>
      <c r="P266" s="50" t="s">
        <v>104</v>
      </c>
    </row>
    <row r="267" spans="1:16">
      <c r="A267" s="53" t="s">
        <v>16</v>
      </c>
      <c r="B267" s="44" t="s">
        <v>325</v>
      </c>
      <c r="C267" s="44" t="s">
        <v>18</v>
      </c>
      <c r="D267" s="44" t="s">
        <v>33</v>
      </c>
      <c r="E267" s="44" t="s">
        <v>105</v>
      </c>
      <c r="F267" s="54">
        <v>1</v>
      </c>
      <c r="G267" s="45"/>
      <c r="H267" s="45"/>
      <c r="I267" s="45"/>
      <c r="J267" s="68">
        <v>45870</v>
      </c>
      <c r="K267" s="68">
        <v>46142</v>
      </c>
      <c r="L267" s="65">
        <v>195</v>
      </c>
      <c r="M267" s="60" t="s">
        <v>524</v>
      </c>
      <c r="N267" s="45"/>
      <c r="O267" s="45"/>
      <c r="P267" s="44" t="s">
        <v>104</v>
      </c>
    </row>
    <row r="268" spans="1:16">
      <c r="A268" s="50" t="s">
        <v>16</v>
      </c>
      <c r="B268" s="50" t="s">
        <v>326</v>
      </c>
      <c r="C268" s="50" t="s">
        <v>22</v>
      </c>
      <c r="D268" s="50" t="s">
        <v>33</v>
      </c>
      <c r="E268" s="50" t="s">
        <v>105</v>
      </c>
      <c r="F268" s="55">
        <v>1</v>
      </c>
      <c r="G268" s="50" t="s">
        <v>23</v>
      </c>
      <c r="H268" s="50" t="s">
        <v>106</v>
      </c>
      <c r="I268" s="50" t="s">
        <v>25</v>
      </c>
      <c r="J268" s="69">
        <v>45870</v>
      </c>
      <c r="K268" s="69">
        <v>45870</v>
      </c>
      <c r="L268" s="66">
        <v>1</v>
      </c>
      <c r="M268" s="61" t="s">
        <v>470</v>
      </c>
      <c r="N268" s="50" t="s">
        <v>108</v>
      </c>
      <c r="O268" s="50" t="s">
        <v>108</v>
      </c>
      <c r="P268" s="50" t="s">
        <v>104</v>
      </c>
    </row>
    <row r="269" spans="1:16">
      <c r="A269" s="50" t="s">
        <v>16</v>
      </c>
      <c r="B269" s="50" t="s">
        <v>326</v>
      </c>
      <c r="C269" s="50" t="s">
        <v>28</v>
      </c>
      <c r="D269" s="50" t="s">
        <v>33</v>
      </c>
      <c r="E269" s="50" t="s">
        <v>105</v>
      </c>
      <c r="F269" s="55">
        <v>0</v>
      </c>
      <c r="G269" s="45"/>
      <c r="H269" s="45"/>
      <c r="I269" s="45"/>
      <c r="J269" s="69">
        <v>45962</v>
      </c>
      <c r="K269" s="69">
        <v>46081</v>
      </c>
      <c r="L269" s="66">
        <v>85</v>
      </c>
      <c r="M269" s="61" t="s">
        <v>470</v>
      </c>
      <c r="N269" s="50" t="s">
        <v>43</v>
      </c>
      <c r="O269" s="50" t="s">
        <v>132</v>
      </c>
      <c r="P269" s="50" t="s">
        <v>104</v>
      </c>
    </row>
    <row r="270" spans="1:16">
      <c r="A270" s="50" t="s">
        <v>16</v>
      </c>
      <c r="B270" s="50" t="s">
        <v>326</v>
      </c>
      <c r="C270" s="50" t="s">
        <v>29</v>
      </c>
      <c r="D270" s="50" t="s">
        <v>33</v>
      </c>
      <c r="E270" s="50" t="s">
        <v>105</v>
      </c>
      <c r="F270" s="55">
        <v>0</v>
      </c>
      <c r="G270" s="45"/>
      <c r="H270" s="45"/>
      <c r="I270" s="45"/>
      <c r="J270" s="68">
        <v>45964</v>
      </c>
      <c r="K270" s="68">
        <v>46112</v>
      </c>
      <c r="L270" s="66">
        <v>107</v>
      </c>
      <c r="M270" s="61" t="s">
        <v>470</v>
      </c>
      <c r="N270" s="50" t="s">
        <v>43</v>
      </c>
      <c r="O270" s="50" t="s">
        <v>29</v>
      </c>
      <c r="P270" s="50" t="s">
        <v>104</v>
      </c>
    </row>
    <row r="271" spans="1:16">
      <c r="A271" s="50" t="s">
        <v>16</v>
      </c>
      <c r="B271" s="50" t="s">
        <v>326</v>
      </c>
      <c r="C271" s="50" t="s">
        <v>30</v>
      </c>
      <c r="D271" s="50" t="s">
        <v>33</v>
      </c>
      <c r="E271" s="50" t="s">
        <v>105</v>
      </c>
      <c r="F271" s="55">
        <v>0</v>
      </c>
      <c r="G271" s="45"/>
      <c r="H271" s="45"/>
      <c r="I271" s="45"/>
      <c r="J271" s="69" t="s">
        <v>229</v>
      </c>
      <c r="K271" s="70" t="s">
        <v>229</v>
      </c>
      <c r="L271" s="66">
        <v>0</v>
      </c>
      <c r="M271" s="61" t="s">
        <v>470</v>
      </c>
      <c r="N271" s="45"/>
      <c r="O271" s="45"/>
      <c r="P271" s="50" t="s">
        <v>104</v>
      </c>
    </row>
    <row r="272" spans="1:16">
      <c r="A272" s="46" t="s">
        <v>16</v>
      </c>
      <c r="B272" s="44" t="s">
        <v>327</v>
      </c>
      <c r="C272" s="44" t="s">
        <v>18</v>
      </c>
      <c r="D272" s="44" t="s">
        <v>58</v>
      </c>
      <c r="E272" s="44" t="s">
        <v>105</v>
      </c>
      <c r="F272" s="54">
        <v>1</v>
      </c>
      <c r="G272" s="45"/>
      <c r="H272" s="45"/>
      <c r="I272" s="45"/>
      <c r="J272" s="68">
        <v>45870</v>
      </c>
      <c r="K272" s="68">
        <v>46142</v>
      </c>
      <c r="L272" s="65">
        <v>195</v>
      </c>
      <c r="M272" s="60" t="s">
        <v>470</v>
      </c>
      <c r="N272" s="45"/>
      <c r="O272" s="45"/>
      <c r="P272" s="44" t="s">
        <v>104</v>
      </c>
    </row>
    <row r="273" spans="1:16">
      <c r="A273" s="50" t="s">
        <v>16</v>
      </c>
      <c r="B273" s="50" t="s">
        <v>328</v>
      </c>
      <c r="C273" s="50" t="s">
        <v>22</v>
      </c>
      <c r="D273" s="50" t="s">
        <v>58</v>
      </c>
      <c r="E273" s="50" t="s">
        <v>105</v>
      </c>
      <c r="F273" s="55">
        <v>1</v>
      </c>
      <c r="G273" s="50" t="s">
        <v>23</v>
      </c>
      <c r="H273" s="50" t="s">
        <v>113</v>
      </c>
      <c r="I273" s="50" t="s">
        <v>25</v>
      </c>
      <c r="J273" s="68">
        <v>45870</v>
      </c>
      <c r="K273" s="68">
        <v>45945</v>
      </c>
      <c r="L273" s="66">
        <v>54</v>
      </c>
      <c r="M273" s="61" t="s">
        <v>470</v>
      </c>
      <c r="N273" s="50" t="s">
        <v>108</v>
      </c>
      <c r="O273" s="50" t="s">
        <v>108</v>
      </c>
      <c r="P273" s="50" t="s">
        <v>104</v>
      </c>
    </row>
    <row r="274" spans="1:16">
      <c r="A274" s="50" t="s">
        <v>16</v>
      </c>
      <c r="B274" s="50" t="s">
        <v>328</v>
      </c>
      <c r="C274" s="50" t="s">
        <v>28</v>
      </c>
      <c r="D274" s="50" t="s">
        <v>58</v>
      </c>
      <c r="E274" s="50" t="s">
        <v>105</v>
      </c>
      <c r="F274" s="55">
        <v>0</v>
      </c>
      <c r="G274" s="45"/>
      <c r="H274" s="45"/>
      <c r="I274" s="45"/>
      <c r="J274" s="69" t="s">
        <v>229</v>
      </c>
      <c r="K274" s="70" t="s">
        <v>229</v>
      </c>
      <c r="L274" s="66">
        <v>0</v>
      </c>
      <c r="M274" s="61" t="s">
        <v>470</v>
      </c>
      <c r="N274" s="45"/>
      <c r="O274" s="45"/>
      <c r="P274" s="50" t="s">
        <v>104</v>
      </c>
    </row>
    <row r="275" spans="1:16">
      <c r="A275" s="50" t="s">
        <v>16</v>
      </c>
      <c r="B275" s="50" t="s">
        <v>328</v>
      </c>
      <c r="C275" s="50" t="s">
        <v>29</v>
      </c>
      <c r="D275" s="50" t="s">
        <v>58</v>
      </c>
      <c r="E275" s="50" t="s">
        <v>105</v>
      </c>
      <c r="F275" s="55">
        <v>0</v>
      </c>
      <c r="G275" s="45"/>
      <c r="H275" s="45"/>
      <c r="I275" s="45"/>
      <c r="J275" s="68">
        <v>45946</v>
      </c>
      <c r="K275" s="68">
        <v>46142</v>
      </c>
      <c r="L275" s="66">
        <v>141</v>
      </c>
      <c r="M275" s="61" t="s">
        <v>470</v>
      </c>
      <c r="N275" s="50" t="s">
        <v>43</v>
      </c>
      <c r="O275" s="50" t="s">
        <v>29</v>
      </c>
      <c r="P275" s="50" t="s">
        <v>104</v>
      </c>
    </row>
    <row r="276" spans="1:16">
      <c r="A276" s="50" t="s">
        <v>16</v>
      </c>
      <c r="B276" s="50" t="s">
        <v>328</v>
      </c>
      <c r="C276" s="50" t="s">
        <v>30</v>
      </c>
      <c r="D276" s="50" t="s">
        <v>58</v>
      </c>
      <c r="E276" s="50" t="s">
        <v>105</v>
      </c>
      <c r="F276" s="55">
        <v>0</v>
      </c>
      <c r="G276" s="45"/>
      <c r="H276" s="45"/>
      <c r="I276" s="45"/>
      <c r="J276" s="69" t="s">
        <v>229</v>
      </c>
      <c r="K276" s="70" t="s">
        <v>229</v>
      </c>
      <c r="L276" s="66">
        <v>0</v>
      </c>
      <c r="M276" s="61" t="s">
        <v>470</v>
      </c>
      <c r="N276" s="45"/>
      <c r="O276" s="45"/>
      <c r="P276" s="50" t="s">
        <v>104</v>
      </c>
    </row>
    <row r="277" spans="1:16">
      <c r="A277" s="46" t="s">
        <v>16</v>
      </c>
      <c r="B277" s="44" t="s">
        <v>329</v>
      </c>
      <c r="C277" s="44" t="s">
        <v>18</v>
      </c>
      <c r="D277" s="44" t="s">
        <v>33</v>
      </c>
      <c r="E277" s="44" t="s">
        <v>105</v>
      </c>
      <c r="F277" s="54">
        <v>1</v>
      </c>
      <c r="G277" s="45"/>
      <c r="H277" s="45"/>
      <c r="I277" s="45"/>
      <c r="J277" s="68">
        <v>45870</v>
      </c>
      <c r="K277" s="68">
        <v>45870</v>
      </c>
      <c r="L277" s="65">
        <v>1</v>
      </c>
      <c r="M277" s="60" t="s">
        <v>525</v>
      </c>
      <c r="N277" s="45"/>
      <c r="O277" s="45"/>
      <c r="P277" s="44" t="s">
        <v>104</v>
      </c>
    </row>
    <row r="278" spans="1:16">
      <c r="A278" s="50" t="s">
        <v>16</v>
      </c>
      <c r="B278" s="50" t="s">
        <v>330</v>
      </c>
      <c r="C278" s="50" t="s">
        <v>22</v>
      </c>
      <c r="D278" s="50" t="s">
        <v>33</v>
      </c>
      <c r="E278" s="50" t="s">
        <v>105</v>
      </c>
      <c r="F278" s="55">
        <v>1</v>
      </c>
      <c r="G278" s="50" t="s">
        <v>23</v>
      </c>
      <c r="H278" s="50" t="s">
        <v>106</v>
      </c>
      <c r="I278" s="50" t="s">
        <v>25</v>
      </c>
      <c r="J278" s="69">
        <v>45870</v>
      </c>
      <c r="K278" s="69">
        <v>45870</v>
      </c>
      <c r="L278" s="66">
        <v>1</v>
      </c>
      <c r="M278" s="61" t="s">
        <v>470</v>
      </c>
      <c r="N278" s="50" t="s">
        <v>108</v>
      </c>
      <c r="O278" s="50" t="s">
        <v>108</v>
      </c>
      <c r="P278" s="50" t="s">
        <v>104</v>
      </c>
    </row>
    <row r="279" spans="1:16">
      <c r="A279" s="50" t="s">
        <v>16</v>
      </c>
      <c r="B279" s="50" t="s">
        <v>330</v>
      </c>
      <c r="C279" s="50" t="s">
        <v>28</v>
      </c>
      <c r="D279" s="50" t="s">
        <v>33</v>
      </c>
      <c r="E279" s="50" t="s">
        <v>105</v>
      </c>
      <c r="F279" s="55">
        <v>0</v>
      </c>
      <c r="G279" s="45"/>
      <c r="H279" s="45"/>
      <c r="I279" s="45"/>
      <c r="J279" s="69">
        <v>45962</v>
      </c>
      <c r="K279" s="69">
        <v>46081</v>
      </c>
      <c r="L279" s="66">
        <v>85</v>
      </c>
      <c r="M279" s="61" t="s">
        <v>470</v>
      </c>
      <c r="N279" s="50" t="s">
        <v>43</v>
      </c>
      <c r="O279" s="50" t="s">
        <v>132</v>
      </c>
      <c r="P279" s="50" t="s">
        <v>104</v>
      </c>
    </row>
    <row r="280" spans="1:16">
      <c r="A280" s="50" t="s">
        <v>16</v>
      </c>
      <c r="B280" s="50" t="s">
        <v>330</v>
      </c>
      <c r="C280" s="50" t="s">
        <v>29</v>
      </c>
      <c r="D280" s="50" t="s">
        <v>33</v>
      </c>
      <c r="E280" s="50" t="s">
        <v>105</v>
      </c>
      <c r="F280" s="55">
        <v>0</v>
      </c>
      <c r="G280" s="45"/>
      <c r="H280" s="45"/>
      <c r="I280" s="45"/>
      <c r="J280" s="68">
        <v>45964</v>
      </c>
      <c r="K280" s="68">
        <v>46112</v>
      </c>
      <c r="L280" s="66">
        <v>107</v>
      </c>
      <c r="M280" s="61" t="s">
        <v>470</v>
      </c>
      <c r="N280" s="50" t="s">
        <v>43</v>
      </c>
      <c r="O280" s="50" t="s">
        <v>29</v>
      </c>
      <c r="P280" s="50" t="s">
        <v>104</v>
      </c>
    </row>
    <row r="281" spans="1:16">
      <c r="A281" s="50" t="s">
        <v>16</v>
      </c>
      <c r="B281" s="50" t="s">
        <v>330</v>
      </c>
      <c r="C281" s="50" t="s">
        <v>30</v>
      </c>
      <c r="D281" s="50" t="s">
        <v>33</v>
      </c>
      <c r="E281" s="50" t="s">
        <v>105</v>
      </c>
      <c r="F281" s="55">
        <v>0</v>
      </c>
      <c r="G281" s="45"/>
      <c r="H281" s="45"/>
      <c r="I281" s="45"/>
      <c r="J281" s="69" t="s">
        <v>229</v>
      </c>
      <c r="K281" s="70" t="s">
        <v>229</v>
      </c>
      <c r="L281" s="66">
        <v>0</v>
      </c>
      <c r="M281" s="61" t="s">
        <v>470</v>
      </c>
      <c r="N281" s="45"/>
      <c r="O281" s="45"/>
      <c r="P281" s="50" t="s">
        <v>104</v>
      </c>
    </row>
    <row r="282" spans="1:16">
      <c r="A282" s="46" t="s">
        <v>39</v>
      </c>
      <c r="B282" s="47" t="s">
        <v>331</v>
      </c>
      <c r="C282" s="47" t="s">
        <v>18</v>
      </c>
      <c r="D282" s="47" t="s">
        <v>19</v>
      </c>
      <c r="E282" s="47" t="s">
        <v>105</v>
      </c>
      <c r="F282" s="48">
        <v>0.41</v>
      </c>
      <c r="G282" s="49"/>
      <c r="H282" s="49"/>
      <c r="I282" s="49"/>
      <c r="J282" s="68">
        <v>45748</v>
      </c>
      <c r="K282" s="68">
        <v>46265</v>
      </c>
      <c r="L282" s="63">
        <v>370</v>
      </c>
      <c r="M282" s="58" t="s">
        <v>470</v>
      </c>
      <c r="N282" s="49"/>
      <c r="O282" s="49"/>
      <c r="P282" s="47" t="s">
        <v>115</v>
      </c>
    </row>
    <row r="283" spans="1:16">
      <c r="A283" s="50" t="s">
        <v>39</v>
      </c>
      <c r="B283" s="51" t="s">
        <v>332</v>
      </c>
      <c r="C283" s="51" t="s">
        <v>22</v>
      </c>
      <c r="D283" s="51" t="s">
        <v>19</v>
      </c>
      <c r="E283" s="51" t="s">
        <v>105</v>
      </c>
      <c r="F283" s="52">
        <v>0</v>
      </c>
      <c r="G283" s="51" t="s">
        <v>23</v>
      </c>
      <c r="H283" s="50" t="s">
        <v>526</v>
      </c>
      <c r="I283" s="51" t="s">
        <v>527</v>
      </c>
      <c r="J283" s="69" t="s">
        <v>229</v>
      </c>
      <c r="K283" s="70" t="s">
        <v>229</v>
      </c>
      <c r="L283" s="64">
        <v>0</v>
      </c>
      <c r="M283" s="59" t="s">
        <v>470</v>
      </c>
      <c r="N283" s="49"/>
      <c r="O283" s="49"/>
      <c r="P283" s="51" t="s">
        <v>115</v>
      </c>
    </row>
    <row r="284" spans="1:16">
      <c r="A284" s="50" t="s">
        <v>39</v>
      </c>
      <c r="B284" s="51" t="s">
        <v>332</v>
      </c>
      <c r="C284" s="51" t="s">
        <v>28</v>
      </c>
      <c r="D284" s="51" t="s">
        <v>19</v>
      </c>
      <c r="E284" s="51" t="s">
        <v>105</v>
      </c>
      <c r="F284" s="52">
        <v>0</v>
      </c>
      <c r="G284" s="49"/>
      <c r="H284" s="49"/>
      <c r="I284" s="49"/>
      <c r="J284" s="69" t="s">
        <v>229</v>
      </c>
      <c r="K284" s="70" t="s">
        <v>229</v>
      </c>
      <c r="L284" s="64">
        <v>0</v>
      </c>
      <c r="M284" s="59" t="s">
        <v>470</v>
      </c>
      <c r="N284" s="49"/>
      <c r="O284" s="49"/>
      <c r="P284" s="51" t="s">
        <v>115</v>
      </c>
    </row>
    <row r="285" spans="1:16">
      <c r="A285" s="50" t="s">
        <v>39</v>
      </c>
      <c r="B285" s="51" t="s">
        <v>332</v>
      </c>
      <c r="C285" s="51" t="s">
        <v>29</v>
      </c>
      <c r="D285" s="51" t="s">
        <v>19</v>
      </c>
      <c r="E285" s="51" t="s">
        <v>105</v>
      </c>
      <c r="F285" s="52">
        <v>0</v>
      </c>
      <c r="G285" s="49"/>
      <c r="H285" s="49"/>
      <c r="I285" s="49"/>
      <c r="J285" s="69" t="s">
        <v>229</v>
      </c>
      <c r="K285" s="70" t="s">
        <v>229</v>
      </c>
      <c r="L285" s="64">
        <v>0</v>
      </c>
      <c r="M285" s="59" t="s">
        <v>470</v>
      </c>
      <c r="N285" s="49"/>
      <c r="O285" s="49"/>
      <c r="P285" s="51" t="s">
        <v>115</v>
      </c>
    </row>
    <row r="286" spans="1:16">
      <c r="A286" s="50" t="s">
        <v>39</v>
      </c>
      <c r="B286" s="51" t="s">
        <v>332</v>
      </c>
      <c r="C286" s="51" t="s">
        <v>30</v>
      </c>
      <c r="D286" s="51" t="s">
        <v>19</v>
      </c>
      <c r="E286" s="51" t="s">
        <v>105</v>
      </c>
      <c r="F286" s="52">
        <v>0</v>
      </c>
      <c r="G286" s="49"/>
      <c r="H286" s="49"/>
      <c r="I286" s="49"/>
      <c r="J286" s="69" t="s">
        <v>229</v>
      </c>
      <c r="K286" s="70" t="s">
        <v>229</v>
      </c>
      <c r="L286" s="64">
        <v>0</v>
      </c>
      <c r="M286" s="59" t="s">
        <v>470</v>
      </c>
      <c r="N286" s="49"/>
      <c r="O286" s="49"/>
      <c r="P286" s="51" t="s">
        <v>115</v>
      </c>
    </row>
    <row r="287" spans="1:16">
      <c r="A287" s="46" t="s">
        <v>39</v>
      </c>
      <c r="B287" s="44" t="s">
        <v>333</v>
      </c>
      <c r="C287" s="44" t="s">
        <v>18</v>
      </c>
      <c r="D287" s="44" t="s">
        <v>33</v>
      </c>
      <c r="E287" s="44" t="s">
        <v>105</v>
      </c>
      <c r="F287" s="54">
        <v>0.5</v>
      </c>
      <c r="G287" s="45"/>
      <c r="H287" s="45"/>
      <c r="I287" s="45"/>
      <c r="J287" s="68">
        <v>45931</v>
      </c>
      <c r="K287" s="68">
        <v>46248</v>
      </c>
      <c r="L287" s="65">
        <v>228</v>
      </c>
      <c r="M287" s="60" t="s">
        <v>470</v>
      </c>
      <c r="N287" s="45"/>
      <c r="O287" s="45"/>
      <c r="P287" s="44" t="s">
        <v>115</v>
      </c>
    </row>
    <row r="288" spans="1:16">
      <c r="A288" s="50" t="s">
        <v>39</v>
      </c>
      <c r="B288" s="50" t="s">
        <v>334</v>
      </c>
      <c r="C288" s="50" t="s">
        <v>22</v>
      </c>
      <c r="D288" s="50" t="s">
        <v>33</v>
      </c>
      <c r="E288" s="50" t="s">
        <v>105</v>
      </c>
      <c r="F288" s="55">
        <v>0</v>
      </c>
      <c r="G288" s="50" t="s">
        <v>23</v>
      </c>
      <c r="H288" s="50" t="s">
        <v>526</v>
      </c>
      <c r="I288" s="50" t="s">
        <v>527</v>
      </c>
      <c r="J288" s="69">
        <v>46069</v>
      </c>
      <c r="K288" s="69">
        <v>46157</v>
      </c>
      <c r="L288" s="66">
        <v>65</v>
      </c>
      <c r="M288" s="61" t="s">
        <v>470</v>
      </c>
      <c r="N288" s="50" t="s">
        <v>43</v>
      </c>
      <c r="O288" s="50" t="s">
        <v>26</v>
      </c>
      <c r="P288" s="50" t="s">
        <v>115</v>
      </c>
    </row>
    <row r="289" spans="1:16">
      <c r="A289" s="50" t="s">
        <v>39</v>
      </c>
      <c r="B289" s="50" t="s">
        <v>334</v>
      </c>
      <c r="C289" s="50" t="s">
        <v>28</v>
      </c>
      <c r="D289" s="50" t="s">
        <v>33</v>
      </c>
      <c r="E289" s="50" t="s">
        <v>105</v>
      </c>
      <c r="F289" s="55">
        <v>0</v>
      </c>
      <c r="G289" s="45"/>
      <c r="H289" s="45"/>
      <c r="I289" s="45"/>
      <c r="J289" s="69">
        <v>46160</v>
      </c>
      <c r="K289" s="69">
        <v>46248</v>
      </c>
      <c r="L289" s="66">
        <v>65</v>
      </c>
      <c r="M289" s="61" t="s">
        <v>470</v>
      </c>
      <c r="N289" s="45"/>
      <c r="O289" s="50" t="s">
        <v>27</v>
      </c>
      <c r="P289" s="50" t="s">
        <v>115</v>
      </c>
    </row>
    <row r="290" spans="1:16">
      <c r="A290" s="50" t="s">
        <v>39</v>
      </c>
      <c r="B290" s="50" t="s">
        <v>334</v>
      </c>
      <c r="C290" s="50" t="s">
        <v>29</v>
      </c>
      <c r="D290" s="50" t="s">
        <v>33</v>
      </c>
      <c r="E290" s="50" t="s">
        <v>105</v>
      </c>
      <c r="F290" s="55">
        <v>0</v>
      </c>
      <c r="G290" s="45"/>
      <c r="H290" s="45"/>
      <c r="I290" s="45"/>
      <c r="J290" s="69" t="s">
        <v>229</v>
      </c>
      <c r="K290" s="70" t="s">
        <v>229</v>
      </c>
      <c r="L290" s="66">
        <v>0</v>
      </c>
      <c r="M290" s="61" t="s">
        <v>470</v>
      </c>
      <c r="N290" s="45"/>
      <c r="O290" s="45"/>
      <c r="P290" s="50" t="s">
        <v>115</v>
      </c>
    </row>
    <row r="291" spans="1:16">
      <c r="A291" s="50" t="s">
        <v>39</v>
      </c>
      <c r="B291" s="50" t="s">
        <v>334</v>
      </c>
      <c r="C291" s="50" t="s">
        <v>30</v>
      </c>
      <c r="D291" s="50" t="s">
        <v>33</v>
      </c>
      <c r="E291" s="50" t="s">
        <v>105</v>
      </c>
      <c r="F291" s="55">
        <v>0</v>
      </c>
      <c r="G291" s="45"/>
      <c r="H291" s="45"/>
      <c r="I291" s="45"/>
      <c r="J291" s="69" t="s">
        <v>229</v>
      </c>
      <c r="K291" s="70" t="s">
        <v>229</v>
      </c>
      <c r="L291" s="66">
        <v>0</v>
      </c>
      <c r="M291" s="61" t="s">
        <v>470</v>
      </c>
      <c r="N291" s="45"/>
      <c r="O291" s="45"/>
      <c r="P291" s="50" t="s">
        <v>115</v>
      </c>
    </row>
    <row r="292" spans="1:16">
      <c r="A292" s="46" t="s">
        <v>119</v>
      </c>
      <c r="B292" s="44" t="s">
        <v>335</v>
      </c>
      <c r="C292" s="44" t="s">
        <v>18</v>
      </c>
      <c r="D292" s="44" t="s">
        <v>58</v>
      </c>
      <c r="E292" s="44" t="s">
        <v>105</v>
      </c>
      <c r="F292" s="54">
        <v>0.5</v>
      </c>
      <c r="G292" s="45"/>
      <c r="H292" s="45"/>
      <c r="I292" s="45"/>
      <c r="J292" s="68">
        <v>46036</v>
      </c>
      <c r="K292" s="68">
        <v>46195</v>
      </c>
      <c r="L292" s="65">
        <v>114</v>
      </c>
      <c r="M292" s="60" t="s">
        <v>470</v>
      </c>
      <c r="N292" s="45"/>
      <c r="O292" s="45"/>
      <c r="P292" s="44" t="s">
        <v>115</v>
      </c>
    </row>
    <row r="293" spans="1:16">
      <c r="A293" s="50" t="s">
        <v>119</v>
      </c>
      <c r="B293" s="50" t="s">
        <v>336</v>
      </c>
      <c r="C293" s="50" t="s">
        <v>22</v>
      </c>
      <c r="D293" s="50" t="s">
        <v>58</v>
      </c>
      <c r="E293" s="50" t="s">
        <v>105</v>
      </c>
      <c r="F293" s="55">
        <v>0.5</v>
      </c>
      <c r="G293" s="50" t="s">
        <v>35</v>
      </c>
      <c r="H293" s="50" t="s">
        <v>121</v>
      </c>
      <c r="I293" s="50" t="s">
        <v>37</v>
      </c>
      <c r="J293" s="68">
        <v>46058</v>
      </c>
      <c r="K293" s="68">
        <v>46133</v>
      </c>
      <c r="L293" s="66">
        <v>54</v>
      </c>
      <c r="M293" s="61" t="s">
        <v>470</v>
      </c>
      <c r="N293" s="50" t="s">
        <v>26</v>
      </c>
      <c r="O293" s="50" t="s">
        <v>26</v>
      </c>
      <c r="P293" s="50" t="s">
        <v>115</v>
      </c>
    </row>
    <row r="294" spans="1:16">
      <c r="A294" s="50" t="s">
        <v>119</v>
      </c>
      <c r="B294" s="50" t="s">
        <v>336</v>
      </c>
      <c r="C294" s="50" t="s">
        <v>28</v>
      </c>
      <c r="D294" s="50" t="s">
        <v>58</v>
      </c>
      <c r="E294" s="50" t="s">
        <v>105</v>
      </c>
      <c r="F294" s="55">
        <v>0</v>
      </c>
      <c r="G294" s="45"/>
      <c r="H294" s="45"/>
      <c r="I294" s="45"/>
      <c r="J294" s="69">
        <v>46134</v>
      </c>
      <c r="K294" s="69">
        <v>46195</v>
      </c>
      <c r="L294" s="66">
        <v>44</v>
      </c>
      <c r="M294" s="61" t="s">
        <v>470</v>
      </c>
      <c r="N294" s="45"/>
      <c r="O294" s="50" t="s">
        <v>27</v>
      </c>
      <c r="P294" s="50" t="s">
        <v>115</v>
      </c>
    </row>
    <row r="295" spans="1:16">
      <c r="A295" s="50" t="s">
        <v>119</v>
      </c>
      <c r="B295" s="50" t="s">
        <v>336</v>
      </c>
      <c r="C295" s="50" t="s">
        <v>29</v>
      </c>
      <c r="D295" s="50" t="s">
        <v>58</v>
      </c>
      <c r="E295" s="50" t="s">
        <v>105</v>
      </c>
      <c r="F295" s="55">
        <v>0</v>
      </c>
      <c r="G295" s="45"/>
      <c r="H295" s="45"/>
      <c r="I295" s="45"/>
      <c r="J295" s="68">
        <v>46134</v>
      </c>
      <c r="K295" s="68">
        <v>46134</v>
      </c>
      <c r="L295" s="66">
        <v>1</v>
      </c>
      <c r="M295" s="61" t="s">
        <v>470</v>
      </c>
      <c r="N295" s="45"/>
      <c r="O295" s="50" t="s">
        <v>27</v>
      </c>
      <c r="P295" s="50" t="s">
        <v>115</v>
      </c>
    </row>
    <row r="296" spans="1:16">
      <c r="A296" s="50" t="s">
        <v>119</v>
      </c>
      <c r="B296" s="50" t="s">
        <v>336</v>
      </c>
      <c r="C296" s="50" t="s">
        <v>30</v>
      </c>
      <c r="D296" s="50" t="s">
        <v>58</v>
      </c>
      <c r="E296" s="50" t="s">
        <v>105</v>
      </c>
      <c r="F296" s="55">
        <v>0</v>
      </c>
      <c r="G296" s="45"/>
      <c r="H296" s="45"/>
      <c r="I296" s="45"/>
      <c r="J296" s="69">
        <v>46036</v>
      </c>
      <c r="K296" s="69">
        <v>46036</v>
      </c>
      <c r="L296" s="66">
        <v>0</v>
      </c>
      <c r="M296" s="61" t="s">
        <v>470</v>
      </c>
      <c r="N296" s="50" t="s">
        <v>43</v>
      </c>
      <c r="O296" s="50" t="s">
        <v>226</v>
      </c>
      <c r="P296" s="50" t="s">
        <v>115</v>
      </c>
    </row>
    <row r="297" spans="1:16">
      <c r="A297" s="46" t="s">
        <v>39</v>
      </c>
      <c r="B297" s="44" t="s">
        <v>349</v>
      </c>
      <c r="C297" s="44" t="s">
        <v>18</v>
      </c>
      <c r="D297" s="44" t="s">
        <v>33</v>
      </c>
      <c r="E297" s="44" t="s">
        <v>105</v>
      </c>
      <c r="F297" s="54">
        <v>0</v>
      </c>
      <c r="G297" s="45"/>
      <c r="H297" s="45"/>
      <c r="I297" s="45"/>
      <c r="J297" s="68">
        <v>45803</v>
      </c>
      <c r="K297" s="68">
        <v>46157</v>
      </c>
      <c r="L297" s="65">
        <v>255</v>
      </c>
      <c r="M297" s="60" t="s">
        <v>470</v>
      </c>
      <c r="N297" s="45"/>
      <c r="O297" s="45"/>
      <c r="P297" s="44" t="s">
        <v>115</v>
      </c>
    </row>
    <row r="298" spans="1:16">
      <c r="A298" s="50" t="s">
        <v>39</v>
      </c>
      <c r="B298" s="50" t="s">
        <v>350</v>
      </c>
      <c r="C298" s="50" t="s">
        <v>22</v>
      </c>
      <c r="D298" s="50" t="s">
        <v>33</v>
      </c>
      <c r="E298" s="50" t="s">
        <v>105</v>
      </c>
      <c r="F298" s="55">
        <v>0</v>
      </c>
      <c r="G298" s="50" t="s">
        <v>23</v>
      </c>
      <c r="H298" s="50" t="s">
        <v>526</v>
      </c>
      <c r="I298" s="50" t="s">
        <v>527</v>
      </c>
      <c r="J298" s="69">
        <v>46069</v>
      </c>
      <c r="K298" s="69">
        <v>46157</v>
      </c>
      <c r="L298" s="66">
        <v>65</v>
      </c>
      <c r="M298" s="61" t="s">
        <v>470</v>
      </c>
      <c r="N298" s="50" t="s">
        <v>43</v>
      </c>
      <c r="O298" s="50" t="s">
        <v>26</v>
      </c>
      <c r="P298" s="50" t="s">
        <v>115</v>
      </c>
    </row>
    <row r="299" spans="1:16">
      <c r="A299" s="50" t="s">
        <v>39</v>
      </c>
      <c r="B299" s="50" t="s">
        <v>350</v>
      </c>
      <c r="C299" s="50" t="s">
        <v>28</v>
      </c>
      <c r="D299" s="50" t="s">
        <v>33</v>
      </c>
      <c r="E299" s="50" t="s">
        <v>105</v>
      </c>
      <c r="F299" s="55">
        <v>0</v>
      </c>
      <c r="G299" s="45"/>
      <c r="H299" s="45"/>
      <c r="I299" s="45"/>
      <c r="J299" s="69">
        <v>45803</v>
      </c>
      <c r="K299" s="69">
        <v>45884</v>
      </c>
      <c r="L299" s="66">
        <v>60</v>
      </c>
      <c r="M299" s="61" t="s">
        <v>470</v>
      </c>
      <c r="N299" s="50" t="s">
        <v>43</v>
      </c>
      <c r="O299" s="50" t="s">
        <v>132</v>
      </c>
      <c r="P299" s="50" t="s">
        <v>115</v>
      </c>
    </row>
    <row r="300" spans="1:16">
      <c r="A300" s="50" t="s">
        <v>39</v>
      </c>
      <c r="B300" s="50" t="s">
        <v>350</v>
      </c>
      <c r="C300" s="50" t="s">
        <v>29</v>
      </c>
      <c r="D300" s="50" t="s">
        <v>33</v>
      </c>
      <c r="E300" s="50" t="s">
        <v>105</v>
      </c>
      <c r="F300" s="55">
        <v>0</v>
      </c>
      <c r="G300" s="45"/>
      <c r="H300" s="45"/>
      <c r="I300" s="45"/>
      <c r="J300" s="69" t="s">
        <v>229</v>
      </c>
      <c r="K300" s="70" t="s">
        <v>229</v>
      </c>
      <c r="L300" s="66">
        <v>0</v>
      </c>
      <c r="M300" s="61" t="s">
        <v>470</v>
      </c>
      <c r="N300" s="45"/>
      <c r="O300" s="45"/>
      <c r="P300" s="50" t="s">
        <v>115</v>
      </c>
    </row>
    <row r="301" spans="1:16">
      <c r="A301" s="50" t="s">
        <v>39</v>
      </c>
      <c r="B301" s="50" t="s">
        <v>350</v>
      </c>
      <c r="C301" s="50" t="s">
        <v>30</v>
      </c>
      <c r="D301" s="50" t="s">
        <v>33</v>
      </c>
      <c r="E301" s="50" t="s">
        <v>105</v>
      </c>
      <c r="F301" s="55">
        <v>0</v>
      </c>
      <c r="G301" s="45"/>
      <c r="H301" s="45"/>
      <c r="I301" s="45"/>
      <c r="J301" s="69" t="s">
        <v>229</v>
      </c>
      <c r="K301" s="70" t="s">
        <v>229</v>
      </c>
      <c r="L301" s="66">
        <v>0</v>
      </c>
      <c r="M301" s="61" t="s">
        <v>470</v>
      </c>
      <c r="N301" s="45"/>
      <c r="O301" s="45"/>
      <c r="P301" s="50" t="s">
        <v>115</v>
      </c>
    </row>
    <row r="302" spans="1:16">
      <c r="A302" s="46" t="s">
        <v>39</v>
      </c>
      <c r="B302" s="44" t="s">
        <v>351</v>
      </c>
      <c r="C302" s="44" t="s">
        <v>18</v>
      </c>
      <c r="D302" s="44" t="s">
        <v>33</v>
      </c>
      <c r="E302" s="44" t="s">
        <v>105</v>
      </c>
      <c r="F302" s="54">
        <v>0</v>
      </c>
      <c r="G302" s="45"/>
      <c r="H302" s="45"/>
      <c r="I302" s="45"/>
      <c r="J302" s="68">
        <v>46127</v>
      </c>
      <c r="K302" s="68">
        <v>46265</v>
      </c>
      <c r="L302" s="65">
        <v>99</v>
      </c>
      <c r="M302" s="60" t="s">
        <v>470</v>
      </c>
      <c r="N302" s="45"/>
      <c r="O302" s="45"/>
      <c r="P302" s="44" t="s">
        <v>115</v>
      </c>
    </row>
    <row r="303" spans="1:16">
      <c r="A303" s="50" t="s">
        <v>39</v>
      </c>
      <c r="B303" s="50" t="s">
        <v>352</v>
      </c>
      <c r="C303" s="50" t="s">
        <v>22</v>
      </c>
      <c r="D303" s="50" t="s">
        <v>33</v>
      </c>
      <c r="E303" s="50" t="s">
        <v>105</v>
      </c>
      <c r="F303" s="55">
        <v>0</v>
      </c>
      <c r="G303" s="50" t="s">
        <v>23</v>
      </c>
      <c r="H303" s="50" t="s">
        <v>526</v>
      </c>
      <c r="I303" s="50" t="s">
        <v>527</v>
      </c>
      <c r="J303" s="69">
        <v>46127</v>
      </c>
      <c r="K303" s="69">
        <v>46188</v>
      </c>
      <c r="L303" s="66">
        <v>44</v>
      </c>
      <c r="M303" s="61" t="s">
        <v>470</v>
      </c>
      <c r="N303" s="45"/>
      <c r="O303" s="50" t="s">
        <v>27</v>
      </c>
      <c r="P303" s="50" t="s">
        <v>115</v>
      </c>
    </row>
    <row r="304" spans="1:16">
      <c r="A304" s="50" t="s">
        <v>39</v>
      </c>
      <c r="B304" s="50" t="s">
        <v>352</v>
      </c>
      <c r="C304" s="50" t="s">
        <v>28</v>
      </c>
      <c r="D304" s="50" t="s">
        <v>33</v>
      </c>
      <c r="E304" s="50" t="s">
        <v>105</v>
      </c>
      <c r="F304" s="55">
        <v>0</v>
      </c>
      <c r="G304" s="45"/>
      <c r="H304" s="45"/>
      <c r="I304" s="45"/>
      <c r="J304" s="69">
        <v>46218</v>
      </c>
      <c r="K304" s="69">
        <v>46265</v>
      </c>
      <c r="L304" s="66">
        <v>34</v>
      </c>
      <c r="M304" s="61" t="s">
        <v>470</v>
      </c>
      <c r="N304" s="45"/>
      <c r="O304" s="50" t="s">
        <v>27</v>
      </c>
      <c r="P304" s="50" t="s">
        <v>115</v>
      </c>
    </row>
    <row r="305" spans="1:16">
      <c r="A305" s="50" t="s">
        <v>39</v>
      </c>
      <c r="B305" s="50" t="s">
        <v>352</v>
      </c>
      <c r="C305" s="50" t="s">
        <v>29</v>
      </c>
      <c r="D305" s="50" t="s">
        <v>33</v>
      </c>
      <c r="E305" s="50" t="s">
        <v>105</v>
      </c>
      <c r="F305" s="55">
        <v>0</v>
      </c>
      <c r="G305" s="45"/>
      <c r="H305" s="45"/>
      <c r="I305" s="45"/>
      <c r="J305" s="69" t="s">
        <v>229</v>
      </c>
      <c r="K305" s="70" t="s">
        <v>229</v>
      </c>
      <c r="L305" s="66">
        <v>0</v>
      </c>
      <c r="M305" s="61" t="s">
        <v>470</v>
      </c>
      <c r="N305" s="45"/>
      <c r="O305" s="45"/>
      <c r="P305" s="50" t="s">
        <v>115</v>
      </c>
    </row>
    <row r="306" spans="1:16">
      <c r="A306" s="50" t="s">
        <v>39</v>
      </c>
      <c r="B306" s="50" t="s">
        <v>352</v>
      </c>
      <c r="C306" s="50" t="s">
        <v>30</v>
      </c>
      <c r="D306" s="50" t="s">
        <v>33</v>
      </c>
      <c r="E306" s="50" t="s">
        <v>105</v>
      </c>
      <c r="F306" s="55">
        <v>0</v>
      </c>
      <c r="G306" s="45"/>
      <c r="H306" s="45"/>
      <c r="I306" s="45"/>
      <c r="J306" s="69" t="s">
        <v>229</v>
      </c>
      <c r="K306" s="70" t="s">
        <v>229</v>
      </c>
      <c r="L306" s="66">
        <v>0</v>
      </c>
      <c r="M306" s="61" t="s">
        <v>470</v>
      </c>
      <c r="N306" s="45"/>
      <c r="O306" s="45"/>
      <c r="P306" s="50" t="s">
        <v>115</v>
      </c>
    </row>
    <row r="307" spans="1:16">
      <c r="A307" s="56"/>
      <c r="B307" s="44" t="s">
        <v>528</v>
      </c>
      <c r="C307" s="44" t="s">
        <v>18</v>
      </c>
      <c r="D307" s="44" t="s">
        <v>33</v>
      </c>
      <c r="E307" s="44" t="s">
        <v>105</v>
      </c>
      <c r="F307" s="54">
        <v>0</v>
      </c>
      <c r="G307" s="45"/>
      <c r="H307" s="45"/>
      <c r="I307" s="45"/>
      <c r="J307" s="68">
        <v>46127</v>
      </c>
      <c r="K307" s="68">
        <v>46265</v>
      </c>
      <c r="L307" s="65">
        <v>99</v>
      </c>
      <c r="M307" s="60" t="s">
        <v>470</v>
      </c>
      <c r="N307" s="45"/>
      <c r="O307" s="45"/>
      <c r="P307" s="44" t="s">
        <v>115</v>
      </c>
    </row>
    <row r="308" spans="1:16">
      <c r="A308" s="50" t="s">
        <v>39</v>
      </c>
      <c r="B308" s="50" t="s">
        <v>529</v>
      </c>
      <c r="C308" s="50" t="s">
        <v>22</v>
      </c>
      <c r="D308" s="50" t="s">
        <v>33</v>
      </c>
      <c r="E308" s="50" t="s">
        <v>105</v>
      </c>
      <c r="F308" s="55">
        <v>0</v>
      </c>
      <c r="G308" s="50" t="s">
        <v>23</v>
      </c>
      <c r="H308" s="50" t="s">
        <v>526</v>
      </c>
      <c r="I308" s="50" t="s">
        <v>527</v>
      </c>
      <c r="J308" s="69">
        <v>46127</v>
      </c>
      <c r="K308" s="69">
        <v>46188</v>
      </c>
      <c r="L308" s="66">
        <v>44</v>
      </c>
      <c r="M308" s="61" t="s">
        <v>470</v>
      </c>
      <c r="N308" s="45"/>
      <c r="O308" s="50" t="s">
        <v>27</v>
      </c>
      <c r="P308" s="50" t="s">
        <v>115</v>
      </c>
    </row>
    <row r="309" spans="1:16">
      <c r="A309" s="50" t="s">
        <v>39</v>
      </c>
      <c r="B309" s="50" t="s">
        <v>529</v>
      </c>
      <c r="C309" s="50" t="s">
        <v>28</v>
      </c>
      <c r="D309" s="50" t="s">
        <v>33</v>
      </c>
      <c r="E309" s="50" t="s">
        <v>105</v>
      </c>
      <c r="F309" s="55">
        <v>0</v>
      </c>
      <c r="G309" s="45"/>
      <c r="H309" s="45"/>
      <c r="I309" s="45"/>
      <c r="J309" s="69">
        <v>46218</v>
      </c>
      <c r="K309" s="69">
        <v>46265</v>
      </c>
      <c r="L309" s="66">
        <v>34</v>
      </c>
      <c r="M309" s="61" t="s">
        <v>470</v>
      </c>
      <c r="N309" s="45"/>
      <c r="O309" s="50" t="s">
        <v>27</v>
      </c>
      <c r="P309" s="50" t="s">
        <v>115</v>
      </c>
    </row>
    <row r="310" spans="1:16">
      <c r="A310" s="50" t="s">
        <v>39</v>
      </c>
      <c r="B310" s="50" t="s">
        <v>529</v>
      </c>
      <c r="C310" s="50" t="s">
        <v>29</v>
      </c>
      <c r="D310" s="50" t="s">
        <v>33</v>
      </c>
      <c r="E310" s="50" t="s">
        <v>105</v>
      </c>
      <c r="F310" s="55">
        <v>0</v>
      </c>
      <c r="G310" s="45"/>
      <c r="H310" s="45"/>
      <c r="I310" s="45"/>
      <c r="J310" s="69" t="s">
        <v>229</v>
      </c>
      <c r="K310" s="70" t="s">
        <v>229</v>
      </c>
      <c r="L310" s="66">
        <v>0</v>
      </c>
      <c r="M310" s="61" t="s">
        <v>470</v>
      </c>
      <c r="N310" s="45"/>
      <c r="O310" s="45"/>
      <c r="P310" s="50" t="s">
        <v>115</v>
      </c>
    </row>
    <row r="311" spans="1:16">
      <c r="A311" s="50" t="s">
        <v>39</v>
      </c>
      <c r="B311" s="50" t="s">
        <v>529</v>
      </c>
      <c r="C311" s="50" t="s">
        <v>30</v>
      </c>
      <c r="D311" s="50" t="s">
        <v>33</v>
      </c>
      <c r="E311" s="50" t="s">
        <v>105</v>
      </c>
      <c r="F311" s="55">
        <v>0</v>
      </c>
      <c r="G311" s="45"/>
      <c r="H311" s="45"/>
      <c r="I311" s="45"/>
      <c r="J311" s="69" t="s">
        <v>229</v>
      </c>
      <c r="K311" s="70" t="s">
        <v>229</v>
      </c>
      <c r="L311" s="66">
        <v>0</v>
      </c>
      <c r="M311" s="61" t="s">
        <v>470</v>
      </c>
      <c r="N311" s="45"/>
      <c r="O311" s="45"/>
      <c r="P311" s="50" t="s">
        <v>115</v>
      </c>
    </row>
    <row r="312" spans="1:16">
      <c r="A312" s="46" t="s">
        <v>39</v>
      </c>
      <c r="B312" s="44" t="s">
        <v>355</v>
      </c>
      <c r="C312" s="44" t="s">
        <v>18</v>
      </c>
      <c r="D312" s="44" t="s">
        <v>33</v>
      </c>
      <c r="E312" s="44" t="s">
        <v>105</v>
      </c>
      <c r="F312" s="54">
        <v>0</v>
      </c>
      <c r="G312" s="45"/>
      <c r="H312" s="45"/>
      <c r="I312" s="45"/>
      <c r="J312" s="69" t="s">
        <v>229</v>
      </c>
      <c r="K312" s="70" t="s">
        <v>229</v>
      </c>
      <c r="L312" s="65">
        <v>0</v>
      </c>
      <c r="M312" s="60" t="s">
        <v>470</v>
      </c>
      <c r="N312" s="45"/>
      <c r="O312" s="45"/>
      <c r="P312" s="44" t="s">
        <v>115</v>
      </c>
    </row>
    <row r="313" spans="1:16">
      <c r="A313" s="50" t="s">
        <v>39</v>
      </c>
      <c r="B313" s="50" t="s">
        <v>356</v>
      </c>
      <c r="C313" s="50" t="s">
        <v>22</v>
      </c>
      <c r="D313" s="50" t="s">
        <v>33</v>
      </c>
      <c r="E313" s="50" t="s">
        <v>105</v>
      </c>
      <c r="F313" s="55">
        <v>0</v>
      </c>
      <c r="G313" s="50" t="s">
        <v>23</v>
      </c>
      <c r="H313" s="50" t="s">
        <v>526</v>
      </c>
      <c r="I313" s="50" t="s">
        <v>527</v>
      </c>
      <c r="J313" s="69" t="s">
        <v>229</v>
      </c>
      <c r="K313" s="70" t="s">
        <v>229</v>
      </c>
      <c r="L313" s="66">
        <v>0</v>
      </c>
      <c r="M313" s="61" t="s">
        <v>470</v>
      </c>
      <c r="N313" s="45"/>
      <c r="O313" s="45"/>
      <c r="P313" s="50" t="s">
        <v>115</v>
      </c>
    </row>
    <row r="314" spans="1:16">
      <c r="A314" s="50" t="s">
        <v>39</v>
      </c>
      <c r="B314" s="50" t="s">
        <v>356</v>
      </c>
      <c r="C314" s="50" t="s">
        <v>28</v>
      </c>
      <c r="D314" s="50" t="s">
        <v>33</v>
      </c>
      <c r="E314" s="50" t="s">
        <v>105</v>
      </c>
      <c r="F314" s="55">
        <v>0</v>
      </c>
      <c r="G314" s="45"/>
      <c r="H314" s="45"/>
      <c r="I314" s="45"/>
      <c r="J314" s="69" t="s">
        <v>229</v>
      </c>
      <c r="K314" s="70" t="s">
        <v>229</v>
      </c>
      <c r="L314" s="66">
        <v>0</v>
      </c>
      <c r="M314" s="61" t="s">
        <v>470</v>
      </c>
      <c r="N314" s="45"/>
      <c r="O314" s="45"/>
      <c r="P314" s="50" t="s">
        <v>115</v>
      </c>
    </row>
    <row r="315" spans="1:16">
      <c r="A315" s="50" t="s">
        <v>39</v>
      </c>
      <c r="B315" s="50" t="s">
        <v>356</v>
      </c>
      <c r="C315" s="50" t="s">
        <v>29</v>
      </c>
      <c r="D315" s="50" t="s">
        <v>33</v>
      </c>
      <c r="E315" s="50" t="s">
        <v>105</v>
      </c>
      <c r="F315" s="55">
        <v>0</v>
      </c>
      <c r="G315" s="45"/>
      <c r="H315" s="45"/>
      <c r="I315" s="45"/>
      <c r="J315" s="69" t="s">
        <v>229</v>
      </c>
      <c r="K315" s="70" t="s">
        <v>229</v>
      </c>
      <c r="L315" s="66">
        <v>0</v>
      </c>
      <c r="M315" s="61" t="s">
        <v>470</v>
      </c>
      <c r="N315" s="45"/>
      <c r="O315" s="45"/>
      <c r="P315" s="50" t="s">
        <v>115</v>
      </c>
    </row>
    <row r="316" spans="1:16">
      <c r="A316" s="50" t="s">
        <v>39</v>
      </c>
      <c r="B316" s="50" t="s">
        <v>356</v>
      </c>
      <c r="C316" s="50" t="s">
        <v>30</v>
      </c>
      <c r="D316" s="50" t="s">
        <v>33</v>
      </c>
      <c r="E316" s="50" t="s">
        <v>105</v>
      </c>
      <c r="F316" s="55">
        <v>0</v>
      </c>
      <c r="G316" s="45"/>
      <c r="H316" s="45"/>
      <c r="I316" s="45"/>
      <c r="J316" s="69" t="s">
        <v>229</v>
      </c>
      <c r="K316" s="70" t="s">
        <v>229</v>
      </c>
      <c r="L316" s="66">
        <v>0</v>
      </c>
      <c r="M316" s="61" t="s">
        <v>470</v>
      </c>
      <c r="N316" s="45"/>
      <c r="O316" s="45"/>
      <c r="P316" s="50" t="s">
        <v>115</v>
      </c>
    </row>
    <row r="317" spans="1:16">
      <c r="A317" s="46" t="s">
        <v>39</v>
      </c>
      <c r="B317" s="44" t="s">
        <v>357</v>
      </c>
      <c r="C317" s="44" t="s">
        <v>18</v>
      </c>
      <c r="D317" s="44" t="s">
        <v>33</v>
      </c>
      <c r="E317" s="44" t="s">
        <v>105</v>
      </c>
      <c r="F317" s="54">
        <v>1</v>
      </c>
      <c r="G317" s="45"/>
      <c r="H317" s="45"/>
      <c r="I317" s="45"/>
      <c r="J317" s="68">
        <v>46034</v>
      </c>
      <c r="K317" s="68">
        <v>46203</v>
      </c>
      <c r="L317" s="65">
        <v>122</v>
      </c>
      <c r="M317" s="60" t="s">
        <v>530</v>
      </c>
      <c r="N317" s="45"/>
      <c r="O317" s="45"/>
      <c r="P317" s="44" t="s">
        <v>115</v>
      </c>
    </row>
    <row r="318" spans="1:16">
      <c r="A318" s="50" t="s">
        <v>39</v>
      </c>
      <c r="B318" s="50" t="s">
        <v>358</v>
      </c>
      <c r="C318" s="50" t="s">
        <v>22</v>
      </c>
      <c r="D318" s="50" t="s">
        <v>33</v>
      </c>
      <c r="E318" s="50" t="s">
        <v>105</v>
      </c>
      <c r="F318" s="55">
        <v>1</v>
      </c>
      <c r="G318" s="50" t="s">
        <v>359</v>
      </c>
      <c r="H318" s="50" t="s">
        <v>139</v>
      </c>
      <c r="I318" s="50" t="s">
        <v>527</v>
      </c>
      <c r="J318" s="69">
        <v>46034</v>
      </c>
      <c r="K318" s="69">
        <v>46099</v>
      </c>
      <c r="L318" s="66">
        <v>48</v>
      </c>
      <c r="M318" s="61" t="s">
        <v>530</v>
      </c>
      <c r="N318" s="50" t="s">
        <v>108</v>
      </c>
      <c r="O318" s="50" t="s">
        <v>108</v>
      </c>
      <c r="P318" s="50" t="s">
        <v>115</v>
      </c>
    </row>
    <row r="319" spans="1:16">
      <c r="A319" s="50" t="s">
        <v>39</v>
      </c>
      <c r="B319" s="50" t="s">
        <v>358</v>
      </c>
      <c r="C319" s="50" t="s">
        <v>28</v>
      </c>
      <c r="D319" s="50" t="s">
        <v>33</v>
      </c>
      <c r="E319" s="50" t="s">
        <v>105</v>
      </c>
      <c r="F319" s="55">
        <v>0</v>
      </c>
      <c r="G319" s="45"/>
      <c r="H319" s="45"/>
      <c r="I319" s="45"/>
      <c r="J319" s="69">
        <v>46127</v>
      </c>
      <c r="K319" s="69">
        <v>46203</v>
      </c>
      <c r="L319" s="66">
        <v>55</v>
      </c>
      <c r="M319" s="61" t="s">
        <v>470</v>
      </c>
      <c r="N319" s="45"/>
      <c r="O319" s="50" t="s">
        <v>27</v>
      </c>
      <c r="P319" s="50" t="s">
        <v>115</v>
      </c>
    </row>
    <row r="320" spans="1:16">
      <c r="A320" s="50" t="s">
        <v>39</v>
      </c>
      <c r="B320" s="50" t="s">
        <v>358</v>
      </c>
      <c r="C320" s="50" t="s">
        <v>29</v>
      </c>
      <c r="D320" s="50" t="s">
        <v>33</v>
      </c>
      <c r="E320" s="50" t="s">
        <v>105</v>
      </c>
      <c r="F320" s="55">
        <v>0</v>
      </c>
      <c r="G320" s="45"/>
      <c r="H320" s="45"/>
      <c r="I320" s="45"/>
      <c r="J320" s="69" t="s">
        <v>229</v>
      </c>
      <c r="K320" s="70" t="s">
        <v>229</v>
      </c>
      <c r="L320" s="66">
        <v>0</v>
      </c>
      <c r="M320" s="61" t="s">
        <v>470</v>
      </c>
      <c r="N320" s="45"/>
      <c r="O320" s="45"/>
      <c r="P320" s="50" t="s">
        <v>115</v>
      </c>
    </row>
    <row r="321" spans="1:16">
      <c r="A321" s="50" t="s">
        <v>39</v>
      </c>
      <c r="B321" s="50" t="s">
        <v>358</v>
      </c>
      <c r="C321" s="50" t="s">
        <v>30</v>
      </c>
      <c r="D321" s="50" t="s">
        <v>33</v>
      </c>
      <c r="E321" s="50" t="s">
        <v>105</v>
      </c>
      <c r="F321" s="55">
        <v>0</v>
      </c>
      <c r="G321" s="45"/>
      <c r="H321" s="45"/>
      <c r="I321" s="45"/>
      <c r="J321" s="69" t="s">
        <v>229</v>
      </c>
      <c r="K321" s="70" t="s">
        <v>229</v>
      </c>
      <c r="L321" s="66">
        <v>0</v>
      </c>
      <c r="M321" s="61" t="s">
        <v>470</v>
      </c>
      <c r="N321" s="45"/>
      <c r="O321" s="45"/>
      <c r="P321" s="50" t="s">
        <v>115</v>
      </c>
    </row>
    <row r="322" spans="1:16">
      <c r="A322" s="46" t="s">
        <v>39</v>
      </c>
      <c r="B322" s="44" t="s">
        <v>360</v>
      </c>
      <c r="C322" s="44" t="s">
        <v>18</v>
      </c>
      <c r="D322" s="44" t="s">
        <v>33</v>
      </c>
      <c r="E322" s="44" t="s">
        <v>105</v>
      </c>
      <c r="F322" s="54">
        <v>0.5</v>
      </c>
      <c r="G322" s="45"/>
      <c r="H322" s="45"/>
      <c r="I322" s="45"/>
      <c r="J322" s="68">
        <v>46073</v>
      </c>
      <c r="K322" s="68">
        <v>46203</v>
      </c>
      <c r="L322" s="65">
        <v>93</v>
      </c>
      <c r="M322" s="60" t="s">
        <v>470</v>
      </c>
      <c r="N322" s="45"/>
      <c r="O322" s="45"/>
      <c r="P322" s="44" t="s">
        <v>115</v>
      </c>
    </row>
    <row r="323" spans="1:16">
      <c r="A323" s="50" t="s">
        <v>39</v>
      </c>
      <c r="B323" s="50" t="s">
        <v>361</v>
      </c>
      <c r="C323" s="50" t="s">
        <v>22</v>
      </c>
      <c r="D323" s="50" t="s">
        <v>33</v>
      </c>
      <c r="E323" s="50" t="s">
        <v>105</v>
      </c>
      <c r="F323" s="55">
        <v>0.5</v>
      </c>
      <c r="G323" s="50" t="s">
        <v>359</v>
      </c>
      <c r="H323" s="50" t="s">
        <v>139</v>
      </c>
      <c r="I323" s="50" t="s">
        <v>527</v>
      </c>
      <c r="J323" s="69">
        <v>46073</v>
      </c>
      <c r="K323" s="69">
        <v>46150</v>
      </c>
      <c r="L323" s="66">
        <v>56</v>
      </c>
      <c r="M323" s="61" t="s">
        <v>470</v>
      </c>
      <c r="N323" s="50" t="s">
        <v>26</v>
      </c>
      <c r="O323" s="50" t="s">
        <v>26</v>
      </c>
      <c r="P323" s="50" t="s">
        <v>115</v>
      </c>
    </row>
    <row r="324" spans="1:16">
      <c r="A324" s="50" t="s">
        <v>39</v>
      </c>
      <c r="B324" s="50" t="s">
        <v>361</v>
      </c>
      <c r="C324" s="50" t="s">
        <v>28</v>
      </c>
      <c r="D324" s="50" t="s">
        <v>33</v>
      </c>
      <c r="E324" s="50" t="s">
        <v>105</v>
      </c>
      <c r="F324" s="55">
        <v>0</v>
      </c>
      <c r="G324" s="45"/>
      <c r="H324" s="45"/>
      <c r="I324" s="45"/>
      <c r="J324" s="69">
        <v>46127</v>
      </c>
      <c r="K324" s="69">
        <v>46203</v>
      </c>
      <c r="L324" s="66">
        <v>55</v>
      </c>
      <c r="M324" s="61" t="s">
        <v>470</v>
      </c>
      <c r="N324" s="45"/>
      <c r="O324" s="50" t="s">
        <v>27</v>
      </c>
      <c r="P324" s="50" t="s">
        <v>115</v>
      </c>
    </row>
    <row r="325" spans="1:16">
      <c r="A325" s="50" t="s">
        <v>39</v>
      </c>
      <c r="B325" s="50" t="s">
        <v>361</v>
      </c>
      <c r="C325" s="50" t="s">
        <v>29</v>
      </c>
      <c r="D325" s="50" t="s">
        <v>33</v>
      </c>
      <c r="E325" s="50" t="s">
        <v>105</v>
      </c>
      <c r="F325" s="55">
        <v>0</v>
      </c>
      <c r="G325" s="45"/>
      <c r="H325" s="45"/>
      <c r="I325" s="45"/>
      <c r="J325" s="69" t="s">
        <v>229</v>
      </c>
      <c r="K325" s="70" t="s">
        <v>229</v>
      </c>
      <c r="L325" s="66">
        <v>0</v>
      </c>
      <c r="M325" s="61" t="s">
        <v>470</v>
      </c>
      <c r="N325" s="45"/>
      <c r="O325" s="45"/>
      <c r="P325" s="50" t="s">
        <v>115</v>
      </c>
    </row>
    <row r="326" spans="1:16">
      <c r="A326" s="50" t="s">
        <v>39</v>
      </c>
      <c r="B326" s="50" t="s">
        <v>361</v>
      </c>
      <c r="C326" s="50" t="s">
        <v>30</v>
      </c>
      <c r="D326" s="50" t="s">
        <v>33</v>
      </c>
      <c r="E326" s="50" t="s">
        <v>105</v>
      </c>
      <c r="F326" s="55">
        <v>0</v>
      </c>
      <c r="G326" s="45"/>
      <c r="H326" s="45"/>
      <c r="I326" s="45"/>
      <c r="J326" s="69" t="s">
        <v>229</v>
      </c>
      <c r="K326" s="70" t="s">
        <v>229</v>
      </c>
      <c r="L326" s="66">
        <v>0</v>
      </c>
      <c r="M326" s="61" t="s">
        <v>470</v>
      </c>
      <c r="N326" s="45"/>
      <c r="O326" s="45"/>
      <c r="P326" s="50" t="s">
        <v>115</v>
      </c>
    </row>
    <row r="327" spans="1:16">
      <c r="A327" s="46" t="s">
        <v>39</v>
      </c>
      <c r="B327" s="47" t="s">
        <v>362</v>
      </c>
      <c r="C327" s="47" t="s">
        <v>18</v>
      </c>
      <c r="D327" s="47" t="s">
        <v>19</v>
      </c>
      <c r="E327" s="47" t="s">
        <v>105</v>
      </c>
      <c r="F327" s="48">
        <v>0</v>
      </c>
      <c r="G327" s="49"/>
      <c r="H327" s="49"/>
      <c r="I327" s="49"/>
      <c r="J327" s="68">
        <v>46113</v>
      </c>
      <c r="K327" s="68">
        <v>46190</v>
      </c>
      <c r="L327" s="63">
        <v>56</v>
      </c>
      <c r="M327" s="58" t="s">
        <v>470</v>
      </c>
      <c r="N327" s="49"/>
      <c r="O327" s="49"/>
      <c r="P327" s="47" t="s">
        <v>141</v>
      </c>
    </row>
    <row r="328" spans="1:16">
      <c r="A328" s="50" t="s">
        <v>39</v>
      </c>
      <c r="B328" s="51" t="s">
        <v>363</v>
      </c>
      <c r="C328" s="51" t="s">
        <v>22</v>
      </c>
      <c r="D328" s="51" t="s">
        <v>19</v>
      </c>
      <c r="E328" s="51" t="s">
        <v>105</v>
      </c>
      <c r="F328" s="52">
        <v>0</v>
      </c>
      <c r="G328" s="51" t="s">
        <v>35</v>
      </c>
      <c r="H328" s="51" t="s">
        <v>531</v>
      </c>
      <c r="I328" s="51" t="s">
        <v>532</v>
      </c>
      <c r="J328" s="69" t="s">
        <v>229</v>
      </c>
      <c r="K328" s="70" t="s">
        <v>229</v>
      </c>
      <c r="L328" s="64">
        <v>0</v>
      </c>
      <c r="M328" s="59" t="s">
        <v>470</v>
      </c>
      <c r="N328" s="49"/>
      <c r="O328" s="49"/>
      <c r="P328" s="51" t="s">
        <v>141</v>
      </c>
    </row>
    <row r="329" spans="1:16">
      <c r="A329" s="50" t="s">
        <v>39</v>
      </c>
      <c r="B329" s="51" t="s">
        <v>363</v>
      </c>
      <c r="C329" s="51" t="s">
        <v>28</v>
      </c>
      <c r="D329" s="51" t="s">
        <v>19</v>
      </c>
      <c r="E329" s="51" t="s">
        <v>105</v>
      </c>
      <c r="F329" s="52">
        <v>0</v>
      </c>
      <c r="G329" s="49"/>
      <c r="H329" s="49"/>
      <c r="I329" s="49"/>
      <c r="J329" s="69" t="s">
        <v>229</v>
      </c>
      <c r="K329" s="70" t="s">
        <v>229</v>
      </c>
      <c r="L329" s="64">
        <v>0</v>
      </c>
      <c r="M329" s="59" t="s">
        <v>470</v>
      </c>
      <c r="N329" s="49"/>
      <c r="O329" s="49"/>
      <c r="P329" s="51" t="s">
        <v>141</v>
      </c>
    </row>
    <row r="330" spans="1:16">
      <c r="A330" s="50" t="s">
        <v>39</v>
      </c>
      <c r="B330" s="51" t="s">
        <v>363</v>
      </c>
      <c r="C330" s="51" t="s">
        <v>29</v>
      </c>
      <c r="D330" s="51" t="s">
        <v>19</v>
      </c>
      <c r="E330" s="51" t="s">
        <v>105</v>
      </c>
      <c r="F330" s="52">
        <v>0</v>
      </c>
      <c r="G330" s="49"/>
      <c r="H330" s="49"/>
      <c r="I330" s="49"/>
      <c r="J330" s="69" t="s">
        <v>229</v>
      </c>
      <c r="K330" s="70" t="s">
        <v>229</v>
      </c>
      <c r="L330" s="64">
        <v>0</v>
      </c>
      <c r="M330" s="59" t="s">
        <v>470</v>
      </c>
      <c r="N330" s="49"/>
      <c r="O330" s="49"/>
      <c r="P330" s="51" t="s">
        <v>141</v>
      </c>
    </row>
    <row r="331" spans="1:16">
      <c r="A331" s="50" t="s">
        <v>39</v>
      </c>
      <c r="B331" s="51" t="s">
        <v>363</v>
      </c>
      <c r="C331" s="51" t="s">
        <v>30</v>
      </c>
      <c r="D331" s="51" t="s">
        <v>19</v>
      </c>
      <c r="E331" s="51" t="s">
        <v>105</v>
      </c>
      <c r="F331" s="52">
        <v>0</v>
      </c>
      <c r="G331" s="49"/>
      <c r="H331" s="49"/>
      <c r="I331" s="49"/>
      <c r="J331" s="69" t="s">
        <v>229</v>
      </c>
      <c r="K331" s="70" t="s">
        <v>229</v>
      </c>
      <c r="L331" s="64">
        <v>0</v>
      </c>
      <c r="M331" s="59" t="s">
        <v>470</v>
      </c>
      <c r="N331" s="49"/>
      <c r="O331" s="49"/>
      <c r="P331" s="51" t="s">
        <v>141</v>
      </c>
    </row>
    <row r="332" spans="1:16">
      <c r="A332" s="46" t="s">
        <v>39</v>
      </c>
      <c r="B332" s="44" t="s">
        <v>364</v>
      </c>
      <c r="C332" s="44" t="s">
        <v>18</v>
      </c>
      <c r="D332" s="44" t="s">
        <v>33</v>
      </c>
      <c r="E332" s="44" t="s">
        <v>105</v>
      </c>
      <c r="F332" s="54">
        <v>0</v>
      </c>
      <c r="G332" s="45"/>
      <c r="H332" s="45"/>
      <c r="I332" s="45"/>
      <c r="J332" s="68">
        <v>46113</v>
      </c>
      <c r="K332" s="68">
        <v>46190</v>
      </c>
      <c r="L332" s="65">
        <v>56</v>
      </c>
      <c r="M332" s="60" t="s">
        <v>470</v>
      </c>
      <c r="N332" s="45"/>
      <c r="O332" s="45"/>
      <c r="P332" s="44" t="s">
        <v>141</v>
      </c>
    </row>
    <row r="333" spans="1:16">
      <c r="A333" s="50" t="s">
        <v>39</v>
      </c>
      <c r="B333" s="50" t="s">
        <v>365</v>
      </c>
      <c r="C333" s="50" t="s">
        <v>22</v>
      </c>
      <c r="D333" s="50" t="s">
        <v>33</v>
      </c>
      <c r="E333" s="50" t="s">
        <v>105</v>
      </c>
      <c r="F333" s="55">
        <v>0</v>
      </c>
      <c r="G333" s="50" t="s">
        <v>35</v>
      </c>
      <c r="H333" s="51" t="s">
        <v>531</v>
      </c>
      <c r="I333" s="50" t="s">
        <v>532</v>
      </c>
      <c r="J333" s="69">
        <v>46113</v>
      </c>
      <c r="K333" s="69">
        <v>46190</v>
      </c>
      <c r="L333" s="66">
        <v>56</v>
      </c>
      <c r="M333" s="61" t="s">
        <v>470</v>
      </c>
      <c r="N333" s="45"/>
      <c r="O333" s="50" t="s">
        <v>27</v>
      </c>
      <c r="P333" s="50" t="s">
        <v>141</v>
      </c>
    </row>
    <row r="334" spans="1:16">
      <c r="A334" s="50" t="s">
        <v>39</v>
      </c>
      <c r="B334" s="50" t="s">
        <v>365</v>
      </c>
      <c r="C334" s="50" t="s">
        <v>28</v>
      </c>
      <c r="D334" s="50" t="s">
        <v>33</v>
      </c>
      <c r="E334" s="50" t="s">
        <v>105</v>
      </c>
      <c r="F334" s="55">
        <v>0</v>
      </c>
      <c r="G334" s="45"/>
      <c r="H334" s="45"/>
      <c r="I334" s="45"/>
      <c r="J334" s="69">
        <v>46113</v>
      </c>
      <c r="K334" s="69">
        <v>46188</v>
      </c>
      <c r="L334" s="66">
        <v>54</v>
      </c>
      <c r="M334" s="61" t="s">
        <v>470</v>
      </c>
      <c r="N334" s="45"/>
      <c r="O334" s="50" t="s">
        <v>27</v>
      </c>
      <c r="P334" s="50" t="s">
        <v>141</v>
      </c>
    </row>
    <row r="335" spans="1:16">
      <c r="A335" s="50" t="s">
        <v>39</v>
      </c>
      <c r="B335" s="50" t="s">
        <v>365</v>
      </c>
      <c r="C335" s="50" t="s">
        <v>29</v>
      </c>
      <c r="D335" s="50" t="s">
        <v>33</v>
      </c>
      <c r="E335" s="50" t="s">
        <v>105</v>
      </c>
      <c r="F335" s="55">
        <v>0</v>
      </c>
      <c r="G335" s="45"/>
      <c r="H335" s="45"/>
      <c r="I335" s="45"/>
      <c r="J335" s="69" t="s">
        <v>229</v>
      </c>
      <c r="K335" s="70" t="s">
        <v>229</v>
      </c>
      <c r="L335" s="66">
        <v>0</v>
      </c>
      <c r="M335" s="61" t="s">
        <v>470</v>
      </c>
      <c r="N335" s="45"/>
      <c r="O335" s="45"/>
      <c r="P335" s="50" t="s">
        <v>141</v>
      </c>
    </row>
    <row r="336" spans="1:16">
      <c r="A336" s="50" t="s">
        <v>39</v>
      </c>
      <c r="B336" s="50" t="s">
        <v>365</v>
      </c>
      <c r="C336" s="50" t="s">
        <v>30</v>
      </c>
      <c r="D336" s="50" t="s">
        <v>33</v>
      </c>
      <c r="E336" s="50" t="s">
        <v>105</v>
      </c>
      <c r="F336" s="55">
        <v>0</v>
      </c>
      <c r="G336" s="45"/>
      <c r="H336" s="45"/>
      <c r="I336" s="45"/>
      <c r="J336" s="69" t="s">
        <v>229</v>
      </c>
      <c r="K336" s="70" t="s">
        <v>229</v>
      </c>
      <c r="L336" s="66">
        <v>0</v>
      </c>
      <c r="M336" s="61" t="s">
        <v>470</v>
      </c>
      <c r="N336" s="45"/>
      <c r="O336" s="45"/>
      <c r="P336" s="50" t="s">
        <v>141</v>
      </c>
    </row>
    <row r="337" spans="1:16">
      <c r="A337" s="46" t="s">
        <v>39</v>
      </c>
      <c r="B337" s="44" t="s">
        <v>533</v>
      </c>
      <c r="C337" s="44" t="s">
        <v>18</v>
      </c>
      <c r="D337" s="44" t="s">
        <v>33</v>
      </c>
      <c r="E337" s="44" t="s">
        <v>105</v>
      </c>
      <c r="F337" s="54">
        <v>0</v>
      </c>
      <c r="G337" s="45"/>
      <c r="H337" s="45"/>
      <c r="I337" s="45"/>
      <c r="J337" s="68">
        <v>46113</v>
      </c>
      <c r="K337" s="68">
        <v>46190</v>
      </c>
      <c r="L337" s="65">
        <v>56</v>
      </c>
      <c r="M337" s="60" t="s">
        <v>470</v>
      </c>
      <c r="N337" s="45"/>
      <c r="O337" s="45"/>
      <c r="P337" s="44" t="s">
        <v>141</v>
      </c>
    </row>
    <row r="338" spans="1:16">
      <c r="A338" s="50" t="s">
        <v>39</v>
      </c>
      <c r="B338" s="50" t="s">
        <v>534</v>
      </c>
      <c r="C338" s="50" t="s">
        <v>22</v>
      </c>
      <c r="D338" s="50" t="s">
        <v>33</v>
      </c>
      <c r="E338" s="50" t="s">
        <v>105</v>
      </c>
      <c r="F338" s="55">
        <v>0</v>
      </c>
      <c r="G338" s="50" t="s">
        <v>35</v>
      </c>
      <c r="H338" s="51" t="s">
        <v>531</v>
      </c>
      <c r="I338" s="50" t="s">
        <v>532</v>
      </c>
      <c r="J338" s="69">
        <v>46113</v>
      </c>
      <c r="K338" s="69">
        <v>46190</v>
      </c>
      <c r="L338" s="66">
        <v>56</v>
      </c>
      <c r="M338" s="61" t="s">
        <v>470</v>
      </c>
      <c r="N338" s="45"/>
      <c r="O338" s="50" t="s">
        <v>27</v>
      </c>
      <c r="P338" s="50" t="s">
        <v>141</v>
      </c>
    </row>
    <row r="339" spans="1:16">
      <c r="A339" s="50" t="s">
        <v>39</v>
      </c>
      <c r="B339" s="50" t="s">
        <v>534</v>
      </c>
      <c r="C339" s="50" t="s">
        <v>28</v>
      </c>
      <c r="D339" s="50" t="s">
        <v>33</v>
      </c>
      <c r="E339" s="50" t="s">
        <v>105</v>
      </c>
      <c r="F339" s="55">
        <v>0</v>
      </c>
      <c r="G339" s="45"/>
      <c r="H339" s="45"/>
      <c r="I339" s="45"/>
      <c r="J339" s="69">
        <v>46113</v>
      </c>
      <c r="K339" s="69">
        <v>46188</v>
      </c>
      <c r="L339" s="66">
        <v>54</v>
      </c>
      <c r="M339" s="61" t="s">
        <v>470</v>
      </c>
      <c r="N339" s="45"/>
      <c r="O339" s="50" t="s">
        <v>27</v>
      </c>
      <c r="P339" s="50" t="s">
        <v>141</v>
      </c>
    </row>
    <row r="340" spans="1:16">
      <c r="A340" s="50" t="s">
        <v>39</v>
      </c>
      <c r="B340" s="50" t="s">
        <v>534</v>
      </c>
      <c r="C340" s="50" t="s">
        <v>29</v>
      </c>
      <c r="D340" s="50" t="s">
        <v>33</v>
      </c>
      <c r="E340" s="50" t="s">
        <v>105</v>
      </c>
      <c r="F340" s="55">
        <v>0</v>
      </c>
      <c r="G340" s="45"/>
      <c r="H340" s="45"/>
      <c r="I340" s="45"/>
      <c r="J340" s="69" t="s">
        <v>229</v>
      </c>
      <c r="K340" s="70" t="s">
        <v>229</v>
      </c>
      <c r="L340" s="66">
        <v>0</v>
      </c>
      <c r="M340" s="61" t="s">
        <v>470</v>
      </c>
      <c r="N340" s="45"/>
      <c r="O340" s="45"/>
      <c r="P340" s="50" t="s">
        <v>141</v>
      </c>
    </row>
    <row r="341" spans="1:16">
      <c r="A341" s="50" t="s">
        <v>39</v>
      </c>
      <c r="B341" s="50" t="s">
        <v>534</v>
      </c>
      <c r="C341" s="50" t="s">
        <v>30</v>
      </c>
      <c r="D341" s="50" t="s">
        <v>33</v>
      </c>
      <c r="E341" s="50" t="s">
        <v>105</v>
      </c>
      <c r="F341" s="55">
        <v>0</v>
      </c>
      <c r="G341" s="45"/>
      <c r="H341" s="45"/>
      <c r="I341" s="45"/>
      <c r="J341" s="69" t="s">
        <v>229</v>
      </c>
      <c r="K341" s="70" t="s">
        <v>229</v>
      </c>
      <c r="L341" s="66">
        <v>0</v>
      </c>
      <c r="M341" s="61" t="s">
        <v>470</v>
      </c>
      <c r="N341" s="45"/>
      <c r="O341" s="45"/>
      <c r="P341" s="50" t="s">
        <v>141</v>
      </c>
    </row>
    <row r="342" spans="1:16">
      <c r="A342" s="46" t="s">
        <v>39</v>
      </c>
      <c r="B342" s="47" t="s">
        <v>368</v>
      </c>
      <c r="C342" s="47" t="s">
        <v>18</v>
      </c>
      <c r="D342" s="47" t="s">
        <v>19</v>
      </c>
      <c r="E342" s="47" t="s">
        <v>105</v>
      </c>
      <c r="F342" s="48">
        <v>0.17</v>
      </c>
      <c r="G342" s="49"/>
      <c r="H342" s="49"/>
      <c r="I342" s="49"/>
      <c r="J342" s="68">
        <v>45945</v>
      </c>
      <c r="K342" s="68">
        <v>46290</v>
      </c>
      <c r="L342" s="63">
        <v>248</v>
      </c>
      <c r="M342" s="58" t="s">
        <v>470</v>
      </c>
      <c r="N342" s="49"/>
      <c r="O342" s="49"/>
      <c r="P342" s="47" t="s">
        <v>146</v>
      </c>
    </row>
    <row r="343" spans="1:16">
      <c r="A343" s="50" t="s">
        <v>39</v>
      </c>
      <c r="B343" s="51" t="s">
        <v>369</v>
      </c>
      <c r="C343" s="51" t="s">
        <v>22</v>
      </c>
      <c r="D343" s="51" t="s">
        <v>19</v>
      </c>
      <c r="E343" s="51" t="s">
        <v>105</v>
      </c>
      <c r="F343" s="52">
        <v>0</v>
      </c>
      <c r="G343" s="51" t="s">
        <v>535</v>
      </c>
      <c r="H343" s="50" t="s">
        <v>536</v>
      </c>
      <c r="I343" s="50" t="s">
        <v>139</v>
      </c>
      <c r="J343" s="69">
        <v>45946</v>
      </c>
      <c r="K343" s="69">
        <v>46203</v>
      </c>
      <c r="L343" s="64">
        <v>184</v>
      </c>
      <c r="M343" s="59" t="s">
        <v>470</v>
      </c>
      <c r="N343" s="51" t="s">
        <v>43</v>
      </c>
      <c r="O343" s="51" t="s">
        <v>26</v>
      </c>
      <c r="P343" s="51" t="s">
        <v>146</v>
      </c>
    </row>
    <row r="344" spans="1:16">
      <c r="A344" s="50" t="s">
        <v>39</v>
      </c>
      <c r="B344" s="51" t="s">
        <v>369</v>
      </c>
      <c r="C344" s="51" t="s">
        <v>28</v>
      </c>
      <c r="D344" s="51" t="s">
        <v>19</v>
      </c>
      <c r="E344" s="51" t="s">
        <v>105</v>
      </c>
      <c r="F344" s="52">
        <v>0</v>
      </c>
      <c r="G344" s="49"/>
      <c r="H344" s="49"/>
      <c r="I344" s="49"/>
      <c r="J344" s="69" t="s">
        <v>229</v>
      </c>
      <c r="K344" s="70" t="s">
        <v>229</v>
      </c>
      <c r="L344" s="64">
        <v>0</v>
      </c>
      <c r="M344" s="59" t="s">
        <v>470</v>
      </c>
      <c r="N344" s="49"/>
      <c r="O344" s="49"/>
      <c r="P344" s="51" t="s">
        <v>146</v>
      </c>
    </row>
    <row r="345" spans="1:16">
      <c r="A345" s="50" t="s">
        <v>39</v>
      </c>
      <c r="B345" s="51" t="s">
        <v>369</v>
      </c>
      <c r="C345" s="51" t="s">
        <v>29</v>
      </c>
      <c r="D345" s="51" t="s">
        <v>19</v>
      </c>
      <c r="E345" s="51" t="s">
        <v>105</v>
      </c>
      <c r="F345" s="52">
        <v>0</v>
      </c>
      <c r="G345" s="49"/>
      <c r="H345" s="49"/>
      <c r="I345" s="49"/>
      <c r="J345" s="69" t="s">
        <v>229</v>
      </c>
      <c r="K345" s="70" t="s">
        <v>229</v>
      </c>
      <c r="L345" s="64">
        <v>0</v>
      </c>
      <c r="M345" s="59" t="s">
        <v>470</v>
      </c>
      <c r="N345" s="49"/>
      <c r="O345" s="49"/>
      <c r="P345" s="51" t="s">
        <v>146</v>
      </c>
    </row>
    <row r="346" spans="1:16">
      <c r="A346" s="50" t="s">
        <v>39</v>
      </c>
      <c r="B346" s="51" t="s">
        <v>369</v>
      </c>
      <c r="C346" s="51" t="s">
        <v>30</v>
      </c>
      <c r="D346" s="51" t="s">
        <v>19</v>
      </c>
      <c r="E346" s="51" t="s">
        <v>105</v>
      </c>
      <c r="F346" s="52">
        <v>0</v>
      </c>
      <c r="G346" s="49"/>
      <c r="H346" s="49"/>
      <c r="I346" s="49"/>
      <c r="J346" s="69" t="s">
        <v>229</v>
      </c>
      <c r="K346" s="70" t="s">
        <v>229</v>
      </c>
      <c r="L346" s="64">
        <v>0</v>
      </c>
      <c r="M346" s="59" t="s">
        <v>470</v>
      </c>
      <c r="N346" s="49"/>
      <c r="O346" s="49"/>
      <c r="P346" s="51" t="s">
        <v>146</v>
      </c>
    </row>
    <row r="347" spans="1:16">
      <c r="A347" s="46" t="s">
        <v>39</v>
      </c>
      <c r="B347" s="44" t="s">
        <v>537</v>
      </c>
      <c r="C347" s="44" t="s">
        <v>18</v>
      </c>
      <c r="D347" s="44" t="s">
        <v>33</v>
      </c>
      <c r="E347" s="44" t="s">
        <v>105</v>
      </c>
      <c r="F347" s="54">
        <v>0</v>
      </c>
      <c r="G347" s="45"/>
      <c r="H347" s="45"/>
      <c r="I347" s="45"/>
      <c r="J347" s="69" t="s">
        <v>229</v>
      </c>
      <c r="K347" s="70" t="s">
        <v>229</v>
      </c>
      <c r="L347" s="65">
        <v>0</v>
      </c>
      <c r="M347" s="60" t="s">
        <v>470</v>
      </c>
      <c r="N347" s="49"/>
      <c r="O347" s="49"/>
      <c r="P347" s="47" t="s">
        <v>146</v>
      </c>
    </row>
    <row r="348" spans="1:16">
      <c r="A348" s="50" t="s">
        <v>39</v>
      </c>
      <c r="B348" s="50" t="s">
        <v>538</v>
      </c>
      <c r="C348" s="50" t="s">
        <v>22</v>
      </c>
      <c r="D348" s="50" t="s">
        <v>33</v>
      </c>
      <c r="E348" s="50" t="s">
        <v>105</v>
      </c>
      <c r="F348" s="55">
        <v>0</v>
      </c>
      <c r="G348" s="50" t="s">
        <v>147</v>
      </c>
      <c r="H348" s="50" t="s">
        <v>539</v>
      </c>
      <c r="I348" s="50" t="s">
        <v>139</v>
      </c>
      <c r="J348" s="69" t="s">
        <v>229</v>
      </c>
      <c r="K348" s="70" t="s">
        <v>229</v>
      </c>
      <c r="L348" s="66">
        <v>0</v>
      </c>
      <c r="M348" s="61" t="s">
        <v>470</v>
      </c>
      <c r="N348" s="49"/>
      <c r="O348" s="49"/>
      <c r="P348" s="51" t="s">
        <v>146</v>
      </c>
    </row>
    <row r="349" spans="1:16">
      <c r="A349" s="50" t="s">
        <v>39</v>
      </c>
      <c r="B349" s="50" t="s">
        <v>538</v>
      </c>
      <c r="C349" s="50" t="s">
        <v>28</v>
      </c>
      <c r="D349" s="50" t="s">
        <v>33</v>
      </c>
      <c r="E349" s="50" t="s">
        <v>105</v>
      </c>
      <c r="F349" s="55">
        <v>0</v>
      </c>
      <c r="G349" s="45"/>
      <c r="H349" s="45"/>
      <c r="I349" s="45"/>
      <c r="J349" s="69" t="s">
        <v>229</v>
      </c>
      <c r="K349" s="70" t="s">
        <v>229</v>
      </c>
      <c r="L349" s="66">
        <v>0</v>
      </c>
      <c r="M349" s="61" t="s">
        <v>470</v>
      </c>
      <c r="N349" s="49"/>
      <c r="O349" s="49"/>
      <c r="P349" s="51" t="s">
        <v>146</v>
      </c>
    </row>
    <row r="350" spans="1:16">
      <c r="A350" s="50" t="s">
        <v>39</v>
      </c>
      <c r="B350" s="50" t="s">
        <v>538</v>
      </c>
      <c r="C350" s="50" t="s">
        <v>29</v>
      </c>
      <c r="D350" s="50" t="s">
        <v>33</v>
      </c>
      <c r="E350" s="50" t="s">
        <v>105</v>
      </c>
      <c r="F350" s="55">
        <v>0</v>
      </c>
      <c r="G350" s="45"/>
      <c r="H350" s="45"/>
      <c r="I350" s="45"/>
      <c r="J350" s="69" t="s">
        <v>229</v>
      </c>
      <c r="K350" s="70" t="s">
        <v>229</v>
      </c>
      <c r="L350" s="66">
        <v>0</v>
      </c>
      <c r="M350" s="61" t="s">
        <v>470</v>
      </c>
      <c r="N350" s="49"/>
      <c r="O350" s="49"/>
      <c r="P350" s="51" t="s">
        <v>146</v>
      </c>
    </row>
    <row r="351" spans="1:16">
      <c r="A351" s="50" t="s">
        <v>39</v>
      </c>
      <c r="B351" s="50" t="s">
        <v>538</v>
      </c>
      <c r="C351" s="50" t="s">
        <v>30</v>
      </c>
      <c r="D351" s="50" t="s">
        <v>33</v>
      </c>
      <c r="E351" s="50" t="s">
        <v>105</v>
      </c>
      <c r="F351" s="55">
        <v>0</v>
      </c>
      <c r="G351" s="45"/>
      <c r="H351" s="45"/>
      <c r="I351" s="45"/>
      <c r="J351" s="69" t="s">
        <v>229</v>
      </c>
      <c r="K351" s="70" t="s">
        <v>229</v>
      </c>
      <c r="L351" s="66">
        <v>0</v>
      </c>
      <c r="M351" s="61" t="s">
        <v>470</v>
      </c>
      <c r="N351" s="49"/>
      <c r="O351" s="49"/>
      <c r="P351" s="51" t="s">
        <v>146</v>
      </c>
    </row>
    <row r="352" spans="1:16">
      <c r="A352" s="46" t="s">
        <v>39</v>
      </c>
      <c r="B352" s="44" t="s">
        <v>373</v>
      </c>
      <c r="C352" s="44" t="s">
        <v>18</v>
      </c>
      <c r="D352" s="44" t="s">
        <v>58</v>
      </c>
      <c r="E352" s="44" t="s">
        <v>105</v>
      </c>
      <c r="F352" s="54">
        <v>0</v>
      </c>
      <c r="G352" s="45"/>
      <c r="H352" s="45"/>
      <c r="I352" s="45"/>
      <c r="J352" s="69" t="s">
        <v>229</v>
      </c>
      <c r="K352" s="70" t="s">
        <v>229</v>
      </c>
      <c r="L352" s="65">
        <v>0</v>
      </c>
      <c r="M352" s="60" t="s">
        <v>470</v>
      </c>
      <c r="N352" s="45"/>
      <c r="O352" s="45"/>
      <c r="P352" s="44" t="s">
        <v>146</v>
      </c>
    </row>
    <row r="353" spans="1:16">
      <c r="A353" s="50" t="s">
        <v>39</v>
      </c>
      <c r="B353" s="50" t="s">
        <v>374</v>
      </c>
      <c r="C353" s="50" t="s">
        <v>22</v>
      </c>
      <c r="D353" s="50" t="s">
        <v>58</v>
      </c>
      <c r="E353" s="50" t="s">
        <v>105</v>
      </c>
      <c r="F353" s="55">
        <v>0</v>
      </c>
      <c r="G353" s="50" t="s">
        <v>147</v>
      </c>
      <c r="H353" s="50" t="s">
        <v>539</v>
      </c>
      <c r="I353" s="50" t="s">
        <v>139</v>
      </c>
      <c r="J353" s="69" t="s">
        <v>229</v>
      </c>
      <c r="K353" s="70" t="s">
        <v>229</v>
      </c>
      <c r="L353" s="66">
        <v>0</v>
      </c>
      <c r="M353" s="61" t="s">
        <v>470</v>
      </c>
      <c r="N353" s="45"/>
      <c r="O353" s="45"/>
      <c r="P353" s="50" t="s">
        <v>146</v>
      </c>
    </row>
    <row r="354" spans="1:16">
      <c r="A354" s="50" t="s">
        <v>39</v>
      </c>
      <c r="B354" s="50" t="s">
        <v>374</v>
      </c>
      <c r="C354" s="50" t="s">
        <v>28</v>
      </c>
      <c r="D354" s="50" t="s">
        <v>58</v>
      </c>
      <c r="E354" s="50" t="s">
        <v>105</v>
      </c>
      <c r="F354" s="55">
        <v>0</v>
      </c>
      <c r="G354" s="45"/>
      <c r="H354" s="45"/>
      <c r="I354" s="45"/>
      <c r="J354" s="69" t="s">
        <v>229</v>
      </c>
      <c r="K354" s="70" t="s">
        <v>229</v>
      </c>
      <c r="L354" s="66">
        <v>0</v>
      </c>
      <c r="M354" s="61" t="s">
        <v>470</v>
      </c>
      <c r="N354" s="45"/>
      <c r="O354" s="45"/>
      <c r="P354" s="50" t="s">
        <v>146</v>
      </c>
    </row>
    <row r="355" spans="1:16">
      <c r="A355" s="50" t="s">
        <v>39</v>
      </c>
      <c r="B355" s="50" t="s">
        <v>374</v>
      </c>
      <c r="C355" s="50" t="s">
        <v>29</v>
      </c>
      <c r="D355" s="50" t="s">
        <v>58</v>
      </c>
      <c r="E355" s="50" t="s">
        <v>105</v>
      </c>
      <c r="F355" s="55">
        <v>0</v>
      </c>
      <c r="G355" s="45"/>
      <c r="H355" s="45"/>
      <c r="I355" s="45"/>
      <c r="J355" s="69" t="s">
        <v>229</v>
      </c>
      <c r="K355" s="70" t="s">
        <v>229</v>
      </c>
      <c r="L355" s="66">
        <v>0</v>
      </c>
      <c r="M355" s="61" t="s">
        <v>470</v>
      </c>
      <c r="N355" s="45"/>
      <c r="O355" s="45"/>
      <c r="P355" s="50" t="s">
        <v>146</v>
      </c>
    </row>
    <row r="356" spans="1:16">
      <c r="A356" s="50" t="s">
        <v>39</v>
      </c>
      <c r="B356" s="50" t="s">
        <v>374</v>
      </c>
      <c r="C356" s="50" t="s">
        <v>30</v>
      </c>
      <c r="D356" s="50" t="s">
        <v>58</v>
      </c>
      <c r="E356" s="50" t="s">
        <v>105</v>
      </c>
      <c r="F356" s="55">
        <v>0</v>
      </c>
      <c r="G356" s="45"/>
      <c r="H356" s="45"/>
      <c r="I356" s="45"/>
      <c r="J356" s="69" t="s">
        <v>229</v>
      </c>
      <c r="K356" s="70" t="s">
        <v>229</v>
      </c>
      <c r="L356" s="66">
        <v>0</v>
      </c>
      <c r="M356" s="61" t="s">
        <v>470</v>
      </c>
      <c r="N356" s="45"/>
      <c r="O356" s="45"/>
      <c r="P356" s="50" t="s">
        <v>146</v>
      </c>
    </row>
    <row r="357" spans="1:16">
      <c r="A357" s="46" t="s">
        <v>39</v>
      </c>
      <c r="B357" s="44" t="s">
        <v>375</v>
      </c>
      <c r="C357" s="44" t="s">
        <v>18</v>
      </c>
      <c r="D357" s="44" t="s">
        <v>58</v>
      </c>
      <c r="E357" s="44" t="s">
        <v>105</v>
      </c>
      <c r="F357" s="54">
        <v>0</v>
      </c>
      <c r="G357" s="45"/>
      <c r="H357" s="45"/>
      <c r="I357" s="45"/>
      <c r="J357" s="69" t="s">
        <v>229</v>
      </c>
      <c r="K357" s="70" t="s">
        <v>229</v>
      </c>
      <c r="L357" s="65">
        <v>0</v>
      </c>
      <c r="M357" s="60" t="s">
        <v>470</v>
      </c>
      <c r="N357" s="45"/>
      <c r="O357" s="45"/>
      <c r="P357" s="44" t="s">
        <v>146</v>
      </c>
    </row>
    <row r="358" spans="1:16">
      <c r="A358" s="50" t="s">
        <v>39</v>
      </c>
      <c r="B358" s="50" t="s">
        <v>376</v>
      </c>
      <c r="C358" s="50" t="s">
        <v>22</v>
      </c>
      <c r="D358" s="50" t="s">
        <v>58</v>
      </c>
      <c r="E358" s="50" t="s">
        <v>105</v>
      </c>
      <c r="F358" s="55">
        <v>0</v>
      </c>
      <c r="G358" s="50" t="s">
        <v>147</v>
      </c>
      <c r="H358" s="50" t="s">
        <v>539</v>
      </c>
      <c r="I358" s="50" t="s">
        <v>139</v>
      </c>
      <c r="J358" s="69" t="s">
        <v>229</v>
      </c>
      <c r="K358" s="70" t="s">
        <v>229</v>
      </c>
      <c r="L358" s="66">
        <v>0</v>
      </c>
      <c r="M358" s="61" t="s">
        <v>470</v>
      </c>
      <c r="N358" s="45"/>
      <c r="O358" s="45"/>
      <c r="P358" s="50" t="s">
        <v>146</v>
      </c>
    </row>
    <row r="359" spans="1:16">
      <c r="A359" s="50" t="s">
        <v>39</v>
      </c>
      <c r="B359" s="50" t="s">
        <v>376</v>
      </c>
      <c r="C359" s="50" t="s">
        <v>28</v>
      </c>
      <c r="D359" s="50" t="s">
        <v>58</v>
      </c>
      <c r="E359" s="50" t="s">
        <v>105</v>
      </c>
      <c r="F359" s="55">
        <v>0</v>
      </c>
      <c r="G359" s="45"/>
      <c r="H359" s="45"/>
      <c r="I359" s="45"/>
      <c r="J359" s="69" t="s">
        <v>229</v>
      </c>
      <c r="K359" s="70" t="s">
        <v>229</v>
      </c>
      <c r="L359" s="66">
        <v>0</v>
      </c>
      <c r="M359" s="61" t="s">
        <v>470</v>
      </c>
      <c r="N359" s="45"/>
      <c r="O359" s="45"/>
      <c r="P359" s="50" t="s">
        <v>146</v>
      </c>
    </row>
    <row r="360" spans="1:16">
      <c r="A360" s="50" t="s">
        <v>39</v>
      </c>
      <c r="B360" s="50" t="s">
        <v>376</v>
      </c>
      <c r="C360" s="50" t="s">
        <v>29</v>
      </c>
      <c r="D360" s="50" t="s">
        <v>58</v>
      </c>
      <c r="E360" s="50" t="s">
        <v>105</v>
      </c>
      <c r="F360" s="55">
        <v>0</v>
      </c>
      <c r="G360" s="45"/>
      <c r="H360" s="45"/>
      <c r="I360" s="45"/>
      <c r="J360" s="69" t="s">
        <v>229</v>
      </c>
      <c r="K360" s="70" t="s">
        <v>229</v>
      </c>
      <c r="L360" s="66">
        <v>0</v>
      </c>
      <c r="M360" s="61" t="s">
        <v>470</v>
      </c>
      <c r="N360" s="45"/>
      <c r="O360" s="45"/>
      <c r="P360" s="50" t="s">
        <v>146</v>
      </c>
    </row>
    <row r="361" spans="1:16">
      <c r="A361" s="50" t="s">
        <v>39</v>
      </c>
      <c r="B361" s="50" t="s">
        <v>376</v>
      </c>
      <c r="C361" s="50" t="s">
        <v>30</v>
      </c>
      <c r="D361" s="50" t="s">
        <v>58</v>
      </c>
      <c r="E361" s="50" t="s">
        <v>105</v>
      </c>
      <c r="F361" s="55">
        <v>0</v>
      </c>
      <c r="G361" s="45"/>
      <c r="H361" s="45"/>
      <c r="I361" s="45"/>
      <c r="J361" s="69" t="s">
        <v>229</v>
      </c>
      <c r="K361" s="70" t="s">
        <v>229</v>
      </c>
      <c r="L361" s="66">
        <v>0</v>
      </c>
      <c r="M361" s="61" t="s">
        <v>470</v>
      </c>
      <c r="N361" s="45"/>
      <c r="O361" s="45"/>
      <c r="P361" s="50" t="s">
        <v>146</v>
      </c>
    </row>
    <row r="362" spans="1:16">
      <c r="A362" s="46" t="s">
        <v>39</v>
      </c>
      <c r="B362" s="44" t="s">
        <v>540</v>
      </c>
      <c r="C362" s="44" t="s">
        <v>18</v>
      </c>
      <c r="D362" s="44" t="s">
        <v>33</v>
      </c>
      <c r="E362" s="44" t="s">
        <v>105</v>
      </c>
      <c r="F362" s="54">
        <v>0</v>
      </c>
      <c r="G362" s="45"/>
      <c r="H362" s="45"/>
      <c r="I362" s="45"/>
      <c r="J362" s="68">
        <v>46127</v>
      </c>
      <c r="K362" s="70" t="s">
        <v>229</v>
      </c>
      <c r="L362" s="65">
        <v>0</v>
      </c>
      <c r="M362" s="60" t="s">
        <v>470</v>
      </c>
      <c r="N362" s="45"/>
      <c r="O362" s="45"/>
      <c r="P362" s="44" t="s">
        <v>146</v>
      </c>
    </row>
    <row r="363" spans="1:16">
      <c r="A363" s="50" t="s">
        <v>39</v>
      </c>
      <c r="B363" s="50" t="s">
        <v>541</v>
      </c>
      <c r="C363" s="50" t="s">
        <v>22</v>
      </c>
      <c r="D363" s="50" t="s">
        <v>33</v>
      </c>
      <c r="E363" s="50" t="s">
        <v>105</v>
      </c>
      <c r="F363" s="55">
        <v>0</v>
      </c>
      <c r="G363" s="50" t="s">
        <v>147</v>
      </c>
      <c r="H363" s="50" t="s">
        <v>542</v>
      </c>
      <c r="I363" s="50" t="s">
        <v>139</v>
      </c>
      <c r="J363" s="69" t="s">
        <v>229</v>
      </c>
      <c r="K363" s="70" t="s">
        <v>229</v>
      </c>
      <c r="L363" s="66">
        <v>0</v>
      </c>
      <c r="M363" s="61" t="s">
        <v>470</v>
      </c>
      <c r="N363" s="45"/>
      <c r="O363" s="45"/>
      <c r="P363" s="50" t="s">
        <v>146</v>
      </c>
    </row>
    <row r="364" spans="1:16">
      <c r="A364" s="50" t="s">
        <v>39</v>
      </c>
      <c r="B364" s="50" t="s">
        <v>541</v>
      </c>
      <c r="C364" s="50" t="s">
        <v>28</v>
      </c>
      <c r="D364" s="50" t="s">
        <v>33</v>
      </c>
      <c r="E364" s="50" t="s">
        <v>105</v>
      </c>
      <c r="F364" s="55">
        <v>0</v>
      </c>
      <c r="G364" s="45"/>
      <c r="H364" s="45"/>
      <c r="I364" s="45"/>
      <c r="J364" s="69" t="s">
        <v>229</v>
      </c>
      <c r="K364" s="70" t="s">
        <v>229</v>
      </c>
      <c r="L364" s="66">
        <v>0</v>
      </c>
      <c r="M364" s="61" t="s">
        <v>470</v>
      </c>
      <c r="N364" s="45"/>
      <c r="O364" s="45"/>
      <c r="P364" s="50" t="s">
        <v>146</v>
      </c>
    </row>
    <row r="365" spans="1:16">
      <c r="A365" s="50" t="s">
        <v>39</v>
      </c>
      <c r="B365" s="50" t="s">
        <v>541</v>
      </c>
      <c r="C365" s="50" t="s">
        <v>29</v>
      </c>
      <c r="D365" s="50" t="s">
        <v>33</v>
      </c>
      <c r="E365" s="50" t="s">
        <v>105</v>
      </c>
      <c r="F365" s="55">
        <v>0</v>
      </c>
      <c r="G365" s="45"/>
      <c r="H365" s="45"/>
      <c r="I365" s="45"/>
      <c r="J365" s="69" t="s">
        <v>229</v>
      </c>
      <c r="K365" s="70" t="s">
        <v>229</v>
      </c>
      <c r="L365" s="66">
        <v>0</v>
      </c>
      <c r="M365" s="61" t="s">
        <v>470</v>
      </c>
      <c r="N365" s="45"/>
      <c r="O365" s="45"/>
      <c r="P365" s="50" t="s">
        <v>146</v>
      </c>
    </row>
    <row r="366" spans="1:16">
      <c r="A366" s="50" t="s">
        <v>39</v>
      </c>
      <c r="B366" s="50" t="s">
        <v>541</v>
      </c>
      <c r="C366" s="50" t="s">
        <v>30</v>
      </c>
      <c r="D366" s="50" t="s">
        <v>33</v>
      </c>
      <c r="E366" s="50" t="s">
        <v>105</v>
      </c>
      <c r="F366" s="55">
        <v>0</v>
      </c>
      <c r="G366" s="45"/>
      <c r="H366" s="45"/>
      <c r="I366" s="45"/>
      <c r="J366" s="69" t="s">
        <v>229</v>
      </c>
      <c r="K366" s="70" t="s">
        <v>229</v>
      </c>
      <c r="L366" s="66">
        <v>0</v>
      </c>
      <c r="M366" s="61" t="s">
        <v>470</v>
      </c>
      <c r="N366" s="45"/>
      <c r="O366" s="45"/>
      <c r="P366" s="50" t="s">
        <v>146</v>
      </c>
    </row>
    <row r="367" spans="1:16">
      <c r="A367" s="46" t="s">
        <v>39</v>
      </c>
      <c r="B367" s="44" t="s">
        <v>379</v>
      </c>
      <c r="C367" s="44" t="s">
        <v>18</v>
      </c>
      <c r="D367" s="44" t="s">
        <v>58</v>
      </c>
      <c r="E367" s="44" t="s">
        <v>105</v>
      </c>
      <c r="F367" s="54">
        <v>0</v>
      </c>
      <c r="G367" s="45"/>
      <c r="H367" s="45"/>
      <c r="I367" s="45"/>
      <c r="J367" s="69" t="s">
        <v>229</v>
      </c>
      <c r="K367" s="70" t="s">
        <v>229</v>
      </c>
      <c r="L367" s="65">
        <v>0</v>
      </c>
      <c r="M367" s="60" t="s">
        <v>470</v>
      </c>
      <c r="N367" s="45"/>
      <c r="O367" s="45"/>
      <c r="P367" s="44" t="s">
        <v>146</v>
      </c>
    </row>
    <row r="368" spans="1:16">
      <c r="A368" s="50" t="s">
        <v>39</v>
      </c>
      <c r="B368" s="50" t="s">
        <v>380</v>
      </c>
      <c r="C368" s="50" t="s">
        <v>22</v>
      </c>
      <c r="D368" s="50" t="s">
        <v>58</v>
      </c>
      <c r="E368" s="50" t="s">
        <v>105</v>
      </c>
      <c r="F368" s="55">
        <v>0</v>
      </c>
      <c r="G368" s="50" t="s">
        <v>147</v>
      </c>
      <c r="H368" s="50" t="s">
        <v>542</v>
      </c>
      <c r="I368" s="50" t="s">
        <v>139</v>
      </c>
      <c r="J368" s="69" t="s">
        <v>229</v>
      </c>
      <c r="K368" s="70" t="s">
        <v>229</v>
      </c>
      <c r="L368" s="66">
        <v>0</v>
      </c>
      <c r="M368" s="61" t="s">
        <v>470</v>
      </c>
      <c r="N368" s="45"/>
      <c r="O368" s="45"/>
      <c r="P368" s="50" t="s">
        <v>146</v>
      </c>
    </row>
    <row r="369" spans="1:16">
      <c r="A369" s="50" t="s">
        <v>39</v>
      </c>
      <c r="B369" s="50" t="s">
        <v>380</v>
      </c>
      <c r="C369" s="50" t="s">
        <v>28</v>
      </c>
      <c r="D369" s="50" t="s">
        <v>58</v>
      </c>
      <c r="E369" s="50" t="s">
        <v>105</v>
      </c>
      <c r="F369" s="55">
        <v>0</v>
      </c>
      <c r="G369" s="45"/>
      <c r="H369" s="45"/>
      <c r="I369" s="45"/>
      <c r="J369" s="69" t="s">
        <v>229</v>
      </c>
      <c r="K369" s="70" t="s">
        <v>229</v>
      </c>
      <c r="L369" s="66">
        <v>0</v>
      </c>
      <c r="M369" s="61" t="s">
        <v>470</v>
      </c>
      <c r="N369" s="45"/>
      <c r="O369" s="45"/>
      <c r="P369" s="50" t="s">
        <v>146</v>
      </c>
    </row>
    <row r="370" spans="1:16">
      <c r="A370" s="50" t="s">
        <v>39</v>
      </c>
      <c r="B370" s="50" t="s">
        <v>380</v>
      </c>
      <c r="C370" s="50" t="s">
        <v>29</v>
      </c>
      <c r="D370" s="50" t="s">
        <v>58</v>
      </c>
      <c r="E370" s="50" t="s">
        <v>105</v>
      </c>
      <c r="F370" s="55">
        <v>0</v>
      </c>
      <c r="G370" s="45"/>
      <c r="H370" s="45"/>
      <c r="I370" s="45"/>
      <c r="J370" s="69" t="s">
        <v>229</v>
      </c>
      <c r="K370" s="70" t="s">
        <v>229</v>
      </c>
      <c r="L370" s="66">
        <v>0</v>
      </c>
      <c r="M370" s="61" t="s">
        <v>470</v>
      </c>
      <c r="N370" s="45"/>
      <c r="O370" s="45"/>
      <c r="P370" s="50" t="s">
        <v>146</v>
      </c>
    </row>
    <row r="371" spans="1:16">
      <c r="A371" s="50" t="s">
        <v>39</v>
      </c>
      <c r="B371" s="50" t="s">
        <v>380</v>
      </c>
      <c r="C371" s="50" t="s">
        <v>30</v>
      </c>
      <c r="D371" s="50" t="s">
        <v>58</v>
      </c>
      <c r="E371" s="50" t="s">
        <v>105</v>
      </c>
      <c r="F371" s="55">
        <v>0</v>
      </c>
      <c r="G371" s="45"/>
      <c r="H371" s="45"/>
      <c r="I371" s="45"/>
      <c r="J371" s="69" t="s">
        <v>229</v>
      </c>
      <c r="K371" s="70" t="s">
        <v>229</v>
      </c>
      <c r="L371" s="66">
        <v>0</v>
      </c>
      <c r="M371" s="61" t="s">
        <v>470</v>
      </c>
      <c r="N371" s="45"/>
      <c r="O371" s="45"/>
      <c r="P371" s="50" t="s">
        <v>146</v>
      </c>
    </row>
    <row r="372" spans="1:16">
      <c r="A372" s="44" t="s">
        <v>39</v>
      </c>
      <c r="B372" s="44" t="s">
        <v>543</v>
      </c>
      <c r="C372" s="44" t="s">
        <v>18</v>
      </c>
      <c r="D372" s="44" t="s">
        <v>58</v>
      </c>
      <c r="E372" s="44" t="s">
        <v>105</v>
      </c>
      <c r="F372" s="54">
        <v>0</v>
      </c>
      <c r="G372" s="45"/>
      <c r="H372" s="45"/>
      <c r="I372" s="45"/>
      <c r="J372" s="69" t="s">
        <v>229</v>
      </c>
      <c r="K372" s="70" t="s">
        <v>229</v>
      </c>
      <c r="L372" s="65">
        <v>0</v>
      </c>
      <c r="M372" s="60" t="s">
        <v>470</v>
      </c>
      <c r="N372" s="45"/>
      <c r="O372" s="45"/>
      <c r="P372" s="44" t="s">
        <v>146</v>
      </c>
    </row>
    <row r="373" spans="1:16">
      <c r="A373" s="50" t="s">
        <v>39</v>
      </c>
      <c r="B373" s="50" t="s">
        <v>544</v>
      </c>
      <c r="C373" s="50" t="s">
        <v>22</v>
      </c>
      <c r="D373" s="50" t="s">
        <v>58</v>
      </c>
      <c r="E373" s="50" t="s">
        <v>105</v>
      </c>
      <c r="F373" s="55">
        <v>0</v>
      </c>
      <c r="G373" s="50" t="s">
        <v>147</v>
      </c>
      <c r="H373" s="50" t="s">
        <v>542</v>
      </c>
      <c r="I373" s="50" t="s">
        <v>139</v>
      </c>
      <c r="J373" s="69" t="s">
        <v>229</v>
      </c>
      <c r="K373" s="70" t="s">
        <v>229</v>
      </c>
      <c r="L373" s="66">
        <v>0</v>
      </c>
      <c r="M373" s="61" t="s">
        <v>470</v>
      </c>
      <c r="N373" s="45"/>
      <c r="O373" s="45"/>
      <c r="P373" s="50" t="s">
        <v>146</v>
      </c>
    </row>
    <row r="374" spans="1:16">
      <c r="A374" s="50" t="s">
        <v>39</v>
      </c>
      <c r="B374" s="50" t="s">
        <v>544</v>
      </c>
      <c r="C374" s="50" t="s">
        <v>28</v>
      </c>
      <c r="D374" s="50" t="s">
        <v>58</v>
      </c>
      <c r="E374" s="50" t="s">
        <v>105</v>
      </c>
      <c r="F374" s="55">
        <v>0</v>
      </c>
      <c r="G374" s="45"/>
      <c r="H374" s="45"/>
      <c r="I374" s="45"/>
      <c r="J374" s="69" t="s">
        <v>229</v>
      </c>
      <c r="K374" s="70" t="s">
        <v>229</v>
      </c>
      <c r="L374" s="66">
        <v>0</v>
      </c>
      <c r="M374" s="61" t="s">
        <v>470</v>
      </c>
      <c r="N374" s="45"/>
      <c r="O374" s="45"/>
      <c r="P374" s="50" t="s">
        <v>146</v>
      </c>
    </row>
    <row r="375" spans="1:16">
      <c r="A375" s="50" t="s">
        <v>39</v>
      </c>
      <c r="B375" s="50" t="s">
        <v>544</v>
      </c>
      <c r="C375" s="50" t="s">
        <v>29</v>
      </c>
      <c r="D375" s="50" t="s">
        <v>58</v>
      </c>
      <c r="E375" s="50" t="s">
        <v>105</v>
      </c>
      <c r="F375" s="55">
        <v>0</v>
      </c>
      <c r="G375" s="45"/>
      <c r="H375" s="45"/>
      <c r="I375" s="45"/>
      <c r="J375" s="69" t="s">
        <v>229</v>
      </c>
      <c r="K375" s="70" t="s">
        <v>229</v>
      </c>
      <c r="L375" s="66">
        <v>0</v>
      </c>
      <c r="M375" s="61" t="s">
        <v>470</v>
      </c>
      <c r="N375" s="45"/>
      <c r="O375" s="45"/>
      <c r="P375" s="50" t="s">
        <v>146</v>
      </c>
    </row>
    <row r="376" spans="1:16">
      <c r="A376" s="50" t="s">
        <v>39</v>
      </c>
      <c r="B376" s="50" t="s">
        <v>544</v>
      </c>
      <c r="C376" s="50" t="s">
        <v>30</v>
      </c>
      <c r="D376" s="50" t="s">
        <v>58</v>
      </c>
      <c r="E376" s="50" t="s">
        <v>105</v>
      </c>
      <c r="F376" s="55">
        <v>0</v>
      </c>
      <c r="G376" s="45"/>
      <c r="H376" s="45"/>
      <c r="I376" s="45"/>
      <c r="J376" s="69" t="s">
        <v>229</v>
      </c>
      <c r="K376" s="70" t="s">
        <v>229</v>
      </c>
      <c r="L376" s="66">
        <v>0</v>
      </c>
      <c r="M376" s="61" t="s">
        <v>470</v>
      </c>
      <c r="N376" s="45"/>
      <c r="O376" s="45"/>
      <c r="P376" s="50" t="s">
        <v>146</v>
      </c>
    </row>
    <row r="377" spans="1:16">
      <c r="A377" s="44" t="s">
        <v>39</v>
      </c>
      <c r="B377" s="44" t="s">
        <v>545</v>
      </c>
      <c r="C377" s="44" t="s">
        <v>18</v>
      </c>
      <c r="D377" s="44" t="s">
        <v>58</v>
      </c>
      <c r="E377" s="44" t="s">
        <v>105</v>
      </c>
      <c r="F377" s="54">
        <v>0</v>
      </c>
      <c r="G377" s="45"/>
      <c r="H377" s="45"/>
      <c r="I377" s="45"/>
      <c r="J377" s="69" t="s">
        <v>229</v>
      </c>
      <c r="K377" s="70" t="s">
        <v>229</v>
      </c>
      <c r="L377" s="65">
        <v>0</v>
      </c>
      <c r="M377" s="60" t="s">
        <v>470</v>
      </c>
      <c r="N377" s="45"/>
      <c r="O377" s="45"/>
      <c r="P377" s="44" t="s">
        <v>146</v>
      </c>
    </row>
    <row r="378" spans="1:16">
      <c r="A378" s="50" t="s">
        <v>39</v>
      </c>
      <c r="B378" s="50" t="s">
        <v>546</v>
      </c>
      <c r="C378" s="50" t="s">
        <v>22</v>
      </c>
      <c r="D378" s="50" t="s">
        <v>58</v>
      </c>
      <c r="E378" s="50" t="s">
        <v>105</v>
      </c>
      <c r="F378" s="55">
        <v>0</v>
      </c>
      <c r="G378" s="50" t="s">
        <v>147</v>
      </c>
      <c r="H378" s="50" t="s">
        <v>542</v>
      </c>
      <c r="I378" s="50" t="s">
        <v>139</v>
      </c>
      <c r="J378" s="69" t="s">
        <v>229</v>
      </c>
      <c r="K378" s="70" t="s">
        <v>229</v>
      </c>
      <c r="L378" s="66">
        <v>0</v>
      </c>
      <c r="M378" s="61" t="s">
        <v>470</v>
      </c>
      <c r="N378" s="45"/>
      <c r="O378" s="45"/>
      <c r="P378" s="50" t="s">
        <v>146</v>
      </c>
    </row>
    <row r="379" spans="1:16">
      <c r="A379" s="50" t="s">
        <v>39</v>
      </c>
      <c r="B379" s="50" t="s">
        <v>546</v>
      </c>
      <c r="C379" s="50" t="s">
        <v>28</v>
      </c>
      <c r="D379" s="50" t="s">
        <v>58</v>
      </c>
      <c r="E379" s="50" t="s">
        <v>105</v>
      </c>
      <c r="F379" s="55">
        <v>0</v>
      </c>
      <c r="G379" s="45"/>
      <c r="H379" s="45"/>
      <c r="I379" s="45"/>
      <c r="J379" s="69" t="s">
        <v>229</v>
      </c>
      <c r="K379" s="70" t="s">
        <v>229</v>
      </c>
      <c r="L379" s="66">
        <v>0</v>
      </c>
      <c r="M379" s="61" t="s">
        <v>470</v>
      </c>
      <c r="N379" s="45"/>
      <c r="O379" s="45"/>
      <c r="P379" s="50" t="s">
        <v>146</v>
      </c>
    </row>
    <row r="380" spans="1:16">
      <c r="A380" s="50" t="s">
        <v>39</v>
      </c>
      <c r="B380" s="50" t="s">
        <v>546</v>
      </c>
      <c r="C380" s="50" t="s">
        <v>29</v>
      </c>
      <c r="D380" s="50" t="s">
        <v>58</v>
      </c>
      <c r="E380" s="50" t="s">
        <v>105</v>
      </c>
      <c r="F380" s="55">
        <v>0</v>
      </c>
      <c r="G380" s="45"/>
      <c r="H380" s="45"/>
      <c r="I380" s="45"/>
      <c r="J380" s="69" t="s">
        <v>229</v>
      </c>
      <c r="K380" s="70" t="s">
        <v>229</v>
      </c>
      <c r="L380" s="66">
        <v>0</v>
      </c>
      <c r="M380" s="61" t="s">
        <v>470</v>
      </c>
      <c r="N380" s="45"/>
      <c r="O380" s="45"/>
      <c r="P380" s="50" t="s">
        <v>146</v>
      </c>
    </row>
    <row r="381" spans="1:16">
      <c r="A381" s="50" t="s">
        <v>39</v>
      </c>
      <c r="B381" s="50" t="s">
        <v>546</v>
      </c>
      <c r="C381" s="50" t="s">
        <v>30</v>
      </c>
      <c r="D381" s="50" t="s">
        <v>58</v>
      </c>
      <c r="E381" s="50" t="s">
        <v>105</v>
      </c>
      <c r="F381" s="55">
        <v>0</v>
      </c>
      <c r="G381" s="45"/>
      <c r="H381" s="45"/>
      <c r="I381" s="45"/>
      <c r="J381" s="69" t="s">
        <v>229</v>
      </c>
      <c r="K381" s="70" t="s">
        <v>229</v>
      </c>
      <c r="L381" s="66">
        <v>0</v>
      </c>
      <c r="M381" s="61" t="s">
        <v>470</v>
      </c>
      <c r="N381" s="45"/>
      <c r="O381" s="45"/>
      <c r="P381" s="50" t="s">
        <v>146</v>
      </c>
    </row>
    <row r="382" spans="1:16">
      <c r="A382" s="46" t="s">
        <v>39</v>
      </c>
      <c r="B382" s="44" t="s">
        <v>547</v>
      </c>
      <c r="C382" s="44" t="s">
        <v>18</v>
      </c>
      <c r="D382" s="44" t="s">
        <v>58</v>
      </c>
      <c r="E382" s="44" t="s">
        <v>105</v>
      </c>
      <c r="F382" s="54">
        <v>0</v>
      </c>
      <c r="G382" s="45"/>
      <c r="H382" s="45"/>
      <c r="I382" s="45"/>
      <c r="J382" s="69" t="s">
        <v>229</v>
      </c>
      <c r="K382" s="70" t="s">
        <v>229</v>
      </c>
      <c r="L382" s="65">
        <v>0</v>
      </c>
      <c r="M382" s="60" t="s">
        <v>470</v>
      </c>
      <c r="N382" s="45"/>
      <c r="O382" s="45"/>
      <c r="P382" s="44" t="s">
        <v>146</v>
      </c>
    </row>
    <row r="383" spans="1:16">
      <c r="A383" s="50" t="s">
        <v>39</v>
      </c>
      <c r="B383" s="50" t="s">
        <v>548</v>
      </c>
      <c r="C383" s="50" t="s">
        <v>22</v>
      </c>
      <c r="D383" s="50" t="s">
        <v>58</v>
      </c>
      <c r="E383" s="50" t="s">
        <v>105</v>
      </c>
      <c r="F383" s="55">
        <v>0</v>
      </c>
      <c r="G383" s="50" t="s">
        <v>147</v>
      </c>
      <c r="H383" s="50" t="s">
        <v>542</v>
      </c>
      <c r="I383" s="50" t="s">
        <v>139</v>
      </c>
      <c r="J383" s="69" t="s">
        <v>229</v>
      </c>
      <c r="K383" s="70" t="s">
        <v>229</v>
      </c>
      <c r="L383" s="66">
        <v>0</v>
      </c>
      <c r="M383" s="61" t="s">
        <v>470</v>
      </c>
      <c r="N383" s="45"/>
      <c r="O383" s="45"/>
      <c r="P383" s="50" t="s">
        <v>146</v>
      </c>
    </row>
    <row r="384" spans="1:16">
      <c r="A384" s="50" t="s">
        <v>39</v>
      </c>
      <c r="B384" s="50" t="s">
        <v>548</v>
      </c>
      <c r="C384" s="50" t="s">
        <v>28</v>
      </c>
      <c r="D384" s="50" t="s">
        <v>58</v>
      </c>
      <c r="E384" s="50" t="s">
        <v>105</v>
      </c>
      <c r="F384" s="55">
        <v>0</v>
      </c>
      <c r="G384" s="45"/>
      <c r="H384" s="45"/>
      <c r="I384" s="45"/>
      <c r="J384" s="69" t="s">
        <v>229</v>
      </c>
      <c r="K384" s="70" t="s">
        <v>229</v>
      </c>
      <c r="L384" s="66">
        <v>0</v>
      </c>
      <c r="M384" s="61" t="s">
        <v>470</v>
      </c>
      <c r="N384" s="45"/>
      <c r="O384" s="45"/>
      <c r="P384" s="50" t="s">
        <v>146</v>
      </c>
    </row>
    <row r="385" spans="1:16">
      <c r="A385" s="50" t="s">
        <v>39</v>
      </c>
      <c r="B385" s="50" t="s">
        <v>548</v>
      </c>
      <c r="C385" s="50" t="s">
        <v>29</v>
      </c>
      <c r="D385" s="50" t="s">
        <v>58</v>
      </c>
      <c r="E385" s="50" t="s">
        <v>105</v>
      </c>
      <c r="F385" s="55">
        <v>0</v>
      </c>
      <c r="G385" s="45"/>
      <c r="H385" s="45"/>
      <c r="I385" s="45"/>
      <c r="J385" s="69" t="s">
        <v>229</v>
      </c>
      <c r="K385" s="70" t="s">
        <v>229</v>
      </c>
      <c r="L385" s="66">
        <v>0</v>
      </c>
      <c r="M385" s="61" t="s">
        <v>470</v>
      </c>
      <c r="N385" s="45"/>
      <c r="O385" s="45"/>
      <c r="P385" s="50" t="s">
        <v>146</v>
      </c>
    </row>
    <row r="386" spans="1:16">
      <c r="A386" s="50" t="s">
        <v>39</v>
      </c>
      <c r="B386" s="50" t="s">
        <v>548</v>
      </c>
      <c r="C386" s="50" t="s">
        <v>30</v>
      </c>
      <c r="D386" s="50" t="s">
        <v>58</v>
      </c>
      <c r="E386" s="50" t="s">
        <v>105</v>
      </c>
      <c r="F386" s="55">
        <v>0</v>
      </c>
      <c r="G386" s="45"/>
      <c r="H386" s="45"/>
      <c r="I386" s="45"/>
      <c r="J386" s="69" t="s">
        <v>229</v>
      </c>
      <c r="K386" s="70" t="s">
        <v>229</v>
      </c>
      <c r="L386" s="66">
        <v>0</v>
      </c>
      <c r="M386" s="61" t="s">
        <v>470</v>
      </c>
      <c r="N386" s="45"/>
      <c r="O386" s="45"/>
      <c r="P386" s="50" t="s">
        <v>146</v>
      </c>
    </row>
    <row r="387" spans="1:16">
      <c r="A387" s="46" t="s">
        <v>39</v>
      </c>
      <c r="B387" s="44" t="s">
        <v>549</v>
      </c>
      <c r="C387" s="44" t="s">
        <v>18</v>
      </c>
      <c r="D387" s="44" t="s">
        <v>58</v>
      </c>
      <c r="E387" s="44" t="s">
        <v>105</v>
      </c>
      <c r="F387" s="54">
        <v>0</v>
      </c>
      <c r="G387" s="45"/>
      <c r="H387" s="45"/>
      <c r="I387" s="45"/>
      <c r="J387" s="69" t="s">
        <v>229</v>
      </c>
      <c r="K387" s="70" t="s">
        <v>229</v>
      </c>
      <c r="L387" s="65">
        <v>0</v>
      </c>
      <c r="M387" s="60" t="s">
        <v>470</v>
      </c>
      <c r="N387" s="45"/>
      <c r="O387" s="45"/>
      <c r="P387" s="44" t="s">
        <v>146</v>
      </c>
    </row>
    <row r="388" spans="1:16">
      <c r="A388" s="50" t="s">
        <v>39</v>
      </c>
      <c r="B388" s="50" t="s">
        <v>550</v>
      </c>
      <c r="C388" s="50" t="s">
        <v>22</v>
      </c>
      <c r="D388" s="50" t="s">
        <v>58</v>
      </c>
      <c r="E388" s="50" t="s">
        <v>105</v>
      </c>
      <c r="F388" s="55">
        <v>0</v>
      </c>
      <c r="G388" s="50" t="s">
        <v>147</v>
      </c>
      <c r="H388" s="50" t="s">
        <v>542</v>
      </c>
      <c r="I388" s="50" t="s">
        <v>139</v>
      </c>
      <c r="J388" s="69" t="s">
        <v>229</v>
      </c>
      <c r="K388" s="70" t="s">
        <v>229</v>
      </c>
      <c r="L388" s="66">
        <v>0</v>
      </c>
      <c r="M388" s="61" t="s">
        <v>470</v>
      </c>
      <c r="N388" s="45"/>
      <c r="O388" s="45"/>
      <c r="P388" s="50" t="s">
        <v>146</v>
      </c>
    </row>
    <row r="389" spans="1:16">
      <c r="A389" s="50" t="s">
        <v>39</v>
      </c>
      <c r="B389" s="50" t="s">
        <v>550</v>
      </c>
      <c r="C389" s="50" t="s">
        <v>28</v>
      </c>
      <c r="D389" s="50" t="s">
        <v>58</v>
      </c>
      <c r="E389" s="50" t="s">
        <v>105</v>
      </c>
      <c r="F389" s="55">
        <v>0</v>
      </c>
      <c r="G389" s="45"/>
      <c r="H389" s="45"/>
      <c r="I389" s="45"/>
      <c r="J389" s="69" t="s">
        <v>229</v>
      </c>
      <c r="K389" s="70" t="s">
        <v>229</v>
      </c>
      <c r="L389" s="66">
        <v>0</v>
      </c>
      <c r="M389" s="61" t="s">
        <v>470</v>
      </c>
      <c r="N389" s="45"/>
      <c r="O389" s="45"/>
      <c r="P389" s="50" t="s">
        <v>146</v>
      </c>
    </row>
    <row r="390" spans="1:16">
      <c r="A390" s="50" t="s">
        <v>39</v>
      </c>
      <c r="B390" s="50" t="s">
        <v>550</v>
      </c>
      <c r="C390" s="50" t="s">
        <v>29</v>
      </c>
      <c r="D390" s="50" t="s">
        <v>58</v>
      </c>
      <c r="E390" s="50" t="s">
        <v>105</v>
      </c>
      <c r="F390" s="55">
        <v>0</v>
      </c>
      <c r="G390" s="45"/>
      <c r="H390" s="45"/>
      <c r="I390" s="45"/>
      <c r="J390" s="69" t="s">
        <v>229</v>
      </c>
      <c r="K390" s="70" t="s">
        <v>229</v>
      </c>
      <c r="L390" s="66">
        <v>0</v>
      </c>
      <c r="M390" s="61" t="s">
        <v>470</v>
      </c>
      <c r="N390" s="45"/>
      <c r="O390" s="45"/>
      <c r="P390" s="50" t="s">
        <v>146</v>
      </c>
    </row>
    <row r="391" spans="1:16">
      <c r="A391" s="50" t="s">
        <v>39</v>
      </c>
      <c r="B391" s="50" t="s">
        <v>550</v>
      </c>
      <c r="C391" s="50" t="s">
        <v>30</v>
      </c>
      <c r="D391" s="50" t="s">
        <v>58</v>
      </c>
      <c r="E391" s="50" t="s">
        <v>105</v>
      </c>
      <c r="F391" s="55">
        <v>0</v>
      </c>
      <c r="G391" s="45"/>
      <c r="H391" s="45"/>
      <c r="I391" s="45"/>
      <c r="J391" s="69" t="s">
        <v>229</v>
      </c>
      <c r="K391" s="70" t="s">
        <v>229</v>
      </c>
      <c r="L391" s="66">
        <v>0</v>
      </c>
      <c r="M391" s="61" t="s">
        <v>470</v>
      </c>
      <c r="N391" s="45"/>
      <c r="O391" s="45"/>
      <c r="P391" s="50" t="s">
        <v>146</v>
      </c>
    </row>
    <row r="392" spans="1:16">
      <c r="A392" s="46" t="s">
        <v>39</v>
      </c>
      <c r="B392" s="44" t="s">
        <v>551</v>
      </c>
      <c r="C392" s="44" t="s">
        <v>18</v>
      </c>
      <c r="D392" s="44" t="s">
        <v>33</v>
      </c>
      <c r="E392" s="44" t="s">
        <v>105</v>
      </c>
      <c r="F392" s="54">
        <v>0.21</v>
      </c>
      <c r="G392" s="45"/>
      <c r="H392" s="45"/>
      <c r="I392" s="45"/>
      <c r="J392" s="68">
        <v>45945</v>
      </c>
      <c r="K392" s="68">
        <v>46203</v>
      </c>
      <c r="L392" s="65">
        <v>185</v>
      </c>
      <c r="M392" s="60" t="s">
        <v>470</v>
      </c>
      <c r="N392" s="45"/>
      <c r="O392" s="45"/>
      <c r="P392" s="44" t="s">
        <v>146</v>
      </c>
    </row>
    <row r="393" spans="1:16">
      <c r="A393" s="50" t="s">
        <v>39</v>
      </c>
      <c r="B393" s="50" t="s">
        <v>552</v>
      </c>
      <c r="C393" s="50" t="s">
        <v>22</v>
      </c>
      <c r="D393" s="50" t="s">
        <v>33</v>
      </c>
      <c r="E393" s="50" t="s">
        <v>105</v>
      </c>
      <c r="F393" s="55">
        <v>0</v>
      </c>
      <c r="G393" s="50" t="s">
        <v>147</v>
      </c>
      <c r="H393" s="50" t="s">
        <v>158</v>
      </c>
      <c r="I393" s="50" t="s">
        <v>139</v>
      </c>
      <c r="J393" s="69">
        <v>46034</v>
      </c>
      <c r="K393" s="69">
        <v>46203</v>
      </c>
      <c r="L393" s="66">
        <v>122</v>
      </c>
      <c r="M393" s="61" t="s">
        <v>470</v>
      </c>
      <c r="N393" s="50" t="s">
        <v>43</v>
      </c>
      <c r="O393" s="50" t="s">
        <v>26</v>
      </c>
      <c r="P393" s="50" t="s">
        <v>146</v>
      </c>
    </row>
    <row r="394" spans="1:16">
      <c r="A394" s="50" t="s">
        <v>39</v>
      </c>
      <c r="B394" s="50" t="s">
        <v>552</v>
      </c>
      <c r="C394" s="50" t="s">
        <v>28</v>
      </c>
      <c r="D394" s="50" t="s">
        <v>33</v>
      </c>
      <c r="E394" s="50" t="s">
        <v>105</v>
      </c>
      <c r="F394" s="55">
        <v>0</v>
      </c>
      <c r="G394" s="45"/>
      <c r="H394" s="45"/>
      <c r="I394" s="45"/>
      <c r="J394" s="69">
        <v>46127</v>
      </c>
      <c r="K394" s="69">
        <v>46203</v>
      </c>
      <c r="L394" s="66">
        <v>55</v>
      </c>
      <c r="M394" s="61" t="s">
        <v>470</v>
      </c>
      <c r="N394" s="45"/>
      <c r="O394" s="50" t="s">
        <v>27</v>
      </c>
      <c r="P394" s="50" t="s">
        <v>146</v>
      </c>
    </row>
    <row r="395" spans="1:16">
      <c r="A395" s="50" t="s">
        <v>39</v>
      </c>
      <c r="B395" s="50" t="s">
        <v>552</v>
      </c>
      <c r="C395" s="50" t="s">
        <v>29</v>
      </c>
      <c r="D395" s="50" t="s">
        <v>33</v>
      </c>
      <c r="E395" s="50" t="s">
        <v>105</v>
      </c>
      <c r="F395" s="55">
        <v>0</v>
      </c>
      <c r="G395" s="45"/>
      <c r="H395" s="45"/>
      <c r="I395" s="45"/>
      <c r="J395" s="69" t="s">
        <v>229</v>
      </c>
      <c r="K395" s="70" t="s">
        <v>229</v>
      </c>
      <c r="L395" s="66">
        <v>0</v>
      </c>
      <c r="M395" s="61" t="s">
        <v>470</v>
      </c>
      <c r="N395" s="45"/>
      <c r="O395" s="45"/>
      <c r="P395" s="50" t="s">
        <v>146</v>
      </c>
    </row>
    <row r="396" spans="1:16">
      <c r="A396" s="50" t="s">
        <v>39</v>
      </c>
      <c r="B396" s="50" t="s">
        <v>552</v>
      </c>
      <c r="C396" s="50" t="s">
        <v>30</v>
      </c>
      <c r="D396" s="50" t="s">
        <v>33</v>
      </c>
      <c r="E396" s="50" t="s">
        <v>105</v>
      </c>
      <c r="F396" s="55">
        <v>0</v>
      </c>
      <c r="G396" s="45"/>
      <c r="H396" s="45"/>
      <c r="I396" s="45"/>
      <c r="J396" s="69" t="s">
        <v>229</v>
      </c>
      <c r="K396" s="70" t="s">
        <v>229</v>
      </c>
      <c r="L396" s="66">
        <v>0</v>
      </c>
      <c r="M396" s="61" t="s">
        <v>470</v>
      </c>
      <c r="N396" s="45"/>
      <c r="O396" s="45"/>
      <c r="P396" s="50" t="s">
        <v>146</v>
      </c>
    </row>
    <row r="397" spans="1:16">
      <c r="A397" s="46" t="s">
        <v>39</v>
      </c>
      <c r="B397" s="44" t="s">
        <v>387</v>
      </c>
      <c r="C397" s="44" t="s">
        <v>18</v>
      </c>
      <c r="D397" s="44" t="s">
        <v>58</v>
      </c>
      <c r="E397" s="44" t="s">
        <v>105</v>
      </c>
      <c r="F397" s="54">
        <v>0.5</v>
      </c>
      <c r="G397" s="45"/>
      <c r="H397" s="45"/>
      <c r="I397" s="45"/>
      <c r="J397" s="68">
        <v>46036</v>
      </c>
      <c r="K397" s="68">
        <v>46162</v>
      </c>
      <c r="L397" s="65">
        <v>91</v>
      </c>
      <c r="M397" s="60" t="s">
        <v>470</v>
      </c>
      <c r="N397" s="45"/>
      <c r="O397" s="45"/>
      <c r="P397" s="44" t="s">
        <v>146</v>
      </c>
    </row>
    <row r="398" spans="1:16">
      <c r="A398" s="50" t="s">
        <v>39</v>
      </c>
      <c r="B398" s="50" t="s">
        <v>388</v>
      </c>
      <c r="C398" s="50" t="s">
        <v>22</v>
      </c>
      <c r="D398" s="50" t="s">
        <v>58</v>
      </c>
      <c r="E398" s="50" t="s">
        <v>105</v>
      </c>
      <c r="F398" s="55">
        <v>0.5</v>
      </c>
      <c r="G398" s="50" t="s">
        <v>147</v>
      </c>
      <c r="H398" s="50" t="s">
        <v>158</v>
      </c>
      <c r="I398" s="50" t="s">
        <v>139</v>
      </c>
      <c r="J398" s="69">
        <v>46036</v>
      </c>
      <c r="K398" s="69">
        <v>46162</v>
      </c>
      <c r="L398" s="66">
        <v>91</v>
      </c>
      <c r="M398" s="61" t="s">
        <v>470</v>
      </c>
      <c r="N398" s="50" t="s">
        <v>26</v>
      </c>
      <c r="O398" s="50" t="s">
        <v>26</v>
      </c>
      <c r="P398" s="50" t="s">
        <v>146</v>
      </c>
    </row>
    <row r="399" spans="1:16">
      <c r="A399" s="50" t="s">
        <v>39</v>
      </c>
      <c r="B399" s="50" t="s">
        <v>388</v>
      </c>
      <c r="C399" s="50" t="s">
        <v>28</v>
      </c>
      <c r="D399" s="50" t="s">
        <v>58</v>
      </c>
      <c r="E399" s="50" t="s">
        <v>105</v>
      </c>
      <c r="F399" s="55">
        <v>0</v>
      </c>
      <c r="G399" s="45"/>
      <c r="H399" s="45"/>
      <c r="I399" s="45"/>
      <c r="J399" s="69" t="s">
        <v>229</v>
      </c>
      <c r="K399" s="70" t="s">
        <v>229</v>
      </c>
      <c r="L399" s="66">
        <v>0</v>
      </c>
      <c r="M399" s="61" t="s">
        <v>470</v>
      </c>
      <c r="N399" s="45"/>
      <c r="O399" s="45"/>
      <c r="P399" s="50" t="s">
        <v>146</v>
      </c>
    </row>
    <row r="400" spans="1:16">
      <c r="A400" s="50" t="s">
        <v>39</v>
      </c>
      <c r="B400" s="50" t="s">
        <v>388</v>
      </c>
      <c r="C400" s="50" t="s">
        <v>29</v>
      </c>
      <c r="D400" s="50" t="s">
        <v>58</v>
      </c>
      <c r="E400" s="50" t="s">
        <v>105</v>
      </c>
      <c r="F400" s="55">
        <v>0</v>
      </c>
      <c r="G400" s="45"/>
      <c r="H400" s="45"/>
      <c r="I400" s="45"/>
      <c r="J400" s="69" t="s">
        <v>229</v>
      </c>
      <c r="K400" s="70" t="s">
        <v>229</v>
      </c>
      <c r="L400" s="66">
        <v>0</v>
      </c>
      <c r="M400" s="61" t="s">
        <v>470</v>
      </c>
      <c r="N400" s="45"/>
      <c r="O400" s="45"/>
      <c r="P400" s="50" t="s">
        <v>146</v>
      </c>
    </row>
    <row r="401" spans="1:16">
      <c r="A401" s="50" t="s">
        <v>39</v>
      </c>
      <c r="B401" s="50" t="s">
        <v>388</v>
      </c>
      <c r="C401" s="50" t="s">
        <v>30</v>
      </c>
      <c r="D401" s="50" t="s">
        <v>58</v>
      </c>
      <c r="E401" s="50" t="s">
        <v>105</v>
      </c>
      <c r="F401" s="55">
        <v>0</v>
      </c>
      <c r="G401" s="45"/>
      <c r="H401" s="45"/>
      <c r="I401" s="45"/>
      <c r="J401" s="69" t="s">
        <v>229</v>
      </c>
      <c r="K401" s="70" t="s">
        <v>229</v>
      </c>
      <c r="L401" s="66">
        <v>0</v>
      </c>
      <c r="M401" s="61" t="s">
        <v>470</v>
      </c>
      <c r="N401" s="45"/>
      <c r="O401" s="45"/>
      <c r="P401" s="50" t="s">
        <v>146</v>
      </c>
    </row>
    <row r="402" spans="1:16">
      <c r="A402" s="46" t="s">
        <v>39</v>
      </c>
      <c r="B402" s="44" t="s">
        <v>553</v>
      </c>
      <c r="C402" s="44" t="s">
        <v>18</v>
      </c>
      <c r="D402" s="44" t="s">
        <v>58</v>
      </c>
      <c r="E402" s="44" t="s">
        <v>105</v>
      </c>
      <c r="F402" s="54">
        <v>0</v>
      </c>
      <c r="G402" s="45"/>
      <c r="H402" s="45"/>
      <c r="I402" s="45"/>
      <c r="J402" s="68">
        <v>46127</v>
      </c>
      <c r="K402" s="68">
        <v>46203</v>
      </c>
      <c r="L402" s="65">
        <v>55</v>
      </c>
      <c r="M402" s="60" t="s">
        <v>470</v>
      </c>
      <c r="N402" s="45"/>
      <c r="O402" s="45"/>
      <c r="P402" s="44" t="s">
        <v>146</v>
      </c>
    </row>
    <row r="403" spans="1:16">
      <c r="A403" s="50" t="s">
        <v>39</v>
      </c>
      <c r="B403" s="50" t="s">
        <v>554</v>
      </c>
      <c r="C403" s="50" t="s">
        <v>22</v>
      </c>
      <c r="D403" s="50" t="s">
        <v>58</v>
      </c>
      <c r="E403" s="50" t="s">
        <v>105</v>
      </c>
      <c r="F403" s="55">
        <v>0</v>
      </c>
      <c r="G403" s="50" t="s">
        <v>147</v>
      </c>
      <c r="H403" s="50" t="s">
        <v>160</v>
      </c>
      <c r="I403" s="50" t="s">
        <v>139</v>
      </c>
      <c r="J403" s="69" t="s">
        <v>229</v>
      </c>
      <c r="K403" s="70" t="s">
        <v>229</v>
      </c>
      <c r="L403" s="66">
        <v>0</v>
      </c>
      <c r="M403" s="61" t="s">
        <v>470</v>
      </c>
      <c r="N403" s="45"/>
      <c r="O403" s="45"/>
      <c r="P403" s="50" t="s">
        <v>146</v>
      </c>
    </row>
    <row r="404" spans="1:16">
      <c r="A404" s="50" t="s">
        <v>39</v>
      </c>
      <c r="B404" s="50" t="s">
        <v>554</v>
      </c>
      <c r="C404" s="50" t="s">
        <v>28</v>
      </c>
      <c r="D404" s="50" t="s">
        <v>58</v>
      </c>
      <c r="E404" s="50" t="s">
        <v>105</v>
      </c>
      <c r="F404" s="55">
        <v>0</v>
      </c>
      <c r="G404" s="45"/>
      <c r="H404" s="45"/>
      <c r="I404" s="45"/>
      <c r="J404" s="69" t="s">
        <v>229</v>
      </c>
      <c r="K404" s="70" t="s">
        <v>229</v>
      </c>
      <c r="L404" s="66">
        <v>0</v>
      </c>
      <c r="M404" s="61" t="s">
        <v>470</v>
      </c>
      <c r="N404" s="45"/>
      <c r="O404" s="45"/>
      <c r="P404" s="50" t="s">
        <v>146</v>
      </c>
    </row>
    <row r="405" spans="1:16">
      <c r="A405" s="50" t="s">
        <v>39</v>
      </c>
      <c r="B405" s="50" t="s">
        <v>554</v>
      </c>
      <c r="C405" s="50" t="s">
        <v>29</v>
      </c>
      <c r="D405" s="50" t="s">
        <v>58</v>
      </c>
      <c r="E405" s="50" t="s">
        <v>105</v>
      </c>
      <c r="F405" s="55">
        <v>0</v>
      </c>
      <c r="G405" s="45"/>
      <c r="H405" s="45"/>
      <c r="I405" s="45"/>
      <c r="J405" s="69" t="s">
        <v>229</v>
      </c>
      <c r="K405" s="70" t="s">
        <v>229</v>
      </c>
      <c r="L405" s="66">
        <v>0</v>
      </c>
      <c r="M405" s="61" t="s">
        <v>470</v>
      </c>
      <c r="N405" s="45"/>
      <c r="O405" s="45"/>
      <c r="P405" s="50" t="s">
        <v>146</v>
      </c>
    </row>
    <row r="406" spans="1:16">
      <c r="A406" s="50" t="s">
        <v>39</v>
      </c>
      <c r="B406" s="50" t="s">
        <v>554</v>
      </c>
      <c r="C406" s="50" t="s">
        <v>30</v>
      </c>
      <c r="D406" s="50" t="s">
        <v>58</v>
      </c>
      <c r="E406" s="50" t="s">
        <v>105</v>
      </c>
      <c r="F406" s="55">
        <v>0</v>
      </c>
      <c r="G406" s="45"/>
      <c r="H406" s="45"/>
      <c r="I406" s="45"/>
      <c r="J406" s="69" t="s">
        <v>229</v>
      </c>
      <c r="K406" s="70" t="s">
        <v>229</v>
      </c>
      <c r="L406" s="66">
        <v>0</v>
      </c>
      <c r="M406" s="61" t="s">
        <v>470</v>
      </c>
      <c r="N406" s="45"/>
      <c r="O406" s="45"/>
      <c r="P406" s="50" t="s">
        <v>146</v>
      </c>
    </row>
    <row r="407" spans="1:16">
      <c r="A407" s="46" t="s">
        <v>39</v>
      </c>
      <c r="B407" s="44" t="s">
        <v>555</v>
      </c>
      <c r="C407" s="44" t="s">
        <v>18</v>
      </c>
      <c r="D407" s="44" t="s">
        <v>58</v>
      </c>
      <c r="E407" s="44" t="s">
        <v>105</v>
      </c>
      <c r="F407" s="54">
        <v>0</v>
      </c>
      <c r="G407" s="45"/>
      <c r="H407" s="45"/>
      <c r="I407" s="45"/>
      <c r="J407" s="69" t="s">
        <v>229</v>
      </c>
      <c r="K407" s="70" t="s">
        <v>229</v>
      </c>
      <c r="L407" s="65">
        <v>0</v>
      </c>
      <c r="M407" s="60" t="s">
        <v>470</v>
      </c>
      <c r="N407" s="45"/>
      <c r="O407" s="45"/>
      <c r="P407" s="44" t="s">
        <v>146</v>
      </c>
    </row>
    <row r="408" spans="1:16">
      <c r="A408" s="50" t="s">
        <v>39</v>
      </c>
      <c r="B408" s="50" t="s">
        <v>556</v>
      </c>
      <c r="C408" s="50" t="s">
        <v>22</v>
      </c>
      <c r="D408" s="50" t="s">
        <v>58</v>
      </c>
      <c r="E408" s="50" t="s">
        <v>105</v>
      </c>
      <c r="F408" s="55">
        <v>0</v>
      </c>
      <c r="G408" s="50" t="s">
        <v>147</v>
      </c>
      <c r="H408" s="50" t="s">
        <v>539</v>
      </c>
      <c r="I408" s="50" t="s">
        <v>139</v>
      </c>
      <c r="J408" s="69" t="s">
        <v>229</v>
      </c>
      <c r="K408" s="70" t="s">
        <v>229</v>
      </c>
      <c r="L408" s="66">
        <v>0</v>
      </c>
      <c r="M408" s="61" t="s">
        <v>470</v>
      </c>
      <c r="N408" s="45"/>
      <c r="O408" s="45"/>
      <c r="P408" s="50" t="s">
        <v>146</v>
      </c>
    </row>
    <row r="409" spans="1:16">
      <c r="A409" s="50" t="s">
        <v>39</v>
      </c>
      <c r="B409" s="50" t="s">
        <v>556</v>
      </c>
      <c r="C409" s="50" t="s">
        <v>28</v>
      </c>
      <c r="D409" s="50" t="s">
        <v>58</v>
      </c>
      <c r="E409" s="50" t="s">
        <v>105</v>
      </c>
      <c r="F409" s="55">
        <v>0</v>
      </c>
      <c r="G409" s="45"/>
      <c r="H409" s="45"/>
      <c r="I409" s="45"/>
      <c r="J409" s="69" t="s">
        <v>229</v>
      </c>
      <c r="K409" s="70" t="s">
        <v>229</v>
      </c>
      <c r="L409" s="66">
        <v>0</v>
      </c>
      <c r="M409" s="61" t="s">
        <v>470</v>
      </c>
      <c r="N409" s="45"/>
      <c r="O409" s="45"/>
      <c r="P409" s="50" t="s">
        <v>146</v>
      </c>
    </row>
    <row r="410" spans="1:16">
      <c r="A410" s="50" t="s">
        <v>39</v>
      </c>
      <c r="B410" s="50" t="s">
        <v>556</v>
      </c>
      <c r="C410" s="50" t="s">
        <v>29</v>
      </c>
      <c r="D410" s="50" t="s">
        <v>58</v>
      </c>
      <c r="E410" s="50" t="s">
        <v>105</v>
      </c>
      <c r="F410" s="55">
        <v>0</v>
      </c>
      <c r="G410" s="45"/>
      <c r="H410" s="45"/>
      <c r="I410" s="45"/>
      <c r="J410" s="69" t="s">
        <v>229</v>
      </c>
      <c r="K410" s="70" t="s">
        <v>229</v>
      </c>
      <c r="L410" s="66">
        <v>0</v>
      </c>
      <c r="M410" s="61" t="s">
        <v>470</v>
      </c>
      <c r="N410" s="45"/>
      <c r="O410" s="45"/>
      <c r="P410" s="50" t="s">
        <v>146</v>
      </c>
    </row>
    <row r="411" spans="1:16">
      <c r="A411" s="50" t="s">
        <v>39</v>
      </c>
      <c r="B411" s="50" t="s">
        <v>556</v>
      </c>
      <c r="C411" s="50" t="s">
        <v>30</v>
      </c>
      <c r="D411" s="50" t="s">
        <v>58</v>
      </c>
      <c r="E411" s="50" t="s">
        <v>105</v>
      </c>
      <c r="F411" s="55">
        <v>0</v>
      </c>
      <c r="G411" s="45"/>
      <c r="H411" s="45"/>
      <c r="I411" s="45"/>
      <c r="J411" s="69" t="s">
        <v>229</v>
      </c>
      <c r="K411" s="70" t="s">
        <v>229</v>
      </c>
      <c r="L411" s="66">
        <v>0</v>
      </c>
      <c r="M411" s="61" t="s">
        <v>470</v>
      </c>
      <c r="N411" s="45"/>
      <c r="O411" s="45"/>
      <c r="P411" s="50" t="s">
        <v>146</v>
      </c>
    </row>
    <row r="412" spans="1:16">
      <c r="A412" s="46" t="s">
        <v>39</v>
      </c>
      <c r="B412" s="44" t="s">
        <v>393</v>
      </c>
      <c r="C412" s="44" t="s">
        <v>18</v>
      </c>
      <c r="D412" s="44" t="s">
        <v>33</v>
      </c>
      <c r="E412" s="44" t="s">
        <v>105</v>
      </c>
      <c r="F412" s="54">
        <v>0.56999999999999995</v>
      </c>
      <c r="G412" s="45"/>
      <c r="H412" s="45"/>
      <c r="I412" s="45"/>
      <c r="J412" s="68">
        <v>45946</v>
      </c>
      <c r="K412" s="68">
        <v>46188</v>
      </c>
      <c r="L412" s="65">
        <v>173</v>
      </c>
      <c r="M412" s="60" t="s">
        <v>470</v>
      </c>
      <c r="N412" s="45"/>
      <c r="O412" s="45"/>
      <c r="P412" s="44" t="s">
        <v>146</v>
      </c>
    </row>
    <row r="413" spans="1:16">
      <c r="A413" s="50" t="s">
        <v>39</v>
      </c>
      <c r="B413" s="50" t="s">
        <v>394</v>
      </c>
      <c r="C413" s="50" t="s">
        <v>22</v>
      </c>
      <c r="D413" s="50" t="s">
        <v>33</v>
      </c>
      <c r="E413" s="50" t="s">
        <v>105</v>
      </c>
      <c r="F413" s="55">
        <v>0</v>
      </c>
      <c r="G413" s="50" t="s">
        <v>147</v>
      </c>
      <c r="H413" s="50" t="s">
        <v>542</v>
      </c>
      <c r="I413" s="50" t="s">
        <v>139</v>
      </c>
      <c r="J413" s="69">
        <v>46034</v>
      </c>
      <c r="K413" s="69">
        <v>46111</v>
      </c>
      <c r="L413" s="66">
        <v>56</v>
      </c>
      <c r="M413" s="61" t="s">
        <v>470</v>
      </c>
      <c r="N413" s="50" t="s">
        <v>43</v>
      </c>
      <c r="O413" s="50" t="s">
        <v>26</v>
      </c>
      <c r="P413" s="50" t="s">
        <v>146</v>
      </c>
    </row>
    <row r="414" spans="1:16">
      <c r="A414" s="50" t="s">
        <v>39</v>
      </c>
      <c r="B414" s="50" t="s">
        <v>394</v>
      </c>
      <c r="C414" s="50" t="s">
        <v>28</v>
      </c>
      <c r="D414" s="50" t="s">
        <v>33</v>
      </c>
      <c r="E414" s="50" t="s">
        <v>105</v>
      </c>
      <c r="F414" s="55">
        <v>0</v>
      </c>
      <c r="G414" s="45"/>
      <c r="H414" s="45"/>
      <c r="I414" s="45"/>
      <c r="J414" s="69">
        <v>46113</v>
      </c>
      <c r="K414" s="69">
        <v>46188</v>
      </c>
      <c r="L414" s="66">
        <v>54</v>
      </c>
      <c r="M414" s="61" t="s">
        <v>470</v>
      </c>
      <c r="N414" s="45"/>
      <c r="O414" s="50" t="s">
        <v>27</v>
      </c>
      <c r="P414" s="50" t="s">
        <v>146</v>
      </c>
    </row>
    <row r="415" spans="1:16">
      <c r="A415" s="50" t="s">
        <v>39</v>
      </c>
      <c r="B415" s="50" t="s">
        <v>394</v>
      </c>
      <c r="C415" s="50" t="s">
        <v>29</v>
      </c>
      <c r="D415" s="50" t="s">
        <v>33</v>
      </c>
      <c r="E415" s="50" t="s">
        <v>105</v>
      </c>
      <c r="F415" s="55">
        <v>0</v>
      </c>
      <c r="G415" s="45"/>
      <c r="H415" s="45"/>
      <c r="I415" s="45"/>
      <c r="J415" s="69" t="s">
        <v>229</v>
      </c>
      <c r="K415" s="70" t="s">
        <v>229</v>
      </c>
      <c r="L415" s="66">
        <v>0</v>
      </c>
      <c r="M415" s="61" t="s">
        <v>470</v>
      </c>
      <c r="N415" s="45"/>
      <c r="O415" s="45"/>
      <c r="P415" s="50" t="s">
        <v>146</v>
      </c>
    </row>
    <row r="416" spans="1:16">
      <c r="A416" s="50" t="s">
        <v>39</v>
      </c>
      <c r="B416" s="50" t="s">
        <v>394</v>
      </c>
      <c r="C416" s="50" t="s">
        <v>30</v>
      </c>
      <c r="D416" s="50" t="s">
        <v>33</v>
      </c>
      <c r="E416" s="50" t="s">
        <v>105</v>
      </c>
      <c r="F416" s="55">
        <v>0</v>
      </c>
      <c r="G416" s="45"/>
      <c r="H416" s="45"/>
      <c r="I416" s="45"/>
      <c r="J416" s="69" t="s">
        <v>229</v>
      </c>
      <c r="K416" s="70" t="s">
        <v>229</v>
      </c>
      <c r="L416" s="66">
        <v>0</v>
      </c>
      <c r="M416" s="61" t="s">
        <v>470</v>
      </c>
      <c r="N416" s="45"/>
      <c r="O416" s="45"/>
      <c r="P416" s="50" t="s">
        <v>146</v>
      </c>
    </row>
    <row r="417" spans="1:16">
      <c r="A417" s="46" t="s">
        <v>39</v>
      </c>
      <c r="B417" s="44" t="s">
        <v>396</v>
      </c>
      <c r="C417" s="44" t="s">
        <v>18</v>
      </c>
      <c r="D417" s="44" t="s">
        <v>58</v>
      </c>
      <c r="E417" s="44" t="s">
        <v>105</v>
      </c>
      <c r="F417" s="54">
        <v>0.75</v>
      </c>
      <c r="G417" s="45"/>
      <c r="H417" s="45"/>
      <c r="I417" s="45"/>
      <c r="J417" s="68">
        <v>46035</v>
      </c>
      <c r="K417" s="68">
        <v>46100</v>
      </c>
      <c r="L417" s="65">
        <v>48</v>
      </c>
      <c r="M417" s="60" t="s">
        <v>557</v>
      </c>
      <c r="N417" s="45"/>
      <c r="O417" s="45"/>
      <c r="P417" s="44" t="s">
        <v>146</v>
      </c>
    </row>
    <row r="418" spans="1:16">
      <c r="A418" s="50" t="s">
        <v>39</v>
      </c>
      <c r="B418" s="50" t="s">
        <v>397</v>
      </c>
      <c r="C418" s="50" t="s">
        <v>22</v>
      </c>
      <c r="D418" s="50" t="s">
        <v>58</v>
      </c>
      <c r="E418" s="50" t="s">
        <v>105</v>
      </c>
      <c r="F418" s="55">
        <v>0.75</v>
      </c>
      <c r="G418" s="50" t="s">
        <v>147</v>
      </c>
      <c r="H418" s="50" t="s">
        <v>542</v>
      </c>
      <c r="I418" s="50" t="s">
        <v>139</v>
      </c>
      <c r="J418" s="69">
        <v>46035</v>
      </c>
      <c r="K418" s="69">
        <v>46100</v>
      </c>
      <c r="L418" s="66">
        <v>48</v>
      </c>
      <c r="M418" s="61" t="s">
        <v>557</v>
      </c>
      <c r="N418" s="50" t="s">
        <v>26</v>
      </c>
      <c r="O418" s="50" t="s">
        <v>108</v>
      </c>
      <c r="P418" s="50" t="s">
        <v>146</v>
      </c>
    </row>
    <row r="419" spans="1:16">
      <c r="A419" s="50" t="s">
        <v>39</v>
      </c>
      <c r="B419" s="50" t="s">
        <v>397</v>
      </c>
      <c r="C419" s="50" t="s">
        <v>28</v>
      </c>
      <c r="D419" s="50" t="s">
        <v>58</v>
      </c>
      <c r="E419" s="50" t="s">
        <v>105</v>
      </c>
      <c r="F419" s="55">
        <v>0</v>
      </c>
      <c r="G419" s="45"/>
      <c r="H419" s="45"/>
      <c r="I419" s="45"/>
      <c r="J419" s="69" t="s">
        <v>229</v>
      </c>
      <c r="K419" s="70" t="s">
        <v>229</v>
      </c>
      <c r="L419" s="66">
        <v>0</v>
      </c>
      <c r="M419" s="61" t="s">
        <v>470</v>
      </c>
      <c r="N419" s="45"/>
      <c r="O419" s="45"/>
      <c r="P419" s="50" t="s">
        <v>146</v>
      </c>
    </row>
    <row r="420" spans="1:16">
      <c r="A420" s="50" t="s">
        <v>39</v>
      </c>
      <c r="B420" s="50" t="s">
        <v>397</v>
      </c>
      <c r="C420" s="50" t="s">
        <v>29</v>
      </c>
      <c r="D420" s="50" t="s">
        <v>58</v>
      </c>
      <c r="E420" s="50" t="s">
        <v>105</v>
      </c>
      <c r="F420" s="55">
        <v>0</v>
      </c>
      <c r="G420" s="45"/>
      <c r="H420" s="45"/>
      <c r="I420" s="45"/>
      <c r="J420" s="69" t="s">
        <v>229</v>
      </c>
      <c r="K420" s="70" t="s">
        <v>229</v>
      </c>
      <c r="L420" s="66">
        <v>0</v>
      </c>
      <c r="M420" s="61" t="s">
        <v>470</v>
      </c>
      <c r="N420" s="45"/>
      <c r="O420" s="45"/>
      <c r="P420" s="50" t="s">
        <v>146</v>
      </c>
    </row>
    <row r="421" spans="1:16">
      <c r="A421" s="50" t="s">
        <v>39</v>
      </c>
      <c r="B421" s="50" t="s">
        <v>397</v>
      </c>
      <c r="C421" s="50" t="s">
        <v>30</v>
      </c>
      <c r="D421" s="50" t="s">
        <v>58</v>
      </c>
      <c r="E421" s="50" t="s">
        <v>105</v>
      </c>
      <c r="F421" s="55">
        <v>0</v>
      </c>
      <c r="G421" s="45"/>
      <c r="H421" s="45"/>
      <c r="I421" s="45"/>
      <c r="J421" s="69" t="s">
        <v>229</v>
      </c>
      <c r="K421" s="70" t="s">
        <v>229</v>
      </c>
      <c r="L421" s="66">
        <v>0</v>
      </c>
      <c r="M421" s="61" t="s">
        <v>470</v>
      </c>
      <c r="N421" s="45"/>
      <c r="O421" s="45"/>
      <c r="P421" s="50" t="s">
        <v>146</v>
      </c>
    </row>
    <row r="422" spans="1:16">
      <c r="A422" s="46" t="s">
        <v>39</v>
      </c>
      <c r="B422" s="44" t="s">
        <v>398</v>
      </c>
      <c r="C422" s="44" t="s">
        <v>18</v>
      </c>
      <c r="D422" s="44" t="s">
        <v>58</v>
      </c>
      <c r="E422" s="44" t="s">
        <v>105</v>
      </c>
      <c r="F422" s="54">
        <v>0.75</v>
      </c>
      <c r="G422" s="45"/>
      <c r="H422" s="45"/>
      <c r="I422" s="45"/>
      <c r="J422" s="68">
        <v>46035</v>
      </c>
      <c r="K422" s="68">
        <v>46100</v>
      </c>
      <c r="L422" s="65">
        <v>48</v>
      </c>
      <c r="M422" s="60" t="s">
        <v>557</v>
      </c>
      <c r="N422" s="45"/>
      <c r="O422" s="45"/>
      <c r="P422" s="44" t="s">
        <v>146</v>
      </c>
    </row>
    <row r="423" spans="1:16">
      <c r="A423" s="50" t="s">
        <v>39</v>
      </c>
      <c r="B423" s="50" t="s">
        <v>399</v>
      </c>
      <c r="C423" s="50" t="s">
        <v>22</v>
      </c>
      <c r="D423" s="50" t="s">
        <v>58</v>
      </c>
      <c r="E423" s="50" t="s">
        <v>105</v>
      </c>
      <c r="F423" s="55">
        <v>0.75</v>
      </c>
      <c r="G423" s="50" t="s">
        <v>147</v>
      </c>
      <c r="H423" s="50" t="s">
        <v>542</v>
      </c>
      <c r="I423" s="50" t="s">
        <v>139</v>
      </c>
      <c r="J423" s="69">
        <v>46035</v>
      </c>
      <c r="K423" s="69">
        <v>46100</v>
      </c>
      <c r="L423" s="66">
        <v>48</v>
      </c>
      <c r="M423" s="61" t="s">
        <v>557</v>
      </c>
      <c r="N423" s="50" t="s">
        <v>26</v>
      </c>
      <c r="O423" s="50" t="s">
        <v>108</v>
      </c>
      <c r="P423" s="50" t="s">
        <v>146</v>
      </c>
    </row>
    <row r="424" spans="1:16">
      <c r="A424" s="50" t="s">
        <v>39</v>
      </c>
      <c r="B424" s="50" t="s">
        <v>399</v>
      </c>
      <c r="C424" s="50" t="s">
        <v>28</v>
      </c>
      <c r="D424" s="50" t="s">
        <v>58</v>
      </c>
      <c r="E424" s="50" t="s">
        <v>105</v>
      </c>
      <c r="F424" s="55">
        <v>0</v>
      </c>
      <c r="G424" s="45"/>
      <c r="H424" s="45"/>
      <c r="I424" s="45"/>
      <c r="J424" s="69" t="s">
        <v>229</v>
      </c>
      <c r="K424" s="70" t="s">
        <v>229</v>
      </c>
      <c r="L424" s="66">
        <v>0</v>
      </c>
      <c r="M424" s="61" t="s">
        <v>470</v>
      </c>
      <c r="N424" s="45"/>
      <c r="O424" s="45"/>
      <c r="P424" s="50" t="s">
        <v>146</v>
      </c>
    </row>
    <row r="425" spans="1:16">
      <c r="A425" s="50" t="s">
        <v>39</v>
      </c>
      <c r="B425" s="50" t="s">
        <v>399</v>
      </c>
      <c r="C425" s="50" t="s">
        <v>29</v>
      </c>
      <c r="D425" s="50" t="s">
        <v>58</v>
      </c>
      <c r="E425" s="50" t="s">
        <v>105</v>
      </c>
      <c r="F425" s="55">
        <v>0</v>
      </c>
      <c r="G425" s="45"/>
      <c r="H425" s="45"/>
      <c r="I425" s="45"/>
      <c r="J425" s="69" t="s">
        <v>229</v>
      </c>
      <c r="K425" s="70" t="s">
        <v>229</v>
      </c>
      <c r="L425" s="66">
        <v>0</v>
      </c>
      <c r="M425" s="61" t="s">
        <v>470</v>
      </c>
      <c r="N425" s="45"/>
      <c r="O425" s="45"/>
      <c r="P425" s="50" t="s">
        <v>146</v>
      </c>
    </row>
    <row r="426" spans="1:16">
      <c r="A426" s="50" t="s">
        <v>39</v>
      </c>
      <c r="B426" s="50" t="s">
        <v>399</v>
      </c>
      <c r="C426" s="50" t="s">
        <v>30</v>
      </c>
      <c r="D426" s="50" t="s">
        <v>58</v>
      </c>
      <c r="E426" s="50" t="s">
        <v>105</v>
      </c>
      <c r="F426" s="55">
        <v>0</v>
      </c>
      <c r="G426" s="45"/>
      <c r="H426" s="45"/>
      <c r="I426" s="45"/>
      <c r="J426" s="69" t="s">
        <v>229</v>
      </c>
      <c r="K426" s="70" t="s">
        <v>229</v>
      </c>
      <c r="L426" s="66">
        <v>0</v>
      </c>
      <c r="M426" s="61" t="s">
        <v>470</v>
      </c>
      <c r="N426" s="45"/>
      <c r="O426" s="45"/>
      <c r="P426" s="50" t="s">
        <v>146</v>
      </c>
    </row>
    <row r="427" spans="1:16">
      <c r="A427" s="46" t="s">
        <v>39</v>
      </c>
      <c r="B427" s="44" t="s">
        <v>400</v>
      </c>
      <c r="C427" s="44" t="s">
        <v>18</v>
      </c>
      <c r="D427" s="44" t="s">
        <v>58</v>
      </c>
      <c r="E427" s="44" t="s">
        <v>105</v>
      </c>
      <c r="F427" s="54">
        <v>1</v>
      </c>
      <c r="G427" s="45"/>
      <c r="H427" s="45"/>
      <c r="I427" s="45"/>
      <c r="J427" s="68">
        <v>46055</v>
      </c>
      <c r="K427" s="68">
        <v>46100</v>
      </c>
      <c r="L427" s="65">
        <v>34</v>
      </c>
      <c r="M427" s="60" t="s">
        <v>557</v>
      </c>
      <c r="N427" s="45"/>
      <c r="O427" s="45"/>
      <c r="P427" s="44" t="s">
        <v>146</v>
      </c>
    </row>
    <row r="428" spans="1:16">
      <c r="A428" s="50" t="s">
        <v>39</v>
      </c>
      <c r="B428" s="50" t="s">
        <v>401</v>
      </c>
      <c r="C428" s="50" t="s">
        <v>22</v>
      </c>
      <c r="D428" s="50" t="s">
        <v>58</v>
      </c>
      <c r="E428" s="50" t="s">
        <v>105</v>
      </c>
      <c r="F428" s="55">
        <v>1</v>
      </c>
      <c r="G428" s="50" t="s">
        <v>46</v>
      </c>
      <c r="H428" s="50" t="s">
        <v>542</v>
      </c>
      <c r="I428" s="50" t="s">
        <v>139</v>
      </c>
      <c r="J428" s="69">
        <v>46055</v>
      </c>
      <c r="K428" s="69">
        <v>46100</v>
      </c>
      <c r="L428" s="66">
        <v>34</v>
      </c>
      <c r="M428" s="61" t="s">
        <v>557</v>
      </c>
      <c r="N428" s="50" t="s">
        <v>108</v>
      </c>
      <c r="O428" s="50" t="s">
        <v>108</v>
      </c>
      <c r="P428" s="50" t="s">
        <v>146</v>
      </c>
    </row>
    <row r="429" spans="1:16">
      <c r="A429" s="50" t="s">
        <v>39</v>
      </c>
      <c r="B429" s="50" t="s">
        <v>401</v>
      </c>
      <c r="C429" s="50" t="s">
        <v>28</v>
      </c>
      <c r="D429" s="50" t="s">
        <v>58</v>
      </c>
      <c r="E429" s="50" t="s">
        <v>105</v>
      </c>
      <c r="F429" s="55">
        <v>0</v>
      </c>
      <c r="G429" s="45"/>
      <c r="H429" s="45"/>
      <c r="I429" s="45"/>
      <c r="J429" s="69" t="s">
        <v>229</v>
      </c>
      <c r="K429" s="70" t="s">
        <v>229</v>
      </c>
      <c r="L429" s="66">
        <v>0</v>
      </c>
      <c r="M429" s="61" t="s">
        <v>470</v>
      </c>
      <c r="N429" s="45"/>
      <c r="O429" s="45"/>
      <c r="P429" s="50" t="s">
        <v>146</v>
      </c>
    </row>
    <row r="430" spans="1:16">
      <c r="A430" s="50" t="s">
        <v>39</v>
      </c>
      <c r="B430" s="50" t="s">
        <v>401</v>
      </c>
      <c r="C430" s="50" t="s">
        <v>29</v>
      </c>
      <c r="D430" s="50" t="s">
        <v>58</v>
      </c>
      <c r="E430" s="50" t="s">
        <v>105</v>
      </c>
      <c r="F430" s="55">
        <v>0</v>
      </c>
      <c r="G430" s="45"/>
      <c r="H430" s="45"/>
      <c r="I430" s="45"/>
      <c r="J430" s="69" t="s">
        <v>229</v>
      </c>
      <c r="K430" s="70" t="s">
        <v>229</v>
      </c>
      <c r="L430" s="66">
        <v>0</v>
      </c>
      <c r="M430" s="61" t="s">
        <v>470</v>
      </c>
      <c r="N430" s="45"/>
      <c r="O430" s="45"/>
      <c r="P430" s="50" t="s">
        <v>146</v>
      </c>
    </row>
    <row r="431" spans="1:16">
      <c r="A431" s="50" t="s">
        <v>39</v>
      </c>
      <c r="B431" s="50" t="s">
        <v>401</v>
      </c>
      <c r="C431" s="50" t="s">
        <v>30</v>
      </c>
      <c r="D431" s="50" t="s">
        <v>58</v>
      </c>
      <c r="E431" s="50" t="s">
        <v>105</v>
      </c>
      <c r="F431" s="55">
        <v>0</v>
      </c>
      <c r="G431" s="45"/>
      <c r="H431" s="45"/>
      <c r="I431" s="45"/>
      <c r="J431" s="69" t="s">
        <v>229</v>
      </c>
      <c r="K431" s="70" t="s">
        <v>229</v>
      </c>
      <c r="L431" s="66">
        <v>0</v>
      </c>
      <c r="M431" s="61" t="s">
        <v>470</v>
      </c>
      <c r="N431" s="45"/>
      <c r="O431" s="45"/>
      <c r="P431" s="50" t="s">
        <v>146</v>
      </c>
    </row>
    <row r="432" spans="1:16">
      <c r="A432" s="46" t="s">
        <v>39</v>
      </c>
      <c r="B432" s="44" t="s">
        <v>402</v>
      </c>
      <c r="C432" s="44" t="s">
        <v>18</v>
      </c>
      <c r="D432" s="44" t="s">
        <v>58</v>
      </c>
      <c r="E432" s="44" t="s">
        <v>105</v>
      </c>
      <c r="F432" s="54">
        <v>0</v>
      </c>
      <c r="G432" s="45"/>
      <c r="H432" s="45"/>
      <c r="I432" s="45"/>
      <c r="J432" s="69" t="s">
        <v>229</v>
      </c>
      <c r="K432" s="70" t="s">
        <v>229</v>
      </c>
      <c r="L432" s="65">
        <v>0</v>
      </c>
      <c r="M432" s="60" t="s">
        <v>470</v>
      </c>
      <c r="N432" s="45"/>
      <c r="O432" s="45"/>
      <c r="P432" s="44" t="s">
        <v>146</v>
      </c>
    </row>
    <row r="433" spans="1:16">
      <c r="A433" s="50" t="s">
        <v>39</v>
      </c>
      <c r="B433" s="50" t="s">
        <v>403</v>
      </c>
      <c r="C433" s="50" t="s">
        <v>22</v>
      </c>
      <c r="D433" s="50" t="s">
        <v>58</v>
      </c>
      <c r="E433" s="50" t="s">
        <v>105</v>
      </c>
      <c r="F433" s="55">
        <v>0</v>
      </c>
      <c r="G433" s="50" t="s">
        <v>147</v>
      </c>
      <c r="H433" s="50" t="s">
        <v>542</v>
      </c>
      <c r="I433" s="50" t="s">
        <v>139</v>
      </c>
      <c r="J433" s="69" t="s">
        <v>229</v>
      </c>
      <c r="K433" s="70" t="s">
        <v>229</v>
      </c>
      <c r="L433" s="66">
        <v>0</v>
      </c>
      <c r="M433" s="61" t="s">
        <v>470</v>
      </c>
      <c r="N433" s="45"/>
      <c r="O433" s="45"/>
      <c r="P433" s="50" t="s">
        <v>146</v>
      </c>
    </row>
    <row r="434" spans="1:16">
      <c r="A434" s="50" t="s">
        <v>39</v>
      </c>
      <c r="B434" s="50" t="s">
        <v>403</v>
      </c>
      <c r="C434" s="50" t="s">
        <v>28</v>
      </c>
      <c r="D434" s="50" t="s">
        <v>58</v>
      </c>
      <c r="E434" s="50" t="s">
        <v>105</v>
      </c>
      <c r="F434" s="55">
        <v>0</v>
      </c>
      <c r="G434" s="45"/>
      <c r="H434" s="45"/>
      <c r="I434" s="45"/>
      <c r="J434" s="69" t="s">
        <v>229</v>
      </c>
      <c r="K434" s="70" t="s">
        <v>229</v>
      </c>
      <c r="L434" s="66">
        <v>0</v>
      </c>
      <c r="M434" s="61" t="s">
        <v>470</v>
      </c>
      <c r="N434" s="45"/>
      <c r="O434" s="45"/>
      <c r="P434" s="50" t="s">
        <v>146</v>
      </c>
    </row>
    <row r="435" spans="1:16">
      <c r="A435" s="50" t="s">
        <v>39</v>
      </c>
      <c r="B435" s="50" t="s">
        <v>403</v>
      </c>
      <c r="C435" s="50" t="s">
        <v>29</v>
      </c>
      <c r="D435" s="50" t="s">
        <v>58</v>
      </c>
      <c r="E435" s="50" t="s">
        <v>105</v>
      </c>
      <c r="F435" s="55">
        <v>0</v>
      </c>
      <c r="G435" s="45"/>
      <c r="H435" s="45"/>
      <c r="I435" s="45"/>
      <c r="J435" s="69" t="s">
        <v>229</v>
      </c>
      <c r="K435" s="70" t="s">
        <v>229</v>
      </c>
      <c r="L435" s="66">
        <v>0</v>
      </c>
      <c r="M435" s="61" t="s">
        <v>470</v>
      </c>
      <c r="N435" s="45"/>
      <c r="O435" s="45"/>
      <c r="P435" s="50" t="s">
        <v>146</v>
      </c>
    </row>
    <row r="436" spans="1:16">
      <c r="A436" s="50" t="s">
        <v>39</v>
      </c>
      <c r="B436" s="50" t="s">
        <v>403</v>
      </c>
      <c r="C436" s="50" t="s">
        <v>30</v>
      </c>
      <c r="D436" s="50" t="s">
        <v>58</v>
      </c>
      <c r="E436" s="50" t="s">
        <v>105</v>
      </c>
      <c r="F436" s="55">
        <v>0</v>
      </c>
      <c r="G436" s="45"/>
      <c r="H436" s="45"/>
      <c r="I436" s="45"/>
      <c r="J436" s="69" t="s">
        <v>229</v>
      </c>
      <c r="K436" s="70" t="s">
        <v>229</v>
      </c>
      <c r="L436" s="66">
        <v>0</v>
      </c>
      <c r="M436" s="61" t="s">
        <v>470</v>
      </c>
      <c r="N436" s="45"/>
      <c r="O436" s="45"/>
      <c r="P436" s="50" t="s">
        <v>146</v>
      </c>
    </row>
    <row r="437" spans="1:16">
      <c r="A437" s="53" t="s">
        <v>168</v>
      </c>
      <c r="B437" s="47" t="s">
        <v>558</v>
      </c>
      <c r="C437" s="47" t="s">
        <v>18</v>
      </c>
      <c r="D437" s="47" t="s">
        <v>19</v>
      </c>
      <c r="E437" s="47" t="s">
        <v>170</v>
      </c>
      <c r="F437" s="48">
        <v>0.5</v>
      </c>
      <c r="G437" s="49"/>
      <c r="H437" s="49"/>
      <c r="I437" s="49"/>
      <c r="J437" s="68">
        <v>45946</v>
      </c>
      <c r="K437" s="68">
        <v>45946</v>
      </c>
      <c r="L437" s="63">
        <v>1</v>
      </c>
      <c r="M437" s="58" t="s">
        <v>470</v>
      </c>
      <c r="N437" s="49"/>
      <c r="O437" s="49"/>
      <c r="P437" s="47" t="s">
        <v>169</v>
      </c>
    </row>
    <row r="438" spans="1:16">
      <c r="A438" s="50" t="s">
        <v>168</v>
      </c>
      <c r="B438" s="51" t="s">
        <v>559</v>
      </c>
      <c r="C438" s="51" t="s">
        <v>22</v>
      </c>
      <c r="D438" s="51" t="s">
        <v>19</v>
      </c>
      <c r="E438" s="51" t="s">
        <v>170</v>
      </c>
      <c r="F438" s="52">
        <v>0.5</v>
      </c>
      <c r="G438" s="51" t="s">
        <v>48</v>
      </c>
      <c r="H438" s="51" t="s">
        <v>171</v>
      </c>
      <c r="I438" s="51" t="s">
        <v>97</v>
      </c>
      <c r="J438" s="68">
        <v>45946</v>
      </c>
      <c r="K438" s="70" t="s">
        <v>229</v>
      </c>
      <c r="L438" s="64">
        <v>0</v>
      </c>
      <c r="M438" s="59" t="s">
        <v>470</v>
      </c>
      <c r="N438" s="49"/>
      <c r="O438" s="49"/>
      <c r="P438" s="51" t="s">
        <v>169</v>
      </c>
    </row>
    <row r="439" spans="1:16">
      <c r="A439" s="50" t="s">
        <v>168</v>
      </c>
      <c r="B439" s="51" t="s">
        <v>559</v>
      </c>
      <c r="C439" s="51" t="s">
        <v>28</v>
      </c>
      <c r="D439" s="51" t="s">
        <v>19</v>
      </c>
      <c r="E439" s="51" t="s">
        <v>170</v>
      </c>
      <c r="F439" s="52">
        <v>0</v>
      </c>
      <c r="G439" s="49"/>
      <c r="H439" s="49"/>
      <c r="I439" s="49"/>
      <c r="J439" s="69" t="s">
        <v>229</v>
      </c>
      <c r="K439" s="70" t="s">
        <v>229</v>
      </c>
      <c r="L439" s="64">
        <v>0</v>
      </c>
      <c r="M439" s="59" t="s">
        <v>470</v>
      </c>
      <c r="N439" s="49"/>
      <c r="O439" s="49"/>
      <c r="P439" s="51" t="s">
        <v>169</v>
      </c>
    </row>
    <row r="440" spans="1:16">
      <c r="A440" s="50" t="s">
        <v>168</v>
      </c>
      <c r="B440" s="51" t="s">
        <v>559</v>
      </c>
      <c r="C440" s="51" t="s">
        <v>29</v>
      </c>
      <c r="D440" s="51" t="s">
        <v>19</v>
      </c>
      <c r="E440" s="51" t="s">
        <v>170</v>
      </c>
      <c r="F440" s="52">
        <v>0</v>
      </c>
      <c r="G440" s="49"/>
      <c r="H440" s="49"/>
      <c r="I440" s="49"/>
      <c r="J440" s="69" t="s">
        <v>229</v>
      </c>
      <c r="K440" s="70" t="s">
        <v>229</v>
      </c>
      <c r="L440" s="64">
        <v>0</v>
      </c>
      <c r="M440" s="59" t="s">
        <v>470</v>
      </c>
      <c r="N440" s="49"/>
      <c r="O440" s="49"/>
      <c r="P440" s="51" t="s">
        <v>169</v>
      </c>
    </row>
    <row r="441" spans="1:16">
      <c r="A441" s="50" t="s">
        <v>168</v>
      </c>
      <c r="B441" s="51" t="s">
        <v>559</v>
      </c>
      <c r="C441" s="51" t="s">
        <v>30</v>
      </c>
      <c r="D441" s="51" t="s">
        <v>19</v>
      </c>
      <c r="E441" s="51" t="s">
        <v>170</v>
      </c>
      <c r="F441" s="52">
        <v>0</v>
      </c>
      <c r="G441" s="49"/>
      <c r="H441" s="49"/>
      <c r="I441" s="49"/>
      <c r="J441" s="69" t="s">
        <v>229</v>
      </c>
      <c r="K441" s="70" t="s">
        <v>229</v>
      </c>
      <c r="L441" s="64">
        <v>0</v>
      </c>
      <c r="M441" s="59" t="s">
        <v>470</v>
      </c>
      <c r="N441" s="49"/>
      <c r="O441" s="49"/>
      <c r="P441" s="51" t="s">
        <v>169</v>
      </c>
    </row>
    <row r="442" spans="1:16">
      <c r="A442" s="46" t="s">
        <v>168</v>
      </c>
      <c r="B442" s="44" t="s">
        <v>407</v>
      </c>
      <c r="C442" s="44" t="s">
        <v>18</v>
      </c>
      <c r="D442" s="44" t="s">
        <v>33</v>
      </c>
      <c r="E442" s="44" t="s">
        <v>170</v>
      </c>
      <c r="F442" s="54">
        <v>0.5</v>
      </c>
      <c r="G442" s="45"/>
      <c r="H442" s="45"/>
      <c r="I442" s="45"/>
      <c r="J442" s="68">
        <v>45946</v>
      </c>
      <c r="K442" s="70" t="s">
        <v>229</v>
      </c>
      <c r="L442" s="65">
        <v>0</v>
      </c>
      <c r="M442" s="60" t="s">
        <v>470</v>
      </c>
      <c r="N442" s="45"/>
      <c r="O442" s="45"/>
      <c r="P442" s="44" t="s">
        <v>169</v>
      </c>
    </row>
    <row r="443" spans="1:16">
      <c r="A443" s="50" t="s">
        <v>168</v>
      </c>
      <c r="B443" s="50" t="s">
        <v>408</v>
      </c>
      <c r="C443" s="50" t="s">
        <v>22</v>
      </c>
      <c r="D443" s="50" t="s">
        <v>33</v>
      </c>
      <c r="E443" s="50" t="s">
        <v>170</v>
      </c>
      <c r="F443" s="55">
        <v>0.5</v>
      </c>
      <c r="G443" s="50" t="s">
        <v>498</v>
      </c>
      <c r="H443" s="50" t="s">
        <v>173</v>
      </c>
      <c r="I443" s="50" t="s">
        <v>50</v>
      </c>
      <c r="J443" s="69">
        <v>45949</v>
      </c>
      <c r="K443" s="68">
        <v>46142</v>
      </c>
      <c r="L443" s="66">
        <v>139</v>
      </c>
      <c r="M443" s="61" t="s">
        <v>470</v>
      </c>
      <c r="N443" s="50" t="s">
        <v>26</v>
      </c>
      <c r="O443" s="50" t="s">
        <v>26</v>
      </c>
      <c r="P443" s="50" t="s">
        <v>169</v>
      </c>
    </row>
    <row r="444" spans="1:16">
      <c r="A444" s="50" t="s">
        <v>168</v>
      </c>
      <c r="B444" s="50" t="s">
        <v>408</v>
      </c>
      <c r="C444" s="50" t="s">
        <v>28</v>
      </c>
      <c r="D444" s="50" t="s">
        <v>33</v>
      </c>
      <c r="E444" s="50" t="s">
        <v>170</v>
      </c>
      <c r="F444" s="55">
        <v>0</v>
      </c>
      <c r="G444" s="45"/>
      <c r="H444" s="45"/>
      <c r="I444" s="45"/>
      <c r="J444" s="69" t="s">
        <v>229</v>
      </c>
      <c r="K444" s="70" t="s">
        <v>229</v>
      </c>
      <c r="L444" s="66">
        <v>0</v>
      </c>
      <c r="M444" s="61" t="s">
        <v>470</v>
      </c>
      <c r="N444" s="45"/>
      <c r="O444" s="45"/>
      <c r="P444" s="50" t="s">
        <v>169</v>
      </c>
    </row>
    <row r="445" spans="1:16">
      <c r="A445" s="50" t="s">
        <v>168</v>
      </c>
      <c r="B445" s="50" t="s">
        <v>408</v>
      </c>
      <c r="C445" s="50" t="s">
        <v>29</v>
      </c>
      <c r="D445" s="50" t="s">
        <v>33</v>
      </c>
      <c r="E445" s="50" t="s">
        <v>170</v>
      </c>
      <c r="F445" s="55">
        <v>0</v>
      </c>
      <c r="G445" s="45"/>
      <c r="H445" s="45"/>
      <c r="I445" s="45"/>
      <c r="J445" s="69" t="s">
        <v>229</v>
      </c>
      <c r="K445" s="70" t="s">
        <v>229</v>
      </c>
      <c r="L445" s="66">
        <v>0</v>
      </c>
      <c r="M445" s="61" t="s">
        <v>470</v>
      </c>
      <c r="N445" s="45"/>
      <c r="O445" s="45"/>
      <c r="P445" s="50" t="s">
        <v>169</v>
      </c>
    </row>
    <row r="446" spans="1:16">
      <c r="A446" s="50" t="s">
        <v>168</v>
      </c>
      <c r="B446" s="50" t="s">
        <v>408</v>
      </c>
      <c r="C446" s="50" t="s">
        <v>30</v>
      </c>
      <c r="D446" s="50" t="s">
        <v>33</v>
      </c>
      <c r="E446" s="50" t="s">
        <v>170</v>
      </c>
      <c r="F446" s="55">
        <v>0</v>
      </c>
      <c r="G446" s="45"/>
      <c r="H446" s="45"/>
      <c r="I446" s="45"/>
      <c r="J446" s="69" t="s">
        <v>229</v>
      </c>
      <c r="K446" s="70" t="s">
        <v>229</v>
      </c>
      <c r="L446" s="66">
        <v>0</v>
      </c>
      <c r="M446" s="61" t="s">
        <v>470</v>
      </c>
      <c r="N446" s="45"/>
      <c r="O446" s="45"/>
      <c r="P446" s="50" t="s">
        <v>169</v>
      </c>
    </row>
    <row r="447" spans="1:16">
      <c r="A447" s="53" t="s">
        <v>44</v>
      </c>
      <c r="B447" s="47" t="s">
        <v>409</v>
      </c>
      <c r="C447" s="47" t="s">
        <v>18</v>
      </c>
      <c r="D447" s="47" t="s">
        <v>19</v>
      </c>
      <c r="E447" s="47" t="s">
        <v>170</v>
      </c>
      <c r="F447" s="48">
        <v>1</v>
      </c>
      <c r="G447" s="49"/>
      <c r="H447" s="49"/>
      <c r="I447" s="49"/>
      <c r="J447" s="68">
        <v>45852</v>
      </c>
      <c r="K447" s="68">
        <v>46001</v>
      </c>
      <c r="L447" s="63">
        <v>108</v>
      </c>
      <c r="M447" s="58" t="s">
        <v>499</v>
      </c>
      <c r="N447" s="49"/>
      <c r="O447" s="49"/>
      <c r="P447" s="47" t="s">
        <v>174</v>
      </c>
    </row>
    <row r="448" spans="1:16">
      <c r="A448" s="50" t="s">
        <v>44</v>
      </c>
      <c r="B448" s="51" t="s">
        <v>410</v>
      </c>
      <c r="C448" s="51" t="s">
        <v>22</v>
      </c>
      <c r="D448" s="51" t="s">
        <v>19</v>
      </c>
      <c r="E448" s="51" t="s">
        <v>170</v>
      </c>
      <c r="F448" s="52">
        <v>1</v>
      </c>
      <c r="G448" s="51" t="s">
        <v>46</v>
      </c>
      <c r="H448" s="51" t="s">
        <v>47</v>
      </c>
      <c r="I448" s="51" t="s">
        <v>48</v>
      </c>
      <c r="J448" s="69">
        <v>45972</v>
      </c>
      <c r="K448" s="69">
        <v>46001</v>
      </c>
      <c r="L448" s="64">
        <v>22</v>
      </c>
      <c r="M448" s="59" t="s">
        <v>472</v>
      </c>
      <c r="N448" s="51" t="s">
        <v>108</v>
      </c>
      <c r="O448" s="51" t="s">
        <v>108</v>
      </c>
      <c r="P448" s="51" t="s">
        <v>174</v>
      </c>
    </row>
    <row r="449" spans="1:16">
      <c r="A449" s="50" t="s">
        <v>44</v>
      </c>
      <c r="B449" s="51" t="s">
        <v>410</v>
      </c>
      <c r="C449" s="51" t="s">
        <v>28</v>
      </c>
      <c r="D449" s="51" t="s">
        <v>19</v>
      </c>
      <c r="E449" s="51" t="s">
        <v>170</v>
      </c>
      <c r="F449" s="52">
        <v>0</v>
      </c>
      <c r="G449" s="49"/>
      <c r="H449" s="49"/>
      <c r="I449" s="49"/>
      <c r="J449" s="69" t="s">
        <v>229</v>
      </c>
      <c r="K449" s="70" t="s">
        <v>229</v>
      </c>
      <c r="L449" s="64">
        <v>0</v>
      </c>
      <c r="M449" s="59" t="s">
        <v>470</v>
      </c>
      <c r="N449" s="49"/>
      <c r="O449" s="49"/>
      <c r="P449" s="51" t="s">
        <v>174</v>
      </c>
    </row>
    <row r="450" spans="1:16">
      <c r="A450" s="50" t="s">
        <v>44</v>
      </c>
      <c r="B450" s="51" t="s">
        <v>410</v>
      </c>
      <c r="C450" s="51" t="s">
        <v>29</v>
      </c>
      <c r="D450" s="51" t="s">
        <v>19</v>
      </c>
      <c r="E450" s="51" t="s">
        <v>170</v>
      </c>
      <c r="F450" s="52">
        <v>0</v>
      </c>
      <c r="G450" s="49"/>
      <c r="H450" s="49"/>
      <c r="I450" s="49"/>
      <c r="J450" s="69" t="s">
        <v>229</v>
      </c>
      <c r="K450" s="70" t="s">
        <v>229</v>
      </c>
      <c r="L450" s="64">
        <v>0</v>
      </c>
      <c r="M450" s="59" t="s">
        <v>470</v>
      </c>
      <c r="N450" s="49"/>
      <c r="O450" s="49"/>
      <c r="P450" s="51" t="s">
        <v>174</v>
      </c>
    </row>
    <row r="451" spans="1:16">
      <c r="A451" s="50" t="s">
        <v>44</v>
      </c>
      <c r="B451" s="51" t="s">
        <v>410</v>
      </c>
      <c r="C451" s="51" t="s">
        <v>30</v>
      </c>
      <c r="D451" s="51" t="s">
        <v>19</v>
      </c>
      <c r="E451" s="51" t="s">
        <v>170</v>
      </c>
      <c r="F451" s="52">
        <v>0</v>
      </c>
      <c r="G451" s="49"/>
      <c r="H451" s="49"/>
      <c r="I451" s="49"/>
      <c r="J451" s="69" t="s">
        <v>229</v>
      </c>
      <c r="K451" s="70" t="s">
        <v>229</v>
      </c>
      <c r="L451" s="64">
        <v>0</v>
      </c>
      <c r="M451" s="59" t="s">
        <v>470</v>
      </c>
      <c r="N451" s="49"/>
      <c r="O451" s="49"/>
      <c r="P451" s="51" t="s">
        <v>174</v>
      </c>
    </row>
    <row r="452" spans="1:16">
      <c r="A452" s="46" t="s">
        <v>44</v>
      </c>
      <c r="B452" s="44" t="s">
        <v>411</v>
      </c>
      <c r="C452" s="44" t="s">
        <v>18</v>
      </c>
      <c r="D452" s="44" t="s">
        <v>33</v>
      </c>
      <c r="E452" s="44" t="s">
        <v>170</v>
      </c>
      <c r="F452" s="54">
        <v>1</v>
      </c>
      <c r="G452" s="45"/>
      <c r="H452" s="45"/>
      <c r="I452" s="45"/>
      <c r="J452" s="68">
        <v>45852</v>
      </c>
      <c r="K452" s="68">
        <v>45852</v>
      </c>
      <c r="L452" s="65">
        <v>1</v>
      </c>
      <c r="M452" s="60" t="s">
        <v>499</v>
      </c>
      <c r="N452" s="45"/>
      <c r="O452" s="45"/>
      <c r="P452" s="44" t="s">
        <v>174</v>
      </c>
    </row>
    <row r="453" spans="1:16">
      <c r="A453" s="50" t="s">
        <v>44</v>
      </c>
      <c r="B453" s="50" t="s">
        <v>412</v>
      </c>
      <c r="C453" s="50" t="s">
        <v>22</v>
      </c>
      <c r="D453" s="50" t="s">
        <v>33</v>
      </c>
      <c r="E453" s="50" t="s">
        <v>170</v>
      </c>
      <c r="F453" s="55">
        <v>1</v>
      </c>
      <c r="G453" s="50" t="s">
        <v>46</v>
      </c>
      <c r="H453" s="50" t="s">
        <v>47</v>
      </c>
      <c r="I453" s="50" t="s">
        <v>48</v>
      </c>
      <c r="J453" s="69">
        <v>45972</v>
      </c>
      <c r="K453" s="69">
        <v>46001</v>
      </c>
      <c r="L453" s="66">
        <v>22</v>
      </c>
      <c r="M453" s="61" t="s">
        <v>472</v>
      </c>
      <c r="N453" s="50" t="s">
        <v>108</v>
      </c>
      <c r="O453" s="50" t="s">
        <v>108</v>
      </c>
      <c r="P453" s="50" t="s">
        <v>174</v>
      </c>
    </row>
    <row r="454" spans="1:16">
      <c r="A454" s="50" t="s">
        <v>44</v>
      </c>
      <c r="B454" s="50" t="s">
        <v>412</v>
      </c>
      <c r="C454" s="50" t="s">
        <v>28</v>
      </c>
      <c r="D454" s="50" t="s">
        <v>33</v>
      </c>
      <c r="E454" s="50" t="s">
        <v>170</v>
      </c>
      <c r="F454" s="55">
        <v>0</v>
      </c>
      <c r="G454" s="45"/>
      <c r="H454" s="45"/>
      <c r="I454" s="45"/>
      <c r="J454" s="69" t="s">
        <v>229</v>
      </c>
      <c r="K454" s="70" t="s">
        <v>229</v>
      </c>
      <c r="L454" s="66">
        <v>0</v>
      </c>
      <c r="M454" s="61" t="s">
        <v>470</v>
      </c>
      <c r="N454" s="45"/>
      <c r="O454" s="45"/>
      <c r="P454" s="50" t="s">
        <v>174</v>
      </c>
    </row>
    <row r="455" spans="1:16">
      <c r="A455" s="50" t="s">
        <v>44</v>
      </c>
      <c r="B455" s="50" t="s">
        <v>412</v>
      </c>
      <c r="C455" s="50" t="s">
        <v>29</v>
      </c>
      <c r="D455" s="50" t="s">
        <v>33</v>
      </c>
      <c r="E455" s="50" t="s">
        <v>170</v>
      </c>
      <c r="F455" s="55">
        <v>0</v>
      </c>
      <c r="G455" s="45"/>
      <c r="H455" s="45"/>
      <c r="I455" s="45"/>
      <c r="J455" s="69" t="s">
        <v>229</v>
      </c>
      <c r="K455" s="70" t="s">
        <v>229</v>
      </c>
      <c r="L455" s="66">
        <v>0</v>
      </c>
      <c r="M455" s="61" t="s">
        <v>470</v>
      </c>
      <c r="N455" s="45"/>
      <c r="O455" s="45"/>
      <c r="P455" s="50" t="s">
        <v>174</v>
      </c>
    </row>
    <row r="456" spans="1:16">
      <c r="A456" s="50" t="s">
        <v>44</v>
      </c>
      <c r="B456" s="50" t="s">
        <v>412</v>
      </c>
      <c r="C456" s="50" t="s">
        <v>30</v>
      </c>
      <c r="D456" s="50" t="s">
        <v>33</v>
      </c>
      <c r="E456" s="50" t="s">
        <v>170</v>
      </c>
      <c r="F456" s="55">
        <v>0</v>
      </c>
      <c r="G456" s="45"/>
      <c r="H456" s="45"/>
      <c r="I456" s="45"/>
      <c r="J456" s="69" t="s">
        <v>229</v>
      </c>
      <c r="K456" s="70" t="s">
        <v>229</v>
      </c>
      <c r="L456" s="66">
        <v>0</v>
      </c>
      <c r="M456" s="61" t="s">
        <v>470</v>
      </c>
      <c r="N456" s="45"/>
      <c r="O456" s="45"/>
      <c r="P456" s="50" t="s">
        <v>174</v>
      </c>
    </row>
    <row r="457" spans="1:16">
      <c r="A457" s="46" t="s">
        <v>44</v>
      </c>
      <c r="B457" s="44" t="s">
        <v>560</v>
      </c>
      <c r="C457" s="44" t="s">
        <v>18</v>
      </c>
      <c r="D457" s="44" t="s">
        <v>33</v>
      </c>
      <c r="E457" s="44" t="s">
        <v>170</v>
      </c>
      <c r="F457" s="54">
        <v>1</v>
      </c>
      <c r="G457" s="45"/>
      <c r="H457" s="45"/>
      <c r="I457" s="45"/>
      <c r="J457" s="68">
        <v>45852</v>
      </c>
      <c r="K457" s="68">
        <v>45852</v>
      </c>
      <c r="L457" s="65">
        <v>1</v>
      </c>
      <c r="M457" s="60" t="s">
        <v>499</v>
      </c>
      <c r="N457" s="45"/>
      <c r="O457" s="45"/>
      <c r="P457" s="44" t="s">
        <v>174</v>
      </c>
    </row>
    <row r="458" spans="1:16">
      <c r="A458" s="50" t="s">
        <v>44</v>
      </c>
      <c r="B458" s="50" t="s">
        <v>561</v>
      </c>
      <c r="C458" s="50" t="s">
        <v>22</v>
      </c>
      <c r="D458" s="50" t="s">
        <v>33</v>
      </c>
      <c r="E458" s="50" t="s">
        <v>170</v>
      </c>
      <c r="F458" s="55">
        <v>1</v>
      </c>
      <c r="G458" s="50" t="s">
        <v>46</v>
      </c>
      <c r="H458" s="50" t="s">
        <v>47</v>
      </c>
      <c r="I458" s="50" t="s">
        <v>48</v>
      </c>
      <c r="J458" s="69">
        <v>45972</v>
      </c>
      <c r="K458" s="69">
        <v>46001</v>
      </c>
      <c r="L458" s="66">
        <v>22</v>
      </c>
      <c r="M458" s="61" t="s">
        <v>472</v>
      </c>
      <c r="N458" s="50" t="s">
        <v>108</v>
      </c>
      <c r="O458" s="50" t="s">
        <v>108</v>
      </c>
      <c r="P458" s="50" t="s">
        <v>174</v>
      </c>
    </row>
    <row r="459" spans="1:16">
      <c r="A459" s="50" t="s">
        <v>44</v>
      </c>
      <c r="B459" s="50" t="s">
        <v>561</v>
      </c>
      <c r="C459" s="50" t="s">
        <v>28</v>
      </c>
      <c r="D459" s="50" t="s">
        <v>33</v>
      </c>
      <c r="E459" s="50" t="s">
        <v>170</v>
      </c>
      <c r="F459" s="55">
        <v>0</v>
      </c>
      <c r="G459" s="45"/>
      <c r="H459" s="45"/>
      <c r="I459" s="45"/>
      <c r="J459" s="69" t="s">
        <v>229</v>
      </c>
      <c r="K459" s="70" t="s">
        <v>229</v>
      </c>
      <c r="L459" s="66">
        <v>0</v>
      </c>
      <c r="M459" s="61" t="s">
        <v>470</v>
      </c>
      <c r="N459" s="45"/>
      <c r="O459" s="45"/>
      <c r="P459" s="50" t="s">
        <v>174</v>
      </c>
    </row>
    <row r="460" spans="1:16">
      <c r="A460" s="50" t="s">
        <v>44</v>
      </c>
      <c r="B460" s="50" t="s">
        <v>561</v>
      </c>
      <c r="C460" s="50" t="s">
        <v>29</v>
      </c>
      <c r="D460" s="50" t="s">
        <v>33</v>
      </c>
      <c r="E460" s="50" t="s">
        <v>170</v>
      </c>
      <c r="F460" s="55">
        <v>0</v>
      </c>
      <c r="G460" s="45"/>
      <c r="H460" s="45"/>
      <c r="I460" s="45"/>
      <c r="J460" s="69" t="s">
        <v>229</v>
      </c>
      <c r="K460" s="70" t="s">
        <v>229</v>
      </c>
      <c r="L460" s="66">
        <v>0</v>
      </c>
      <c r="M460" s="61" t="s">
        <v>470</v>
      </c>
      <c r="N460" s="45"/>
      <c r="O460" s="45"/>
      <c r="P460" s="50" t="s">
        <v>174</v>
      </c>
    </row>
    <row r="461" spans="1:16">
      <c r="A461" s="50" t="s">
        <v>44</v>
      </c>
      <c r="B461" s="50" t="s">
        <v>561</v>
      </c>
      <c r="C461" s="50" t="s">
        <v>30</v>
      </c>
      <c r="D461" s="50" t="s">
        <v>33</v>
      </c>
      <c r="E461" s="50" t="s">
        <v>170</v>
      </c>
      <c r="F461" s="55">
        <v>0</v>
      </c>
      <c r="G461" s="45"/>
      <c r="H461" s="45"/>
      <c r="I461" s="45"/>
      <c r="J461" s="69" t="s">
        <v>229</v>
      </c>
      <c r="K461" s="70" t="s">
        <v>229</v>
      </c>
      <c r="L461" s="66">
        <v>0</v>
      </c>
      <c r="M461" s="61" t="s">
        <v>470</v>
      </c>
      <c r="N461" s="45"/>
      <c r="O461" s="45"/>
      <c r="P461" s="50" t="s">
        <v>174</v>
      </c>
    </row>
    <row r="462" spans="1:16">
      <c r="A462" s="46" t="s">
        <v>44</v>
      </c>
      <c r="B462" s="44" t="s">
        <v>562</v>
      </c>
      <c r="C462" s="44" t="s">
        <v>18</v>
      </c>
      <c r="D462" s="44" t="s">
        <v>33</v>
      </c>
      <c r="E462" s="44" t="s">
        <v>170</v>
      </c>
      <c r="F462" s="54">
        <v>1</v>
      </c>
      <c r="G462" s="45"/>
      <c r="H462" s="45"/>
      <c r="I462" s="45"/>
      <c r="J462" s="68">
        <v>45852</v>
      </c>
      <c r="K462" s="68">
        <v>45852</v>
      </c>
      <c r="L462" s="65">
        <v>1</v>
      </c>
      <c r="M462" s="60" t="s">
        <v>499</v>
      </c>
      <c r="N462" s="45"/>
      <c r="O462" s="45"/>
      <c r="P462" s="44" t="s">
        <v>174</v>
      </c>
    </row>
    <row r="463" spans="1:16">
      <c r="A463" s="50" t="s">
        <v>44</v>
      </c>
      <c r="B463" s="50" t="s">
        <v>563</v>
      </c>
      <c r="C463" s="50" t="s">
        <v>22</v>
      </c>
      <c r="D463" s="50" t="s">
        <v>33</v>
      </c>
      <c r="E463" s="50" t="s">
        <v>170</v>
      </c>
      <c r="F463" s="55">
        <v>1</v>
      </c>
      <c r="G463" s="50" t="s">
        <v>46</v>
      </c>
      <c r="H463" s="50" t="s">
        <v>47</v>
      </c>
      <c r="I463" s="50" t="s">
        <v>48</v>
      </c>
      <c r="J463" s="69">
        <v>45972</v>
      </c>
      <c r="K463" s="69">
        <v>46001</v>
      </c>
      <c r="L463" s="66">
        <v>22</v>
      </c>
      <c r="M463" s="61" t="s">
        <v>472</v>
      </c>
      <c r="N463" s="50" t="s">
        <v>108</v>
      </c>
      <c r="O463" s="50" t="s">
        <v>108</v>
      </c>
      <c r="P463" s="50" t="s">
        <v>174</v>
      </c>
    </row>
    <row r="464" spans="1:16">
      <c r="A464" s="50" t="s">
        <v>44</v>
      </c>
      <c r="B464" s="50" t="s">
        <v>563</v>
      </c>
      <c r="C464" s="50" t="s">
        <v>28</v>
      </c>
      <c r="D464" s="50" t="s">
        <v>33</v>
      </c>
      <c r="E464" s="50" t="s">
        <v>170</v>
      </c>
      <c r="F464" s="55">
        <v>0</v>
      </c>
      <c r="G464" s="45"/>
      <c r="H464" s="45"/>
      <c r="I464" s="45"/>
      <c r="J464" s="69" t="s">
        <v>229</v>
      </c>
      <c r="K464" s="70" t="s">
        <v>229</v>
      </c>
      <c r="L464" s="66">
        <v>0</v>
      </c>
      <c r="M464" s="61" t="s">
        <v>470</v>
      </c>
      <c r="N464" s="45"/>
      <c r="O464" s="45"/>
      <c r="P464" s="50" t="s">
        <v>174</v>
      </c>
    </row>
    <row r="465" spans="1:16">
      <c r="A465" s="50" t="s">
        <v>44</v>
      </c>
      <c r="B465" s="50" t="s">
        <v>563</v>
      </c>
      <c r="C465" s="50" t="s">
        <v>29</v>
      </c>
      <c r="D465" s="50" t="s">
        <v>33</v>
      </c>
      <c r="E465" s="50" t="s">
        <v>170</v>
      </c>
      <c r="F465" s="55">
        <v>0</v>
      </c>
      <c r="G465" s="45"/>
      <c r="H465" s="45"/>
      <c r="I465" s="45"/>
      <c r="J465" s="69" t="s">
        <v>229</v>
      </c>
      <c r="K465" s="70" t="s">
        <v>229</v>
      </c>
      <c r="L465" s="66">
        <v>0</v>
      </c>
      <c r="M465" s="61" t="s">
        <v>470</v>
      </c>
      <c r="N465" s="45"/>
      <c r="O465" s="45"/>
      <c r="P465" s="50" t="s">
        <v>174</v>
      </c>
    </row>
    <row r="466" spans="1:16">
      <c r="A466" s="50" t="s">
        <v>44</v>
      </c>
      <c r="B466" s="50" t="s">
        <v>563</v>
      </c>
      <c r="C466" s="50" t="s">
        <v>30</v>
      </c>
      <c r="D466" s="50" t="s">
        <v>33</v>
      </c>
      <c r="E466" s="50" t="s">
        <v>170</v>
      </c>
      <c r="F466" s="55">
        <v>0</v>
      </c>
      <c r="G466" s="45"/>
      <c r="H466" s="45"/>
      <c r="I466" s="45"/>
      <c r="J466" s="69" t="s">
        <v>229</v>
      </c>
      <c r="K466" s="70" t="s">
        <v>229</v>
      </c>
      <c r="L466" s="66">
        <v>0</v>
      </c>
      <c r="M466" s="61" t="s">
        <v>470</v>
      </c>
      <c r="N466" s="45"/>
      <c r="O466" s="45"/>
      <c r="P466" s="50" t="s">
        <v>174</v>
      </c>
    </row>
    <row r="467" spans="1:16">
      <c r="A467" s="46" t="s">
        <v>44</v>
      </c>
      <c r="B467" s="44" t="s">
        <v>417</v>
      </c>
      <c r="C467" s="44" t="s">
        <v>18</v>
      </c>
      <c r="D467" s="44" t="s">
        <v>33</v>
      </c>
      <c r="E467" s="44" t="s">
        <v>170</v>
      </c>
      <c r="F467" s="54">
        <v>1</v>
      </c>
      <c r="G467" s="45"/>
      <c r="H467" s="45"/>
      <c r="I467" s="45"/>
      <c r="J467" s="68">
        <v>45852</v>
      </c>
      <c r="K467" s="68">
        <v>45852</v>
      </c>
      <c r="L467" s="65">
        <v>1</v>
      </c>
      <c r="M467" s="60" t="s">
        <v>499</v>
      </c>
      <c r="N467" s="45"/>
      <c r="O467" s="45"/>
      <c r="P467" s="44" t="s">
        <v>174</v>
      </c>
    </row>
    <row r="468" spans="1:16">
      <c r="A468" s="50" t="s">
        <v>44</v>
      </c>
      <c r="B468" s="50" t="s">
        <v>418</v>
      </c>
      <c r="C468" s="50" t="s">
        <v>22</v>
      </c>
      <c r="D468" s="50" t="s">
        <v>33</v>
      </c>
      <c r="E468" s="50" t="s">
        <v>170</v>
      </c>
      <c r="F468" s="55">
        <v>1</v>
      </c>
      <c r="G468" s="50" t="s">
        <v>46</v>
      </c>
      <c r="H468" s="50" t="s">
        <v>47</v>
      </c>
      <c r="I468" s="50" t="s">
        <v>48</v>
      </c>
      <c r="J468" s="69">
        <v>45972</v>
      </c>
      <c r="K468" s="69">
        <v>46001</v>
      </c>
      <c r="L468" s="66">
        <v>22</v>
      </c>
      <c r="M468" s="61" t="s">
        <v>472</v>
      </c>
      <c r="N468" s="50" t="s">
        <v>108</v>
      </c>
      <c r="O468" s="50" t="s">
        <v>108</v>
      </c>
      <c r="P468" s="50" t="s">
        <v>174</v>
      </c>
    </row>
    <row r="469" spans="1:16">
      <c r="A469" s="50" t="s">
        <v>44</v>
      </c>
      <c r="B469" s="50" t="s">
        <v>418</v>
      </c>
      <c r="C469" s="50" t="s">
        <v>28</v>
      </c>
      <c r="D469" s="50" t="s">
        <v>33</v>
      </c>
      <c r="E469" s="50" t="s">
        <v>170</v>
      </c>
      <c r="F469" s="55">
        <v>0</v>
      </c>
      <c r="G469" s="45"/>
      <c r="H469" s="45"/>
      <c r="I469" s="45"/>
      <c r="J469" s="69" t="s">
        <v>229</v>
      </c>
      <c r="K469" s="70" t="s">
        <v>229</v>
      </c>
      <c r="L469" s="66">
        <v>0</v>
      </c>
      <c r="M469" s="61" t="s">
        <v>470</v>
      </c>
      <c r="N469" s="45"/>
      <c r="O469" s="45"/>
      <c r="P469" s="50" t="s">
        <v>174</v>
      </c>
    </row>
    <row r="470" spans="1:16">
      <c r="A470" s="50" t="s">
        <v>44</v>
      </c>
      <c r="B470" s="50" t="s">
        <v>418</v>
      </c>
      <c r="C470" s="50" t="s">
        <v>29</v>
      </c>
      <c r="D470" s="50" t="s">
        <v>33</v>
      </c>
      <c r="E470" s="50" t="s">
        <v>170</v>
      </c>
      <c r="F470" s="55">
        <v>0</v>
      </c>
      <c r="G470" s="45"/>
      <c r="H470" s="45"/>
      <c r="I470" s="45"/>
      <c r="J470" s="69" t="s">
        <v>229</v>
      </c>
      <c r="K470" s="70" t="s">
        <v>229</v>
      </c>
      <c r="L470" s="66">
        <v>0</v>
      </c>
      <c r="M470" s="61" t="s">
        <v>470</v>
      </c>
      <c r="N470" s="45"/>
      <c r="O470" s="45"/>
      <c r="P470" s="50" t="s">
        <v>174</v>
      </c>
    </row>
    <row r="471" spans="1:16">
      <c r="A471" s="50" t="s">
        <v>44</v>
      </c>
      <c r="B471" s="50" t="s">
        <v>418</v>
      </c>
      <c r="C471" s="50" t="s">
        <v>30</v>
      </c>
      <c r="D471" s="50" t="s">
        <v>33</v>
      </c>
      <c r="E471" s="50" t="s">
        <v>170</v>
      </c>
      <c r="F471" s="55">
        <v>0</v>
      </c>
      <c r="G471" s="45"/>
      <c r="H471" s="45"/>
      <c r="I471" s="45"/>
      <c r="J471" s="69" t="s">
        <v>229</v>
      </c>
      <c r="K471" s="70" t="s">
        <v>229</v>
      </c>
      <c r="L471" s="66">
        <v>0</v>
      </c>
      <c r="M471" s="61" t="s">
        <v>470</v>
      </c>
      <c r="N471" s="45"/>
      <c r="O471" s="45"/>
      <c r="P471" s="50" t="s">
        <v>174</v>
      </c>
    </row>
    <row r="472" spans="1:16">
      <c r="A472" s="46" t="s">
        <v>44</v>
      </c>
      <c r="B472" s="44" t="s">
        <v>564</v>
      </c>
      <c r="C472" s="44" t="s">
        <v>18</v>
      </c>
      <c r="D472" s="44" t="s">
        <v>33</v>
      </c>
      <c r="E472" s="44" t="s">
        <v>170</v>
      </c>
      <c r="F472" s="54">
        <v>1</v>
      </c>
      <c r="G472" s="45"/>
      <c r="H472" s="45"/>
      <c r="I472" s="45"/>
      <c r="J472" s="68">
        <v>45852</v>
      </c>
      <c r="K472" s="68">
        <v>45852</v>
      </c>
      <c r="L472" s="65">
        <v>1</v>
      </c>
      <c r="M472" s="60" t="s">
        <v>499</v>
      </c>
      <c r="N472" s="45"/>
      <c r="O472" s="45"/>
      <c r="P472" s="44" t="s">
        <v>174</v>
      </c>
    </row>
    <row r="473" spans="1:16">
      <c r="A473" s="50" t="s">
        <v>44</v>
      </c>
      <c r="B473" s="50" t="s">
        <v>565</v>
      </c>
      <c r="C473" s="50" t="s">
        <v>22</v>
      </c>
      <c r="D473" s="50" t="s">
        <v>33</v>
      </c>
      <c r="E473" s="50" t="s">
        <v>170</v>
      </c>
      <c r="F473" s="55">
        <v>1</v>
      </c>
      <c r="G473" s="50" t="s">
        <v>46</v>
      </c>
      <c r="H473" s="50" t="s">
        <v>47</v>
      </c>
      <c r="I473" s="50" t="s">
        <v>48</v>
      </c>
      <c r="J473" s="69">
        <v>45972</v>
      </c>
      <c r="K473" s="69">
        <v>46001</v>
      </c>
      <c r="L473" s="66">
        <v>22</v>
      </c>
      <c r="M473" s="61" t="s">
        <v>472</v>
      </c>
      <c r="N473" s="50" t="s">
        <v>108</v>
      </c>
      <c r="O473" s="50" t="s">
        <v>108</v>
      </c>
      <c r="P473" s="50" t="s">
        <v>174</v>
      </c>
    </row>
    <row r="474" spans="1:16">
      <c r="A474" s="50" t="s">
        <v>44</v>
      </c>
      <c r="B474" s="50" t="s">
        <v>565</v>
      </c>
      <c r="C474" s="50" t="s">
        <v>28</v>
      </c>
      <c r="D474" s="50" t="s">
        <v>33</v>
      </c>
      <c r="E474" s="50" t="s">
        <v>170</v>
      </c>
      <c r="F474" s="55">
        <v>0</v>
      </c>
      <c r="G474" s="45"/>
      <c r="H474" s="45"/>
      <c r="I474" s="45"/>
      <c r="J474" s="69" t="s">
        <v>229</v>
      </c>
      <c r="K474" s="70" t="s">
        <v>229</v>
      </c>
      <c r="L474" s="66">
        <v>0</v>
      </c>
      <c r="M474" s="61" t="s">
        <v>470</v>
      </c>
      <c r="N474" s="45"/>
      <c r="O474" s="45"/>
      <c r="P474" s="50" t="s">
        <v>174</v>
      </c>
    </row>
    <row r="475" spans="1:16">
      <c r="A475" s="50" t="s">
        <v>44</v>
      </c>
      <c r="B475" s="50" t="s">
        <v>565</v>
      </c>
      <c r="C475" s="50" t="s">
        <v>29</v>
      </c>
      <c r="D475" s="50" t="s">
        <v>33</v>
      </c>
      <c r="E475" s="50" t="s">
        <v>170</v>
      </c>
      <c r="F475" s="55">
        <v>0</v>
      </c>
      <c r="G475" s="45"/>
      <c r="H475" s="45"/>
      <c r="I475" s="45"/>
      <c r="J475" s="69" t="s">
        <v>229</v>
      </c>
      <c r="K475" s="70" t="s">
        <v>229</v>
      </c>
      <c r="L475" s="66">
        <v>0</v>
      </c>
      <c r="M475" s="61" t="s">
        <v>470</v>
      </c>
      <c r="N475" s="45"/>
      <c r="O475" s="45"/>
      <c r="P475" s="50" t="s">
        <v>174</v>
      </c>
    </row>
    <row r="476" spans="1:16">
      <c r="A476" s="50" t="s">
        <v>44</v>
      </c>
      <c r="B476" s="50" t="s">
        <v>565</v>
      </c>
      <c r="C476" s="50" t="s">
        <v>30</v>
      </c>
      <c r="D476" s="50" t="s">
        <v>33</v>
      </c>
      <c r="E476" s="50" t="s">
        <v>170</v>
      </c>
      <c r="F476" s="55">
        <v>0</v>
      </c>
      <c r="G476" s="45"/>
      <c r="H476" s="45"/>
      <c r="I476" s="45"/>
      <c r="J476" s="69" t="s">
        <v>229</v>
      </c>
      <c r="K476" s="70" t="s">
        <v>229</v>
      </c>
      <c r="L476" s="66">
        <v>0</v>
      </c>
      <c r="M476" s="61" t="s">
        <v>470</v>
      </c>
      <c r="N476" s="45"/>
      <c r="O476" s="45"/>
      <c r="P476" s="50" t="s">
        <v>174</v>
      </c>
    </row>
    <row r="477" spans="1:16">
      <c r="A477" s="46" t="s">
        <v>44</v>
      </c>
      <c r="B477" s="44" t="s">
        <v>421</v>
      </c>
      <c r="C477" s="44" t="s">
        <v>18</v>
      </c>
      <c r="D477" s="44" t="s">
        <v>33</v>
      </c>
      <c r="E477" s="44" t="s">
        <v>170</v>
      </c>
      <c r="F477" s="54">
        <v>1</v>
      </c>
      <c r="G477" s="45"/>
      <c r="H477" s="45"/>
      <c r="I477" s="45"/>
      <c r="J477" s="68">
        <v>45852</v>
      </c>
      <c r="K477" s="68">
        <v>45852</v>
      </c>
      <c r="L477" s="65">
        <v>1</v>
      </c>
      <c r="M477" s="60" t="s">
        <v>470</v>
      </c>
      <c r="N477" s="45"/>
      <c r="O477" s="45"/>
      <c r="P477" s="44" t="s">
        <v>174</v>
      </c>
    </row>
    <row r="478" spans="1:16">
      <c r="A478" s="50" t="s">
        <v>44</v>
      </c>
      <c r="B478" s="50" t="s">
        <v>422</v>
      </c>
      <c r="C478" s="50" t="s">
        <v>22</v>
      </c>
      <c r="D478" s="50" t="s">
        <v>33</v>
      </c>
      <c r="E478" s="50" t="s">
        <v>170</v>
      </c>
      <c r="F478" s="55">
        <v>1</v>
      </c>
      <c r="G478" s="50" t="s">
        <v>46</v>
      </c>
      <c r="H478" s="50" t="s">
        <v>47</v>
      </c>
      <c r="I478" s="50" t="s">
        <v>48</v>
      </c>
      <c r="J478" s="69">
        <v>45972</v>
      </c>
      <c r="K478" s="69">
        <v>46001</v>
      </c>
      <c r="L478" s="66">
        <v>22</v>
      </c>
      <c r="M478" s="61" t="s">
        <v>472</v>
      </c>
      <c r="N478" s="50" t="s">
        <v>108</v>
      </c>
      <c r="O478" s="50" t="s">
        <v>108</v>
      </c>
      <c r="P478" s="50" t="s">
        <v>174</v>
      </c>
    </row>
    <row r="479" spans="1:16">
      <c r="A479" s="50" t="s">
        <v>44</v>
      </c>
      <c r="B479" s="50" t="s">
        <v>422</v>
      </c>
      <c r="C479" s="50" t="s">
        <v>28</v>
      </c>
      <c r="D479" s="50" t="s">
        <v>33</v>
      </c>
      <c r="E479" s="50" t="s">
        <v>170</v>
      </c>
      <c r="F479" s="55">
        <v>0</v>
      </c>
      <c r="G479" s="45"/>
      <c r="H479" s="45"/>
      <c r="I479" s="45"/>
      <c r="J479" s="69" t="s">
        <v>229</v>
      </c>
      <c r="K479" s="70" t="s">
        <v>229</v>
      </c>
      <c r="L479" s="66">
        <v>0</v>
      </c>
      <c r="M479" s="61" t="s">
        <v>470</v>
      </c>
      <c r="N479" s="45"/>
      <c r="O479" s="45"/>
      <c r="P479" s="50" t="s">
        <v>174</v>
      </c>
    </row>
    <row r="480" spans="1:16">
      <c r="A480" s="50" t="s">
        <v>44</v>
      </c>
      <c r="B480" s="50" t="s">
        <v>422</v>
      </c>
      <c r="C480" s="50" t="s">
        <v>29</v>
      </c>
      <c r="D480" s="50" t="s">
        <v>33</v>
      </c>
      <c r="E480" s="50" t="s">
        <v>170</v>
      </c>
      <c r="F480" s="55">
        <v>0</v>
      </c>
      <c r="G480" s="45"/>
      <c r="H480" s="45"/>
      <c r="I480" s="45"/>
      <c r="J480" s="69" t="s">
        <v>229</v>
      </c>
      <c r="K480" s="70" t="s">
        <v>229</v>
      </c>
      <c r="L480" s="66">
        <v>0</v>
      </c>
      <c r="M480" s="61" t="s">
        <v>470</v>
      </c>
      <c r="N480" s="45"/>
      <c r="O480" s="45"/>
      <c r="P480" s="50" t="s">
        <v>174</v>
      </c>
    </row>
    <row r="481" spans="1:16">
      <c r="A481" s="50" t="s">
        <v>44</v>
      </c>
      <c r="B481" s="50" t="s">
        <v>422</v>
      </c>
      <c r="C481" s="50" t="s">
        <v>30</v>
      </c>
      <c r="D481" s="50" t="s">
        <v>33</v>
      </c>
      <c r="E481" s="50" t="s">
        <v>170</v>
      </c>
      <c r="F481" s="55">
        <v>0</v>
      </c>
      <c r="G481" s="45"/>
      <c r="H481" s="45"/>
      <c r="I481" s="45"/>
      <c r="J481" s="69" t="s">
        <v>229</v>
      </c>
      <c r="K481" s="70" t="s">
        <v>229</v>
      </c>
      <c r="L481" s="66">
        <v>0</v>
      </c>
      <c r="M481" s="61" t="s">
        <v>470</v>
      </c>
      <c r="N481" s="45"/>
      <c r="O481" s="45"/>
      <c r="P481" s="50" t="s">
        <v>174</v>
      </c>
    </row>
    <row r="482" spans="1:16">
      <c r="A482" s="46" t="s">
        <v>39</v>
      </c>
      <c r="B482" s="47" t="s">
        <v>566</v>
      </c>
      <c r="C482" s="47" t="s">
        <v>18</v>
      </c>
      <c r="D482" s="47" t="s">
        <v>19</v>
      </c>
      <c r="E482" s="47" t="s">
        <v>170</v>
      </c>
      <c r="F482" s="48">
        <v>0</v>
      </c>
      <c r="G482" s="49"/>
      <c r="H482" s="49"/>
      <c r="I482" s="49"/>
      <c r="J482" s="68">
        <v>46132</v>
      </c>
      <c r="K482" s="68">
        <v>46295</v>
      </c>
      <c r="L482" s="63">
        <v>118</v>
      </c>
      <c r="M482" s="58" t="s">
        <v>470</v>
      </c>
      <c r="N482" s="49"/>
      <c r="O482" s="49"/>
      <c r="P482" s="47" t="s">
        <v>182</v>
      </c>
    </row>
    <row r="483" spans="1:16">
      <c r="A483" s="50" t="s">
        <v>39</v>
      </c>
      <c r="B483" s="51" t="s">
        <v>567</v>
      </c>
      <c r="C483" s="51" t="s">
        <v>22</v>
      </c>
      <c r="D483" s="51" t="s">
        <v>19</v>
      </c>
      <c r="E483" s="51" t="s">
        <v>170</v>
      </c>
      <c r="F483" s="52">
        <v>0</v>
      </c>
      <c r="G483" s="51" t="s">
        <v>568</v>
      </c>
      <c r="H483" s="51" t="s">
        <v>569</v>
      </c>
      <c r="I483" s="51" t="s">
        <v>97</v>
      </c>
      <c r="J483" s="69">
        <v>46132</v>
      </c>
      <c r="K483" s="69">
        <v>46203</v>
      </c>
      <c r="L483" s="64">
        <v>52</v>
      </c>
      <c r="M483" s="59" t="s">
        <v>470</v>
      </c>
      <c r="N483" s="49"/>
      <c r="O483" s="51" t="s">
        <v>27</v>
      </c>
      <c r="P483" s="51" t="s">
        <v>182</v>
      </c>
    </row>
    <row r="484" spans="1:16">
      <c r="A484" s="50" t="s">
        <v>39</v>
      </c>
      <c r="B484" s="51" t="s">
        <v>567</v>
      </c>
      <c r="C484" s="51" t="s">
        <v>28</v>
      </c>
      <c r="D484" s="51" t="s">
        <v>19</v>
      </c>
      <c r="E484" s="51" t="s">
        <v>170</v>
      </c>
      <c r="F484" s="52">
        <v>0</v>
      </c>
      <c r="G484" s="49"/>
      <c r="H484" s="49"/>
      <c r="I484" s="49"/>
      <c r="J484" s="69">
        <v>46216</v>
      </c>
      <c r="K484" s="69">
        <v>46295</v>
      </c>
      <c r="L484" s="64">
        <v>58</v>
      </c>
      <c r="M484" s="59" t="s">
        <v>470</v>
      </c>
      <c r="N484" s="49"/>
      <c r="O484" s="51" t="s">
        <v>27</v>
      </c>
      <c r="P484" s="51" t="s">
        <v>182</v>
      </c>
    </row>
    <row r="485" spans="1:16">
      <c r="A485" s="50" t="s">
        <v>39</v>
      </c>
      <c r="B485" s="51" t="s">
        <v>567</v>
      </c>
      <c r="C485" s="51" t="s">
        <v>29</v>
      </c>
      <c r="D485" s="51" t="s">
        <v>19</v>
      </c>
      <c r="E485" s="51" t="s">
        <v>170</v>
      </c>
      <c r="F485" s="52">
        <v>0</v>
      </c>
      <c r="G485" s="49"/>
      <c r="H485" s="49"/>
      <c r="I485" s="49"/>
      <c r="J485" s="69" t="s">
        <v>229</v>
      </c>
      <c r="K485" s="70" t="s">
        <v>229</v>
      </c>
      <c r="L485" s="64">
        <v>0</v>
      </c>
      <c r="M485" s="59" t="s">
        <v>470</v>
      </c>
      <c r="N485" s="49"/>
      <c r="O485" s="49"/>
      <c r="P485" s="51" t="s">
        <v>182</v>
      </c>
    </row>
    <row r="486" spans="1:16">
      <c r="A486" s="50" t="s">
        <v>39</v>
      </c>
      <c r="B486" s="51" t="s">
        <v>567</v>
      </c>
      <c r="C486" s="51" t="s">
        <v>30</v>
      </c>
      <c r="D486" s="51" t="s">
        <v>19</v>
      </c>
      <c r="E486" s="51" t="s">
        <v>170</v>
      </c>
      <c r="F486" s="52">
        <v>0</v>
      </c>
      <c r="G486" s="49"/>
      <c r="H486" s="49"/>
      <c r="I486" s="49"/>
      <c r="J486" s="69" t="s">
        <v>229</v>
      </c>
      <c r="K486" s="70" t="s">
        <v>229</v>
      </c>
      <c r="L486" s="64">
        <v>0</v>
      </c>
      <c r="M486" s="59" t="s">
        <v>470</v>
      </c>
      <c r="N486" s="49"/>
      <c r="O486" s="49"/>
      <c r="P486" s="51" t="s">
        <v>182</v>
      </c>
    </row>
    <row r="487" spans="1:16">
      <c r="A487" s="53" t="s">
        <v>184</v>
      </c>
      <c r="B487" s="47" t="s">
        <v>426</v>
      </c>
      <c r="C487" s="47" t="s">
        <v>18</v>
      </c>
      <c r="D487" s="47" t="s">
        <v>19</v>
      </c>
      <c r="E487" s="47" t="s">
        <v>170</v>
      </c>
      <c r="F487" s="48">
        <v>0.04</v>
      </c>
      <c r="G487" s="49"/>
      <c r="H487" s="49"/>
      <c r="I487" s="49"/>
      <c r="J487" s="68">
        <v>45931</v>
      </c>
      <c r="K487" s="68">
        <v>46568</v>
      </c>
      <c r="L487" s="63">
        <v>456</v>
      </c>
      <c r="M487" s="58" t="s">
        <v>470</v>
      </c>
      <c r="N487" s="49"/>
      <c r="O487" s="49"/>
      <c r="P487" s="47" t="s">
        <v>185</v>
      </c>
    </row>
    <row r="488" spans="1:16">
      <c r="A488" s="50" t="s">
        <v>184</v>
      </c>
      <c r="B488" s="51" t="s">
        <v>427</v>
      </c>
      <c r="C488" s="51" t="s">
        <v>22</v>
      </c>
      <c r="D488" s="51" t="s">
        <v>19</v>
      </c>
      <c r="E488" s="51" t="s">
        <v>170</v>
      </c>
      <c r="F488" s="52">
        <v>1</v>
      </c>
      <c r="G488" s="50" t="s">
        <v>570</v>
      </c>
      <c r="H488" s="51" t="s">
        <v>571</v>
      </c>
      <c r="I488" s="51" t="s">
        <v>48</v>
      </c>
      <c r="J488" s="69">
        <v>45931</v>
      </c>
      <c r="K488" s="69">
        <v>45931</v>
      </c>
      <c r="L488" s="64">
        <v>1</v>
      </c>
      <c r="M488" s="59" t="s">
        <v>470</v>
      </c>
      <c r="N488" s="51" t="s">
        <v>108</v>
      </c>
      <c r="O488" s="51" t="s">
        <v>108</v>
      </c>
      <c r="P488" s="51" t="s">
        <v>185</v>
      </c>
    </row>
    <row r="489" spans="1:16">
      <c r="A489" s="50" t="s">
        <v>184</v>
      </c>
      <c r="B489" s="51" t="s">
        <v>427</v>
      </c>
      <c r="C489" s="51" t="s">
        <v>28</v>
      </c>
      <c r="D489" s="51" t="s">
        <v>19</v>
      </c>
      <c r="E489" s="51" t="s">
        <v>170</v>
      </c>
      <c r="F489" s="52">
        <v>0</v>
      </c>
      <c r="G489" s="49"/>
      <c r="H489" s="49"/>
      <c r="I489" s="49"/>
      <c r="J489" s="69" t="s">
        <v>229</v>
      </c>
      <c r="K489" s="70" t="s">
        <v>229</v>
      </c>
      <c r="L489" s="64">
        <v>0</v>
      </c>
      <c r="M489" s="59" t="s">
        <v>470</v>
      </c>
      <c r="N489" s="49"/>
      <c r="O489" s="49"/>
      <c r="P489" s="51" t="s">
        <v>185</v>
      </c>
    </row>
    <row r="490" spans="1:16">
      <c r="A490" s="50" t="s">
        <v>184</v>
      </c>
      <c r="B490" s="51" t="s">
        <v>427</v>
      </c>
      <c r="C490" s="51" t="s">
        <v>29</v>
      </c>
      <c r="D490" s="51" t="s">
        <v>19</v>
      </c>
      <c r="E490" s="51" t="s">
        <v>170</v>
      </c>
      <c r="F490" s="52">
        <v>0</v>
      </c>
      <c r="G490" s="49"/>
      <c r="H490" s="49"/>
      <c r="I490" s="49"/>
      <c r="J490" s="69" t="s">
        <v>229</v>
      </c>
      <c r="K490" s="70" t="s">
        <v>229</v>
      </c>
      <c r="L490" s="64">
        <v>0</v>
      </c>
      <c r="M490" s="59" t="s">
        <v>470</v>
      </c>
      <c r="N490" s="49"/>
      <c r="O490" s="49"/>
      <c r="P490" s="51" t="s">
        <v>185</v>
      </c>
    </row>
    <row r="491" spans="1:16">
      <c r="A491" s="50" t="s">
        <v>184</v>
      </c>
      <c r="B491" s="51" t="s">
        <v>427</v>
      </c>
      <c r="C491" s="51" t="s">
        <v>30</v>
      </c>
      <c r="D491" s="51" t="s">
        <v>19</v>
      </c>
      <c r="E491" s="51" t="s">
        <v>170</v>
      </c>
      <c r="F491" s="52">
        <v>0</v>
      </c>
      <c r="G491" s="49"/>
      <c r="H491" s="49"/>
      <c r="I491" s="49"/>
      <c r="J491" s="69" t="s">
        <v>229</v>
      </c>
      <c r="K491" s="70" t="s">
        <v>229</v>
      </c>
      <c r="L491" s="64">
        <v>0</v>
      </c>
      <c r="M491" s="59" t="s">
        <v>470</v>
      </c>
      <c r="N491" s="49"/>
      <c r="O491" s="49"/>
      <c r="P491" s="51" t="s">
        <v>185</v>
      </c>
    </row>
    <row r="492" spans="1:16">
      <c r="A492" s="45"/>
      <c r="B492" s="44" t="s">
        <v>572</v>
      </c>
      <c r="C492" s="45"/>
      <c r="D492" s="44" t="s">
        <v>33</v>
      </c>
      <c r="E492" s="45"/>
      <c r="F492" s="54">
        <v>0</v>
      </c>
      <c r="G492" s="45"/>
      <c r="H492" s="45"/>
      <c r="I492" s="45"/>
      <c r="J492" s="68">
        <v>45931</v>
      </c>
      <c r="K492" s="68">
        <v>46387</v>
      </c>
      <c r="L492" s="65">
        <v>327</v>
      </c>
      <c r="M492" s="60" t="s">
        <v>470</v>
      </c>
      <c r="N492" s="45"/>
      <c r="O492" s="45"/>
      <c r="P492" s="45"/>
    </row>
    <row r="493" spans="1:16">
      <c r="A493" s="50" t="s">
        <v>184</v>
      </c>
      <c r="B493" s="51" t="s">
        <v>573</v>
      </c>
      <c r="C493" s="51" t="s">
        <v>22</v>
      </c>
      <c r="D493" s="51" t="s">
        <v>33</v>
      </c>
      <c r="E493" s="51" t="s">
        <v>170</v>
      </c>
      <c r="F493" s="52">
        <v>1</v>
      </c>
      <c r="G493" s="50" t="s">
        <v>570</v>
      </c>
      <c r="H493" s="51" t="s">
        <v>571</v>
      </c>
      <c r="I493" s="51" t="s">
        <v>48</v>
      </c>
      <c r="J493" s="69">
        <v>45931</v>
      </c>
      <c r="K493" s="69">
        <v>45931</v>
      </c>
      <c r="L493" s="64">
        <v>1</v>
      </c>
      <c r="M493" s="59" t="s">
        <v>470</v>
      </c>
      <c r="N493" s="51" t="s">
        <v>108</v>
      </c>
      <c r="O493" s="51" t="s">
        <v>108</v>
      </c>
      <c r="P493" s="51" t="s">
        <v>185</v>
      </c>
    </row>
    <row r="494" spans="1:16">
      <c r="A494" s="50" t="s">
        <v>184</v>
      </c>
      <c r="B494" s="51" t="s">
        <v>573</v>
      </c>
      <c r="C494" s="51" t="s">
        <v>28</v>
      </c>
      <c r="D494" s="51" t="s">
        <v>33</v>
      </c>
      <c r="E494" s="51" t="s">
        <v>170</v>
      </c>
      <c r="F494" s="52">
        <v>0</v>
      </c>
      <c r="G494" s="49"/>
      <c r="H494" s="49"/>
      <c r="I494" s="49"/>
      <c r="J494" s="69" t="s">
        <v>229</v>
      </c>
      <c r="K494" s="70" t="s">
        <v>229</v>
      </c>
      <c r="L494" s="64">
        <v>0</v>
      </c>
      <c r="M494" s="59" t="s">
        <v>470</v>
      </c>
      <c r="N494" s="49"/>
      <c r="O494" s="49"/>
      <c r="P494" s="51" t="s">
        <v>185</v>
      </c>
    </row>
    <row r="495" spans="1:16">
      <c r="A495" s="50" t="s">
        <v>184</v>
      </c>
      <c r="B495" s="51" t="s">
        <v>573</v>
      </c>
      <c r="C495" s="51" t="s">
        <v>29</v>
      </c>
      <c r="D495" s="51" t="s">
        <v>33</v>
      </c>
      <c r="E495" s="51" t="s">
        <v>170</v>
      </c>
      <c r="F495" s="52">
        <v>0</v>
      </c>
      <c r="G495" s="49"/>
      <c r="H495" s="49"/>
      <c r="I495" s="49"/>
      <c r="J495" s="69" t="s">
        <v>229</v>
      </c>
      <c r="K495" s="70" t="s">
        <v>229</v>
      </c>
      <c r="L495" s="64">
        <v>0</v>
      </c>
      <c r="M495" s="59" t="s">
        <v>470</v>
      </c>
      <c r="N495" s="49"/>
      <c r="O495" s="49"/>
      <c r="P495" s="51" t="s">
        <v>185</v>
      </c>
    </row>
    <row r="496" spans="1:16">
      <c r="A496" s="50" t="s">
        <v>184</v>
      </c>
      <c r="B496" s="51" t="s">
        <v>573</v>
      </c>
      <c r="C496" s="51" t="s">
        <v>30</v>
      </c>
      <c r="D496" s="51" t="s">
        <v>33</v>
      </c>
      <c r="E496" s="51" t="s">
        <v>170</v>
      </c>
      <c r="F496" s="52">
        <v>0</v>
      </c>
      <c r="G496" s="49"/>
      <c r="H496" s="49"/>
      <c r="I496" s="49"/>
      <c r="J496" s="69" t="s">
        <v>229</v>
      </c>
      <c r="K496" s="70" t="s">
        <v>229</v>
      </c>
      <c r="L496" s="64">
        <v>0</v>
      </c>
      <c r="M496" s="59" t="s">
        <v>470</v>
      </c>
      <c r="N496" s="49"/>
      <c r="O496" s="49"/>
      <c r="P496" s="51" t="s">
        <v>185</v>
      </c>
    </row>
    <row r="497" spans="1:16">
      <c r="A497" s="46" t="s">
        <v>184</v>
      </c>
      <c r="B497" s="44" t="s">
        <v>429</v>
      </c>
      <c r="C497" s="44" t="s">
        <v>18</v>
      </c>
      <c r="D497" s="44" t="s">
        <v>58</v>
      </c>
      <c r="E497" s="44" t="s">
        <v>170</v>
      </c>
      <c r="F497" s="54">
        <v>0</v>
      </c>
      <c r="G497" s="45"/>
      <c r="H497" s="45"/>
      <c r="I497" s="45"/>
      <c r="J497" s="68">
        <v>45946</v>
      </c>
      <c r="K497" s="68">
        <v>46387</v>
      </c>
      <c r="L497" s="65">
        <v>316</v>
      </c>
      <c r="M497" s="60" t="s">
        <v>470</v>
      </c>
      <c r="N497" s="45"/>
      <c r="O497" s="45"/>
      <c r="P497" s="44" t="s">
        <v>185</v>
      </c>
    </row>
    <row r="498" spans="1:16">
      <c r="A498" s="50" t="s">
        <v>184</v>
      </c>
      <c r="B498" s="50" t="s">
        <v>574</v>
      </c>
      <c r="C498" s="50" t="s">
        <v>22</v>
      </c>
      <c r="D498" s="50" t="s">
        <v>58</v>
      </c>
      <c r="E498" s="50" t="s">
        <v>170</v>
      </c>
      <c r="F498" s="55">
        <v>0</v>
      </c>
      <c r="G498" s="50" t="s">
        <v>570</v>
      </c>
      <c r="H498" s="51" t="s">
        <v>571</v>
      </c>
      <c r="I498" s="50" t="s">
        <v>48</v>
      </c>
      <c r="J498" s="68">
        <v>45946</v>
      </c>
      <c r="K498" s="68">
        <v>46022</v>
      </c>
      <c r="L498" s="66">
        <v>55</v>
      </c>
      <c r="M498" s="61" t="s">
        <v>470</v>
      </c>
      <c r="N498" s="50" t="s">
        <v>43</v>
      </c>
      <c r="O498" s="50" t="s">
        <v>108</v>
      </c>
      <c r="P498" s="50" t="s">
        <v>185</v>
      </c>
    </row>
    <row r="499" spans="1:16">
      <c r="A499" s="50" t="s">
        <v>184</v>
      </c>
      <c r="B499" s="50" t="s">
        <v>574</v>
      </c>
      <c r="C499" s="50" t="s">
        <v>28</v>
      </c>
      <c r="D499" s="50" t="s">
        <v>58</v>
      </c>
      <c r="E499" s="50" t="s">
        <v>170</v>
      </c>
      <c r="F499" s="55">
        <v>0</v>
      </c>
      <c r="G499" s="45"/>
      <c r="H499" s="45"/>
      <c r="I499" s="45"/>
      <c r="J499" s="69">
        <v>46023</v>
      </c>
      <c r="K499" s="69">
        <v>46387</v>
      </c>
      <c r="L499" s="66">
        <v>261</v>
      </c>
      <c r="M499" s="61" t="s">
        <v>470</v>
      </c>
      <c r="N499" s="50" t="s">
        <v>43</v>
      </c>
      <c r="O499" s="50" t="s">
        <v>28</v>
      </c>
      <c r="P499" s="50" t="s">
        <v>185</v>
      </c>
    </row>
    <row r="500" spans="1:16">
      <c r="A500" s="50" t="s">
        <v>184</v>
      </c>
      <c r="B500" s="50" t="s">
        <v>574</v>
      </c>
      <c r="C500" s="50" t="s">
        <v>29</v>
      </c>
      <c r="D500" s="50" t="s">
        <v>58</v>
      </c>
      <c r="E500" s="50" t="s">
        <v>170</v>
      </c>
      <c r="F500" s="55">
        <v>0</v>
      </c>
      <c r="G500" s="45"/>
      <c r="H500" s="45"/>
      <c r="I500" s="45"/>
      <c r="J500" s="69" t="s">
        <v>229</v>
      </c>
      <c r="K500" s="70" t="s">
        <v>229</v>
      </c>
      <c r="L500" s="66">
        <v>0</v>
      </c>
      <c r="M500" s="61" t="s">
        <v>470</v>
      </c>
      <c r="N500" s="45"/>
      <c r="O500" s="45"/>
      <c r="P500" s="50" t="s">
        <v>185</v>
      </c>
    </row>
    <row r="501" spans="1:16">
      <c r="A501" s="50" t="s">
        <v>184</v>
      </c>
      <c r="B501" s="50" t="s">
        <v>574</v>
      </c>
      <c r="C501" s="50" t="s">
        <v>30</v>
      </c>
      <c r="D501" s="50" t="s">
        <v>58</v>
      </c>
      <c r="E501" s="50" t="s">
        <v>170</v>
      </c>
      <c r="F501" s="55">
        <v>0</v>
      </c>
      <c r="G501" s="45"/>
      <c r="H501" s="45"/>
      <c r="I501" s="45"/>
      <c r="J501" s="69" t="s">
        <v>229</v>
      </c>
      <c r="K501" s="70" t="s">
        <v>229</v>
      </c>
      <c r="L501" s="66">
        <v>0</v>
      </c>
      <c r="M501" s="61" t="s">
        <v>470</v>
      </c>
      <c r="N501" s="45"/>
      <c r="O501" s="45"/>
      <c r="P501" s="50" t="s">
        <v>185</v>
      </c>
    </row>
    <row r="502" spans="1:16">
      <c r="A502" s="46" t="s">
        <v>184</v>
      </c>
      <c r="B502" s="44" t="s">
        <v>439</v>
      </c>
      <c r="C502" s="44" t="s">
        <v>18</v>
      </c>
      <c r="D502" s="44" t="s">
        <v>58</v>
      </c>
      <c r="E502" s="44" t="s">
        <v>170</v>
      </c>
      <c r="F502" s="54">
        <v>0</v>
      </c>
      <c r="G502" s="45"/>
      <c r="H502" s="45"/>
      <c r="I502" s="45"/>
      <c r="J502" s="68">
        <v>45946</v>
      </c>
      <c r="K502" s="68">
        <v>46173</v>
      </c>
      <c r="L502" s="65">
        <v>162</v>
      </c>
      <c r="M502" s="60" t="s">
        <v>470</v>
      </c>
      <c r="N502" s="45"/>
      <c r="O502" s="45"/>
      <c r="P502" s="44" t="s">
        <v>185</v>
      </c>
    </row>
    <row r="503" spans="1:16">
      <c r="A503" s="50" t="s">
        <v>184</v>
      </c>
      <c r="B503" s="50" t="s">
        <v>575</v>
      </c>
      <c r="C503" s="50" t="s">
        <v>22</v>
      </c>
      <c r="D503" s="50" t="s">
        <v>58</v>
      </c>
      <c r="E503" s="50" t="s">
        <v>170</v>
      </c>
      <c r="F503" s="55">
        <v>0</v>
      </c>
      <c r="G503" s="50" t="s">
        <v>570</v>
      </c>
      <c r="H503" s="50" t="s">
        <v>571</v>
      </c>
      <c r="I503" s="50" t="s">
        <v>48</v>
      </c>
      <c r="J503" s="68">
        <v>45946</v>
      </c>
      <c r="K503" s="68">
        <v>46173</v>
      </c>
      <c r="L503" s="66">
        <v>162</v>
      </c>
      <c r="M503" s="61" t="s">
        <v>470</v>
      </c>
      <c r="N503" s="50" t="s">
        <v>43</v>
      </c>
      <c r="O503" s="50" t="s">
        <v>26</v>
      </c>
      <c r="P503" s="50" t="s">
        <v>185</v>
      </c>
    </row>
    <row r="504" spans="1:16">
      <c r="A504" s="50" t="s">
        <v>184</v>
      </c>
      <c r="B504" s="50" t="s">
        <v>575</v>
      </c>
      <c r="C504" s="50" t="s">
        <v>28</v>
      </c>
      <c r="D504" s="50" t="s">
        <v>58</v>
      </c>
      <c r="E504" s="50" t="s">
        <v>170</v>
      </c>
      <c r="F504" s="55">
        <v>0</v>
      </c>
      <c r="G504" s="45"/>
      <c r="H504" s="45"/>
      <c r="I504" s="45"/>
      <c r="J504" s="69" t="s">
        <v>229</v>
      </c>
      <c r="K504" s="70" t="s">
        <v>229</v>
      </c>
      <c r="L504" s="66">
        <v>0</v>
      </c>
      <c r="M504" s="61" t="s">
        <v>470</v>
      </c>
      <c r="N504" s="45"/>
      <c r="O504" s="45"/>
      <c r="P504" s="50" t="s">
        <v>185</v>
      </c>
    </row>
    <row r="505" spans="1:16">
      <c r="A505" s="50" t="s">
        <v>184</v>
      </c>
      <c r="B505" s="50" t="s">
        <v>575</v>
      </c>
      <c r="C505" s="50" t="s">
        <v>29</v>
      </c>
      <c r="D505" s="50" t="s">
        <v>58</v>
      </c>
      <c r="E505" s="50" t="s">
        <v>170</v>
      </c>
      <c r="F505" s="55">
        <v>0</v>
      </c>
      <c r="G505" s="45"/>
      <c r="H505" s="45"/>
      <c r="I505" s="45"/>
      <c r="J505" s="69" t="s">
        <v>229</v>
      </c>
      <c r="K505" s="70" t="s">
        <v>229</v>
      </c>
      <c r="L505" s="66">
        <v>0</v>
      </c>
      <c r="M505" s="61" t="s">
        <v>470</v>
      </c>
      <c r="N505" s="45"/>
      <c r="O505" s="45"/>
      <c r="P505" s="50" t="s">
        <v>185</v>
      </c>
    </row>
    <row r="506" spans="1:16">
      <c r="A506" s="50" t="s">
        <v>184</v>
      </c>
      <c r="B506" s="50" t="s">
        <v>575</v>
      </c>
      <c r="C506" s="50" t="s">
        <v>30</v>
      </c>
      <c r="D506" s="50" t="s">
        <v>58</v>
      </c>
      <c r="E506" s="50" t="s">
        <v>170</v>
      </c>
      <c r="F506" s="55">
        <v>0</v>
      </c>
      <c r="G506" s="45"/>
      <c r="H506" s="45"/>
      <c r="I506" s="45"/>
      <c r="J506" s="69" t="s">
        <v>229</v>
      </c>
      <c r="K506" s="70" t="s">
        <v>229</v>
      </c>
      <c r="L506" s="66">
        <v>0</v>
      </c>
      <c r="M506" s="61" t="s">
        <v>470</v>
      </c>
      <c r="N506" s="45"/>
      <c r="O506" s="45"/>
      <c r="P506" s="50" t="s">
        <v>185</v>
      </c>
    </row>
    <row r="507" spans="1:16">
      <c r="A507" s="44" t="s">
        <v>184</v>
      </c>
      <c r="B507" s="44" t="s">
        <v>576</v>
      </c>
      <c r="C507" s="45"/>
      <c r="D507" s="44" t="s">
        <v>58</v>
      </c>
      <c r="E507" s="44" t="s">
        <v>170</v>
      </c>
      <c r="F507" s="54">
        <v>0</v>
      </c>
      <c r="G507" s="45"/>
      <c r="H507" s="45"/>
      <c r="I507" s="45"/>
      <c r="J507" s="68">
        <v>45931</v>
      </c>
      <c r="K507" s="68">
        <v>46203</v>
      </c>
      <c r="L507" s="65">
        <v>195</v>
      </c>
      <c r="M507" s="60" t="s">
        <v>470</v>
      </c>
      <c r="N507" s="45"/>
      <c r="O507" s="45"/>
      <c r="P507" s="45"/>
    </row>
    <row r="508" spans="1:16">
      <c r="A508" s="50" t="s">
        <v>184</v>
      </c>
      <c r="B508" s="50" t="s">
        <v>577</v>
      </c>
      <c r="C508" s="50" t="s">
        <v>22</v>
      </c>
      <c r="D508" s="50" t="s">
        <v>58</v>
      </c>
      <c r="E508" s="50" t="s">
        <v>170</v>
      </c>
      <c r="F508" s="55">
        <v>0</v>
      </c>
      <c r="G508" s="50" t="s">
        <v>570</v>
      </c>
      <c r="H508" s="50" t="s">
        <v>571</v>
      </c>
      <c r="I508" s="50" t="s">
        <v>48</v>
      </c>
      <c r="J508" s="68">
        <v>45931</v>
      </c>
      <c r="K508" s="68">
        <v>46173</v>
      </c>
      <c r="L508" s="66">
        <v>173</v>
      </c>
      <c r="M508" s="61" t="s">
        <v>470</v>
      </c>
      <c r="N508" s="50" t="s">
        <v>43</v>
      </c>
      <c r="O508" s="50" t="s">
        <v>26</v>
      </c>
      <c r="P508" s="50" t="s">
        <v>185</v>
      </c>
    </row>
    <row r="509" spans="1:16">
      <c r="A509" s="50" t="s">
        <v>184</v>
      </c>
      <c r="B509" s="50" t="s">
        <v>577</v>
      </c>
      <c r="C509" s="50" t="s">
        <v>28</v>
      </c>
      <c r="D509" s="50" t="s">
        <v>58</v>
      </c>
      <c r="E509" s="50" t="s">
        <v>170</v>
      </c>
      <c r="F509" s="55">
        <v>0</v>
      </c>
      <c r="G509" s="45"/>
      <c r="H509" s="45"/>
      <c r="I509" s="45"/>
      <c r="J509" s="69">
        <v>46174</v>
      </c>
      <c r="K509" s="69">
        <v>46203</v>
      </c>
      <c r="L509" s="66">
        <v>22</v>
      </c>
      <c r="M509" s="61" t="s">
        <v>470</v>
      </c>
      <c r="N509" s="45"/>
      <c r="O509" s="50" t="s">
        <v>27</v>
      </c>
      <c r="P509" s="50" t="s">
        <v>185</v>
      </c>
    </row>
    <row r="510" spans="1:16">
      <c r="A510" s="50" t="s">
        <v>184</v>
      </c>
      <c r="B510" s="50" t="s">
        <v>577</v>
      </c>
      <c r="C510" s="50" t="s">
        <v>29</v>
      </c>
      <c r="D510" s="50" t="s">
        <v>58</v>
      </c>
      <c r="E510" s="50" t="s">
        <v>170</v>
      </c>
      <c r="F510" s="55">
        <v>0</v>
      </c>
      <c r="G510" s="45"/>
      <c r="H510" s="45"/>
      <c r="I510" s="45"/>
      <c r="J510" s="69">
        <v>46174</v>
      </c>
      <c r="K510" s="69">
        <v>46203</v>
      </c>
      <c r="L510" s="66">
        <v>22</v>
      </c>
      <c r="M510" s="61" t="s">
        <v>470</v>
      </c>
      <c r="N510" s="45"/>
      <c r="O510" s="50" t="s">
        <v>27</v>
      </c>
      <c r="P510" s="50" t="s">
        <v>185</v>
      </c>
    </row>
    <row r="511" spans="1:16">
      <c r="A511" s="50" t="s">
        <v>184</v>
      </c>
      <c r="B511" s="50" t="s">
        <v>577</v>
      </c>
      <c r="C511" s="50" t="s">
        <v>30</v>
      </c>
      <c r="D511" s="50" t="s">
        <v>58</v>
      </c>
      <c r="E511" s="50" t="s">
        <v>170</v>
      </c>
      <c r="F511" s="55">
        <v>0</v>
      </c>
      <c r="G511" s="45"/>
      <c r="H511" s="45"/>
      <c r="I511" s="45"/>
      <c r="J511" s="69">
        <v>46174</v>
      </c>
      <c r="K511" s="69">
        <v>46203</v>
      </c>
      <c r="L511" s="66">
        <v>22</v>
      </c>
      <c r="M511" s="61" t="s">
        <v>470</v>
      </c>
      <c r="N511" s="45"/>
      <c r="O511" s="50" t="s">
        <v>27</v>
      </c>
      <c r="P511" s="50" t="s">
        <v>185</v>
      </c>
    </row>
    <row r="512" spans="1:16">
      <c r="A512" s="46" t="s">
        <v>184</v>
      </c>
      <c r="B512" s="44" t="s">
        <v>578</v>
      </c>
      <c r="C512" s="44" t="s">
        <v>18</v>
      </c>
      <c r="D512" s="44" t="s">
        <v>33</v>
      </c>
      <c r="E512" s="44" t="s">
        <v>170</v>
      </c>
      <c r="F512" s="54">
        <v>0</v>
      </c>
      <c r="G512" s="45"/>
      <c r="H512" s="45"/>
      <c r="I512" s="45"/>
      <c r="J512" s="68">
        <v>45931</v>
      </c>
      <c r="K512" s="68">
        <v>46387</v>
      </c>
      <c r="L512" s="65">
        <v>327</v>
      </c>
      <c r="M512" s="60" t="s">
        <v>470</v>
      </c>
      <c r="N512" s="45"/>
      <c r="O512" s="45"/>
      <c r="P512" s="44" t="s">
        <v>185</v>
      </c>
    </row>
    <row r="513" spans="1:16">
      <c r="A513" s="50" t="s">
        <v>184</v>
      </c>
      <c r="B513" s="50" t="s">
        <v>579</v>
      </c>
      <c r="C513" s="50" t="s">
        <v>22</v>
      </c>
      <c r="D513" s="50" t="s">
        <v>33</v>
      </c>
      <c r="E513" s="50" t="s">
        <v>170</v>
      </c>
      <c r="F513" s="55">
        <v>0</v>
      </c>
      <c r="G513" s="50" t="s">
        <v>570</v>
      </c>
      <c r="H513" s="50" t="s">
        <v>189</v>
      </c>
      <c r="I513" s="50" t="s">
        <v>25</v>
      </c>
      <c r="J513" s="68">
        <v>46029</v>
      </c>
      <c r="K513" s="68">
        <v>46097</v>
      </c>
      <c r="L513" s="66">
        <v>49</v>
      </c>
      <c r="M513" s="61" t="s">
        <v>470</v>
      </c>
      <c r="N513" s="50" t="s">
        <v>43</v>
      </c>
      <c r="O513" s="50" t="s">
        <v>108</v>
      </c>
      <c r="P513" s="50" t="s">
        <v>185</v>
      </c>
    </row>
    <row r="514" spans="1:16">
      <c r="A514" s="50" t="s">
        <v>184</v>
      </c>
      <c r="B514" s="50" t="s">
        <v>579</v>
      </c>
      <c r="C514" s="50" t="s">
        <v>28</v>
      </c>
      <c r="D514" s="50" t="s">
        <v>33</v>
      </c>
      <c r="E514" s="50" t="s">
        <v>170</v>
      </c>
      <c r="F514" s="55">
        <v>0</v>
      </c>
      <c r="G514" s="45"/>
      <c r="H514" s="45"/>
      <c r="I514" s="45"/>
      <c r="J514" s="69">
        <v>46113</v>
      </c>
      <c r="K514" s="69">
        <v>46188</v>
      </c>
      <c r="L514" s="66">
        <v>54</v>
      </c>
      <c r="M514" s="61" t="s">
        <v>470</v>
      </c>
      <c r="N514" s="45"/>
      <c r="O514" s="50" t="s">
        <v>27</v>
      </c>
      <c r="P514" s="50" t="s">
        <v>185</v>
      </c>
    </row>
    <row r="515" spans="1:16">
      <c r="A515" s="50" t="s">
        <v>184</v>
      </c>
      <c r="B515" s="50" t="s">
        <v>579</v>
      </c>
      <c r="C515" s="50" t="s">
        <v>29</v>
      </c>
      <c r="D515" s="50" t="s">
        <v>33</v>
      </c>
      <c r="E515" s="50" t="s">
        <v>170</v>
      </c>
      <c r="F515" s="55">
        <v>0</v>
      </c>
      <c r="G515" s="45"/>
      <c r="H515" s="45"/>
      <c r="I515" s="45"/>
      <c r="J515" s="69">
        <v>46113</v>
      </c>
      <c r="K515" s="69">
        <v>46188</v>
      </c>
      <c r="L515" s="66">
        <v>54</v>
      </c>
      <c r="M515" s="61" t="s">
        <v>470</v>
      </c>
      <c r="N515" s="45"/>
      <c r="O515" s="50" t="s">
        <v>27</v>
      </c>
      <c r="P515" s="50" t="s">
        <v>185</v>
      </c>
    </row>
    <row r="516" spans="1:16">
      <c r="A516" s="50" t="s">
        <v>184</v>
      </c>
      <c r="B516" s="50" t="s">
        <v>579</v>
      </c>
      <c r="C516" s="50" t="s">
        <v>30</v>
      </c>
      <c r="D516" s="50" t="s">
        <v>33</v>
      </c>
      <c r="E516" s="50" t="s">
        <v>170</v>
      </c>
      <c r="F516" s="55">
        <v>0</v>
      </c>
      <c r="G516" s="45"/>
      <c r="H516" s="45"/>
      <c r="I516" s="45"/>
      <c r="J516" s="69" t="s">
        <v>229</v>
      </c>
      <c r="K516" s="70" t="s">
        <v>229</v>
      </c>
      <c r="L516" s="66">
        <v>0</v>
      </c>
      <c r="M516" s="61" t="s">
        <v>470</v>
      </c>
      <c r="N516" s="45"/>
      <c r="O516" s="45"/>
      <c r="P516" s="50" t="s">
        <v>185</v>
      </c>
    </row>
    <row r="517" spans="1:16">
      <c r="A517" s="44" t="s">
        <v>184</v>
      </c>
      <c r="B517" s="44" t="s">
        <v>580</v>
      </c>
      <c r="C517" s="45"/>
      <c r="D517" s="44" t="s">
        <v>58</v>
      </c>
      <c r="E517" s="44" t="s">
        <v>170</v>
      </c>
      <c r="F517" s="54">
        <v>0</v>
      </c>
      <c r="G517" s="45"/>
      <c r="H517" s="45"/>
      <c r="I517" s="45"/>
      <c r="J517" s="68">
        <v>45931</v>
      </c>
      <c r="K517" s="68">
        <v>46387</v>
      </c>
      <c r="L517" s="65">
        <v>327</v>
      </c>
      <c r="M517" s="60" t="s">
        <v>470</v>
      </c>
      <c r="N517" s="45"/>
      <c r="O517" s="45"/>
      <c r="P517" s="45"/>
    </row>
    <row r="518" spans="1:16">
      <c r="A518" s="50" t="s">
        <v>184</v>
      </c>
      <c r="B518" s="50" t="s">
        <v>581</v>
      </c>
      <c r="C518" s="50" t="s">
        <v>22</v>
      </c>
      <c r="D518" s="50" t="s">
        <v>58</v>
      </c>
      <c r="E518" s="50" t="s">
        <v>170</v>
      </c>
      <c r="F518" s="55">
        <v>0</v>
      </c>
      <c r="G518" s="50" t="s">
        <v>570</v>
      </c>
      <c r="H518" s="50" t="s">
        <v>189</v>
      </c>
      <c r="I518" s="50" t="s">
        <v>25</v>
      </c>
      <c r="J518" s="69">
        <v>45931</v>
      </c>
      <c r="K518" s="69">
        <v>46081</v>
      </c>
      <c r="L518" s="66">
        <v>108</v>
      </c>
      <c r="M518" s="61" t="s">
        <v>470</v>
      </c>
      <c r="N518" s="50" t="s">
        <v>43</v>
      </c>
      <c r="O518" s="50" t="s">
        <v>108</v>
      </c>
      <c r="P518" s="50" t="s">
        <v>185</v>
      </c>
    </row>
    <row r="519" spans="1:16">
      <c r="A519" s="50" t="s">
        <v>184</v>
      </c>
      <c r="B519" s="50" t="s">
        <v>581</v>
      </c>
      <c r="C519" s="50" t="s">
        <v>28</v>
      </c>
      <c r="D519" s="50" t="s">
        <v>58</v>
      </c>
      <c r="E519" s="50" t="s">
        <v>170</v>
      </c>
      <c r="F519" s="55">
        <v>0</v>
      </c>
      <c r="G519" s="45"/>
      <c r="H519" s="45"/>
      <c r="I519" s="45"/>
      <c r="J519" s="69">
        <v>46082</v>
      </c>
      <c r="K519" s="69">
        <v>46387</v>
      </c>
      <c r="L519" s="66">
        <v>219</v>
      </c>
      <c r="M519" s="61" t="s">
        <v>470</v>
      </c>
      <c r="N519" s="50" t="s">
        <v>43</v>
      </c>
      <c r="O519" s="50" t="s">
        <v>28</v>
      </c>
      <c r="P519" s="50" t="s">
        <v>185</v>
      </c>
    </row>
    <row r="520" spans="1:16">
      <c r="A520" s="50" t="s">
        <v>184</v>
      </c>
      <c r="B520" s="50" t="s">
        <v>581</v>
      </c>
      <c r="C520" s="50" t="s">
        <v>29</v>
      </c>
      <c r="D520" s="50" t="s">
        <v>58</v>
      </c>
      <c r="E520" s="50" t="s">
        <v>170</v>
      </c>
      <c r="F520" s="55">
        <v>0</v>
      </c>
      <c r="G520" s="45"/>
      <c r="H520" s="45"/>
      <c r="I520" s="45"/>
      <c r="J520" s="69" t="s">
        <v>229</v>
      </c>
      <c r="K520" s="70" t="s">
        <v>229</v>
      </c>
      <c r="L520" s="66">
        <v>0</v>
      </c>
      <c r="M520" s="61" t="s">
        <v>470</v>
      </c>
      <c r="N520" s="45"/>
      <c r="O520" s="45"/>
      <c r="P520" s="50" t="s">
        <v>185</v>
      </c>
    </row>
    <row r="521" spans="1:16">
      <c r="A521" s="50" t="s">
        <v>184</v>
      </c>
      <c r="B521" s="50" t="s">
        <v>581</v>
      </c>
      <c r="C521" s="50" t="s">
        <v>30</v>
      </c>
      <c r="D521" s="50" t="s">
        <v>58</v>
      </c>
      <c r="E521" s="50" t="s">
        <v>170</v>
      </c>
      <c r="F521" s="55">
        <v>0</v>
      </c>
      <c r="G521" s="45"/>
      <c r="H521" s="45"/>
      <c r="I521" s="45"/>
      <c r="J521" s="69" t="s">
        <v>229</v>
      </c>
      <c r="K521" s="70" t="s">
        <v>229</v>
      </c>
      <c r="L521" s="66">
        <v>0</v>
      </c>
      <c r="M521" s="61" t="s">
        <v>470</v>
      </c>
      <c r="N521" s="45"/>
      <c r="O521" s="45"/>
      <c r="P521" s="50" t="s">
        <v>185</v>
      </c>
    </row>
    <row r="522" spans="1:16">
      <c r="A522" s="44" t="s">
        <v>184</v>
      </c>
      <c r="B522" s="44" t="s">
        <v>582</v>
      </c>
      <c r="C522" s="45"/>
      <c r="D522" s="44" t="s">
        <v>58</v>
      </c>
      <c r="E522" s="44" t="s">
        <v>170</v>
      </c>
      <c r="F522" s="54">
        <v>0</v>
      </c>
      <c r="G522" s="45"/>
      <c r="H522" s="45"/>
      <c r="I522" s="45"/>
      <c r="J522" s="68">
        <v>45931</v>
      </c>
      <c r="K522" s="68">
        <v>46387</v>
      </c>
      <c r="L522" s="65">
        <v>327</v>
      </c>
      <c r="M522" s="60" t="s">
        <v>470</v>
      </c>
      <c r="N522" s="45"/>
      <c r="O522" s="45"/>
      <c r="P522" s="45"/>
    </row>
    <row r="523" spans="1:16">
      <c r="A523" s="50" t="s">
        <v>184</v>
      </c>
      <c r="B523" s="50" t="s">
        <v>583</v>
      </c>
      <c r="C523" s="50" t="s">
        <v>22</v>
      </c>
      <c r="D523" s="50" t="s">
        <v>58</v>
      </c>
      <c r="E523" s="50" t="s">
        <v>170</v>
      </c>
      <c r="F523" s="55">
        <v>0</v>
      </c>
      <c r="G523" s="50" t="s">
        <v>570</v>
      </c>
      <c r="H523" s="50" t="s">
        <v>189</v>
      </c>
      <c r="I523" s="50" t="s">
        <v>25</v>
      </c>
      <c r="J523" s="69">
        <v>45931</v>
      </c>
      <c r="K523" s="69">
        <v>46081</v>
      </c>
      <c r="L523" s="66">
        <v>108</v>
      </c>
      <c r="M523" s="61" t="s">
        <v>470</v>
      </c>
      <c r="N523" s="50" t="s">
        <v>43</v>
      </c>
      <c r="O523" s="50" t="s">
        <v>108</v>
      </c>
      <c r="P523" s="50" t="s">
        <v>185</v>
      </c>
    </row>
    <row r="524" spans="1:16">
      <c r="A524" s="50" t="s">
        <v>184</v>
      </c>
      <c r="B524" s="50" t="s">
        <v>583</v>
      </c>
      <c r="C524" s="50" t="s">
        <v>28</v>
      </c>
      <c r="D524" s="50" t="s">
        <v>58</v>
      </c>
      <c r="E524" s="50" t="s">
        <v>170</v>
      </c>
      <c r="F524" s="55">
        <v>0</v>
      </c>
      <c r="G524" s="45"/>
      <c r="H524" s="45"/>
      <c r="I524" s="45"/>
      <c r="J524" s="69">
        <v>46082</v>
      </c>
      <c r="K524" s="69">
        <v>46387</v>
      </c>
      <c r="L524" s="66">
        <v>219</v>
      </c>
      <c r="M524" s="61" t="s">
        <v>470</v>
      </c>
      <c r="N524" s="50" t="s">
        <v>43</v>
      </c>
      <c r="O524" s="50" t="s">
        <v>28</v>
      </c>
      <c r="P524" s="50" t="s">
        <v>185</v>
      </c>
    </row>
    <row r="525" spans="1:16">
      <c r="A525" s="50" t="s">
        <v>184</v>
      </c>
      <c r="B525" s="50" t="s">
        <v>583</v>
      </c>
      <c r="C525" s="50" t="s">
        <v>29</v>
      </c>
      <c r="D525" s="50" t="s">
        <v>58</v>
      </c>
      <c r="E525" s="50" t="s">
        <v>170</v>
      </c>
      <c r="F525" s="55">
        <v>0</v>
      </c>
      <c r="G525" s="45"/>
      <c r="H525" s="45"/>
      <c r="I525" s="45"/>
      <c r="J525" s="69" t="s">
        <v>229</v>
      </c>
      <c r="K525" s="70" t="s">
        <v>229</v>
      </c>
      <c r="L525" s="66">
        <v>0</v>
      </c>
      <c r="M525" s="61" t="s">
        <v>470</v>
      </c>
      <c r="N525" s="45"/>
      <c r="O525" s="45"/>
      <c r="P525" s="50" t="s">
        <v>185</v>
      </c>
    </row>
    <row r="526" spans="1:16">
      <c r="A526" s="50" t="s">
        <v>184</v>
      </c>
      <c r="B526" s="50" t="s">
        <v>583</v>
      </c>
      <c r="C526" s="50" t="s">
        <v>30</v>
      </c>
      <c r="D526" s="50" t="s">
        <v>58</v>
      </c>
      <c r="E526" s="50" t="s">
        <v>170</v>
      </c>
      <c r="F526" s="55">
        <v>0</v>
      </c>
      <c r="G526" s="45"/>
      <c r="H526" s="45"/>
      <c r="I526" s="45"/>
      <c r="J526" s="69" t="s">
        <v>229</v>
      </c>
      <c r="K526" s="70" t="s">
        <v>229</v>
      </c>
      <c r="L526" s="66">
        <v>0</v>
      </c>
      <c r="M526" s="61" t="s">
        <v>470</v>
      </c>
      <c r="N526" s="45"/>
      <c r="O526" s="45"/>
      <c r="P526" s="50" t="s">
        <v>185</v>
      </c>
    </row>
    <row r="527" spans="1:16">
      <c r="A527" s="46" t="s">
        <v>184</v>
      </c>
      <c r="B527" s="44" t="s">
        <v>584</v>
      </c>
      <c r="C527" s="44" t="s">
        <v>18</v>
      </c>
      <c r="D527" s="44" t="s">
        <v>33</v>
      </c>
      <c r="E527" s="44" t="s">
        <v>170</v>
      </c>
      <c r="F527" s="54">
        <v>0</v>
      </c>
      <c r="G527" s="45"/>
      <c r="H527" s="45"/>
      <c r="I527" s="45"/>
      <c r="J527" s="68">
        <v>45946</v>
      </c>
      <c r="K527" s="68">
        <v>45946</v>
      </c>
      <c r="L527" s="65">
        <v>0</v>
      </c>
      <c r="M527" s="60" t="s">
        <v>470</v>
      </c>
      <c r="N527" s="45"/>
      <c r="O527" s="45"/>
      <c r="P527" s="44" t="s">
        <v>185</v>
      </c>
    </row>
    <row r="528" spans="1:16">
      <c r="A528" s="50" t="s">
        <v>184</v>
      </c>
      <c r="B528" s="50" t="s">
        <v>585</v>
      </c>
      <c r="C528" s="50" t="s">
        <v>22</v>
      </c>
      <c r="D528" s="50" t="s">
        <v>33</v>
      </c>
      <c r="E528" s="50" t="s">
        <v>170</v>
      </c>
      <c r="F528" s="55">
        <v>0</v>
      </c>
      <c r="G528" s="50" t="s">
        <v>570</v>
      </c>
      <c r="H528" s="45"/>
      <c r="I528" s="50" t="s">
        <v>25</v>
      </c>
      <c r="J528" s="69" t="s">
        <v>229</v>
      </c>
      <c r="K528" s="70" t="s">
        <v>229</v>
      </c>
      <c r="L528" s="66">
        <v>0</v>
      </c>
      <c r="M528" s="61" t="s">
        <v>470</v>
      </c>
      <c r="N528" s="45"/>
      <c r="O528" s="45"/>
      <c r="P528" s="50" t="s">
        <v>185</v>
      </c>
    </row>
    <row r="529" spans="1:16">
      <c r="A529" s="50" t="s">
        <v>184</v>
      </c>
      <c r="B529" s="50" t="s">
        <v>585</v>
      </c>
      <c r="C529" s="50" t="s">
        <v>28</v>
      </c>
      <c r="D529" s="50" t="s">
        <v>33</v>
      </c>
      <c r="E529" s="50" t="s">
        <v>170</v>
      </c>
      <c r="F529" s="55">
        <v>0</v>
      </c>
      <c r="G529" s="45"/>
      <c r="H529" s="45"/>
      <c r="I529" s="45"/>
      <c r="J529" s="69" t="s">
        <v>229</v>
      </c>
      <c r="K529" s="70" t="s">
        <v>229</v>
      </c>
      <c r="L529" s="66">
        <v>0</v>
      </c>
      <c r="M529" s="61" t="s">
        <v>470</v>
      </c>
      <c r="N529" s="45"/>
      <c r="O529" s="45"/>
      <c r="P529" s="50" t="s">
        <v>185</v>
      </c>
    </row>
    <row r="530" spans="1:16">
      <c r="A530" s="50" t="s">
        <v>184</v>
      </c>
      <c r="B530" s="50" t="s">
        <v>585</v>
      </c>
      <c r="C530" s="50" t="s">
        <v>29</v>
      </c>
      <c r="D530" s="50" t="s">
        <v>33</v>
      </c>
      <c r="E530" s="50" t="s">
        <v>170</v>
      </c>
      <c r="F530" s="55">
        <v>0</v>
      </c>
      <c r="G530" s="45"/>
      <c r="H530" s="45"/>
      <c r="I530" s="45"/>
      <c r="J530" s="69" t="s">
        <v>229</v>
      </c>
      <c r="K530" s="70" t="s">
        <v>229</v>
      </c>
      <c r="L530" s="66">
        <v>0</v>
      </c>
      <c r="M530" s="61" t="s">
        <v>470</v>
      </c>
      <c r="N530" s="45"/>
      <c r="O530" s="45"/>
      <c r="P530" s="50" t="s">
        <v>185</v>
      </c>
    </row>
    <row r="531" spans="1:16">
      <c r="A531" s="50" t="s">
        <v>184</v>
      </c>
      <c r="B531" s="50" t="s">
        <v>585</v>
      </c>
      <c r="C531" s="50" t="s">
        <v>30</v>
      </c>
      <c r="D531" s="50" t="s">
        <v>33</v>
      </c>
      <c r="E531" s="50" t="s">
        <v>170</v>
      </c>
      <c r="F531" s="55">
        <v>0</v>
      </c>
      <c r="G531" s="45"/>
      <c r="H531" s="45"/>
      <c r="I531" s="45"/>
      <c r="J531" s="69" t="s">
        <v>229</v>
      </c>
      <c r="K531" s="70" t="s">
        <v>229</v>
      </c>
      <c r="L531" s="66">
        <v>0</v>
      </c>
      <c r="M531" s="61" t="s">
        <v>470</v>
      </c>
      <c r="N531" s="45"/>
      <c r="O531" s="45"/>
      <c r="P531" s="50" t="s">
        <v>185</v>
      </c>
    </row>
    <row r="532" spans="1:16">
      <c r="A532" s="46" t="s">
        <v>184</v>
      </c>
      <c r="B532" s="44" t="s">
        <v>586</v>
      </c>
      <c r="C532" s="44" t="s">
        <v>18</v>
      </c>
      <c r="D532" s="44" t="s">
        <v>58</v>
      </c>
      <c r="E532" s="44" t="s">
        <v>170</v>
      </c>
      <c r="F532" s="54">
        <v>0</v>
      </c>
      <c r="G532" s="45"/>
      <c r="H532" s="45"/>
      <c r="I532" s="45"/>
      <c r="J532" s="68">
        <v>45946</v>
      </c>
      <c r="K532" s="68">
        <v>45946</v>
      </c>
      <c r="L532" s="65">
        <v>0</v>
      </c>
      <c r="M532" s="60" t="s">
        <v>470</v>
      </c>
      <c r="N532" s="45"/>
      <c r="O532" s="45"/>
      <c r="P532" s="44" t="s">
        <v>185</v>
      </c>
    </row>
    <row r="533" spans="1:16">
      <c r="A533" s="50" t="s">
        <v>184</v>
      </c>
      <c r="B533" s="50" t="s">
        <v>587</v>
      </c>
      <c r="C533" s="50" t="s">
        <v>22</v>
      </c>
      <c r="D533" s="50" t="s">
        <v>58</v>
      </c>
      <c r="E533" s="50" t="s">
        <v>170</v>
      </c>
      <c r="F533" s="55">
        <v>0</v>
      </c>
      <c r="G533" s="50" t="s">
        <v>570</v>
      </c>
      <c r="H533" s="45"/>
      <c r="I533" s="50" t="s">
        <v>25</v>
      </c>
      <c r="J533" s="69" t="s">
        <v>229</v>
      </c>
      <c r="K533" s="70" t="s">
        <v>229</v>
      </c>
      <c r="L533" s="66">
        <v>0</v>
      </c>
      <c r="M533" s="61" t="s">
        <v>470</v>
      </c>
      <c r="N533" s="45"/>
      <c r="O533" s="45"/>
      <c r="P533" s="50" t="s">
        <v>185</v>
      </c>
    </row>
    <row r="534" spans="1:16">
      <c r="A534" s="50" t="s">
        <v>184</v>
      </c>
      <c r="B534" s="50" t="s">
        <v>587</v>
      </c>
      <c r="C534" s="50" t="s">
        <v>28</v>
      </c>
      <c r="D534" s="50" t="s">
        <v>58</v>
      </c>
      <c r="E534" s="50" t="s">
        <v>170</v>
      </c>
      <c r="F534" s="55">
        <v>0</v>
      </c>
      <c r="G534" s="45"/>
      <c r="H534" s="45"/>
      <c r="I534" s="45"/>
      <c r="J534" s="69" t="s">
        <v>229</v>
      </c>
      <c r="K534" s="70" t="s">
        <v>229</v>
      </c>
      <c r="L534" s="66">
        <v>0</v>
      </c>
      <c r="M534" s="61" t="s">
        <v>470</v>
      </c>
      <c r="N534" s="45"/>
      <c r="O534" s="45"/>
      <c r="P534" s="50" t="s">
        <v>185</v>
      </c>
    </row>
    <row r="535" spans="1:16">
      <c r="A535" s="50" t="s">
        <v>184</v>
      </c>
      <c r="B535" s="50" t="s">
        <v>587</v>
      </c>
      <c r="C535" s="50" t="s">
        <v>29</v>
      </c>
      <c r="D535" s="50" t="s">
        <v>58</v>
      </c>
      <c r="E535" s="50" t="s">
        <v>170</v>
      </c>
      <c r="F535" s="55">
        <v>0</v>
      </c>
      <c r="G535" s="45"/>
      <c r="H535" s="45"/>
      <c r="I535" s="45"/>
      <c r="J535" s="69" t="s">
        <v>229</v>
      </c>
      <c r="K535" s="70" t="s">
        <v>229</v>
      </c>
      <c r="L535" s="66">
        <v>0</v>
      </c>
      <c r="M535" s="61" t="s">
        <v>470</v>
      </c>
      <c r="N535" s="45"/>
      <c r="O535" s="45"/>
      <c r="P535" s="50" t="s">
        <v>185</v>
      </c>
    </row>
    <row r="536" spans="1:16">
      <c r="A536" s="50" t="s">
        <v>184</v>
      </c>
      <c r="B536" s="50" t="s">
        <v>587</v>
      </c>
      <c r="C536" s="50" t="s">
        <v>30</v>
      </c>
      <c r="D536" s="50" t="s">
        <v>58</v>
      </c>
      <c r="E536" s="50" t="s">
        <v>170</v>
      </c>
      <c r="F536" s="55">
        <v>0</v>
      </c>
      <c r="G536" s="45"/>
      <c r="H536" s="45"/>
      <c r="I536" s="45"/>
      <c r="J536" s="69" t="s">
        <v>229</v>
      </c>
      <c r="K536" s="70" t="s">
        <v>229</v>
      </c>
      <c r="L536" s="66">
        <v>0</v>
      </c>
      <c r="M536" s="61" t="s">
        <v>470</v>
      </c>
      <c r="N536" s="45"/>
      <c r="O536" s="45"/>
      <c r="P536" s="50" t="s">
        <v>185</v>
      </c>
    </row>
    <row r="537" spans="1:16">
      <c r="A537" s="46" t="s">
        <v>184</v>
      </c>
      <c r="B537" s="44" t="s">
        <v>588</v>
      </c>
      <c r="C537" s="44" t="s">
        <v>18</v>
      </c>
      <c r="D537" s="44" t="s">
        <v>58</v>
      </c>
      <c r="E537" s="44" t="s">
        <v>170</v>
      </c>
      <c r="F537" s="54">
        <v>0</v>
      </c>
      <c r="G537" s="45"/>
      <c r="H537" s="45"/>
      <c r="I537" s="45"/>
      <c r="J537" s="68">
        <v>45946</v>
      </c>
      <c r="K537" s="68">
        <v>45946</v>
      </c>
      <c r="L537" s="65">
        <v>0</v>
      </c>
      <c r="M537" s="60" t="s">
        <v>470</v>
      </c>
      <c r="N537" s="45"/>
      <c r="O537" s="45"/>
      <c r="P537" s="44" t="s">
        <v>185</v>
      </c>
    </row>
    <row r="538" spans="1:16">
      <c r="A538" s="50" t="s">
        <v>184</v>
      </c>
      <c r="B538" s="50" t="s">
        <v>589</v>
      </c>
      <c r="C538" s="50" t="s">
        <v>22</v>
      </c>
      <c r="D538" s="50" t="s">
        <v>58</v>
      </c>
      <c r="E538" s="50" t="s">
        <v>170</v>
      </c>
      <c r="F538" s="55">
        <v>0</v>
      </c>
      <c r="G538" s="50" t="s">
        <v>570</v>
      </c>
      <c r="H538" s="45"/>
      <c r="I538" s="50" t="s">
        <v>25</v>
      </c>
      <c r="J538" s="69" t="s">
        <v>229</v>
      </c>
      <c r="K538" s="70" t="s">
        <v>229</v>
      </c>
      <c r="L538" s="66">
        <v>0</v>
      </c>
      <c r="M538" s="61" t="s">
        <v>470</v>
      </c>
      <c r="N538" s="45"/>
      <c r="O538" s="45"/>
      <c r="P538" s="50" t="s">
        <v>185</v>
      </c>
    </row>
    <row r="539" spans="1:16">
      <c r="A539" s="50" t="s">
        <v>184</v>
      </c>
      <c r="B539" s="50" t="s">
        <v>589</v>
      </c>
      <c r="C539" s="50" t="s">
        <v>28</v>
      </c>
      <c r="D539" s="50" t="s">
        <v>58</v>
      </c>
      <c r="E539" s="50" t="s">
        <v>170</v>
      </c>
      <c r="F539" s="55">
        <v>0</v>
      </c>
      <c r="G539" s="45"/>
      <c r="H539" s="45"/>
      <c r="I539" s="45"/>
      <c r="J539" s="69" t="s">
        <v>229</v>
      </c>
      <c r="K539" s="70" t="s">
        <v>229</v>
      </c>
      <c r="L539" s="66">
        <v>0</v>
      </c>
      <c r="M539" s="61" t="s">
        <v>470</v>
      </c>
      <c r="N539" s="45"/>
      <c r="O539" s="45"/>
      <c r="P539" s="50" t="s">
        <v>185</v>
      </c>
    </row>
    <row r="540" spans="1:16">
      <c r="A540" s="50" t="s">
        <v>184</v>
      </c>
      <c r="B540" s="50" t="s">
        <v>589</v>
      </c>
      <c r="C540" s="50" t="s">
        <v>29</v>
      </c>
      <c r="D540" s="50" t="s">
        <v>58</v>
      </c>
      <c r="E540" s="50" t="s">
        <v>170</v>
      </c>
      <c r="F540" s="55">
        <v>0</v>
      </c>
      <c r="G540" s="45"/>
      <c r="H540" s="45"/>
      <c r="I540" s="45"/>
      <c r="J540" s="69" t="s">
        <v>229</v>
      </c>
      <c r="K540" s="70" t="s">
        <v>229</v>
      </c>
      <c r="L540" s="66">
        <v>0</v>
      </c>
      <c r="M540" s="61" t="s">
        <v>470</v>
      </c>
      <c r="N540" s="45"/>
      <c r="O540" s="45"/>
      <c r="P540" s="50" t="s">
        <v>185</v>
      </c>
    </row>
    <row r="541" spans="1:16">
      <c r="A541" s="50" t="s">
        <v>184</v>
      </c>
      <c r="B541" s="50" t="s">
        <v>589</v>
      </c>
      <c r="C541" s="50" t="s">
        <v>30</v>
      </c>
      <c r="D541" s="50" t="s">
        <v>58</v>
      </c>
      <c r="E541" s="50" t="s">
        <v>170</v>
      </c>
      <c r="F541" s="55">
        <v>0</v>
      </c>
      <c r="G541" s="45"/>
      <c r="H541" s="45"/>
      <c r="I541" s="45"/>
      <c r="J541" s="69" t="s">
        <v>229</v>
      </c>
      <c r="K541" s="70" t="s">
        <v>229</v>
      </c>
      <c r="L541" s="66">
        <v>0</v>
      </c>
      <c r="M541" s="61" t="s">
        <v>470</v>
      </c>
      <c r="N541" s="45"/>
      <c r="O541" s="45"/>
      <c r="P541" s="50" t="s">
        <v>185</v>
      </c>
    </row>
    <row r="542" spans="1:16">
      <c r="A542" s="46" t="s">
        <v>184</v>
      </c>
      <c r="B542" s="44" t="s">
        <v>590</v>
      </c>
      <c r="C542" s="44" t="s">
        <v>18</v>
      </c>
      <c r="D542" s="44" t="s">
        <v>33</v>
      </c>
      <c r="E542" s="44" t="s">
        <v>170</v>
      </c>
      <c r="F542" s="54">
        <v>0.1</v>
      </c>
      <c r="G542" s="45"/>
      <c r="H542" s="45"/>
      <c r="I542" s="45"/>
      <c r="J542" s="68">
        <v>45931</v>
      </c>
      <c r="K542" s="68">
        <v>46568</v>
      </c>
      <c r="L542" s="65">
        <v>456</v>
      </c>
      <c r="M542" s="60" t="s">
        <v>470</v>
      </c>
      <c r="N542" s="45"/>
      <c r="O542" s="45"/>
      <c r="P542" s="44" t="s">
        <v>185</v>
      </c>
    </row>
    <row r="543" spans="1:16">
      <c r="A543" s="50" t="s">
        <v>184</v>
      </c>
      <c r="B543" s="50" t="s">
        <v>591</v>
      </c>
      <c r="C543" s="50" t="s">
        <v>22</v>
      </c>
      <c r="D543" s="50" t="s">
        <v>33</v>
      </c>
      <c r="E543" s="50" t="s">
        <v>170</v>
      </c>
      <c r="F543" s="55">
        <v>0</v>
      </c>
      <c r="G543" s="50" t="s">
        <v>570</v>
      </c>
      <c r="H543" s="50" t="s">
        <v>186</v>
      </c>
      <c r="I543" s="50" t="s">
        <v>25</v>
      </c>
      <c r="J543" s="69" t="s">
        <v>229</v>
      </c>
      <c r="K543" s="70" t="s">
        <v>229</v>
      </c>
      <c r="L543" s="66">
        <v>0</v>
      </c>
      <c r="M543" s="61" t="s">
        <v>470</v>
      </c>
      <c r="N543" s="45"/>
      <c r="O543" s="45"/>
      <c r="P543" s="50" t="s">
        <v>185</v>
      </c>
    </row>
    <row r="544" spans="1:16">
      <c r="A544" s="50" t="s">
        <v>184</v>
      </c>
      <c r="B544" s="50" t="s">
        <v>591</v>
      </c>
      <c r="C544" s="50" t="s">
        <v>28</v>
      </c>
      <c r="D544" s="50" t="s">
        <v>33</v>
      </c>
      <c r="E544" s="50" t="s">
        <v>170</v>
      </c>
      <c r="F544" s="55">
        <v>0</v>
      </c>
      <c r="G544" s="45"/>
      <c r="H544" s="45"/>
      <c r="I544" s="45"/>
      <c r="J544" s="69" t="s">
        <v>229</v>
      </c>
      <c r="K544" s="70" t="s">
        <v>229</v>
      </c>
      <c r="L544" s="66">
        <v>0</v>
      </c>
      <c r="M544" s="61" t="s">
        <v>470</v>
      </c>
      <c r="N544" s="45"/>
      <c r="O544" s="45"/>
      <c r="P544" s="50" t="s">
        <v>185</v>
      </c>
    </row>
    <row r="545" spans="1:16">
      <c r="A545" s="50" t="s">
        <v>184</v>
      </c>
      <c r="B545" s="50" t="s">
        <v>591</v>
      </c>
      <c r="C545" s="50" t="s">
        <v>29</v>
      </c>
      <c r="D545" s="50" t="s">
        <v>33</v>
      </c>
      <c r="E545" s="50" t="s">
        <v>170</v>
      </c>
      <c r="F545" s="55">
        <v>0</v>
      </c>
      <c r="G545" s="45"/>
      <c r="H545" s="45"/>
      <c r="I545" s="45"/>
      <c r="J545" s="69" t="s">
        <v>229</v>
      </c>
      <c r="K545" s="70" t="s">
        <v>229</v>
      </c>
      <c r="L545" s="66">
        <v>0</v>
      </c>
      <c r="M545" s="61" t="s">
        <v>470</v>
      </c>
      <c r="N545" s="45"/>
      <c r="O545" s="45"/>
      <c r="P545" s="50" t="s">
        <v>185</v>
      </c>
    </row>
    <row r="546" spans="1:16">
      <c r="A546" s="50" t="s">
        <v>184</v>
      </c>
      <c r="B546" s="50" t="s">
        <v>591</v>
      </c>
      <c r="C546" s="50" t="s">
        <v>30</v>
      </c>
      <c r="D546" s="50" t="s">
        <v>33</v>
      </c>
      <c r="E546" s="50" t="s">
        <v>170</v>
      </c>
      <c r="F546" s="55">
        <v>0</v>
      </c>
      <c r="G546" s="45"/>
      <c r="H546" s="45"/>
      <c r="I546" s="45"/>
      <c r="J546" s="69" t="s">
        <v>229</v>
      </c>
      <c r="K546" s="70" t="s">
        <v>229</v>
      </c>
      <c r="L546" s="66">
        <v>0</v>
      </c>
      <c r="M546" s="61" t="s">
        <v>470</v>
      </c>
      <c r="N546" s="45"/>
      <c r="O546" s="45"/>
      <c r="P546" s="50" t="s">
        <v>185</v>
      </c>
    </row>
    <row r="547" spans="1:16">
      <c r="A547" s="44" t="s">
        <v>184</v>
      </c>
      <c r="B547" s="44" t="s">
        <v>592</v>
      </c>
      <c r="C547" s="45"/>
      <c r="D547" s="44" t="s">
        <v>58</v>
      </c>
      <c r="E547" s="44" t="s">
        <v>170</v>
      </c>
      <c r="F547" s="54">
        <v>0.5</v>
      </c>
      <c r="G547" s="45"/>
      <c r="H547" s="45"/>
      <c r="I547" s="45"/>
      <c r="J547" s="68">
        <v>45931</v>
      </c>
      <c r="K547" s="68">
        <v>46094</v>
      </c>
      <c r="L547" s="65">
        <v>118</v>
      </c>
      <c r="M547" s="60" t="s">
        <v>470</v>
      </c>
      <c r="N547" s="45"/>
      <c r="O547" s="45"/>
      <c r="P547" s="45"/>
    </row>
    <row r="548" spans="1:16">
      <c r="A548" s="50" t="s">
        <v>184</v>
      </c>
      <c r="B548" s="50" t="s">
        <v>593</v>
      </c>
      <c r="C548" s="50" t="s">
        <v>22</v>
      </c>
      <c r="D548" s="50" t="s">
        <v>58</v>
      </c>
      <c r="E548" s="50" t="s">
        <v>170</v>
      </c>
      <c r="F548" s="55">
        <v>0.5</v>
      </c>
      <c r="G548" s="50" t="s">
        <v>570</v>
      </c>
      <c r="H548" s="50" t="s">
        <v>186</v>
      </c>
      <c r="I548" s="50" t="s">
        <v>25</v>
      </c>
      <c r="J548" s="68">
        <v>45931</v>
      </c>
      <c r="K548" s="68">
        <v>46094</v>
      </c>
      <c r="L548" s="66">
        <v>118</v>
      </c>
      <c r="M548" s="61" t="s">
        <v>470</v>
      </c>
      <c r="N548" s="50" t="s">
        <v>26</v>
      </c>
      <c r="O548" s="50" t="s">
        <v>108</v>
      </c>
      <c r="P548" s="50" t="s">
        <v>185</v>
      </c>
    </row>
    <row r="549" spans="1:16">
      <c r="A549" s="50" t="s">
        <v>184</v>
      </c>
      <c r="B549" s="50" t="s">
        <v>593</v>
      </c>
      <c r="C549" s="50" t="s">
        <v>28</v>
      </c>
      <c r="D549" s="50" t="s">
        <v>58</v>
      </c>
      <c r="E549" s="50" t="s">
        <v>170</v>
      </c>
      <c r="F549" s="55">
        <v>0</v>
      </c>
      <c r="G549" s="45"/>
      <c r="H549" s="45"/>
      <c r="I549" s="45"/>
      <c r="J549" s="69" t="s">
        <v>229</v>
      </c>
      <c r="K549" s="70" t="s">
        <v>229</v>
      </c>
      <c r="L549" s="66">
        <v>0</v>
      </c>
      <c r="M549" s="61" t="s">
        <v>470</v>
      </c>
      <c r="N549" s="45"/>
      <c r="O549" s="45"/>
      <c r="P549" s="50" t="s">
        <v>185</v>
      </c>
    </row>
    <row r="550" spans="1:16">
      <c r="A550" s="50" t="s">
        <v>184</v>
      </c>
      <c r="B550" s="50" t="s">
        <v>593</v>
      </c>
      <c r="C550" s="50" t="s">
        <v>29</v>
      </c>
      <c r="D550" s="50" t="s">
        <v>58</v>
      </c>
      <c r="E550" s="50" t="s">
        <v>170</v>
      </c>
      <c r="F550" s="55">
        <v>0</v>
      </c>
      <c r="G550" s="45"/>
      <c r="H550" s="45"/>
      <c r="I550" s="45"/>
      <c r="J550" s="69" t="s">
        <v>229</v>
      </c>
      <c r="K550" s="70" t="s">
        <v>229</v>
      </c>
      <c r="L550" s="66">
        <v>0</v>
      </c>
      <c r="M550" s="61" t="s">
        <v>470</v>
      </c>
      <c r="N550" s="45"/>
      <c r="O550" s="45"/>
      <c r="P550" s="50" t="s">
        <v>185</v>
      </c>
    </row>
    <row r="551" spans="1:16">
      <c r="A551" s="50" t="s">
        <v>184</v>
      </c>
      <c r="B551" s="50" t="s">
        <v>593</v>
      </c>
      <c r="C551" s="50" t="s">
        <v>30</v>
      </c>
      <c r="D551" s="50" t="s">
        <v>58</v>
      </c>
      <c r="E551" s="50" t="s">
        <v>170</v>
      </c>
      <c r="F551" s="55">
        <v>0</v>
      </c>
      <c r="G551" s="45"/>
      <c r="H551" s="45"/>
      <c r="I551" s="45"/>
      <c r="J551" s="69" t="s">
        <v>229</v>
      </c>
      <c r="K551" s="70" t="s">
        <v>229</v>
      </c>
      <c r="L551" s="66">
        <v>0</v>
      </c>
      <c r="M551" s="61" t="s">
        <v>470</v>
      </c>
      <c r="N551" s="45"/>
      <c r="O551" s="45"/>
      <c r="P551" s="50" t="s">
        <v>185</v>
      </c>
    </row>
    <row r="552" spans="1:16">
      <c r="A552" s="46" t="s">
        <v>184</v>
      </c>
      <c r="B552" s="44" t="s">
        <v>594</v>
      </c>
      <c r="C552" s="44" t="s">
        <v>18</v>
      </c>
      <c r="D552" s="44" t="s">
        <v>58</v>
      </c>
      <c r="E552" s="44" t="s">
        <v>170</v>
      </c>
      <c r="F552" s="54">
        <v>0</v>
      </c>
      <c r="G552" s="45"/>
      <c r="H552" s="45"/>
      <c r="I552" s="45"/>
      <c r="J552" s="68">
        <v>46112</v>
      </c>
      <c r="K552" s="68">
        <v>46203</v>
      </c>
      <c r="L552" s="65">
        <v>66</v>
      </c>
      <c r="M552" s="60" t="s">
        <v>470</v>
      </c>
      <c r="N552" s="45"/>
      <c r="O552" s="45"/>
      <c r="P552" s="44" t="s">
        <v>185</v>
      </c>
    </row>
    <row r="553" spans="1:16">
      <c r="A553" s="50" t="s">
        <v>184</v>
      </c>
      <c r="B553" s="50" t="s">
        <v>595</v>
      </c>
      <c r="C553" s="50" t="s">
        <v>22</v>
      </c>
      <c r="D553" s="50" t="s">
        <v>58</v>
      </c>
      <c r="E553" s="50" t="s">
        <v>170</v>
      </c>
      <c r="F553" s="55">
        <v>0</v>
      </c>
      <c r="G553" s="50" t="s">
        <v>570</v>
      </c>
      <c r="H553" s="50" t="s">
        <v>186</v>
      </c>
      <c r="I553" s="50" t="s">
        <v>25</v>
      </c>
      <c r="J553" s="69">
        <v>46112</v>
      </c>
      <c r="K553" s="69">
        <v>46112</v>
      </c>
      <c r="L553" s="66">
        <v>1</v>
      </c>
      <c r="M553" s="61" t="s">
        <v>470</v>
      </c>
      <c r="N553" s="45"/>
      <c r="O553" s="50" t="s">
        <v>27</v>
      </c>
      <c r="P553" s="50" t="s">
        <v>185</v>
      </c>
    </row>
    <row r="554" spans="1:16">
      <c r="A554" s="50" t="s">
        <v>184</v>
      </c>
      <c r="B554" s="50" t="s">
        <v>595</v>
      </c>
      <c r="C554" s="50" t="s">
        <v>28</v>
      </c>
      <c r="D554" s="50" t="s">
        <v>58</v>
      </c>
      <c r="E554" s="50" t="s">
        <v>170</v>
      </c>
      <c r="F554" s="55">
        <v>0</v>
      </c>
      <c r="G554" s="45"/>
      <c r="H554" s="45"/>
      <c r="I554" s="45"/>
      <c r="J554" s="69">
        <v>46113</v>
      </c>
      <c r="K554" s="69">
        <v>46203</v>
      </c>
      <c r="L554" s="66">
        <v>65</v>
      </c>
      <c r="M554" s="61" t="s">
        <v>470</v>
      </c>
      <c r="N554" s="45"/>
      <c r="O554" s="50" t="s">
        <v>27</v>
      </c>
      <c r="P554" s="50" t="s">
        <v>185</v>
      </c>
    </row>
    <row r="555" spans="1:16">
      <c r="A555" s="50" t="s">
        <v>184</v>
      </c>
      <c r="B555" s="50" t="s">
        <v>595</v>
      </c>
      <c r="C555" s="50" t="s">
        <v>29</v>
      </c>
      <c r="D555" s="50" t="s">
        <v>58</v>
      </c>
      <c r="E555" s="50" t="s">
        <v>170</v>
      </c>
      <c r="F555" s="55">
        <v>0</v>
      </c>
      <c r="G555" s="45"/>
      <c r="H555" s="45"/>
      <c r="I555" s="45"/>
      <c r="J555" s="69">
        <v>46113</v>
      </c>
      <c r="K555" s="69">
        <v>46203</v>
      </c>
      <c r="L555" s="66">
        <v>65</v>
      </c>
      <c r="M555" s="61" t="s">
        <v>470</v>
      </c>
      <c r="N555" s="45"/>
      <c r="O555" s="50" t="s">
        <v>27</v>
      </c>
      <c r="P555" s="50" t="s">
        <v>185</v>
      </c>
    </row>
    <row r="556" spans="1:16">
      <c r="A556" s="50" t="s">
        <v>184</v>
      </c>
      <c r="B556" s="50" t="s">
        <v>595</v>
      </c>
      <c r="C556" s="50" t="s">
        <v>30</v>
      </c>
      <c r="D556" s="50" t="s">
        <v>58</v>
      </c>
      <c r="E556" s="50" t="s">
        <v>170</v>
      </c>
      <c r="F556" s="55">
        <v>0</v>
      </c>
      <c r="G556" s="45"/>
      <c r="H556" s="45"/>
      <c r="I556" s="45"/>
      <c r="J556" s="69">
        <v>46113</v>
      </c>
      <c r="K556" s="69">
        <v>46203</v>
      </c>
      <c r="L556" s="66">
        <v>65</v>
      </c>
      <c r="M556" s="61" t="s">
        <v>470</v>
      </c>
      <c r="N556" s="45"/>
      <c r="O556" s="50" t="s">
        <v>27</v>
      </c>
      <c r="P556" s="50" t="s">
        <v>185</v>
      </c>
    </row>
    <row r="557" spans="1:16">
      <c r="A557" s="46" t="s">
        <v>184</v>
      </c>
      <c r="B557" s="44" t="s">
        <v>596</v>
      </c>
      <c r="C557" s="44" t="s">
        <v>18</v>
      </c>
      <c r="D557" s="44" t="s">
        <v>58</v>
      </c>
      <c r="E557" s="44" t="s">
        <v>170</v>
      </c>
      <c r="F557" s="54">
        <v>0</v>
      </c>
      <c r="G557" s="45"/>
      <c r="H557" s="45"/>
      <c r="I557" s="45"/>
      <c r="J557" s="68">
        <v>45946</v>
      </c>
      <c r="K557" s="68">
        <v>45946</v>
      </c>
      <c r="L557" s="65">
        <v>0</v>
      </c>
      <c r="M557" s="60" t="s">
        <v>470</v>
      </c>
      <c r="N557" s="45"/>
      <c r="O557" s="45"/>
      <c r="P557" s="44" t="s">
        <v>185</v>
      </c>
    </row>
    <row r="558" spans="1:16">
      <c r="A558" s="50" t="s">
        <v>184</v>
      </c>
      <c r="B558" s="50" t="s">
        <v>597</v>
      </c>
      <c r="C558" s="50" t="s">
        <v>22</v>
      </c>
      <c r="D558" s="50" t="s">
        <v>58</v>
      </c>
      <c r="E558" s="50" t="s">
        <v>170</v>
      </c>
      <c r="F558" s="55">
        <v>0</v>
      </c>
      <c r="G558" s="50" t="s">
        <v>570</v>
      </c>
      <c r="H558" s="50" t="s">
        <v>186</v>
      </c>
      <c r="I558" s="50" t="s">
        <v>25</v>
      </c>
      <c r="J558" s="69" t="s">
        <v>229</v>
      </c>
      <c r="K558" s="70" t="s">
        <v>229</v>
      </c>
      <c r="L558" s="66">
        <v>0</v>
      </c>
      <c r="M558" s="61" t="s">
        <v>470</v>
      </c>
      <c r="N558" s="45"/>
      <c r="O558" s="45"/>
      <c r="P558" s="50" t="s">
        <v>185</v>
      </c>
    </row>
    <row r="559" spans="1:16">
      <c r="A559" s="50" t="s">
        <v>184</v>
      </c>
      <c r="B559" s="50" t="s">
        <v>597</v>
      </c>
      <c r="C559" s="50" t="s">
        <v>28</v>
      </c>
      <c r="D559" s="50" t="s">
        <v>58</v>
      </c>
      <c r="E559" s="50" t="s">
        <v>170</v>
      </c>
      <c r="F559" s="55">
        <v>0</v>
      </c>
      <c r="G559" s="45"/>
      <c r="H559" s="45"/>
      <c r="I559" s="45"/>
      <c r="J559" s="69" t="s">
        <v>229</v>
      </c>
      <c r="K559" s="70" t="s">
        <v>229</v>
      </c>
      <c r="L559" s="66">
        <v>0</v>
      </c>
      <c r="M559" s="61" t="s">
        <v>470</v>
      </c>
      <c r="N559" s="45"/>
      <c r="O559" s="45"/>
      <c r="P559" s="50" t="s">
        <v>185</v>
      </c>
    </row>
    <row r="560" spans="1:16">
      <c r="A560" s="50" t="s">
        <v>184</v>
      </c>
      <c r="B560" s="50" t="s">
        <v>597</v>
      </c>
      <c r="C560" s="50" t="s">
        <v>29</v>
      </c>
      <c r="D560" s="50" t="s">
        <v>58</v>
      </c>
      <c r="E560" s="50" t="s">
        <v>170</v>
      </c>
      <c r="F560" s="55">
        <v>0</v>
      </c>
      <c r="G560" s="45"/>
      <c r="H560" s="45"/>
      <c r="I560" s="45"/>
      <c r="J560" s="69" t="s">
        <v>229</v>
      </c>
      <c r="K560" s="70" t="s">
        <v>229</v>
      </c>
      <c r="L560" s="66">
        <v>0</v>
      </c>
      <c r="M560" s="61" t="s">
        <v>470</v>
      </c>
      <c r="N560" s="45"/>
      <c r="O560" s="45"/>
      <c r="P560" s="50" t="s">
        <v>185</v>
      </c>
    </row>
    <row r="561" spans="1:16">
      <c r="A561" s="50" t="s">
        <v>184</v>
      </c>
      <c r="B561" s="50" t="s">
        <v>597</v>
      </c>
      <c r="C561" s="50" t="s">
        <v>30</v>
      </c>
      <c r="D561" s="50" t="s">
        <v>58</v>
      </c>
      <c r="E561" s="50" t="s">
        <v>170</v>
      </c>
      <c r="F561" s="55">
        <v>0</v>
      </c>
      <c r="G561" s="45"/>
      <c r="H561" s="45"/>
      <c r="I561" s="45"/>
      <c r="J561" s="69" t="s">
        <v>229</v>
      </c>
      <c r="K561" s="70" t="s">
        <v>229</v>
      </c>
      <c r="L561" s="66">
        <v>0</v>
      </c>
      <c r="M561" s="61" t="s">
        <v>470</v>
      </c>
      <c r="N561" s="45"/>
      <c r="O561" s="45"/>
      <c r="P561" s="50" t="s">
        <v>185</v>
      </c>
    </row>
    <row r="562" spans="1:16">
      <c r="A562" s="46" t="s">
        <v>184</v>
      </c>
      <c r="B562" s="44" t="s">
        <v>445</v>
      </c>
      <c r="C562" s="44" t="s">
        <v>18</v>
      </c>
      <c r="D562" s="44" t="s">
        <v>58</v>
      </c>
      <c r="E562" s="44" t="s">
        <v>170</v>
      </c>
      <c r="F562" s="54">
        <v>0</v>
      </c>
      <c r="G562" s="45"/>
      <c r="H562" s="45"/>
      <c r="I562" s="45"/>
      <c r="J562" s="68">
        <v>46023</v>
      </c>
      <c r="K562" s="68">
        <v>46568</v>
      </c>
      <c r="L562" s="65">
        <v>390</v>
      </c>
      <c r="M562" s="60" t="s">
        <v>470</v>
      </c>
      <c r="N562" s="45"/>
      <c r="O562" s="45"/>
      <c r="P562" s="44" t="s">
        <v>185</v>
      </c>
    </row>
    <row r="563" spans="1:16">
      <c r="A563" s="50" t="s">
        <v>184</v>
      </c>
      <c r="B563" s="50" t="s">
        <v>598</v>
      </c>
      <c r="C563" s="50" t="s">
        <v>22</v>
      </c>
      <c r="D563" s="50" t="s">
        <v>58</v>
      </c>
      <c r="E563" s="50" t="s">
        <v>170</v>
      </c>
      <c r="F563" s="55">
        <v>0</v>
      </c>
      <c r="G563" s="50" t="s">
        <v>570</v>
      </c>
      <c r="H563" s="50" t="s">
        <v>186</v>
      </c>
      <c r="I563" s="50" t="s">
        <v>25</v>
      </c>
      <c r="J563" s="68">
        <v>46023</v>
      </c>
      <c r="K563" s="68">
        <v>46387</v>
      </c>
      <c r="L563" s="66">
        <v>261</v>
      </c>
      <c r="M563" s="61" t="s">
        <v>470</v>
      </c>
      <c r="N563" s="50" t="s">
        <v>43</v>
      </c>
      <c r="O563" s="50" t="s">
        <v>26</v>
      </c>
      <c r="P563" s="50" t="s">
        <v>185</v>
      </c>
    </row>
    <row r="564" spans="1:16">
      <c r="A564" s="50" t="s">
        <v>184</v>
      </c>
      <c r="B564" s="50" t="s">
        <v>598</v>
      </c>
      <c r="C564" s="50" t="s">
        <v>28</v>
      </c>
      <c r="D564" s="50" t="s">
        <v>58</v>
      </c>
      <c r="E564" s="50" t="s">
        <v>170</v>
      </c>
      <c r="F564" s="55">
        <v>0</v>
      </c>
      <c r="G564" s="45"/>
      <c r="H564" s="45"/>
      <c r="I564" s="45"/>
      <c r="J564" s="69">
        <v>46388</v>
      </c>
      <c r="K564" s="69">
        <v>46568</v>
      </c>
      <c r="L564" s="66">
        <v>129</v>
      </c>
      <c r="M564" s="61" t="s">
        <v>470</v>
      </c>
      <c r="N564" s="45"/>
      <c r="O564" s="50" t="s">
        <v>27</v>
      </c>
      <c r="P564" s="50" t="s">
        <v>185</v>
      </c>
    </row>
    <row r="565" spans="1:16">
      <c r="A565" s="50" t="s">
        <v>184</v>
      </c>
      <c r="B565" s="50" t="s">
        <v>598</v>
      </c>
      <c r="C565" s="50" t="s">
        <v>29</v>
      </c>
      <c r="D565" s="50" t="s">
        <v>58</v>
      </c>
      <c r="E565" s="50" t="s">
        <v>170</v>
      </c>
      <c r="F565" s="55">
        <v>0</v>
      </c>
      <c r="G565" s="45"/>
      <c r="H565" s="45"/>
      <c r="I565" s="45"/>
      <c r="J565" s="69">
        <v>46388</v>
      </c>
      <c r="K565" s="69">
        <v>46568</v>
      </c>
      <c r="L565" s="66">
        <v>129</v>
      </c>
      <c r="M565" s="61" t="s">
        <v>470</v>
      </c>
      <c r="N565" s="45"/>
      <c r="O565" s="50" t="s">
        <v>27</v>
      </c>
      <c r="P565" s="50" t="s">
        <v>185</v>
      </c>
    </row>
    <row r="566" spans="1:16">
      <c r="A566" s="50" t="s">
        <v>184</v>
      </c>
      <c r="B566" s="50" t="s">
        <v>598</v>
      </c>
      <c r="C566" s="50" t="s">
        <v>30</v>
      </c>
      <c r="D566" s="50" t="s">
        <v>58</v>
      </c>
      <c r="E566" s="50" t="s">
        <v>170</v>
      </c>
      <c r="F566" s="55">
        <v>0</v>
      </c>
      <c r="G566" s="45"/>
      <c r="H566" s="45"/>
      <c r="I566" s="45"/>
      <c r="J566" s="69">
        <v>46388</v>
      </c>
      <c r="K566" s="69">
        <v>46568</v>
      </c>
      <c r="L566" s="66">
        <v>129</v>
      </c>
      <c r="M566" s="61" t="s">
        <v>470</v>
      </c>
      <c r="N566" s="45"/>
      <c r="O566" s="50" t="s">
        <v>27</v>
      </c>
      <c r="P566" s="50" t="s">
        <v>185</v>
      </c>
    </row>
    <row r="567" spans="1:16">
      <c r="A567" s="46" t="s">
        <v>184</v>
      </c>
      <c r="B567" s="44" t="s">
        <v>599</v>
      </c>
      <c r="C567" s="44" t="s">
        <v>18</v>
      </c>
      <c r="D567" s="44" t="s">
        <v>58</v>
      </c>
      <c r="E567" s="44" t="s">
        <v>170</v>
      </c>
      <c r="F567" s="54">
        <v>0</v>
      </c>
      <c r="G567" s="45"/>
      <c r="H567" s="45"/>
      <c r="I567" s="45"/>
      <c r="J567" s="68">
        <v>45946</v>
      </c>
      <c r="K567" s="68">
        <v>45946</v>
      </c>
      <c r="L567" s="65">
        <v>0</v>
      </c>
      <c r="M567" s="60" t="s">
        <v>470</v>
      </c>
      <c r="N567" s="45"/>
      <c r="O567" s="45"/>
      <c r="P567" s="44" t="s">
        <v>185</v>
      </c>
    </row>
    <row r="568" spans="1:16">
      <c r="A568" s="50" t="s">
        <v>184</v>
      </c>
      <c r="B568" s="50" t="s">
        <v>600</v>
      </c>
      <c r="C568" s="50" t="s">
        <v>22</v>
      </c>
      <c r="D568" s="50" t="s">
        <v>58</v>
      </c>
      <c r="E568" s="50" t="s">
        <v>170</v>
      </c>
      <c r="F568" s="55">
        <v>0</v>
      </c>
      <c r="G568" s="50" t="s">
        <v>570</v>
      </c>
      <c r="H568" s="50" t="s">
        <v>186</v>
      </c>
      <c r="I568" s="50" t="s">
        <v>25</v>
      </c>
      <c r="J568" s="69" t="s">
        <v>229</v>
      </c>
      <c r="K568" s="70" t="s">
        <v>229</v>
      </c>
      <c r="L568" s="66">
        <v>0</v>
      </c>
      <c r="M568" s="61" t="s">
        <v>470</v>
      </c>
      <c r="N568" s="45"/>
      <c r="O568" s="45"/>
      <c r="P568" s="50" t="s">
        <v>185</v>
      </c>
    </row>
    <row r="569" spans="1:16">
      <c r="A569" s="50" t="s">
        <v>184</v>
      </c>
      <c r="B569" s="50" t="s">
        <v>600</v>
      </c>
      <c r="C569" s="50" t="s">
        <v>28</v>
      </c>
      <c r="D569" s="50" t="s">
        <v>58</v>
      </c>
      <c r="E569" s="50" t="s">
        <v>170</v>
      </c>
      <c r="F569" s="55">
        <v>0</v>
      </c>
      <c r="G569" s="45"/>
      <c r="H569" s="45"/>
      <c r="I569" s="45"/>
      <c r="J569" s="69" t="s">
        <v>229</v>
      </c>
      <c r="K569" s="70" t="s">
        <v>229</v>
      </c>
      <c r="L569" s="66">
        <v>0</v>
      </c>
      <c r="M569" s="61" t="s">
        <v>470</v>
      </c>
      <c r="N569" s="45"/>
      <c r="O569" s="45"/>
      <c r="P569" s="50" t="s">
        <v>185</v>
      </c>
    </row>
    <row r="570" spans="1:16">
      <c r="A570" s="50" t="s">
        <v>184</v>
      </c>
      <c r="B570" s="50" t="s">
        <v>600</v>
      </c>
      <c r="C570" s="50" t="s">
        <v>29</v>
      </c>
      <c r="D570" s="50" t="s">
        <v>58</v>
      </c>
      <c r="E570" s="50" t="s">
        <v>170</v>
      </c>
      <c r="F570" s="55">
        <v>0</v>
      </c>
      <c r="G570" s="45"/>
      <c r="H570" s="45"/>
      <c r="I570" s="45"/>
      <c r="J570" s="69" t="s">
        <v>229</v>
      </c>
      <c r="K570" s="70" t="s">
        <v>229</v>
      </c>
      <c r="L570" s="66">
        <v>0</v>
      </c>
      <c r="M570" s="61" t="s">
        <v>470</v>
      </c>
      <c r="N570" s="45"/>
      <c r="O570" s="45"/>
      <c r="P570" s="50" t="s">
        <v>185</v>
      </c>
    </row>
    <row r="571" spans="1:16">
      <c r="A571" s="50" t="s">
        <v>184</v>
      </c>
      <c r="B571" s="50" t="s">
        <v>600</v>
      </c>
      <c r="C571" s="50" t="s">
        <v>30</v>
      </c>
      <c r="D571" s="50" t="s">
        <v>58</v>
      </c>
      <c r="E571" s="50" t="s">
        <v>170</v>
      </c>
      <c r="F571" s="55">
        <v>0</v>
      </c>
      <c r="G571" s="45"/>
      <c r="H571" s="45"/>
      <c r="I571" s="45"/>
      <c r="J571" s="69" t="s">
        <v>229</v>
      </c>
      <c r="K571" s="70" t="s">
        <v>229</v>
      </c>
      <c r="L571" s="66">
        <v>0</v>
      </c>
      <c r="M571" s="61" t="s">
        <v>470</v>
      </c>
      <c r="N571" s="45"/>
      <c r="O571" s="45"/>
      <c r="P571" s="50" t="s">
        <v>185</v>
      </c>
    </row>
    <row r="572" spans="1:16">
      <c r="A572" s="46" t="s">
        <v>184</v>
      </c>
      <c r="B572" s="44" t="s">
        <v>601</v>
      </c>
      <c r="C572" s="44" t="s">
        <v>18</v>
      </c>
      <c r="D572" s="44" t="s">
        <v>58</v>
      </c>
      <c r="E572" s="44" t="s">
        <v>170</v>
      </c>
      <c r="F572" s="54">
        <v>0</v>
      </c>
      <c r="G572" s="45"/>
      <c r="H572" s="45"/>
      <c r="I572" s="45"/>
      <c r="J572" s="68">
        <v>46037</v>
      </c>
      <c r="K572" s="68">
        <v>46204</v>
      </c>
      <c r="L572" s="65">
        <v>120</v>
      </c>
      <c r="M572" s="60" t="s">
        <v>470</v>
      </c>
      <c r="N572" s="45"/>
      <c r="O572" s="45"/>
      <c r="P572" s="44" t="s">
        <v>185</v>
      </c>
    </row>
    <row r="573" spans="1:16">
      <c r="A573" s="50" t="s">
        <v>184</v>
      </c>
      <c r="B573" s="50" t="s">
        <v>602</v>
      </c>
      <c r="C573" s="50" t="s">
        <v>22</v>
      </c>
      <c r="D573" s="50" t="s">
        <v>58</v>
      </c>
      <c r="E573" s="50" t="s">
        <v>170</v>
      </c>
      <c r="F573" s="55">
        <v>0</v>
      </c>
      <c r="G573" s="50" t="s">
        <v>570</v>
      </c>
      <c r="H573" s="50" t="s">
        <v>186</v>
      </c>
      <c r="I573" s="50" t="s">
        <v>25</v>
      </c>
      <c r="J573" s="68">
        <v>46037</v>
      </c>
      <c r="K573" s="68">
        <v>46112</v>
      </c>
      <c r="L573" s="66">
        <v>54</v>
      </c>
      <c r="M573" s="61" t="s">
        <v>470</v>
      </c>
      <c r="N573" s="50" t="s">
        <v>43</v>
      </c>
      <c r="O573" s="50" t="s">
        <v>26</v>
      </c>
      <c r="P573" s="50" t="s">
        <v>185</v>
      </c>
    </row>
    <row r="574" spans="1:16">
      <c r="A574" s="50" t="s">
        <v>184</v>
      </c>
      <c r="B574" s="50" t="s">
        <v>602</v>
      </c>
      <c r="C574" s="50" t="s">
        <v>28</v>
      </c>
      <c r="D574" s="50" t="s">
        <v>58</v>
      </c>
      <c r="E574" s="50" t="s">
        <v>170</v>
      </c>
      <c r="F574" s="55">
        <v>0</v>
      </c>
      <c r="G574" s="45"/>
      <c r="H574" s="45"/>
      <c r="I574" s="45"/>
      <c r="J574" s="69">
        <v>46113</v>
      </c>
      <c r="K574" s="69">
        <v>46204</v>
      </c>
      <c r="L574" s="66">
        <v>66</v>
      </c>
      <c r="M574" s="61" t="s">
        <v>470</v>
      </c>
      <c r="N574" s="45"/>
      <c r="O574" s="50" t="s">
        <v>27</v>
      </c>
      <c r="P574" s="50" t="s">
        <v>185</v>
      </c>
    </row>
    <row r="575" spans="1:16">
      <c r="A575" s="50" t="s">
        <v>184</v>
      </c>
      <c r="B575" s="50" t="s">
        <v>602</v>
      </c>
      <c r="C575" s="50" t="s">
        <v>29</v>
      </c>
      <c r="D575" s="50" t="s">
        <v>58</v>
      </c>
      <c r="E575" s="50" t="s">
        <v>170</v>
      </c>
      <c r="F575" s="55">
        <v>0</v>
      </c>
      <c r="G575" s="45"/>
      <c r="H575" s="45"/>
      <c r="I575" s="45"/>
      <c r="J575" s="69">
        <v>46113</v>
      </c>
      <c r="K575" s="69">
        <v>46204</v>
      </c>
      <c r="L575" s="66">
        <v>66</v>
      </c>
      <c r="M575" s="61" t="s">
        <v>470</v>
      </c>
      <c r="N575" s="45"/>
      <c r="O575" s="50" t="s">
        <v>27</v>
      </c>
      <c r="P575" s="50" t="s">
        <v>185</v>
      </c>
    </row>
    <row r="576" spans="1:16">
      <c r="A576" s="50" t="s">
        <v>184</v>
      </c>
      <c r="B576" s="50" t="s">
        <v>602</v>
      </c>
      <c r="C576" s="50" t="s">
        <v>30</v>
      </c>
      <c r="D576" s="50" t="s">
        <v>58</v>
      </c>
      <c r="E576" s="50" t="s">
        <v>170</v>
      </c>
      <c r="F576" s="55">
        <v>0</v>
      </c>
      <c r="G576" s="45"/>
      <c r="H576" s="45"/>
      <c r="I576" s="45"/>
      <c r="J576" s="69">
        <v>46113</v>
      </c>
      <c r="K576" s="69">
        <v>46204</v>
      </c>
      <c r="L576" s="66">
        <v>66</v>
      </c>
      <c r="M576" s="61" t="s">
        <v>470</v>
      </c>
      <c r="N576" s="45"/>
      <c r="O576" s="50" t="s">
        <v>27</v>
      </c>
      <c r="P576" s="50" t="s">
        <v>185</v>
      </c>
    </row>
    <row r="577" spans="1:16">
      <c r="A577" s="46" t="s">
        <v>39</v>
      </c>
      <c r="B577" s="47" t="s">
        <v>603</v>
      </c>
      <c r="C577" s="47" t="s">
        <v>18</v>
      </c>
      <c r="D577" s="47" t="s">
        <v>19</v>
      </c>
      <c r="E577" s="47" t="s">
        <v>170</v>
      </c>
      <c r="F577" s="48">
        <v>0</v>
      </c>
      <c r="G577" s="49"/>
      <c r="H577" s="49"/>
      <c r="I577" s="49"/>
      <c r="J577" s="68">
        <v>46127</v>
      </c>
      <c r="K577" s="68">
        <v>46203</v>
      </c>
      <c r="L577" s="63">
        <v>55</v>
      </c>
      <c r="M577" s="58" t="s">
        <v>470</v>
      </c>
      <c r="N577" s="49"/>
      <c r="O577" s="49"/>
      <c r="P577" s="47" t="s">
        <v>200</v>
      </c>
    </row>
    <row r="578" spans="1:16">
      <c r="A578" s="50" t="s">
        <v>39</v>
      </c>
      <c r="B578" s="51" t="s">
        <v>604</v>
      </c>
      <c r="C578" s="51" t="s">
        <v>22</v>
      </c>
      <c r="D578" s="51" t="s">
        <v>19</v>
      </c>
      <c r="E578" s="51" t="s">
        <v>170</v>
      </c>
      <c r="F578" s="52">
        <v>0</v>
      </c>
      <c r="G578" s="51" t="s">
        <v>147</v>
      </c>
      <c r="H578" s="51" t="s">
        <v>201</v>
      </c>
      <c r="I578" s="51" t="s">
        <v>139</v>
      </c>
      <c r="J578" s="69">
        <v>46127</v>
      </c>
      <c r="K578" s="69">
        <v>46203</v>
      </c>
      <c r="L578" s="64">
        <v>55</v>
      </c>
      <c r="M578" s="59" t="s">
        <v>470</v>
      </c>
      <c r="N578" s="49"/>
      <c r="O578" s="51" t="s">
        <v>27</v>
      </c>
      <c r="P578" s="51" t="s">
        <v>200</v>
      </c>
    </row>
    <row r="579" spans="1:16">
      <c r="A579" s="50" t="s">
        <v>39</v>
      </c>
      <c r="B579" s="51" t="s">
        <v>604</v>
      </c>
      <c r="C579" s="51" t="s">
        <v>28</v>
      </c>
      <c r="D579" s="51" t="s">
        <v>19</v>
      </c>
      <c r="E579" s="51" t="s">
        <v>170</v>
      </c>
      <c r="F579" s="52">
        <v>0</v>
      </c>
      <c r="G579" s="49"/>
      <c r="H579" s="49"/>
      <c r="I579" s="49"/>
      <c r="J579" s="69" t="s">
        <v>229</v>
      </c>
      <c r="K579" s="70" t="s">
        <v>229</v>
      </c>
      <c r="L579" s="64">
        <v>0</v>
      </c>
      <c r="M579" s="59" t="s">
        <v>470</v>
      </c>
      <c r="N579" s="49"/>
      <c r="O579" s="49"/>
      <c r="P579" s="51" t="s">
        <v>200</v>
      </c>
    </row>
    <row r="580" spans="1:16">
      <c r="A580" s="50" t="s">
        <v>39</v>
      </c>
      <c r="B580" s="51" t="s">
        <v>604</v>
      </c>
      <c r="C580" s="51" t="s">
        <v>29</v>
      </c>
      <c r="D580" s="51" t="s">
        <v>19</v>
      </c>
      <c r="E580" s="51" t="s">
        <v>170</v>
      </c>
      <c r="F580" s="52">
        <v>0</v>
      </c>
      <c r="G580" s="49"/>
      <c r="H580" s="49"/>
      <c r="I580" s="49"/>
      <c r="J580" s="69" t="s">
        <v>229</v>
      </c>
      <c r="K580" s="70" t="s">
        <v>229</v>
      </c>
      <c r="L580" s="64">
        <v>0</v>
      </c>
      <c r="M580" s="59" t="s">
        <v>470</v>
      </c>
      <c r="N580" s="49"/>
      <c r="O580" s="49"/>
      <c r="P580" s="51" t="s">
        <v>200</v>
      </c>
    </row>
    <row r="581" spans="1:16">
      <c r="A581" s="50" t="s">
        <v>39</v>
      </c>
      <c r="B581" s="51" t="s">
        <v>604</v>
      </c>
      <c r="C581" s="51" t="s">
        <v>30</v>
      </c>
      <c r="D581" s="51" t="s">
        <v>19</v>
      </c>
      <c r="E581" s="51" t="s">
        <v>170</v>
      </c>
      <c r="F581" s="52">
        <v>0</v>
      </c>
      <c r="G581" s="49"/>
      <c r="H581" s="49"/>
      <c r="I581" s="49"/>
      <c r="J581" s="69" t="s">
        <v>229</v>
      </c>
      <c r="K581" s="70" t="s">
        <v>229</v>
      </c>
      <c r="L581" s="64">
        <v>0</v>
      </c>
      <c r="M581" s="59" t="s">
        <v>470</v>
      </c>
      <c r="N581" s="49"/>
      <c r="O581" s="49"/>
      <c r="P581" s="51" t="s">
        <v>200</v>
      </c>
    </row>
    <row r="582" spans="1:16">
      <c r="A582" s="46" t="s">
        <v>39</v>
      </c>
      <c r="B582" s="47" t="s">
        <v>605</v>
      </c>
      <c r="C582" s="47" t="s">
        <v>18</v>
      </c>
      <c r="D582" s="47" t="s">
        <v>19</v>
      </c>
      <c r="E582" s="47" t="s">
        <v>170</v>
      </c>
      <c r="F582" s="48">
        <v>0.75</v>
      </c>
      <c r="G582" s="49"/>
      <c r="H582" s="49"/>
      <c r="I582" s="49"/>
      <c r="J582" s="68">
        <v>46042</v>
      </c>
      <c r="K582" s="68">
        <v>46203</v>
      </c>
      <c r="L582" s="63">
        <v>116</v>
      </c>
      <c r="M582" s="58" t="s">
        <v>557</v>
      </c>
      <c r="N582" s="49"/>
      <c r="O582" s="49"/>
      <c r="P582" s="47" t="s">
        <v>202</v>
      </c>
    </row>
    <row r="583" spans="1:16">
      <c r="A583" s="50" t="s">
        <v>39</v>
      </c>
      <c r="B583" s="51" t="s">
        <v>606</v>
      </c>
      <c r="C583" s="51" t="s">
        <v>22</v>
      </c>
      <c r="D583" s="51" t="s">
        <v>19</v>
      </c>
      <c r="E583" s="51" t="s">
        <v>170</v>
      </c>
      <c r="F583" s="52">
        <v>0.75</v>
      </c>
      <c r="G583" s="51" t="s">
        <v>147</v>
      </c>
      <c r="H583" s="51" t="s">
        <v>395</v>
      </c>
      <c r="I583" s="51" t="s">
        <v>139</v>
      </c>
      <c r="J583" s="69">
        <v>46042</v>
      </c>
      <c r="K583" s="69">
        <v>46078</v>
      </c>
      <c r="L583" s="64">
        <v>27</v>
      </c>
      <c r="M583" s="59" t="s">
        <v>470</v>
      </c>
      <c r="N583" s="51" t="s">
        <v>26</v>
      </c>
      <c r="O583" s="51" t="s">
        <v>108</v>
      </c>
      <c r="P583" s="51" t="s">
        <v>202</v>
      </c>
    </row>
    <row r="584" spans="1:16">
      <c r="A584" s="50" t="s">
        <v>39</v>
      </c>
      <c r="B584" s="51" t="s">
        <v>606</v>
      </c>
      <c r="C584" s="51" t="s">
        <v>28</v>
      </c>
      <c r="D584" s="51" t="s">
        <v>19</v>
      </c>
      <c r="E584" s="51" t="s">
        <v>170</v>
      </c>
      <c r="F584" s="52">
        <v>0</v>
      </c>
      <c r="G584" s="49"/>
      <c r="H584" s="49"/>
      <c r="I584" s="49"/>
      <c r="J584" s="69">
        <v>46127</v>
      </c>
      <c r="K584" s="69">
        <v>46203</v>
      </c>
      <c r="L584" s="64">
        <v>55</v>
      </c>
      <c r="M584" s="59" t="s">
        <v>470</v>
      </c>
      <c r="N584" s="49"/>
      <c r="O584" s="51" t="s">
        <v>27</v>
      </c>
      <c r="P584" s="51" t="s">
        <v>202</v>
      </c>
    </row>
    <row r="585" spans="1:16">
      <c r="A585" s="50" t="s">
        <v>39</v>
      </c>
      <c r="B585" s="51" t="s">
        <v>606</v>
      </c>
      <c r="C585" s="51" t="s">
        <v>29</v>
      </c>
      <c r="D585" s="51" t="s">
        <v>19</v>
      </c>
      <c r="E585" s="51" t="s">
        <v>170</v>
      </c>
      <c r="F585" s="52">
        <v>0</v>
      </c>
      <c r="G585" s="49"/>
      <c r="H585" s="49"/>
      <c r="I585" s="49"/>
      <c r="J585" s="69" t="s">
        <v>229</v>
      </c>
      <c r="K585" s="70" t="s">
        <v>229</v>
      </c>
      <c r="L585" s="64">
        <v>0</v>
      </c>
      <c r="M585" s="59" t="s">
        <v>470</v>
      </c>
      <c r="N585" s="49"/>
      <c r="O585" s="49"/>
      <c r="P585" s="51" t="s">
        <v>202</v>
      </c>
    </row>
    <row r="586" spans="1:16">
      <c r="A586" s="50" t="s">
        <v>39</v>
      </c>
      <c r="B586" s="51" t="s">
        <v>606</v>
      </c>
      <c r="C586" s="51" t="s">
        <v>30</v>
      </c>
      <c r="D586" s="51" t="s">
        <v>19</v>
      </c>
      <c r="E586" s="51" t="s">
        <v>170</v>
      </c>
      <c r="F586" s="52">
        <v>0</v>
      </c>
      <c r="G586" s="49"/>
      <c r="H586" s="49"/>
      <c r="I586" s="49"/>
      <c r="J586" s="69" t="s">
        <v>229</v>
      </c>
      <c r="K586" s="70" t="s">
        <v>229</v>
      </c>
      <c r="L586" s="64">
        <v>0</v>
      </c>
      <c r="M586" s="59" t="s">
        <v>470</v>
      </c>
      <c r="N586" s="49"/>
      <c r="O586" s="49"/>
      <c r="P586" s="51" t="s">
        <v>202</v>
      </c>
    </row>
    <row r="587" spans="1:16">
      <c r="A587" s="46" t="s">
        <v>39</v>
      </c>
      <c r="B587" s="47" t="s">
        <v>607</v>
      </c>
      <c r="C587" s="47" t="s">
        <v>18</v>
      </c>
      <c r="D587" s="47" t="s">
        <v>19</v>
      </c>
      <c r="E587" s="47" t="s">
        <v>170</v>
      </c>
      <c r="F587" s="48">
        <v>0</v>
      </c>
      <c r="G587" s="49"/>
      <c r="H587" s="49"/>
      <c r="I587" s="49"/>
      <c r="J587" s="68">
        <v>45946</v>
      </c>
      <c r="K587" s="68">
        <v>45946</v>
      </c>
      <c r="L587" s="63">
        <v>0</v>
      </c>
      <c r="M587" s="58" t="s">
        <v>470</v>
      </c>
      <c r="N587" s="49"/>
      <c r="O587" s="49"/>
      <c r="P587" s="47" t="s">
        <v>203</v>
      </c>
    </row>
    <row r="588" spans="1:16">
      <c r="A588" s="50" t="s">
        <v>39</v>
      </c>
      <c r="B588" s="51" t="s">
        <v>608</v>
      </c>
      <c r="C588" s="51" t="s">
        <v>22</v>
      </c>
      <c r="D588" s="51" t="s">
        <v>19</v>
      </c>
      <c r="E588" s="51" t="s">
        <v>170</v>
      </c>
      <c r="F588" s="52">
        <v>0</v>
      </c>
      <c r="G588" s="51" t="s">
        <v>500</v>
      </c>
      <c r="H588" s="51" t="s">
        <v>609</v>
      </c>
      <c r="I588" s="51" t="s">
        <v>139</v>
      </c>
      <c r="J588" s="69" t="s">
        <v>229</v>
      </c>
      <c r="K588" s="70" t="s">
        <v>229</v>
      </c>
      <c r="L588" s="64">
        <v>0</v>
      </c>
      <c r="M588" s="59" t="s">
        <v>470</v>
      </c>
      <c r="N588" s="49"/>
      <c r="O588" s="49"/>
      <c r="P588" s="51" t="s">
        <v>203</v>
      </c>
    </row>
    <row r="589" spans="1:16">
      <c r="A589" s="50" t="s">
        <v>39</v>
      </c>
      <c r="B589" s="51" t="s">
        <v>608</v>
      </c>
      <c r="C589" s="51" t="s">
        <v>28</v>
      </c>
      <c r="D589" s="51" t="s">
        <v>19</v>
      </c>
      <c r="E589" s="51" t="s">
        <v>170</v>
      </c>
      <c r="F589" s="52">
        <v>0</v>
      </c>
      <c r="G589" s="49"/>
      <c r="H589" s="49"/>
      <c r="I589" s="49"/>
      <c r="J589" s="69" t="s">
        <v>229</v>
      </c>
      <c r="K589" s="70" t="s">
        <v>229</v>
      </c>
      <c r="L589" s="64">
        <v>0</v>
      </c>
      <c r="M589" s="59" t="s">
        <v>470</v>
      </c>
      <c r="N589" s="49"/>
      <c r="O589" s="49"/>
      <c r="P589" s="51" t="s">
        <v>203</v>
      </c>
    </row>
    <row r="590" spans="1:16">
      <c r="A590" s="50" t="s">
        <v>39</v>
      </c>
      <c r="B590" s="51" t="s">
        <v>608</v>
      </c>
      <c r="C590" s="51" t="s">
        <v>29</v>
      </c>
      <c r="D590" s="51" t="s">
        <v>19</v>
      </c>
      <c r="E590" s="51" t="s">
        <v>170</v>
      </c>
      <c r="F590" s="52">
        <v>0</v>
      </c>
      <c r="G590" s="49"/>
      <c r="H590" s="49"/>
      <c r="I590" s="49"/>
      <c r="J590" s="69" t="s">
        <v>229</v>
      </c>
      <c r="K590" s="70" t="s">
        <v>229</v>
      </c>
      <c r="L590" s="64">
        <v>0</v>
      </c>
      <c r="M590" s="59" t="s">
        <v>470</v>
      </c>
      <c r="N590" s="49"/>
      <c r="O590" s="49"/>
      <c r="P590" s="51" t="s">
        <v>203</v>
      </c>
    </row>
    <row r="591" spans="1:16">
      <c r="A591" s="50" t="s">
        <v>39</v>
      </c>
      <c r="B591" s="51" t="s">
        <v>608</v>
      </c>
      <c r="C591" s="51" t="s">
        <v>30</v>
      </c>
      <c r="D591" s="51" t="s">
        <v>19</v>
      </c>
      <c r="E591" s="51" t="s">
        <v>170</v>
      </c>
      <c r="F591" s="52">
        <v>0</v>
      </c>
      <c r="G591" s="49"/>
      <c r="H591" s="49"/>
      <c r="I591" s="49"/>
      <c r="J591" s="69" t="s">
        <v>229</v>
      </c>
      <c r="K591" s="70" t="s">
        <v>229</v>
      </c>
      <c r="L591" s="64">
        <v>0</v>
      </c>
      <c r="M591" s="59" t="s">
        <v>470</v>
      </c>
      <c r="N591" s="49"/>
      <c r="O591" s="49"/>
      <c r="P591" s="51" t="s">
        <v>203</v>
      </c>
    </row>
  </sheetData>
  <autoFilter ref="A1:R591" xr:uid="{E5E7A58F-6939-403E-9A53-B2372F446FC1}"/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64AA3-002D-4CE7-90D2-9503D2117F56}">
  <dimension ref="A1:E520"/>
  <sheetViews>
    <sheetView workbookViewId="0">
      <selection activeCell="E2" sqref="E2"/>
    </sheetView>
  </sheetViews>
  <sheetFormatPr defaultColWidth="8.85546875" defaultRowHeight="15"/>
  <cols>
    <col min="1" max="1" width="23.42578125" customWidth="1"/>
    <col min="2" max="2" width="21.7109375" customWidth="1"/>
    <col min="3" max="3" width="21.85546875" customWidth="1"/>
    <col min="4" max="4" width="21.28515625" customWidth="1"/>
    <col min="5" max="5" width="25" customWidth="1"/>
  </cols>
  <sheetData>
    <row r="1" spans="1:5">
      <c r="A1" s="38" t="s">
        <v>204</v>
      </c>
      <c r="B1" s="38" t="s">
        <v>22</v>
      </c>
      <c r="C1" s="38" t="s">
        <v>28</v>
      </c>
      <c r="D1" s="38" t="s">
        <v>30</v>
      </c>
      <c r="E1" s="38" t="s">
        <v>29</v>
      </c>
    </row>
    <row r="2" spans="1:5">
      <c r="A2" s="5">
        <v>45870</v>
      </c>
      <c r="B2" cm="1">
        <f t="array" ref="B2">SUMPRODUCT((Task_table_03_2_26!$C$2:$C$596=$B$1)*(A2&gt;Task_table_03_2_26!$J$2:$J$596)*(A2&lt;Task_table_03_2_26!$K$2:$K$596))</f>
        <v>0</v>
      </c>
      <c r="C2" cm="1">
        <f t="array" ref="C2">SUMPRODUCT((Task_table_03_2_26!$C$2:$C$596=$C$1)*(A2&gt;Task_table_03_2_26!$J$2:$J$596)*(A2&lt;Task_table_03_2_26!$K$2:$K$596))</f>
        <v>1</v>
      </c>
      <c r="D2" cm="1">
        <f t="array" ref="D2">SUMPRODUCT((Task_table_03_2_26!$C$2:$C$596=$D$1)*(A2&gt;Task_table_03_2_26!$J$2:$J$596)*(A2&lt;Task_table_03_2_26!$K$2:$K$596))</f>
        <v>0</v>
      </c>
      <c r="E2" cm="1">
        <f t="array" ref="E2">SUMPRODUCT((Task_table_03_2_26!$C$2:$C$596=$E$1)*(A2&gt;Task_table_03_2_26!$J$2:$J$596)*(A2&lt;Task_table_03_2_26!$K$2:$K$596))</f>
        <v>0</v>
      </c>
    </row>
    <row r="3" spans="1:5">
      <c r="A3" s="5">
        <v>45871</v>
      </c>
      <c r="B3" cm="1">
        <f t="array" ref="B3">SUMPRODUCT((Task_table_03_2_26!$C$2:$C$596=$B$1)*(A3&gt;Task_table_03_2_26!$J$2:$J$596)*(A3&lt;Task_table_03_2_26!$K$2:$K$596))</f>
        <v>1</v>
      </c>
      <c r="C3" cm="1">
        <f t="array" ref="C3">SUMPRODUCT((Task_table_03_2_26!$C$2:$C$596=$C$1)*(A3&gt;Task_table_03_2_26!$J$2:$J$596)*(A3&lt;Task_table_03_2_26!$K$2:$K$596))</f>
        <v>1</v>
      </c>
      <c r="D3" cm="1">
        <f t="array" ref="D3">SUMPRODUCT((Task_table_03_2_26!$C$2:$C$596=$D$1)*(A3&gt;Task_table_03_2_26!$J$2:$J$596)*(A3&lt;Task_table_03_2_26!$K$2:$K$596))</f>
        <v>0</v>
      </c>
      <c r="E3" cm="1">
        <f t="array" ref="E3">SUMPRODUCT((Task_table_03_2_26!$C$2:$C$596=$E$1)*(A3&gt;Task_table_03_2_26!$J$2:$J$596)*(A3&lt;Task_table_03_2_26!$K$2:$K$596))</f>
        <v>0</v>
      </c>
    </row>
    <row r="4" spans="1:5">
      <c r="A4" s="5">
        <v>45872</v>
      </c>
      <c r="B4" cm="1">
        <f t="array" ref="B4">SUMPRODUCT((Task_table_03_2_26!$C$2:$C$596=$B$1)*(A4&gt;Task_table_03_2_26!$J$2:$J$596)*(A4&lt;Task_table_03_2_26!$K$2:$K$596))</f>
        <v>1</v>
      </c>
      <c r="C4" cm="1">
        <f t="array" ref="C4">SUMPRODUCT((Task_table_03_2_26!$C$2:$C$596=$C$1)*(A4&gt;Task_table_03_2_26!$J$2:$J$596)*(A4&lt;Task_table_03_2_26!$K$2:$K$596))</f>
        <v>1</v>
      </c>
      <c r="D4" cm="1">
        <f t="array" ref="D4">SUMPRODUCT((Task_table_03_2_26!$C$2:$C$596=$D$1)*(A4&gt;Task_table_03_2_26!$J$2:$J$596)*(A4&lt;Task_table_03_2_26!$K$2:$K$596))</f>
        <v>0</v>
      </c>
      <c r="E4" cm="1">
        <f t="array" ref="E4">SUMPRODUCT((Task_table_03_2_26!$C$2:$C$596=$E$1)*(A4&gt;Task_table_03_2_26!$J$2:$J$596)*(A4&lt;Task_table_03_2_26!$K$2:$K$596))</f>
        <v>0</v>
      </c>
    </row>
    <row r="5" spans="1:5">
      <c r="A5" s="5">
        <v>45873</v>
      </c>
      <c r="B5" cm="1">
        <f t="array" ref="B5">SUMPRODUCT((Task_table_03_2_26!$C$2:$C$596=$B$1)*(A5&gt;Task_table_03_2_26!$J$2:$J$596)*(A5&lt;Task_table_03_2_26!$K$2:$K$596))</f>
        <v>1</v>
      </c>
      <c r="C5" cm="1">
        <f t="array" ref="C5">SUMPRODUCT((Task_table_03_2_26!$C$2:$C$596=$C$1)*(A5&gt;Task_table_03_2_26!$J$2:$J$596)*(A5&lt;Task_table_03_2_26!$K$2:$K$596))</f>
        <v>1</v>
      </c>
      <c r="D5" cm="1">
        <f t="array" ref="D5">SUMPRODUCT((Task_table_03_2_26!$C$2:$C$596=$D$1)*(A5&gt;Task_table_03_2_26!$J$2:$J$596)*(A5&lt;Task_table_03_2_26!$K$2:$K$596))</f>
        <v>0</v>
      </c>
      <c r="E5" cm="1">
        <f t="array" ref="E5">SUMPRODUCT((Task_table_03_2_26!$C$2:$C$596=$E$1)*(A5&gt;Task_table_03_2_26!$J$2:$J$596)*(A5&lt;Task_table_03_2_26!$K$2:$K$596))</f>
        <v>0</v>
      </c>
    </row>
    <row r="6" spans="1:5">
      <c r="A6" s="5">
        <v>45874</v>
      </c>
      <c r="B6" cm="1">
        <f t="array" ref="B6">SUMPRODUCT((Task_table_03_2_26!$C$2:$C$596=$B$1)*(A6&gt;Task_table_03_2_26!$J$2:$J$596)*(A6&lt;Task_table_03_2_26!$K$2:$K$596))</f>
        <v>2</v>
      </c>
      <c r="C6" cm="1">
        <f t="array" ref="C6">SUMPRODUCT((Task_table_03_2_26!$C$2:$C$596=$C$1)*(A6&gt;Task_table_03_2_26!$J$2:$J$596)*(A6&lt;Task_table_03_2_26!$K$2:$K$596))</f>
        <v>1</v>
      </c>
      <c r="D6" cm="1">
        <f t="array" ref="D6">SUMPRODUCT((Task_table_03_2_26!$C$2:$C$596=$D$1)*(A6&gt;Task_table_03_2_26!$J$2:$J$596)*(A6&lt;Task_table_03_2_26!$K$2:$K$596))</f>
        <v>0</v>
      </c>
      <c r="E6" cm="1">
        <f t="array" ref="E6">SUMPRODUCT((Task_table_03_2_26!$C$2:$C$596=$E$1)*(A6&gt;Task_table_03_2_26!$J$2:$J$596)*(A6&lt;Task_table_03_2_26!$K$2:$K$596))</f>
        <v>0</v>
      </c>
    </row>
    <row r="7" spans="1:5">
      <c r="A7" s="5">
        <v>45875</v>
      </c>
      <c r="B7" cm="1">
        <f t="array" ref="B7">SUMPRODUCT((Task_table_03_2_26!$C$2:$C$596=$B$1)*(A7&gt;Task_table_03_2_26!$J$2:$J$596)*(A7&lt;Task_table_03_2_26!$K$2:$K$596))</f>
        <v>2</v>
      </c>
      <c r="C7" cm="1">
        <f t="array" ref="C7">SUMPRODUCT((Task_table_03_2_26!$C$2:$C$596=$C$1)*(A7&gt;Task_table_03_2_26!$J$2:$J$596)*(A7&lt;Task_table_03_2_26!$K$2:$K$596))</f>
        <v>1</v>
      </c>
      <c r="D7" cm="1">
        <f t="array" ref="D7">SUMPRODUCT((Task_table_03_2_26!$C$2:$C$596=$D$1)*(A7&gt;Task_table_03_2_26!$J$2:$J$596)*(A7&lt;Task_table_03_2_26!$K$2:$K$596))</f>
        <v>0</v>
      </c>
      <c r="E7" cm="1">
        <f t="array" ref="E7">SUMPRODUCT((Task_table_03_2_26!$C$2:$C$596=$E$1)*(A7&gt;Task_table_03_2_26!$J$2:$J$596)*(A7&lt;Task_table_03_2_26!$K$2:$K$596))</f>
        <v>0</v>
      </c>
    </row>
    <row r="8" spans="1:5">
      <c r="A8" s="5">
        <v>45876</v>
      </c>
      <c r="B8" cm="1">
        <f t="array" ref="B8">SUMPRODUCT((Task_table_03_2_26!$C$2:$C$596=$B$1)*(A8&gt;Task_table_03_2_26!$J$2:$J$596)*(A8&lt;Task_table_03_2_26!$K$2:$K$596))</f>
        <v>2</v>
      </c>
      <c r="C8" cm="1">
        <f t="array" ref="C8">SUMPRODUCT((Task_table_03_2_26!$C$2:$C$596=$C$1)*(A8&gt;Task_table_03_2_26!$J$2:$J$596)*(A8&lt;Task_table_03_2_26!$K$2:$K$596))</f>
        <v>1</v>
      </c>
      <c r="D8" cm="1">
        <f t="array" ref="D8">SUMPRODUCT((Task_table_03_2_26!$C$2:$C$596=$D$1)*(A8&gt;Task_table_03_2_26!$J$2:$J$596)*(A8&lt;Task_table_03_2_26!$K$2:$K$596))</f>
        <v>0</v>
      </c>
      <c r="E8" cm="1">
        <f t="array" ref="E8">SUMPRODUCT((Task_table_03_2_26!$C$2:$C$596=$E$1)*(A8&gt;Task_table_03_2_26!$J$2:$J$596)*(A8&lt;Task_table_03_2_26!$K$2:$K$596))</f>
        <v>0</v>
      </c>
    </row>
    <row r="9" spans="1:5">
      <c r="A9" s="5">
        <v>45877</v>
      </c>
      <c r="B9" cm="1">
        <f t="array" ref="B9">SUMPRODUCT((Task_table_03_2_26!$C$2:$C$596=$B$1)*(A9&gt;Task_table_03_2_26!$J$2:$J$596)*(A9&lt;Task_table_03_2_26!$K$2:$K$596))</f>
        <v>2</v>
      </c>
      <c r="C9" cm="1">
        <f t="array" ref="C9">SUMPRODUCT((Task_table_03_2_26!$C$2:$C$596=$C$1)*(A9&gt;Task_table_03_2_26!$J$2:$J$596)*(A9&lt;Task_table_03_2_26!$K$2:$K$596))</f>
        <v>1</v>
      </c>
      <c r="D9" cm="1">
        <f t="array" ref="D9">SUMPRODUCT((Task_table_03_2_26!$C$2:$C$596=$D$1)*(A9&gt;Task_table_03_2_26!$J$2:$J$596)*(A9&lt;Task_table_03_2_26!$K$2:$K$596))</f>
        <v>0</v>
      </c>
      <c r="E9" cm="1">
        <f t="array" ref="E9">SUMPRODUCT((Task_table_03_2_26!$C$2:$C$596=$E$1)*(A9&gt;Task_table_03_2_26!$J$2:$J$596)*(A9&lt;Task_table_03_2_26!$K$2:$K$596))</f>
        <v>0</v>
      </c>
    </row>
    <row r="10" spans="1:5">
      <c r="A10" s="5">
        <v>45878</v>
      </c>
      <c r="B10" cm="1">
        <f t="array" ref="B10">SUMPRODUCT((Task_table_03_2_26!$C$2:$C$596=$B$1)*(A10&gt;Task_table_03_2_26!$J$2:$J$596)*(A10&lt;Task_table_03_2_26!$K$2:$K$596))</f>
        <v>2</v>
      </c>
      <c r="C10" cm="1">
        <f t="array" ref="C10">SUMPRODUCT((Task_table_03_2_26!$C$2:$C$596=$C$1)*(A10&gt;Task_table_03_2_26!$J$2:$J$596)*(A10&lt;Task_table_03_2_26!$K$2:$K$596))</f>
        <v>1</v>
      </c>
      <c r="D10" cm="1">
        <f t="array" ref="D10">SUMPRODUCT((Task_table_03_2_26!$C$2:$C$596=$D$1)*(A10&gt;Task_table_03_2_26!$J$2:$J$596)*(A10&lt;Task_table_03_2_26!$K$2:$K$596))</f>
        <v>0</v>
      </c>
      <c r="E10" cm="1">
        <f t="array" ref="E10">SUMPRODUCT((Task_table_03_2_26!$C$2:$C$596=$E$1)*(A10&gt;Task_table_03_2_26!$J$2:$J$596)*(A10&lt;Task_table_03_2_26!$K$2:$K$596))</f>
        <v>0</v>
      </c>
    </row>
    <row r="11" spans="1:5">
      <c r="A11" s="5">
        <v>45879</v>
      </c>
      <c r="B11" cm="1">
        <f t="array" ref="B11">SUMPRODUCT((Task_table_03_2_26!$C$2:$C$596=$B$1)*(A11&gt;Task_table_03_2_26!$J$2:$J$596)*(A11&lt;Task_table_03_2_26!$K$2:$K$596))</f>
        <v>2</v>
      </c>
      <c r="C11" cm="1">
        <f t="array" ref="C11">SUMPRODUCT((Task_table_03_2_26!$C$2:$C$596=$C$1)*(A11&gt;Task_table_03_2_26!$J$2:$J$596)*(A11&lt;Task_table_03_2_26!$K$2:$K$596))</f>
        <v>1</v>
      </c>
      <c r="D11" cm="1">
        <f t="array" ref="D11">SUMPRODUCT((Task_table_03_2_26!$C$2:$C$596=$D$1)*(A11&gt;Task_table_03_2_26!$J$2:$J$596)*(A11&lt;Task_table_03_2_26!$K$2:$K$596))</f>
        <v>0</v>
      </c>
      <c r="E11" cm="1">
        <f t="array" ref="E11">SUMPRODUCT((Task_table_03_2_26!$C$2:$C$596=$E$1)*(A11&gt;Task_table_03_2_26!$J$2:$J$596)*(A11&lt;Task_table_03_2_26!$K$2:$K$596))</f>
        <v>0</v>
      </c>
    </row>
    <row r="12" spans="1:5">
      <c r="A12" s="5">
        <v>45880</v>
      </c>
      <c r="B12" cm="1">
        <f t="array" ref="B12">SUMPRODUCT((Task_table_03_2_26!$C$2:$C$596=$B$1)*(A12&gt;Task_table_03_2_26!$J$2:$J$596)*(A12&lt;Task_table_03_2_26!$K$2:$K$596))</f>
        <v>2</v>
      </c>
      <c r="C12" cm="1">
        <f t="array" ref="C12">SUMPRODUCT((Task_table_03_2_26!$C$2:$C$596=$C$1)*(A12&gt;Task_table_03_2_26!$J$2:$J$596)*(A12&lt;Task_table_03_2_26!$K$2:$K$596))</f>
        <v>1</v>
      </c>
      <c r="D12" cm="1">
        <f t="array" ref="D12">SUMPRODUCT((Task_table_03_2_26!$C$2:$C$596=$D$1)*(A12&gt;Task_table_03_2_26!$J$2:$J$596)*(A12&lt;Task_table_03_2_26!$K$2:$K$596))</f>
        <v>0</v>
      </c>
      <c r="E12" cm="1">
        <f t="array" ref="E12">SUMPRODUCT((Task_table_03_2_26!$C$2:$C$596=$E$1)*(A12&gt;Task_table_03_2_26!$J$2:$J$596)*(A12&lt;Task_table_03_2_26!$K$2:$K$596))</f>
        <v>0</v>
      </c>
    </row>
    <row r="13" spans="1:5">
      <c r="A13" s="5">
        <v>45881</v>
      </c>
      <c r="B13" cm="1">
        <f t="array" ref="B13">SUMPRODUCT((Task_table_03_2_26!$C$2:$C$596=$B$1)*(A13&gt;Task_table_03_2_26!$J$2:$J$596)*(A13&lt;Task_table_03_2_26!$K$2:$K$596))</f>
        <v>2</v>
      </c>
      <c r="C13" cm="1">
        <f t="array" ref="C13">SUMPRODUCT((Task_table_03_2_26!$C$2:$C$596=$C$1)*(A13&gt;Task_table_03_2_26!$J$2:$J$596)*(A13&lt;Task_table_03_2_26!$K$2:$K$596))</f>
        <v>1</v>
      </c>
      <c r="D13" cm="1">
        <f t="array" ref="D13">SUMPRODUCT((Task_table_03_2_26!$C$2:$C$596=$D$1)*(A13&gt;Task_table_03_2_26!$J$2:$J$596)*(A13&lt;Task_table_03_2_26!$K$2:$K$596))</f>
        <v>0</v>
      </c>
      <c r="E13" cm="1">
        <f t="array" ref="E13">SUMPRODUCT((Task_table_03_2_26!$C$2:$C$596=$E$1)*(A13&gt;Task_table_03_2_26!$J$2:$J$596)*(A13&lt;Task_table_03_2_26!$K$2:$K$596))</f>
        <v>0</v>
      </c>
    </row>
    <row r="14" spans="1:5">
      <c r="A14" s="5">
        <v>45882</v>
      </c>
      <c r="B14" cm="1">
        <f t="array" ref="B14">SUMPRODUCT((Task_table_03_2_26!$C$2:$C$596=$B$1)*(A14&gt;Task_table_03_2_26!$J$2:$J$596)*(A14&lt;Task_table_03_2_26!$K$2:$K$596))</f>
        <v>2</v>
      </c>
      <c r="C14" cm="1">
        <f t="array" ref="C14">SUMPRODUCT((Task_table_03_2_26!$C$2:$C$596=$C$1)*(A14&gt;Task_table_03_2_26!$J$2:$J$596)*(A14&lt;Task_table_03_2_26!$K$2:$K$596))</f>
        <v>1</v>
      </c>
      <c r="D14" cm="1">
        <f t="array" ref="D14">SUMPRODUCT((Task_table_03_2_26!$C$2:$C$596=$D$1)*(A14&gt;Task_table_03_2_26!$J$2:$J$596)*(A14&lt;Task_table_03_2_26!$K$2:$K$596))</f>
        <v>0</v>
      </c>
      <c r="E14" cm="1">
        <f t="array" ref="E14">SUMPRODUCT((Task_table_03_2_26!$C$2:$C$596=$E$1)*(A14&gt;Task_table_03_2_26!$J$2:$J$596)*(A14&lt;Task_table_03_2_26!$K$2:$K$596))</f>
        <v>0</v>
      </c>
    </row>
    <row r="15" spans="1:5">
      <c r="A15" s="5">
        <v>45883</v>
      </c>
      <c r="B15" cm="1">
        <f t="array" ref="B15">SUMPRODUCT((Task_table_03_2_26!$C$2:$C$596=$B$1)*(A15&gt;Task_table_03_2_26!$J$2:$J$596)*(A15&lt;Task_table_03_2_26!$K$2:$K$596))</f>
        <v>2</v>
      </c>
      <c r="C15" cm="1">
        <f t="array" ref="C15">SUMPRODUCT((Task_table_03_2_26!$C$2:$C$596=$C$1)*(A15&gt;Task_table_03_2_26!$J$2:$J$596)*(A15&lt;Task_table_03_2_26!$K$2:$K$596))</f>
        <v>1</v>
      </c>
      <c r="D15" cm="1">
        <f t="array" ref="D15">SUMPRODUCT((Task_table_03_2_26!$C$2:$C$596=$D$1)*(A15&gt;Task_table_03_2_26!$J$2:$J$596)*(A15&lt;Task_table_03_2_26!$K$2:$K$596))</f>
        <v>0</v>
      </c>
      <c r="E15" cm="1">
        <f t="array" ref="E15">SUMPRODUCT((Task_table_03_2_26!$C$2:$C$596=$E$1)*(A15&gt;Task_table_03_2_26!$J$2:$J$596)*(A15&lt;Task_table_03_2_26!$K$2:$K$596))</f>
        <v>0</v>
      </c>
    </row>
    <row r="16" spans="1:5">
      <c r="A16" s="5">
        <v>45884</v>
      </c>
      <c r="B16" cm="1">
        <f t="array" ref="B16">SUMPRODUCT((Task_table_03_2_26!$C$2:$C$596=$B$1)*(A16&gt;Task_table_03_2_26!$J$2:$J$596)*(A16&lt;Task_table_03_2_26!$K$2:$K$596))</f>
        <v>2</v>
      </c>
      <c r="C16" cm="1">
        <f t="array" ref="C16">SUMPRODUCT((Task_table_03_2_26!$C$2:$C$596=$C$1)*(A16&gt;Task_table_03_2_26!$J$2:$J$596)*(A16&lt;Task_table_03_2_26!$K$2:$K$596))</f>
        <v>0</v>
      </c>
      <c r="D16" cm="1">
        <f t="array" ref="D16">SUMPRODUCT((Task_table_03_2_26!$C$2:$C$596=$D$1)*(A16&gt;Task_table_03_2_26!$J$2:$J$596)*(A16&lt;Task_table_03_2_26!$K$2:$K$596))</f>
        <v>0</v>
      </c>
      <c r="E16" cm="1">
        <f t="array" ref="E16">SUMPRODUCT((Task_table_03_2_26!$C$2:$C$596=$E$1)*(A16&gt;Task_table_03_2_26!$J$2:$J$596)*(A16&lt;Task_table_03_2_26!$K$2:$K$596))</f>
        <v>0</v>
      </c>
    </row>
    <row r="17" spans="1:5">
      <c r="A17" s="5">
        <v>45885</v>
      </c>
      <c r="B17" cm="1">
        <f t="array" ref="B17">SUMPRODUCT((Task_table_03_2_26!$C$2:$C$596=$B$1)*(A17&gt;Task_table_03_2_26!$J$2:$J$596)*(A17&lt;Task_table_03_2_26!$K$2:$K$596))</f>
        <v>2</v>
      </c>
      <c r="C17" cm="1">
        <f t="array" ref="C17">SUMPRODUCT((Task_table_03_2_26!$C$2:$C$596=$C$1)*(A17&gt;Task_table_03_2_26!$J$2:$J$596)*(A17&lt;Task_table_03_2_26!$K$2:$K$596))</f>
        <v>0</v>
      </c>
      <c r="D17" cm="1">
        <f t="array" ref="D17">SUMPRODUCT((Task_table_03_2_26!$C$2:$C$596=$D$1)*(A17&gt;Task_table_03_2_26!$J$2:$J$596)*(A17&lt;Task_table_03_2_26!$K$2:$K$596))</f>
        <v>0</v>
      </c>
      <c r="E17" cm="1">
        <f t="array" ref="E17">SUMPRODUCT((Task_table_03_2_26!$C$2:$C$596=$E$1)*(A17&gt;Task_table_03_2_26!$J$2:$J$596)*(A17&lt;Task_table_03_2_26!$K$2:$K$596))</f>
        <v>0</v>
      </c>
    </row>
    <row r="18" spans="1:5">
      <c r="A18" s="5">
        <v>45886</v>
      </c>
      <c r="B18" cm="1">
        <f t="array" ref="B18">SUMPRODUCT((Task_table_03_2_26!$C$2:$C$596=$B$1)*(A18&gt;Task_table_03_2_26!$J$2:$J$596)*(A18&lt;Task_table_03_2_26!$K$2:$K$596))</f>
        <v>2</v>
      </c>
      <c r="C18" cm="1">
        <f t="array" ref="C18">SUMPRODUCT((Task_table_03_2_26!$C$2:$C$596=$C$1)*(A18&gt;Task_table_03_2_26!$J$2:$J$596)*(A18&lt;Task_table_03_2_26!$K$2:$K$596))</f>
        <v>0</v>
      </c>
      <c r="D18" cm="1">
        <f t="array" ref="D18">SUMPRODUCT((Task_table_03_2_26!$C$2:$C$596=$D$1)*(A18&gt;Task_table_03_2_26!$J$2:$J$596)*(A18&lt;Task_table_03_2_26!$K$2:$K$596))</f>
        <v>0</v>
      </c>
      <c r="E18" cm="1">
        <f t="array" ref="E18">SUMPRODUCT((Task_table_03_2_26!$C$2:$C$596=$E$1)*(A18&gt;Task_table_03_2_26!$J$2:$J$596)*(A18&lt;Task_table_03_2_26!$K$2:$K$596))</f>
        <v>0</v>
      </c>
    </row>
    <row r="19" spans="1:5">
      <c r="A19" s="5">
        <v>45887</v>
      </c>
      <c r="B19" cm="1">
        <f t="array" ref="B19">SUMPRODUCT((Task_table_03_2_26!$C$2:$C$596=$B$1)*(A19&gt;Task_table_03_2_26!$J$2:$J$596)*(A19&lt;Task_table_03_2_26!$K$2:$K$596))</f>
        <v>2</v>
      </c>
      <c r="C19" cm="1">
        <f t="array" ref="C19">SUMPRODUCT((Task_table_03_2_26!$C$2:$C$596=$C$1)*(A19&gt;Task_table_03_2_26!$J$2:$J$596)*(A19&lt;Task_table_03_2_26!$K$2:$K$596))</f>
        <v>0</v>
      </c>
      <c r="D19" cm="1">
        <f t="array" ref="D19">SUMPRODUCT((Task_table_03_2_26!$C$2:$C$596=$D$1)*(A19&gt;Task_table_03_2_26!$J$2:$J$596)*(A19&lt;Task_table_03_2_26!$K$2:$K$596))</f>
        <v>0</v>
      </c>
      <c r="E19" cm="1">
        <f t="array" ref="E19">SUMPRODUCT((Task_table_03_2_26!$C$2:$C$596=$E$1)*(A19&gt;Task_table_03_2_26!$J$2:$J$596)*(A19&lt;Task_table_03_2_26!$K$2:$K$596))</f>
        <v>0</v>
      </c>
    </row>
    <row r="20" spans="1:5">
      <c r="A20" s="5">
        <v>45888</v>
      </c>
      <c r="B20" cm="1">
        <f t="array" ref="B20">SUMPRODUCT((Task_table_03_2_26!$C$2:$C$596=$B$1)*(A20&gt;Task_table_03_2_26!$J$2:$J$596)*(A20&lt;Task_table_03_2_26!$K$2:$K$596))</f>
        <v>2</v>
      </c>
      <c r="C20" cm="1">
        <f t="array" ref="C20">SUMPRODUCT((Task_table_03_2_26!$C$2:$C$596=$C$1)*(A20&gt;Task_table_03_2_26!$J$2:$J$596)*(A20&lt;Task_table_03_2_26!$K$2:$K$596))</f>
        <v>0</v>
      </c>
      <c r="D20" cm="1">
        <f t="array" ref="D20">SUMPRODUCT((Task_table_03_2_26!$C$2:$C$596=$D$1)*(A20&gt;Task_table_03_2_26!$J$2:$J$596)*(A20&lt;Task_table_03_2_26!$K$2:$K$596))</f>
        <v>0</v>
      </c>
      <c r="E20" cm="1">
        <f t="array" ref="E20">SUMPRODUCT((Task_table_03_2_26!$C$2:$C$596=$E$1)*(A20&gt;Task_table_03_2_26!$J$2:$J$596)*(A20&lt;Task_table_03_2_26!$K$2:$K$596))</f>
        <v>0</v>
      </c>
    </row>
    <row r="21" spans="1:5">
      <c r="A21" s="5">
        <v>45889</v>
      </c>
      <c r="B21" cm="1">
        <f t="array" ref="B21">SUMPRODUCT((Task_table_03_2_26!$C$2:$C$596=$B$1)*(A21&gt;Task_table_03_2_26!$J$2:$J$596)*(A21&lt;Task_table_03_2_26!$K$2:$K$596))</f>
        <v>2</v>
      </c>
      <c r="C21" cm="1">
        <f t="array" ref="C21">SUMPRODUCT((Task_table_03_2_26!$C$2:$C$596=$C$1)*(A21&gt;Task_table_03_2_26!$J$2:$J$596)*(A21&lt;Task_table_03_2_26!$K$2:$K$596))</f>
        <v>0</v>
      </c>
      <c r="D21" cm="1">
        <f t="array" ref="D21">SUMPRODUCT((Task_table_03_2_26!$C$2:$C$596=$D$1)*(A21&gt;Task_table_03_2_26!$J$2:$J$596)*(A21&lt;Task_table_03_2_26!$K$2:$K$596))</f>
        <v>0</v>
      </c>
      <c r="E21" cm="1">
        <f t="array" ref="E21">SUMPRODUCT((Task_table_03_2_26!$C$2:$C$596=$E$1)*(A21&gt;Task_table_03_2_26!$J$2:$J$596)*(A21&lt;Task_table_03_2_26!$K$2:$K$596))</f>
        <v>0</v>
      </c>
    </row>
    <row r="22" spans="1:5">
      <c r="A22" s="5">
        <v>45890</v>
      </c>
      <c r="B22" cm="1">
        <f t="array" ref="B22">SUMPRODUCT((Task_table_03_2_26!$C$2:$C$596=$B$1)*(A22&gt;Task_table_03_2_26!$J$2:$J$596)*(A22&lt;Task_table_03_2_26!$K$2:$K$596))</f>
        <v>2</v>
      </c>
      <c r="C22" cm="1">
        <f t="array" ref="C22">SUMPRODUCT((Task_table_03_2_26!$C$2:$C$596=$C$1)*(A22&gt;Task_table_03_2_26!$J$2:$J$596)*(A22&lt;Task_table_03_2_26!$K$2:$K$596))</f>
        <v>0</v>
      </c>
      <c r="D22" cm="1">
        <f t="array" ref="D22">SUMPRODUCT((Task_table_03_2_26!$C$2:$C$596=$D$1)*(A22&gt;Task_table_03_2_26!$J$2:$J$596)*(A22&lt;Task_table_03_2_26!$K$2:$K$596))</f>
        <v>0</v>
      </c>
      <c r="E22" cm="1">
        <f t="array" ref="E22">SUMPRODUCT((Task_table_03_2_26!$C$2:$C$596=$E$1)*(A22&gt;Task_table_03_2_26!$J$2:$J$596)*(A22&lt;Task_table_03_2_26!$K$2:$K$596))</f>
        <v>0</v>
      </c>
    </row>
    <row r="23" spans="1:5">
      <c r="A23" s="5">
        <v>45891</v>
      </c>
      <c r="B23" cm="1">
        <f t="array" ref="B23">SUMPRODUCT((Task_table_03_2_26!$C$2:$C$596=$B$1)*(A23&gt;Task_table_03_2_26!$J$2:$J$596)*(A23&lt;Task_table_03_2_26!$K$2:$K$596))</f>
        <v>2</v>
      </c>
      <c r="C23" cm="1">
        <f t="array" ref="C23">SUMPRODUCT((Task_table_03_2_26!$C$2:$C$596=$C$1)*(A23&gt;Task_table_03_2_26!$J$2:$J$596)*(A23&lt;Task_table_03_2_26!$K$2:$K$596))</f>
        <v>0</v>
      </c>
      <c r="D23" cm="1">
        <f t="array" ref="D23">SUMPRODUCT((Task_table_03_2_26!$C$2:$C$596=$D$1)*(A23&gt;Task_table_03_2_26!$J$2:$J$596)*(A23&lt;Task_table_03_2_26!$K$2:$K$596))</f>
        <v>0</v>
      </c>
      <c r="E23" cm="1">
        <f t="array" ref="E23">SUMPRODUCT((Task_table_03_2_26!$C$2:$C$596=$E$1)*(A23&gt;Task_table_03_2_26!$J$2:$J$596)*(A23&lt;Task_table_03_2_26!$K$2:$K$596))</f>
        <v>0</v>
      </c>
    </row>
    <row r="24" spans="1:5">
      <c r="A24" s="5">
        <v>45892</v>
      </c>
      <c r="B24" cm="1">
        <f t="array" ref="B24">SUMPRODUCT((Task_table_03_2_26!$C$2:$C$596=$B$1)*(A24&gt;Task_table_03_2_26!$J$2:$J$596)*(A24&lt;Task_table_03_2_26!$K$2:$K$596))</f>
        <v>2</v>
      </c>
      <c r="C24" cm="1">
        <f t="array" ref="C24">SUMPRODUCT((Task_table_03_2_26!$C$2:$C$596=$C$1)*(A24&gt;Task_table_03_2_26!$J$2:$J$596)*(A24&lt;Task_table_03_2_26!$K$2:$K$596))</f>
        <v>0</v>
      </c>
      <c r="D24" cm="1">
        <f t="array" ref="D24">SUMPRODUCT((Task_table_03_2_26!$C$2:$C$596=$D$1)*(A24&gt;Task_table_03_2_26!$J$2:$J$596)*(A24&lt;Task_table_03_2_26!$K$2:$K$596))</f>
        <v>0</v>
      </c>
      <c r="E24" cm="1">
        <f t="array" ref="E24">SUMPRODUCT((Task_table_03_2_26!$C$2:$C$596=$E$1)*(A24&gt;Task_table_03_2_26!$J$2:$J$596)*(A24&lt;Task_table_03_2_26!$K$2:$K$596))</f>
        <v>0</v>
      </c>
    </row>
    <row r="25" spans="1:5">
      <c r="A25" s="5">
        <v>45893</v>
      </c>
      <c r="B25" cm="1">
        <f t="array" ref="B25">SUMPRODUCT((Task_table_03_2_26!$C$2:$C$596=$B$1)*(A25&gt;Task_table_03_2_26!$J$2:$J$596)*(A25&lt;Task_table_03_2_26!$K$2:$K$596))</f>
        <v>2</v>
      </c>
      <c r="C25" cm="1">
        <f t="array" ref="C25">SUMPRODUCT((Task_table_03_2_26!$C$2:$C$596=$C$1)*(A25&gt;Task_table_03_2_26!$J$2:$J$596)*(A25&lt;Task_table_03_2_26!$K$2:$K$596))</f>
        <v>0</v>
      </c>
      <c r="D25" cm="1">
        <f t="array" ref="D25">SUMPRODUCT((Task_table_03_2_26!$C$2:$C$596=$D$1)*(A25&gt;Task_table_03_2_26!$J$2:$J$596)*(A25&lt;Task_table_03_2_26!$K$2:$K$596))</f>
        <v>0</v>
      </c>
      <c r="E25" cm="1">
        <f t="array" ref="E25">SUMPRODUCT((Task_table_03_2_26!$C$2:$C$596=$E$1)*(A25&gt;Task_table_03_2_26!$J$2:$J$596)*(A25&lt;Task_table_03_2_26!$K$2:$K$596))</f>
        <v>0</v>
      </c>
    </row>
    <row r="26" spans="1:5">
      <c r="A26" s="5">
        <v>45894</v>
      </c>
      <c r="B26" cm="1">
        <f t="array" ref="B26">SUMPRODUCT((Task_table_03_2_26!$C$2:$C$596=$B$1)*(A26&gt;Task_table_03_2_26!$J$2:$J$596)*(A26&lt;Task_table_03_2_26!$K$2:$K$596))</f>
        <v>2</v>
      </c>
      <c r="C26" cm="1">
        <f t="array" ref="C26">SUMPRODUCT((Task_table_03_2_26!$C$2:$C$596=$C$1)*(A26&gt;Task_table_03_2_26!$J$2:$J$596)*(A26&lt;Task_table_03_2_26!$K$2:$K$596))</f>
        <v>0</v>
      </c>
      <c r="D26" cm="1">
        <f t="array" ref="D26">SUMPRODUCT((Task_table_03_2_26!$C$2:$C$596=$D$1)*(A26&gt;Task_table_03_2_26!$J$2:$J$596)*(A26&lt;Task_table_03_2_26!$K$2:$K$596))</f>
        <v>0</v>
      </c>
      <c r="E26" cm="1">
        <f t="array" ref="E26">SUMPRODUCT((Task_table_03_2_26!$C$2:$C$596=$E$1)*(A26&gt;Task_table_03_2_26!$J$2:$J$596)*(A26&lt;Task_table_03_2_26!$K$2:$K$596))</f>
        <v>0</v>
      </c>
    </row>
    <row r="27" spans="1:5">
      <c r="A27" s="5">
        <v>45895</v>
      </c>
      <c r="B27" cm="1">
        <f t="array" ref="B27">SUMPRODUCT((Task_table_03_2_26!$C$2:$C$596=$B$1)*(A27&gt;Task_table_03_2_26!$J$2:$J$596)*(A27&lt;Task_table_03_2_26!$K$2:$K$596))</f>
        <v>2</v>
      </c>
      <c r="C27" cm="1">
        <f t="array" ref="C27">SUMPRODUCT((Task_table_03_2_26!$C$2:$C$596=$C$1)*(A27&gt;Task_table_03_2_26!$J$2:$J$596)*(A27&lt;Task_table_03_2_26!$K$2:$K$596))</f>
        <v>0</v>
      </c>
      <c r="D27" cm="1">
        <f t="array" ref="D27">SUMPRODUCT((Task_table_03_2_26!$C$2:$C$596=$D$1)*(A27&gt;Task_table_03_2_26!$J$2:$J$596)*(A27&lt;Task_table_03_2_26!$K$2:$K$596))</f>
        <v>0</v>
      </c>
      <c r="E27" cm="1">
        <f t="array" ref="E27">SUMPRODUCT((Task_table_03_2_26!$C$2:$C$596=$E$1)*(A27&gt;Task_table_03_2_26!$J$2:$J$596)*(A27&lt;Task_table_03_2_26!$K$2:$K$596))</f>
        <v>0</v>
      </c>
    </row>
    <row r="28" spans="1:5">
      <c r="A28" s="5">
        <v>45896</v>
      </c>
      <c r="B28" cm="1">
        <f t="array" ref="B28">SUMPRODUCT((Task_table_03_2_26!$C$2:$C$596=$B$1)*(A28&gt;Task_table_03_2_26!$J$2:$J$596)*(A28&lt;Task_table_03_2_26!$K$2:$K$596))</f>
        <v>2</v>
      </c>
      <c r="C28" cm="1">
        <f t="array" ref="C28">SUMPRODUCT((Task_table_03_2_26!$C$2:$C$596=$C$1)*(A28&gt;Task_table_03_2_26!$J$2:$J$596)*(A28&lt;Task_table_03_2_26!$K$2:$K$596))</f>
        <v>0</v>
      </c>
      <c r="D28" cm="1">
        <f t="array" ref="D28">SUMPRODUCT((Task_table_03_2_26!$C$2:$C$596=$D$1)*(A28&gt;Task_table_03_2_26!$J$2:$J$596)*(A28&lt;Task_table_03_2_26!$K$2:$K$596))</f>
        <v>0</v>
      </c>
      <c r="E28" cm="1">
        <f t="array" ref="E28">SUMPRODUCT((Task_table_03_2_26!$C$2:$C$596=$E$1)*(A28&gt;Task_table_03_2_26!$J$2:$J$596)*(A28&lt;Task_table_03_2_26!$K$2:$K$596))</f>
        <v>0</v>
      </c>
    </row>
    <row r="29" spans="1:5">
      <c r="A29" s="5">
        <v>45897</v>
      </c>
      <c r="B29" cm="1">
        <f t="array" ref="B29">SUMPRODUCT((Task_table_03_2_26!$C$2:$C$596=$B$1)*(A29&gt;Task_table_03_2_26!$J$2:$J$596)*(A29&lt;Task_table_03_2_26!$K$2:$K$596))</f>
        <v>2</v>
      </c>
      <c r="C29" cm="1">
        <f t="array" ref="C29">SUMPRODUCT((Task_table_03_2_26!$C$2:$C$596=$C$1)*(A29&gt;Task_table_03_2_26!$J$2:$J$596)*(A29&lt;Task_table_03_2_26!$K$2:$K$596))</f>
        <v>0</v>
      </c>
      <c r="D29" cm="1">
        <f t="array" ref="D29">SUMPRODUCT((Task_table_03_2_26!$C$2:$C$596=$D$1)*(A29&gt;Task_table_03_2_26!$J$2:$J$596)*(A29&lt;Task_table_03_2_26!$K$2:$K$596))</f>
        <v>0</v>
      </c>
      <c r="E29" cm="1">
        <f t="array" ref="E29">SUMPRODUCT((Task_table_03_2_26!$C$2:$C$596=$E$1)*(A29&gt;Task_table_03_2_26!$J$2:$J$596)*(A29&lt;Task_table_03_2_26!$K$2:$K$596))</f>
        <v>0</v>
      </c>
    </row>
    <row r="30" spans="1:5">
      <c r="A30" s="5">
        <v>45898</v>
      </c>
      <c r="B30" cm="1">
        <f t="array" ref="B30">SUMPRODUCT((Task_table_03_2_26!$C$2:$C$596=$B$1)*(A30&gt;Task_table_03_2_26!$J$2:$J$596)*(A30&lt;Task_table_03_2_26!$K$2:$K$596))</f>
        <v>2</v>
      </c>
      <c r="C30" cm="1">
        <f t="array" ref="C30">SUMPRODUCT((Task_table_03_2_26!$C$2:$C$596=$C$1)*(A30&gt;Task_table_03_2_26!$J$2:$J$596)*(A30&lt;Task_table_03_2_26!$K$2:$K$596))</f>
        <v>0</v>
      </c>
      <c r="D30" cm="1">
        <f t="array" ref="D30">SUMPRODUCT((Task_table_03_2_26!$C$2:$C$596=$D$1)*(A30&gt;Task_table_03_2_26!$J$2:$J$596)*(A30&lt;Task_table_03_2_26!$K$2:$K$596))</f>
        <v>0</v>
      </c>
      <c r="E30" cm="1">
        <f t="array" ref="E30">SUMPRODUCT((Task_table_03_2_26!$C$2:$C$596=$E$1)*(A30&gt;Task_table_03_2_26!$J$2:$J$596)*(A30&lt;Task_table_03_2_26!$K$2:$K$596))</f>
        <v>0</v>
      </c>
    </row>
    <row r="31" spans="1:5">
      <c r="A31" s="5">
        <v>45899</v>
      </c>
      <c r="B31" cm="1">
        <f t="array" ref="B31">SUMPRODUCT((Task_table_03_2_26!$C$2:$C$596=$B$1)*(A31&gt;Task_table_03_2_26!$J$2:$J$596)*(A31&lt;Task_table_03_2_26!$K$2:$K$596))</f>
        <v>1</v>
      </c>
      <c r="C31" cm="1">
        <f t="array" ref="C31">SUMPRODUCT((Task_table_03_2_26!$C$2:$C$596=$C$1)*(A31&gt;Task_table_03_2_26!$J$2:$J$596)*(A31&lt;Task_table_03_2_26!$K$2:$K$596))</f>
        <v>0</v>
      </c>
      <c r="D31" cm="1">
        <f t="array" ref="D31">SUMPRODUCT((Task_table_03_2_26!$C$2:$C$596=$D$1)*(A31&gt;Task_table_03_2_26!$J$2:$J$596)*(A31&lt;Task_table_03_2_26!$K$2:$K$596))</f>
        <v>0</v>
      </c>
      <c r="E31" cm="1">
        <f t="array" ref="E31">SUMPRODUCT((Task_table_03_2_26!$C$2:$C$596=$E$1)*(A31&gt;Task_table_03_2_26!$J$2:$J$596)*(A31&lt;Task_table_03_2_26!$K$2:$K$596))</f>
        <v>0</v>
      </c>
    </row>
    <row r="32" spans="1:5">
      <c r="A32" s="5">
        <v>45900</v>
      </c>
      <c r="B32" cm="1">
        <f t="array" ref="B32">SUMPRODUCT((Task_table_03_2_26!$C$2:$C$596=$B$1)*(A32&gt;Task_table_03_2_26!$J$2:$J$596)*(A32&lt;Task_table_03_2_26!$K$2:$K$596))</f>
        <v>1</v>
      </c>
      <c r="C32" cm="1">
        <f t="array" ref="C32">SUMPRODUCT((Task_table_03_2_26!$C$2:$C$596=$C$1)*(A32&gt;Task_table_03_2_26!$J$2:$J$596)*(A32&lt;Task_table_03_2_26!$K$2:$K$596))</f>
        <v>0</v>
      </c>
      <c r="D32" cm="1">
        <f t="array" ref="D32">SUMPRODUCT((Task_table_03_2_26!$C$2:$C$596=$D$1)*(A32&gt;Task_table_03_2_26!$J$2:$J$596)*(A32&lt;Task_table_03_2_26!$K$2:$K$596))</f>
        <v>0</v>
      </c>
      <c r="E32" cm="1">
        <f t="array" ref="E32">SUMPRODUCT((Task_table_03_2_26!$C$2:$C$596=$E$1)*(A32&gt;Task_table_03_2_26!$J$2:$J$596)*(A32&lt;Task_table_03_2_26!$K$2:$K$596))</f>
        <v>0</v>
      </c>
    </row>
    <row r="33" spans="1:5">
      <c r="A33" s="5">
        <v>45901</v>
      </c>
      <c r="B33" cm="1">
        <f t="array" ref="B33">SUMPRODUCT((Task_table_03_2_26!$C$2:$C$596=$B$1)*(A33&gt;Task_table_03_2_26!$J$2:$J$596)*(A33&lt;Task_table_03_2_26!$K$2:$K$596))</f>
        <v>1</v>
      </c>
      <c r="C33" cm="1">
        <f t="array" ref="C33">SUMPRODUCT((Task_table_03_2_26!$C$2:$C$596=$C$1)*(A33&gt;Task_table_03_2_26!$J$2:$J$596)*(A33&lt;Task_table_03_2_26!$K$2:$K$596))</f>
        <v>0</v>
      </c>
      <c r="D33" cm="1">
        <f t="array" ref="D33">SUMPRODUCT((Task_table_03_2_26!$C$2:$C$596=$D$1)*(A33&gt;Task_table_03_2_26!$J$2:$J$596)*(A33&lt;Task_table_03_2_26!$K$2:$K$596))</f>
        <v>0</v>
      </c>
      <c r="E33" cm="1">
        <f t="array" ref="E33">SUMPRODUCT((Task_table_03_2_26!$C$2:$C$596=$E$1)*(A33&gt;Task_table_03_2_26!$J$2:$J$596)*(A33&lt;Task_table_03_2_26!$K$2:$K$596))</f>
        <v>0</v>
      </c>
    </row>
    <row r="34" spans="1:5">
      <c r="A34" s="5">
        <v>45902</v>
      </c>
      <c r="B34" cm="1">
        <f t="array" ref="B34">SUMPRODUCT((Task_table_03_2_26!$C$2:$C$596=$B$1)*(A34&gt;Task_table_03_2_26!$J$2:$J$596)*(A34&lt;Task_table_03_2_26!$K$2:$K$596))</f>
        <v>1</v>
      </c>
      <c r="C34" cm="1">
        <f t="array" ref="C34">SUMPRODUCT((Task_table_03_2_26!$C$2:$C$596=$C$1)*(A34&gt;Task_table_03_2_26!$J$2:$J$596)*(A34&lt;Task_table_03_2_26!$K$2:$K$596))</f>
        <v>0</v>
      </c>
      <c r="D34" cm="1">
        <f t="array" ref="D34">SUMPRODUCT((Task_table_03_2_26!$C$2:$C$596=$D$1)*(A34&gt;Task_table_03_2_26!$J$2:$J$596)*(A34&lt;Task_table_03_2_26!$K$2:$K$596))</f>
        <v>0</v>
      </c>
      <c r="E34" cm="1">
        <f t="array" ref="E34">SUMPRODUCT((Task_table_03_2_26!$C$2:$C$596=$E$1)*(A34&gt;Task_table_03_2_26!$J$2:$J$596)*(A34&lt;Task_table_03_2_26!$K$2:$K$596))</f>
        <v>0</v>
      </c>
    </row>
    <row r="35" spans="1:5">
      <c r="A35" s="5">
        <v>45903</v>
      </c>
      <c r="B35" cm="1">
        <f t="array" ref="B35">SUMPRODUCT((Task_table_03_2_26!$C$2:$C$596=$B$1)*(A35&gt;Task_table_03_2_26!$J$2:$J$596)*(A35&lt;Task_table_03_2_26!$K$2:$K$596))</f>
        <v>1</v>
      </c>
      <c r="C35" cm="1">
        <f t="array" ref="C35">SUMPRODUCT((Task_table_03_2_26!$C$2:$C$596=$C$1)*(A35&gt;Task_table_03_2_26!$J$2:$J$596)*(A35&lt;Task_table_03_2_26!$K$2:$K$596))</f>
        <v>0</v>
      </c>
      <c r="D35" cm="1">
        <f t="array" ref="D35">SUMPRODUCT((Task_table_03_2_26!$C$2:$C$596=$D$1)*(A35&gt;Task_table_03_2_26!$J$2:$J$596)*(A35&lt;Task_table_03_2_26!$K$2:$K$596))</f>
        <v>0</v>
      </c>
      <c r="E35" cm="1">
        <f t="array" ref="E35">SUMPRODUCT((Task_table_03_2_26!$C$2:$C$596=$E$1)*(A35&gt;Task_table_03_2_26!$J$2:$J$596)*(A35&lt;Task_table_03_2_26!$K$2:$K$596))</f>
        <v>0</v>
      </c>
    </row>
    <row r="36" spans="1:5">
      <c r="A36" s="5">
        <v>45904</v>
      </c>
      <c r="B36" cm="1">
        <f t="array" ref="B36">SUMPRODUCT((Task_table_03_2_26!$C$2:$C$596=$B$1)*(A36&gt;Task_table_03_2_26!$J$2:$J$596)*(A36&lt;Task_table_03_2_26!$K$2:$K$596))</f>
        <v>1</v>
      </c>
      <c r="C36" cm="1">
        <f t="array" ref="C36">SUMPRODUCT((Task_table_03_2_26!$C$2:$C$596=$C$1)*(A36&gt;Task_table_03_2_26!$J$2:$J$596)*(A36&lt;Task_table_03_2_26!$K$2:$K$596))</f>
        <v>0</v>
      </c>
      <c r="D36" cm="1">
        <f t="array" ref="D36">SUMPRODUCT((Task_table_03_2_26!$C$2:$C$596=$D$1)*(A36&gt;Task_table_03_2_26!$J$2:$J$596)*(A36&lt;Task_table_03_2_26!$K$2:$K$596))</f>
        <v>0</v>
      </c>
      <c r="E36" cm="1">
        <f t="array" ref="E36">SUMPRODUCT((Task_table_03_2_26!$C$2:$C$596=$E$1)*(A36&gt;Task_table_03_2_26!$J$2:$J$596)*(A36&lt;Task_table_03_2_26!$K$2:$K$596))</f>
        <v>0</v>
      </c>
    </row>
    <row r="37" spans="1:5">
      <c r="A37" s="5">
        <v>45905</v>
      </c>
      <c r="B37" cm="1">
        <f t="array" ref="B37">SUMPRODUCT((Task_table_03_2_26!$C$2:$C$596=$B$1)*(A37&gt;Task_table_03_2_26!$J$2:$J$596)*(A37&lt;Task_table_03_2_26!$K$2:$K$596))</f>
        <v>1</v>
      </c>
      <c r="C37" cm="1">
        <f t="array" ref="C37">SUMPRODUCT((Task_table_03_2_26!$C$2:$C$596=$C$1)*(A37&gt;Task_table_03_2_26!$J$2:$J$596)*(A37&lt;Task_table_03_2_26!$K$2:$K$596))</f>
        <v>0</v>
      </c>
      <c r="D37" cm="1">
        <f t="array" ref="D37">SUMPRODUCT((Task_table_03_2_26!$C$2:$C$596=$D$1)*(A37&gt;Task_table_03_2_26!$J$2:$J$596)*(A37&lt;Task_table_03_2_26!$K$2:$K$596))</f>
        <v>0</v>
      </c>
      <c r="E37" cm="1">
        <f t="array" ref="E37">SUMPRODUCT((Task_table_03_2_26!$C$2:$C$596=$E$1)*(A37&gt;Task_table_03_2_26!$J$2:$J$596)*(A37&lt;Task_table_03_2_26!$K$2:$K$596))</f>
        <v>0</v>
      </c>
    </row>
    <row r="38" spans="1:5">
      <c r="A38" s="5">
        <v>45906</v>
      </c>
      <c r="B38" cm="1">
        <f t="array" ref="B38">SUMPRODUCT((Task_table_03_2_26!$C$2:$C$596=$B$1)*(A38&gt;Task_table_03_2_26!$J$2:$J$596)*(A38&lt;Task_table_03_2_26!$K$2:$K$596))</f>
        <v>1</v>
      </c>
      <c r="C38" cm="1">
        <f t="array" ref="C38">SUMPRODUCT((Task_table_03_2_26!$C$2:$C$596=$C$1)*(A38&gt;Task_table_03_2_26!$J$2:$J$596)*(A38&lt;Task_table_03_2_26!$K$2:$K$596))</f>
        <v>0</v>
      </c>
      <c r="D38" cm="1">
        <f t="array" ref="D38">SUMPRODUCT((Task_table_03_2_26!$C$2:$C$596=$D$1)*(A38&gt;Task_table_03_2_26!$J$2:$J$596)*(A38&lt;Task_table_03_2_26!$K$2:$K$596))</f>
        <v>0</v>
      </c>
      <c r="E38" cm="1">
        <f t="array" ref="E38">SUMPRODUCT((Task_table_03_2_26!$C$2:$C$596=$E$1)*(A38&gt;Task_table_03_2_26!$J$2:$J$596)*(A38&lt;Task_table_03_2_26!$K$2:$K$596))</f>
        <v>0</v>
      </c>
    </row>
    <row r="39" spans="1:5">
      <c r="A39" s="5">
        <v>45907</v>
      </c>
      <c r="B39" cm="1">
        <f t="array" ref="B39">SUMPRODUCT((Task_table_03_2_26!$C$2:$C$596=$B$1)*(A39&gt;Task_table_03_2_26!$J$2:$J$596)*(A39&lt;Task_table_03_2_26!$K$2:$K$596))</f>
        <v>1</v>
      </c>
      <c r="C39" cm="1">
        <f t="array" ref="C39">SUMPRODUCT((Task_table_03_2_26!$C$2:$C$596=$C$1)*(A39&gt;Task_table_03_2_26!$J$2:$J$596)*(A39&lt;Task_table_03_2_26!$K$2:$K$596))</f>
        <v>0</v>
      </c>
      <c r="D39" cm="1">
        <f t="array" ref="D39">SUMPRODUCT((Task_table_03_2_26!$C$2:$C$596=$D$1)*(A39&gt;Task_table_03_2_26!$J$2:$J$596)*(A39&lt;Task_table_03_2_26!$K$2:$K$596))</f>
        <v>0</v>
      </c>
      <c r="E39" cm="1">
        <f t="array" ref="E39">SUMPRODUCT((Task_table_03_2_26!$C$2:$C$596=$E$1)*(A39&gt;Task_table_03_2_26!$J$2:$J$596)*(A39&lt;Task_table_03_2_26!$K$2:$K$596))</f>
        <v>0</v>
      </c>
    </row>
    <row r="40" spans="1:5">
      <c r="A40" s="5">
        <v>45908</v>
      </c>
      <c r="B40" cm="1">
        <f t="array" ref="B40">SUMPRODUCT((Task_table_03_2_26!$C$2:$C$596=$B$1)*(A40&gt;Task_table_03_2_26!$J$2:$J$596)*(A40&lt;Task_table_03_2_26!$K$2:$K$596))</f>
        <v>1</v>
      </c>
      <c r="C40" cm="1">
        <f t="array" ref="C40">SUMPRODUCT((Task_table_03_2_26!$C$2:$C$596=$C$1)*(A40&gt;Task_table_03_2_26!$J$2:$J$596)*(A40&lt;Task_table_03_2_26!$K$2:$K$596))</f>
        <v>0</v>
      </c>
      <c r="D40" cm="1">
        <f t="array" ref="D40">SUMPRODUCT((Task_table_03_2_26!$C$2:$C$596=$D$1)*(A40&gt;Task_table_03_2_26!$J$2:$J$596)*(A40&lt;Task_table_03_2_26!$K$2:$K$596))</f>
        <v>0</v>
      </c>
      <c r="E40" cm="1">
        <f t="array" ref="E40">SUMPRODUCT((Task_table_03_2_26!$C$2:$C$596=$E$1)*(A40&gt;Task_table_03_2_26!$J$2:$J$596)*(A40&lt;Task_table_03_2_26!$K$2:$K$596))</f>
        <v>0</v>
      </c>
    </row>
    <row r="41" spans="1:5">
      <c r="A41" s="5">
        <v>45909</v>
      </c>
      <c r="B41" cm="1">
        <f t="array" ref="B41">SUMPRODUCT((Task_table_03_2_26!$C$2:$C$596=$B$1)*(A41&gt;Task_table_03_2_26!$J$2:$J$596)*(A41&lt;Task_table_03_2_26!$K$2:$K$596))</f>
        <v>1</v>
      </c>
      <c r="C41" cm="1">
        <f t="array" ref="C41">SUMPRODUCT((Task_table_03_2_26!$C$2:$C$596=$C$1)*(A41&gt;Task_table_03_2_26!$J$2:$J$596)*(A41&lt;Task_table_03_2_26!$K$2:$K$596))</f>
        <v>0</v>
      </c>
      <c r="D41" cm="1">
        <f t="array" ref="D41">SUMPRODUCT((Task_table_03_2_26!$C$2:$C$596=$D$1)*(A41&gt;Task_table_03_2_26!$J$2:$J$596)*(A41&lt;Task_table_03_2_26!$K$2:$K$596))</f>
        <v>0</v>
      </c>
      <c r="E41" cm="1">
        <f t="array" ref="E41">SUMPRODUCT((Task_table_03_2_26!$C$2:$C$596=$E$1)*(A41&gt;Task_table_03_2_26!$J$2:$J$596)*(A41&lt;Task_table_03_2_26!$K$2:$K$596))</f>
        <v>0</v>
      </c>
    </row>
    <row r="42" spans="1:5">
      <c r="A42" s="5">
        <v>45910</v>
      </c>
      <c r="B42" cm="1">
        <f t="array" ref="B42">SUMPRODUCT((Task_table_03_2_26!$C$2:$C$596=$B$1)*(A42&gt;Task_table_03_2_26!$J$2:$J$596)*(A42&lt;Task_table_03_2_26!$K$2:$K$596))</f>
        <v>1</v>
      </c>
      <c r="C42" cm="1">
        <f t="array" ref="C42">SUMPRODUCT((Task_table_03_2_26!$C$2:$C$596=$C$1)*(A42&gt;Task_table_03_2_26!$J$2:$J$596)*(A42&lt;Task_table_03_2_26!$K$2:$K$596))</f>
        <v>0</v>
      </c>
      <c r="D42" cm="1">
        <f t="array" ref="D42">SUMPRODUCT((Task_table_03_2_26!$C$2:$C$596=$D$1)*(A42&gt;Task_table_03_2_26!$J$2:$J$596)*(A42&lt;Task_table_03_2_26!$K$2:$K$596))</f>
        <v>0</v>
      </c>
      <c r="E42" cm="1">
        <f t="array" ref="E42">SUMPRODUCT((Task_table_03_2_26!$C$2:$C$596=$E$1)*(A42&gt;Task_table_03_2_26!$J$2:$J$596)*(A42&lt;Task_table_03_2_26!$K$2:$K$596))</f>
        <v>0</v>
      </c>
    </row>
    <row r="43" spans="1:5">
      <c r="A43" s="5">
        <v>45911</v>
      </c>
      <c r="B43" cm="1">
        <f t="array" ref="B43">SUMPRODUCT((Task_table_03_2_26!$C$2:$C$596=$B$1)*(A43&gt;Task_table_03_2_26!$J$2:$J$596)*(A43&lt;Task_table_03_2_26!$K$2:$K$596))</f>
        <v>1</v>
      </c>
      <c r="C43" cm="1">
        <f t="array" ref="C43">SUMPRODUCT((Task_table_03_2_26!$C$2:$C$596=$C$1)*(A43&gt;Task_table_03_2_26!$J$2:$J$596)*(A43&lt;Task_table_03_2_26!$K$2:$K$596))</f>
        <v>0</v>
      </c>
      <c r="D43" cm="1">
        <f t="array" ref="D43">SUMPRODUCT((Task_table_03_2_26!$C$2:$C$596=$D$1)*(A43&gt;Task_table_03_2_26!$J$2:$J$596)*(A43&lt;Task_table_03_2_26!$K$2:$K$596))</f>
        <v>0</v>
      </c>
      <c r="E43" cm="1">
        <f t="array" ref="E43">SUMPRODUCT((Task_table_03_2_26!$C$2:$C$596=$E$1)*(A43&gt;Task_table_03_2_26!$J$2:$J$596)*(A43&lt;Task_table_03_2_26!$K$2:$K$596))</f>
        <v>0</v>
      </c>
    </row>
    <row r="44" spans="1:5">
      <c r="A44" s="5">
        <v>45912</v>
      </c>
      <c r="B44" cm="1">
        <f t="array" ref="B44">SUMPRODUCT((Task_table_03_2_26!$C$2:$C$596=$B$1)*(A44&gt;Task_table_03_2_26!$J$2:$J$596)*(A44&lt;Task_table_03_2_26!$K$2:$K$596))</f>
        <v>1</v>
      </c>
      <c r="C44" cm="1">
        <f t="array" ref="C44">SUMPRODUCT((Task_table_03_2_26!$C$2:$C$596=$C$1)*(A44&gt;Task_table_03_2_26!$J$2:$J$596)*(A44&lt;Task_table_03_2_26!$K$2:$K$596))</f>
        <v>0</v>
      </c>
      <c r="D44" cm="1">
        <f t="array" ref="D44">SUMPRODUCT((Task_table_03_2_26!$C$2:$C$596=$D$1)*(A44&gt;Task_table_03_2_26!$J$2:$J$596)*(A44&lt;Task_table_03_2_26!$K$2:$K$596))</f>
        <v>0</v>
      </c>
      <c r="E44" cm="1">
        <f t="array" ref="E44">SUMPRODUCT((Task_table_03_2_26!$C$2:$C$596=$E$1)*(A44&gt;Task_table_03_2_26!$J$2:$J$596)*(A44&lt;Task_table_03_2_26!$K$2:$K$596))</f>
        <v>0</v>
      </c>
    </row>
    <row r="45" spans="1:5">
      <c r="A45" s="5">
        <v>45913</v>
      </c>
      <c r="B45" cm="1">
        <f t="array" ref="B45">SUMPRODUCT((Task_table_03_2_26!$C$2:$C$596=$B$1)*(A45&gt;Task_table_03_2_26!$J$2:$J$596)*(A45&lt;Task_table_03_2_26!$K$2:$K$596))</f>
        <v>1</v>
      </c>
      <c r="C45" cm="1">
        <f t="array" ref="C45">SUMPRODUCT((Task_table_03_2_26!$C$2:$C$596=$C$1)*(A45&gt;Task_table_03_2_26!$J$2:$J$596)*(A45&lt;Task_table_03_2_26!$K$2:$K$596))</f>
        <v>0</v>
      </c>
      <c r="D45" cm="1">
        <f t="array" ref="D45">SUMPRODUCT((Task_table_03_2_26!$C$2:$C$596=$D$1)*(A45&gt;Task_table_03_2_26!$J$2:$J$596)*(A45&lt;Task_table_03_2_26!$K$2:$K$596))</f>
        <v>0</v>
      </c>
      <c r="E45" cm="1">
        <f t="array" ref="E45">SUMPRODUCT((Task_table_03_2_26!$C$2:$C$596=$E$1)*(A45&gt;Task_table_03_2_26!$J$2:$J$596)*(A45&lt;Task_table_03_2_26!$K$2:$K$596))</f>
        <v>0</v>
      </c>
    </row>
    <row r="46" spans="1:5">
      <c r="A46" s="5">
        <v>45914</v>
      </c>
      <c r="B46" cm="1">
        <f t="array" ref="B46">SUMPRODUCT((Task_table_03_2_26!$C$2:$C$596=$B$1)*(A46&gt;Task_table_03_2_26!$J$2:$J$596)*(A46&lt;Task_table_03_2_26!$K$2:$K$596))</f>
        <v>1</v>
      </c>
      <c r="C46" cm="1">
        <f t="array" ref="C46">SUMPRODUCT((Task_table_03_2_26!$C$2:$C$596=$C$1)*(A46&gt;Task_table_03_2_26!$J$2:$J$596)*(A46&lt;Task_table_03_2_26!$K$2:$K$596))</f>
        <v>0</v>
      </c>
      <c r="D46" cm="1">
        <f t="array" ref="D46">SUMPRODUCT((Task_table_03_2_26!$C$2:$C$596=$D$1)*(A46&gt;Task_table_03_2_26!$J$2:$J$596)*(A46&lt;Task_table_03_2_26!$K$2:$K$596))</f>
        <v>0</v>
      </c>
      <c r="E46" cm="1">
        <f t="array" ref="E46">SUMPRODUCT((Task_table_03_2_26!$C$2:$C$596=$E$1)*(A46&gt;Task_table_03_2_26!$J$2:$J$596)*(A46&lt;Task_table_03_2_26!$K$2:$K$596))</f>
        <v>0</v>
      </c>
    </row>
    <row r="47" spans="1:5">
      <c r="A47" s="5">
        <v>45915</v>
      </c>
      <c r="B47" cm="1">
        <f t="array" ref="B47">SUMPRODUCT((Task_table_03_2_26!$C$2:$C$596=$B$1)*(A47&gt;Task_table_03_2_26!$J$2:$J$596)*(A47&lt;Task_table_03_2_26!$K$2:$K$596))</f>
        <v>1</v>
      </c>
      <c r="C47" cm="1">
        <f t="array" ref="C47">SUMPRODUCT((Task_table_03_2_26!$C$2:$C$596=$C$1)*(A47&gt;Task_table_03_2_26!$J$2:$J$596)*(A47&lt;Task_table_03_2_26!$K$2:$K$596))</f>
        <v>0</v>
      </c>
      <c r="D47" cm="1">
        <f t="array" ref="D47">SUMPRODUCT((Task_table_03_2_26!$C$2:$C$596=$D$1)*(A47&gt;Task_table_03_2_26!$J$2:$J$596)*(A47&lt;Task_table_03_2_26!$K$2:$K$596))</f>
        <v>0</v>
      </c>
      <c r="E47" cm="1">
        <f t="array" ref="E47">SUMPRODUCT((Task_table_03_2_26!$C$2:$C$596=$E$1)*(A47&gt;Task_table_03_2_26!$J$2:$J$596)*(A47&lt;Task_table_03_2_26!$K$2:$K$596))</f>
        <v>0</v>
      </c>
    </row>
    <row r="48" spans="1:5">
      <c r="A48" s="5">
        <v>45916</v>
      </c>
      <c r="B48" cm="1">
        <f t="array" ref="B48">SUMPRODUCT((Task_table_03_2_26!$C$2:$C$596=$B$1)*(A48&gt;Task_table_03_2_26!$J$2:$J$596)*(A48&lt;Task_table_03_2_26!$K$2:$K$596))</f>
        <v>1</v>
      </c>
      <c r="C48" cm="1">
        <f t="array" ref="C48">SUMPRODUCT((Task_table_03_2_26!$C$2:$C$596=$C$1)*(A48&gt;Task_table_03_2_26!$J$2:$J$596)*(A48&lt;Task_table_03_2_26!$K$2:$K$596))</f>
        <v>0</v>
      </c>
      <c r="D48" cm="1">
        <f t="array" ref="D48">SUMPRODUCT((Task_table_03_2_26!$C$2:$C$596=$D$1)*(A48&gt;Task_table_03_2_26!$J$2:$J$596)*(A48&lt;Task_table_03_2_26!$K$2:$K$596))</f>
        <v>0</v>
      </c>
      <c r="E48" cm="1">
        <f t="array" ref="E48">SUMPRODUCT((Task_table_03_2_26!$C$2:$C$596=$E$1)*(A48&gt;Task_table_03_2_26!$J$2:$J$596)*(A48&lt;Task_table_03_2_26!$K$2:$K$596))</f>
        <v>0</v>
      </c>
    </row>
    <row r="49" spans="1:5">
      <c r="A49" s="5">
        <v>45917</v>
      </c>
      <c r="B49" cm="1">
        <f t="array" ref="B49">SUMPRODUCT((Task_table_03_2_26!$C$2:$C$596=$B$1)*(A49&gt;Task_table_03_2_26!$J$2:$J$596)*(A49&lt;Task_table_03_2_26!$K$2:$K$596))</f>
        <v>1</v>
      </c>
      <c r="C49" cm="1">
        <f t="array" ref="C49">SUMPRODUCT((Task_table_03_2_26!$C$2:$C$596=$C$1)*(A49&gt;Task_table_03_2_26!$J$2:$J$596)*(A49&lt;Task_table_03_2_26!$K$2:$K$596))</f>
        <v>0</v>
      </c>
      <c r="D49" cm="1">
        <f t="array" ref="D49">SUMPRODUCT((Task_table_03_2_26!$C$2:$C$596=$D$1)*(A49&gt;Task_table_03_2_26!$J$2:$J$596)*(A49&lt;Task_table_03_2_26!$K$2:$K$596))</f>
        <v>0</v>
      </c>
      <c r="E49" cm="1">
        <f t="array" ref="E49">SUMPRODUCT((Task_table_03_2_26!$C$2:$C$596=$E$1)*(A49&gt;Task_table_03_2_26!$J$2:$J$596)*(A49&lt;Task_table_03_2_26!$K$2:$K$596))</f>
        <v>0</v>
      </c>
    </row>
    <row r="50" spans="1:5">
      <c r="A50" s="5">
        <v>45918</v>
      </c>
      <c r="B50" cm="1">
        <f t="array" ref="B50">SUMPRODUCT((Task_table_03_2_26!$C$2:$C$596=$B$1)*(A50&gt;Task_table_03_2_26!$J$2:$J$596)*(A50&lt;Task_table_03_2_26!$K$2:$K$596))</f>
        <v>1</v>
      </c>
      <c r="C50" cm="1">
        <f t="array" ref="C50">SUMPRODUCT((Task_table_03_2_26!$C$2:$C$596=$C$1)*(A50&gt;Task_table_03_2_26!$J$2:$J$596)*(A50&lt;Task_table_03_2_26!$K$2:$K$596))</f>
        <v>0</v>
      </c>
      <c r="D50" cm="1">
        <f t="array" ref="D50">SUMPRODUCT((Task_table_03_2_26!$C$2:$C$596=$D$1)*(A50&gt;Task_table_03_2_26!$J$2:$J$596)*(A50&lt;Task_table_03_2_26!$K$2:$K$596))</f>
        <v>0</v>
      </c>
      <c r="E50" cm="1">
        <f t="array" ref="E50">SUMPRODUCT((Task_table_03_2_26!$C$2:$C$596=$E$1)*(A50&gt;Task_table_03_2_26!$J$2:$J$596)*(A50&lt;Task_table_03_2_26!$K$2:$K$596))</f>
        <v>0</v>
      </c>
    </row>
    <row r="51" spans="1:5">
      <c r="A51" s="5">
        <v>45919</v>
      </c>
      <c r="B51" cm="1">
        <f t="array" ref="B51">SUMPRODUCT((Task_table_03_2_26!$C$2:$C$596=$B$1)*(A51&gt;Task_table_03_2_26!$J$2:$J$596)*(A51&lt;Task_table_03_2_26!$K$2:$K$596))</f>
        <v>1</v>
      </c>
      <c r="C51" cm="1">
        <f t="array" ref="C51">SUMPRODUCT((Task_table_03_2_26!$C$2:$C$596=$C$1)*(A51&gt;Task_table_03_2_26!$J$2:$J$596)*(A51&lt;Task_table_03_2_26!$K$2:$K$596))</f>
        <v>0</v>
      </c>
      <c r="D51" cm="1">
        <f t="array" ref="D51">SUMPRODUCT((Task_table_03_2_26!$C$2:$C$596=$D$1)*(A51&gt;Task_table_03_2_26!$J$2:$J$596)*(A51&lt;Task_table_03_2_26!$K$2:$K$596))</f>
        <v>0</v>
      </c>
      <c r="E51" cm="1">
        <f t="array" ref="E51">SUMPRODUCT((Task_table_03_2_26!$C$2:$C$596=$E$1)*(A51&gt;Task_table_03_2_26!$J$2:$J$596)*(A51&lt;Task_table_03_2_26!$K$2:$K$596))</f>
        <v>0</v>
      </c>
    </row>
    <row r="52" spans="1:5">
      <c r="A52" s="5">
        <v>45920</v>
      </c>
      <c r="B52" cm="1">
        <f t="array" ref="B52">SUMPRODUCT((Task_table_03_2_26!$C$2:$C$596=$B$1)*(A52&gt;Task_table_03_2_26!$J$2:$J$596)*(A52&lt;Task_table_03_2_26!$K$2:$K$596))</f>
        <v>1</v>
      </c>
      <c r="C52" cm="1">
        <f t="array" ref="C52">SUMPRODUCT((Task_table_03_2_26!$C$2:$C$596=$C$1)*(A52&gt;Task_table_03_2_26!$J$2:$J$596)*(A52&lt;Task_table_03_2_26!$K$2:$K$596))</f>
        <v>0</v>
      </c>
      <c r="D52" cm="1">
        <f t="array" ref="D52">SUMPRODUCT((Task_table_03_2_26!$C$2:$C$596=$D$1)*(A52&gt;Task_table_03_2_26!$J$2:$J$596)*(A52&lt;Task_table_03_2_26!$K$2:$K$596))</f>
        <v>0</v>
      </c>
      <c r="E52" cm="1">
        <f t="array" ref="E52">SUMPRODUCT((Task_table_03_2_26!$C$2:$C$596=$E$1)*(A52&gt;Task_table_03_2_26!$J$2:$J$596)*(A52&lt;Task_table_03_2_26!$K$2:$K$596))</f>
        <v>0</v>
      </c>
    </row>
    <row r="53" spans="1:5">
      <c r="A53" s="5">
        <v>45921</v>
      </c>
      <c r="B53" cm="1">
        <f t="array" ref="B53">SUMPRODUCT((Task_table_03_2_26!$C$2:$C$596=$B$1)*(A53&gt;Task_table_03_2_26!$J$2:$J$596)*(A53&lt;Task_table_03_2_26!$K$2:$K$596))</f>
        <v>1</v>
      </c>
      <c r="C53" cm="1">
        <f t="array" ref="C53">SUMPRODUCT((Task_table_03_2_26!$C$2:$C$596=$C$1)*(A53&gt;Task_table_03_2_26!$J$2:$J$596)*(A53&lt;Task_table_03_2_26!$K$2:$K$596))</f>
        <v>0</v>
      </c>
      <c r="D53" cm="1">
        <f t="array" ref="D53">SUMPRODUCT((Task_table_03_2_26!$C$2:$C$596=$D$1)*(A53&gt;Task_table_03_2_26!$J$2:$J$596)*(A53&lt;Task_table_03_2_26!$K$2:$K$596))</f>
        <v>0</v>
      </c>
      <c r="E53" cm="1">
        <f t="array" ref="E53">SUMPRODUCT((Task_table_03_2_26!$C$2:$C$596=$E$1)*(A53&gt;Task_table_03_2_26!$J$2:$J$596)*(A53&lt;Task_table_03_2_26!$K$2:$K$596))</f>
        <v>0</v>
      </c>
    </row>
    <row r="54" spans="1:5">
      <c r="A54" s="5">
        <v>45922</v>
      </c>
      <c r="B54" cm="1">
        <f t="array" ref="B54">SUMPRODUCT((Task_table_03_2_26!$C$2:$C$596=$B$1)*(A54&gt;Task_table_03_2_26!$J$2:$J$596)*(A54&lt;Task_table_03_2_26!$K$2:$K$596))</f>
        <v>1</v>
      </c>
      <c r="C54" cm="1">
        <f t="array" ref="C54">SUMPRODUCT((Task_table_03_2_26!$C$2:$C$596=$C$1)*(A54&gt;Task_table_03_2_26!$J$2:$J$596)*(A54&lt;Task_table_03_2_26!$K$2:$K$596))</f>
        <v>0</v>
      </c>
      <c r="D54" cm="1">
        <f t="array" ref="D54">SUMPRODUCT((Task_table_03_2_26!$C$2:$C$596=$D$1)*(A54&gt;Task_table_03_2_26!$J$2:$J$596)*(A54&lt;Task_table_03_2_26!$K$2:$K$596))</f>
        <v>0</v>
      </c>
      <c r="E54" cm="1">
        <f t="array" ref="E54">SUMPRODUCT((Task_table_03_2_26!$C$2:$C$596=$E$1)*(A54&gt;Task_table_03_2_26!$J$2:$J$596)*(A54&lt;Task_table_03_2_26!$K$2:$K$596))</f>
        <v>0</v>
      </c>
    </row>
    <row r="55" spans="1:5">
      <c r="A55" s="5">
        <v>45923</v>
      </c>
      <c r="B55" cm="1">
        <f t="array" ref="B55">SUMPRODUCT((Task_table_03_2_26!$C$2:$C$596=$B$1)*(A55&gt;Task_table_03_2_26!$J$2:$J$596)*(A55&lt;Task_table_03_2_26!$K$2:$K$596))</f>
        <v>1</v>
      </c>
      <c r="C55" cm="1">
        <f t="array" ref="C55">SUMPRODUCT((Task_table_03_2_26!$C$2:$C$596=$C$1)*(A55&gt;Task_table_03_2_26!$J$2:$J$596)*(A55&lt;Task_table_03_2_26!$K$2:$K$596))</f>
        <v>0</v>
      </c>
      <c r="D55" cm="1">
        <f t="array" ref="D55">SUMPRODUCT((Task_table_03_2_26!$C$2:$C$596=$D$1)*(A55&gt;Task_table_03_2_26!$J$2:$J$596)*(A55&lt;Task_table_03_2_26!$K$2:$K$596))</f>
        <v>0</v>
      </c>
      <c r="E55" cm="1">
        <f t="array" ref="E55">SUMPRODUCT((Task_table_03_2_26!$C$2:$C$596=$E$1)*(A55&gt;Task_table_03_2_26!$J$2:$J$596)*(A55&lt;Task_table_03_2_26!$K$2:$K$596))</f>
        <v>0</v>
      </c>
    </row>
    <row r="56" spans="1:5">
      <c r="A56" s="5">
        <v>45924</v>
      </c>
      <c r="B56" cm="1">
        <f t="array" ref="B56">SUMPRODUCT((Task_table_03_2_26!$C$2:$C$596=$B$1)*(A56&gt;Task_table_03_2_26!$J$2:$J$596)*(A56&lt;Task_table_03_2_26!$K$2:$K$596))</f>
        <v>1</v>
      </c>
      <c r="C56" cm="1">
        <f t="array" ref="C56">SUMPRODUCT((Task_table_03_2_26!$C$2:$C$596=$C$1)*(A56&gt;Task_table_03_2_26!$J$2:$J$596)*(A56&lt;Task_table_03_2_26!$K$2:$K$596))</f>
        <v>0</v>
      </c>
      <c r="D56" cm="1">
        <f t="array" ref="D56">SUMPRODUCT((Task_table_03_2_26!$C$2:$C$596=$D$1)*(A56&gt;Task_table_03_2_26!$J$2:$J$596)*(A56&lt;Task_table_03_2_26!$K$2:$K$596))</f>
        <v>0</v>
      </c>
      <c r="E56" cm="1">
        <f t="array" ref="E56">SUMPRODUCT((Task_table_03_2_26!$C$2:$C$596=$E$1)*(A56&gt;Task_table_03_2_26!$J$2:$J$596)*(A56&lt;Task_table_03_2_26!$K$2:$K$596))</f>
        <v>0</v>
      </c>
    </row>
    <row r="57" spans="1:5">
      <c r="A57" s="5">
        <v>45925</v>
      </c>
      <c r="B57" cm="1">
        <f t="array" ref="B57">SUMPRODUCT((Task_table_03_2_26!$C$2:$C$596=$B$1)*(A57&gt;Task_table_03_2_26!$J$2:$J$596)*(A57&lt;Task_table_03_2_26!$K$2:$K$596))</f>
        <v>1</v>
      </c>
      <c r="C57" cm="1">
        <f t="array" ref="C57">SUMPRODUCT((Task_table_03_2_26!$C$2:$C$596=$C$1)*(A57&gt;Task_table_03_2_26!$J$2:$J$596)*(A57&lt;Task_table_03_2_26!$K$2:$K$596))</f>
        <v>0</v>
      </c>
      <c r="D57" cm="1">
        <f t="array" ref="D57">SUMPRODUCT((Task_table_03_2_26!$C$2:$C$596=$D$1)*(A57&gt;Task_table_03_2_26!$J$2:$J$596)*(A57&lt;Task_table_03_2_26!$K$2:$K$596))</f>
        <v>0</v>
      </c>
      <c r="E57" cm="1">
        <f t="array" ref="E57">SUMPRODUCT((Task_table_03_2_26!$C$2:$C$596=$E$1)*(A57&gt;Task_table_03_2_26!$J$2:$J$596)*(A57&lt;Task_table_03_2_26!$K$2:$K$596))</f>
        <v>0</v>
      </c>
    </row>
    <row r="58" spans="1:5">
      <c r="A58" s="5">
        <v>45926</v>
      </c>
      <c r="B58" cm="1">
        <f t="array" ref="B58">SUMPRODUCT((Task_table_03_2_26!$C$2:$C$596=$B$1)*(A58&gt;Task_table_03_2_26!$J$2:$J$596)*(A58&lt;Task_table_03_2_26!$K$2:$K$596))</f>
        <v>1</v>
      </c>
      <c r="C58" cm="1">
        <f t="array" ref="C58">SUMPRODUCT((Task_table_03_2_26!$C$2:$C$596=$C$1)*(A58&gt;Task_table_03_2_26!$J$2:$J$596)*(A58&lt;Task_table_03_2_26!$K$2:$K$596))</f>
        <v>0</v>
      </c>
      <c r="D58" cm="1">
        <f t="array" ref="D58">SUMPRODUCT((Task_table_03_2_26!$C$2:$C$596=$D$1)*(A58&gt;Task_table_03_2_26!$J$2:$J$596)*(A58&lt;Task_table_03_2_26!$K$2:$K$596))</f>
        <v>0</v>
      </c>
      <c r="E58" cm="1">
        <f t="array" ref="E58">SUMPRODUCT((Task_table_03_2_26!$C$2:$C$596=$E$1)*(A58&gt;Task_table_03_2_26!$J$2:$J$596)*(A58&lt;Task_table_03_2_26!$K$2:$K$596))</f>
        <v>0</v>
      </c>
    </row>
    <row r="59" spans="1:5">
      <c r="A59" s="5">
        <v>45927</v>
      </c>
      <c r="B59" cm="1">
        <f t="array" ref="B59">SUMPRODUCT((Task_table_03_2_26!$C$2:$C$596=$B$1)*(A59&gt;Task_table_03_2_26!$J$2:$J$596)*(A59&lt;Task_table_03_2_26!$K$2:$K$596))</f>
        <v>1</v>
      </c>
      <c r="C59" cm="1">
        <f t="array" ref="C59">SUMPRODUCT((Task_table_03_2_26!$C$2:$C$596=$C$1)*(A59&gt;Task_table_03_2_26!$J$2:$J$596)*(A59&lt;Task_table_03_2_26!$K$2:$K$596))</f>
        <v>0</v>
      </c>
      <c r="D59" cm="1">
        <f t="array" ref="D59">SUMPRODUCT((Task_table_03_2_26!$C$2:$C$596=$D$1)*(A59&gt;Task_table_03_2_26!$J$2:$J$596)*(A59&lt;Task_table_03_2_26!$K$2:$K$596))</f>
        <v>0</v>
      </c>
      <c r="E59" cm="1">
        <f t="array" ref="E59">SUMPRODUCT((Task_table_03_2_26!$C$2:$C$596=$E$1)*(A59&gt;Task_table_03_2_26!$J$2:$J$596)*(A59&lt;Task_table_03_2_26!$K$2:$K$596))</f>
        <v>0</v>
      </c>
    </row>
    <row r="60" spans="1:5">
      <c r="A60" s="5">
        <v>45928</v>
      </c>
      <c r="B60" cm="1">
        <f t="array" ref="B60">SUMPRODUCT((Task_table_03_2_26!$C$2:$C$596=$B$1)*(A60&gt;Task_table_03_2_26!$J$2:$J$596)*(A60&lt;Task_table_03_2_26!$K$2:$K$596))</f>
        <v>1</v>
      </c>
      <c r="C60" cm="1">
        <f t="array" ref="C60">SUMPRODUCT((Task_table_03_2_26!$C$2:$C$596=$C$1)*(A60&gt;Task_table_03_2_26!$J$2:$J$596)*(A60&lt;Task_table_03_2_26!$K$2:$K$596))</f>
        <v>0</v>
      </c>
      <c r="D60" cm="1">
        <f t="array" ref="D60">SUMPRODUCT((Task_table_03_2_26!$C$2:$C$596=$D$1)*(A60&gt;Task_table_03_2_26!$J$2:$J$596)*(A60&lt;Task_table_03_2_26!$K$2:$K$596))</f>
        <v>0</v>
      </c>
      <c r="E60" cm="1">
        <f t="array" ref="E60">SUMPRODUCT((Task_table_03_2_26!$C$2:$C$596=$E$1)*(A60&gt;Task_table_03_2_26!$J$2:$J$596)*(A60&lt;Task_table_03_2_26!$K$2:$K$596))</f>
        <v>0</v>
      </c>
    </row>
    <row r="61" spans="1:5">
      <c r="A61" s="5">
        <v>45929</v>
      </c>
      <c r="B61" cm="1">
        <f t="array" ref="B61">SUMPRODUCT((Task_table_03_2_26!$C$2:$C$596=$B$1)*(A61&gt;Task_table_03_2_26!$J$2:$J$596)*(A61&lt;Task_table_03_2_26!$K$2:$K$596))</f>
        <v>1</v>
      </c>
      <c r="C61" cm="1">
        <f t="array" ref="C61">SUMPRODUCT((Task_table_03_2_26!$C$2:$C$596=$C$1)*(A61&gt;Task_table_03_2_26!$J$2:$J$596)*(A61&lt;Task_table_03_2_26!$K$2:$K$596))</f>
        <v>0</v>
      </c>
      <c r="D61" cm="1">
        <f t="array" ref="D61">SUMPRODUCT((Task_table_03_2_26!$C$2:$C$596=$D$1)*(A61&gt;Task_table_03_2_26!$J$2:$J$596)*(A61&lt;Task_table_03_2_26!$K$2:$K$596))</f>
        <v>0</v>
      </c>
      <c r="E61" cm="1">
        <f t="array" ref="E61">SUMPRODUCT((Task_table_03_2_26!$C$2:$C$596=$E$1)*(A61&gt;Task_table_03_2_26!$J$2:$J$596)*(A61&lt;Task_table_03_2_26!$K$2:$K$596))</f>
        <v>0</v>
      </c>
    </row>
    <row r="62" spans="1:5">
      <c r="A62" s="5">
        <v>45930</v>
      </c>
      <c r="B62" cm="1">
        <f t="array" ref="B62">SUMPRODUCT((Task_table_03_2_26!$C$2:$C$596=$B$1)*(A62&gt;Task_table_03_2_26!$J$2:$J$596)*(A62&lt;Task_table_03_2_26!$K$2:$K$596))</f>
        <v>1</v>
      </c>
      <c r="C62" cm="1">
        <f t="array" ref="C62">SUMPRODUCT((Task_table_03_2_26!$C$2:$C$596=$C$1)*(A62&gt;Task_table_03_2_26!$J$2:$J$596)*(A62&lt;Task_table_03_2_26!$K$2:$K$596))</f>
        <v>0</v>
      </c>
      <c r="D62" cm="1">
        <f t="array" ref="D62">SUMPRODUCT((Task_table_03_2_26!$C$2:$C$596=$D$1)*(A62&gt;Task_table_03_2_26!$J$2:$J$596)*(A62&lt;Task_table_03_2_26!$K$2:$K$596))</f>
        <v>0</v>
      </c>
      <c r="E62" cm="1">
        <f t="array" ref="E62">SUMPRODUCT((Task_table_03_2_26!$C$2:$C$596=$E$1)*(A62&gt;Task_table_03_2_26!$J$2:$J$596)*(A62&lt;Task_table_03_2_26!$K$2:$K$596))</f>
        <v>0</v>
      </c>
    </row>
    <row r="63" spans="1:5">
      <c r="A63" s="5">
        <v>45931</v>
      </c>
      <c r="B63" cm="1">
        <f t="array" ref="B63">SUMPRODUCT((Task_table_03_2_26!$C$2:$C$596=$B$1)*(A63&gt;Task_table_03_2_26!$J$2:$J$596)*(A63&lt;Task_table_03_2_26!$K$2:$K$596))</f>
        <v>1</v>
      </c>
      <c r="C63" cm="1">
        <f t="array" ref="C63">SUMPRODUCT((Task_table_03_2_26!$C$2:$C$596=$C$1)*(A63&gt;Task_table_03_2_26!$J$2:$J$596)*(A63&lt;Task_table_03_2_26!$K$2:$K$596))</f>
        <v>0</v>
      </c>
      <c r="D63" cm="1">
        <f t="array" ref="D63">SUMPRODUCT((Task_table_03_2_26!$C$2:$C$596=$D$1)*(A63&gt;Task_table_03_2_26!$J$2:$J$596)*(A63&lt;Task_table_03_2_26!$K$2:$K$596))</f>
        <v>0</v>
      </c>
      <c r="E63" cm="1">
        <f t="array" ref="E63">SUMPRODUCT((Task_table_03_2_26!$C$2:$C$596=$E$1)*(A63&gt;Task_table_03_2_26!$J$2:$J$596)*(A63&lt;Task_table_03_2_26!$K$2:$K$596))</f>
        <v>0</v>
      </c>
    </row>
    <row r="64" spans="1:5">
      <c r="A64" s="5">
        <v>45932</v>
      </c>
      <c r="B64" cm="1">
        <f t="array" ref="B64">SUMPRODUCT((Task_table_03_2_26!$C$2:$C$596=$B$1)*(A64&gt;Task_table_03_2_26!$J$2:$J$596)*(A64&lt;Task_table_03_2_26!$K$2:$K$596))</f>
        <v>13</v>
      </c>
      <c r="C64" cm="1">
        <f t="array" ref="C64">SUMPRODUCT((Task_table_03_2_26!$C$2:$C$596=$C$1)*(A64&gt;Task_table_03_2_26!$J$2:$J$596)*(A64&lt;Task_table_03_2_26!$K$2:$K$596))</f>
        <v>0</v>
      </c>
      <c r="D64" cm="1">
        <f t="array" ref="D64">SUMPRODUCT((Task_table_03_2_26!$C$2:$C$596=$D$1)*(A64&gt;Task_table_03_2_26!$J$2:$J$596)*(A64&lt;Task_table_03_2_26!$K$2:$K$596))</f>
        <v>0</v>
      </c>
      <c r="E64" cm="1">
        <f t="array" ref="E64">SUMPRODUCT((Task_table_03_2_26!$C$2:$C$596=$E$1)*(A64&gt;Task_table_03_2_26!$J$2:$J$596)*(A64&lt;Task_table_03_2_26!$K$2:$K$596))</f>
        <v>0</v>
      </c>
    </row>
    <row r="65" spans="1:5">
      <c r="A65" s="5">
        <v>45933</v>
      </c>
      <c r="B65" cm="1">
        <f t="array" ref="B65">SUMPRODUCT((Task_table_03_2_26!$C$2:$C$596=$B$1)*(A65&gt;Task_table_03_2_26!$J$2:$J$596)*(A65&lt;Task_table_03_2_26!$K$2:$K$596))</f>
        <v>13</v>
      </c>
      <c r="C65" cm="1">
        <f t="array" ref="C65">SUMPRODUCT((Task_table_03_2_26!$C$2:$C$596=$C$1)*(A65&gt;Task_table_03_2_26!$J$2:$J$596)*(A65&lt;Task_table_03_2_26!$K$2:$K$596))</f>
        <v>0</v>
      </c>
      <c r="D65" cm="1">
        <f t="array" ref="D65">SUMPRODUCT((Task_table_03_2_26!$C$2:$C$596=$D$1)*(A65&gt;Task_table_03_2_26!$J$2:$J$596)*(A65&lt;Task_table_03_2_26!$K$2:$K$596))</f>
        <v>0</v>
      </c>
      <c r="E65" cm="1">
        <f t="array" ref="E65">SUMPRODUCT((Task_table_03_2_26!$C$2:$C$596=$E$1)*(A65&gt;Task_table_03_2_26!$J$2:$J$596)*(A65&lt;Task_table_03_2_26!$K$2:$K$596))</f>
        <v>0</v>
      </c>
    </row>
    <row r="66" spans="1:5">
      <c r="A66" s="5">
        <v>45934</v>
      </c>
      <c r="B66" cm="1">
        <f t="array" ref="B66">SUMPRODUCT((Task_table_03_2_26!$C$2:$C$596=$B$1)*(A66&gt;Task_table_03_2_26!$J$2:$J$596)*(A66&lt;Task_table_03_2_26!$K$2:$K$596))</f>
        <v>13</v>
      </c>
      <c r="C66" cm="1">
        <f t="array" ref="C66">SUMPRODUCT((Task_table_03_2_26!$C$2:$C$596=$C$1)*(A66&gt;Task_table_03_2_26!$J$2:$J$596)*(A66&lt;Task_table_03_2_26!$K$2:$K$596))</f>
        <v>0</v>
      </c>
      <c r="D66" cm="1">
        <f t="array" ref="D66">SUMPRODUCT((Task_table_03_2_26!$C$2:$C$596=$D$1)*(A66&gt;Task_table_03_2_26!$J$2:$J$596)*(A66&lt;Task_table_03_2_26!$K$2:$K$596))</f>
        <v>0</v>
      </c>
      <c r="E66" cm="1">
        <f t="array" ref="E66">SUMPRODUCT((Task_table_03_2_26!$C$2:$C$596=$E$1)*(A66&gt;Task_table_03_2_26!$J$2:$J$596)*(A66&lt;Task_table_03_2_26!$K$2:$K$596))</f>
        <v>0</v>
      </c>
    </row>
    <row r="67" spans="1:5">
      <c r="A67" s="5">
        <v>45935</v>
      </c>
      <c r="B67" cm="1">
        <f t="array" ref="B67">SUMPRODUCT((Task_table_03_2_26!$C$2:$C$596=$B$1)*(A67&gt;Task_table_03_2_26!$J$2:$J$596)*(A67&lt;Task_table_03_2_26!$K$2:$K$596))</f>
        <v>13</v>
      </c>
      <c r="C67" cm="1">
        <f t="array" ref="C67">SUMPRODUCT((Task_table_03_2_26!$C$2:$C$596=$C$1)*(A67&gt;Task_table_03_2_26!$J$2:$J$596)*(A67&lt;Task_table_03_2_26!$K$2:$K$596))</f>
        <v>0</v>
      </c>
      <c r="D67" cm="1">
        <f t="array" ref="D67">SUMPRODUCT((Task_table_03_2_26!$C$2:$C$596=$D$1)*(A67&gt;Task_table_03_2_26!$J$2:$J$596)*(A67&lt;Task_table_03_2_26!$K$2:$K$596))</f>
        <v>0</v>
      </c>
      <c r="E67" cm="1">
        <f t="array" ref="E67">SUMPRODUCT((Task_table_03_2_26!$C$2:$C$596=$E$1)*(A67&gt;Task_table_03_2_26!$J$2:$J$596)*(A67&lt;Task_table_03_2_26!$K$2:$K$596))</f>
        <v>0</v>
      </c>
    </row>
    <row r="68" spans="1:5">
      <c r="A68" s="5">
        <v>45936</v>
      </c>
      <c r="B68" cm="1">
        <f t="array" ref="B68">SUMPRODUCT((Task_table_03_2_26!$C$2:$C$596=$B$1)*(A68&gt;Task_table_03_2_26!$J$2:$J$596)*(A68&lt;Task_table_03_2_26!$K$2:$K$596))</f>
        <v>13</v>
      </c>
      <c r="C68" cm="1">
        <f t="array" ref="C68">SUMPRODUCT((Task_table_03_2_26!$C$2:$C$596=$C$1)*(A68&gt;Task_table_03_2_26!$J$2:$J$596)*(A68&lt;Task_table_03_2_26!$K$2:$K$596))</f>
        <v>0</v>
      </c>
      <c r="D68" cm="1">
        <f t="array" ref="D68">SUMPRODUCT((Task_table_03_2_26!$C$2:$C$596=$D$1)*(A68&gt;Task_table_03_2_26!$J$2:$J$596)*(A68&lt;Task_table_03_2_26!$K$2:$K$596))</f>
        <v>0</v>
      </c>
      <c r="E68" cm="1">
        <f t="array" ref="E68">SUMPRODUCT((Task_table_03_2_26!$C$2:$C$596=$E$1)*(A68&gt;Task_table_03_2_26!$J$2:$J$596)*(A68&lt;Task_table_03_2_26!$K$2:$K$596))</f>
        <v>0</v>
      </c>
    </row>
    <row r="69" spans="1:5">
      <c r="A69" s="5">
        <v>45937</v>
      </c>
      <c r="B69" cm="1">
        <f t="array" ref="B69">SUMPRODUCT((Task_table_03_2_26!$C$2:$C$596=$B$1)*(A69&gt;Task_table_03_2_26!$J$2:$J$596)*(A69&lt;Task_table_03_2_26!$K$2:$K$596))</f>
        <v>13</v>
      </c>
      <c r="C69" cm="1">
        <f t="array" ref="C69">SUMPRODUCT((Task_table_03_2_26!$C$2:$C$596=$C$1)*(A69&gt;Task_table_03_2_26!$J$2:$J$596)*(A69&lt;Task_table_03_2_26!$K$2:$K$596))</f>
        <v>0</v>
      </c>
      <c r="D69" cm="1">
        <f t="array" ref="D69">SUMPRODUCT((Task_table_03_2_26!$C$2:$C$596=$D$1)*(A69&gt;Task_table_03_2_26!$J$2:$J$596)*(A69&lt;Task_table_03_2_26!$K$2:$K$596))</f>
        <v>0</v>
      </c>
      <c r="E69" cm="1">
        <f t="array" ref="E69">SUMPRODUCT((Task_table_03_2_26!$C$2:$C$596=$E$1)*(A69&gt;Task_table_03_2_26!$J$2:$J$596)*(A69&lt;Task_table_03_2_26!$K$2:$K$596))</f>
        <v>0</v>
      </c>
    </row>
    <row r="70" spans="1:5">
      <c r="A70" s="5">
        <v>45938</v>
      </c>
      <c r="B70" cm="1">
        <f t="array" ref="B70">SUMPRODUCT((Task_table_03_2_26!$C$2:$C$596=$B$1)*(A70&gt;Task_table_03_2_26!$J$2:$J$596)*(A70&lt;Task_table_03_2_26!$K$2:$K$596))</f>
        <v>13</v>
      </c>
      <c r="C70" cm="1">
        <f t="array" ref="C70">SUMPRODUCT((Task_table_03_2_26!$C$2:$C$596=$C$1)*(A70&gt;Task_table_03_2_26!$J$2:$J$596)*(A70&lt;Task_table_03_2_26!$K$2:$K$596))</f>
        <v>0</v>
      </c>
      <c r="D70" cm="1">
        <f t="array" ref="D70">SUMPRODUCT((Task_table_03_2_26!$C$2:$C$596=$D$1)*(A70&gt;Task_table_03_2_26!$J$2:$J$596)*(A70&lt;Task_table_03_2_26!$K$2:$K$596))</f>
        <v>0</v>
      </c>
      <c r="E70" cm="1">
        <f t="array" ref="E70">SUMPRODUCT((Task_table_03_2_26!$C$2:$C$596=$E$1)*(A70&gt;Task_table_03_2_26!$J$2:$J$596)*(A70&lt;Task_table_03_2_26!$K$2:$K$596))</f>
        <v>0</v>
      </c>
    </row>
    <row r="71" spans="1:5">
      <c r="A71" s="5">
        <v>45939</v>
      </c>
      <c r="B71" cm="1">
        <f t="array" ref="B71">SUMPRODUCT((Task_table_03_2_26!$C$2:$C$596=$B$1)*(A71&gt;Task_table_03_2_26!$J$2:$J$596)*(A71&lt;Task_table_03_2_26!$K$2:$K$596))</f>
        <v>13</v>
      </c>
      <c r="C71" cm="1">
        <f t="array" ref="C71">SUMPRODUCT((Task_table_03_2_26!$C$2:$C$596=$C$1)*(A71&gt;Task_table_03_2_26!$J$2:$J$596)*(A71&lt;Task_table_03_2_26!$K$2:$K$596))</f>
        <v>0</v>
      </c>
      <c r="D71" cm="1">
        <f t="array" ref="D71">SUMPRODUCT((Task_table_03_2_26!$C$2:$C$596=$D$1)*(A71&gt;Task_table_03_2_26!$J$2:$J$596)*(A71&lt;Task_table_03_2_26!$K$2:$K$596))</f>
        <v>0</v>
      </c>
      <c r="E71" cm="1">
        <f t="array" ref="E71">SUMPRODUCT((Task_table_03_2_26!$C$2:$C$596=$E$1)*(A71&gt;Task_table_03_2_26!$J$2:$J$596)*(A71&lt;Task_table_03_2_26!$K$2:$K$596))</f>
        <v>0</v>
      </c>
    </row>
    <row r="72" spans="1:5">
      <c r="A72" s="5">
        <v>45940</v>
      </c>
      <c r="B72" cm="1">
        <f t="array" ref="B72">SUMPRODUCT((Task_table_03_2_26!$C$2:$C$596=$B$1)*(A72&gt;Task_table_03_2_26!$J$2:$J$596)*(A72&lt;Task_table_03_2_26!$K$2:$K$596))</f>
        <v>13</v>
      </c>
      <c r="C72" cm="1">
        <f t="array" ref="C72">SUMPRODUCT((Task_table_03_2_26!$C$2:$C$596=$C$1)*(A72&gt;Task_table_03_2_26!$J$2:$J$596)*(A72&lt;Task_table_03_2_26!$K$2:$K$596))</f>
        <v>0</v>
      </c>
      <c r="D72" cm="1">
        <f t="array" ref="D72">SUMPRODUCT((Task_table_03_2_26!$C$2:$C$596=$D$1)*(A72&gt;Task_table_03_2_26!$J$2:$J$596)*(A72&lt;Task_table_03_2_26!$K$2:$K$596))</f>
        <v>0</v>
      </c>
      <c r="E72" cm="1">
        <f t="array" ref="E72">SUMPRODUCT((Task_table_03_2_26!$C$2:$C$596=$E$1)*(A72&gt;Task_table_03_2_26!$J$2:$J$596)*(A72&lt;Task_table_03_2_26!$K$2:$K$596))</f>
        <v>0</v>
      </c>
    </row>
    <row r="73" spans="1:5">
      <c r="A73" s="5">
        <v>45941</v>
      </c>
      <c r="B73" cm="1">
        <f t="array" ref="B73">SUMPRODUCT((Task_table_03_2_26!$C$2:$C$596=$B$1)*(A73&gt;Task_table_03_2_26!$J$2:$J$596)*(A73&lt;Task_table_03_2_26!$K$2:$K$596))</f>
        <v>13</v>
      </c>
      <c r="C73" cm="1">
        <f t="array" ref="C73">SUMPRODUCT((Task_table_03_2_26!$C$2:$C$596=$C$1)*(A73&gt;Task_table_03_2_26!$J$2:$J$596)*(A73&lt;Task_table_03_2_26!$K$2:$K$596))</f>
        <v>0</v>
      </c>
      <c r="D73" cm="1">
        <f t="array" ref="D73">SUMPRODUCT((Task_table_03_2_26!$C$2:$C$596=$D$1)*(A73&gt;Task_table_03_2_26!$J$2:$J$596)*(A73&lt;Task_table_03_2_26!$K$2:$K$596))</f>
        <v>0</v>
      </c>
      <c r="E73" cm="1">
        <f t="array" ref="E73">SUMPRODUCT((Task_table_03_2_26!$C$2:$C$596=$E$1)*(A73&gt;Task_table_03_2_26!$J$2:$J$596)*(A73&lt;Task_table_03_2_26!$K$2:$K$596))</f>
        <v>0</v>
      </c>
    </row>
    <row r="74" spans="1:5">
      <c r="A74" s="5">
        <v>45942</v>
      </c>
      <c r="B74" cm="1">
        <f t="array" ref="B74">SUMPRODUCT((Task_table_03_2_26!$C$2:$C$596=$B$1)*(A74&gt;Task_table_03_2_26!$J$2:$J$596)*(A74&lt;Task_table_03_2_26!$K$2:$K$596))</f>
        <v>13</v>
      </c>
      <c r="C74" cm="1">
        <f t="array" ref="C74">SUMPRODUCT((Task_table_03_2_26!$C$2:$C$596=$C$1)*(A74&gt;Task_table_03_2_26!$J$2:$J$596)*(A74&lt;Task_table_03_2_26!$K$2:$K$596))</f>
        <v>0</v>
      </c>
      <c r="D74" cm="1">
        <f t="array" ref="D74">SUMPRODUCT((Task_table_03_2_26!$C$2:$C$596=$D$1)*(A74&gt;Task_table_03_2_26!$J$2:$J$596)*(A74&lt;Task_table_03_2_26!$K$2:$K$596))</f>
        <v>0</v>
      </c>
      <c r="E74" cm="1">
        <f t="array" ref="E74">SUMPRODUCT((Task_table_03_2_26!$C$2:$C$596=$E$1)*(A74&gt;Task_table_03_2_26!$J$2:$J$596)*(A74&lt;Task_table_03_2_26!$K$2:$K$596))</f>
        <v>0</v>
      </c>
    </row>
    <row r="75" spans="1:5">
      <c r="A75" s="5">
        <v>45943</v>
      </c>
      <c r="B75" cm="1">
        <f t="array" ref="B75">SUMPRODUCT((Task_table_03_2_26!$C$2:$C$596=$B$1)*(A75&gt;Task_table_03_2_26!$J$2:$J$596)*(A75&lt;Task_table_03_2_26!$K$2:$K$596))</f>
        <v>13</v>
      </c>
      <c r="C75" cm="1">
        <f t="array" ref="C75">SUMPRODUCT((Task_table_03_2_26!$C$2:$C$596=$C$1)*(A75&gt;Task_table_03_2_26!$J$2:$J$596)*(A75&lt;Task_table_03_2_26!$K$2:$K$596))</f>
        <v>0</v>
      </c>
      <c r="D75" cm="1">
        <f t="array" ref="D75">SUMPRODUCT((Task_table_03_2_26!$C$2:$C$596=$D$1)*(A75&gt;Task_table_03_2_26!$J$2:$J$596)*(A75&lt;Task_table_03_2_26!$K$2:$K$596))</f>
        <v>0</v>
      </c>
      <c r="E75" cm="1">
        <f t="array" ref="E75">SUMPRODUCT((Task_table_03_2_26!$C$2:$C$596=$E$1)*(A75&gt;Task_table_03_2_26!$J$2:$J$596)*(A75&lt;Task_table_03_2_26!$K$2:$K$596))</f>
        <v>0</v>
      </c>
    </row>
    <row r="76" spans="1:5">
      <c r="A76" s="5">
        <v>45944</v>
      </c>
      <c r="B76" cm="1">
        <f t="array" ref="B76">SUMPRODUCT((Task_table_03_2_26!$C$2:$C$596=$B$1)*(A76&gt;Task_table_03_2_26!$J$2:$J$596)*(A76&lt;Task_table_03_2_26!$K$2:$K$596))</f>
        <v>13</v>
      </c>
      <c r="C76" cm="1">
        <f t="array" ref="C76">SUMPRODUCT((Task_table_03_2_26!$C$2:$C$596=$C$1)*(A76&gt;Task_table_03_2_26!$J$2:$J$596)*(A76&lt;Task_table_03_2_26!$K$2:$K$596))</f>
        <v>0</v>
      </c>
      <c r="D76" cm="1">
        <f t="array" ref="D76">SUMPRODUCT((Task_table_03_2_26!$C$2:$C$596=$D$1)*(A76&gt;Task_table_03_2_26!$J$2:$J$596)*(A76&lt;Task_table_03_2_26!$K$2:$K$596))</f>
        <v>0</v>
      </c>
      <c r="E76" cm="1">
        <f t="array" ref="E76">SUMPRODUCT((Task_table_03_2_26!$C$2:$C$596=$E$1)*(A76&gt;Task_table_03_2_26!$J$2:$J$596)*(A76&lt;Task_table_03_2_26!$K$2:$K$596))</f>
        <v>0</v>
      </c>
    </row>
    <row r="77" spans="1:5">
      <c r="A77" s="5">
        <v>45945</v>
      </c>
      <c r="B77" cm="1">
        <f t="array" ref="B77">SUMPRODUCT((Task_table_03_2_26!$C$2:$C$596=$B$1)*(A77&gt;Task_table_03_2_26!$J$2:$J$596)*(A77&lt;Task_table_03_2_26!$K$2:$K$596))</f>
        <v>12</v>
      </c>
      <c r="C77" cm="1">
        <f t="array" ref="C77">SUMPRODUCT((Task_table_03_2_26!$C$2:$C$596=$C$1)*(A77&gt;Task_table_03_2_26!$J$2:$J$596)*(A77&lt;Task_table_03_2_26!$K$2:$K$596))</f>
        <v>0</v>
      </c>
      <c r="D77" cm="1">
        <f t="array" ref="D77">SUMPRODUCT((Task_table_03_2_26!$C$2:$C$596=$D$1)*(A77&gt;Task_table_03_2_26!$J$2:$J$596)*(A77&lt;Task_table_03_2_26!$K$2:$K$596))</f>
        <v>0</v>
      </c>
      <c r="E77" cm="1">
        <f t="array" ref="E77">SUMPRODUCT((Task_table_03_2_26!$C$2:$C$596=$E$1)*(A77&gt;Task_table_03_2_26!$J$2:$J$596)*(A77&lt;Task_table_03_2_26!$K$2:$K$596))</f>
        <v>0</v>
      </c>
    </row>
    <row r="78" spans="1:5">
      <c r="A78" s="5">
        <v>45946</v>
      </c>
      <c r="B78" cm="1">
        <f t="array" ref="B78">SUMPRODUCT((Task_table_03_2_26!$C$2:$C$596=$B$1)*(A78&gt;Task_table_03_2_26!$J$2:$J$596)*(A78&lt;Task_table_03_2_26!$K$2:$K$596))</f>
        <v>33</v>
      </c>
      <c r="C78" cm="1">
        <f t="array" ref="C78">SUMPRODUCT((Task_table_03_2_26!$C$2:$C$596=$C$1)*(A78&gt;Task_table_03_2_26!$J$2:$J$596)*(A78&lt;Task_table_03_2_26!$K$2:$K$596))</f>
        <v>0</v>
      </c>
      <c r="D78" cm="1">
        <f t="array" ref="D78">SUMPRODUCT((Task_table_03_2_26!$C$2:$C$596=$D$1)*(A78&gt;Task_table_03_2_26!$J$2:$J$596)*(A78&lt;Task_table_03_2_26!$K$2:$K$596))</f>
        <v>0</v>
      </c>
      <c r="E78" cm="1">
        <f t="array" ref="E78">SUMPRODUCT((Task_table_03_2_26!$C$2:$C$596=$E$1)*(A78&gt;Task_table_03_2_26!$J$2:$J$596)*(A78&lt;Task_table_03_2_26!$K$2:$K$596))</f>
        <v>0</v>
      </c>
    </row>
    <row r="79" spans="1:5">
      <c r="A79" s="5">
        <v>45947</v>
      </c>
      <c r="B79" cm="1">
        <f t="array" ref="B79">SUMPRODUCT((Task_table_03_2_26!$C$2:$C$596=$B$1)*(A79&gt;Task_table_03_2_26!$J$2:$J$596)*(A79&lt;Task_table_03_2_26!$K$2:$K$596))</f>
        <v>38</v>
      </c>
      <c r="C79" cm="1">
        <f t="array" ref="C79">SUMPRODUCT((Task_table_03_2_26!$C$2:$C$596=$C$1)*(A79&gt;Task_table_03_2_26!$J$2:$J$596)*(A79&lt;Task_table_03_2_26!$K$2:$K$596))</f>
        <v>0</v>
      </c>
      <c r="D79" cm="1">
        <f t="array" ref="D79">SUMPRODUCT((Task_table_03_2_26!$C$2:$C$596=$D$1)*(A79&gt;Task_table_03_2_26!$J$2:$J$596)*(A79&lt;Task_table_03_2_26!$K$2:$K$596))</f>
        <v>0</v>
      </c>
      <c r="E79" cm="1">
        <f t="array" ref="E79">SUMPRODUCT((Task_table_03_2_26!$C$2:$C$596=$E$1)*(A79&gt;Task_table_03_2_26!$J$2:$J$596)*(A79&lt;Task_table_03_2_26!$K$2:$K$596))</f>
        <v>1</v>
      </c>
    </row>
    <row r="80" spans="1:5">
      <c r="A80" s="5">
        <v>45948</v>
      </c>
      <c r="B80" cm="1">
        <f t="array" ref="B80">SUMPRODUCT((Task_table_03_2_26!$C$2:$C$596=$B$1)*(A80&gt;Task_table_03_2_26!$J$2:$J$596)*(A80&lt;Task_table_03_2_26!$K$2:$K$596))</f>
        <v>38</v>
      </c>
      <c r="C80" cm="1">
        <f t="array" ref="C80">SUMPRODUCT((Task_table_03_2_26!$C$2:$C$596=$C$1)*(A80&gt;Task_table_03_2_26!$J$2:$J$596)*(A80&lt;Task_table_03_2_26!$K$2:$K$596))</f>
        <v>0</v>
      </c>
      <c r="D80" cm="1">
        <f t="array" ref="D80">SUMPRODUCT((Task_table_03_2_26!$C$2:$C$596=$D$1)*(A80&gt;Task_table_03_2_26!$J$2:$J$596)*(A80&lt;Task_table_03_2_26!$K$2:$K$596))</f>
        <v>0</v>
      </c>
      <c r="E80" cm="1">
        <f t="array" ref="E80">SUMPRODUCT((Task_table_03_2_26!$C$2:$C$596=$E$1)*(A80&gt;Task_table_03_2_26!$J$2:$J$596)*(A80&lt;Task_table_03_2_26!$K$2:$K$596))</f>
        <v>1</v>
      </c>
    </row>
    <row r="81" spans="1:5">
      <c r="A81" s="5">
        <v>45949</v>
      </c>
      <c r="B81" cm="1">
        <f t="array" ref="B81">SUMPRODUCT((Task_table_03_2_26!$C$2:$C$596=$B$1)*(A81&gt;Task_table_03_2_26!$J$2:$J$596)*(A81&lt;Task_table_03_2_26!$K$2:$K$596))</f>
        <v>38</v>
      </c>
      <c r="C81" cm="1">
        <f t="array" ref="C81">SUMPRODUCT((Task_table_03_2_26!$C$2:$C$596=$C$1)*(A81&gt;Task_table_03_2_26!$J$2:$J$596)*(A81&lt;Task_table_03_2_26!$K$2:$K$596))</f>
        <v>0</v>
      </c>
      <c r="D81" cm="1">
        <f t="array" ref="D81">SUMPRODUCT((Task_table_03_2_26!$C$2:$C$596=$D$1)*(A81&gt;Task_table_03_2_26!$J$2:$J$596)*(A81&lt;Task_table_03_2_26!$K$2:$K$596))</f>
        <v>0</v>
      </c>
      <c r="E81" cm="1">
        <f t="array" ref="E81">SUMPRODUCT((Task_table_03_2_26!$C$2:$C$596=$E$1)*(A81&gt;Task_table_03_2_26!$J$2:$J$596)*(A81&lt;Task_table_03_2_26!$K$2:$K$596))</f>
        <v>1</v>
      </c>
    </row>
    <row r="82" spans="1:5">
      <c r="A82" s="5">
        <v>45950</v>
      </c>
      <c r="B82" cm="1">
        <f t="array" ref="B82">SUMPRODUCT((Task_table_03_2_26!$C$2:$C$596=$B$1)*(A82&gt;Task_table_03_2_26!$J$2:$J$596)*(A82&lt;Task_table_03_2_26!$K$2:$K$596))</f>
        <v>39</v>
      </c>
      <c r="C82" cm="1">
        <f t="array" ref="C82">SUMPRODUCT((Task_table_03_2_26!$C$2:$C$596=$C$1)*(A82&gt;Task_table_03_2_26!$J$2:$J$596)*(A82&lt;Task_table_03_2_26!$K$2:$K$596))</f>
        <v>0</v>
      </c>
      <c r="D82" cm="1">
        <f t="array" ref="D82">SUMPRODUCT((Task_table_03_2_26!$C$2:$C$596=$D$1)*(A82&gt;Task_table_03_2_26!$J$2:$J$596)*(A82&lt;Task_table_03_2_26!$K$2:$K$596))</f>
        <v>0</v>
      </c>
      <c r="E82" cm="1">
        <f t="array" ref="E82">SUMPRODUCT((Task_table_03_2_26!$C$2:$C$596=$E$1)*(A82&gt;Task_table_03_2_26!$J$2:$J$596)*(A82&lt;Task_table_03_2_26!$K$2:$K$596))</f>
        <v>1</v>
      </c>
    </row>
    <row r="83" spans="1:5">
      <c r="A83" s="5">
        <v>45951</v>
      </c>
      <c r="B83" cm="1">
        <f t="array" ref="B83">SUMPRODUCT((Task_table_03_2_26!$C$2:$C$596=$B$1)*(A83&gt;Task_table_03_2_26!$J$2:$J$596)*(A83&lt;Task_table_03_2_26!$K$2:$K$596))</f>
        <v>39</v>
      </c>
      <c r="C83" cm="1">
        <f t="array" ref="C83">SUMPRODUCT((Task_table_03_2_26!$C$2:$C$596=$C$1)*(A83&gt;Task_table_03_2_26!$J$2:$J$596)*(A83&lt;Task_table_03_2_26!$K$2:$K$596))</f>
        <v>0</v>
      </c>
      <c r="D83" cm="1">
        <f t="array" ref="D83">SUMPRODUCT((Task_table_03_2_26!$C$2:$C$596=$D$1)*(A83&gt;Task_table_03_2_26!$J$2:$J$596)*(A83&lt;Task_table_03_2_26!$K$2:$K$596))</f>
        <v>0</v>
      </c>
      <c r="E83" cm="1">
        <f t="array" ref="E83">SUMPRODUCT((Task_table_03_2_26!$C$2:$C$596=$E$1)*(A83&gt;Task_table_03_2_26!$J$2:$J$596)*(A83&lt;Task_table_03_2_26!$K$2:$K$596))</f>
        <v>1</v>
      </c>
    </row>
    <row r="84" spans="1:5">
      <c r="A84" s="5">
        <v>45952</v>
      </c>
      <c r="B84" cm="1">
        <f t="array" ref="B84">SUMPRODUCT((Task_table_03_2_26!$C$2:$C$596=$B$1)*(A84&gt;Task_table_03_2_26!$J$2:$J$596)*(A84&lt;Task_table_03_2_26!$K$2:$K$596))</f>
        <v>39</v>
      </c>
      <c r="C84" cm="1">
        <f t="array" ref="C84">SUMPRODUCT((Task_table_03_2_26!$C$2:$C$596=$C$1)*(A84&gt;Task_table_03_2_26!$J$2:$J$596)*(A84&lt;Task_table_03_2_26!$K$2:$K$596))</f>
        <v>0</v>
      </c>
      <c r="D84" cm="1">
        <f t="array" ref="D84">SUMPRODUCT((Task_table_03_2_26!$C$2:$C$596=$D$1)*(A84&gt;Task_table_03_2_26!$J$2:$J$596)*(A84&lt;Task_table_03_2_26!$K$2:$K$596))</f>
        <v>0</v>
      </c>
      <c r="E84" cm="1">
        <f t="array" ref="E84">SUMPRODUCT((Task_table_03_2_26!$C$2:$C$596=$E$1)*(A84&gt;Task_table_03_2_26!$J$2:$J$596)*(A84&lt;Task_table_03_2_26!$K$2:$K$596))</f>
        <v>1</v>
      </c>
    </row>
    <row r="85" spans="1:5">
      <c r="A85" s="5">
        <v>45953</v>
      </c>
      <c r="B85" cm="1">
        <f t="array" ref="B85">SUMPRODUCT((Task_table_03_2_26!$C$2:$C$596=$B$1)*(A85&gt;Task_table_03_2_26!$J$2:$J$596)*(A85&lt;Task_table_03_2_26!$K$2:$K$596))</f>
        <v>39</v>
      </c>
      <c r="C85" cm="1">
        <f t="array" ref="C85">SUMPRODUCT((Task_table_03_2_26!$C$2:$C$596=$C$1)*(A85&gt;Task_table_03_2_26!$J$2:$J$596)*(A85&lt;Task_table_03_2_26!$K$2:$K$596))</f>
        <v>0</v>
      </c>
      <c r="D85" cm="1">
        <f t="array" ref="D85">SUMPRODUCT((Task_table_03_2_26!$C$2:$C$596=$D$1)*(A85&gt;Task_table_03_2_26!$J$2:$J$596)*(A85&lt;Task_table_03_2_26!$K$2:$K$596))</f>
        <v>0</v>
      </c>
      <c r="E85" cm="1">
        <f t="array" ref="E85">SUMPRODUCT((Task_table_03_2_26!$C$2:$C$596=$E$1)*(A85&gt;Task_table_03_2_26!$J$2:$J$596)*(A85&lt;Task_table_03_2_26!$K$2:$K$596))</f>
        <v>1</v>
      </c>
    </row>
    <row r="86" spans="1:5">
      <c r="A86" s="5">
        <v>45954</v>
      </c>
      <c r="B86" cm="1">
        <f t="array" ref="B86">SUMPRODUCT((Task_table_03_2_26!$C$2:$C$596=$B$1)*(A86&gt;Task_table_03_2_26!$J$2:$J$596)*(A86&lt;Task_table_03_2_26!$K$2:$K$596))</f>
        <v>39</v>
      </c>
      <c r="C86" cm="1">
        <f t="array" ref="C86">SUMPRODUCT((Task_table_03_2_26!$C$2:$C$596=$C$1)*(A86&gt;Task_table_03_2_26!$J$2:$J$596)*(A86&lt;Task_table_03_2_26!$K$2:$K$596))</f>
        <v>0</v>
      </c>
      <c r="D86" cm="1">
        <f t="array" ref="D86">SUMPRODUCT((Task_table_03_2_26!$C$2:$C$596=$D$1)*(A86&gt;Task_table_03_2_26!$J$2:$J$596)*(A86&lt;Task_table_03_2_26!$K$2:$K$596))</f>
        <v>0</v>
      </c>
      <c r="E86" cm="1">
        <f t="array" ref="E86">SUMPRODUCT((Task_table_03_2_26!$C$2:$C$596=$E$1)*(A86&gt;Task_table_03_2_26!$J$2:$J$596)*(A86&lt;Task_table_03_2_26!$K$2:$K$596))</f>
        <v>1</v>
      </c>
    </row>
    <row r="87" spans="1:5">
      <c r="A87" s="5">
        <v>45955</v>
      </c>
      <c r="B87" cm="1">
        <f t="array" ref="B87">SUMPRODUCT((Task_table_03_2_26!$C$2:$C$596=$B$1)*(A87&gt;Task_table_03_2_26!$J$2:$J$596)*(A87&lt;Task_table_03_2_26!$K$2:$K$596))</f>
        <v>39</v>
      </c>
      <c r="C87" cm="1">
        <f t="array" ref="C87">SUMPRODUCT((Task_table_03_2_26!$C$2:$C$596=$C$1)*(A87&gt;Task_table_03_2_26!$J$2:$J$596)*(A87&lt;Task_table_03_2_26!$K$2:$K$596))</f>
        <v>0</v>
      </c>
      <c r="D87" cm="1">
        <f t="array" ref="D87">SUMPRODUCT((Task_table_03_2_26!$C$2:$C$596=$D$1)*(A87&gt;Task_table_03_2_26!$J$2:$J$596)*(A87&lt;Task_table_03_2_26!$K$2:$K$596))</f>
        <v>0</v>
      </c>
      <c r="E87" cm="1">
        <f t="array" ref="E87">SUMPRODUCT((Task_table_03_2_26!$C$2:$C$596=$E$1)*(A87&gt;Task_table_03_2_26!$J$2:$J$596)*(A87&lt;Task_table_03_2_26!$K$2:$K$596))</f>
        <v>1</v>
      </c>
    </row>
    <row r="88" spans="1:5">
      <c r="A88" s="5">
        <v>45956</v>
      </c>
      <c r="B88" cm="1">
        <f t="array" ref="B88">SUMPRODUCT((Task_table_03_2_26!$C$2:$C$596=$B$1)*(A88&gt;Task_table_03_2_26!$J$2:$J$596)*(A88&lt;Task_table_03_2_26!$K$2:$K$596))</f>
        <v>39</v>
      </c>
      <c r="C88" cm="1">
        <f t="array" ref="C88">SUMPRODUCT((Task_table_03_2_26!$C$2:$C$596=$C$1)*(A88&gt;Task_table_03_2_26!$J$2:$J$596)*(A88&lt;Task_table_03_2_26!$K$2:$K$596))</f>
        <v>0</v>
      </c>
      <c r="D88" cm="1">
        <f t="array" ref="D88">SUMPRODUCT((Task_table_03_2_26!$C$2:$C$596=$D$1)*(A88&gt;Task_table_03_2_26!$J$2:$J$596)*(A88&lt;Task_table_03_2_26!$K$2:$K$596))</f>
        <v>0</v>
      </c>
      <c r="E88" cm="1">
        <f t="array" ref="E88">SUMPRODUCT((Task_table_03_2_26!$C$2:$C$596=$E$1)*(A88&gt;Task_table_03_2_26!$J$2:$J$596)*(A88&lt;Task_table_03_2_26!$K$2:$K$596))</f>
        <v>1</v>
      </c>
    </row>
    <row r="89" spans="1:5">
      <c r="A89" s="5">
        <v>45957</v>
      </c>
      <c r="B89" cm="1">
        <f t="array" ref="B89">SUMPRODUCT((Task_table_03_2_26!$C$2:$C$596=$B$1)*(A89&gt;Task_table_03_2_26!$J$2:$J$596)*(A89&lt;Task_table_03_2_26!$K$2:$K$596))</f>
        <v>39</v>
      </c>
      <c r="C89" cm="1">
        <f t="array" ref="C89">SUMPRODUCT((Task_table_03_2_26!$C$2:$C$596=$C$1)*(A89&gt;Task_table_03_2_26!$J$2:$J$596)*(A89&lt;Task_table_03_2_26!$K$2:$K$596))</f>
        <v>0</v>
      </c>
      <c r="D89" cm="1">
        <f t="array" ref="D89">SUMPRODUCT((Task_table_03_2_26!$C$2:$C$596=$D$1)*(A89&gt;Task_table_03_2_26!$J$2:$J$596)*(A89&lt;Task_table_03_2_26!$K$2:$K$596))</f>
        <v>0</v>
      </c>
      <c r="E89" cm="1">
        <f t="array" ref="E89">SUMPRODUCT((Task_table_03_2_26!$C$2:$C$596=$E$1)*(A89&gt;Task_table_03_2_26!$J$2:$J$596)*(A89&lt;Task_table_03_2_26!$K$2:$K$596))</f>
        <v>1</v>
      </c>
    </row>
    <row r="90" spans="1:5">
      <c r="A90" s="5">
        <v>45958</v>
      </c>
      <c r="B90" cm="1">
        <f t="array" ref="B90">SUMPRODUCT((Task_table_03_2_26!$C$2:$C$596=$B$1)*(A90&gt;Task_table_03_2_26!$J$2:$J$596)*(A90&lt;Task_table_03_2_26!$K$2:$K$596))</f>
        <v>39</v>
      </c>
      <c r="C90" cm="1">
        <f t="array" ref="C90">SUMPRODUCT((Task_table_03_2_26!$C$2:$C$596=$C$1)*(A90&gt;Task_table_03_2_26!$J$2:$J$596)*(A90&lt;Task_table_03_2_26!$K$2:$K$596))</f>
        <v>0</v>
      </c>
      <c r="D90" cm="1">
        <f t="array" ref="D90">SUMPRODUCT((Task_table_03_2_26!$C$2:$C$596=$D$1)*(A90&gt;Task_table_03_2_26!$J$2:$J$596)*(A90&lt;Task_table_03_2_26!$K$2:$K$596))</f>
        <v>0</v>
      </c>
      <c r="E90" cm="1">
        <f t="array" ref="E90">SUMPRODUCT((Task_table_03_2_26!$C$2:$C$596=$E$1)*(A90&gt;Task_table_03_2_26!$J$2:$J$596)*(A90&lt;Task_table_03_2_26!$K$2:$K$596))</f>
        <v>1</v>
      </c>
    </row>
    <row r="91" spans="1:5">
      <c r="A91" s="5">
        <v>45959</v>
      </c>
      <c r="B91" cm="1">
        <f t="array" ref="B91">SUMPRODUCT((Task_table_03_2_26!$C$2:$C$596=$B$1)*(A91&gt;Task_table_03_2_26!$J$2:$J$596)*(A91&lt;Task_table_03_2_26!$K$2:$K$596))</f>
        <v>39</v>
      </c>
      <c r="C91" cm="1">
        <f t="array" ref="C91">SUMPRODUCT((Task_table_03_2_26!$C$2:$C$596=$C$1)*(A91&gt;Task_table_03_2_26!$J$2:$J$596)*(A91&lt;Task_table_03_2_26!$K$2:$K$596))</f>
        <v>0</v>
      </c>
      <c r="D91" cm="1">
        <f t="array" ref="D91">SUMPRODUCT((Task_table_03_2_26!$C$2:$C$596=$D$1)*(A91&gt;Task_table_03_2_26!$J$2:$J$596)*(A91&lt;Task_table_03_2_26!$K$2:$K$596))</f>
        <v>0</v>
      </c>
      <c r="E91" cm="1">
        <f t="array" ref="E91">SUMPRODUCT((Task_table_03_2_26!$C$2:$C$596=$E$1)*(A91&gt;Task_table_03_2_26!$J$2:$J$596)*(A91&lt;Task_table_03_2_26!$K$2:$K$596))</f>
        <v>1</v>
      </c>
    </row>
    <row r="92" spans="1:5">
      <c r="A92" s="5">
        <v>45960</v>
      </c>
      <c r="B92" cm="1">
        <f t="array" ref="B92">SUMPRODUCT((Task_table_03_2_26!$C$2:$C$596=$B$1)*(A92&gt;Task_table_03_2_26!$J$2:$J$596)*(A92&lt;Task_table_03_2_26!$K$2:$K$596))</f>
        <v>39</v>
      </c>
      <c r="C92" cm="1">
        <f t="array" ref="C92">SUMPRODUCT((Task_table_03_2_26!$C$2:$C$596=$C$1)*(A92&gt;Task_table_03_2_26!$J$2:$J$596)*(A92&lt;Task_table_03_2_26!$K$2:$K$596))</f>
        <v>0</v>
      </c>
      <c r="D92" cm="1">
        <f t="array" ref="D92">SUMPRODUCT((Task_table_03_2_26!$C$2:$C$596=$D$1)*(A92&gt;Task_table_03_2_26!$J$2:$J$596)*(A92&lt;Task_table_03_2_26!$K$2:$K$596))</f>
        <v>0</v>
      </c>
      <c r="E92" cm="1">
        <f t="array" ref="E92">SUMPRODUCT((Task_table_03_2_26!$C$2:$C$596=$E$1)*(A92&gt;Task_table_03_2_26!$J$2:$J$596)*(A92&lt;Task_table_03_2_26!$K$2:$K$596))</f>
        <v>1</v>
      </c>
    </row>
    <row r="93" spans="1:5">
      <c r="A93" s="5">
        <v>45961</v>
      </c>
      <c r="B93" cm="1">
        <f t="array" ref="B93">SUMPRODUCT((Task_table_03_2_26!$C$2:$C$596=$B$1)*(A93&gt;Task_table_03_2_26!$J$2:$J$596)*(A93&lt;Task_table_03_2_26!$K$2:$K$596))</f>
        <v>38</v>
      </c>
      <c r="C93" cm="1">
        <f t="array" ref="C93">SUMPRODUCT((Task_table_03_2_26!$C$2:$C$596=$C$1)*(A93&gt;Task_table_03_2_26!$J$2:$J$596)*(A93&lt;Task_table_03_2_26!$K$2:$K$596))</f>
        <v>0</v>
      </c>
      <c r="D93" cm="1">
        <f t="array" ref="D93">SUMPRODUCT((Task_table_03_2_26!$C$2:$C$596=$D$1)*(A93&gt;Task_table_03_2_26!$J$2:$J$596)*(A93&lt;Task_table_03_2_26!$K$2:$K$596))</f>
        <v>0</v>
      </c>
      <c r="E93" cm="1">
        <f t="array" ref="E93">SUMPRODUCT((Task_table_03_2_26!$C$2:$C$596=$E$1)*(A93&gt;Task_table_03_2_26!$J$2:$J$596)*(A93&lt;Task_table_03_2_26!$K$2:$K$596))</f>
        <v>1</v>
      </c>
    </row>
    <row r="94" spans="1:5">
      <c r="A94" s="5">
        <v>45962</v>
      </c>
      <c r="B94" cm="1">
        <f t="array" ref="B94">SUMPRODUCT((Task_table_03_2_26!$C$2:$C$596=$B$1)*(A94&gt;Task_table_03_2_26!$J$2:$J$596)*(A94&lt;Task_table_03_2_26!$K$2:$K$596))</f>
        <v>38</v>
      </c>
      <c r="C94" cm="1">
        <f t="array" ref="C94">SUMPRODUCT((Task_table_03_2_26!$C$2:$C$596=$C$1)*(A94&gt;Task_table_03_2_26!$J$2:$J$596)*(A94&lt;Task_table_03_2_26!$K$2:$K$596))</f>
        <v>0</v>
      </c>
      <c r="D94" cm="1">
        <f t="array" ref="D94">SUMPRODUCT((Task_table_03_2_26!$C$2:$C$596=$D$1)*(A94&gt;Task_table_03_2_26!$J$2:$J$596)*(A94&lt;Task_table_03_2_26!$K$2:$K$596))</f>
        <v>0</v>
      </c>
      <c r="E94" cm="1">
        <f t="array" ref="E94">SUMPRODUCT((Task_table_03_2_26!$C$2:$C$596=$E$1)*(A94&gt;Task_table_03_2_26!$J$2:$J$596)*(A94&lt;Task_table_03_2_26!$K$2:$K$596))</f>
        <v>1</v>
      </c>
    </row>
    <row r="95" spans="1:5">
      <c r="A95" s="5">
        <v>45963</v>
      </c>
      <c r="B95" cm="1">
        <f t="array" ref="B95">SUMPRODUCT((Task_table_03_2_26!$C$2:$C$596=$B$1)*(A95&gt;Task_table_03_2_26!$J$2:$J$596)*(A95&lt;Task_table_03_2_26!$K$2:$K$596))</f>
        <v>38</v>
      </c>
      <c r="C95" cm="1">
        <f t="array" ref="C95">SUMPRODUCT((Task_table_03_2_26!$C$2:$C$596=$C$1)*(A95&gt;Task_table_03_2_26!$J$2:$J$596)*(A95&lt;Task_table_03_2_26!$K$2:$K$596))</f>
        <v>4</v>
      </c>
      <c r="D95" cm="1">
        <f t="array" ref="D95">SUMPRODUCT((Task_table_03_2_26!$C$2:$C$596=$D$1)*(A95&gt;Task_table_03_2_26!$J$2:$J$596)*(A95&lt;Task_table_03_2_26!$K$2:$K$596))</f>
        <v>0</v>
      </c>
      <c r="E95" cm="1">
        <f t="array" ref="E95">SUMPRODUCT((Task_table_03_2_26!$C$2:$C$596=$E$1)*(A95&gt;Task_table_03_2_26!$J$2:$J$596)*(A95&lt;Task_table_03_2_26!$K$2:$K$596))</f>
        <v>1</v>
      </c>
    </row>
    <row r="96" spans="1:5">
      <c r="A96" s="5">
        <v>45964</v>
      </c>
      <c r="B96" cm="1">
        <f t="array" ref="B96">SUMPRODUCT((Task_table_03_2_26!$C$2:$C$596=$B$1)*(A96&gt;Task_table_03_2_26!$J$2:$J$596)*(A96&lt;Task_table_03_2_26!$K$2:$K$596))</f>
        <v>38</v>
      </c>
      <c r="C96" cm="1">
        <f t="array" ref="C96">SUMPRODUCT((Task_table_03_2_26!$C$2:$C$596=$C$1)*(A96&gt;Task_table_03_2_26!$J$2:$J$596)*(A96&lt;Task_table_03_2_26!$K$2:$K$596))</f>
        <v>4</v>
      </c>
      <c r="D96" cm="1">
        <f t="array" ref="D96">SUMPRODUCT((Task_table_03_2_26!$C$2:$C$596=$D$1)*(A96&gt;Task_table_03_2_26!$J$2:$J$596)*(A96&lt;Task_table_03_2_26!$K$2:$K$596))</f>
        <v>0</v>
      </c>
      <c r="E96" cm="1">
        <f t="array" ref="E96">SUMPRODUCT((Task_table_03_2_26!$C$2:$C$596=$E$1)*(A96&gt;Task_table_03_2_26!$J$2:$J$596)*(A96&lt;Task_table_03_2_26!$K$2:$K$596))</f>
        <v>1</v>
      </c>
    </row>
    <row r="97" spans="1:5">
      <c r="A97" s="5">
        <v>45965</v>
      </c>
      <c r="B97" cm="1">
        <f t="array" ref="B97">SUMPRODUCT((Task_table_03_2_26!$C$2:$C$596=$B$1)*(A97&gt;Task_table_03_2_26!$J$2:$J$596)*(A97&lt;Task_table_03_2_26!$K$2:$K$596))</f>
        <v>38</v>
      </c>
      <c r="C97" cm="1">
        <f t="array" ref="C97">SUMPRODUCT((Task_table_03_2_26!$C$2:$C$596=$C$1)*(A97&gt;Task_table_03_2_26!$J$2:$J$596)*(A97&lt;Task_table_03_2_26!$K$2:$K$596))</f>
        <v>4</v>
      </c>
      <c r="D97" cm="1">
        <f t="array" ref="D97">SUMPRODUCT((Task_table_03_2_26!$C$2:$C$596=$D$1)*(A97&gt;Task_table_03_2_26!$J$2:$J$596)*(A97&lt;Task_table_03_2_26!$K$2:$K$596))</f>
        <v>0</v>
      </c>
      <c r="E97" cm="1">
        <f t="array" ref="E97">SUMPRODUCT((Task_table_03_2_26!$C$2:$C$596=$E$1)*(A97&gt;Task_table_03_2_26!$J$2:$J$596)*(A97&lt;Task_table_03_2_26!$K$2:$K$596))</f>
        <v>5</v>
      </c>
    </row>
    <row r="98" spans="1:5">
      <c r="A98" s="5">
        <v>45966</v>
      </c>
      <c r="B98" cm="1">
        <f t="array" ref="B98">SUMPRODUCT((Task_table_03_2_26!$C$2:$C$596=$B$1)*(A98&gt;Task_table_03_2_26!$J$2:$J$596)*(A98&lt;Task_table_03_2_26!$K$2:$K$596))</f>
        <v>38</v>
      </c>
      <c r="C98" cm="1">
        <f t="array" ref="C98">SUMPRODUCT((Task_table_03_2_26!$C$2:$C$596=$C$1)*(A98&gt;Task_table_03_2_26!$J$2:$J$596)*(A98&lt;Task_table_03_2_26!$K$2:$K$596))</f>
        <v>4</v>
      </c>
      <c r="D98" cm="1">
        <f t="array" ref="D98">SUMPRODUCT((Task_table_03_2_26!$C$2:$C$596=$D$1)*(A98&gt;Task_table_03_2_26!$J$2:$J$596)*(A98&lt;Task_table_03_2_26!$K$2:$K$596))</f>
        <v>0</v>
      </c>
      <c r="E98" cm="1">
        <f t="array" ref="E98">SUMPRODUCT((Task_table_03_2_26!$C$2:$C$596=$E$1)*(A98&gt;Task_table_03_2_26!$J$2:$J$596)*(A98&lt;Task_table_03_2_26!$K$2:$K$596))</f>
        <v>5</v>
      </c>
    </row>
    <row r="99" spans="1:5">
      <c r="A99" s="5">
        <v>45967</v>
      </c>
      <c r="B99" cm="1">
        <f t="array" ref="B99">SUMPRODUCT((Task_table_03_2_26!$C$2:$C$596=$B$1)*(A99&gt;Task_table_03_2_26!$J$2:$J$596)*(A99&lt;Task_table_03_2_26!$K$2:$K$596))</f>
        <v>38</v>
      </c>
      <c r="C99" cm="1">
        <f t="array" ref="C99">SUMPRODUCT((Task_table_03_2_26!$C$2:$C$596=$C$1)*(A99&gt;Task_table_03_2_26!$J$2:$J$596)*(A99&lt;Task_table_03_2_26!$K$2:$K$596))</f>
        <v>4</v>
      </c>
      <c r="D99" cm="1">
        <f t="array" ref="D99">SUMPRODUCT((Task_table_03_2_26!$C$2:$C$596=$D$1)*(A99&gt;Task_table_03_2_26!$J$2:$J$596)*(A99&lt;Task_table_03_2_26!$K$2:$K$596))</f>
        <v>0</v>
      </c>
      <c r="E99" cm="1">
        <f t="array" ref="E99">SUMPRODUCT((Task_table_03_2_26!$C$2:$C$596=$E$1)*(A99&gt;Task_table_03_2_26!$J$2:$J$596)*(A99&lt;Task_table_03_2_26!$K$2:$K$596))</f>
        <v>5</v>
      </c>
    </row>
    <row r="100" spans="1:5">
      <c r="A100" s="5">
        <v>45968</v>
      </c>
      <c r="B100" cm="1">
        <f t="array" ref="B100">SUMPRODUCT((Task_table_03_2_26!$C$2:$C$596=$B$1)*(A100&gt;Task_table_03_2_26!$J$2:$J$596)*(A100&lt;Task_table_03_2_26!$K$2:$K$596))</f>
        <v>38</v>
      </c>
      <c r="C100" cm="1">
        <f t="array" ref="C100">SUMPRODUCT((Task_table_03_2_26!$C$2:$C$596=$C$1)*(A100&gt;Task_table_03_2_26!$J$2:$J$596)*(A100&lt;Task_table_03_2_26!$K$2:$K$596))</f>
        <v>4</v>
      </c>
      <c r="D100" cm="1">
        <f t="array" ref="D100">SUMPRODUCT((Task_table_03_2_26!$C$2:$C$596=$D$1)*(A100&gt;Task_table_03_2_26!$J$2:$J$596)*(A100&lt;Task_table_03_2_26!$K$2:$K$596))</f>
        <v>0</v>
      </c>
      <c r="E100" cm="1">
        <f t="array" ref="E100">SUMPRODUCT((Task_table_03_2_26!$C$2:$C$596=$E$1)*(A100&gt;Task_table_03_2_26!$J$2:$J$596)*(A100&lt;Task_table_03_2_26!$K$2:$K$596))</f>
        <v>5</v>
      </c>
    </row>
    <row r="101" spans="1:5">
      <c r="A101" s="5">
        <v>45969</v>
      </c>
      <c r="B101" cm="1">
        <f t="array" ref="B101">SUMPRODUCT((Task_table_03_2_26!$C$2:$C$596=$B$1)*(A101&gt;Task_table_03_2_26!$J$2:$J$596)*(A101&lt;Task_table_03_2_26!$K$2:$K$596))</f>
        <v>38</v>
      </c>
      <c r="C101" cm="1">
        <f t="array" ref="C101">SUMPRODUCT((Task_table_03_2_26!$C$2:$C$596=$C$1)*(A101&gt;Task_table_03_2_26!$J$2:$J$596)*(A101&lt;Task_table_03_2_26!$K$2:$K$596))</f>
        <v>4</v>
      </c>
      <c r="D101" cm="1">
        <f t="array" ref="D101">SUMPRODUCT((Task_table_03_2_26!$C$2:$C$596=$D$1)*(A101&gt;Task_table_03_2_26!$J$2:$J$596)*(A101&lt;Task_table_03_2_26!$K$2:$K$596))</f>
        <v>0</v>
      </c>
      <c r="E101" cm="1">
        <f t="array" ref="E101">SUMPRODUCT((Task_table_03_2_26!$C$2:$C$596=$E$1)*(A101&gt;Task_table_03_2_26!$J$2:$J$596)*(A101&lt;Task_table_03_2_26!$K$2:$K$596))</f>
        <v>5</v>
      </c>
    </row>
    <row r="102" spans="1:5">
      <c r="A102" s="5">
        <v>45970</v>
      </c>
      <c r="B102" cm="1">
        <f t="array" ref="B102">SUMPRODUCT((Task_table_03_2_26!$C$2:$C$596=$B$1)*(A102&gt;Task_table_03_2_26!$J$2:$J$596)*(A102&lt;Task_table_03_2_26!$K$2:$K$596))</f>
        <v>38</v>
      </c>
      <c r="C102" cm="1">
        <f t="array" ref="C102">SUMPRODUCT((Task_table_03_2_26!$C$2:$C$596=$C$1)*(A102&gt;Task_table_03_2_26!$J$2:$J$596)*(A102&lt;Task_table_03_2_26!$K$2:$K$596))</f>
        <v>4</v>
      </c>
      <c r="D102" cm="1">
        <f t="array" ref="D102">SUMPRODUCT((Task_table_03_2_26!$C$2:$C$596=$D$1)*(A102&gt;Task_table_03_2_26!$J$2:$J$596)*(A102&lt;Task_table_03_2_26!$K$2:$K$596))</f>
        <v>0</v>
      </c>
      <c r="E102" cm="1">
        <f t="array" ref="E102">SUMPRODUCT((Task_table_03_2_26!$C$2:$C$596=$E$1)*(A102&gt;Task_table_03_2_26!$J$2:$J$596)*(A102&lt;Task_table_03_2_26!$K$2:$K$596))</f>
        <v>5</v>
      </c>
    </row>
    <row r="103" spans="1:5">
      <c r="A103" s="5">
        <v>45971</v>
      </c>
      <c r="B103" cm="1">
        <f t="array" ref="B103">SUMPRODUCT((Task_table_03_2_26!$C$2:$C$596=$B$1)*(A103&gt;Task_table_03_2_26!$J$2:$J$596)*(A103&lt;Task_table_03_2_26!$K$2:$K$596))</f>
        <v>38</v>
      </c>
      <c r="C103" cm="1">
        <f t="array" ref="C103">SUMPRODUCT((Task_table_03_2_26!$C$2:$C$596=$C$1)*(A103&gt;Task_table_03_2_26!$J$2:$J$596)*(A103&lt;Task_table_03_2_26!$K$2:$K$596))</f>
        <v>4</v>
      </c>
      <c r="D103" cm="1">
        <f t="array" ref="D103">SUMPRODUCT((Task_table_03_2_26!$C$2:$C$596=$D$1)*(A103&gt;Task_table_03_2_26!$J$2:$J$596)*(A103&lt;Task_table_03_2_26!$K$2:$K$596))</f>
        <v>0</v>
      </c>
      <c r="E103" cm="1">
        <f t="array" ref="E103">SUMPRODUCT((Task_table_03_2_26!$C$2:$C$596=$E$1)*(A103&gt;Task_table_03_2_26!$J$2:$J$596)*(A103&lt;Task_table_03_2_26!$K$2:$K$596))</f>
        <v>5</v>
      </c>
    </row>
    <row r="104" spans="1:5">
      <c r="A104" s="5">
        <v>45972</v>
      </c>
      <c r="B104" cm="1">
        <f t="array" ref="B104">SUMPRODUCT((Task_table_03_2_26!$C$2:$C$596=$B$1)*(A104&gt;Task_table_03_2_26!$J$2:$J$596)*(A104&lt;Task_table_03_2_26!$K$2:$K$596))</f>
        <v>39</v>
      </c>
      <c r="C104" cm="1">
        <f t="array" ref="C104">SUMPRODUCT((Task_table_03_2_26!$C$2:$C$596=$C$1)*(A104&gt;Task_table_03_2_26!$J$2:$J$596)*(A104&lt;Task_table_03_2_26!$K$2:$K$596))</f>
        <v>4</v>
      </c>
      <c r="D104" cm="1">
        <f t="array" ref="D104">SUMPRODUCT((Task_table_03_2_26!$C$2:$C$596=$D$1)*(A104&gt;Task_table_03_2_26!$J$2:$J$596)*(A104&lt;Task_table_03_2_26!$K$2:$K$596))</f>
        <v>0</v>
      </c>
      <c r="E104" cm="1">
        <f t="array" ref="E104">SUMPRODUCT((Task_table_03_2_26!$C$2:$C$596=$E$1)*(A104&gt;Task_table_03_2_26!$J$2:$J$596)*(A104&lt;Task_table_03_2_26!$K$2:$K$596))</f>
        <v>5</v>
      </c>
    </row>
    <row r="105" spans="1:5">
      <c r="A105" s="5">
        <v>45973</v>
      </c>
      <c r="B105" cm="1">
        <f t="array" ref="B105">SUMPRODUCT((Task_table_03_2_26!$C$2:$C$596=$B$1)*(A105&gt;Task_table_03_2_26!$J$2:$J$596)*(A105&lt;Task_table_03_2_26!$K$2:$K$596))</f>
        <v>47</v>
      </c>
      <c r="C105" cm="1">
        <f t="array" ref="C105">SUMPRODUCT((Task_table_03_2_26!$C$2:$C$596=$C$1)*(A105&gt;Task_table_03_2_26!$J$2:$J$596)*(A105&lt;Task_table_03_2_26!$K$2:$K$596))</f>
        <v>4</v>
      </c>
      <c r="D105" cm="1">
        <f t="array" ref="D105">SUMPRODUCT((Task_table_03_2_26!$C$2:$C$596=$D$1)*(A105&gt;Task_table_03_2_26!$J$2:$J$596)*(A105&lt;Task_table_03_2_26!$K$2:$K$596))</f>
        <v>0</v>
      </c>
      <c r="E105" cm="1">
        <f t="array" ref="E105">SUMPRODUCT((Task_table_03_2_26!$C$2:$C$596=$E$1)*(A105&gt;Task_table_03_2_26!$J$2:$J$596)*(A105&lt;Task_table_03_2_26!$K$2:$K$596))</f>
        <v>5</v>
      </c>
    </row>
    <row r="106" spans="1:5">
      <c r="A106" s="5">
        <v>45974</v>
      </c>
      <c r="B106" cm="1">
        <f t="array" ref="B106">SUMPRODUCT((Task_table_03_2_26!$C$2:$C$596=$B$1)*(A106&gt;Task_table_03_2_26!$J$2:$J$596)*(A106&lt;Task_table_03_2_26!$K$2:$K$596))</f>
        <v>47</v>
      </c>
      <c r="C106" cm="1">
        <f t="array" ref="C106">SUMPRODUCT((Task_table_03_2_26!$C$2:$C$596=$C$1)*(A106&gt;Task_table_03_2_26!$J$2:$J$596)*(A106&lt;Task_table_03_2_26!$K$2:$K$596))</f>
        <v>4</v>
      </c>
      <c r="D106" cm="1">
        <f t="array" ref="D106">SUMPRODUCT((Task_table_03_2_26!$C$2:$C$596=$D$1)*(A106&gt;Task_table_03_2_26!$J$2:$J$596)*(A106&lt;Task_table_03_2_26!$K$2:$K$596))</f>
        <v>0</v>
      </c>
      <c r="E106" cm="1">
        <f t="array" ref="E106">SUMPRODUCT((Task_table_03_2_26!$C$2:$C$596=$E$1)*(A106&gt;Task_table_03_2_26!$J$2:$J$596)*(A106&lt;Task_table_03_2_26!$K$2:$K$596))</f>
        <v>5</v>
      </c>
    </row>
    <row r="107" spans="1:5">
      <c r="A107" s="5">
        <v>45975</v>
      </c>
      <c r="B107" cm="1">
        <f t="array" ref="B107">SUMPRODUCT((Task_table_03_2_26!$C$2:$C$596=$B$1)*(A107&gt;Task_table_03_2_26!$J$2:$J$596)*(A107&lt;Task_table_03_2_26!$K$2:$K$596))</f>
        <v>47</v>
      </c>
      <c r="C107" cm="1">
        <f t="array" ref="C107">SUMPRODUCT((Task_table_03_2_26!$C$2:$C$596=$C$1)*(A107&gt;Task_table_03_2_26!$J$2:$J$596)*(A107&lt;Task_table_03_2_26!$K$2:$K$596))</f>
        <v>4</v>
      </c>
      <c r="D107" cm="1">
        <f t="array" ref="D107">SUMPRODUCT((Task_table_03_2_26!$C$2:$C$596=$D$1)*(A107&gt;Task_table_03_2_26!$J$2:$J$596)*(A107&lt;Task_table_03_2_26!$K$2:$K$596))</f>
        <v>0</v>
      </c>
      <c r="E107" cm="1">
        <f t="array" ref="E107">SUMPRODUCT((Task_table_03_2_26!$C$2:$C$596=$E$1)*(A107&gt;Task_table_03_2_26!$J$2:$J$596)*(A107&lt;Task_table_03_2_26!$K$2:$K$596))</f>
        <v>5</v>
      </c>
    </row>
    <row r="108" spans="1:5">
      <c r="A108" s="5">
        <v>45976</v>
      </c>
      <c r="B108" cm="1">
        <f t="array" ref="B108">SUMPRODUCT((Task_table_03_2_26!$C$2:$C$596=$B$1)*(A108&gt;Task_table_03_2_26!$J$2:$J$596)*(A108&lt;Task_table_03_2_26!$K$2:$K$596))</f>
        <v>47</v>
      </c>
      <c r="C108" cm="1">
        <f t="array" ref="C108">SUMPRODUCT((Task_table_03_2_26!$C$2:$C$596=$C$1)*(A108&gt;Task_table_03_2_26!$J$2:$J$596)*(A108&lt;Task_table_03_2_26!$K$2:$K$596))</f>
        <v>4</v>
      </c>
      <c r="D108" cm="1">
        <f t="array" ref="D108">SUMPRODUCT((Task_table_03_2_26!$C$2:$C$596=$D$1)*(A108&gt;Task_table_03_2_26!$J$2:$J$596)*(A108&lt;Task_table_03_2_26!$K$2:$K$596))</f>
        <v>0</v>
      </c>
      <c r="E108" cm="1">
        <f t="array" ref="E108">SUMPRODUCT((Task_table_03_2_26!$C$2:$C$596=$E$1)*(A108&gt;Task_table_03_2_26!$J$2:$J$596)*(A108&lt;Task_table_03_2_26!$K$2:$K$596))</f>
        <v>5</v>
      </c>
    </row>
    <row r="109" spans="1:5">
      <c r="A109" s="5">
        <v>45977</v>
      </c>
      <c r="B109" cm="1">
        <f t="array" ref="B109">SUMPRODUCT((Task_table_03_2_26!$C$2:$C$596=$B$1)*(A109&gt;Task_table_03_2_26!$J$2:$J$596)*(A109&lt;Task_table_03_2_26!$K$2:$K$596))</f>
        <v>47</v>
      </c>
      <c r="C109" cm="1">
        <f t="array" ref="C109">SUMPRODUCT((Task_table_03_2_26!$C$2:$C$596=$C$1)*(A109&gt;Task_table_03_2_26!$J$2:$J$596)*(A109&lt;Task_table_03_2_26!$K$2:$K$596))</f>
        <v>4</v>
      </c>
      <c r="D109" cm="1">
        <f t="array" ref="D109">SUMPRODUCT((Task_table_03_2_26!$C$2:$C$596=$D$1)*(A109&gt;Task_table_03_2_26!$J$2:$J$596)*(A109&lt;Task_table_03_2_26!$K$2:$K$596))</f>
        <v>0</v>
      </c>
      <c r="E109" cm="1">
        <f t="array" ref="E109">SUMPRODUCT((Task_table_03_2_26!$C$2:$C$596=$E$1)*(A109&gt;Task_table_03_2_26!$J$2:$J$596)*(A109&lt;Task_table_03_2_26!$K$2:$K$596))</f>
        <v>5</v>
      </c>
    </row>
    <row r="110" spans="1:5">
      <c r="A110" s="5">
        <v>45978</v>
      </c>
      <c r="B110" cm="1">
        <f t="array" ref="B110">SUMPRODUCT((Task_table_03_2_26!$C$2:$C$596=$B$1)*(A110&gt;Task_table_03_2_26!$J$2:$J$596)*(A110&lt;Task_table_03_2_26!$K$2:$K$596))</f>
        <v>47</v>
      </c>
      <c r="C110" cm="1">
        <f t="array" ref="C110">SUMPRODUCT((Task_table_03_2_26!$C$2:$C$596=$C$1)*(A110&gt;Task_table_03_2_26!$J$2:$J$596)*(A110&lt;Task_table_03_2_26!$K$2:$K$596))</f>
        <v>4</v>
      </c>
      <c r="D110" cm="1">
        <f t="array" ref="D110">SUMPRODUCT((Task_table_03_2_26!$C$2:$C$596=$D$1)*(A110&gt;Task_table_03_2_26!$J$2:$J$596)*(A110&lt;Task_table_03_2_26!$K$2:$K$596))</f>
        <v>0</v>
      </c>
      <c r="E110" cm="1">
        <f t="array" ref="E110">SUMPRODUCT((Task_table_03_2_26!$C$2:$C$596=$E$1)*(A110&gt;Task_table_03_2_26!$J$2:$J$596)*(A110&lt;Task_table_03_2_26!$K$2:$K$596))</f>
        <v>5</v>
      </c>
    </row>
    <row r="111" spans="1:5">
      <c r="A111" s="5">
        <v>45979</v>
      </c>
      <c r="B111" cm="1">
        <f t="array" ref="B111">SUMPRODUCT((Task_table_03_2_26!$C$2:$C$596=$B$1)*(A111&gt;Task_table_03_2_26!$J$2:$J$596)*(A111&lt;Task_table_03_2_26!$K$2:$K$596))</f>
        <v>47</v>
      </c>
      <c r="C111" cm="1">
        <f t="array" ref="C111">SUMPRODUCT((Task_table_03_2_26!$C$2:$C$596=$C$1)*(A111&gt;Task_table_03_2_26!$J$2:$J$596)*(A111&lt;Task_table_03_2_26!$K$2:$K$596))</f>
        <v>4</v>
      </c>
      <c r="D111" cm="1">
        <f t="array" ref="D111">SUMPRODUCT((Task_table_03_2_26!$C$2:$C$596=$D$1)*(A111&gt;Task_table_03_2_26!$J$2:$J$596)*(A111&lt;Task_table_03_2_26!$K$2:$K$596))</f>
        <v>0</v>
      </c>
      <c r="E111" cm="1">
        <f t="array" ref="E111">SUMPRODUCT((Task_table_03_2_26!$C$2:$C$596=$E$1)*(A111&gt;Task_table_03_2_26!$J$2:$J$596)*(A111&lt;Task_table_03_2_26!$K$2:$K$596))</f>
        <v>5</v>
      </c>
    </row>
    <row r="112" spans="1:5">
      <c r="A112" s="5">
        <v>45980</v>
      </c>
      <c r="B112" cm="1">
        <f t="array" ref="B112">SUMPRODUCT((Task_table_03_2_26!$C$2:$C$596=$B$1)*(A112&gt;Task_table_03_2_26!$J$2:$J$596)*(A112&lt;Task_table_03_2_26!$K$2:$K$596))</f>
        <v>47</v>
      </c>
      <c r="C112" cm="1">
        <f t="array" ref="C112">SUMPRODUCT((Task_table_03_2_26!$C$2:$C$596=$C$1)*(A112&gt;Task_table_03_2_26!$J$2:$J$596)*(A112&lt;Task_table_03_2_26!$K$2:$K$596))</f>
        <v>4</v>
      </c>
      <c r="D112" cm="1">
        <f t="array" ref="D112">SUMPRODUCT((Task_table_03_2_26!$C$2:$C$596=$D$1)*(A112&gt;Task_table_03_2_26!$J$2:$J$596)*(A112&lt;Task_table_03_2_26!$K$2:$K$596))</f>
        <v>0</v>
      </c>
      <c r="E112" cm="1">
        <f t="array" ref="E112">SUMPRODUCT((Task_table_03_2_26!$C$2:$C$596=$E$1)*(A112&gt;Task_table_03_2_26!$J$2:$J$596)*(A112&lt;Task_table_03_2_26!$K$2:$K$596))</f>
        <v>5</v>
      </c>
    </row>
    <row r="113" spans="1:5">
      <c r="A113" s="5">
        <v>45981</v>
      </c>
      <c r="B113" cm="1">
        <f t="array" ref="B113">SUMPRODUCT((Task_table_03_2_26!$C$2:$C$596=$B$1)*(A113&gt;Task_table_03_2_26!$J$2:$J$596)*(A113&lt;Task_table_03_2_26!$K$2:$K$596))</f>
        <v>47</v>
      </c>
      <c r="C113" cm="1">
        <f t="array" ref="C113">SUMPRODUCT((Task_table_03_2_26!$C$2:$C$596=$C$1)*(A113&gt;Task_table_03_2_26!$J$2:$J$596)*(A113&lt;Task_table_03_2_26!$K$2:$K$596))</f>
        <v>4</v>
      </c>
      <c r="D113" cm="1">
        <f t="array" ref="D113">SUMPRODUCT((Task_table_03_2_26!$C$2:$C$596=$D$1)*(A113&gt;Task_table_03_2_26!$J$2:$J$596)*(A113&lt;Task_table_03_2_26!$K$2:$K$596))</f>
        <v>0</v>
      </c>
      <c r="E113" cm="1">
        <f t="array" ref="E113">SUMPRODUCT((Task_table_03_2_26!$C$2:$C$596=$E$1)*(A113&gt;Task_table_03_2_26!$J$2:$J$596)*(A113&lt;Task_table_03_2_26!$K$2:$K$596))</f>
        <v>5</v>
      </c>
    </row>
    <row r="114" spans="1:5">
      <c r="A114" s="5">
        <v>45982</v>
      </c>
      <c r="B114" cm="1">
        <f t="array" ref="B114">SUMPRODUCT((Task_table_03_2_26!$C$2:$C$596=$B$1)*(A114&gt;Task_table_03_2_26!$J$2:$J$596)*(A114&lt;Task_table_03_2_26!$K$2:$K$596))</f>
        <v>47</v>
      </c>
      <c r="C114" cm="1">
        <f t="array" ref="C114">SUMPRODUCT((Task_table_03_2_26!$C$2:$C$596=$C$1)*(A114&gt;Task_table_03_2_26!$J$2:$J$596)*(A114&lt;Task_table_03_2_26!$K$2:$K$596))</f>
        <v>4</v>
      </c>
      <c r="D114" cm="1">
        <f t="array" ref="D114">SUMPRODUCT((Task_table_03_2_26!$C$2:$C$596=$D$1)*(A114&gt;Task_table_03_2_26!$J$2:$J$596)*(A114&lt;Task_table_03_2_26!$K$2:$K$596))</f>
        <v>0</v>
      </c>
      <c r="E114" cm="1">
        <f t="array" ref="E114">SUMPRODUCT((Task_table_03_2_26!$C$2:$C$596=$E$1)*(A114&gt;Task_table_03_2_26!$J$2:$J$596)*(A114&lt;Task_table_03_2_26!$K$2:$K$596))</f>
        <v>5</v>
      </c>
    </row>
    <row r="115" spans="1:5">
      <c r="A115" s="5">
        <v>45983</v>
      </c>
      <c r="B115" cm="1">
        <f t="array" ref="B115">SUMPRODUCT((Task_table_03_2_26!$C$2:$C$596=$B$1)*(A115&gt;Task_table_03_2_26!$J$2:$J$596)*(A115&lt;Task_table_03_2_26!$K$2:$K$596))</f>
        <v>47</v>
      </c>
      <c r="C115" cm="1">
        <f t="array" ref="C115">SUMPRODUCT((Task_table_03_2_26!$C$2:$C$596=$C$1)*(A115&gt;Task_table_03_2_26!$J$2:$J$596)*(A115&lt;Task_table_03_2_26!$K$2:$K$596))</f>
        <v>4</v>
      </c>
      <c r="D115" cm="1">
        <f t="array" ref="D115">SUMPRODUCT((Task_table_03_2_26!$C$2:$C$596=$D$1)*(A115&gt;Task_table_03_2_26!$J$2:$J$596)*(A115&lt;Task_table_03_2_26!$K$2:$K$596))</f>
        <v>0</v>
      </c>
      <c r="E115" cm="1">
        <f t="array" ref="E115">SUMPRODUCT((Task_table_03_2_26!$C$2:$C$596=$E$1)*(A115&gt;Task_table_03_2_26!$J$2:$J$596)*(A115&lt;Task_table_03_2_26!$K$2:$K$596))</f>
        <v>5</v>
      </c>
    </row>
    <row r="116" spans="1:5">
      <c r="A116" s="5">
        <v>45984</v>
      </c>
      <c r="B116" cm="1">
        <f t="array" ref="B116">SUMPRODUCT((Task_table_03_2_26!$C$2:$C$596=$B$1)*(A116&gt;Task_table_03_2_26!$J$2:$J$596)*(A116&lt;Task_table_03_2_26!$K$2:$K$596))</f>
        <v>47</v>
      </c>
      <c r="C116" cm="1">
        <f t="array" ref="C116">SUMPRODUCT((Task_table_03_2_26!$C$2:$C$596=$C$1)*(A116&gt;Task_table_03_2_26!$J$2:$J$596)*(A116&lt;Task_table_03_2_26!$K$2:$K$596))</f>
        <v>4</v>
      </c>
      <c r="D116" cm="1">
        <f t="array" ref="D116">SUMPRODUCT((Task_table_03_2_26!$C$2:$C$596=$D$1)*(A116&gt;Task_table_03_2_26!$J$2:$J$596)*(A116&lt;Task_table_03_2_26!$K$2:$K$596))</f>
        <v>0</v>
      </c>
      <c r="E116" cm="1">
        <f t="array" ref="E116">SUMPRODUCT((Task_table_03_2_26!$C$2:$C$596=$E$1)*(A116&gt;Task_table_03_2_26!$J$2:$J$596)*(A116&lt;Task_table_03_2_26!$K$2:$K$596))</f>
        <v>5</v>
      </c>
    </row>
    <row r="117" spans="1:5">
      <c r="A117" s="5">
        <v>45985</v>
      </c>
      <c r="B117" cm="1">
        <f t="array" ref="B117">SUMPRODUCT((Task_table_03_2_26!$C$2:$C$596=$B$1)*(A117&gt;Task_table_03_2_26!$J$2:$J$596)*(A117&lt;Task_table_03_2_26!$K$2:$K$596))</f>
        <v>47</v>
      </c>
      <c r="C117" cm="1">
        <f t="array" ref="C117">SUMPRODUCT((Task_table_03_2_26!$C$2:$C$596=$C$1)*(A117&gt;Task_table_03_2_26!$J$2:$J$596)*(A117&lt;Task_table_03_2_26!$K$2:$K$596))</f>
        <v>4</v>
      </c>
      <c r="D117" cm="1">
        <f t="array" ref="D117">SUMPRODUCT((Task_table_03_2_26!$C$2:$C$596=$D$1)*(A117&gt;Task_table_03_2_26!$J$2:$J$596)*(A117&lt;Task_table_03_2_26!$K$2:$K$596))</f>
        <v>0</v>
      </c>
      <c r="E117" cm="1">
        <f t="array" ref="E117">SUMPRODUCT((Task_table_03_2_26!$C$2:$C$596=$E$1)*(A117&gt;Task_table_03_2_26!$J$2:$J$596)*(A117&lt;Task_table_03_2_26!$K$2:$K$596))</f>
        <v>5</v>
      </c>
    </row>
    <row r="118" spans="1:5">
      <c r="A118" s="5">
        <v>45986</v>
      </c>
      <c r="B118" cm="1">
        <f t="array" ref="B118">SUMPRODUCT((Task_table_03_2_26!$C$2:$C$596=$B$1)*(A118&gt;Task_table_03_2_26!$J$2:$J$596)*(A118&lt;Task_table_03_2_26!$K$2:$K$596))</f>
        <v>47</v>
      </c>
      <c r="C118" cm="1">
        <f t="array" ref="C118">SUMPRODUCT((Task_table_03_2_26!$C$2:$C$596=$C$1)*(A118&gt;Task_table_03_2_26!$J$2:$J$596)*(A118&lt;Task_table_03_2_26!$K$2:$K$596))</f>
        <v>4</v>
      </c>
      <c r="D118" cm="1">
        <f t="array" ref="D118">SUMPRODUCT((Task_table_03_2_26!$C$2:$C$596=$D$1)*(A118&gt;Task_table_03_2_26!$J$2:$J$596)*(A118&lt;Task_table_03_2_26!$K$2:$K$596))</f>
        <v>0</v>
      </c>
      <c r="E118" cm="1">
        <f t="array" ref="E118">SUMPRODUCT((Task_table_03_2_26!$C$2:$C$596=$E$1)*(A118&gt;Task_table_03_2_26!$J$2:$J$596)*(A118&lt;Task_table_03_2_26!$K$2:$K$596))</f>
        <v>5</v>
      </c>
    </row>
    <row r="119" spans="1:5">
      <c r="A119" s="5">
        <v>45987</v>
      </c>
      <c r="B119" cm="1">
        <f t="array" ref="B119">SUMPRODUCT((Task_table_03_2_26!$C$2:$C$596=$B$1)*(A119&gt;Task_table_03_2_26!$J$2:$J$596)*(A119&lt;Task_table_03_2_26!$K$2:$K$596))</f>
        <v>47</v>
      </c>
      <c r="C119" cm="1">
        <f t="array" ref="C119">SUMPRODUCT((Task_table_03_2_26!$C$2:$C$596=$C$1)*(A119&gt;Task_table_03_2_26!$J$2:$J$596)*(A119&lt;Task_table_03_2_26!$K$2:$K$596))</f>
        <v>4</v>
      </c>
      <c r="D119" cm="1">
        <f t="array" ref="D119">SUMPRODUCT((Task_table_03_2_26!$C$2:$C$596=$D$1)*(A119&gt;Task_table_03_2_26!$J$2:$J$596)*(A119&lt;Task_table_03_2_26!$K$2:$K$596))</f>
        <v>0</v>
      </c>
      <c r="E119" cm="1">
        <f t="array" ref="E119">SUMPRODUCT((Task_table_03_2_26!$C$2:$C$596=$E$1)*(A119&gt;Task_table_03_2_26!$J$2:$J$596)*(A119&lt;Task_table_03_2_26!$K$2:$K$596))</f>
        <v>5</v>
      </c>
    </row>
    <row r="120" spans="1:5">
      <c r="A120" s="5">
        <v>45988</v>
      </c>
      <c r="B120" cm="1">
        <f t="array" ref="B120">SUMPRODUCT((Task_table_03_2_26!$C$2:$C$596=$B$1)*(A120&gt;Task_table_03_2_26!$J$2:$J$596)*(A120&lt;Task_table_03_2_26!$K$2:$K$596))</f>
        <v>47</v>
      </c>
      <c r="C120" cm="1">
        <f t="array" ref="C120">SUMPRODUCT((Task_table_03_2_26!$C$2:$C$596=$C$1)*(A120&gt;Task_table_03_2_26!$J$2:$J$596)*(A120&lt;Task_table_03_2_26!$K$2:$K$596))</f>
        <v>4</v>
      </c>
      <c r="D120" cm="1">
        <f t="array" ref="D120">SUMPRODUCT((Task_table_03_2_26!$C$2:$C$596=$D$1)*(A120&gt;Task_table_03_2_26!$J$2:$J$596)*(A120&lt;Task_table_03_2_26!$K$2:$K$596))</f>
        <v>0</v>
      </c>
      <c r="E120" cm="1">
        <f t="array" ref="E120">SUMPRODUCT((Task_table_03_2_26!$C$2:$C$596=$E$1)*(A120&gt;Task_table_03_2_26!$J$2:$J$596)*(A120&lt;Task_table_03_2_26!$K$2:$K$596))</f>
        <v>5</v>
      </c>
    </row>
    <row r="121" spans="1:5">
      <c r="A121" s="5">
        <v>45989</v>
      </c>
      <c r="B121" cm="1">
        <f t="array" ref="B121">SUMPRODUCT((Task_table_03_2_26!$C$2:$C$596=$B$1)*(A121&gt;Task_table_03_2_26!$J$2:$J$596)*(A121&lt;Task_table_03_2_26!$K$2:$K$596))</f>
        <v>47</v>
      </c>
      <c r="C121" cm="1">
        <f t="array" ref="C121">SUMPRODUCT((Task_table_03_2_26!$C$2:$C$596=$C$1)*(A121&gt;Task_table_03_2_26!$J$2:$J$596)*(A121&lt;Task_table_03_2_26!$K$2:$K$596))</f>
        <v>4</v>
      </c>
      <c r="D121" cm="1">
        <f t="array" ref="D121">SUMPRODUCT((Task_table_03_2_26!$C$2:$C$596=$D$1)*(A121&gt;Task_table_03_2_26!$J$2:$J$596)*(A121&lt;Task_table_03_2_26!$K$2:$K$596))</f>
        <v>0</v>
      </c>
      <c r="E121" cm="1">
        <f t="array" ref="E121">SUMPRODUCT((Task_table_03_2_26!$C$2:$C$596=$E$1)*(A121&gt;Task_table_03_2_26!$J$2:$J$596)*(A121&lt;Task_table_03_2_26!$K$2:$K$596))</f>
        <v>5</v>
      </c>
    </row>
    <row r="122" spans="1:5">
      <c r="A122" s="5">
        <v>45990</v>
      </c>
      <c r="B122" cm="1">
        <f t="array" ref="B122">SUMPRODUCT((Task_table_03_2_26!$C$2:$C$596=$B$1)*(A122&gt;Task_table_03_2_26!$J$2:$J$596)*(A122&lt;Task_table_03_2_26!$K$2:$K$596))</f>
        <v>47</v>
      </c>
      <c r="C122" cm="1">
        <f t="array" ref="C122">SUMPRODUCT((Task_table_03_2_26!$C$2:$C$596=$C$1)*(A122&gt;Task_table_03_2_26!$J$2:$J$596)*(A122&lt;Task_table_03_2_26!$K$2:$K$596))</f>
        <v>4</v>
      </c>
      <c r="D122" cm="1">
        <f t="array" ref="D122">SUMPRODUCT((Task_table_03_2_26!$C$2:$C$596=$D$1)*(A122&gt;Task_table_03_2_26!$J$2:$J$596)*(A122&lt;Task_table_03_2_26!$K$2:$K$596))</f>
        <v>0</v>
      </c>
      <c r="E122" cm="1">
        <f t="array" ref="E122">SUMPRODUCT((Task_table_03_2_26!$C$2:$C$596=$E$1)*(A122&gt;Task_table_03_2_26!$J$2:$J$596)*(A122&lt;Task_table_03_2_26!$K$2:$K$596))</f>
        <v>5</v>
      </c>
    </row>
    <row r="123" spans="1:5">
      <c r="A123" s="5">
        <v>45991</v>
      </c>
      <c r="B123" cm="1">
        <f t="array" ref="B123">SUMPRODUCT((Task_table_03_2_26!$C$2:$C$596=$B$1)*(A123&gt;Task_table_03_2_26!$J$2:$J$596)*(A123&lt;Task_table_03_2_26!$K$2:$K$596))</f>
        <v>47</v>
      </c>
      <c r="C123" cm="1">
        <f t="array" ref="C123">SUMPRODUCT((Task_table_03_2_26!$C$2:$C$596=$C$1)*(A123&gt;Task_table_03_2_26!$J$2:$J$596)*(A123&lt;Task_table_03_2_26!$K$2:$K$596))</f>
        <v>4</v>
      </c>
      <c r="D123" cm="1">
        <f t="array" ref="D123">SUMPRODUCT((Task_table_03_2_26!$C$2:$C$596=$D$1)*(A123&gt;Task_table_03_2_26!$J$2:$J$596)*(A123&lt;Task_table_03_2_26!$K$2:$K$596))</f>
        <v>0</v>
      </c>
      <c r="E123" cm="1">
        <f t="array" ref="E123">SUMPRODUCT((Task_table_03_2_26!$C$2:$C$596=$E$1)*(A123&gt;Task_table_03_2_26!$J$2:$J$596)*(A123&lt;Task_table_03_2_26!$K$2:$K$596))</f>
        <v>5</v>
      </c>
    </row>
    <row r="124" spans="1:5">
      <c r="A124" s="5">
        <v>45992</v>
      </c>
      <c r="B124" cm="1">
        <f t="array" ref="B124">SUMPRODUCT((Task_table_03_2_26!$C$2:$C$596=$B$1)*(A124&gt;Task_table_03_2_26!$J$2:$J$596)*(A124&lt;Task_table_03_2_26!$K$2:$K$596))</f>
        <v>47</v>
      </c>
      <c r="C124" cm="1">
        <f t="array" ref="C124">SUMPRODUCT((Task_table_03_2_26!$C$2:$C$596=$C$1)*(A124&gt;Task_table_03_2_26!$J$2:$J$596)*(A124&lt;Task_table_03_2_26!$K$2:$K$596))</f>
        <v>4</v>
      </c>
      <c r="D124" cm="1">
        <f t="array" ref="D124">SUMPRODUCT((Task_table_03_2_26!$C$2:$C$596=$D$1)*(A124&gt;Task_table_03_2_26!$J$2:$J$596)*(A124&lt;Task_table_03_2_26!$K$2:$K$596))</f>
        <v>0</v>
      </c>
      <c r="E124" cm="1">
        <f t="array" ref="E124">SUMPRODUCT((Task_table_03_2_26!$C$2:$C$596=$E$1)*(A124&gt;Task_table_03_2_26!$J$2:$J$596)*(A124&lt;Task_table_03_2_26!$K$2:$K$596))</f>
        <v>5</v>
      </c>
    </row>
    <row r="125" spans="1:5">
      <c r="A125" s="5">
        <v>45993</v>
      </c>
      <c r="B125" cm="1">
        <f t="array" ref="B125">SUMPRODUCT((Task_table_03_2_26!$C$2:$C$596=$B$1)*(A125&gt;Task_table_03_2_26!$J$2:$J$596)*(A125&lt;Task_table_03_2_26!$K$2:$K$596))</f>
        <v>47</v>
      </c>
      <c r="C125" cm="1">
        <f t="array" ref="C125">SUMPRODUCT((Task_table_03_2_26!$C$2:$C$596=$C$1)*(A125&gt;Task_table_03_2_26!$J$2:$J$596)*(A125&lt;Task_table_03_2_26!$K$2:$K$596))</f>
        <v>4</v>
      </c>
      <c r="D125" cm="1">
        <f t="array" ref="D125">SUMPRODUCT((Task_table_03_2_26!$C$2:$C$596=$D$1)*(A125&gt;Task_table_03_2_26!$J$2:$J$596)*(A125&lt;Task_table_03_2_26!$K$2:$K$596))</f>
        <v>0</v>
      </c>
      <c r="E125" cm="1">
        <f t="array" ref="E125">SUMPRODUCT((Task_table_03_2_26!$C$2:$C$596=$E$1)*(A125&gt;Task_table_03_2_26!$J$2:$J$596)*(A125&lt;Task_table_03_2_26!$K$2:$K$596))</f>
        <v>5</v>
      </c>
    </row>
    <row r="126" spans="1:5">
      <c r="A126" s="5">
        <v>45994</v>
      </c>
      <c r="B126" cm="1">
        <f t="array" ref="B126">SUMPRODUCT((Task_table_03_2_26!$C$2:$C$596=$B$1)*(A126&gt;Task_table_03_2_26!$J$2:$J$596)*(A126&lt;Task_table_03_2_26!$K$2:$K$596))</f>
        <v>47</v>
      </c>
      <c r="C126" cm="1">
        <f t="array" ref="C126">SUMPRODUCT((Task_table_03_2_26!$C$2:$C$596=$C$1)*(A126&gt;Task_table_03_2_26!$J$2:$J$596)*(A126&lt;Task_table_03_2_26!$K$2:$K$596))</f>
        <v>4</v>
      </c>
      <c r="D126" cm="1">
        <f t="array" ref="D126">SUMPRODUCT((Task_table_03_2_26!$C$2:$C$596=$D$1)*(A126&gt;Task_table_03_2_26!$J$2:$J$596)*(A126&lt;Task_table_03_2_26!$K$2:$K$596))</f>
        <v>0</v>
      </c>
      <c r="E126" cm="1">
        <f t="array" ref="E126">SUMPRODUCT((Task_table_03_2_26!$C$2:$C$596=$E$1)*(A126&gt;Task_table_03_2_26!$J$2:$J$596)*(A126&lt;Task_table_03_2_26!$K$2:$K$596))</f>
        <v>5</v>
      </c>
    </row>
    <row r="127" spans="1:5">
      <c r="A127" s="5">
        <v>45995</v>
      </c>
      <c r="B127" cm="1">
        <f t="array" ref="B127">SUMPRODUCT((Task_table_03_2_26!$C$2:$C$596=$B$1)*(A127&gt;Task_table_03_2_26!$J$2:$J$596)*(A127&lt;Task_table_03_2_26!$K$2:$K$596))</f>
        <v>47</v>
      </c>
      <c r="C127" cm="1">
        <f t="array" ref="C127">SUMPRODUCT((Task_table_03_2_26!$C$2:$C$596=$C$1)*(A127&gt;Task_table_03_2_26!$J$2:$J$596)*(A127&lt;Task_table_03_2_26!$K$2:$K$596))</f>
        <v>4</v>
      </c>
      <c r="D127" cm="1">
        <f t="array" ref="D127">SUMPRODUCT((Task_table_03_2_26!$C$2:$C$596=$D$1)*(A127&gt;Task_table_03_2_26!$J$2:$J$596)*(A127&lt;Task_table_03_2_26!$K$2:$K$596))</f>
        <v>0</v>
      </c>
      <c r="E127" cm="1">
        <f t="array" ref="E127">SUMPRODUCT((Task_table_03_2_26!$C$2:$C$596=$E$1)*(A127&gt;Task_table_03_2_26!$J$2:$J$596)*(A127&lt;Task_table_03_2_26!$K$2:$K$596))</f>
        <v>5</v>
      </c>
    </row>
    <row r="128" spans="1:5">
      <c r="A128" s="5">
        <v>45996</v>
      </c>
      <c r="B128" cm="1">
        <f t="array" ref="B128">SUMPRODUCT((Task_table_03_2_26!$C$2:$C$596=$B$1)*(A128&gt;Task_table_03_2_26!$J$2:$J$596)*(A128&lt;Task_table_03_2_26!$K$2:$K$596))</f>
        <v>47</v>
      </c>
      <c r="C128" cm="1">
        <f t="array" ref="C128">SUMPRODUCT((Task_table_03_2_26!$C$2:$C$596=$C$1)*(A128&gt;Task_table_03_2_26!$J$2:$J$596)*(A128&lt;Task_table_03_2_26!$K$2:$K$596))</f>
        <v>4</v>
      </c>
      <c r="D128" cm="1">
        <f t="array" ref="D128">SUMPRODUCT((Task_table_03_2_26!$C$2:$C$596=$D$1)*(A128&gt;Task_table_03_2_26!$J$2:$J$596)*(A128&lt;Task_table_03_2_26!$K$2:$K$596))</f>
        <v>0</v>
      </c>
      <c r="E128" cm="1">
        <f t="array" ref="E128">SUMPRODUCT((Task_table_03_2_26!$C$2:$C$596=$E$1)*(A128&gt;Task_table_03_2_26!$J$2:$J$596)*(A128&lt;Task_table_03_2_26!$K$2:$K$596))</f>
        <v>5</v>
      </c>
    </row>
    <row r="129" spans="1:5">
      <c r="A129" s="5">
        <v>45997</v>
      </c>
      <c r="B129" cm="1">
        <f t="array" ref="B129">SUMPRODUCT((Task_table_03_2_26!$C$2:$C$596=$B$1)*(A129&gt;Task_table_03_2_26!$J$2:$J$596)*(A129&lt;Task_table_03_2_26!$K$2:$K$596))</f>
        <v>47</v>
      </c>
      <c r="C129" cm="1">
        <f t="array" ref="C129">SUMPRODUCT((Task_table_03_2_26!$C$2:$C$596=$C$1)*(A129&gt;Task_table_03_2_26!$J$2:$J$596)*(A129&lt;Task_table_03_2_26!$K$2:$K$596))</f>
        <v>4</v>
      </c>
      <c r="D129" cm="1">
        <f t="array" ref="D129">SUMPRODUCT((Task_table_03_2_26!$C$2:$C$596=$D$1)*(A129&gt;Task_table_03_2_26!$J$2:$J$596)*(A129&lt;Task_table_03_2_26!$K$2:$K$596))</f>
        <v>0</v>
      </c>
      <c r="E129" cm="1">
        <f t="array" ref="E129">SUMPRODUCT((Task_table_03_2_26!$C$2:$C$596=$E$1)*(A129&gt;Task_table_03_2_26!$J$2:$J$596)*(A129&lt;Task_table_03_2_26!$K$2:$K$596))</f>
        <v>5</v>
      </c>
    </row>
    <row r="130" spans="1:5">
      <c r="A130" s="5">
        <v>45998</v>
      </c>
      <c r="B130" cm="1">
        <f t="array" ref="B130">SUMPRODUCT((Task_table_03_2_26!$C$2:$C$596=$B$1)*(A130&gt;Task_table_03_2_26!$J$2:$J$596)*(A130&lt;Task_table_03_2_26!$K$2:$K$596))</f>
        <v>47</v>
      </c>
      <c r="C130" cm="1">
        <f t="array" ref="C130">SUMPRODUCT((Task_table_03_2_26!$C$2:$C$596=$C$1)*(A130&gt;Task_table_03_2_26!$J$2:$J$596)*(A130&lt;Task_table_03_2_26!$K$2:$K$596))</f>
        <v>4</v>
      </c>
      <c r="D130" cm="1">
        <f t="array" ref="D130">SUMPRODUCT((Task_table_03_2_26!$C$2:$C$596=$D$1)*(A130&gt;Task_table_03_2_26!$J$2:$J$596)*(A130&lt;Task_table_03_2_26!$K$2:$K$596))</f>
        <v>0</v>
      </c>
      <c r="E130" cm="1">
        <f t="array" ref="E130">SUMPRODUCT((Task_table_03_2_26!$C$2:$C$596=$E$1)*(A130&gt;Task_table_03_2_26!$J$2:$J$596)*(A130&lt;Task_table_03_2_26!$K$2:$K$596))</f>
        <v>5</v>
      </c>
    </row>
    <row r="131" spans="1:5">
      <c r="A131" s="5">
        <v>45999</v>
      </c>
      <c r="B131" cm="1">
        <f t="array" ref="B131">SUMPRODUCT((Task_table_03_2_26!$C$2:$C$596=$B$1)*(A131&gt;Task_table_03_2_26!$J$2:$J$596)*(A131&lt;Task_table_03_2_26!$K$2:$K$596))</f>
        <v>47</v>
      </c>
      <c r="C131" cm="1">
        <f t="array" ref="C131">SUMPRODUCT((Task_table_03_2_26!$C$2:$C$596=$C$1)*(A131&gt;Task_table_03_2_26!$J$2:$J$596)*(A131&lt;Task_table_03_2_26!$K$2:$K$596))</f>
        <v>4</v>
      </c>
      <c r="D131" cm="1">
        <f t="array" ref="D131">SUMPRODUCT((Task_table_03_2_26!$C$2:$C$596=$D$1)*(A131&gt;Task_table_03_2_26!$J$2:$J$596)*(A131&lt;Task_table_03_2_26!$K$2:$K$596))</f>
        <v>0</v>
      </c>
      <c r="E131" cm="1">
        <f t="array" ref="E131">SUMPRODUCT((Task_table_03_2_26!$C$2:$C$596=$E$1)*(A131&gt;Task_table_03_2_26!$J$2:$J$596)*(A131&lt;Task_table_03_2_26!$K$2:$K$596))</f>
        <v>5</v>
      </c>
    </row>
    <row r="132" spans="1:5">
      <c r="A132" s="5">
        <v>46000</v>
      </c>
      <c r="B132" cm="1">
        <f t="array" ref="B132">SUMPRODUCT((Task_table_03_2_26!$C$2:$C$596=$B$1)*(A132&gt;Task_table_03_2_26!$J$2:$J$596)*(A132&lt;Task_table_03_2_26!$K$2:$K$596))</f>
        <v>47</v>
      </c>
      <c r="C132" cm="1">
        <f t="array" ref="C132">SUMPRODUCT((Task_table_03_2_26!$C$2:$C$596=$C$1)*(A132&gt;Task_table_03_2_26!$J$2:$J$596)*(A132&lt;Task_table_03_2_26!$K$2:$K$596))</f>
        <v>4</v>
      </c>
      <c r="D132" cm="1">
        <f t="array" ref="D132">SUMPRODUCT((Task_table_03_2_26!$C$2:$C$596=$D$1)*(A132&gt;Task_table_03_2_26!$J$2:$J$596)*(A132&lt;Task_table_03_2_26!$K$2:$K$596))</f>
        <v>0</v>
      </c>
      <c r="E132" cm="1">
        <f t="array" ref="E132">SUMPRODUCT((Task_table_03_2_26!$C$2:$C$596=$E$1)*(A132&gt;Task_table_03_2_26!$J$2:$J$596)*(A132&lt;Task_table_03_2_26!$K$2:$K$596))</f>
        <v>5</v>
      </c>
    </row>
    <row r="133" spans="1:5">
      <c r="A133" s="5">
        <v>46001</v>
      </c>
      <c r="B133" cm="1">
        <f t="array" ref="B133">SUMPRODUCT((Task_table_03_2_26!$C$2:$C$596=$B$1)*(A133&gt;Task_table_03_2_26!$J$2:$J$596)*(A133&lt;Task_table_03_2_26!$K$2:$K$596))</f>
        <v>39</v>
      </c>
      <c r="C133" cm="1">
        <f t="array" ref="C133">SUMPRODUCT((Task_table_03_2_26!$C$2:$C$596=$C$1)*(A133&gt;Task_table_03_2_26!$J$2:$J$596)*(A133&lt;Task_table_03_2_26!$K$2:$K$596))</f>
        <v>4</v>
      </c>
      <c r="D133" cm="1">
        <f t="array" ref="D133">SUMPRODUCT((Task_table_03_2_26!$C$2:$C$596=$D$1)*(A133&gt;Task_table_03_2_26!$J$2:$J$596)*(A133&lt;Task_table_03_2_26!$K$2:$K$596))</f>
        <v>0</v>
      </c>
      <c r="E133" cm="1">
        <f t="array" ref="E133">SUMPRODUCT((Task_table_03_2_26!$C$2:$C$596=$E$1)*(A133&gt;Task_table_03_2_26!$J$2:$J$596)*(A133&lt;Task_table_03_2_26!$K$2:$K$596))</f>
        <v>5</v>
      </c>
    </row>
    <row r="134" spans="1:5">
      <c r="A134" s="5">
        <v>46002</v>
      </c>
      <c r="B134" cm="1">
        <f t="array" ref="B134">SUMPRODUCT((Task_table_03_2_26!$C$2:$C$596=$B$1)*(A134&gt;Task_table_03_2_26!$J$2:$J$596)*(A134&lt;Task_table_03_2_26!$K$2:$K$596))</f>
        <v>39</v>
      </c>
      <c r="C134" cm="1">
        <f t="array" ref="C134">SUMPRODUCT((Task_table_03_2_26!$C$2:$C$596=$C$1)*(A134&gt;Task_table_03_2_26!$J$2:$J$596)*(A134&lt;Task_table_03_2_26!$K$2:$K$596))</f>
        <v>4</v>
      </c>
      <c r="D134" cm="1">
        <f t="array" ref="D134">SUMPRODUCT((Task_table_03_2_26!$C$2:$C$596=$D$1)*(A134&gt;Task_table_03_2_26!$J$2:$J$596)*(A134&lt;Task_table_03_2_26!$K$2:$K$596))</f>
        <v>0</v>
      </c>
      <c r="E134" cm="1">
        <f t="array" ref="E134">SUMPRODUCT((Task_table_03_2_26!$C$2:$C$596=$E$1)*(A134&gt;Task_table_03_2_26!$J$2:$J$596)*(A134&lt;Task_table_03_2_26!$K$2:$K$596))</f>
        <v>5</v>
      </c>
    </row>
    <row r="135" spans="1:5">
      <c r="A135" s="5">
        <v>46003</v>
      </c>
      <c r="B135" cm="1">
        <f t="array" ref="B135">SUMPRODUCT((Task_table_03_2_26!$C$2:$C$596=$B$1)*(A135&gt;Task_table_03_2_26!$J$2:$J$596)*(A135&lt;Task_table_03_2_26!$K$2:$K$596))</f>
        <v>39</v>
      </c>
      <c r="C135" cm="1">
        <f t="array" ref="C135">SUMPRODUCT((Task_table_03_2_26!$C$2:$C$596=$C$1)*(A135&gt;Task_table_03_2_26!$J$2:$J$596)*(A135&lt;Task_table_03_2_26!$K$2:$K$596))</f>
        <v>4</v>
      </c>
      <c r="D135" cm="1">
        <f t="array" ref="D135">SUMPRODUCT((Task_table_03_2_26!$C$2:$C$596=$D$1)*(A135&gt;Task_table_03_2_26!$J$2:$J$596)*(A135&lt;Task_table_03_2_26!$K$2:$K$596))</f>
        <v>0</v>
      </c>
      <c r="E135" cm="1">
        <f t="array" ref="E135">SUMPRODUCT((Task_table_03_2_26!$C$2:$C$596=$E$1)*(A135&gt;Task_table_03_2_26!$J$2:$J$596)*(A135&lt;Task_table_03_2_26!$K$2:$K$596))</f>
        <v>5</v>
      </c>
    </row>
    <row r="136" spans="1:5">
      <c r="A136" s="5">
        <v>46004</v>
      </c>
      <c r="B136" cm="1">
        <f t="array" ref="B136">SUMPRODUCT((Task_table_03_2_26!$C$2:$C$596=$B$1)*(A136&gt;Task_table_03_2_26!$J$2:$J$596)*(A136&lt;Task_table_03_2_26!$K$2:$K$596))</f>
        <v>39</v>
      </c>
      <c r="C136" cm="1">
        <f t="array" ref="C136">SUMPRODUCT((Task_table_03_2_26!$C$2:$C$596=$C$1)*(A136&gt;Task_table_03_2_26!$J$2:$J$596)*(A136&lt;Task_table_03_2_26!$K$2:$K$596))</f>
        <v>4</v>
      </c>
      <c r="D136" cm="1">
        <f t="array" ref="D136">SUMPRODUCT((Task_table_03_2_26!$C$2:$C$596=$D$1)*(A136&gt;Task_table_03_2_26!$J$2:$J$596)*(A136&lt;Task_table_03_2_26!$K$2:$K$596))</f>
        <v>0</v>
      </c>
      <c r="E136" cm="1">
        <f t="array" ref="E136">SUMPRODUCT((Task_table_03_2_26!$C$2:$C$596=$E$1)*(A136&gt;Task_table_03_2_26!$J$2:$J$596)*(A136&lt;Task_table_03_2_26!$K$2:$K$596))</f>
        <v>5</v>
      </c>
    </row>
    <row r="137" spans="1:5">
      <c r="A137" s="5">
        <v>46005</v>
      </c>
      <c r="B137" cm="1">
        <f t="array" ref="B137">SUMPRODUCT((Task_table_03_2_26!$C$2:$C$596=$B$1)*(A137&gt;Task_table_03_2_26!$J$2:$J$596)*(A137&lt;Task_table_03_2_26!$K$2:$K$596))</f>
        <v>39</v>
      </c>
      <c r="C137" cm="1">
        <f t="array" ref="C137">SUMPRODUCT((Task_table_03_2_26!$C$2:$C$596=$C$1)*(A137&gt;Task_table_03_2_26!$J$2:$J$596)*(A137&lt;Task_table_03_2_26!$K$2:$K$596))</f>
        <v>4</v>
      </c>
      <c r="D137" cm="1">
        <f t="array" ref="D137">SUMPRODUCT((Task_table_03_2_26!$C$2:$C$596=$D$1)*(A137&gt;Task_table_03_2_26!$J$2:$J$596)*(A137&lt;Task_table_03_2_26!$K$2:$K$596))</f>
        <v>0</v>
      </c>
      <c r="E137" cm="1">
        <f t="array" ref="E137">SUMPRODUCT((Task_table_03_2_26!$C$2:$C$596=$E$1)*(A137&gt;Task_table_03_2_26!$J$2:$J$596)*(A137&lt;Task_table_03_2_26!$K$2:$K$596))</f>
        <v>5</v>
      </c>
    </row>
    <row r="138" spans="1:5">
      <c r="A138" s="5">
        <v>46006</v>
      </c>
      <c r="B138" cm="1">
        <f t="array" ref="B138">SUMPRODUCT((Task_table_03_2_26!$C$2:$C$596=$B$1)*(A138&gt;Task_table_03_2_26!$J$2:$J$596)*(A138&lt;Task_table_03_2_26!$K$2:$K$596))</f>
        <v>39</v>
      </c>
      <c r="C138" cm="1">
        <f t="array" ref="C138">SUMPRODUCT((Task_table_03_2_26!$C$2:$C$596=$C$1)*(A138&gt;Task_table_03_2_26!$J$2:$J$596)*(A138&lt;Task_table_03_2_26!$K$2:$K$596))</f>
        <v>4</v>
      </c>
      <c r="D138" cm="1">
        <f t="array" ref="D138">SUMPRODUCT((Task_table_03_2_26!$C$2:$C$596=$D$1)*(A138&gt;Task_table_03_2_26!$J$2:$J$596)*(A138&lt;Task_table_03_2_26!$K$2:$K$596))</f>
        <v>0</v>
      </c>
      <c r="E138" cm="1">
        <f t="array" ref="E138">SUMPRODUCT((Task_table_03_2_26!$C$2:$C$596=$E$1)*(A138&gt;Task_table_03_2_26!$J$2:$J$596)*(A138&lt;Task_table_03_2_26!$K$2:$K$596))</f>
        <v>5</v>
      </c>
    </row>
    <row r="139" spans="1:5">
      <c r="A139" s="5">
        <v>46007</v>
      </c>
      <c r="B139" cm="1">
        <f t="array" ref="B139">SUMPRODUCT((Task_table_03_2_26!$C$2:$C$596=$B$1)*(A139&gt;Task_table_03_2_26!$J$2:$J$596)*(A139&lt;Task_table_03_2_26!$K$2:$K$596))</f>
        <v>39</v>
      </c>
      <c r="C139" cm="1">
        <f t="array" ref="C139">SUMPRODUCT((Task_table_03_2_26!$C$2:$C$596=$C$1)*(A139&gt;Task_table_03_2_26!$J$2:$J$596)*(A139&lt;Task_table_03_2_26!$K$2:$K$596))</f>
        <v>4</v>
      </c>
      <c r="D139" cm="1">
        <f t="array" ref="D139">SUMPRODUCT((Task_table_03_2_26!$C$2:$C$596=$D$1)*(A139&gt;Task_table_03_2_26!$J$2:$J$596)*(A139&lt;Task_table_03_2_26!$K$2:$K$596))</f>
        <v>0</v>
      </c>
      <c r="E139" cm="1">
        <f t="array" ref="E139">SUMPRODUCT((Task_table_03_2_26!$C$2:$C$596=$E$1)*(A139&gt;Task_table_03_2_26!$J$2:$J$596)*(A139&lt;Task_table_03_2_26!$K$2:$K$596))</f>
        <v>5</v>
      </c>
    </row>
    <row r="140" spans="1:5">
      <c r="A140" s="5">
        <v>46008</v>
      </c>
      <c r="B140" cm="1">
        <f t="array" ref="B140">SUMPRODUCT((Task_table_03_2_26!$C$2:$C$596=$B$1)*(A140&gt;Task_table_03_2_26!$J$2:$J$596)*(A140&lt;Task_table_03_2_26!$K$2:$K$596))</f>
        <v>39</v>
      </c>
      <c r="C140" cm="1">
        <f t="array" ref="C140">SUMPRODUCT((Task_table_03_2_26!$C$2:$C$596=$C$1)*(A140&gt;Task_table_03_2_26!$J$2:$J$596)*(A140&lt;Task_table_03_2_26!$K$2:$K$596))</f>
        <v>4</v>
      </c>
      <c r="D140" cm="1">
        <f t="array" ref="D140">SUMPRODUCT((Task_table_03_2_26!$C$2:$C$596=$D$1)*(A140&gt;Task_table_03_2_26!$J$2:$J$596)*(A140&lt;Task_table_03_2_26!$K$2:$K$596))</f>
        <v>0</v>
      </c>
      <c r="E140" cm="1">
        <f t="array" ref="E140">SUMPRODUCT((Task_table_03_2_26!$C$2:$C$596=$E$1)*(A140&gt;Task_table_03_2_26!$J$2:$J$596)*(A140&lt;Task_table_03_2_26!$K$2:$K$596))</f>
        <v>5</v>
      </c>
    </row>
    <row r="141" spans="1:5">
      <c r="A141" s="5">
        <v>46009</v>
      </c>
      <c r="B141" cm="1">
        <f t="array" ref="B141">SUMPRODUCT((Task_table_03_2_26!$C$2:$C$596=$B$1)*(A141&gt;Task_table_03_2_26!$J$2:$J$596)*(A141&lt;Task_table_03_2_26!$K$2:$K$596))</f>
        <v>39</v>
      </c>
      <c r="C141" cm="1">
        <f t="array" ref="C141">SUMPRODUCT((Task_table_03_2_26!$C$2:$C$596=$C$1)*(A141&gt;Task_table_03_2_26!$J$2:$J$596)*(A141&lt;Task_table_03_2_26!$K$2:$K$596))</f>
        <v>4</v>
      </c>
      <c r="D141" cm="1">
        <f t="array" ref="D141">SUMPRODUCT((Task_table_03_2_26!$C$2:$C$596=$D$1)*(A141&gt;Task_table_03_2_26!$J$2:$J$596)*(A141&lt;Task_table_03_2_26!$K$2:$K$596))</f>
        <v>0</v>
      </c>
      <c r="E141" cm="1">
        <f t="array" ref="E141">SUMPRODUCT((Task_table_03_2_26!$C$2:$C$596=$E$1)*(A141&gt;Task_table_03_2_26!$J$2:$J$596)*(A141&lt;Task_table_03_2_26!$K$2:$K$596))</f>
        <v>5</v>
      </c>
    </row>
    <row r="142" spans="1:5">
      <c r="A142" s="5">
        <v>46010</v>
      </c>
      <c r="B142" cm="1">
        <f t="array" ref="B142">SUMPRODUCT((Task_table_03_2_26!$C$2:$C$596=$B$1)*(A142&gt;Task_table_03_2_26!$J$2:$J$596)*(A142&lt;Task_table_03_2_26!$K$2:$K$596))</f>
        <v>39</v>
      </c>
      <c r="C142" cm="1">
        <f t="array" ref="C142">SUMPRODUCT((Task_table_03_2_26!$C$2:$C$596=$C$1)*(A142&gt;Task_table_03_2_26!$J$2:$J$596)*(A142&lt;Task_table_03_2_26!$K$2:$K$596))</f>
        <v>4</v>
      </c>
      <c r="D142" cm="1">
        <f t="array" ref="D142">SUMPRODUCT((Task_table_03_2_26!$C$2:$C$596=$D$1)*(A142&gt;Task_table_03_2_26!$J$2:$J$596)*(A142&lt;Task_table_03_2_26!$K$2:$K$596))</f>
        <v>0</v>
      </c>
      <c r="E142" cm="1">
        <f t="array" ref="E142">SUMPRODUCT((Task_table_03_2_26!$C$2:$C$596=$E$1)*(A142&gt;Task_table_03_2_26!$J$2:$J$596)*(A142&lt;Task_table_03_2_26!$K$2:$K$596))</f>
        <v>5</v>
      </c>
    </row>
    <row r="143" spans="1:5">
      <c r="A143" s="5">
        <v>46011</v>
      </c>
      <c r="B143" cm="1">
        <f t="array" ref="B143">SUMPRODUCT((Task_table_03_2_26!$C$2:$C$596=$B$1)*(A143&gt;Task_table_03_2_26!$J$2:$J$596)*(A143&lt;Task_table_03_2_26!$K$2:$K$596))</f>
        <v>39</v>
      </c>
      <c r="C143" cm="1">
        <f t="array" ref="C143">SUMPRODUCT((Task_table_03_2_26!$C$2:$C$596=$C$1)*(A143&gt;Task_table_03_2_26!$J$2:$J$596)*(A143&lt;Task_table_03_2_26!$K$2:$K$596))</f>
        <v>4</v>
      </c>
      <c r="D143" cm="1">
        <f t="array" ref="D143">SUMPRODUCT((Task_table_03_2_26!$C$2:$C$596=$D$1)*(A143&gt;Task_table_03_2_26!$J$2:$J$596)*(A143&lt;Task_table_03_2_26!$K$2:$K$596))</f>
        <v>0</v>
      </c>
      <c r="E143" cm="1">
        <f t="array" ref="E143">SUMPRODUCT((Task_table_03_2_26!$C$2:$C$596=$E$1)*(A143&gt;Task_table_03_2_26!$J$2:$J$596)*(A143&lt;Task_table_03_2_26!$K$2:$K$596))</f>
        <v>5</v>
      </c>
    </row>
    <row r="144" spans="1:5">
      <c r="A144" s="5">
        <v>46012</v>
      </c>
      <c r="B144" cm="1">
        <f t="array" ref="B144">SUMPRODUCT((Task_table_03_2_26!$C$2:$C$596=$B$1)*(A144&gt;Task_table_03_2_26!$J$2:$J$596)*(A144&lt;Task_table_03_2_26!$K$2:$K$596))</f>
        <v>39</v>
      </c>
      <c r="C144" cm="1">
        <f t="array" ref="C144">SUMPRODUCT((Task_table_03_2_26!$C$2:$C$596=$C$1)*(A144&gt;Task_table_03_2_26!$J$2:$J$596)*(A144&lt;Task_table_03_2_26!$K$2:$K$596))</f>
        <v>4</v>
      </c>
      <c r="D144" cm="1">
        <f t="array" ref="D144">SUMPRODUCT((Task_table_03_2_26!$C$2:$C$596=$D$1)*(A144&gt;Task_table_03_2_26!$J$2:$J$596)*(A144&lt;Task_table_03_2_26!$K$2:$K$596))</f>
        <v>0</v>
      </c>
      <c r="E144" cm="1">
        <f t="array" ref="E144">SUMPRODUCT((Task_table_03_2_26!$C$2:$C$596=$E$1)*(A144&gt;Task_table_03_2_26!$J$2:$J$596)*(A144&lt;Task_table_03_2_26!$K$2:$K$596))</f>
        <v>5</v>
      </c>
    </row>
    <row r="145" spans="1:5">
      <c r="A145" s="5">
        <v>46013</v>
      </c>
      <c r="B145" cm="1">
        <f t="array" ref="B145">SUMPRODUCT((Task_table_03_2_26!$C$2:$C$596=$B$1)*(A145&gt;Task_table_03_2_26!$J$2:$J$596)*(A145&lt;Task_table_03_2_26!$K$2:$K$596))</f>
        <v>39</v>
      </c>
      <c r="C145" cm="1">
        <f t="array" ref="C145">SUMPRODUCT((Task_table_03_2_26!$C$2:$C$596=$C$1)*(A145&gt;Task_table_03_2_26!$J$2:$J$596)*(A145&lt;Task_table_03_2_26!$K$2:$K$596))</f>
        <v>4</v>
      </c>
      <c r="D145" cm="1">
        <f t="array" ref="D145">SUMPRODUCT((Task_table_03_2_26!$C$2:$C$596=$D$1)*(A145&gt;Task_table_03_2_26!$J$2:$J$596)*(A145&lt;Task_table_03_2_26!$K$2:$K$596))</f>
        <v>0</v>
      </c>
      <c r="E145" cm="1">
        <f t="array" ref="E145">SUMPRODUCT((Task_table_03_2_26!$C$2:$C$596=$E$1)*(A145&gt;Task_table_03_2_26!$J$2:$J$596)*(A145&lt;Task_table_03_2_26!$K$2:$K$596))</f>
        <v>5</v>
      </c>
    </row>
    <row r="146" spans="1:5">
      <c r="A146" s="5">
        <v>46014</v>
      </c>
      <c r="B146" cm="1">
        <f t="array" ref="B146">SUMPRODUCT((Task_table_03_2_26!$C$2:$C$596=$B$1)*(A146&gt;Task_table_03_2_26!$J$2:$J$596)*(A146&lt;Task_table_03_2_26!$K$2:$K$596))</f>
        <v>39</v>
      </c>
      <c r="C146" cm="1">
        <f t="array" ref="C146">SUMPRODUCT((Task_table_03_2_26!$C$2:$C$596=$C$1)*(A146&gt;Task_table_03_2_26!$J$2:$J$596)*(A146&lt;Task_table_03_2_26!$K$2:$K$596))</f>
        <v>4</v>
      </c>
      <c r="D146" cm="1">
        <f t="array" ref="D146">SUMPRODUCT((Task_table_03_2_26!$C$2:$C$596=$D$1)*(A146&gt;Task_table_03_2_26!$J$2:$J$596)*(A146&lt;Task_table_03_2_26!$K$2:$K$596))</f>
        <v>0</v>
      </c>
      <c r="E146" cm="1">
        <f t="array" ref="E146">SUMPRODUCT((Task_table_03_2_26!$C$2:$C$596=$E$1)*(A146&gt;Task_table_03_2_26!$J$2:$J$596)*(A146&lt;Task_table_03_2_26!$K$2:$K$596))</f>
        <v>5</v>
      </c>
    </row>
    <row r="147" spans="1:5">
      <c r="A147" s="5">
        <v>46015</v>
      </c>
      <c r="B147" cm="1">
        <f t="array" ref="B147">SUMPRODUCT((Task_table_03_2_26!$C$2:$C$596=$B$1)*(A147&gt;Task_table_03_2_26!$J$2:$J$596)*(A147&lt;Task_table_03_2_26!$K$2:$K$596))</f>
        <v>39</v>
      </c>
      <c r="C147" cm="1">
        <f t="array" ref="C147">SUMPRODUCT((Task_table_03_2_26!$C$2:$C$596=$C$1)*(A147&gt;Task_table_03_2_26!$J$2:$J$596)*(A147&lt;Task_table_03_2_26!$K$2:$K$596))</f>
        <v>4</v>
      </c>
      <c r="D147" cm="1">
        <f t="array" ref="D147">SUMPRODUCT((Task_table_03_2_26!$C$2:$C$596=$D$1)*(A147&gt;Task_table_03_2_26!$J$2:$J$596)*(A147&lt;Task_table_03_2_26!$K$2:$K$596))</f>
        <v>0</v>
      </c>
      <c r="E147" cm="1">
        <f t="array" ref="E147">SUMPRODUCT((Task_table_03_2_26!$C$2:$C$596=$E$1)*(A147&gt;Task_table_03_2_26!$J$2:$J$596)*(A147&lt;Task_table_03_2_26!$K$2:$K$596))</f>
        <v>5</v>
      </c>
    </row>
    <row r="148" spans="1:5">
      <c r="A148" s="5">
        <v>46016</v>
      </c>
      <c r="B148" cm="1">
        <f t="array" ref="B148">SUMPRODUCT((Task_table_03_2_26!$C$2:$C$596=$B$1)*(A148&gt;Task_table_03_2_26!$J$2:$J$596)*(A148&lt;Task_table_03_2_26!$K$2:$K$596))</f>
        <v>39</v>
      </c>
      <c r="C148" cm="1">
        <f t="array" ref="C148">SUMPRODUCT((Task_table_03_2_26!$C$2:$C$596=$C$1)*(A148&gt;Task_table_03_2_26!$J$2:$J$596)*(A148&lt;Task_table_03_2_26!$K$2:$K$596))</f>
        <v>4</v>
      </c>
      <c r="D148" cm="1">
        <f t="array" ref="D148">SUMPRODUCT((Task_table_03_2_26!$C$2:$C$596=$D$1)*(A148&gt;Task_table_03_2_26!$J$2:$J$596)*(A148&lt;Task_table_03_2_26!$K$2:$K$596))</f>
        <v>0</v>
      </c>
      <c r="E148" cm="1">
        <f t="array" ref="E148">SUMPRODUCT((Task_table_03_2_26!$C$2:$C$596=$E$1)*(A148&gt;Task_table_03_2_26!$J$2:$J$596)*(A148&lt;Task_table_03_2_26!$K$2:$K$596))</f>
        <v>5</v>
      </c>
    </row>
    <row r="149" spans="1:5">
      <c r="A149" s="5">
        <v>46017</v>
      </c>
      <c r="B149" cm="1">
        <f t="array" ref="B149">SUMPRODUCT((Task_table_03_2_26!$C$2:$C$596=$B$1)*(A149&gt;Task_table_03_2_26!$J$2:$J$596)*(A149&lt;Task_table_03_2_26!$K$2:$K$596))</f>
        <v>39</v>
      </c>
      <c r="C149" cm="1">
        <f t="array" ref="C149">SUMPRODUCT((Task_table_03_2_26!$C$2:$C$596=$C$1)*(A149&gt;Task_table_03_2_26!$J$2:$J$596)*(A149&lt;Task_table_03_2_26!$K$2:$K$596))</f>
        <v>4</v>
      </c>
      <c r="D149" cm="1">
        <f t="array" ref="D149">SUMPRODUCT((Task_table_03_2_26!$C$2:$C$596=$D$1)*(A149&gt;Task_table_03_2_26!$J$2:$J$596)*(A149&lt;Task_table_03_2_26!$K$2:$K$596))</f>
        <v>0</v>
      </c>
      <c r="E149" cm="1">
        <f t="array" ref="E149">SUMPRODUCT((Task_table_03_2_26!$C$2:$C$596=$E$1)*(A149&gt;Task_table_03_2_26!$J$2:$J$596)*(A149&lt;Task_table_03_2_26!$K$2:$K$596))</f>
        <v>5</v>
      </c>
    </row>
    <row r="150" spans="1:5">
      <c r="A150" s="5">
        <v>46018</v>
      </c>
      <c r="B150" cm="1">
        <f t="array" ref="B150">SUMPRODUCT((Task_table_03_2_26!$C$2:$C$596=$B$1)*(A150&gt;Task_table_03_2_26!$J$2:$J$596)*(A150&lt;Task_table_03_2_26!$K$2:$K$596))</f>
        <v>39</v>
      </c>
      <c r="C150" cm="1">
        <f t="array" ref="C150">SUMPRODUCT((Task_table_03_2_26!$C$2:$C$596=$C$1)*(A150&gt;Task_table_03_2_26!$J$2:$J$596)*(A150&lt;Task_table_03_2_26!$K$2:$K$596))</f>
        <v>4</v>
      </c>
      <c r="D150" cm="1">
        <f t="array" ref="D150">SUMPRODUCT((Task_table_03_2_26!$C$2:$C$596=$D$1)*(A150&gt;Task_table_03_2_26!$J$2:$J$596)*(A150&lt;Task_table_03_2_26!$K$2:$K$596))</f>
        <v>0</v>
      </c>
      <c r="E150" cm="1">
        <f t="array" ref="E150">SUMPRODUCT((Task_table_03_2_26!$C$2:$C$596=$E$1)*(A150&gt;Task_table_03_2_26!$J$2:$J$596)*(A150&lt;Task_table_03_2_26!$K$2:$K$596))</f>
        <v>5</v>
      </c>
    </row>
    <row r="151" spans="1:5">
      <c r="A151" s="5">
        <v>46019</v>
      </c>
      <c r="B151" cm="1">
        <f t="array" ref="B151">SUMPRODUCT((Task_table_03_2_26!$C$2:$C$596=$B$1)*(A151&gt;Task_table_03_2_26!$J$2:$J$596)*(A151&lt;Task_table_03_2_26!$K$2:$K$596))</f>
        <v>39</v>
      </c>
      <c r="C151" cm="1">
        <f t="array" ref="C151">SUMPRODUCT((Task_table_03_2_26!$C$2:$C$596=$C$1)*(A151&gt;Task_table_03_2_26!$J$2:$J$596)*(A151&lt;Task_table_03_2_26!$K$2:$K$596))</f>
        <v>4</v>
      </c>
      <c r="D151" cm="1">
        <f t="array" ref="D151">SUMPRODUCT((Task_table_03_2_26!$C$2:$C$596=$D$1)*(A151&gt;Task_table_03_2_26!$J$2:$J$596)*(A151&lt;Task_table_03_2_26!$K$2:$K$596))</f>
        <v>0</v>
      </c>
      <c r="E151" cm="1">
        <f t="array" ref="E151">SUMPRODUCT((Task_table_03_2_26!$C$2:$C$596=$E$1)*(A151&gt;Task_table_03_2_26!$J$2:$J$596)*(A151&lt;Task_table_03_2_26!$K$2:$K$596))</f>
        <v>5</v>
      </c>
    </row>
    <row r="152" spans="1:5">
      <c r="A152" s="5">
        <v>46020</v>
      </c>
      <c r="B152" cm="1">
        <f t="array" ref="B152">SUMPRODUCT((Task_table_03_2_26!$C$2:$C$596=$B$1)*(A152&gt;Task_table_03_2_26!$J$2:$J$596)*(A152&lt;Task_table_03_2_26!$K$2:$K$596))</f>
        <v>39</v>
      </c>
      <c r="C152" cm="1">
        <f t="array" ref="C152">SUMPRODUCT((Task_table_03_2_26!$C$2:$C$596=$C$1)*(A152&gt;Task_table_03_2_26!$J$2:$J$596)*(A152&lt;Task_table_03_2_26!$K$2:$K$596))</f>
        <v>4</v>
      </c>
      <c r="D152" cm="1">
        <f t="array" ref="D152">SUMPRODUCT((Task_table_03_2_26!$C$2:$C$596=$D$1)*(A152&gt;Task_table_03_2_26!$J$2:$J$596)*(A152&lt;Task_table_03_2_26!$K$2:$K$596))</f>
        <v>0</v>
      </c>
      <c r="E152" cm="1">
        <f t="array" ref="E152">SUMPRODUCT((Task_table_03_2_26!$C$2:$C$596=$E$1)*(A152&gt;Task_table_03_2_26!$J$2:$J$596)*(A152&lt;Task_table_03_2_26!$K$2:$K$596))</f>
        <v>5</v>
      </c>
    </row>
    <row r="153" spans="1:5">
      <c r="A153" s="5">
        <v>46021</v>
      </c>
      <c r="B153" cm="1">
        <f t="array" ref="B153">SUMPRODUCT((Task_table_03_2_26!$C$2:$C$596=$B$1)*(A153&gt;Task_table_03_2_26!$J$2:$J$596)*(A153&lt;Task_table_03_2_26!$K$2:$K$596))</f>
        <v>39</v>
      </c>
      <c r="C153" cm="1">
        <f t="array" ref="C153">SUMPRODUCT((Task_table_03_2_26!$C$2:$C$596=$C$1)*(A153&gt;Task_table_03_2_26!$J$2:$J$596)*(A153&lt;Task_table_03_2_26!$K$2:$K$596))</f>
        <v>4</v>
      </c>
      <c r="D153" cm="1">
        <f t="array" ref="D153">SUMPRODUCT((Task_table_03_2_26!$C$2:$C$596=$D$1)*(A153&gt;Task_table_03_2_26!$J$2:$J$596)*(A153&lt;Task_table_03_2_26!$K$2:$K$596))</f>
        <v>0</v>
      </c>
      <c r="E153" cm="1">
        <f t="array" ref="E153">SUMPRODUCT((Task_table_03_2_26!$C$2:$C$596=$E$1)*(A153&gt;Task_table_03_2_26!$J$2:$J$596)*(A153&lt;Task_table_03_2_26!$K$2:$K$596))</f>
        <v>5</v>
      </c>
    </row>
    <row r="154" spans="1:5">
      <c r="A154" s="5">
        <v>46022</v>
      </c>
      <c r="B154" cm="1">
        <f t="array" ref="B154">SUMPRODUCT((Task_table_03_2_26!$C$2:$C$596=$B$1)*(A154&gt;Task_table_03_2_26!$J$2:$J$596)*(A154&lt;Task_table_03_2_26!$K$2:$K$596))</f>
        <v>38</v>
      </c>
      <c r="C154" cm="1">
        <f t="array" ref="C154">SUMPRODUCT((Task_table_03_2_26!$C$2:$C$596=$C$1)*(A154&gt;Task_table_03_2_26!$J$2:$J$596)*(A154&lt;Task_table_03_2_26!$K$2:$K$596))</f>
        <v>4</v>
      </c>
      <c r="D154" cm="1">
        <f t="array" ref="D154">SUMPRODUCT((Task_table_03_2_26!$C$2:$C$596=$D$1)*(A154&gt;Task_table_03_2_26!$J$2:$J$596)*(A154&lt;Task_table_03_2_26!$K$2:$K$596))</f>
        <v>0</v>
      </c>
      <c r="E154" cm="1">
        <f t="array" ref="E154">SUMPRODUCT((Task_table_03_2_26!$C$2:$C$596=$E$1)*(A154&gt;Task_table_03_2_26!$J$2:$J$596)*(A154&lt;Task_table_03_2_26!$K$2:$K$596))</f>
        <v>5</v>
      </c>
    </row>
    <row r="155" spans="1:5">
      <c r="A155" s="5">
        <v>46023</v>
      </c>
      <c r="B155" cm="1">
        <f t="array" ref="B155">SUMPRODUCT((Task_table_03_2_26!$C$2:$C$596=$B$1)*(A155&gt;Task_table_03_2_26!$J$2:$J$596)*(A155&lt;Task_table_03_2_26!$K$2:$K$596))</f>
        <v>38</v>
      </c>
      <c r="C155" cm="1">
        <f t="array" ref="C155">SUMPRODUCT((Task_table_03_2_26!$C$2:$C$596=$C$1)*(A155&gt;Task_table_03_2_26!$J$2:$J$596)*(A155&lt;Task_table_03_2_26!$K$2:$K$596))</f>
        <v>4</v>
      </c>
      <c r="D155" cm="1">
        <f t="array" ref="D155">SUMPRODUCT((Task_table_03_2_26!$C$2:$C$596=$D$1)*(A155&gt;Task_table_03_2_26!$J$2:$J$596)*(A155&lt;Task_table_03_2_26!$K$2:$K$596))</f>
        <v>0</v>
      </c>
      <c r="E155" cm="1">
        <f t="array" ref="E155">SUMPRODUCT((Task_table_03_2_26!$C$2:$C$596=$E$1)*(A155&gt;Task_table_03_2_26!$J$2:$J$596)*(A155&lt;Task_table_03_2_26!$K$2:$K$596))</f>
        <v>5</v>
      </c>
    </row>
    <row r="156" spans="1:5">
      <c r="A156" s="5">
        <v>46024</v>
      </c>
      <c r="B156" cm="1">
        <f t="array" ref="B156">SUMPRODUCT((Task_table_03_2_26!$C$2:$C$596=$B$1)*(A156&gt;Task_table_03_2_26!$J$2:$J$596)*(A156&lt;Task_table_03_2_26!$K$2:$K$596))</f>
        <v>39</v>
      </c>
      <c r="C156" cm="1">
        <f t="array" ref="C156">SUMPRODUCT((Task_table_03_2_26!$C$2:$C$596=$C$1)*(A156&gt;Task_table_03_2_26!$J$2:$J$596)*(A156&lt;Task_table_03_2_26!$K$2:$K$596))</f>
        <v>5</v>
      </c>
      <c r="D156" cm="1">
        <f t="array" ref="D156">SUMPRODUCT((Task_table_03_2_26!$C$2:$C$596=$D$1)*(A156&gt;Task_table_03_2_26!$J$2:$J$596)*(A156&lt;Task_table_03_2_26!$K$2:$K$596))</f>
        <v>0</v>
      </c>
      <c r="E156" cm="1">
        <f t="array" ref="E156">SUMPRODUCT((Task_table_03_2_26!$C$2:$C$596=$E$1)*(A156&gt;Task_table_03_2_26!$J$2:$J$596)*(A156&lt;Task_table_03_2_26!$K$2:$K$596))</f>
        <v>5</v>
      </c>
    </row>
    <row r="157" spans="1:5">
      <c r="A157" s="5">
        <v>46025</v>
      </c>
      <c r="B157" cm="1">
        <f t="array" ref="B157">SUMPRODUCT((Task_table_03_2_26!$C$2:$C$596=$B$1)*(A157&gt;Task_table_03_2_26!$J$2:$J$596)*(A157&lt;Task_table_03_2_26!$K$2:$K$596))</f>
        <v>39</v>
      </c>
      <c r="C157" cm="1">
        <f t="array" ref="C157">SUMPRODUCT((Task_table_03_2_26!$C$2:$C$596=$C$1)*(A157&gt;Task_table_03_2_26!$J$2:$J$596)*(A157&lt;Task_table_03_2_26!$K$2:$K$596))</f>
        <v>5</v>
      </c>
      <c r="D157" cm="1">
        <f t="array" ref="D157">SUMPRODUCT((Task_table_03_2_26!$C$2:$C$596=$D$1)*(A157&gt;Task_table_03_2_26!$J$2:$J$596)*(A157&lt;Task_table_03_2_26!$K$2:$K$596))</f>
        <v>0</v>
      </c>
      <c r="E157" cm="1">
        <f t="array" ref="E157">SUMPRODUCT((Task_table_03_2_26!$C$2:$C$596=$E$1)*(A157&gt;Task_table_03_2_26!$J$2:$J$596)*(A157&lt;Task_table_03_2_26!$K$2:$K$596))</f>
        <v>5</v>
      </c>
    </row>
    <row r="158" spans="1:5">
      <c r="A158" s="5">
        <v>46026</v>
      </c>
      <c r="B158" cm="1">
        <f t="array" ref="B158">SUMPRODUCT((Task_table_03_2_26!$C$2:$C$596=$B$1)*(A158&gt;Task_table_03_2_26!$J$2:$J$596)*(A158&lt;Task_table_03_2_26!$K$2:$K$596))</f>
        <v>39</v>
      </c>
      <c r="C158" cm="1">
        <f t="array" ref="C158">SUMPRODUCT((Task_table_03_2_26!$C$2:$C$596=$C$1)*(A158&gt;Task_table_03_2_26!$J$2:$J$596)*(A158&lt;Task_table_03_2_26!$K$2:$K$596))</f>
        <v>5</v>
      </c>
      <c r="D158" cm="1">
        <f t="array" ref="D158">SUMPRODUCT((Task_table_03_2_26!$C$2:$C$596=$D$1)*(A158&gt;Task_table_03_2_26!$J$2:$J$596)*(A158&lt;Task_table_03_2_26!$K$2:$K$596))</f>
        <v>0</v>
      </c>
      <c r="E158" cm="1">
        <f t="array" ref="E158">SUMPRODUCT((Task_table_03_2_26!$C$2:$C$596=$E$1)*(A158&gt;Task_table_03_2_26!$J$2:$J$596)*(A158&lt;Task_table_03_2_26!$K$2:$K$596))</f>
        <v>5</v>
      </c>
    </row>
    <row r="159" spans="1:5">
      <c r="A159" s="5">
        <v>46027</v>
      </c>
      <c r="B159" cm="1">
        <f t="array" ref="B159">SUMPRODUCT((Task_table_03_2_26!$C$2:$C$596=$B$1)*(A159&gt;Task_table_03_2_26!$J$2:$J$596)*(A159&lt;Task_table_03_2_26!$K$2:$K$596))</f>
        <v>39</v>
      </c>
      <c r="C159" cm="1">
        <f t="array" ref="C159">SUMPRODUCT((Task_table_03_2_26!$C$2:$C$596=$C$1)*(A159&gt;Task_table_03_2_26!$J$2:$J$596)*(A159&lt;Task_table_03_2_26!$K$2:$K$596))</f>
        <v>5</v>
      </c>
      <c r="D159" cm="1">
        <f t="array" ref="D159">SUMPRODUCT((Task_table_03_2_26!$C$2:$C$596=$D$1)*(A159&gt;Task_table_03_2_26!$J$2:$J$596)*(A159&lt;Task_table_03_2_26!$K$2:$K$596))</f>
        <v>0</v>
      </c>
      <c r="E159" cm="1">
        <f t="array" ref="E159">SUMPRODUCT((Task_table_03_2_26!$C$2:$C$596=$E$1)*(A159&gt;Task_table_03_2_26!$J$2:$J$596)*(A159&lt;Task_table_03_2_26!$K$2:$K$596))</f>
        <v>5</v>
      </c>
    </row>
    <row r="160" spans="1:5">
      <c r="A160" s="5">
        <v>46028</v>
      </c>
      <c r="B160" cm="1">
        <f t="array" ref="B160">SUMPRODUCT((Task_table_03_2_26!$C$2:$C$596=$B$1)*(A160&gt;Task_table_03_2_26!$J$2:$J$596)*(A160&lt;Task_table_03_2_26!$K$2:$K$596))</f>
        <v>39</v>
      </c>
      <c r="C160" cm="1">
        <f t="array" ref="C160">SUMPRODUCT((Task_table_03_2_26!$C$2:$C$596=$C$1)*(A160&gt;Task_table_03_2_26!$J$2:$J$596)*(A160&lt;Task_table_03_2_26!$K$2:$K$596))</f>
        <v>5</v>
      </c>
      <c r="D160" cm="1">
        <f t="array" ref="D160">SUMPRODUCT((Task_table_03_2_26!$C$2:$C$596=$D$1)*(A160&gt;Task_table_03_2_26!$J$2:$J$596)*(A160&lt;Task_table_03_2_26!$K$2:$K$596))</f>
        <v>0</v>
      </c>
      <c r="E160" cm="1">
        <f t="array" ref="E160">SUMPRODUCT((Task_table_03_2_26!$C$2:$C$596=$E$1)*(A160&gt;Task_table_03_2_26!$J$2:$J$596)*(A160&lt;Task_table_03_2_26!$K$2:$K$596))</f>
        <v>5</v>
      </c>
    </row>
    <row r="161" spans="1:5">
      <c r="A161" s="5">
        <v>46029</v>
      </c>
      <c r="B161" cm="1">
        <f t="array" ref="B161">SUMPRODUCT((Task_table_03_2_26!$C$2:$C$596=$B$1)*(A161&gt;Task_table_03_2_26!$J$2:$J$596)*(A161&lt;Task_table_03_2_26!$K$2:$K$596))</f>
        <v>39</v>
      </c>
      <c r="C161" cm="1">
        <f t="array" ref="C161">SUMPRODUCT((Task_table_03_2_26!$C$2:$C$596=$C$1)*(A161&gt;Task_table_03_2_26!$J$2:$J$596)*(A161&lt;Task_table_03_2_26!$K$2:$K$596))</f>
        <v>5</v>
      </c>
      <c r="D161" cm="1">
        <f t="array" ref="D161">SUMPRODUCT((Task_table_03_2_26!$C$2:$C$596=$D$1)*(A161&gt;Task_table_03_2_26!$J$2:$J$596)*(A161&lt;Task_table_03_2_26!$K$2:$K$596))</f>
        <v>0</v>
      </c>
      <c r="E161" cm="1">
        <f t="array" ref="E161">SUMPRODUCT((Task_table_03_2_26!$C$2:$C$596=$E$1)*(A161&gt;Task_table_03_2_26!$J$2:$J$596)*(A161&lt;Task_table_03_2_26!$K$2:$K$596))</f>
        <v>5</v>
      </c>
    </row>
    <row r="162" spans="1:5">
      <c r="A162" s="5">
        <v>46030</v>
      </c>
      <c r="B162" cm="1">
        <f t="array" ref="B162">SUMPRODUCT((Task_table_03_2_26!$C$2:$C$596=$B$1)*(A162&gt;Task_table_03_2_26!$J$2:$J$596)*(A162&lt;Task_table_03_2_26!$K$2:$K$596))</f>
        <v>41</v>
      </c>
      <c r="C162" cm="1">
        <f t="array" ref="C162">SUMPRODUCT((Task_table_03_2_26!$C$2:$C$596=$C$1)*(A162&gt;Task_table_03_2_26!$J$2:$J$596)*(A162&lt;Task_table_03_2_26!$K$2:$K$596))</f>
        <v>6</v>
      </c>
      <c r="D162" cm="1">
        <f t="array" ref="D162">SUMPRODUCT((Task_table_03_2_26!$C$2:$C$596=$D$1)*(A162&gt;Task_table_03_2_26!$J$2:$J$596)*(A162&lt;Task_table_03_2_26!$K$2:$K$596))</f>
        <v>0</v>
      </c>
      <c r="E162" cm="1">
        <f t="array" ref="E162">SUMPRODUCT((Task_table_03_2_26!$C$2:$C$596=$E$1)*(A162&gt;Task_table_03_2_26!$J$2:$J$596)*(A162&lt;Task_table_03_2_26!$K$2:$K$596))</f>
        <v>6</v>
      </c>
    </row>
    <row r="163" spans="1:5">
      <c r="A163" s="5">
        <v>46031</v>
      </c>
      <c r="B163" cm="1">
        <f t="array" ref="B163">SUMPRODUCT((Task_table_03_2_26!$C$2:$C$596=$B$1)*(A163&gt;Task_table_03_2_26!$J$2:$J$596)*(A163&lt;Task_table_03_2_26!$K$2:$K$596))</f>
        <v>41</v>
      </c>
      <c r="C163" cm="1">
        <f t="array" ref="C163">SUMPRODUCT((Task_table_03_2_26!$C$2:$C$596=$C$1)*(A163&gt;Task_table_03_2_26!$J$2:$J$596)*(A163&lt;Task_table_03_2_26!$K$2:$K$596))</f>
        <v>6</v>
      </c>
      <c r="D163" cm="1">
        <f t="array" ref="D163">SUMPRODUCT((Task_table_03_2_26!$C$2:$C$596=$D$1)*(A163&gt;Task_table_03_2_26!$J$2:$J$596)*(A163&lt;Task_table_03_2_26!$K$2:$K$596))</f>
        <v>0</v>
      </c>
      <c r="E163" cm="1">
        <f t="array" ref="E163">SUMPRODUCT((Task_table_03_2_26!$C$2:$C$596=$E$1)*(A163&gt;Task_table_03_2_26!$J$2:$J$596)*(A163&lt;Task_table_03_2_26!$K$2:$K$596))</f>
        <v>6</v>
      </c>
    </row>
    <row r="164" spans="1:5">
      <c r="A164" s="5">
        <v>46032</v>
      </c>
      <c r="B164" cm="1">
        <f t="array" ref="B164">SUMPRODUCT((Task_table_03_2_26!$C$2:$C$596=$B$1)*(A164&gt;Task_table_03_2_26!$J$2:$J$596)*(A164&lt;Task_table_03_2_26!$K$2:$K$596))</f>
        <v>41</v>
      </c>
      <c r="C164" cm="1">
        <f t="array" ref="C164">SUMPRODUCT((Task_table_03_2_26!$C$2:$C$596=$C$1)*(A164&gt;Task_table_03_2_26!$J$2:$J$596)*(A164&lt;Task_table_03_2_26!$K$2:$K$596))</f>
        <v>6</v>
      </c>
      <c r="D164" cm="1">
        <f t="array" ref="D164">SUMPRODUCT((Task_table_03_2_26!$C$2:$C$596=$D$1)*(A164&gt;Task_table_03_2_26!$J$2:$J$596)*(A164&lt;Task_table_03_2_26!$K$2:$K$596))</f>
        <v>0</v>
      </c>
      <c r="E164" cm="1">
        <f t="array" ref="E164">SUMPRODUCT((Task_table_03_2_26!$C$2:$C$596=$E$1)*(A164&gt;Task_table_03_2_26!$J$2:$J$596)*(A164&lt;Task_table_03_2_26!$K$2:$K$596))</f>
        <v>6</v>
      </c>
    </row>
    <row r="165" spans="1:5">
      <c r="A165" s="5">
        <v>46033</v>
      </c>
      <c r="B165" cm="1">
        <f t="array" ref="B165">SUMPRODUCT((Task_table_03_2_26!$C$2:$C$596=$B$1)*(A165&gt;Task_table_03_2_26!$J$2:$J$596)*(A165&lt;Task_table_03_2_26!$K$2:$K$596))</f>
        <v>41</v>
      </c>
      <c r="C165" cm="1">
        <f t="array" ref="C165">SUMPRODUCT((Task_table_03_2_26!$C$2:$C$596=$C$1)*(A165&gt;Task_table_03_2_26!$J$2:$J$596)*(A165&lt;Task_table_03_2_26!$K$2:$K$596))</f>
        <v>6</v>
      </c>
      <c r="D165" cm="1">
        <f t="array" ref="D165">SUMPRODUCT((Task_table_03_2_26!$C$2:$C$596=$D$1)*(A165&gt;Task_table_03_2_26!$J$2:$J$596)*(A165&lt;Task_table_03_2_26!$K$2:$K$596))</f>
        <v>0</v>
      </c>
      <c r="E165" cm="1">
        <f t="array" ref="E165">SUMPRODUCT((Task_table_03_2_26!$C$2:$C$596=$E$1)*(A165&gt;Task_table_03_2_26!$J$2:$J$596)*(A165&lt;Task_table_03_2_26!$K$2:$K$596))</f>
        <v>6</v>
      </c>
    </row>
    <row r="166" spans="1:5">
      <c r="A166" s="5">
        <v>46034</v>
      </c>
      <c r="B166" cm="1">
        <f t="array" ref="B166">SUMPRODUCT((Task_table_03_2_26!$C$2:$C$596=$B$1)*(A166&gt;Task_table_03_2_26!$J$2:$J$596)*(A166&lt;Task_table_03_2_26!$K$2:$K$596))</f>
        <v>41</v>
      </c>
      <c r="C166" cm="1">
        <f t="array" ref="C166">SUMPRODUCT((Task_table_03_2_26!$C$2:$C$596=$C$1)*(A166&gt;Task_table_03_2_26!$J$2:$J$596)*(A166&lt;Task_table_03_2_26!$K$2:$K$596))</f>
        <v>6</v>
      </c>
      <c r="D166" cm="1">
        <f t="array" ref="D166">SUMPRODUCT((Task_table_03_2_26!$C$2:$C$596=$D$1)*(A166&gt;Task_table_03_2_26!$J$2:$J$596)*(A166&lt;Task_table_03_2_26!$K$2:$K$596))</f>
        <v>0</v>
      </c>
      <c r="E166" cm="1">
        <f t="array" ref="E166">SUMPRODUCT((Task_table_03_2_26!$C$2:$C$596=$E$1)*(A166&gt;Task_table_03_2_26!$J$2:$J$596)*(A166&lt;Task_table_03_2_26!$K$2:$K$596))</f>
        <v>6</v>
      </c>
    </row>
    <row r="167" spans="1:5">
      <c r="A167" s="5">
        <v>46035</v>
      </c>
      <c r="B167" cm="1">
        <f t="array" ref="B167">SUMPRODUCT((Task_table_03_2_26!$C$2:$C$596=$B$1)*(A167&gt;Task_table_03_2_26!$J$2:$J$596)*(A167&lt;Task_table_03_2_26!$K$2:$K$596))</f>
        <v>49</v>
      </c>
      <c r="C167" cm="1">
        <f t="array" ref="C167">SUMPRODUCT((Task_table_03_2_26!$C$2:$C$596=$C$1)*(A167&gt;Task_table_03_2_26!$J$2:$J$596)*(A167&lt;Task_table_03_2_26!$K$2:$K$596))</f>
        <v>6</v>
      </c>
      <c r="D167" cm="1">
        <f t="array" ref="D167">SUMPRODUCT((Task_table_03_2_26!$C$2:$C$596=$D$1)*(A167&gt;Task_table_03_2_26!$J$2:$J$596)*(A167&lt;Task_table_03_2_26!$K$2:$K$596))</f>
        <v>0</v>
      </c>
      <c r="E167" cm="1">
        <f t="array" ref="E167">SUMPRODUCT((Task_table_03_2_26!$C$2:$C$596=$E$1)*(A167&gt;Task_table_03_2_26!$J$2:$J$596)*(A167&lt;Task_table_03_2_26!$K$2:$K$596))</f>
        <v>6</v>
      </c>
    </row>
    <row r="168" spans="1:5">
      <c r="A168" s="5">
        <v>46036</v>
      </c>
      <c r="B168" cm="1">
        <f t="array" ref="B168">SUMPRODUCT((Task_table_03_2_26!$C$2:$C$596=$B$1)*(A168&gt;Task_table_03_2_26!$J$2:$J$596)*(A168&lt;Task_table_03_2_26!$K$2:$K$596))</f>
        <v>51</v>
      </c>
      <c r="C168" cm="1">
        <f t="array" ref="C168">SUMPRODUCT((Task_table_03_2_26!$C$2:$C$596=$C$1)*(A168&gt;Task_table_03_2_26!$J$2:$J$596)*(A168&lt;Task_table_03_2_26!$K$2:$K$596))</f>
        <v>6</v>
      </c>
      <c r="D168" cm="1">
        <f t="array" ref="D168">SUMPRODUCT((Task_table_03_2_26!$C$2:$C$596=$D$1)*(A168&gt;Task_table_03_2_26!$J$2:$J$596)*(A168&lt;Task_table_03_2_26!$K$2:$K$596))</f>
        <v>0</v>
      </c>
      <c r="E168" cm="1">
        <f t="array" ref="E168">SUMPRODUCT((Task_table_03_2_26!$C$2:$C$596=$E$1)*(A168&gt;Task_table_03_2_26!$J$2:$J$596)*(A168&lt;Task_table_03_2_26!$K$2:$K$596))</f>
        <v>6</v>
      </c>
    </row>
    <row r="169" spans="1:5">
      <c r="A169" s="5">
        <v>46037</v>
      </c>
      <c r="B169" cm="1">
        <f t="array" ref="B169">SUMPRODUCT((Task_table_03_2_26!$C$2:$C$596=$B$1)*(A169&gt;Task_table_03_2_26!$J$2:$J$596)*(A169&lt;Task_table_03_2_26!$K$2:$K$596))</f>
        <v>52</v>
      </c>
      <c r="C169" cm="1">
        <f t="array" ref="C169">SUMPRODUCT((Task_table_03_2_26!$C$2:$C$596=$C$1)*(A169&gt;Task_table_03_2_26!$J$2:$J$596)*(A169&lt;Task_table_03_2_26!$K$2:$K$596))</f>
        <v>6</v>
      </c>
      <c r="D169" cm="1">
        <f t="array" ref="D169">SUMPRODUCT((Task_table_03_2_26!$C$2:$C$596=$D$1)*(A169&gt;Task_table_03_2_26!$J$2:$J$596)*(A169&lt;Task_table_03_2_26!$K$2:$K$596))</f>
        <v>0</v>
      </c>
      <c r="E169" cm="1">
        <f t="array" ref="E169">SUMPRODUCT((Task_table_03_2_26!$C$2:$C$596=$E$1)*(A169&gt;Task_table_03_2_26!$J$2:$J$596)*(A169&lt;Task_table_03_2_26!$K$2:$K$596))</f>
        <v>6</v>
      </c>
    </row>
    <row r="170" spans="1:5">
      <c r="A170" s="5">
        <v>46038</v>
      </c>
      <c r="B170" cm="1">
        <f t="array" ref="B170">SUMPRODUCT((Task_table_03_2_26!$C$2:$C$596=$B$1)*(A170&gt;Task_table_03_2_26!$J$2:$J$596)*(A170&lt;Task_table_03_2_26!$K$2:$K$596))</f>
        <v>53</v>
      </c>
      <c r="C170" cm="1">
        <f t="array" ref="C170">SUMPRODUCT((Task_table_03_2_26!$C$2:$C$596=$C$1)*(A170&gt;Task_table_03_2_26!$J$2:$J$596)*(A170&lt;Task_table_03_2_26!$K$2:$K$596))</f>
        <v>6</v>
      </c>
      <c r="D170" cm="1">
        <f t="array" ref="D170">SUMPRODUCT((Task_table_03_2_26!$C$2:$C$596=$D$1)*(A170&gt;Task_table_03_2_26!$J$2:$J$596)*(A170&lt;Task_table_03_2_26!$K$2:$K$596))</f>
        <v>0</v>
      </c>
      <c r="E170" cm="1">
        <f t="array" ref="E170">SUMPRODUCT((Task_table_03_2_26!$C$2:$C$596=$E$1)*(A170&gt;Task_table_03_2_26!$J$2:$J$596)*(A170&lt;Task_table_03_2_26!$K$2:$K$596))</f>
        <v>6</v>
      </c>
    </row>
    <row r="171" spans="1:5">
      <c r="A171" s="5">
        <v>46039</v>
      </c>
      <c r="B171" cm="1">
        <f t="array" ref="B171">SUMPRODUCT((Task_table_03_2_26!$C$2:$C$596=$B$1)*(A171&gt;Task_table_03_2_26!$J$2:$J$596)*(A171&lt;Task_table_03_2_26!$K$2:$K$596))</f>
        <v>53</v>
      </c>
      <c r="C171" cm="1">
        <f t="array" ref="C171">SUMPRODUCT((Task_table_03_2_26!$C$2:$C$596=$C$1)*(A171&gt;Task_table_03_2_26!$J$2:$J$596)*(A171&lt;Task_table_03_2_26!$K$2:$K$596))</f>
        <v>5</v>
      </c>
      <c r="D171" cm="1">
        <f t="array" ref="D171">SUMPRODUCT((Task_table_03_2_26!$C$2:$C$596=$D$1)*(A171&gt;Task_table_03_2_26!$J$2:$J$596)*(A171&lt;Task_table_03_2_26!$K$2:$K$596))</f>
        <v>0</v>
      </c>
      <c r="E171" cm="1">
        <f t="array" ref="E171">SUMPRODUCT((Task_table_03_2_26!$C$2:$C$596=$E$1)*(A171&gt;Task_table_03_2_26!$J$2:$J$596)*(A171&lt;Task_table_03_2_26!$K$2:$K$596))</f>
        <v>6</v>
      </c>
    </row>
    <row r="172" spans="1:5">
      <c r="A172" s="5">
        <v>46040</v>
      </c>
      <c r="B172" cm="1">
        <f t="array" ref="B172">SUMPRODUCT((Task_table_03_2_26!$C$2:$C$596=$B$1)*(A172&gt;Task_table_03_2_26!$J$2:$J$596)*(A172&lt;Task_table_03_2_26!$K$2:$K$596))</f>
        <v>53</v>
      </c>
      <c r="C172" cm="1">
        <f t="array" ref="C172">SUMPRODUCT((Task_table_03_2_26!$C$2:$C$596=$C$1)*(A172&gt;Task_table_03_2_26!$J$2:$J$596)*(A172&lt;Task_table_03_2_26!$K$2:$K$596))</f>
        <v>5</v>
      </c>
      <c r="D172" cm="1">
        <f t="array" ref="D172">SUMPRODUCT((Task_table_03_2_26!$C$2:$C$596=$D$1)*(A172&gt;Task_table_03_2_26!$J$2:$J$596)*(A172&lt;Task_table_03_2_26!$K$2:$K$596))</f>
        <v>0</v>
      </c>
      <c r="E172" cm="1">
        <f t="array" ref="E172">SUMPRODUCT((Task_table_03_2_26!$C$2:$C$596=$E$1)*(A172&gt;Task_table_03_2_26!$J$2:$J$596)*(A172&lt;Task_table_03_2_26!$K$2:$K$596))</f>
        <v>6</v>
      </c>
    </row>
    <row r="173" spans="1:5">
      <c r="A173" s="5">
        <v>46041</v>
      </c>
      <c r="B173" cm="1">
        <f t="array" ref="B173">SUMPRODUCT((Task_table_03_2_26!$C$2:$C$596=$B$1)*(A173&gt;Task_table_03_2_26!$J$2:$J$596)*(A173&lt;Task_table_03_2_26!$K$2:$K$596))</f>
        <v>53</v>
      </c>
      <c r="C173" cm="1">
        <f t="array" ref="C173">SUMPRODUCT((Task_table_03_2_26!$C$2:$C$596=$C$1)*(A173&gt;Task_table_03_2_26!$J$2:$J$596)*(A173&lt;Task_table_03_2_26!$K$2:$K$596))</f>
        <v>5</v>
      </c>
      <c r="D173" cm="1">
        <f t="array" ref="D173">SUMPRODUCT((Task_table_03_2_26!$C$2:$C$596=$D$1)*(A173&gt;Task_table_03_2_26!$J$2:$J$596)*(A173&lt;Task_table_03_2_26!$K$2:$K$596))</f>
        <v>0</v>
      </c>
      <c r="E173" cm="1">
        <f t="array" ref="E173">SUMPRODUCT((Task_table_03_2_26!$C$2:$C$596=$E$1)*(A173&gt;Task_table_03_2_26!$J$2:$J$596)*(A173&lt;Task_table_03_2_26!$K$2:$K$596))</f>
        <v>6</v>
      </c>
    </row>
    <row r="174" spans="1:5">
      <c r="A174" s="5">
        <v>46042</v>
      </c>
      <c r="B174" cm="1">
        <f t="array" ref="B174">SUMPRODUCT((Task_table_03_2_26!$C$2:$C$596=$B$1)*(A174&gt;Task_table_03_2_26!$J$2:$J$596)*(A174&lt;Task_table_03_2_26!$K$2:$K$596))</f>
        <v>53</v>
      </c>
      <c r="C174" cm="1">
        <f t="array" ref="C174">SUMPRODUCT((Task_table_03_2_26!$C$2:$C$596=$C$1)*(A174&gt;Task_table_03_2_26!$J$2:$J$596)*(A174&lt;Task_table_03_2_26!$K$2:$K$596))</f>
        <v>5</v>
      </c>
      <c r="D174" cm="1">
        <f t="array" ref="D174">SUMPRODUCT((Task_table_03_2_26!$C$2:$C$596=$D$1)*(A174&gt;Task_table_03_2_26!$J$2:$J$596)*(A174&lt;Task_table_03_2_26!$K$2:$K$596))</f>
        <v>0</v>
      </c>
      <c r="E174" cm="1">
        <f t="array" ref="E174">SUMPRODUCT((Task_table_03_2_26!$C$2:$C$596=$E$1)*(A174&gt;Task_table_03_2_26!$J$2:$J$596)*(A174&lt;Task_table_03_2_26!$K$2:$K$596))</f>
        <v>6</v>
      </c>
    </row>
    <row r="175" spans="1:5">
      <c r="A175" s="5">
        <v>46043</v>
      </c>
      <c r="B175" cm="1">
        <f t="array" ref="B175">SUMPRODUCT((Task_table_03_2_26!$C$2:$C$596=$B$1)*(A175&gt;Task_table_03_2_26!$J$2:$J$596)*(A175&lt;Task_table_03_2_26!$K$2:$K$596))</f>
        <v>54</v>
      </c>
      <c r="C175" cm="1">
        <f t="array" ref="C175">SUMPRODUCT((Task_table_03_2_26!$C$2:$C$596=$C$1)*(A175&gt;Task_table_03_2_26!$J$2:$J$596)*(A175&lt;Task_table_03_2_26!$K$2:$K$596))</f>
        <v>5</v>
      </c>
      <c r="D175" cm="1">
        <f t="array" ref="D175">SUMPRODUCT((Task_table_03_2_26!$C$2:$C$596=$D$1)*(A175&gt;Task_table_03_2_26!$J$2:$J$596)*(A175&lt;Task_table_03_2_26!$K$2:$K$596))</f>
        <v>0</v>
      </c>
      <c r="E175" cm="1">
        <f t="array" ref="E175">SUMPRODUCT((Task_table_03_2_26!$C$2:$C$596=$E$1)*(A175&gt;Task_table_03_2_26!$J$2:$J$596)*(A175&lt;Task_table_03_2_26!$K$2:$K$596))</f>
        <v>6</v>
      </c>
    </row>
    <row r="176" spans="1:5">
      <c r="A176" s="5">
        <v>46044</v>
      </c>
      <c r="B176" cm="1">
        <f t="array" ref="B176">SUMPRODUCT((Task_table_03_2_26!$C$2:$C$596=$B$1)*(A176&gt;Task_table_03_2_26!$J$2:$J$596)*(A176&lt;Task_table_03_2_26!$K$2:$K$596))</f>
        <v>54</v>
      </c>
      <c r="C176" cm="1">
        <f t="array" ref="C176">SUMPRODUCT((Task_table_03_2_26!$C$2:$C$596=$C$1)*(A176&gt;Task_table_03_2_26!$J$2:$J$596)*(A176&lt;Task_table_03_2_26!$K$2:$K$596))</f>
        <v>5</v>
      </c>
      <c r="D176" cm="1">
        <f t="array" ref="D176">SUMPRODUCT((Task_table_03_2_26!$C$2:$C$596=$D$1)*(A176&gt;Task_table_03_2_26!$J$2:$J$596)*(A176&lt;Task_table_03_2_26!$K$2:$K$596))</f>
        <v>0</v>
      </c>
      <c r="E176" cm="1">
        <f t="array" ref="E176">SUMPRODUCT((Task_table_03_2_26!$C$2:$C$596=$E$1)*(A176&gt;Task_table_03_2_26!$J$2:$J$596)*(A176&lt;Task_table_03_2_26!$K$2:$K$596))</f>
        <v>6</v>
      </c>
    </row>
    <row r="177" spans="1:5">
      <c r="A177" s="5">
        <v>46045</v>
      </c>
      <c r="B177" cm="1">
        <f t="array" ref="B177">SUMPRODUCT((Task_table_03_2_26!$C$2:$C$596=$B$1)*(A177&gt;Task_table_03_2_26!$J$2:$J$596)*(A177&lt;Task_table_03_2_26!$K$2:$K$596))</f>
        <v>54</v>
      </c>
      <c r="C177" cm="1">
        <f t="array" ref="C177">SUMPRODUCT((Task_table_03_2_26!$C$2:$C$596=$C$1)*(A177&gt;Task_table_03_2_26!$J$2:$J$596)*(A177&lt;Task_table_03_2_26!$K$2:$K$596))</f>
        <v>5</v>
      </c>
      <c r="D177" cm="1">
        <f t="array" ref="D177">SUMPRODUCT((Task_table_03_2_26!$C$2:$C$596=$D$1)*(A177&gt;Task_table_03_2_26!$J$2:$J$596)*(A177&lt;Task_table_03_2_26!$K$2:$K$596))</f>
        <v>0</v>
      </c>
      <c r="E177" cm="1">
        <f t="array" ref="E177">SUMPRODUCT((Task_table_03_2_26!$C$2:$C$596=$E$1)*(A177&gt;Task_table_03_2_26!$J$2:$J$596)*(A177&lt;Task_table_03_2_26!$K$2:$K$596))</f>
        <v>6</v>
      </c>
    </row>
    <row r="178" spans="1:5">
      <c r="A178" s="5">
        <v>46046</v>
      </c>
      <c r="B178" cm="1">
        <f t="array" ref="B178">SUMPRODUCT((Task_table_03_2_26!$C$2:$C$596=$B$1)*(A178&gt;Task_table_03_2_26!$J$2:$J$596)*(A178&lt;Task_table_03_2_26!$K$2:$K$596))</f>
        <v>54</v>
      </c>
      <c r="C178" cm="1">
        <f t="array" ref="C178">SUMPRODUCT((Task_table_03_2_26!$C$2:$C$596=$C$1)*(A178&gt;Task_table_03_2_26!$J$2:$J$596)*(A178&lt;Task_table_03_2_26!$K$2:$K$596))</f>
        <v>5</v>
      </c>
      <c r="D178" cm="1">
        <f t="array" ref="D178">SUMPRODUCT((Task_table_03_2_26!$C$2:$C$596=$D$1)*(A178&gt;Task_table_03_2_26!$J$2:$J$596)*(A178&lt;Task_table_03_2_26!$K$2:$K$596))</f>
        <v>0</v>
      </c>
      <c r="E178" cm="1">
        <f t="array" ref="E178">SUMPRODUCT((Task_table_03_2_26!$C$2:$C$596=$E$1)*(A178&gt;Task_table_03_2_26!$J$2:$J$596)*(A178&lt;Task_table_03_2_26!$K$2:$K$596))</f>
        <v>6</v>
      </c>
    </row>
    <row r="179" spans="1:5">
      <c r="A179" s="5">
        <v>46047</v>
      </c>
      <c r="B179" cm="1">
        <f t="array" ref="B179">SUMPRODUCT((Task_table_03_2_26!$C$2:$C$596=$B$1)*(A179&gt;Task_table_03_2_26!$J$2:$J$596)*(A179&lt;Task_table_03_2_26!$K$2:$K$596))</f>
        <v>54</v>
      </c>
      <c r="C179" cm="1">
        <f t="array" ref="C179">SUMPRODUCT((Task_table_03_2_26!$C$2:$C$596=$C$1)*(A179&gt;Task_table_03_2_26!$J$2:$J$596)*(A179&lt;Task_table_03_2_26!$K$2:$K$596))</f>
        <v>5</v>
      </c>
      <c r="D179" cm="1">
        <f t="array" ref="D179">SUMPRODUCT((Task_table_03_2_26!$C$2:$C$596=$D$1)*(A179&gt;Task_table_03_2_26!$J$2:$J$596)*(A179&lt;Task_table_03_2_26!$K$2:$K$596))</f>
        <v>0</v>
      </c>
      <c r="E179" cm="1">
        <f t="array" ref="E179">SUMPRODUCT((Task_table_03_2_26!$C$2:$C$596=$E$1)*(A179&gt;Task_table_03_2_26!$J$2:$J$596)*(A179&lt;Task_table_03_2_26!$K$2:$K$596))</f>
        <v>6</v>
      </c>
    </row>
    <row r="180" spans="1:5">
      <c r="A180" s="5">
        <v>46048</v>
      </c>
      <c r="B180" cm="1">
        <f t="array" ref="B180">SUMPRODUCT((Task_table_03_2_26!$C$2:$C$596=$B$1)*(A180&gt;Task_table_03_2_26!$J$2:$J$596)*(A180&lt;Task_table_03_2_26!$K$2:$K$596))</f>
        <v>54</v>
      </c>
      <c r="C180" cm="1">
        <f t="array" ref="C180">SUMPRODUCT((Task_table_03_2_26!$C$2:$C$596=$C$1)*(A180&gt;Task_table_03_2_26!$J$2:$J$596)*(A180&lt;Task_table_03_2_26!$K$2:$K$596))</f>
        <v>5</v>
      </c>
      <c r="D180" cm="1">
        <f t="array" ref="D180">SUMPRODUCT((Task_table_03_2_26!$C$2:$C$596=$D$1)*(A180&gt;Task_table_03_2_26!$J$2:$J$596)*(A180&lt;Task_table_03_2_26!$K$2:$K$596))</f>
        <v>0</v>
      </c>
      <c r="E180" cm="1">
        <f t="array" ref="E180">SUMPRODUCT((Task_table_03_2_26!$C$2:$C$596=$E$1)*(A180&gt;Task_table_03_2_26!$J$2:$J$596)*(A180&lt;Task_table_03_2_26!$K$2:$K$596))</f>
        <v>6</v>
      </c>
    </row>
    <row r="181" spans="1:5">
      <c r="A181" s="5">
        <v>46049</v>
      </c>
      <c r="B181" cm="1">
        <f t="array" ref="B181">SUMPRODUCT((Task_table_03_2_26!$C$2:$C$596=$B$1)*(A181&gt;Task_table_03_2_26!$J$2:$J$596)*(A181&lt;Task_table_03_2_26!$K$2:$K$596))</f>
        <v>54</v>
      </c>
      <c r="C181" cm="1">
        <f t="array" ref="C181">SUMPRODUCT((Task_table_03_2_26!$C$2:$C$596=$C$1)*(A181&gt;Task_table_03_2_26!$J$2:$J$596)*(A181&lt;Task_table_03_2_26!$K$2:$K$596))</f>
        <v>5</v>
      </c>
      <c r="D181" cm="1">
        <f t="array" ref="D181">SUMPRODUCT((Task_table_03_2_26!$C$2:$C$596=$D$1)*(A181&gt;Task_table_03_2_26!$J$2:$J$596)*(A181&lt;Task_table_03_2_26!$K$2:$K$596))</f>
        <v>0</v>
      </c>
      <c r="E181" cm="1">
        <f t="array" ref="E181">SUMPRODUCT((Task_table_03_2_26!$C$2:$C$596=$E$1)*(A181&gt;Task_table_03_2_26!$J$2:$J$596)*(A181&lt;Task_table_03_2_26!$K$2:$K$596))</f>
        <v>6</v>
      </c>
    </row>
    <row r="182" spans="1:5">
      <c r="A182" s="5">
        <v>46050</v>
      </c>
      <c r="B182" cm="1">
        <f t="array" ref="B182">SUMPRODUCT((Task_table_03_2_26!$C$2:$C$596=$B$1)*(A182&gt;Task_table_03_2_26!$J$2:$J$596)*(A182&lt;Task_table_03_2_26!$K$2:$K$596))</f>
        <v>54</v>
      </c>
      <c r="C182" cm="1">
        <f t="array" ref="C182">SUMPRODUCT((Task_table_03_2_26!$C$2:$C$596=$C$1)*(A182&gt;Task_table_03_2_26!$J$2:$J$596)*(A182&lt;Task_table_03_2_26!$K$2:$K$596))</f>
        <v>5</v>
      </c>
      <c r="D182" cm="1">
        <f t="array" ref="D182">SUMPRODUCT((Task_table_03_2_26!$C$2:$C$596=$D$1)*(A182&gt;Task_table_03_2_26!$J$2:$J$596)*(A182&lt;Task_table_03_2_26!$K$2:$K$596))</f>
        <v>0</v>
      </c>
      <c r="E182" cm="1">
        <f t="array" ref="E182">SUMPRODUCT((Task_table_03_2_26!$C$2:$C$596=$E$1)*(A182&gt;Task_table_03_2_26!$J$2:$J$596)*(A182&lt;Task_table_03_2_26!$K$2:$K$596))</f>
        <v>6</v>
      </c>
    </row>
    <row r="183" spans="1:5">
      <c r="A183" s="5">
        <v>46051</v>
      </c>
      <c r="B183" cm="1">
        <f t="array" ref="B183">SUMPRODUCT((Task_table_03_2_26!$C$2:$C$596=$B$1)*(A183&gt;Task_table_03_2_26!$J$2:$J$596)*(A183&lt;Task_table_03_2_26!$K$2:$K$596))</f>
        <v>53</v>
      </c>
      <c r="C183" cm="1">
        <f t="array" ref="C183">SUMPRODUCT((Task_table_03_2_26!$C$2:$C$596=$C$1)*(A183&gt;Task_table_03_2_26!$J$2:$J$596)*(A183&lt;Task_table_03_2_26!$K$2:$K$596))</f>
        <v>5</v>
      </c>
      <c r="D183" cm="1">
        <f t="array" ref="D183">SUMPRODUCT((Task_table_03_2_26!$C$2:$C$596=$D$1)*(A183&gt;Task_table_03_2_26!$J$2:$J$596)*(A183&lt;Task_table_03_2_26!$K$2:$K$596))</f>
        <v>0</v>
      </c>
      <c r="E183" cm="1">
        <f t="array" ref="E183">SUMPRODUCT((Task_table_03_2_26!$C$2:$C$596=$E$1)*(A183&gt;Task_table_03_2_26!$J$2:$J$596)*(A183&lt;Task_table_03_2_26!$K$2:$K$596))</f>
        <v>6</v>
      </c>
    </row>
    <row r="184" spans="1:5">
      <c r="A184" s="5">
        <v>46052</v>
      </c>
      <c r="B184" cm="1">
        <f t="array" ref="B184">SUMPRODUCT((Task_table_03_2_26!$C$2:$C$596=$B$1)*(A184&gt;Task_table_03_2_26!$J$2:$J$596)*(A184&lt;Task_table_03_2_26!$K$2:$K$596))</f>
        <v>52</v>
      </c>
      <c r="C184" cm="1">
        <f t="array" ref="C184">SUMPRODUCT((Task_table_03_2_26!$C$2:$C$596=$C$1)*(A184&gt;Task_table_03_2_26!$J$2:$J$596)*(A184&lt;Task_table_03_2_26!$K$2:$K$596))</f>
        <v>5</v>
      </c>
      <c r="D184" cm="1">
        <f t="array" ref="D184">SUMPRODUCT((Task_table_03_2_26!$C$2:$C$596=$D$1)*(A184&gt;Task_table_03_2_26!$J$2:$J$596)*(A184&lt;Task_table_03_2_26!$K$2:$K$596))</f>
        <v>0</v>
      </c>
      <c r="E184" cm="1">
        <f t="array" ref="E184">SUMPRODUCT((Task_table_03_2_26!$C$2:$C$596=$E$1)*(A184&gt;Task_table_03_2_26!$J$2:$J$596)*(A184&lt;Task_table_03_2_26!$K$2:$K$596))</f>
        <v>6</v>
      </c>
    </row>
    <row r="185" spans="1:5">
      <c r="A185" s="5">
        <v>46053</v>
      </c>
      <c r="B185" cm="1">
        <f t="array" ref="B185">SUMPRODUCT((Task_table_03_2_26!$C$2:$C$596=$B$1)*(A185&gt;Task_table_03_2_26!$J$2:$J$596)*(A185&lt;Task_table_03_2_26!$K$2:$K$596))</f>
        <v>52</v>
      </c>
      <c r="C185" cm="1">
        <f t="array" ref="C185">SUMPRODUCT((Task_table_03_2_26!$C$2:$C$596=$C$1)*(A185&gt;Task_table_03_2_26!$J$2:$J$596)*(A185&lt;Task_table_03_2_26!$K$2:$K$596))</f>
        <v>5</v>
      </c>
      <c r="D185" cm="1">
        <f t="array" ref="D185">SUMPRODUCT((Task_table_03_2_26!$C$2:$C$596=$D$1)*(A185&gt;Task_table_03_2_26!$J$2:$J$596)*(A185&lt;Task_table_03_2_26!$K$2:$K$596))</f>
        <v>0</v>
      </c>
      <c r="E185" cm="1">
        <f t="array" ref="E185">SUMPRODUCT((Task_table_03_2_26!$C$2:$C$596=$E$1)*(A185&gt;Task_table_03_2_26!$J$2:$J$596)*(A185&lt;Task_table_03_2_26!$K$2:$K$596))</f>
        <v>6</v>
      </c>
    </row>
    <row r="186" spans="1:5">
      <c r="A186" s="5">
        <v>46054</v>
      </c>
      <c r="B186" cm="1">
        <f t="array" ref="B186">SUMPRODUCT((Task_table_03_2_26!$C$2:$C$596=$B$1)*(A186&gt;Task_table_03_2_26!$J$2:$J$596)*(A186&lt;Task_table_03_2_26!$K$2:$K$596))</f>
        <v>52</v>
      </c>
      <c r="C186" cm="1">
        <f t="array" ref="C186">SUMPRODUCT((Task_table_03_2_26!$C$2:$C$596=$C$1)*(A186&gt;Task_table_03_2_26!$J$2:$J$596)*(A186&lt;Task_table_03_2_26!$K$2:$K$596))</f>
        <v>5</v>
      </c>
      <c r="D186" cm="1">
        <f t="array" ref="D186">SUMPRODUCT((Task_table_03_2_26!$C$2:$C$596=$D$1)*(A186&gt;Task_table_03_2_26!$J$2:$J$596)*(A186&lt;Task_table_03_2_26!$K$2:$K$596))</f>
        <v>0</v>
      </c>
      <c r="E186" cm="1">
        <f t="array" ref="E186">SUMPRODUCT((Task_table_03_2_26!$C$2:$C$596=$E$1)*(A186&gt;Task_table_03_2_26!$J$2:$J$596)*(A186&lt;Task_table_03_2_26!$K$2:$K$596))</f>
        <v>6</v>
      </c>
    </row>
    <row r="187" spans="1:5">
      <c r="A187" s="5">
        <v>46055</v>
      </c>
      <c r="B187" cm="1">
        <f t="array" ref="B187">SUMPRODUCT((Task_table_03_2_26!$C$2:$C$596=$B$1)*(A187&gt;Task_table_03_2_26!$J$2:$J$596)*(A187&lt;Task_table_03_2_26!$K$2:$K$596))</f>
        <v>52</v>
      </c>
      <c r="C187" cm="1">
        <f t="array" ref="C187">SUMPRODUCT((Task_table_03_2_26!$C$2:$C$596=$C$1)*(A187&gt;Task_table_03_2_26!$J$2:$J$596)*(A187&lt;Task_table_03_2_26!$K$2:$K$596))</f>
        <v>6</v>
      </c>
      <c r="D187" cm="1">
        <f t="array" ref="D187">SUMPRODUCT((Task_table_03_2_26!$C$2:$C$596=$D$1)*(A187&gt;Task_table_03_2_26!$J$2:$J$596)*(A187&lt;Task_table_03_2_26!$K$2:$K$596))</f>
        <v>0</v>
      </c>
      <c r="E187" cm="1">
        <f t="array" ref="E187">SUMPRODUCT((Task_table_03_2_26!$C$2:$C$596=$E$1)*(A187&gt;Task_table_03_2_26!$J$2:$J$596)*(A187&lt;Task_table_03_2_26!$K$2:$K$596))</f>
        <v>6</v>
      </c>
    </row>
    <row r="188" spans="1:5">
      <c r="A188" s="5">
        <v>46056</v>
      </c>
      <c r="B188" cm="1">
        <f t="array" ref="B188">SUMPRODUCT((Task_table_03_2_26!$C$2:$C$596=$B$1)*(A188&gt;Task_table_03_2_26!$J$2:$J$596)*(A188&lt;Task_table_03_2_26!$K$2:$K$596))</f>
        <v>54</v>
      </c>
      <c r="C188" cm="1">
        <f t="array" ref="C188">SUMPRODUCT((Task_table_03_2_26!$C$2:$C$596=$C$1)*(A188&gt;Task_table_03_2_26!$J$2:$J$596)*(A188&lt;Task_table_03_2_26!$K$2:$K$596))</f>
        <v>6</v>
      </c>
      <c r="D188" cm="1">
        <f t="array" ref="D188">SUMPRODUCT((Task_table_03_2_26!$C$2:$C$596=$D$1)*(A188&gt;Task_table_03_2_26!$J$2:$J$596)*(A188&lt;Task_table_03_2_26!$K$2:$K$596))</f>
        <v>0</v>
      </c>
      <c r="E188" cm="1">
        <f t="array" ref="E188">SUMPRODUCT((Task_table_03_2_26!$C$2:$C$596=$E$1)*(A188&gt;Task_table_03_2_26!$J$2:$J$596)*(A188&lt;Task_table_03_2_26!$K$2:$K$596))</f>
        <v>6</v>
      </c>
    </row>
    <row r="189" spans="1:5">
      <c r="A189" s="5">
        <v>46057</v>
      </c>
      <c r="B189" cm="1">
        <f t="array" ref="B189">SUMPRODUCT((Task_table_03_2_26!$C$2:$C$596=$B$1)*(A189&gt;Task_table_03_2_26!$J$2:$J$596)*(A189&lt;Task_table_03_2_26!$K$2:$K$596))</f>
        <v>54</v>
      </c>
      <c r="C189" cm="1">
        <f t="array" ref="C189">SUMPRODUCT((Task_table_03_2_26!$C$2:$C$596=$C$1)*(A189&gt;Task_table_03_2_26!$J$2:$J$596)*(A189&lt;Task_table_03_2_26!$K$2:$K$596))</f>
        <v>6</v>
      </c>
      <c r="D189" cm="1">
        <f t="array" ref="D189">SUMPRODUCT((Task_table_03_2_26!$C$2:$C$596=$D$1)*(A189&gt;Task_table_03_2_26!$J$2:$J$596)*(A189&lt;Task_table_03_2_26!$K$2:$K$596))</f>
        <v>0</v>
      </c>
      <c r="E189" cm="1">
        <f t="array" ref="E189">SUMPRODUCT((Task_table_03_2_26!$C$2:$C$596=$E$1)*(A189&gt;Task_table_03_2_26!$J$2:$J$596)*(A189&lt;Task_table_03_2_26!$K$2:$K$596))</f>
        <v>6</v>
      </c>
    </row>
    <row r="190" spans="1:5">
      <c r="A190" s="5">
        <v>46058</v>
      </c>
      <c r="B190" cm="1">
        <f t="array" ref="B190">SUMPRODUCT((Task_table_03_2_26!$C$2:$C$596=$B$1)*(A190&gt;Task_table_03_2_26!$J$2:$J$596)*(A190&lt;Task_table_03_2_26!$K$2:$K$596))</f>
        <v>54</v>
      </c>
      <c r="C190" cm="1">
        <f t="array" ref="C190">SUMPRODUCT((Task_table_03_2_26!$C$2:$C$596=$C$1)*(A190&gt;Task_table_03_2_26!$J$2:$J$596)*(A190&lt;Task_table_03_2_26!$K$2:$K$596))</f>
        <v>6</v>
      </c>
      <c r="D190" cm="1">
        <f t="array" ref="D190">SUMPRODUCT((Task_table_03_2_26!$C$2:$C$596=$D$1)*(A190&gt;Task_table_03_2_26!$J$2:$J$596)*(A190&lt;Task_table_03_2_26!$K$2:$K$596))</f>
        <v>0</v>
      </c>
      <c r="E190" cm="1">
        <f t="array" ref="E190">SUMPRODUCT((Task_table_03_2_26!$C$2:$C$596=$E$1)*(A190&gt;Task_table_03_2_26!$J$2:$J$596)*(A190&lt;Task_table_03_2_26!$K$2:$K$596))</f>
        <v>6</v>
      </c>
    </row>
    <row r="191" spans="1:5">
      <c r="A191" s="5">
        <v>46059</v>
      </c>
      <c r="B191" cm="1">
        <f t="array" ref="B191">SUMPRODUCT((Task_table_03_2_26!$C$2:$C$596=$B$1)*(A191&gt;Task_table_03_2_26!$J$2:$J$596)*(A191&lt;Task_table_03_2_26!$K$2:$K$596))</f>
        <v>55</v>
      </c>
      <c r="C191" cm="1">
        <f t="array" ref="C191">SUMPRODUCT((Task_table_03_2_26!$C$2:$C$596=$C$1)*(A191&gt;Task_table_03_2_26!$J$2:$J$596)*(A191&lt;Task_table_03_2_26!$K$2:$K$596))</f>
        <v>6</v>
      </c>
      <c r="D191" cm="1">
        <f t="array" ref="D191">SUMPRODUCT((Task_table_03_2_26!$C$2:$C$596=$D$1)*(A191&gt;Task_table_03_2_26!$J$2:$J$596)*(A191&lt;Task_table_03_2_26!$K$2:$K$596))</f>
        <v>0</v>
      </c>
      <c r="E191" cm="1">
        <f t="array" ref="E191">SUMPRODUCT((Task_table_03_2_26!$C$2:$C$596=$E$1)*(A191&gt;Task_table_03_2_26!$J$2:$J$596)*(A191&lt;Task_table_03_2_26!$K$2:$K$596))</f>
        <v>6</v>
      </c>
    </row>
    <row r="192" spans="1:5">
      <c r="A192" s="5">
        <v>46060</v>
      </c>
      <c r="B192" cm="1">
        <f t="array" ref="B192">SUMPRODUCT((Task_table_03_2_26!$C$2:$C$596=$B$1)*(A192&gt;Task_table_03_2_26!$J$2:$J$596)*(A192&lt;Task_table_03_2_26!$K$2:$K$596))</f>
        <v>55</v>
      </c>
      <c r="C192" cm="1">
        <f t="array" ref="C192">SUMPRODUCT((Task_table_03_2_26!$C$2:$C$596=$C$1)*(A192&gt;Task_table_03_2_26!$J$2:$J$596)*(A192&lt;Task_table_03_2_26!$K$2:$K$596))</f>
        <v>6</v>
      </c>
      <c r="D192" cm="1">
        <f t="array" ref="D192">SUMPRODUCT((Task_table_03_2_26!$C$2:$C$596=$D$1)*(A192&gt;Task_table_03_2_26!$J$2:$J$596)*(A192&lt;Task_table_03_2_26!$K$2:$K$596))</f>
        <v>0</v>
      </c>
      <c r="E192" cm="1">
        <f t="array" ref="E192">SUMPRODUCT((Task_table_03_2_26!$C$2:$C$596=$E$1)*(A192&gt;Task_table_03_2_26!$J$2:$J$596)*(A192&lt;Task_table_03_2_26!$K$2:$K$596))</f>
        <v>6</v>
      </c>
    </row>
    <row r="193" spans="1:5">
      <c r="A193" s="5">
        <v>46061</v>
      </c>
      <c r="B193" cm="1">
        <f t="array" ref="B193">SUMPRODUCT((Task_table_03_2_26!$C$2:$C$596=$B$1)*(A193&gt;Task_table_03_2_26!$J$2:$J$596)*(A193&lt;Task_table_03_2_26!$K$2:$K$596))</f>
        <v>55</v>
      </c>
      <c r="C193" cm="1">
        <f t="array" ref="C193">SUMPRODUCT((Task_table_03_2_26!$C$2:$C$596=$C$1)*(A193&gt;Task_table_03_2_26!$J$2:$J$596)*(A193&lt;Task_table_03_2_26!$K$2:$K$596))</f>
        <v>6</v>
      </c>
      <c r="D193" cm="1">
        <f t="array" ref="D193">SUMPRODUCT((Task_table_03_2_26!$C$2:$C$596=$D$1)*(A193&gt;Task_table_03_2_26!$J$2:$J$596)*(A193&lt;Task_table_03_2_26!$K$2:$K$596))</f>
        <v>0</v>
      </c>
      <c r="E193" cm="1">
        <f t="array" ref="E193">SUMPRODUCT((Task_table_03_2_26!$C$2:$C$596=$E$1)*(A193&gt;Task_table_03_2_26!$J$2:$J$596)*(A193&lt;Task_table_03_2_26!$K$2:$K$596))</f>
        <v>6</v>
      </c>
    </row>
    <row r="194" spans="1:5">
      <c r="A194" s="5">
        <v>46062</v>
      </c>
      <c r="B194" cm="1">
        <f t="array" ref="B194">SUMPRODUCT((Task_table_03_2_26!$C$2:$C$596=$B$1)*(A194&gt;Task_table_03_2_26!$J$2:$J$596)*(A194&lt;Task_table_03_2_26!$K$2:$K$596))</f>
        <v>55</v>
      </c>
      <c r="C194" cm="1">
        <f t="array" ref="C194">SUMPRODUCT((Task_table_03_2_26!$C$2:$C$596=$C$1)*(A194&gt;Task_table_03_2_26!$J$2:$J$596)*(A194&lt;Task_table_03_2_26!$K$2:$K$596))</f>
        <v>6</v>
      </c>
      <c r="D194" cm="1">
        <f t="array" ref="D194">SUMPRODUCT((Task_table_03_2_26!$C$2:$C$596=$D$1)*(A194&gt;Task_table_03_2_26!$J$2:$J$596)*(A194&lt;Task_table_03_2_26!$K$2:$K$596))</f>
        <v>0</v>
      </c>
      <c r="E194" cm="1">
        <f t="array" ref="E194">SUMPRODUCT((Task_table_03_2_26!$C$2:$C$596=$E$1)*(A194&gt;Task_table_03_2_26!$J$2:$J$596)*(A194&lt;Task_table_03_2_26!$K$2:$K$596))</f>
        <v>6</v>
      </c>
    </row>
    <row r="195" spans="1:5">
      <c r="A195" s="5">
        <v>46063</v>
      </c>
      <c r="B195" cm="1">
        <f t="array" ref="B195">SUMPRODUCT((Task_table_03_2_26!$C$2:$C$596=$B$1)*(A195&gt;Task_table_03_2_26!$J$2:$J$596)*(A195&lt;Task_table_03_2_26!$K$2:$K$596))</f>
        <v>55</v>
      </c>
      <c r="C195" cm="1">
        <f t="array" ref="C195">SUMPRODUCT((Task_table_03_2_26!$C$2:$C$596=$C$1)*(A195&gt;Task_table_03_2_26!$J$2:$J$596)*(A195&lt;Task_table_03_2_26!$K$2:$K$596))</f>
        <v>6</v>
      </c>
      <c r="D195" cm="1">
        <f t="array" ref="D195">SUMPRODUCT((Task_table_03_2_26!$C$2:$C$596=$D$1)*(A195&gt;Task_table_03_2_26!$J$2:$J$596)*(A195&lt;Task_table_03_2_26!$K$2:$K$596))</f>
        <v>0</v>
      </c>
      <c r="E195" cm="1">
        <f t="array" ref="E195">SUMPRODUCT((Task_table_03_2_26!$C$2:$C$596=$E$1)*(A195&gt;Task_table_03_2_26!$J$2:$J$596)*(A195&lt;Task_table_03_2_26!$K$2:$K$596))</f>
        <v>6</v>
      </c>
    </row>
    <row r="196" spans="1:5">
      <c r="A196" s="5">
        <v>46064</v>
      </c>
      <c r="B196" cm="1">
        <f t="array" ref="B196">SUMPRODUCT((Task_table_03_2_26!$C$2:$C$596=$B$1)*(A196&gt;Task_table_03_2_26!$J$2:$J$596)*(A196&lt;Task_table_03_2_26!$K$2:$K$596))</f>
        <v>55</v>
      </c>
      <c r="C196" cm="1">
        <f t="array" ref="C196">SUMPRODUCT((Task_table_03_2_26!$C$2:$C$596=$C$1)*(A196&gt;Task_table_03_2_26!$J$2:$J$596)*(A196&lt;Task_table_03_2_26!$K$2:$K$596))</f>
        <v>6</v>
      </c>
      <c r="D196" cm="1">
        <f t="array" ref="D196">SUMPRODUCT((Task_table_03_2_26!$C$2:$C$596=$D$1)*(A196&gt;Task_table_03_2_26!$J$2:$J$596)*(A196&lt;Task_table_03_2_26!$K$2:$K$596))</f>
        <v>0</v>
      </c>
      <c r="E196" cm="1">
        <f t="array" ref="E196">SUMPRODUCT((Task_table_03_2_26!$C$2:$C$596=$E$1)*(A196&gt;Task_table_03_2_26!$J$2:$J$596)*(A196&lt;Task_table_03_2_26!$K$2:$K$596))</f>
        <v>6</v>
      </c>
    </row>
    <row r="197" spans="1:5">
      <c r="A197" s="5">
        <v>46065</v>
      </c>
      <c r="B197" cm="1">
        <f t="array" ref="B197">SUMPRODUCT((Task_table_03_2_26!$C$2:$C$596=$B$1)*(A197&gt;Task_table_03_2_26!$J$2:$J$596)*(A197&lt;Task_table_03_2_26!$K$2:$K$596))</f>
        <v>55</v>
      </c>
      <c r="C197" cm="1">
        <f t="array" ref="C197">SUMPRODUCT((Task_table_03_2_26!$C$2:$C$596=$C$1)*(A197&gt;Task_table_03_2_26!$J$2:$J$596)*(A197&lt;Task_table_03_2_26!$K$2:$K$596))</f>
        <v>6</v>
      </c>
      <c r="D197" cm="1">
        <f t="array" ref="D197">SUMPRODUCT((Task_table_03_2_26!$C$2:$C$596=$D$1)*(A197&gt;Task_table_03_2_26!$J$2:$J$596)*(A197&lt;Task_table_03_2_26!$K$2:$K$596))</f>
        <v>0</v>
      </c>
      <c r="E197" cm="1">
        <f t="array" ref="E197">SUMPRODUCT((Task_table_03_2_26!$C$2:$C$596=$E$1)*(A197&gt;Task_table_03_2_26!$J$2:$J$596)*(A197&lt;Task_table_03_2_26!$K$2:$K$596))</f>
        <v>6</v>
      </c>
    </row>
    <row r="198" spans="1:5">
      <c r="A198" s="5">
        <v>46066</v>
      </c>
      <c r="B198" cm="1">
        <f t="array" ref="B198">SUMPRODUCT((Task_table_03_2_26!$C$2:$C$596=$B$1)*(A198&gt;Task_table_03_2_26!$J$2:$J$596)*(A198&lt;Task_table_03_2_26!$K$2:$K$596))</f>
        <v>55</v>
      </c>
      <c r="C198" cm="1">
        <f t="array" ref="C198">SUMPRODUCT((Task_table_03_2_26!$C$2:$C$596=$C$1)*(A198&gt;Task_table_03_2_26!$J$2:$J$596)*(A198&lt;Task_table_03_2_26!$K$2:$K$596))</f>
        <v>6</v>
      </c>
      <c r="D198" cm="1">
        <f t="array" ref="D198">SUMPRODUCT((Task_table_03_2_26!$C$2:$C$596=$D$1)*(A198&gt;Task_table_03_2_26!$J$2:$J$596)*(A198&lt;Task_table_03_2_26!$K$2:$K$596))</f>
        <v>0</v>
      </c>
      <c r="E198" cm="1">
        <f t="array" ref="E198">SUMPRODUCT((Task_table_03_2_26!$C$2:$C$596=$E$1)*(A198&gt;Task_table_03_2_26!$J$2:$J$596)*(A198&lt;Task_table_03_2_26!$K$2:$K$596))</f>
        <v>6</v>
      </c>
    </row>
    <row r="199" spans="1:5">
      <c r="A199" s="5">
        <v>46067</v>
      </c>
      <c r="B199" cm="1">
        <f t="array" ref="B199">SUMPRODUCT((Task_table_03_2_26!$C$2:$C$596=$B$1)*(A199&gt;Task_table_03_2_26!$J$2:$J$596)*(A199&lt;Task_table_03_2_26!$K$2:$K$596))</f>
        <v>55</v>
      </c>
      <c r="C199" cm="1">
        <f t="array" ref="C199">SUMPRODUCT((Task_table_03_2_26!$C$2:$C$596=$C$1)*(A199&gt;Task_table_03_2_26!$J$2:$J$596)*(A199&lt;Task_table_03_2_26!$K$2:$K$596))</f>
        <v>6</v>
      </c>
      <c r="D199" cm="1">
        <f t="array" ref="D199">SUMPRODUCT((Task_table_03_2_26!$C$2:$C$596=$D$1)*(A199&gt;Task_table_03_2_26!$J$2:$J$596)*(A199&lt;Task_table_03_2_26!$K$2:$K$596))</f>
        <v>0</v>
      </c>
      <c r="E199" cm="1">
        <f t="array" ref="E199">SUMPRODUCT((Task_table_03_2_26!$C$2:$C$596=$E$1)*(A199&gt;Task_table_03_2_26!$J$2:$J$596)*(A199&lt;Task_table_03_2_26!$K$2:$K$596))</f>
        <v>6</v>
      </c>
    </row>
    <row r="200" spans="1:5">
      <c r="A200" s="5">
        <v>46068</v>
      </c>
      <c r="B200" cm="1">
        <f t="array" ref="B200">SUMPRODUCT((Task_table_03_2_26!$C$2:$C$596=$B$1)*(A200&gt;Task_table_03_2_26!$J$2:$J$596)*(A200&lt;Task_table_03_2_26!$K$2:$K$596))</f>
        <v>55</v>
      </c>
      <c r="C200" cm="1">
        <f t="array" ref="C200">SUMPRODUCT((Task_table_03_2_26!$C$2:$C$596=$C$1)*(A200&gt;Task_table_03_2_26!$J$2:$J$596)*(A200&lt;Task_table_03_2_26!$K$2:$K$596))</f>
        <v>6</v>
      </c>
      <c r="D200" cm="1">
        <f t="array" ref="D200">SUMPRODUCT((Task_table_03_2_26!$C$2:$C$596=$D$1)*(A200&gt;Task_table_03_2_26!$J$2:$J$596)*(A200&lt;Task_table_03_2_26!$K$2:$K$596))</f>
        <v>0</v>
      </c>
      <c r="E200" cm="1">
        <f t="array" ref="E200">SUMPRODUCT((Task_table_03_2_26!$C$2:$C$596=$E$1)*(A200&gt;Task_table_03_2_26!$J$2:$J$596)*(A200&lt;Task_table_03_2_26!$K$2:$K$596))</f>
        <v>6</v>
      </c>
    </row>
    <row r="201" spans="1:5">
      <c r="A201" s="5">
        <v>46069</v>
      </c>
      <c r="B201" cm="1">
        <f t="array" ref="B201">SUMPRODUCT((Task_table_03_2_26!$C$2:$C$596=$B$1)*(A201&gt;Task_table_03_2_26!$J$2:$J$596)*(A201&lt;Task_table_03_2_26!$K$2:$K$596))</f>
        <v>55</v>
      </c>
      <c r="C201" cm="1">
        <f t="array" ref="C201">SUMPRODUCT((Task_table_03_2_26!$C$2:$C$596=$C$1)*(A201&gt;Task_table_03_2_26!$J$2:$J$596)*(A201&lt;Task_table_03_2_26!$K$2:$K$596))</f>
        <v>6</v>
      </c>
      <c r="D201" cm="1">
        <f t="array" ref="D201">SUMPRODUCT((Task_table_03_2_26!$C$2:$C$596=$D$1)*(A201&gt;Task_table_03_2_26!$J$2:$J$596)*(A201&lt;Task_table_03_2_26!$K$2:$K$596))</f>
        <v>0</v>
      </c>
      <c r="E201" cm="1">
        <f t="array" ref="E201">SUMPRODUCT((Task_table_03_2_26!$C$2:$C$596=$E$1)*(A201&gt;Task_table_03_2_26!$J$2:$J$596)*(A201&lt;Task_table_03_2_26!$K$2:$K$596))</f>
        <v>6</v>
      </c>
    </row>
    <row r="202" spans="1:5">
      <c r="A202" s="5">
        <v>46070</v>
      </c>
      <c r="B202" cm="1">
        <f t="array" ref="B202">SUMPRODUCT((Task_table_03_2_26!$C$2:$C$596=$B$1)*(A202&gt;Task_table_03_2_26!$J$2:$J$596)*(A202&lt;Task_table_03_2_26!$K$2:$K$596))</f>
        <v>57</v>
      </c>
      <c r="C202" cm="1">
        <f t="array" ref="C202">SUMPRODUCT((Task_table_03_2_26!$C$2:$C$596=$C$1)*(A202&gt;Task_table_03_2_26!$J$2:$J$596)*(A202&lt;Task_table_03_2_26!$K$2:$K$596))</f>
        <v>6</v>
      </c>
      <c r="D202" cm="1">
        <f t="array" ref="D202">SUMPRODUCT((Task_table_03_2_26!$C$2:$C$596=$D$1)*(A202&gt;Task_table_03_2_26!$J$2:$J$596)*(A202&lt;Task_table_03_2_26!$K$2:$K$596))</f>
        <v>0</v>
      </c>
      <c r="E202" cm="1">
        <f t="array" ref="E202">SUMPRODUCT((Task_table_03_2_26!$C$2:$C$596=$E$1)*(A202&gt;Task_table_03_2_26!$J$2:$J$596)*(A202&lt;Task_table_03_2_26!$K$2:$K$596))</f>
        <v>6</v>
      </c>
    </row>
    <row r="203" spans="1:5">
      <c r="A203" s="5">
        <v>46071</v>
      </c>
      <c r="B203" cm="1">
        <f t="array" ref="B203">SUMPRODUCT((Task_table_03_2_26!$C$2:$C$596=$B$1)*(A203&gt;Task_table_03_2_26!$J$2:$J$596)*(A203&lt;Task_table_03_2_26!$K$2:$K$596))</f>
        <v>57</v>
      </c>
      <c r="C203" cm="1">
        <f t="array" ref="C203">SUMPRODUCT((Task_table_03_2_26!$C$2:$C$596=$C$1)*(A203&gt;Task_table_03_2_26!$J$2:$J$596)*(A203&lt;Task_table_03_2_26!$K$2:$K$596))</f>
        <v>6</v>
      </c>
      <c r="D203" cm="1">
        <f t="array" ref="D203">SUMPRODUCT((Task_table_03_2_26!$C$2:$C$596=$D$1)*(A203&gt;Task_table_03_2_26!$J$2:$J$596)*(A203&lt;Task_table_03_2_26!$K$2:$K$596))</f>
        <v>0</v>
      </c>
      <c r="E203" cm="1">
        <f t="array" ref="E203">SUMPRODUCT((Task_table_03_2_26!$C$2:$C$596=$E$1)*(A203&gt;Task_table_03_2_26!$J$2:$J$596)*(A203&lt;Task_table_03_2_26!$K$2:$K$596))</f>
        <v>6</v>
      </c>
    </row>
    <row r="204" spans="1:5">
      <c r="A204" s="5">
        <v>46072</v>
      </c>
      <c r="B204" cm="1">
        <f t="array" ref="B204">SUMPRODUCT((Task_table_03_2_26!$C$2:$C$596=$B$1)*(A204&gt;Task_table_03_2_26!$J$2:$J$596)*(A204&lt;Task_table_03_2_26!$K$2:$K$596))</f>
        <v>57</v>
      </c>
      <c r="C204" cm="1">
        <f t="array" ref="C204">SUMPRODUCT((Task_table_03_2_26!$C$2:$C$596=$C$1)*(A204&gt;Task_table_03_2_26!$J$2:$J$596)*(A204&lt;Task_table_03_2_26!$K$2:$K$596))</f>
        <v>6</v>
      </c>
      <c r="D204" cm="1">
        <f t="array" ref="D204">SUMPRODUCT((Task_table_03_2_26!$C$2:$C$596=$D$1)*(A204&gt;Task_table_03_2_26!$J$2:$J$596)*(A204&lt;Task_table_03_2_26!$K$2:$K$596))</f>
        <v>0</v>
      </c>
      <c r="E204" cm="1">
        <f t="array" ref="E204">SUMPRODUCT((Task_table_03_2_26!$C$2:$C$596=$E$1)*(A204&gt;Task_table_03_2_26!$J$2:$J$596)*(A204&lt;Task_table_03_2_26!$K$2:$K$596))</f>
        <v>6</v>
      </c>
    </row>
    <row r="205" spans="1:5">
      <c r="A205" s="5">
        <v>46073</v>
      </c>
      <c r="B205" cm="1">
        <f t="array" ref="B205">SUMPRODUCT((Task_table_03_2_26!$C$2:$C$596=$B$1)*(A205&gt;Task_table_03_2_26!$J$2:$J$596)*(A205&lt;Task_table_03_2_26!$K$2:$K$596))</f>
        <v>57</v>
      </c>
      <c r="C205" cm="1">
        <f t="array" ref="C205">SUMPRODUCT((Task_table_03_2_26!$C$2:$C$596=$C$1)*(A205&gt;Task_table_03_2_26!$J$2:$J$596)*(A205&lt;Task_table_03_2_26!$K$2:$K$596))</f>
        <v>6</v>
      </c>
      <c r="D205" cm="1">
        <f t="array" ref="D205">SUMPRODUCT((Task_table_03_2_26!$C$2:$C$596=$D$1)*(A205&gt;Task_table_03_2_26!$J$2:$J$596)*(A205&lt;Task_table_03_2_26!$K$2:$K$596))</f>
        <v>0</v>
      </c>
      <c r="E205" cm="1">
        <f t="array" ref="E205">SUMPRODUCT((Task_table_03_2_26!$C$2:$C$596=$E$1)*(A205&gt;Task_table_03_2_26!$J$2:$J$596)*(A205&lt;Task_table_03_2_26!$K$2:$K$596))</f>
        <v>6</v>
      </c>
    </row>
    <row r="206" spans="1:5">
      <c r="A206" s="5">
        <v>46074</v>
      </c>
      <c r="B206" cm="1">
        <f t="array" ref="B206">SUMPRODUCT((Task_table_03_2_26!$C$2:$C$596=$B$1)*(A206&gt;Task_table_03_2_26!$J$2:$J$596)*(A206&lt;Task_table_03_2_26!$K$2:$K$596))</f>
        <v>58</v>
      </c>
      <c r="C206" cm="1">
        <f t="array" ref="C206">SUMPRODUCT((Task_table_03_2_26!$C$2:$C$596=$C$1)*(A206&gt;Task_table_03_2_26!$J$2:$J$596)*(A206&lt;Task_table_03_2_26!$K$2:$K$596))</f>
        <v>6</v>
      </c>
      <c r="D206" cm="1">
        <f t="array" ref="D206">SUMPRODUCT((Task_table_03_2_26!$C$2:$C$596=$D$1)*(A206&gt;Task_table_03_2_26!$J$2:$J$596)*(A206&lt;Task_table_03_2_26!$K$2:$K$596))</f>
        <v>0</v>
      </c>
      <c r="E206" cm="1">
        <f t="array" ref="E206">SUMPRODUCT((Task_table_03_2_26!$C$2:$C$596=$E$1)*(A206&gt;Task_table_03_2_26!$J$2:$J$596)*(A206&lt;Task_table_03_2_26!$K$2:$K$596))</f>
        <v>6</v>
      </c>
    </row>
    <row r="207" spans="1:5">
      <c r="A207" s="5">
        <v>46075</v>
      </c>
      <c r="B207" cm="1">
        <f t="array" ref="B207">SUMPRODUCT((Task_table_03_2_26!$C$2:$C$596=$B$1)*(A207&gt;Task_table_03_2_26!$J$2:$J$596)*(A207&lt;Task_table_03_2_26!$K$2:$K$596))</f>
        <v>58</v>
      </c>
      <c r="C207" cm="1">
        <f t="array" ref="C207">SUMPRODUCT((Task_table_03_2_26!$C$2:$C$596=$C$1)*(A207&gt;Task_table_03_2_26!$J$2:$J$596)*(A207&lt;Task_table_03_2_26!$K$2:$K$596))</f>
        <v>6</v>
      </c>
      <c r="D207" cm="1">
        <f t="array" ref="D207">SUMPRODUCT((Task_table_03_2_26!$C$2:$C$596=$D$1)*(A207&gt;Task_table_03_2_26!$J$2:$J$596)*(A207&lt;Task_table_03_2_26!$K$2:$K$596))</f>
        <v>0</v>
      </c>
      <c r="E207" cm="1">
        <f t="array" ref="E207">SUMPRODUCT((Task_table_03_2_26!$C$2:$C$596=$E$1)*(A207&gt;Task_table_03_2_26!$J$2:$J$596)*(A207&lt;Task_table_03_2_26!$K$2:$K$596))</f>
        <v>6</v>
      </c>
    </row>
    <row r="208" spans="1:5">
      <c r="A208" s="5">
        <v>46076</v>
      </c>
      <c r="B208" cm="1">
        <f t="array" ref="B208">SUMPRODUCT((Task_table_03_2_26!$C$2:$C$596=$B$1)*(A208&gt;Task_table_03_2_26!$J$2:$J$596)*(A208&lt;Task_table_03_2_26!$K$2:$K$596))</f>
        <v>58</v>
      </c>
      <c r="C208" cm="1">
        <f t="array" ref="C208">SUMPRODUCT((Task_table_03_2_26!$C$2:$C$596=$C$1)*(A208&gt;Task_table_03_2_26!$J$2:$J$596)*(A208&lt;Task_table_03_2_26!$K$2:$K$596))</f>
        <v>6</v>
      </c>
      <c r="D208" cm="1">
        <f t="array" ref="D208">SUMPRODUCT((Task_table_03_2_26!$C$2:$C$596=$D$1)*(A208&gt;Task_table_03_2_26!$J$2:$J$596)*(A208&lt;Task_table_03_2_26!$K$2:$K$596))</f>
        <v>0</v>
      </c>
      <c r="E208" cm="1">
        <f t="array" ref="E208">SUMPRODUCT((Task_table_03_2_26!$C$2:$C$596=$E$1)*(A208&gt;Task_table_03_2_26!$J$2:$J$596)*(A208&lt;Task_table_03_2_26!$K$2:$K$596))</f>
        <v>6</v>
      </c>
    </row>
    <row r="209" spans="1:5">
      <c r="A209" s="5">
        <v>46077</v>
      </c>
      <c r="B209" cm="1">
        <f t="array" ref="B209">SUMPRODUCT((Task_table_03_2_26!$C$2:$C$596=$B$1)*(A209&gt;Task_table_03_2_26!$J$2:$J$596)*(A209&lt;Task_table_03_2_26!$K$2:$K$596))</f>
        <v>60</v>
      </c>
      <c r="C209" cm="1">
        <f t="array" ref="C209">SUMPRODUCT((Task_table_03_2_26!$C$2:$C$596=$C$1)*(A209&gt;Task_table_03_2_26!$J$2:$J$596)*(A209&lt;Task_table_03_2_26!$K$2:$K$596))</f>
        <v>6</v>
      </c>
      <c r="D209" cm="1">
        <f t="array" ref="D209">SUMPRODUCT((Task_table_03_2_26!$C$2:$C$596=$D$1)*(A209&gt;Task_table_03_2_26!$J$2:$J$596)*(A209&lt;Task_table_03_2_26!$K$2:$K$596))</f>
        <v>0</v>
      </c>
      <c r="E209" cm="1">
        <f t="array" ref="E209">SUMPRODUCT((Task_table_03_2_26!$C$2:$C$596=$E$1)*(A209&gt;Task_table_03_2_26!$J$2:$J$596)*(A209&lt;Task_table_03_2_26!$K$2:$K$596))</f>
        <v>6</v>
      </c>
    </row>
    <row r="210" spans="1:5">
      <c r="A210" s="5">
        <v>46078</v>
      </c>
      <c r="B210" cm="1">
        <f t="array" ref="B210">SUMPRODUCT((Task_table_03_2_26!$C$2:$C$596=$B$1)*(A210&gt;Task_table_03_2_26!$J$2:$J$596)*(A210&lt;Task_table_03_2_26!$K$2:$K$596))</f>
        <v>59</v>
      </c>
      <c r="C210" cm="1">
        <f t="array" ref="C210">SUMPRODUCT((Task_table_03_2_26!$C$2:$C$596=$C$1)*(A210&gt;Task_table_03_2_26!$J$2:$J$596)*(A210&lt;Task_table_03_2_26!$K$2:$K$596))</f>
        <v>6</v>
      </c>
      <c r="D210" cm="1">
        <f t="array" ref="D210">SUMPRODUCT((Task_table_03_2_26!$C$2:$C$596=$D$1)*(A210&gt;Task_table_03_2_26!$J$2:$J$596)*(A210&lt;Task_table_03_2_26!$K$2:$K$596))</f>
        <v>0</v>
      </c>
      <c r="E210" cm="1">
        <f t="array" ref="E210">SUMPRODUCT((Task_table_03_2_26!$C$2:$C$596=$E$1)*(A210&gt;Task_table_03_2_26!$J$2:$J$596)*(A210&lt;Task_table_03_2_26!$K$2:$K$596))</f>
        <v>6</v>
      </c>
    </row>
    <row r="211" spans="1:5">
      <c r="A211" s="5">
        <v>46079</v>
      </c>
      <c r="B211" cm="1">
        <f t="array" ref="B211">SUMPRODUCT((Task_table_03_2_26!$C$2:$C$596=$B$1)*(A211&gt;Task_table_03_2_26!$J$2:$J$596)*(A211&lt;Task_table_03_2_26!$K$2:$K$596))</f>
        <v>59</v>
      </c>
      <c r="C211" cm="1">
        <f t="array" ref="C211">SUMPRODUCT((Task_table_03_2_26!$C$2:$C$596=$C$1)*(A211&gt;Task_table_03_2_26!$J$2:$J$596)*(A211&lt;Task_table_03_2_26!$K$2:$K$596))</f>
        <v>6</v>
      </c>
      <c r="D211" cm="1">
        <f t="array" ref="D211">SUMPRODUCT((Task_table_03_2_26!$C$2:$C$596=$D$1)*(A211&gt;Task_table_03_2_26!$J$2:$J$596)*(A211&lt;Task_table_03_2_26!$K$2:$K$596))</f>
        <v>0</v>
      </c>
      <c r="E211" cm="1">
        <f t="array" ref="E211">SUMPRODUCT((Task_table_03_2_26!$C$2:$C$596=$E$1)*(A211&gt;Task_table_03_2_26!$J$2:$J$596)*(A211&lt;Task_table_03_2_26!$K$2:$K$596))</f>
        <v>6</v>
      </c>
    </row>
    <row r="212" spans="1:5">
      <c r="A212" s="5">
        <v>46080</v>
      </c>
      <c r="B212" cm="1">
        <f t="array" ref="B212">SUMPRODUCT((Task_table_03_2_26!$C$2:$C$596=$B$1)*(A212&gt;Task_table_03_2_26!$J$2:$J$596)*(A212&lt;Task_table_03_2_26!$K$2:$K$596))</f>
        <v>59</v>
      </c>
      <c r="C212" cm="1">
        <f t="array" ref="C212">SUMPRODUCT((Task_table_03_2_26!$C$2:$C$596=$C$1)*(A212&gt;Task_table_03_2_26!$J$2:$J$596)*(A212&lt;Task_table_03_2_26!$K$2:$K$596))</f>
        <v>6</v>
      </c>
      <c r="D212" cm="1">
        <f t="array" ref="D212">SUMPRODUCT((Task_table_03_2_26!$C$2:$C$596=$D$1)*(A212&gt;Task_table_03_2_26!$J$2:$J$596)*(A212&lt;Task_table_03_2_26!$K$2:$K$596))</f>
        <v>0</v>
      </c>
      <c r="E212" cm="1">
        <f t="array" ref="E212">SUMPRODUCT((Task_table_03_2_26!$C$2:$C$596=$E$1)*(A212&gt;Task_table_03_2_26!$J$2:$J$596)*(A212&lt;Task_table_03_2_26!$K$2:$K$596))</f>
        <v>6</v>
      </c>
    </row>
    <row r="213" spans="1:5">
      <c r="A213" s="5">
        <v>46081</v>
      </c>
      <c r="B213" cm="1">
        <f t="array" ref="B213">SUMPRODUCT((Task_table_03_2_26!$C$2:$C$596=$B$1)*(A213&gt;Task_table_03_2_26!$J$2:$J$596)*(A213&lt;Task_table_03_2_26!$K$2:$K$596))</f>
        <v>57</v>
      </c>
      <c r="C213" cm="1">
        <f t="array" ref="C213">SUMPRODUCT((Task_table_03_2_26!$C$2:$C$596=$C$1)*(A213&gt;Task_table_03_2_26!$J$2:$J$596)*(A213&lt;Task_table_03_2_26!$K$2:$K$596))</f>
        <v>2</v>
      </c>
      <c r="D213" cm="1">
        <f t="array" ref="D213">SUMPRODUCT((Task_table_03_2_26!$C$2:$C$596=$D$1)*(A213&gt;Task_table_03_2_26!$J$2:$J$596)*(A213&lt;Task_table_03_2_26!$K$2:$K$596))</f>
        <v>0</v>
      </c>
      <c r="E213" cm="1">
        <f t="array" ref="E213">SUMPRODUCT((Task_table_03_2_26!$C$2:$C$596=$E$1)*(A213&gt;Task_table_03_2_26!$J$2:$J$596)*(A213&lt;Task_table_03_2_26!$K$2:$K$596))</f>
        <v>6</v>
      </c>
    </row>
    <row r="214" spans="1:5">
      <c r="A214" s="5">
        <v>46082</v>
      </c>
      <c r="B214" cm="1">
        <f t="array" ref="B214">SUMPRODUCT((Task_table_03_2_26!$C$2:$C$596=$B$1)*(A214&gt;Task_table_03_2_26!$J$2:$J$596)*(A214&lt;Task_table_03_2_26!$K$2:$K$596))</f>
        <v>57</v>
      </c>
      <c r="C214" cm="1">
        <f t="array" ref="C214">SUMPRODUCT((Task_table_03_2_26!$C$2:$C$596=$C$1)*(A214&gt;Task_table_03_2_26!$J$2:$J$596)*(A214&lt;Task_table_03_2_26!$K$2:$K$596))</f>
        <v>2</v>
      </c>
      <c r="D214" cm="1">
        <f t="array" ref="D214">SUMPRODUCT((Task_table_03_2_26!$C$2:$C$596=$D$1)*(A214&gt;Task_table_03_2_26!$J$2:$J$596)*(A214&lt;Task_table_03_2_26!$K$2:$K$596))</f>
        <v>0</v>
      </c>
      <c r="E214" cm="1">
        <f t="array" ref="E214">SUMPRODUCT((Task_table_03_2_26!$C$2:$C$596=$E$1)*(A214&gt;Task_table_03_2_26!$J$2:$J$596)*(A214&lt;Task_table_03_2_26!$K$2:$K$596))</f>
        <v>6</v>
      </c>
    </row>
    <row r="215" spans="1:5">
      <c r="A215" s="5">
        <v>46083</v>
      </c>
      <c r="B215" cm="1">
        <f t="array" ref="B215">SUMPRODUCT((Task_table_03_2_26!$C$2:$C$596=$B$1)*(A215&gt;Task_table_03_2_26!$J$2:$J$596)*(A215&lt;Task_table_03_2_26!$K$2:$K$596))</f>
        <v>57</v>
      </c>
      <c r="C215" cm="1">
        <f t="array" ref="C215">SUMPRODUCT((Task_table_03_2_26!$C$2:$C$596=$C$1)*(A215&gt;Task_table_03_2_26!$J$2:$J$596)*(A215&lt;Task_table_03_2_26!$K$2:$K$596))</f>
        <v>4</v>
      </c>
      <c r="D215" cm="1">
        <f t="array" ref="D215">SUMPRODUCT((Task_table_03_2_26!$C$2:$C$596=$D$1)*(A215&gt;Task_table_03_2_26!$J$2:$J$596)*(A215&lt;Task_table_03_2_26!$K$2:$K$596))</f>
        <v>0</v>
      </c>
      <c r="E215" cm="1">
        <f t="array" ref="E215">SUMPRODUCT((Task_table_03_2_26!$C$2:$C$596=$E$1)*(A215&gt;Task_table_03_2_26!$J$2:$J$596)*(A215&lt;Task_table_03_2_26!$K$2:$K$596))</f>
        <v>6</v>
      </c>
    </row>
    <row r="216" spans="1:5">
      <c r="A216" s="5">
        <v>46084</v>
      </c>
      <c r="B216" cm="1">
        <f t="array" ref="B216">SUMPRODUCT((Task_table_03_2_26!$C$2:$C$596=$B$1)*(A216&gt;Task_table_03_2_26!$J$2:$J$596)*(A216&lt;Task_table_03_2_26!$K$2:$K$596))</f>
        <v>57</v>
      </c>
      <c r="C216" cm="1">
        <f t="array" ref="C216">SUMPRODUCT((Task_table_03_2_26!$C$2:$C$596=$C$1)*(A216&gt;Task_table_03_2_26!$J$2:$J$596)*(A216&lt;Task_table_03_2_26!$K$2:$K$596))</f>
        <v>4</v>
      </c>
      <c r="D216" cm="1">
        <f t="array" ref="D216">SUMPRODUCT((Task_table_03_2_26!$C$2:$C$596=$D$1)*(A216&gt;Task_table_03_2_26!$J$2:$J$596)*(A216&lt;Task_table_03_2_26!$K$2:$K$596))</f>
        <v>0</v>
      </c>
      <c r="E216" cm="1">
        <f t="array" ref="E216">SUMPRODUCT((Task_table_03_2_26!$C$2:$C$596=$E$1)*(A216&gt;Task_table_03_2_26!$J$2:$J$596)*(A216&lt;Task_table_03_2_26!$K$2:$K$596))</f>
        <v>6</v>
      </c>
    </row>
    <row r="217" spans="1:5">
      <c r="A217" s="5">
        <v>46085</v>
      </c>
      <c r="B217" cm="1">
        <f t="array" ref="B217">SUMPRODUCT((Task_table_03_2_26!$C$2:$C$596=$B$1)*(A217&gt;Task_table_03_2_26!$J$2:$J$596)*(A217&lt;Task_table_03_2_26!$K$2:$K$596))</f>
        <v>57</v>
      </c>
      <c r="C217" cm="1">
        <f t="array" ref="C217">SUMPRODUCT((Task_table_03_2_26!$C$2:$C$596=$C$1)*(A217&gt;Task_table_03_2_26!$J$2:$J$596)*(A217&lt;Task_table_03_2_26!$K$2:$K$596))</f>
        <v>4</v>
      </c>
      <c r="D217" cm="1">
        <f t="array" ref="D217">SUMPRODUCT((Task_table_03_2_26!$C$2:$C$596=$D$1)*(A217&gt;Task_table_03_2_26!$J$2:$J$596)*(A217&lt;Task_table_03_2_26!$K$2:$K$596))</f>
        <v>0</v>
      </c>
      <c r="E217" cm="1">
        <f t="array" ref="E217">SUMPRODUCT((Task_table_03_2_26!$C$2:$C$596=$E$1)*(A217&gt;Task_table_03_2_26!$J$2:$J$596)*(A217&lt;Task_table_03_2_26!$K$2:$K$596))</f>
        <v>6</v>
      </c>
    </row>
    <row r="218" spans="1:5">
      <c r="A218" s="5">
        <v>46086</v>
      </c>
      <c r="B218" cm="1">
        <f t="array" ref="B218">SUMPRODUCT((Task_table_03_2_26!$C$2:$C$596=$B$1)*(A218&gt;Task_table_03_2_26!$J$2:$J$596)*(A218&lt;Task_table_03_2_26!$K$2:$K$596))</f>
        <v>57</v>
      </c>
      <c r="C218" cm="1">
        <f t="array" ref="C218">SUMPRODUCT((Task_table_03_2_26!$C$2:$C$596=$C$1)*(A218&gt;Task_table_03_2_26!$J$2:$J$596)*(A218&lt;Task_table_03_2_26!$K$2:$K$596))</f>
        <v>4</v>
      </c>
      <c r="D218" cm="1">
        <f t="array" ref="D218">SUMPRODUCT((Task_table_03_2_26!$C$2:$C$596=$D$1)*(A218&gt;Task_table_03_2_26!$J$2:$J$596)*(A218&lt;Task_table_03_2_26!$K$2:$K$596))</f>
        <v>0</v>
      </c>
      <c r="E218" cm="1">
        <f t="array" ref="E218">SUMPRODUCT((Task_table_03_2_26!$C$2:$C$596=$E$1)*(A218&gt;Task_table_03_2_26!$J$2:$J$596)*(A218&lt;Task_table_03_2_26!$K$2:$K$596))</f>
        <v>6</v>
      </c>
    </row>
    <row r="219" spans="1:5">
      <c r="A219" s="5">
        <v>46087</v>
      </c>
      <c r="B219" cm="1">
        <f t="array" ref="B219">SUMPRODUCT((Task_table_03_2_26!$C$2:$C$596=$B$1)*(A219&gt;Task_table_03_2_26!$J$2:$J$596)*(A219&lt;Task_table_03_2_26!$K$2:$K$596))</f>
        <v>57</v>
      </c>
      <c r="C219" cm="1">
        <f t="array" ref="C219">SUMPRODUCT((Task_table_03_2_26!$C$2:$C$596=$C$1)*(A219&gt;Task_table_03_2_26!$J$2:$J$596)*(A219&lt;Task_table_03_2_26!$K$2:$K$596))</f>
        <v>4</v>
      </c>
      <c r="D219" cm="1">
        <f t="array" ref="D219">SUMPRODUCT((Task_table_03_2_26!$C$2:$C$596=$D$1)*(A219&gt;Task_table_03_2_26!$J$2:$J$596)*(A219&lt;Task_table_03_2_26!$K$2:$K$596))</f>
        <v>0</v>
      </c>
      <c r="E219" cm="1">
        <f t="array" ref="E219">SUMPRODUCT((Task_table_03_2_26!$C$2:$C$596=$E$1)*(A219&gt;Task_table_03_2_26!$J$2:$J$596)*(A219&lt;Task_table_03_2_26!$K$2:$K$596))</f>
        <v>6</v>
      </c>
    </row>
    <row r="220" spans="1:5">
      <c r="A220" s="5">
        <v>46088</v>
      </c>
      <c r="B220" cm="1">
        <f t="array" ref="B220">SUMPRODUCT((Task_table_03_2_26!$C$2:$C$596=$B$1)*(A220&gt;Task_table_03_2_26!$J$2:$J$596)*(A220&lt;Task_table_03_2_26!$K$2:$K$596))</f>
        <v>57</v>
      </c>
      <c r="C220" cm="1">
        <f t="array" ref="C220">SUMPRODUCT((Task_table_03_2_26!$C$2:$C$596=$C$1)*(A220&gt;Task_table_03_2_26!$J$2:$J$596)*(A220&lt;Task_table_03_2_26!$K$2:$K$596))</f>
        <v>4</v>
      </c>
      <c r="D220" cm="1">
        <f t="array" ref="D220">SUMPRODUCT((Task_table_03_2_26!$C$2:$C$596=$D$1)*(A220&gt;Task_table_03_2_26!$J$2:$J$596)*(A220&lt;Task_table_03_2_26!$K$2:$K$596))</f>
        <v>0</v>
      </c>
      <c r="E220" cm="1">
        <f t="array" ref="E220">SUMPRODUCT((Task_table_03_2_26!$C$2:$C$596=$E$1)*(A220&gt;Task_table_03_2_26!$J$2:$J$596)*(A220&lt;Task_table_03_2_26!$K$2:$K$596))</f>
        <v>6</v>
      </c>
    </row>
    <row r="221" spans="1:5">
      <c r="A221" s="5">
        <v>46089</v>
      </c>
      <c r="B221" cm="1">
        <f t="array" ref="B221">SUMPRODUCT((Task_table_03_2_26!$C$2:$C$596=$B$1)*(A221&gt;Task_table_03_2_26!$J$2:$J$596)*(A221&lt;Task_table_03_2_26!$K$2:$K$596))</f>
        <v>57</v>
      </c>
      <c r="C221" cm="1">
        <f t="array" ref="C221">SUMPRODUCT((Task_table_03_2_26!$C$2:$C$596=$C$1)*(A221&gt;Task_table_03_2_26!$J$2:$J$596)*(A221&lt;Task_table_03_2_26!$K$2:$K$596))</f>
        <v>4</v>
      </c>
      <c r="D221" cm="1">
        <f t="array" ref="D221">SUMPRODUCT((Task_table_03_2_26!$C$2:$C$596=$D$1)*(A221&gt;Task_table_03_2_26!$J$2:$J$596)*(A221&lt;Task_table_03_2_26!$K$2:$K$596))</f>
        <v>0</v>
      </c>
      <c r="E221" cm="1">
        <f t="array" ref="E221">SUMPRODUCT((Task_table_03_2_26!$C$2:$C$596=$E$1)*(A221&gt;Task_table_03_2_26!$J$2:$J$596)*(A221&lt;Task_table_03_2_26!$K$2:$K$596))</f>
        <v>6</v>
      </c>
    </row>
    <row r="222" spans="1:5">
      <c r="A222" s="5">
        <v>46090</v>
      </c>
      <c r="B222" cm="1">
        <f t="array" ref="B222">SUMPRODUCT((Task_table_03_2_26!$C$2:$C$596=$B$1)*(A222&gt;Task_table_03_2_26!$J$2:$J$596)*(A222&lt;Task_table_03_2_26!$K$2:$K$596))</f>
        <v>57</v>
      </c>
      <c r="C222" cm="1">
        <f t="array" ref="C222">SUMPRODUCT((Task_table_03_2_26!$C$2:$C$596=$C$1)*(A222&gt;Task_table_03_2_26!$J$2:$J$596)*(A222&lt;Task_table_03_2_26!$K$2:$K$596))</f>
        <v>4</v>
      </c>
      <c r="D222" cm="1">
        <f t="array" ref="D222">SUMPRODUCT((Task_table_03_2_26!$C$2:$C$596=$D$1)*(A222&gt;Task_table_03_2_26!$J$2:$J$596)*(A222&lt;Task_table_03_2_26!$K$2:$K$596))</f>
        <v>0</v>
      </c>
      <c r="E222" cm="1">
        <f t="array" ref="E222">SUMPRODUCT((Task_table_03_2_26!$C$2:$C$596=$E$1)*(A222&gt;Task_table_03_2_26!$J$2:$J$596)*(A222&lt;Task_table_03_2_26!$K$2:$K$596))</f>
        <v>6</v>
      </c>
    </row>
    <row r="223" spans="1:5">
      <c r="A223" s="5">
        <v>46091</v>
      </c>
      <c r="B223" cm="1">
        <f t="array" ref="B223">SUMPRODUCT((Task_table_03_2_26!$C$2:$C$596=$B$1)*(A223&gt;Task_table_03_2_26!$J$2:$J$596)*(A223&lt;Task_table_03_2_26!$K$2:$K$596))</f>
        <v>57</v>
      </c>
      <c r="C223" cm="1">
        <f t="array" ref="C223">SUMPRODUCT((Task_table_03_2_26!$C$2:$C$596=$C$1)*(A223&gt;Task_table_03_2_26!$J$2:$J$596)*(A223&lt;Task_table_03_2_26!$K$2:$K$596))</f>
        <v>4</v>
      </c>
      <c r="D223" cm="1">
        <f t="array" ref="D223">SUMPRODUCT((Task_table_03_2_26!$C$2:$C$596=$D$1)*(A223&gt;Task_table_03_2_26!$J$2:$J$596)*(A223&lt;Task_table_03_2_26!$K$2:$K$596))</f>
        <v>0</v>
      </c>
      <c r="E223" cm="1">
        <f t="array" ref="E223">SUMPRODUCT((Task_table_03_2_26!$C$2:$C$596=$E$1)*(A223&gt;Task_table_03_2_26!$J$2:$J$596)*(A223&lt;Task_table_03_2_26!$K$2:$K$596))</f>
        <v>6</v>
      </c>
    </row>
    <row r="224" spans="1:5">
      <c r="A224" s="5">
        <v>46092</v>
      </c>
      <c r="B224" cm="1">
        <f t="array" ref="B224">SUMPRODUCT((Task_table_03_2_26!$C$2:$C$596=$B$1)*(A224&gt;Task_table_03_2_26!$J$2:$J$596)*(A224&lt;Task_table_03_2_26!$K$2:$K$596))</f>
        <v>57</v>
      </c>
      <c r="C224" cm="1">
        <f t="array" ref="C224">SUMPRODUCT((Task_table_03_2_26!$C$2:$C$596=$C$1)*(A224&gt;Task_table_03_2_26!$J$2:$J$596)*(A224&lt;Task_table_03_2_26!$K$2:$K$596))</f>
        <v>4</v>
      </c>
      <c r="D224" cm="1">
        <f t="array" ref="D224">SUMPRODUCT((Task_table_03_2_26!$C$2:$C$596=$D$1)*(A224&gt;Task_table_03_2_26!$J$2:$J$596)*(A224&lt;Task_table_03_2_26!$K$2:$K$596))</f>
        <v>0</v>
      </c>
      <c r="E224" cm="1">
        <f t="array" ref="E224">SUMPRODUCT((Task_table_03_2_26!$C$2:$C$596=$E$1)*(A224&gt;Task_table_03_2_26!$J$2:$J$596)*(A224&lt;Task_table_03_2_26!$K$2:$K$596))</f>
        <v>6</v>
      </c>
    </row>
    <row r="225" spans="1:5">
      <c r="A225" s="5">
        <v>46093</v>
      </c>
      <c r="B225" cm="1">
        <f t="array" ref="B225">SUMPRODUCT((Task_table_03_2_26!$C$2:$C$596=$B$1)*(A225&gt;Task_table_03_2_26!$J$2:$J$596)*(A225&lt;Task_table_03_2_26!$K$2:$K$596))</f>
        <v>57</v>
      </c>
      <c r="C225" cm="1">
        <f t="array" ref="C225">SUMPRODUCT((Task_table_03_2_26!$C$2:$C$596=$C$1)*(A225&gt;Task_table_03_2_26!$J$2:$J$596)*(A225&lt;Task_table_03_2_26!$K$2:$K$596))</f>
        <v>4</v>
      </c>
      <c r="D225" cm="1">
        <f t="array" ref="D225">SUMPRODUCT((Task_table_03_2_26!$C$2:$C$596=$D$1)*(A225&gt;Task_table_03_2_26!$J$2:$J$596)*(A225&lt;Task_table_03_2_26!$K$2:$K$596))</f>
        <v>0</v>
      </c>
      <c r="E225" cm="1">
        <f t="array" ref="E225">SUMPRODUCT((Task_table_03_2_26!$C$2:$C$596=$E$1)*(A225&gt;Task_table_03_2_26!$J$2:$J$596)*(A225&lt;Task_table_03_2_26!$K$2:$K$596))</f>
        <v>6</v>
      </c>
    </row>
    <row r="226" spans="1:5">
      <c r="A226" s="5">
        <v>46094</v>
      </c>
      <c r="B226" cm="1">
        <f t="array" ref="B226">SUMPRODUCT((Task_table_03_2_26!$C$2:$C$596=$B$1)*(A226&gt;Task_table_03_2_26!$J$2:$J$596)*(A226&lt;Task_table_03_2_26!$K$2:$K$596))</f>
        <v>56</v>
      </c>
      <c r="C226" cm="1">
        <f t="array" ref="C226">SUMPRODUCT((Task_table_03_2_26!$C$2:$C$596=$C$1)*(A226&gt;Task_table_03_2_26!$J$2:$J$596)*(A226&lt;Task_table_03_2_26!$K$2:$K$596))</f>
        <v>4</v>
      </c>
      <c r="D226" cm="1">
        <f t="array" ref="D226">SUMPRODUCT((Task_table_03_2_26!$C$2:$C$596=$D$1)*(A226&gt;Task_table_03_2_26!$J$2:$J$596)*(A226&lt;Task_table_03_2_26!$K$2:$K$596))</f>
        <v>0</v>
      </c>
      <c r="E226" cm="1">
        <f t="array" ref="E226">SUMPRODUCT((Task_table_03_2_26!$C$2:$C$596=$E$1)*(A226&gt;Task_table_03_2_26!$J$2:$J$596)*(A226&lt;Task_table_03_2_26!$K$2:$K$596))</f>
        <v>6</v>
      </c>
    </row>
    <row r="227" spans="1:5">
      <c r="A227" s="5">
        <v>46095</v>
      </c>
      <c r="B227" cm="1">
        <f t="array" ref="B227">SUMPRODUCT((Task_table_03_2_26!$C$2:$C$596=$B$1)*(A227&gt;Task_table_03_2_26!$J$2:$J$596)*(A227&lt;Task_table_03_2_26!$K$2:$K$596))</f>
        <v>56</v>
      </c>
      <c r="C227" cm="1">
        <f t="array" ref="C227">SUMPRODUCT((Task_table_03_2_26!$C$2:$C$596=$C$1)*(A227&gt;Task_table_03_2_26!$J$2:$J$596)*(A227&lt;Task_table_03_2_26!$K$2:$K$596))</f>
        <v>4</v>
      </c>
      <c r="D227" cm="1">
        <f t="array" ref="D227">SUMPRODUCT((Task_table_03_2_26!$C$2:$C$596=$D$1)*(A227&gt;Task_table_03_2_26!$J$2:$J$596)*(A227&lt;Task_table_03_2_26!$K$2:$K$596))</f>
        <v>0</v>
      </c>
      <c r="E227" cm="1">
        <f t="array" ref="E227">SUMPRODUCT((Task_table_03_2_26!$C$2:$C$596=$E$1)*(A227&gt;Task_table_03_2_26!$J$2:$J$596)*(A227&lt;Task_table_03_2_26!$K$2:$K$596))</f>
        <v>6</v>
      </c>
    </row>
    <row r="228" spans="1:5">
      <c r="A228" s="5">
        <v>46096</v>
      </c>
      <c r="B228" cm="1">
        <f t="array" ref="B228">SUMPRODUCT((Task_table_03_2_26!$C$2:$C$596=$B$1)*(A228&gt;Task_table_03_2_26!$J$2:$J$596)*(A228&lt;Task_table_03_2_26!$K$2:$K$596))</f>
        <v>56</v>
      </c>
      <c r="C228" cm="1">
        <f t="array" ref="C228">SUMPRODUCT((Task_table_03_2_26!$C$2:$C$596=$C$1)*(A228&gt;Task_table_03_2_26!$J$2:$J$596)*(A228&lt;Task_table_03_2_26!$K$2:$K$596))</f>
        <v>4</v>
      </c>
      <c r="D228" cm="1">
        <f t="array" ref="D228">SUMPRODUCT((Task_table_03_2_26!$C$2:$C$596=$D$1)*(A228&gt;Task_table_03_2_26!$J$2:$J$596)*(A228&lt;Task_table_03_2_26!$K$2:$K$596))</f>
        <v>0</v>
      </c>
      <c r="E228" cm="1">
        <f t="array" ref="E228">SUMPRODUCT((Task_table_03_2_26!$C$2:$C$596=$E$1)*(A228&gt;Task_table_03_2_26!$J$2:$J$596)*(A228&lt;Task_table_03_2_26!$K$2:$K$596))</f>
        <v>6</v>
      </c>
    </row>
    <row r="229" spans="1:5">
      <c r="A229" s="5">
        <v>46097</v>
      </c>
      <c r="B229" cm="1">
        <f t="array" ref="B229">SUMPRODUCT((Task_table_03_2_26!$C$2:$C$596=$B$1)*(A229&gt;Task_table_03_2_26!$J$2:$J$596)*(A229&lt;Task_table_03_2_26!$K$2:$K$596))</f>
        <v>55</v>
      </c>
      <c r="C229" cm="1">
        <f t="array" ref="C229">SUMPRODUCT((Task_table_03_2_26!$C$2:$C$596=$C$1)*(A229&gt;Task_table_03_2_26!$J$2:$J$596)*(A229&lt;Task_table_03_2_26!$K$2:$K$596))</f>
        <v>4</v>
      </c>
      <c r="D229" cm="1">
        <f t="array" ref="D229">SUMPRODUCT((Task_table_03_2_26!$C$2:$C$596=$D$1)*(A229&gt;Task_table_03_2_26!$J$2:$J$596)*(A229&lt;Task_table_03_2_26!$K$2:$K$596))</f>
        <v>0</v>
      </c>
      <c r="E229" cm="1">
        <f t="array" ref="E229">SUMPRODUCT((Task_table_03_2_26!$C$2:$C$596=$E$1)*(A229&gt;Task_table_03_2_26!$J$2:$J$596)*(A229&lt;Task_table_03_2_26!$K$2:$K$596))</f>
        <v>6</v>
      </c>
    </row>
    <row r="230" spans="1:5">
      <c r="A230" s="5">
        <v>46098</v>
      </c>
      <c r="B230" cm="1">
        <f t="array" ref="B230">SUMPRODUCT((Task_table_03_2_26!$C$2:$C$596=$B$1)*(A230&gt;Task_table_03_2_26!$J$2:$J$596)*(A230&lt;Task_table_03_2_26!$K$2:$K$596))</f>
        <v>56</v>
      </c>
      <c r="C230" cm="1">
        <f t="array" ref="C230">SUMPRODUCT((Task_table_03_2_26!$C$2:$C$596=$C$1)*(A230&gt;Task_table_03_2_26!$J$2:$J$596)*(A230&lt;Task_table_03_2_26!$K$2:$K$596))</f>
        <v>4</v>
      </c>
      <c r="D230" cm="1">
        <f t="array" ref="D230">SUMPRODUCT((Task_table_03_2_26!$C$2:$C$596=$D$1)*(A230&gt;Task_table_03_2_26!$J$2:$J$596)*(A230&lt;Task_table_03_2_26!$K$2:$K$596))</f>
        <v>0</v>
      </c>
      <c r="E230" cm="1">
        <f t="array" ref="E230">SUMPRODUCT((Task_table_03_2_26!$C$2:$C$596=$E$1)*(A230&gt;Task_table_03_2_26!$J$2:$J$596)*(A230&lt;Task_table_03_2_26!$K$2:$K$596))</f>
        <v>6</v>
      </c>
    </row>
    <row r="231" spans="1:5">
      <c r="A231" s="5">
        <v>46099</v>
      </c>
      <c r="B231" cm="1">
        <f t="array" ref="B231">SUMPRODUCT((Task_table_03_2_26!$C$2:$C$596=$B$1)*(A231&gt;Task_table_03_2_26!$J$2:$J$596)*(A231&lt;Task_table_03_2_26!$K$2:$K$596))</f>
        <v>55</v>
      </c>
      <c r="C231" cm="1">
        <f t="array" ref="C231">SUMPRODUCT((Task_table_03_2_26!$C$2:$C$596=$C$1)*(A231&gt;Task_table_03_2_26!$J$2:$J$596)*(A231&lt;Task_table_03_2_26!$K$2:$K$596))</f>
        <v>4</v>
      </c>
      <c r="D231" cm="1">
        <f t="array" ref="D231">SUMPRODUCT((Task_table_03_2_26!$C$2:$C$596=$D$1)*(A231&gt;Task_table_03_2_26!$J$2:$J$596)*(A231&lt;Task_table_03_2_26!$K$2:$K$596))</f>
        <v>0</v>
      </c>
      <c r="E231" cm="1">
        <f t="array" ref="E231">SUMPRODUCT((Task_table_03_2_26!$C$2:$C$596=$E$1)*(A231&gt;Task_table_03_2_26!$J$2:$J$596)*(A231&lt;Task_table_03_2_26!$K$2:$K$596))</f>
        <v>6</v>
      </c>
    </row>
    <row r="232" spans="1:5">
      <c r="A232" s="5">
        <v>46100</v>
      </c>
      <c r="B232" cm="1">
        <f t="array" ref="B232">SUMPRODUCT((Task_table_03_2_26!$C$2:$C$596=$B$1)*(A232&gt;Task_table_03_2_26!$J$2:$J$596)*(A232&lt;Task_table_03_2_26!$K$2:$K$596))</f>
        <v>52</v>
      </c>
      <c r="C232" cm="1">
        <f t="array" ref="C232">SUMPRODUCT((Task_table_03_2_26!$C$2:$C$596=$C$1)*(A232&gt;Task_table_03_2_26!$J$2:$J$596)*(A232&lt;Task_table_03_2_26!$K$2:$K$596))</f>
        <v>4</v>
      </c>
      <c r="D232" cm="1">
        <f t="array" ref="D232">SUMPRODUCT((Task_table_03_2_26!$C$2:$C$596=$D$1)*(A232&gt;Task_table_03_2_26!$J$2:$J$596)*(A232&lt;Task_table_03_2_26!$K$2:$K$596))</f>
        <v>0</v>
      </c>
      <c r="E232" cm="1">
        <f t="array" ref="E232">SUMPRODUCT((Task_table_03_2_26!$C$2:$C$596=$E$1)*(A232&gt;Task_table_03_2_26!$J$2:$J$596)*(A232&lt;Task_table_03_2_26!$K$2:$K$596))</f>
        <v>6</v>
      </c>
    </row>
    <row r="233" spans="1:5">
      <c r="A233" s="5">
        <v>46101</v>
      </c>
      <c r="B233" cm="1">
        <f t="array" ref="B233">SUMPRODUCT((Task_table_03_2_26!$C$2:$C$596=$B$1)*(A233&gt;Task_table_03_2_26!$J$2:$J$596)*(A233&lt;Task_table_03_2_26!$K$2:$K$596))</f>
        <v>52</v>
      </c>
      <c r="C233" cm="1">
        <f t="array" ref="C233">SUMPRODUCT((Task_table_03_2_26!$C$2:$C$596=$C$1)*(A233&gt;Task_table_03_2_26!$J$2:$J$596)*(A233&lt;Task_table_03_2_26!$K$2:$K$596))</f>
        <v>4</v>
      </c>
      <c r="D233" cm="1">
        <f t="array" ref="D233">SUMPRODUCT((Task_table_03_2_26!$C$2:$C$596=$D$1)*(A233&gt;Task_table_03_2_26!$J$2:$J$596)*(A233&lt;Task_table_03_2_26!$K$2:$K$596))</f>
        <v>0</v>
      </c>
      <c r="E233" cm="1">
        <f t="array" ref="E233">SUMPRODUCT((Task_table_03_2_26!$C$2:$C$596=$E$1)*(A233&gt;Task_table_03_2_26!$J$2:$J$596)*(A233&lt;Task_table_03_2_26!$K$2:$K$596))</f>
        <v>6</v>
      </c>
    </row>
    <row r="234" spans="1:5">
      <c r="A234" s="5">
        <v>46102</v>
      </c>
      <c r="B234" cm="1">
        <f t="array" ref="B234">SUMPRODUCT((Task_table_03_2_26!$C$2:$C$596=$B$1)*(A234&gt;Task_table_03_2_26!$J$2:$J$596)*(A234&lt;Task_table_03_2_26!$K$2:$K$596))</f>
        <v>52</v>
      </c>
      <c r="C234" cm="1">
        <f t="array" ref="C234">SUMPRODUCT((Task_table_03_2_26!$C$2:$C$596=$C$1)*(A234&gt;Task_table_03_2_26!$J$2:$J$596)*(A234&lt;Task_table_03_2_26!$K$2:$K$596))</f>
        <v>4</v>
      </c>
      <c r="D234" cm="1">
        <f t="array" ref="D234">SUMPRODUCT((Task_table_03_2_26!$C$2:$C$596=$D$1)*(A234&gt;Task_table_03_2_26!$J$2:$J$596)*(A234&lt;Task_table_03_2_26!$K$2:$K$596))</f>
        <v>0</v>
      </c>
      <c r="E234" cm="1">
        <f t="array" ref="E234">SUMPRODUCT((Task_table_03_2_26!$C$2:$C$596=$E$1)*(A234&gt;Task_table_03_2_26!$J$2:$J$596)*(A234&lt;Task_table_03_2_26!$K$2:$K$596))</f>
        <v>6</v>
      </c>
    </row>
    <row r="235" spans="1:5">
      <c r="A235" s="5">
        <v>46103</v>
      </c>
      <c r="B235" cm="1">
        <f t="array" ref="B235">SUMPRODUCT((Task_table_03_2_26!$C$2:$C$596=$B$1)*(A235&gt;Task_table_03_2_26!$J$2:$J$596)*(A235&lt;Task_table_03_2_26!$K$2:$K$596))</f>
        <v>52</v>
      </c>
      <c r="C235" cm="1">
        <f t="array" ref="C235">SUMPRODUCT((Task_table_03_2_26!$C$2:$C$596=$C$1)*(A235&gt;Task_table_03_2_26!$J$2:$J$596)*(A235&lt;Task_table_03_2_26!$K$2:$K$596))</f>
        <v>4</v>
      </c>
      <c r="D235" cm="1">
        <f t="array" ref="D235">SUMPRODUCT((Task_table_03_2_26!$C$2:$C$596=$D$1)*(A235&gt;Task_table_03_2_26!$J$2:$J$596)*(A235&lt;Task_table_03_2_26!$K$2:$K$596))</f>
        <v>0</v>
      </c>
      <c r="E235" cm="1">
        <f t="array" ref="E235">SUMPRODUCT((Task_table_03_2_26!$C$2:$C$596=$E$1)*(A235&gt;Task_table_03_2_26!$J$2:$J$596)*(A235&lt;Task_table_03_2_26!$K$2:$K$596))</f>
        <v>6</v>
      </c>
    </row>
    <row r="236" spans="1:5">
      <c r="A236" s="5">
        <v>46104</v>
      </c>
      <c r="B236" cm="1">
        <f t="array" ref="B236">SUMPRODUCT((Task_table_03_2_26!$C$2:$C$596=$B$1)*(A236&gt;Task_table_03_2_26!$J$2:$J$596)*(A236&lt;Task_table_03_2_26!$K$2:$K$596))</f>
        <v>52</v>
      </c>
      <c r="C236" cm="1">
        <f t="array" ref="C236">SUMPRODUCT((Task_table_03_2_26!$C$2:$C$596=$C$1)*(A236&gt;Task_table_03_2_26!$J$2:$J$596)*(A236&lt;Task_table_03_2_26!$K$2:$K$596))</f>
        <v>4</v>
      </c>
      <c r="D236" cm="1">
        <f t="array" ref="D236">SUMPRODUCT((Task_table_03_2_26!$C$2:$C$596=$D$1)*(A236&gt;Task_table_03_2_26!$J$2:$J$596)*(A236&lt;Task_table_03_2_26!$K$2:$K$596))</f>
        <v>0</v>
      </c>
      <c r="E236" cm="1">
        <f t="array" ref="E236">SUMPRODUCT((Task_table_03_2_26!$C$2:$C$596=$E$1)*(A236&gt;Task_table_03_2_26!$J$2:$J$596)*(A236&lt;Task_table_03_2_26!$K$2:$K$596))</f>
        <v>6</v>
      </c>
    </row>
    <row r="237" spans="1:5">
      <c r="A237" s="5">
        <v>46105</v>
      </c>
      <c r="B237" cm="1">
        <f t="array" ref="B237">SUMPRODUCT((Task_table_03_2_26!$C$2:$C$596=$B$1)*(A237&gt;Task_table_03_2_26!$J$2:$J$596)*(A237&lt;Task_table_03_2_26!$K$2:$K$596))</f>
        <v>52</v>
      </c>
      <c r="C237" cm="1">
        <f t="array" ref="C237">SUMPRODUCT((Task_table_03_2_26!$C$2:$C$596=$C$1)*(A237&gt;Task_table_03_2_26!$J$2:$J$596)*(A237&lt;Task_table_03_2_26!$K$2:$K$596))</f>
        <v>4</v>
      </c>
      <c r="D237" cm="1">
        <f t="array" ref="D237">SUMPRODUCT((Task_table_03_2_26!$C$2:$C$596=$D$1)*(A237&gt;Task_table_03_2_26!$J$2:$J$596)*(A237&lt;Task_table_03_2_26!$K$2:$K$596))</f>
        <v>0</v>
      </c>
      <c r="E237" cm="1">
        <f t="array" ref="E237">SUMPRODUCT((Task_table_03_2_26!$C$2:$C$596=$E$1)*(A237&gt;Task_table_03_2_26!$J$2:$J$596)*(A237&lt;Task_table_03_2_26!$K$2:$K$596))</f>
        <v>6</v>
      </c>
    </row>
    <row r="238" spans="1:5">
      <c r="A238" s="5">
        <v>46106</v>
      </c>
      <c r="B238" cm="1">
        <f t="array" ref="B238">SUMPRODUCT((Task_table_03_2_26!$C$2:$C$596=$B$1)*(A238&gt;Task_table_03_2_26!$J$2:$J$596)*(A238&lt;Task_table_03_2_26!$K$2:$K$596))</f>
        <v>52</v>
      </c>
      <c r="C238" cm="1">
        <f t="array" ref="C238">SUMPRODUCT((Task_table_03_2_26!$C$2:$C$596=$C$1)*(A238&gt;Task_table_03_2_26!$J$2:$J$596)*(A238&lt;Task_table_03_2_26!$K$2:$K$596))</f>
        <v>4</v>
      </c>
      <c r="D238" cm="1">
        <f t="array" ref="D238">SUMPRODUCT((Task_table_03_2_26!$C$2:$C$596=$D$1)*(A238&gt;Task_table_03_2_26!$J$2:$J$596)*(A238&lt;Task_table_03_2_26!$K$2:$K$596))</f>
        <v>0</v>
      </c>
      <c r="E238" cm="1">
        <f t="array" ref="E238">SUMPRODUCT((Task_table_03_2_26!$C$2:$C$596=$E$1)*(A238&gt;Task_table_03_2_26!$J$2:$J$596)*(A238&lt;Task_table_03_2_26!$K$2:$K$596))</f>
        <v>6</v>
      </c>
    </row>
    <row r="239" spans="1:5">
      <c r="A239" s="5">
        <v>46107</v>
      </c>
      <c r="B239" cm="1">
        <f t="array" ref="B239">SUMPRODUCT((Task_table_03_2_26!$C$2:$C$596=$B$1)*(A239&gt;Task_table_03_2_26!$J$2:$J$596)*(A239&lt;Task_table_03_2_26!$K$2:$K$596))</f>
        <v>52</v>
      </c>
      <c r="C239" cm="1">
        <f t="array" ref="C239">SUMPRODUCT((Task_table_03_2_26!$C$2:$C$596=$C$1)*(A239&gt;Task_table_03_2_26!$J$2:$J$596)*(A239&lt;Task_table_03_2_26!$K$2:$K$596))</f>
        <v>4</v>
      </c>
      <c r="D239" cm="1">
        <f t="array" ref="D239">SUMPRODUCT((Task_table_03_2_26!$C$2:$C$596=$D$1)*(A239&gt;Task_table_03_2_26!$J$2:$J$596)*(A239&lt;Task_table_03_2_26!$K$2:$K$596))</f>
        <v>0</v>
      </c>
      <c r="E239" cm="1">
        <f t="array" ref="E239">SUMPRODUCT((Task_table_03_2_26!$C$2:$C$596=$E$1)*(A239&gt;Task_table_03_2_26!$J$2:$J$596)*(A239&lt;Task_table_03_2_26!$K$2:$K$596))</f>
        <v>6</v>
      </c>
    </row>
    <row r="240" spans="1:5">
      <c r="A240" s="5">
        <v>46108</v>
      </c>
      <c r="B240" cm="1">
        <f t="array" ref="B240">SUMPRODUCT((Task_table_03_2_26!$C$2:$C$596=$B$1)*(A240&gt;Task_table_03_2_26!$J$2:$J$596)*(A240&lt;Task_table_03_2_26!$K$2:$K$596))</f>
        <v>52</v>
      </c>
      <c r="C240" cm="1">
        <f t="array" ref="C240">SUMPRODUCT((Task_table_03_2_26!$C$2:$C$596=$C$1)*(A240&gt;Task_table_03_2_26!$J$2:$J$596)*(A240&lt;Task_table_03_2_26!$K$2:$K$596))</f>
        <v>4</v>
      </c>
      <c r="D240" cm="1">
        <f t="array" ref="D240">SUMPRODUCT((Task_table_03_2_26!$C$2:$C$596=$D$1)*(A240&gt;Task_table_03_2_26!$J$2:$J$596)*(A240&lt;Task_table_03_2_26!$K$2:$K$596))</f>
        <v>0</v>
      </c>
      <c r="E240" cm="1">
        <f t="array" ref="E240">SUMPRODUCT((Task_table_03_2_26!$C$2:$C$596=$E$1)*(A240&gt;Task_table_03_2_26!$J$2:$J$596)*(A240&lt;Task_table_03_2_26!$K$2:$K$596))</f>
        <v>6</v>
      </c>
    </row>
    <row r="241" spans="1:5">
      <c r="A241" s="5">
        <v>46109</v>
      </c>
      <c r="B241" cm="1">
        <f t="array" ref="B241">SUMPRODUCT((Task_table_03_2_26!$C$2:$C$596=$B$1)*(A241&gt;Task_table_03_2_26!$J$2:$J$596)*(A241&lt;Task_table_03_2_26!$K$2:$K$596))</f>
        <v>52</v>
      </c>
      <c r="C241" cm="1">
        <f t="array" ref="C241">SUMPRODUCT((Task_table_03_2_26!$C$2:$C$596=$C$1)*(A241&gt;Task_table_03_2_26!$J$2:$J$596)*(A241&lt;Task_table_03_2_26!$K$2:$K$596))</f>
        <v>4</v>
      </c>
      <c r="D241" cm="1">
        <f t="array" ref="D241">SUMPRODUCT((Task_table_03_2_26!$C$2:$C$596=$D$1)*(A241&gt;Task_table_03_2_26!$J$2:$J$596)*(A241&lt;Task_table_03_2_26!$K$2:$K$596))</f>
        <v>0</v>
      </c>
      <c r="E241" cm="1">
        <f t="array" ref="E241">SUMPRODUCT((Task_table_03_2_26!$C$2:$C$596=$E$1)*(A241&gt;Task_table_03_2_26!$J$2:$J$596)*(A241&lt;Task_table_03_2_26!$K$2:$K$596))</f>
        <v>6</v>
      </c>
    </row>
    <row r="242" spans="1:5">
      <c r="A242" s="5">
        <v>46110</v>
      </c>
      <c r="B242" cm="1">
        <f t="array" ref="B242">SUMPRODUCT((Task_table_03_2_26!$C$2:$C$596=$B$1)*(A242&gt;Task_table_03_2_26!$J$2:$J$596)*(A242&lt;Task_table_03_2_26!$K$2:$K$596))</f>
        <v>52</v>
      </c>
      <c r="C242" cm="1">
        <f t="array" ref="C242">SUMPRODUCT((Task_table_03_2_26!$C$2:$C$596=$C$1)*(A242&gt;Task_table_03_2_26!$J$2:$J$596)*(A242&lt;Task_table_03_2_26!$K$2:$K$596))</f>
        <v>4</v>
      </c>
      <c r="D242" cm="1">
        <f t="array" ref="D242">SUMPRODUCT((Task_table_03_2_26!$C$2:$C$596=$D$1)*(A242&gt;Task_table_03_2_26!$J$2:$J$596)*(A242&lt;Task_table_03_2_26!$K$2:$K$596))</f>
        <v>0</v>
      </c>
      <c r="E242" cm="1">
        <f t="array" ref="E242">SUMPRODUCT((Task_table_03_2_26!$C$2:$C$596=$E$1)*(A242&gt;Task_table_03_2_26!$J$2:$J$596)*(A242&lt;Task_table_03_2_26!$K$2:$K$596))</f>
        <v>6</v>
      </c>
    </row>
    <row r="243" spans="1:5">
      <c r="A243" s="5">
        <v>46111</v>
      </c>
      <c r="B243" cm="1">
        <f t="array" ref="B243">SUMPRODUCT((Task_table_03_2_26!$C$2:$C$596=$B$1)*(A243&gt;Task_table_03_2_26!$J$2:$J$596)*(A243&lt;Task_table_03_2_26!$K$2:$K$596))</f>
        <v>51</v>
      </c>
      <c r="C243" cm="1">
        <f t="array" ref="C243">SUMPRODUCT((Task_table_03_2_26!$C$2:$C$596=$C$1)*(A243&gt;Task_table_03_2_26!$J$2:$J$596)*(A243&lt;Task_table_03_2_26!$K$2:$K$596))</f>
        <v>4</v>
      </c>
      <c r="D243" cm="1">
        <f t="array" ref="D243">SUMPRODUCT((Task_table_03_2_26!$C$2:$C$596=$D$1)*(A243&gt;Task_table_03_2_26!$J$2:$J$596)*(A243&lt;Task_table_03_2_26!$K$2:$K$596))</f>
        <v>0</v>
      </c>
      <c r="E243" cm="1">
        <f t="array" ref="E243">SUMPRODUCT((Task_table_03_2_26!$C$2:$C$596=$E$1)*(A243&gt;Task_table_03_2_26!$J$2:$J$596)*(A243&lt;Task_table_03_2_26!$K$2:$K$596))</f>
        <v>6</v>
      </c>
    </row>
    <row r="244" spans="1:5">
      <c r="A244" s="5">
        <v>46112</v>
      </c>
      <c r="B244" cm="1">
        <f t="array" ref="B244">SUMPRODUCT((Task_table_03_2_26!$C$2:$C$596=$B$1)*(A244&gt;Task_table_03_2_26!$J$2:$J$596)*(A244&lt;Task_table_03_2_26!$K$2:$K$596))</f>
        <v>50</v>
      </c>
      <c r="C244" cm="1">
        <f t="array" ref="C244">SUMPRODUCT((Task_table_03_2_26!$C$2:$C$596=$C$1)*(A244&gt;Task_table_03_2_26!$J$2:$J$596)*(A244&lt;Task_table_03_2_26!$K$2:$K$596))</f>
        <v>4</v>
      </c>
      <c r="D244" cm="1">
        <f t="array" ref="D244">SUMPRODUCT((Task_table_03_2_26!$C$2:$C$596=$D$1)*(A244&gt;Task_table_03_2_26!$J$2:$J$596)*(A244&lt;Task_table_03_2_26!$K$2:$K$596))</f>
        <v>0</v>
      </c>
      <c r="E244" cm="1">
        <f t="array" ref="E244">SUMPRODUCT((Task_table_03_2_26!$C$2:$C$596=$E$1)*(A244&gt;Task_table_03_2_26!$J$2:$J$596)*(A244&lt;Task_table_03_2_26!$K$2:$K$596))</f>
        <v>2</v>
      </c>
    </row>
    <row r="245" spans="1:5">
      <c r="A245" s="5">
        <v>46113</v>
      </c>
      <c r="B245" cm="1">
        <f t="array" ref="B245">SUMPRODUCT((Task_table_03_2_26!$C$2:$C$596=$B$1)*(A245&gt;Task_table_03_2_26!$J$2:$J$596)*(A245&lt;Task_table_03_2_26!$K$2:$K$596))</f>
        <v>50</v>
      </c>
      <c r="C245" cm="1">
        <f t="array" ref="C245">SUMPRODUCT((Task_table_03_2_26!$C$2:$C$596=$C$1)*(A245&gt;Task_table_03_2_26!$J$2:$J$596)*(A245&lt;Task_table_03_2_26!$K$2:$K$596))</f>
        <v>4</v>
      </c>
      <c r="D245" cm="1">
        <f t="array" ref="D245">SUMPRODUCT((Task_table_03_2_26!$C$2:$C$596=$D$1)*(A245&gt;Task_table_03_2_26!$J$2:$J$596)*(A245&lt;Task_table_03_2_26!$K$2:$K$596))</f>
        <v>0</v>
      </c>
      <c r="E245" cm="1">
        <f t="array" ref="E245">SUMPRODUCT((Task_table_03_2_26!$C$2:$C$596=$E$1)*(A245&gt;Task_table_03_2_26!$J$2:$J$596)*(A245&lt;Task_table_03_2_26!$K$2:$K$596))</f>
        <v>2</v>
      </c>
    </row>
    <row r="246" spans="1:5">
      <c r="A246" s="5">
        <v>46114</v>
      </c>
      <c r="B246" cm="1">
        <f t="array" ref="B246">SUMPRODUCT((Task_table_03_2_26!$C$2:$C$596=$B$1)*(A246&gt;Task_table_03_2_26!$J$2:$J$596)*(A246&lt;Task_table_03_2_26!$K$2:$K$596))</f>
        <v>54</v>
      </c>
      <c r="C246" cm="1">
        <f t="array" ref="C246">SUMPRODUCT((Task_table_03_2_26!$C$2:$C$596=$C$1)*(A246&gt;Task_table_03_2_26!$J$2:$J$596)*(A246&lt;Task_table_03_2_26!$K$2:$K$596))</f>
        <v>10</v>
      </c>
      <c r="D246" cm="1">
        <f t="array" ref="D246">SUMPRODUCT((Task_table_03_2_26!$C$2:$C$596=$D$1)*(A246&gt;Task_table_03_2_26!$J$2:$J$596)*(A246&lt;Task_table_03_2_26!$K$2:$K$596))</f>
        <v>2</v>
      </c>
      <c r="E246" cm="1">
        <f t="array" ref="E246">SUMPRODUCT((Task_table_03_2_26!$C$2:$C$596=$E$1)*(A246&gt;Task_table_03_2_26!$J$2:$J$596)*(A246&lt;Task_table_03_2_26!$K$2:$K$596))</f>
        <v>5</v>
      </c>
    </row>
    <row r="247" spans="1:5">
      <c r="A247" s="5">
        <v>46115</v>
      </c>
      <c r="B247" cm="1">
        <f t="array" ref="B247">SUMPRODUCT((Task_table_03_2_26!$C$2:$C$596=$B$1)*(A247&gt;Task_table_03_2_26!$J$2:$J$596)*(A247&lt;Task_table_03_2_26!$K$2:$K$596))</f>
        <v>54</v>
      </c>
      <c r="C247" cm="1">
        <f t="array" ref="C247">SUMPRODUCT((Task_table_03_2_26!$C$2:$C$596=$C$1)*(A247&gt;Task_table_03_2_26!$J$2:$J$596)*(A247&lt;Task_table_03_2_26!$K$2:$K$596))</f>
        <v>10</v>
      </c>
      <c r="D247" cm="1">
        <f t="array" ref="D247">SUMPRODUCT((Task_table_03_2_26!$C$2:$C$596=$D$1)*(A247&gt;Task_table_03_2_26!$J$2:$J$596)*(A247&lt;Task_table_03_2_26!$K$2:$K$596))</f>
        <v>2</v>
      </c>
      <c r="E247" cm="1">
        <f t="array" ref="E247">SUMPRODUCT((Task_table_03_2_26!$C$2:$C$596=$E$1)*(A247&gt;Task_table_03_2_26!$J$2:$J$596)*(A247&lt;Task_table_03_2_26!$K$2:$K$596))</f>
        <v>5</v>
      </c>
    </row>
    <row r="248" spans="1:5">
      <c r="A248" s="5">
        <v>46116</v>
      </c>
      <c r="B248" cm="1">
        <f t="array" ref="B248">SUMPRODUCT((Task_table_03_2_26!$C$2:$C$596=$B$1)*(A248&gt;Task_table_03_2_26!$J$2:$J$596)*(A248&lt;Task_table_03_2_26!$K$2:$K$596))</f>
        <v>54</v>
      </c>
      <c r="C248" cm="1">
        <f t="array" ref="C248">SUMPRODUCT((Task_table_03_2_26!$C$2:$C$596=$C$1)*(A248&gt;Task_table_03_2_26!$J$2:$J$596)*(A248&lt;Task_table_03_2_26!$K$2:$K$596))</f>
        <v>10</v>
      </c>
      <c r="D248" cm="1">
        <f t="array" ref="D248">SUMPRODUCT((Task_table_03_2_26!$C$2:$C$596=$D$1)*(A248&gt;Task_table_03_2_26!$J$2:$J$596)*(A248&lt;Task_table_03_2_26!$K$2:$K$596))</f>
        <v>2</v>
      </c>
      <c r="E248" cm="1">
        <f t="array" ref="E248">SUMPRODUCT((Task_table_03_2_26!$C$2:$C$596=$E$1)*(A248&gt;Task_table_03_2_26!$J$2:$J$596)*(A248&lt;Task_table_03_2_26!$K$2:$K$596))</f>
        <v>5</v>
      </c>
    </row>
    <row r="249" spans="1:5">
      <c r="A249" s="5">
        <v>46117</v>
      </c>
      <c r="B249" cm="1">
        <f t="array" ref="B249">SUMPRODUCT((Task_table_03_2_26!$C$2:$C$596=$B$1)*(A249&gt;Task_table_03_2_26!$J$2:$J$596)*(A249&lt;Task_table_03_2_26!$K$2:$K$596))</f>
        <v>54</v>
      </c>
      <c r="C249" cm="1">
        <f t="array" ref="C249">SUMPRODUCT((Task_table_03_2_26!$C$2:$C$596=$C$1)*(A249&gt;Task_table_03_2_26!$J$2:$J$596)*(A249&lt;Task_table_03_2_26!$K$2:$K$596))</f>
        <v>10</v>
      </c>
      <c r="D249" cm="1">
        <f t="array" ref="D249">SUMPRODUCT((Task_table_03_2_26!$C$2:$C$596=$D$1)*(A249&gt;Task_table_03_2_26!$J$2:$J$596)*(A249&lt;Task_table_03_2_26!$K$2:$K$596))</f>
        <v>2</v>
      </c>
      <c r="E249" cm="1">
        <f t="array" ref="E249">SUMPRODUCT((Task_table_03_2_26!$C$2:$C$596=$E$1)*(A249&gt;Task_table_03_2_26!$J$2:$J$596)*(A249&lt;Task_table_03_2_26!$K$2:$K$596))</f>
        <v>5</v>
      </c>
    </row>
    <row r="250" spans="1:5">
      <c r="A250" s="5">
        <v>46118</v>
      </c>
      <c r="B250" cm="1">
        <f t="array" ref="B250">SUMPRODUCT((Task_table_03_2_26!$C$2:$C$596=$B$1)*(A250&gt;Task_table_03_2_26!$J$2:$J$596)*(A250&lt;Task_table_03_2_26!$K$2:$K$596))</f>
        <v>54</v>
      </c>
      <c r="C250" cm="1">
        <f t="array" ref="C250">SUMPRODUCT((Task_table_03_2_26!$C$2:$C$596=$C$1)*(A250&gt;Task_table_03_2_26!$J$2:$J$596)*(A250&lt;Task_table_03_2_26!$K$2:$K$596))</f>
        <v>10</v>
      </c>
      <c r="D250" cm="1">
        <f t="array" ref="D250">SUMPRODUCT((Task_table_03_2_26!$C$2:$C$596=$D$1)*(A250&gt;Task_table_03_2_26!$J$2:$J$596)*(A250&lt;Task_table_03_2_26!$K$2:$K$596))</f>
        <v>2</v>
      </c>
      <c r="E250" cm="1">
        <f t="array" ref="E250">SUMPRODUCT((Task_table_03_2_26!$C$2:$C$596=$E$1)*(A250&gt;Task_table_03_2_26!$J$2:$J$596)*(A250&lt;Task_table_03_2_26!$K$2:$K$596))</f>
        <v>5</v>
      </c>
    </row>
    <row r="251" spans="1:5">
      <c r="A251" s="5">
        <v>46119</v>
      </c>
      <c r="B251" cm="1">
        <f t="array" ref="B251">SUMPRODUCT((Task_table_03_2_26!$C$2:$C$596=$B$1)*(A251&gt;Task_table_03_2_26!$J$2:$J$596)*(A251&lt;Task_table_03_2_26!$K$2:$K$596))</f>
        <v>54</v>
      </c>
      <c r="C251" cm="1">
        <f t="array" ref="C251">SUMPRODUCT((Task_table_03_2_26!$C$2:$C$596=$C$1)*(A251&gt;Task_table_03_2_26!$J$2:$J$596)*(A251&lt;Task_table_03_2_26!$K$2:$K$596))</f>
        <v>10</v>
      </c>
      <c r="D251" cm="1">
        <f t="array" ref="D251">SUMPRODUCT((Task_table_03_2_26!$C$2:$C$596=$D$1)*(A251&gt;Task_table_03_2_26!$J$2:$J$596)*(A251&lt;Task_table_03_2_26!$K$2:$K$596))</f>
        <v>2</v>
      </c>
      <c r="E251" cm="1">
        <f t="array" ref="E251">SUMPRODUCT((Task_table_03_2_26!$C$2:$C$596=$E$1)*(A251&gt;Task_table_03_2_26!$J$2:$J$596)*(A251&lt;Task_table_03_2_26!$K$2:$K$596))</f>
        <v>5</v>
      </c>
    </row>
    <row r="252" spans="1:5">
      <c r="A252" s="5">
        <v>46120</v>
      </c>
      <c r="B252" cm="1">
        <f t="array" ref="B252">SUMPRODUCT((Task_table_03_2_26!$C$2:$C$596=$B$1)*(A252&gt;Task_table_03_2_26!$J$2:$J$596)*(A252&lt;Task_table_03_2_26!$K$2:$K$596))</f>
        <v>54</v>
      </c>
      <c r="C252" cm="1">
        <f t="array" ref="C252">SUMPRODUCT((Task_table_03_2_26!$C$2:$C$596=$C$1)*(A252&gt;Task_table_03_2_26!$J$2:$J$596)*(A252&lt;Task_table_03_2_26!$K$2:$K$596))</f>
        <v>10</v>
      </c>
      <c r="D252" cm="1">
        <f t="array" ref="D252">SUMPRODUCT((Task_table_03_2_26!$C$2:$C$596=$D$1)*(A252&gt;Task_table_03_2_26!$J$2:$J$596)*(A252&lt;Task_table_03_2_26!$K$2:$K$596))</f>
        <v>2</v>
      </c>
      <c r="E252" cm="1">
        <f t="array" ref="E252">SUMPRODUCT((Task_table_03_2_26!$C$2:$C$596=$E$1)*(A252&gt;Task_table_03_2_26!$J$2:$J$596)*(A252&lt;Task_table_03_2_26!$K$2:$K$596))</f>
        <v>5</v>
      </c>
    </row>
    <row r="253" spans="1:5">
      <c r="A253" s="5">
        <v>46121</v>
      </c>
      <c r="B253" cm="1">
        <f t="array" ref="B253">SUMPRODUCT((Task_table_03_2_26!$C$2:$C$596=$B$1)*(A253&gt;Task_table_03_2_26!$J$2:$J$596)*(A253&lt;Task_table_03_2_26!$K$2:$K$596))</f>
        <v>54</v>
      </c>
      <c r="C253" cm="1">
        <f t="array" ref="C253">SUMPRODUCT((Task_table_03_2_26!$C$2:$C$596=$C$1)*(A253&gt;Task_table_03_2_26!$J$2:$J$596)*(A253&lt;Task_table_03_2_26!$K$2:$K$596))</f>
        <v>10</v>
      </c>
      <c r="D253" cm="1">
        <f t="array" ref="D253">SUMPRODUCT((Task_table_03_2_26!$C$2:$C$596=$D$1)*(A253&gt;Task_table_03_2_26!$J$2:$J$596)*(A253&lt;Task_table_03_2_26!$K$2:$K$596))</f>
        <v>2</v>
      </c>
      <c r="E253" cm="1">
        <f t="array" ref="E253">SUMPRODUCT((Task_table_03_2_26!$C$2:$C$596=$E$1)*(A253&gt;Task_table_03_2_26!$J$2:$J$596)*(A253&lt;Task_table_03_2_26!$K$2:$K$596))</f>
        <v>5</v>
      </c>
    </row>
    <row r="254" spans="1:5">
      <c r="A254" s="5">
        <v>46122</v>
      </c>
      <c r="B254" cm="1">
        <f t="array" ref="B254">SUMPRODUCT((Task_table_03_2_26!$C$2:$C$596=$B$1)*(A254&gt;Task_table_03_2_26!$J$2:$J$596)*(A254&lt;Task_table_03_2_26!$K$2:$K$596))</f>
        <v>54</v>
      </c>
      <c r="C254" cm="1">
        <f t="array" ref="C254">SUMPRODUCT((Task_table_03_2_26!$C$2:$C$596=$C$1)*(A254&gt;Task_table_03_2_26!$J$2:$J$596)*(A254&lt;Task_table_03_2_26!$K$2:$K$596))</f>
        <v>10</v>
      </c>
      <c r="D254" cm="1">
        <f t="array" ref="D254">SUMPRODUCT((Task_table_03_2_26!$C$2:$C$596=$D$1)*(A254&gt;Task_table_03_2_26!$J$2:$J$596)*(A254&lt;Task_table_03_2_26!$K$2:$K$596))</f>
        <v>2</v>
      </c>
      <c r="E254" cm="1">
        <f t="array" ref="E254">SUMPRODUCT((Task_table_03_2_26!$C$2:$C$596=$E$1)*(A254&gt;Task_table_03_2_26!$J$2:$J$596)*(A254&lt;Task_table_03_2_26!$K$2:$K$596))</f>
        <v>5</v>
      </c>
    </row>
    <row r="255" spans="1:5">
      <c r="A255" s="5">
        <v>46123</v>
      </c>
      <c r="B255" cm="1">
        <f t="array" ref="B255">SUMPRODUCT((Task_table_03_2_26!$C$2:$C$596=$B$1)*(A255&gt;Task_table_03_2_26!$J$2:$J$596)*(A255&lt;Task_table_03_2_26!$K$2:$K$596))</f>
        <v>54</v>
      </c>
      <c r="C255" cm="1">
        <f t="array" ref="C255">SUMPRODUCT((Task_table_03_2_26!$C$2:$C$596=$C$1)*(A255&gt;Task_table_03_2_26!$J$2:$J$596)*(A255&lt;Task_table_03_2_26!$K$2:$K$596))</f>
        <v>10</v>
      </c>
      <c r="D255" cm="1">
        <f t="array" ref="D255">SUMPRODUCT((Task_table_03_2_26!$C$2:$C$596=$D$1)*(A255&gt;Task_table_03_2_26!$J$2:$J$596)*(A255&lt;Task_table_03_2_26!$K$2:$K$596))</f>
        <v>2</v>
      </c>
      <c r="E255" cm="1">
        <f t="array" ref="E255">SUMPRODUCT((Task_table_03_2_26!$C$2:$C$596=$E$1)*(A255&gt;Task_table_03_2_26!$J$2:$J$596)*(A255&lt;Task_table_03_2_26!$K$2:$K$596))</f>
        <v>5</v>
      </c>
    </row>
    <row r="256" spans="1:5">
      <c r="A256" s="5">
        <v>46124</v>
      </c>
      <c r="B256" cm="1">
        <f t="array" ref="B256">SUMPRODUCT((Task_table_03_2_26!$C$2:$C$596=$B$1)*(A256&gt;Task_table_03_2_26!$J$2:$J$596)*(A256&lt;Task_table_03_2_26!$K$2:$K$596))</f>
        <v>54</v>
      </c>
      <c r="C256" cm="1">
        <f t="array" ref="C256">SUMPRODUCT((Task_table_03_2_26!$C$2:$C$596=$C$1)*(A256&gt;Task_table_03_2_26!$J$2:$J$596)*(A256&lt;Task_table_03_2_26!$K$2:$K$596))</f>
        <v>10</v>
      </c>
      <c r="D256" cm="1">
        <f t="array" ref="D256">SUMPRODUCT((Task_table_03_2_26!$C$2:$C$596=$D$1)*(A256&gt;Task_table_03_2_26!$J$2:$J$596)*(A256&lt;Task_table_03_2_26!$K$2:$K$596))</f>
        <v>2</v>
      </c>
      <c r="E256" cm="1">
        <f t="array" ref="E256">SUMPRODUCT((Task_table_03_2_26!$C$2:$C$596=$E$1)*(A256&gt;Task_table_03_2_26!$J$2:$J$596)*(A256&lt;Task_table_03_2_26!$K$2:$K$596))</f>
        <v>5</v>
      </c>
    </row>
    <row r="257" spans="1:5">
      <c r="A257" s="5">
        <v>46125</v>
      </c>
      <c r="B257" cm="1">
        <f t="array" ref="B257">SUMPRODUCT((Task_table_03_2_26!$C$2:$C$596=$B$1)*(A257&gt;Task_table_03_2_26!$J$2:$J$596)*(A257&lt;Task_table_03_2_26!$K$2:$K$596))</f>
        <v>54</v>
      </c>
      <c r="C257" cm="1">
        <f t="array" ref="C257">SUMPRODUCT((Task_table_03_2_26!$C$2:$C$596=$C$1)*(A257&gt;Task_table_03_2_26!$J$2:$J$596)*(A257&lt;Task_table_03_2_26!$K$2:$K$596))</f>
        <v>10</v>
      </c>
      <c r="D257" cm="1">
        <f t="array" ref="D257">SUMPRODUCT((Task_table_03_2_26!$C$2:$C$596=$D$1)*(A257&gt;Task_table_03_2_26!$J$2:$J$596)*(A257&lt;Task_table_03_2_26!$K$2:$K$596))</f>
        <v>2</v>
      </c>
      <c r="E257" cm="1">
        <f t="array" ref="E257">SUMPRODUCT((Task_table_03_2_26!$C$2:$C$596=$E$1)*(A257&gt;Task_table_03_2_26!$J$2:$J$596)*(A257&lt;Task_table_03_2_26!$K$2:$K$596))</f>
        <v>5</v>
      </c>
    </row>
    <row r="258" spans="1:5">
      <c r="A258" s="5">
        <v>46126</v>
      </c>
      <c r="B258" cm="1">
        <f t="array" ref="B258">SUMPRODUCT((Task_table_03_2_26!$C$2:$C$596=$B$1)*(A258&gt;Task_table_03_2_26!$J$2:$J$596)*(A258&lt;Task_table_03_2_26!$K$2:$K$596))</f>
        <v>54</v>
      </c>
      <c r="C258" cm="1">
        <f t="array" ref="C258">SUMPRODUCT((Task_table_03_2_26!$C$2:$C$596=$C$1)*(A258&gt;Task_table_03_2_26!$J$2:$J$596)*(A258&lt;Task_table_03_2_26!$K$2:$K$596))</f>
        <v>10</v>
      </c>
      <c r="D258" cm="1">
        <f t="array" ref="D258">SUMPRODUCT((Task_table_03_2_26!$C$2:$C$596=$D$1)*(A258&gt;Task_table_03_2_26!$J$2:$J$596)*(A258&lt;Task_table_03_2_26!$K$2:$K$596))</f>
        <v>2</v>
      </c>
      <c r="E258" cm="1">
        <f t="array" ref="E258">SUMPRODUCT((Task_table_03_2_26!$C$2:$C$596=$E$1)*(A258&gt;Task_table_03_2_26!$J$2:$J$596)*(A258&lt;Task_table_03_2_26!$K$2:$K$596))</f>
        <v>5</v>
      </c>
    </row>
    <row r="259" spans="1:5">
      <c r="A259" s="5">
        <v>46127</v>
      </c>
      <c r="B259" cm="1">
        <f t="array" ref="B259">SUMPRODUCT((Task_table_03_2_26!$C$2:$C$596=$B$1)*(A259&gt;Task_table_03_2_26!$J$2:$J$596)*(A259&lt;Task_table_03_2_26!$K$2:$K$596))</f>
        <v>54</v>
      </c>
      <c r="C259" cm="1">
        <f t="array" ref="C259">SUMPRODUCT((Task_table_03_2_26!$C$2:$C$596=$C$1)*(A259&gt;Task_table_03_2_26!$J$2:$J$596)*(A259&lt;Task_table_03_2_26!$K$2:$K$596))</f>
        <v>10</v>
      </c>
      <c r="D259" cm="1">
        <f t="array" ref="D259">SUMPRODUCT((Task_table_03_2_26!$C$2:$C$596=$D$1)*(A259&gt;Task_table_03_2_26!$J$2:$J$596)*(A259&lt;Task_table_03_2_26!$K$2:$K$596))</f>
        <v>2</v>
      </c>
      <c r="E259" cm="1">
        <f t="array" ref="E259">SUMPRODUCT((Task_table_03_2_26!$C$2:$C$596=$E$1)*(A259&gt;Task_table_03_2_26!$J$2:$J$596)*(A259&lt;Task_table_03_2_26!$K$2:$K$596))</f>
        <v>5</v>
      </c>
    </row>
    <row r="260" spans="1:5">
      <c r="A260" s="5">
        <v>46128</v>
      </c>
      <c r="B260" cm="1">
        <f t="array" ref="B260">SUMPRODUCT((Task_table_03_2_26!$C$2:$C$596=$B$1)*(A260&gt;Task_table_03_2_26!$J$2:$J$596)*(A260&lt;Task_table_03_2_26!$K$2:$K$596))</f>
        <v>57</v>
      </c>
      <c r="C260" cm="1">
        <f t="array" ref="C260">SUMPRODUCT((Task_table_03_2_26!$C$2:$C$596=$C$1)*(A260&gt;Task_table_03_2_26!$J$2:$J$596)*(A260&lt;Task_table_03_2_26!$K$2:$K$596))</f>
        <v>14</v>
      </c>
      <c r="D260" cm="1">
        <f t="array" ref="D260">SUMPRODUCT((Task_table_03_2_26!$C$2:$C$596=$D$1)*(A260&gt;Task_table_03_2_26!$J$2:$J$596)*(A260&lt;Task_table_03_2_26!$K$2:$K$596))</f>
        <v>2</v>
      </c>
      <c r="E260" cm="1">
        <f t="array" ref="E260">SUMPRODUCT((Task_table_03_2_26!$C$2:$C$596=$E$1)*(A260&gt;Task_table_03_2_26!$J$2:$J$596)*(A260&lt;Task_table_03_2_26!$K$2:$K$596))</f>
        <v>5</v>
      </c>
    </row>
    <row r="261" spans="1:5">
      <c r="A261" s="5">
        <v>46129</v>
      </c>
      <c r="B261" cm="1">
        <f t="array" ref="B261">SUMPRODUCT((Task_table_03_2_26!$C$2:$C$596=$B$1)*(A261&gt;Task_table_03_2_26!$J$2:$J$596)*(A261&lt;Task_table_03_2_26!$K$2:$K$596))</f>
        <v>57</v>
      </c>
      <c r="C261" cm="1">
        <f t="array" ref="C261">SUMPRODUCT((Task_table_03_2_26!$C$2:$C$596=$C$1)*(A261&gt;Task_table_03_2_26!$J$2:$J$596)*(A261&lt;Task_table_03_2_26!$K$2:$K$596))</f>
        <v>14</v>
      </c>
      <c r="D261" cm="1">
        <f t="array" ref="D261">SUMPRODUCT((Task_table_03_2_26!$C$2:$C$596=$D$1)*(A261&gt;Task_table_03_2_26!$J$2:$J$596)*(A261&lt;Task_table_03_2_26!$K$2:$K$596))</f>
        <v>2</v>
      </c>
      <c r="E261" cm="1">
        <f t="array" ref="E261">SUMPRODUCT((Task_table_03_2_26!$C$2:$C$596=$E$1)*(A261&gt;Task_table_03_2_26!$J$2:$J$596)*(A261&lt;Task_table_03_2_26!$K$2:$K$596))</f>
        <v>5</v>
      </c>
    </row>
    <row r="262" spans="1:5">
      <c r="A262" s="5">
        <v>46130</v>
      </c>
      <c r="B262" cm="1">
        <f t="array" ref="B262">SUMPRODUCT((Task_table_03_2_26!$C$2:$C$596=$B$1)*(A262&gt;Task_table_03_2_26!$J$2:$J$596)*(A262&lt;Task_table_03_2_26!$K$2:$K$596))</f>
        <v>57</v>
      </c>
      <c r="C262" cm="1">
        <f t="array" ref="C262">SUMPRODUCT((Task_table_03_2_26!$C$2:$C$596=$C$1)*(A262&gt;Task_table_03_2_26!$J$2:$J$596)*(A262&lt;Task_table_03_2_26!$K$2:$K$596))</f>
        <v>14</v>
      </c>
      <c r="D262" cm="1">
        <f t="array" ref="D262">SUMPRODUCT((Task_table_03_2_26!$C$2:$C$596=$D$1)*(A262&gt;Task_table_03_2_26!$J$2:$J$596)*(A262&lt;Task_table_03_2_26!$K$2:$K$596))</f>
        <v>2</v>
      </c>
      <c r="E262" cm="1">
        <f t="array" ref="E262">SUMPRODUCT((Task_table_03_2_26!$C$2:$C$596=$E$1)*(A262&gt;Task_table_03_2_26!$J$2:$J$596)*(A262&lt;Task_table_03_2_26!$K$2:$K$596))</f>
        <v>5</v>
      </c>
    </row>
    <row r="263" spans="1:5">
      <c r="A263" s="5">
        <v>46131</v>
      </c>
      <c r="B263" cm="1">
        <f t="array" ref="B263">SUMPRODUCT((Task_table_03_2_26!$C$2:$C$596=$B$1)*(A263&gt;Task_table_03_2_26!$J$2:$J$596)*(A263&lt;Task_table_03_2_26!$K$2:$K$596))</f>
        <v>57</v>
      </c>
      <c r="C263" cm="1">
        <f t="array" ref="C263">SUMPRODUCT((Task_table_03_2_26!$C$2:$C$596=$C$1)*(A263&gt;Task_table_03_2_26!$J$2:$J$596)*(A263&lt;Task_table_03_2_26!$K$2:$K$596))</f>
        <v>14</v>
      </c>
      <c r="D263" cm="1">
        <f t="array" ref="D263">SUMPRODUCT((Task_table_03_2_26!$C$2:$C$596=$D$1)*(A263&gt;Task_table_03_2_26!$J$2:$J$596)*(A263&lt;Task_table_03_2_26!$K$2:$K$596))</f>
        <v>2</v>
      </c>
      <c r="E263" cm="1">
        <f t="array" ref="E263">SUMPRODUCT((Task_table_03_2_26!$C$2:$C$596=$E$1)*(A263&gt;Task_table_03_2_26!$J$2:$J$596)*(A263&lt;Task_table_03_2_26!$K$2:$K$596))</f>
        <v>5</v>
      </c>
    </row>
    <row r="264" spans="1:5">
      <c r="A264" s="5">
        <v>46132</v>
      </c>
      <c r="B264" cm="1">
        <f t="array" ref="B264">SUMPRODUCT((Task_table_03_2_26!$C$2:$C$596=$B$1)*(A264&gt;Task_table_03_2_26!$J$2:$J$596)*(A264&lt;Task_table_03_2_26!$K$2:$K$596))</f>
        <v>57</v>
      </c>
      <c r="C264" cm="1">
        <f t="array" ref="C264">SUMPRODUCT((Task_table_03_2_26!$C$2:$C$596=$C$1)*(A264&gt;Task_table_03_2_26!$J$2:$J$596)*(A264&lt;Task_table_03_2_26!$K$2:$K$596))</f>
        <v>14</v>
      </c>
      <c r="D264" cm="1">
        <f t="array" ref="D264">SUMPRODUCT((Task_table_03_2_26!$C$2:$C$596=$D$1)*(A264&gt;Task_table_03_2_26!$J$2:$J$596)*(A264&lt;Task_table_03_2_26!$K$2:$K$596))</f>
        <v>2</v>
      </c>
      <c r="E264" cm="1">
        <f t="array" ref="E264">SUMPRODUCT((Task_table_03_2_26!$C$2:$C$596=$E$1)*(A264&gt;Task_table_03_2_26!$J$2:$J$596)*(A264&lt;Task_table_03_2_26!$K$2:$K$596))</f>
        <v>5</v>
      </c>
    </row>
    <row r="265" spans="1:5">
      <c r="A265" s="5">
        <v>46133</v>
      </c>
      <c r="B265" cm="1">
        <f t="array" ref="B265">SUMPRODUCT((Task_table_03_2_26!$C$2:$C$596=$B$1)*(A265&gt;Task_table_03_2_26!$J$2:$J$596)*(A265&lt;Task_table_03_2_26!$K$2:$K$596))</f>
        <v>57</v>
      </c>
      <c r="C265" cm="1">
        <f t="array" ref="C265">SUMPRODUCT((Task_table_03_2_26!$C$2:$C$596=$C$1)*(A265&gt;Task_table_03_2_26!$J$2:$J$596)*(A265&lt;Task_table_03_2_26!$K$2:$K$596))</f>
        <v>14</v>
      </c>
      <c r="D265" cm="1">
        <f t="array" ref="D265">SUMPRODUCT((Task_table_03_2_26!$C$2:$C$596=$D$1)*(A265&gt;Task_table_03_2_26!$J$2:$J$596)*(A265&lt;Task_table_03_2_26!$K$2:$K$596))</f>
        <v>2</v>
      </c>
      <c r="E265" cm="1">
        <f t="array" ref="E265">SUMPRODUCT((Task_table_03_2_26!$C$2:$C$596=$E$1)*(A265&gt;Task_table_03_2_26!$J$2:$J$596)*(A265&lt;Task_table_03_2_26!$K$2:$K$596))</f>
        <v>5</v>
      </c>
    </row>
    <row r="266" spans="1:5">
      <c r="A266" s="5">
        <v>46134</v>
      </c>
      <c r="B266" cm="1">
        <f t="array" ref="B266">SUMPRODUCT((Task_table_03_2_26!$C$2:$C$596=$B$1)*(A266&gt;Task_table_03_2_26!$J$2:$J$596)*(A266&lt;Task_table_03_2_26!$K$2:$K$596))</f>
        <v>57</v>
      </c>
      <c r="C266" cm="1">
        <f t="array" ref="C266">SUMPRODUCT((Task_table_03_2_26!$C$2:$C$596=$C$1)*(A266&gt;Task_table_03_2_26!$J$2:$J$596)*(A266&lt;Task_table_03_2_26!$K$2:$K$596))</f>
        <v>14</v>
      </c>
      <c r="D266" cm="1">
        <f t="array" ref="D266">SUMPRODUCT((Task_table_03_2_26!$C$2:$C$596=$D$1)*(A266&gt;Task_table_03_2_26!$J$2:$J$596)*(A266&lt;Task_table_03_2_26!$K$2:$K$596))</f>
        <v>2</v>
      </c>
      <c r="E266" cm="1">
        <f t="array" ref="E266">SUMPRODUCT((Task_table_03_2_26!$C$2:$C$596=$E$1)*(A266&gt;Task_table_03_2_26!$J$2:$J$596)*(A266&lt;Task_table_03_2_26!$K$2:$K$596))</f>
        <v>5</v>
      </c>
    </row>
    <row r="267" spans="1:5">
      <c r="A267" s="5">
        <v>46135</v>
      </c>
      <c r="B267" cm="1">
        <f t="array" ref="B267">SUMPRODUCT((Task_table_03_2_26!$C$2:$C$596=$B$1)*(A267&gt;Task_table_03_2_26!$J$2:$J$596)*(A267&lt;Task_table_03_2_26!$K$2:$K$596))</f>
        <v>57</v>
      </c>
      <c r="C267" cm="1">
        <f t="array" ref="C267">SUMPRODUCT((Task_table_03_2_26!$C$2:$C$596=$C$1)*(A267&gt;Task_table_03_2_26!$J$2:$J$596)*(A267&lt;Task_table_03_2_26!$K$2:$K$596))</f>
        <v>15</v>
      </c>
      <c r="D267" cm="1">
        <f t="array" ref="D267">SUMPRODUCT((Task_table_03_2_26!$C$2:$C$596=$D$1)*(A267&gt;Task_table_03_2_26!$J$2:$J$596)*(A267&lt;Task_table_03_2_26!$K$2:$K$596))</f>
        <v>2</v>
      </c>
      <c r="E267" cm="1">
        <f t="array" ref="E267">SUMPRODUCT((Task_table_03_2_26!$C$2:$C$596=$E$1)*(A267&gt;Task_table_03_2_26!$J$2:$J$596)*(A267&lt;Task_table_03_2_26!$K$2:$K$596))</f>
        <v>5</v>
      </c>
    </row>
    <row r="268" spans="1:5">
      <c r="A268" s="5">
        <v>46136</v>
      </c>
      <c r="B268" cm="1">
        <f t="array" ref="B268">SUMPRODUCT((Task_table_03_2_26!$C$2:$C$596=$B$1)*(A268&gt;Task_table_03_2_26!$J$2:$J$596)*(A268&lt;Task_table_03_2_26!$K$2:$K$596))</f>
        <v>57</v>
      </c>
      <c r="C268" cm="1">
        <f t="array" ref="C268">SUMPRODUCT((Task_table_03_2_26!$C$2:$C$596=$C$1)*(A268&gt;Task_table_03_2_26!$J$2:$J$596)*(A268&lt;Task_table_03_2_26!$K$2:$K$596))</f>
        <v>15</v>
      </c>
      <c r="D268" cm="1">
        <f t="array" ref="D268">SUMPRODUCT((Task_table_03_2_26!$C$2:$C$596=$D$1)*(A268&gt;Task_table_03_2_26!$J$2:$J$596)*(A268&lt;Task_table_03_2_26!$K$2:$K$596))</f>
        <v>2</v>
      </c>
      <c r="E268" cm="1">
        <f t="array" ref="E268">SUMPRODUCT((Task_table_03_2_26!$C$2:$C$596=$E$1)*(A268&gt;Task_table_03_2_26!$J$2:$J$596)*(A268&lt;Task_table_03_2_26!$K$2:$K$596))</f>
        <v>5</v>
      </c>
    </row>
    <row r="269" spans="1:5">
      <c r="A269" s="5">
        <v>46137</v>
      </c>
      <c r="B269" cm="1">
        <f t="array" ref="B269">SUMPRODUCT((Task_table_03_2_26!$C$2:$C$596=$B$1)*(A269&gt;Task_table_03_2_26!$J$2:$J$596)*(A269&lt;Task_table_03_2_26!$K$2:$K$596))</f>
        <v>57</v>
      </c>
      <c r="C269" cm="1">
        <f t="array" ref="C269">SUMPRODUCT((Task_table_03_2_26!$C$2:$C$596=$C$1)*(A269&gt;Task_table_03_2_26!$J$2:$J$596)*(A269&lt;Task_table_03_2_26!$K$2:$K$596))</f>
        <v>15</v>
      </c>
      <c r="D269" cm="1">
        <f t="array" ref="D269">SUMPRODUCT((Task_table_03_2_26!$C$2:$C$596=$D$1)*(A269&gt;Task_table_03_2_26!$J$2:$J$596)*(A269&lt;Task_table_03_2_26!$K$2:$K$596))</f>
        <v>2</v>
      </c>
      <c r="E269" cm="1">
        <f t="array" ref="E269">SUMPRODUCT((Task_table_03_2_26!$C$2:$C$596=$E$1)*(A269&gt;Task_table_03_2_26!$J$2:$J$596)*(A269&lt;Task_table_03_2_26!$K$2:$K$596))</f>
        <v>5</v>
      </c>
    </row>
    <row r="270" spans="1:5">
      <c r="A270" s="5">
        <v>46138</v>
      </c>
      <c r="B270" cm="1">
        <f t="array" ref="B270">SUMPRODUCT((Task_table_03_2_26!$C$2:$C$596=$B$1)*(A270&gt;Task_table_03_2_26!$J$2:$J$596)*(A270&lt;Task_table_03_2_26!$K$2:$K$596))</f>
        <v>57</v>
      </c>
      <c r="C270" cm="1">
        <f t="array" ref="C270">SUMPRODUCT((Task_table_03_2_26!$C$2:$C$596=$C$1)*(A270&gt;Task_table_03_2_26!$J$2:$J$596)*(A270&lt;Task_table_03_2_26!$K$2:$K$596))</f>
        <v>15</v>
      </c>
      <c r="D270" cm="1">
        <f t="array" ref="D270">SUMPRODUCT((Task_table_03_2_26!$C$2:$C$596=$D$1)*(A270&gt;Task_table_03_2_26!$J$2:$J$596)*(A270&lt;Task_table_03_2_26!$K$2:$K$596))</f>
        <v>2</v>
      </c>
      <c r="E270" cm="1">
        <f t="array" ref="E270">SUMPRODUCT((Task_table_03_2_26!$C$2:$C$596=$E$1)*(A270&gt;Task_table_03_2_26!$J$2:$J$596)*(A270&lt;Task_table_03_2_26!$K$2:$K$596))</f>
        <v>5</v>
      </c>
    </row>
    <row r="271" spans="1:5">
      <c r="A271" s="5">
        <v>46139</v>
      </c>
      <c r="B271" cm="1">
        <f t="array" ref="B271">SUMPRODUCT((Task_table_03_2_26!$C$2:$C$596=$B$1)*(A271&gt;Task_table_03_2_26!$J$2:$J$596)*(A271&lt;Task_table_03_2_26!$K$2:$K$596))</f>
        <v>57</v>
      </c>
      <c r="C271" cm="1">
        <f t="array" ref="C271">SUMPRODUCT((Task_table_03_2_26!$C$2:$C$596=$C$1)*(A271&gt;Task_table_03_2_26!$J$2:$J$596)*(A271&lt;Task_table_03_2_26!$K$2:$K$596))</f>
        <v>15</v>
      </c>
      <c r="D271" cm="1">
        <f t="array" ref="D271">SUMPRODUCT((Task_table_03_2_26!$C$2:$C$596=$D$1)*(A271&gt;Task_table_03_2_26!$J$2:$J$596)*(A271&lt;Task_table_03_2_26!$K$2:$K$596))</f>
        <v>2</v>
      </c>
      <c r="E271" cm="1">
        <f t="array" ref="E271">SUMPRODUCT((Task_table_03_2_26!$C$2:$C$596=$E$1)*(A271&gt;Task_table_03_2_26!$J$2:$J$596)*(A271&lt;Task_table_03_2_26!$K$2:$K$596))</f>
        <v>5</v>
      </c>
    </row>
    <row r="272" spans="1:5">
      <c r="A272" s="5">
        <v>46140</v>
      </c>
      <c r="B272" cm="1">
        <f t="array" ref="B272">SUMPRODUCT((Task_table_03_2_26!$C$2:$C$596=$B$1)*(A272&gt;Task_table_03_2_26!$J$2:$J$596)*(A272&lt;Task_table_03_2_26!$K$2:$K$596))</f>
        <v>57</v>
      </c>
      <c r="C272" cm="1">
        <f t="array" ref="C272">SUMPRODUCT((Task_table_03_2_26!$C$2:$C$596=$C$1)*(A272&gt;Task_table_03_2_26!$J$2:$J$596)*(A272&lt;Task_table_03_2_26!$K$2:$K$596))</f>
        <v>15</v>
      </c>
      <c r="D272" cm="1">
        <f t="array" ref="D272">SUMPRODUCT((Task_table_03_2_26!$C$2:$C$596=$D$1)*(A272&gt;Task_table_03_2_26!$J$2:$J$596)*(A272&lt;Task_table_03_2_26!$K$2:$K$596))</f>
        <v>2</v>
      </c>
      <c r="E272" cm="1">
        <f t="array" ref="E272">SUMPRODUCT((Task_table_03_2_26!$C$2:$C$596=$E$1)*(A272&gt;Task_table_03_2_26!$J$2:$J$596)*(A272&lt;Task_table_03_2_26!$K$2:$K$596))</f>
        <v>5</v>
      </c>
    </row>
    <row r="273" spans="1:5">
      <c r="A273" s="5">
        <v>46141</v>
      </c>
      <c r="B273" cm="1">
        <f t="array" ref="B273">SUMPRODUCT((Task_table_03_2_26!$C$2:$C$596=$B$1)*(A273&gt;Task_table_03_2_26!$J$2:$J$596)*(A273&lt;Task_table_03_2_26!$K$2:$K$596))</f>
        <v>57</v>
      </c>
      <c r="C273" cm="1">
        <f t="array" ref="C273">SUMPRODUCT((Task_table_03_2_26!$C$2:$C$596=$C$1)*(A273&gt;Task_table_03_2_26!$J$2:$J$596)*(A273&lt;Task_table_03_2_26!$K$2:$K$596))</f>
        <v>15</v>
      </c>
      <c r="D273" cm="1">
        <f t="array" ref="D273">SUMPRODUCT((Task_table_03_2_26!$C$2:$C$596=$D$1)*(A273&gt;Task_table_03_2_26!$J$2:$J$596)*(A273&lt;Task_table_03_2_26!$K$2:$K$596))</f>
        <v>2</v>
      </c>
      <c r="E273" cm="1">
        <f t="array" ref="E273">SUMPRODUCT((Task_table_03_2_26!$C$2:$C$596=$E$1)*(A273&gt;Task_table_03_2_26!$J$2:$J$596)*(A273&lt;Task_table_03_2_26!$K$2:$K$596))</f>
        <v>5</v>
      </c>
    </row>
    <row r="274" spans="1:5">
      <c r="A274" s="5">
        <v>46142</v>
      </c>
      <c r="B274" cm="1">
        <f t="array" ref="B274">SUMPRODUCT((Task_table_03_2_26!$C$2:$C$596=$B$1)*(A274&gt;Task_table_03_2_26!$J$2:$J$596)*(A274&lt;Task_table_03_2_26!$K$2:$K$596))</f>
        <v>53</v>
      </c>
      <c r="C274" cm="1">
        <f t="array" ref="C274">SUMPRODUCT((Task_table_03_2_26!$C$2:$C$596=$C$1)*(A274&gt;Task_table_03_2_26!$J$2:$J$596)*(A274&lt;Task_table_03_2_26!$K$2:$K$596))</f>
        <v>15</v>
      </c>
      <c r="D274" cm="1">
        <f t="array" ref="D274">SUMPRODUCT((Task_table_03_2_26!$C$2:$C$596=$D$1)*(A274&gt;Task_table_03_2_26!$J$2:$J$596)*(A274&lt;Task_table_03_2_26!$K$2:$K$596))</f>
        <v>2</v>
      </c>
      <c r="E274" cm="1">
        <f t="array" ref="E274">SUMPRODUCT((Task_table_03_2_26!$C$2:$C$596=$E$1)*(A274&gt;Task_table_03_2_26!$J$2:$J$596)*(A274&lt;Task_table_03_2_26!$K$2:$K$596))</f>
        <v>4</v>
      </c>
    </row>
    <row r="275" spans="1:5">
      <c r="A275" s="5">
        <v>46143</v>
      </c>
      <c r="B275" cm="1">
        <f t="array" ref="B275">SUMPRODUCT((Task_table_03_2_26!$C$2:$C$596=$B$1)*(A275&gt;Task_table_03_2_26!$J$2:$J$596)*(A275&lt;Task_table_03_2_26!$K$2:$K$596))</f>
        <v>53</v>
      </c>
      <c r="C275" cm="1">
        <f t="array" ref="C275">SUMPRODUCT((Task_table_03_2_26!$C$2:$C$596=$C$1)*(A275&gt;Task_table_03_2_26!$J$2:$J$596)*(A275&lt;Task_table_03_2_26!$K$2:$K$596))</f>
        <v>15</v>
      </c>
      <c r="D275" cm="1">
        <f t="array" ref="D275">SUMPRODUCT((Task_table_03_2_26!$C$2:$C$596=$D$1)*(A275&gt;Task_table_03_2_26!$J$2:$J$596)*(A275&lt;Task_table_03_2_26!$K$2:$K$596))</f>
        <v>2</v>
      </c>
      <c r="E275" cm="1">
        <f t="array" ref="E275">SUMPRODUCT((Task_table_03_2_26!$C$2:$C$596=$E$1)*(A275&gt;Task_table_03_2_26!$J$2:$J$596)*(A275&lt;Task_table_03_2_26!$K$2:$K$596))</f>
        <v>4</v>
      </c>
    </row>
    <row r="276" spans="1:5">
      <c r="A276" s="5">
        <v>46144</v>
      </c>
      <c r="B276" cm="1">
        <f t="array" ref="B276">SUMPRODUCT((Task_table_03_2_26!$C$2:$C$596=$B$1)*(A276&gt;Task_table_03_2_26!$J$2:$J$596)*(A276&lt;Task_table_03_2_26!$K$2:$K$596))</f>
        <v>53</v>
      </c>
      <c r="C276" cm="1">
        <f t="array" ref="C276">SUMPRODUCT((Task_table_03_2_26!$C$2:$C$596=$C$1)*(A276&gt;Task_table_03_2_26!$J$2:$J$596)*(A276&lt;Task_table_03_2_26!$K$2:$K$596))</f>
        <v>16</v>
      </c>
      <c r="D276" cm="1">
        <f t="array" ref="D276">SUMPRODUCT((Task_table_03_2_26!$C$2:$C$596=$D$1)*(A276&gt;Task_table_03_2_26!$J$2:$J$596)*(A276&lt;Task_table_03_2_26!$K$2:$K$596))</f>
        <v>2</v>
      </c>
      <c r="E276" cm="1">
        <f t="array" ref="E276">SUMPRODUCT((Task_table_03_2_26!$C$2:$C$596=$E$1)*(A276&gt;Task_table_03_2_26!$J$2:$J$596)*(A276&lt;Task_table_03_2_26!$K$2:$K$596))</f>
        <v>4</v>
      </c>
    </row>
    <row r="277" spans="1:5">
      <c r="A277" s="5">
        <v>46145</v>
      </c>
      <c r="B277" cm="1">
        <f t="array" ref="B277">SUMPRODUCT((Task_table_03_2_26!$C$2:$C$596=$B$1)*(A277&gt;Task_table_03_2_26!$J$2:$J$596)*(A277&lt;Task_table_03_2_26!$K$2:$K$596))</f>
        <v>53</v>
      </c>
      <c r="C277" cm="1">
        <f t="array" ref="C277">SUMPRODUCT((Task_table_03_2_26!$C$2:$C$596=$C$1)*(A277&gt;Task_table_03_2_26!$J$2:$J$596)*(A277&lt;Task_table_03_2_26!$K$2:$K$596))</f>
        <v>16</v>
      </c>
      <c r="D277" cm="1">
        <f t="array" ref="D277">SUMPRODUCT((Task_table_03_2_26!$C$2:$C$596=$D$1)*(A277&gt;Task_table_03_2_26!$J$2:$J$596)*(A277&lt;Task_table_03_2_26!$K$2:$K$596))</f>
        <v>2</v>
      </c>
      <c r="E277" cm="1">
        <f t="array" ref="E277">SUMPRODUCT((Task_table_03_2_26!$C$2:$C$596=$E$1)*(A277&gt;Task_table_03_2_26!$J$2:$J$596)*(A277&lt;Task_table_03_2_26!$K$2:$K$596))</f>
        <v>4</v>
      </c>
    </row>
    <row r="278" spans="1:5">
      <c r="A278" s="5">
        <v>46146</v>
      </c>
      <c r="B278" cm="1">
        <f t="array" ref="B278">SUMPRODUCT((Task_table_03_2_26!$C$2:$C$596=$B$1)*(A278&gt;Task_table_03_2_26!$J$2:$J$596)*(A278&lt;Task_table_03_2_26!$K$2:$K$596))</f>
        <v>53</v>
      </c>
      <c r="C278" cm="1">
        <f t="array" ref="C278">SUMPRODUCT((Task_table_03_2_26!$C$2:$C$596=$C$1)*(A278&gt;Task_table_03_2_26!$J$2:$J$596)*(A278&lt;Task_table_03_2_26!$K$2:$K$596))</f>
        <v>16</v>
      </c>
      <c r="D278" cm="1">
        <f t="array" ref="D278">SUMPRODUCT((Task_table_03_2_26!$C$2:$C$596=$D$1)*(A278&gt;Task_table_03_2_26!$J$2:$J$596)*(A278&lt;Task_table_03_2_26!$K$2:$K$596))</f>
        <v>2</v>
      </c>
      <c r="E278" cm="1">
        <f t="array" ref="E278">SUMPRODUCT((Task_table_03_2_26!$C$2:$C$596=$E$1)*(A278&gt;Task_table_03_2_26!$J$2:$J$596)*(A278&lt;Task_table_03_2_26!$K$2:$K$596))</f>
        <v>4</v>
      </c>
    </row>
    <row r="279" spans="1:5">
      <c r="A279" s="5">
        <v>46147</v>
      </c>
      <c r="B279" cm="1">
        <f t="array" ref="B279">SUMPRODUCT((Task_table_03_2_26!$C$2:$C$596=$B$1)*(A279&gt;Task_table_03_2_26!$J$2:$J$596)*(A279&lt;Task_table_03_2_26!$K$2:$K$596))</f>
        <v>53</v>
      </c>
      <c r="C279" cm="1">
        <f t="array" ref="C279">SUMPRODUCT((Task_table_03_2_26!$C$2:$C$596=$C$1)*(A279&gt;Task_table_03_2_26!$J$2:$J$596)*(A279&lt;Task_table_03_2_26!$K$2:$K$596))</f>
        <v>16</v>
      </c>
      <c r="D279" cm="1">
        <f t="array" ref="D279">SUMPRODUCT((Task_table_03_2_26!$C$2:$C$596=$D$1)*(A279&gt;Task_table_03_2_26!$J$2:$J$596)*(A279&lt;Task_table_03_2_26!$K$2:$K$596))</f>
        <v>2</v>
      </c>
      <c r="E279" cm="1">
        <f t="array" ref="E279">SUMPRODUCT((Task_table_03_2_26!$C$2:$C$596=$E$1)*(A279&gt;Task_table_03_2_26!$J$2:$J$596)*(A279&lt;Task_table_03_2_26!$K$2:$K$596))</f>
        <v>4</v>
      </c>
    </row>
    <row r="280" spans="1:5">
      <c r="A280" s="5">
        <v>46148</v>
      </c>
      <c r="B280" cm="1">
        <f t="array" ref="B280">SUMPRODUCT((Task_table_03_2_26!$C$2:$C$596=$B$1)*(A280&gt;Task_table_03_2_26!$J$2:$J$596)*(A280&lt;Task_table_03_2_26!$K$2:$K$596))</f>
        <v>53</v>
      </c>
      <c r="C280" cm="1">
        <f t="array" ref="C280">SUMPRODUCT((Task_table_03_2_26!$C$2:$C$596=$C$1)*(A280&gt;Task_table_03_2_26!$J$2:$J$596)*(A280&lt;Task_table_03_2_26!$K$2:$K$596))</f>
        <v>16</v>
      </c>
      <c r="D280" cm="1">
        <f t="array" ref="D280">SUMPRODUCT((Task_table_03_2_26!$C$2:$C$596=$D$1)*(A280&gt;Task_table_03_2_26!$J$2:$J$596)*(A280&lt;Task_table_03_2_26!$K$2:$K$596))</f>
        <v>2</v>
      </c>
      <c r="E280" cm="1">
        <f t="array" ref="E280">SUMPRODUCT((Task_table_03_2_26!$C$2:$C$596=$E$1)*(A280&gt;Task_table_03_2_26!$J$2:$J$596)*(A280&lt;Task_table_03_2_26!$K$2:$K$596))</f>
        <v>4</v>
      </c>
    </row>
    <row r="281" spans="1:5">
      <c r="A281" s="5">
        <v>46149</v>
      </c>
      <c r="B281" cm="1">
        <f t="array" ref="B281">SUMPRODUCT((Task_table_03_2_26!$C$2:$C$596=$B$1)*(A281&gt;Task_table_03_2_26!$J$2:$J$596)*(A281&lt;Task_table_03_2_26!$K$2:$K$596))</f>
        <v>53</v>
      </c>
      <c r="C281" cm="1">
        <f t="array" ref="C281">SUMPRODUCT((Task_table_03_2_26!$C$2:$C$596=$C$1)*(A281&gt;Task_table_03_2_26!$J$2:$J$596)*(A281&lt;Task_table_03_2_26!$K$2:$K$596))</f>
        <v>16</v>
      </c>
      <c r="D281" cm="1">
        <f t="array" ref="D281">SUMPRODUCT((Task_table_03_2_26!$C$2:$C$596=$D$1)*(A281&gt;Task_table_03_2_26!$J$2:$J$596)*(A281&lt;Task_table_03_2_26!$K$2:$K$596))</f>
        <v>2</v>
      </c>
      <c r="E281" cm="1">
        <f t="array" ref="E281">SUMPRODUCT((Task_table_03_2_26!$C$2:$C$596=$E$1)*(A281&gt;Task_table_03_2_26!$J$2:$J$596)*(A281&lt;Task_table_03_2_26!$K$2:$K$596))</f>
        <v>4</v>
      </c>
    </row>
    <row r="282" spans="1:5">
      <c r="A282" s="5">
        <v>46150</v>
      </c>
      <c r="B282" cm="1">
        <f t="array" ref="B282">SUMPRODUCT((Task_table_03_2_26!$C$2:$C$596=$B$1)*(A282&gt;Task_table_03_2_26!$J$2:$J$596)*(A282&lt;Task_table_03_2_26!$K$2:$K$596))</f>
        <v>51</v>
      </c>
      <c r="C282" cm="1">
        <f t="array" ref="C282">SUMPRODUCT((Task_table_03_2_26!$C$2:$C$596=$C$1)*(A282&gt;Task_table_03_2_26!$J$2:$J$596)*(A282&lt;Task_table_03_2_26!$K$2:$K$596))</f>
        <v>16</v>
      </c>
      <c r="D282" cm="1">
        <f t="array" ref="D282">SUMPRODUCT((Task_table_03_2_26!$C$2:$C$596=$D$1)*(A282&gt;Task_table_03_2_26!$J$2:$J$596)*(A282&lt;Task_table_03_2_26!$K$2:$K$596))</f>
        <v>2</v>
      </c>
      <c r="E282" cm="1">
        <f t="array" ref="E282">SUMPRODUCT((Task_table_03_2_26!$C$2:$C$596=$E$1)*(A282&gt;Task_table_03_2_26!$J$2:$J$596)*(A282&lt;Task_table_03_2_26!$K$2:$K$596))</f>
        <v>4</v>
      </c>
    </row>
    <row r="283" spans="1:5">
      <c r="A283" s="5">
        <v>46151</v>
      </c>
      <c r="B283" cm="1">
        <f t="array" ref="B283">SUMPRODUCT((Task_table_03_2_26!$C$2:$C$596=$B$1)*(A283&gt;Task_table_03_2_26!$J$2:$J$596)*(A283&lt;Task_table_03_2_26!$K$2:$K$596))</f>
        <v>51</v>
      </c>
      <c r="C283" cm="1">
        <f t="array" ref="C283">SUMPRODUCT((Task_table_03_2_26!$C$2:$C$596=$C$1)*(A283&gt;Task_table_03_2_26!$J$2:$J$596)*(A283&lt;Task_table_03_2_26!$K$2:$K$596))</f>
        <v>17</v>
      </c>
      <c r="D283" cm="1">
        <f t="array" ref="D283">SUMPRODUCT((Task_table_03_2_26!$C$2:$C$596=$D$1)*(A283&gt;Task_table_03_2_26!$J$2:$J$596)*(A283&lt;Task_table_03_2_26!$K$2:$K$596))</f>
        <v>3</v>
      </c>
      <c r="E283" cm="1">
        <f t="array" ref="E283">SUMPRODUCT((Task_table_03_2_26!$C$2:$C$596=$E$1)*(A283&gt;Task_table_03_2_26!$J$2:$J$596)*(A283&lt;Task_table_03_2_26!$K$2:$K$596))</f>
        <v>5</v>
      </c>
    </row>
    <row r="284" spans="1:5">
      <c r="A284" s="5">
        <v>46152</v>
      </c>
      <c r="B284" cm="1">
        <f t="array" ref="B284">SUMPRODUCT((Task_table_03_2_26!$C$2:$C$596=$B$1)*(A284&gt;Task_table_03_2_26!$J$2:$J$596)*(A284&lt;Task_table_03_2_26!$K$2:$K$596))</f>
        <v>51</v>
      </c>
      <c r="C284" cm="1">
        <f t="array" ref="C284">SUMPRODUCT((Task_table_03_2_26!$C$2:$C$596=$C$1)*(A284&gt;Task_table_03_2_26!$J$2:$J$596)*(A284&lt;Task_table_03_2_26!$K$2:$K$596))</f>
        <v>17</v>
      </c>
      <c r="D284" cm="1">
        <f t="array" ref="D284">SUMPRODUCT((Task_table_03_2_26!$C$2:$C$596=$D$1)*(A284&gt;Task_table_03_2_26!$J$2:$J$596)*(A284&lt;Task_table_03_2_26!$K$2:$K$596))</f>
        <v>3</v>
      </c>
      <c r="E284" cm="1">
        <f t="array" ref="E284">SUMPRODUCT((Task_table_03_2_26!$C$2:$C$596=$E$1)*(A284&gt;Task_table_03_2_26!$J$2:$J$596)*(A284&lt;Task_table_03_2_26!$K$2:$K$596))</f>
        <v>5</v>
      </c>
    </row>
    <row r="285" spans="1:5">
      <c r="A285" s="5">
        <v>46153</v>
      </c>
      <c r="B285" cm="1">
        <f t="array" ref="B285">SUMPRODUCT((Task_table_03_2_26!$C$2:$C$596=$B$1)*(A285&gt;Task_table_03_2_26!$J$2:$J$596)*(A285&lt;Task_table_03_2_26!$K$2:$K$596))</f>
        <v>51</v>
      </c>
      <c r="C285" cm="1">
        <f t="array" ref="C285">SUMPRODUCT((Task_table_03_2_26!$C$2:$C$596=$C$1)*(A285&gt;Task_table_03_2_26!$J$2:$J$596)*(A285&lt;Task_table_03_2_26!$K$2:$K$596))</f>
        <v>17</v>
      </c>
      <c r="D285" cm="1">
        <f t="array" ref="D285">SUMPRODUCT((Task_table_03_2_26!$C$2:$C$596=$D$1)*(A285&gt;Task_table_03_2_26!$J$2:$J$596)*(A285&lt;Task_table_03_2_26!$K$2:$K$596))</f>
        <v>2</v>
      </c>
      <c r="E285" cm="1">
        <f t="array" ref="E285">SUMPRODUCT((Task_table_03_2_26!$C$2:$C$596=$E$1)*(A285&gt;Task_table_03_2_26!$J$2:$J$596)*(A285&lt;Task_table_03_2_26!$K$2:$K$596))</f>
        <v>4</v>
      </c>
    </row>
    <row r="286" spans="1:5">
      <c r="A286" s="5">
        <v>46154</v>
      </c>
      <c r="B286" cm="1">
        <f t="array" ref="B286">SUMPRODUCT((Task_table_03_2_26!$C$2:$C$596=$B$1)*(A286&gt;Task_table_03_2_26!$J$2:$J$596)*(A286&lt;Task_table_03_2_26!$K$2:$K$596))</f>
        <v>51</v>
      </c>
      <c r="C286" cm="1">
        <f t="array" ref="C286">SUMPRODUCT((Task_table_03_2_26!$C$2:$C$596=$C$1)*(A286&gt;Task_table_03_2_26!$J$2:$J$596)*(A286&lt;Task_table_03_2_26!$K$2:$K$596))</f>
        <v>17</v>
      </c>
      <c r="D286" cm="1">
        <f t="array" ref="D286">SUMPRODUCT((Task_table_03_2_26!$C$2:$C$596=$D$1)*(A286&gt;Task_table_03_2_26!$J$2:$J$596)*(A286&lt;Task_table_03_2_26!$K$2:$K$596))</f>
        <v>2</v>
      </c>
      <c r="E286" cm="1">
        <f t="array" ref="E286">SUMPRODUCT((Task_table_03_2_26!$C$2:$C$596=$E$1)*(A286&gt;Task_table_03_2_26!$J$2:$J$596)*(A286&lt;Task_table_03_2_26!$K$2:$K$596))</f>
        <v>4</v>
      </c>
    </row>
    <row r="287" spans="1:5">
      <c r="A287" s="5">
        <v>46155</v>
      </c>
      <c r="B287" cm="1">
        <f t="array" ref="B287">SUMPRODUCT((Task_table_03_2_26!$C$2:$C$596=$B$1)*(A287&gt;Task_table_03_2_26!$J$2:$J$596)*(A287&lt;Task_table_03_2_26!$K$2:$K$596))</f>
        <v>50</v>
      </c>
      <c r="C287" cm="1">
        <f t="array" ref="C287">SUMPRODUCT((Task_table_03_2_26!$C$2:$C$596=$C$1)*(A287&gt;Task_table_03_2_26!$J$2:$J$596)*(A287&lt;Task_table_03_2_26!$K$2:$K$596))</f>
        <v>17</v>
      </c>
      <c r="D287" cm="1">
        <f t="array" ref="D287">SUMPRODUCT((Task_table_03_2_26!$C$2:$C$596=$D$1)*(A287&gt;Task_table_03_2_26!$J$2:$J$596)*(A287&lt;Task_table_03_2_26!$K$2:$K$596))</f>
        <v>2</v>
      </c>
      <c r="E287" cm="1">
        <f t="array" ref="E287">SUMPRODUCT((Task_table_03_2_26!$C$2:$C$596=$E$1)*(A287&gt;Task_table_03_2_26!$J$2:$J$596)*(A287&lt;Task_table_03_2_26!$K$2:$K$596))</f>
        <v>4</v>
      </c>
    </row>
    <row r="288" spans="1:5">
      <c r="A288" s="5">
        <v>46156</v>
      </c>
      <c r="B288" cm="1">
        <f t="array" ref="B288">SUMPRODUCT((Task_table_03_2_26!$C$2:$C$596=$B$1)*(A288&gt;Task_table_03_2_26!$J$2:$J$596)*(A288&lt;Task_table_03_2_26!$K$2:$K$596))</f>
        <v>50</v>
      </c>
      <c r="C288" cm="1">
        <f t="array" ref="C288">SUMPRODUCT((Task_table_03_2_26!$C$2:$C$596=$C$1)*(A288&gt;Task_table_03_2_26!$J$2:$J$596)*(A288&lt;Task_table_03_2_26!$K$2:$K$596))</f>
        <v>17</v>
      </c>
      <c r="D288" cm="1">
        <f t="array" ref="D288">SUMPRODUCT((Task_table_03_2_26!$C$2:$C$596=$D$1)*(A288&gt;Task_table_03_2_26!$J$2:$J$596)*(A288&lt;Task_table_03_2_26!$K$2:$K$596))</f>
        <v>2</v>
      </c>
      <c r="E288" cm="1">
        <f t="array" ref="E288">SUMPRODUCT((Task_table_03_2_26!$C$2:$C$596=$E$1)*(A288&gt;Task_table_03_2_26!$J$2:$J$596)*(A288&lt;Task_table_03_2_26!$K$2:$K$596))</f>
        <v>4</v>
      </c>
    </row>
    <row r="289" spans="1:5">
      <c r="A289" s="5">
        <v>46157</v>
      </c>
      <c r="B289" cm="1">
        <f t="array" ref="B289">SUMPRODUCT((Task_table_03_2_26!$C$2:$C$596=$B$1)*(A289&gt;Task_table_03_2_26!$J$2:$J$596)*(A289&lt;Task_table_03_2_26!$K$2:$K$596))</f>
        <v>48</v>
      </c>
      <c r="C289" cm="1">
        <f t="array" ref="C289">SUMPRODUCT((Task_table_03_2_26!$C$2:$C$596=$C$1)*(A289&gt;Task_table_03_2_26!$J$2:$J$596)*(A289&lt;Task_table_03_2_26!$K$2:$K$596))</f>
        <v>18</v>
      </c>
      <c r="D289" cm="1">
        <f t="array" ref="D289">SUMPRODUCT((Task_table_03_2_26!$C$2:$C$596=$D$1)*(A289&gt;Task_table_03_2_26!$J$2:$J$596)*(A289&lt;Task_table_03_2_26!$K$2:$K$596))</f>
        <v>2</v>
      </c>
      <c r="E289" cm="1">
        <f t="array" ref="E289">SUMPRODUCT((Task_table_03_2_26!$C$2:$C$596=$E$1)*(A289&gt;Task_table_03_2_26!$J$2:$J$596)*(A289&lt;Task_table_03_2_26!$K$2:$K$596))</f>
        <v>4</v>
      </c>
    </row>
    <row r="290" spans="1:5">
      <c r="A290" s="5">
        <v>46158</v>
      </c>
      <c r="B290" cm="1">
        <f t="array" ref="B290">SUMPRODUCT((Task_table_03_2_26!$C$2:$C$596=$B$1)*(A290&gt;Task_table_03_2_26!$J$2:$J$596)*(A290&lt;Task_table_03_2_26!$K$2:$K$596))</f>
        <v>48</v>
      </c>
      <c r="C290" cm="1">
        <f t="array" ref="C290">SUMPRODUCT((Task_table_03_2_26!$C$2:$C$596=$C$1)*(A290&gt;Task_table_03_2_26!$J$2:$J$596)*(A290&lt;Task_table_03_2_26!$K$2:$K$596))</f>
        <v>18</v>
      </c>
      <c r="D290" cm="1">
        <f t="array" ref="D290">SUMPRODUCT((Task_table_03_2_26!$C$2:$C$596=$D$1)*(A290&gt;Task_table_03_2_26!$J$2:$J$596)*(A290&lt;Task_table_03_2_26!$K$2:$K$596))</f>
        <v>2</v>
      </c>
      <c r="E290" cm="1">
        <f t="array" ref="E290">SUMPRODUCT((Task_table_03_2_26!$C$2:$C$596=$E$1)*(A290&gt;Task_table_03_2_26!$J$2:$J$596)*(A290&lt;Task_table_03_2_26!$K$2:$K$596))</f>
        <v>4</v>
      </c>
    </row>
    <row r="291" spans="1:5">
      <c r="A291" s="5">
        <v>46159</v>
      </c>
      <c r="B291" cm="1">
        <f t="array" ref="B291">SUMPRODUCT((Task_table_03_2_26!$C$2:$C$596=$B$1)*(A291&gt;Task_table_03_2_26!$J$2:$J$596)*(A291&lt;Task_table_03_2_26!$K$2:$K$596))</f>
        <v>48</v>
      </c>
      <c r="C291" cm="1">
        <f t="array" ref="C291">SUMPRODUCT((Task_table_03_2_26!$C$2:$C$596=$C$1)*(A291&gt;Task_table_03_2_26!$J$2:$J$596)*(A291&lt;Task_table_03_2_26!$K$2:$K$596))</f>
        <v>18</v>
      </c>
      <c r="D291" cm="1">
        <f t="array" ref="D291">SUMPRODUCT((Task_table_03_2_26!$C$2:$C$596=$D$1)*(A291&gt;Task_table_03_2_26!$J$2:$J$596)*(A291&lt;Task_table_03_2_26!$K$2:$K$596))</f>
        <v>2</v>
      </c>
      <c r="E291" cm="1">
        <f t="array" ref="E291">SUMPRODUCT((Task_table_03_2_26!$C$2:$C$596=$E$1)*(A291&gt;Task_table_03_2_26!$J$2:$J$596)*(A291&lt;Task_table_03_2_26!$K$2:$K$596))</f>
        <v>4</v>
      </c>
    </row>
    <row r="292" spans="1:5">
      <c r="A292" s="5">
        <v>46160</v>
      </c>
      <c r="B292" cm="1">
        <f t="array" ref="B292">SUMPRODUCT((Task_table_03_2_26!$C$2:$C$596=$B$1)*(A292&gt;Task_table_03_2_26!$J$2:$J$596)*(A292&lt;Task_table_03_2_26!$K$2:$K$596))</f>
        <v>48</v>
      </c>
      <c r="C292" cm="1">
        <f t="array" ref="C292">SUMPRODUCT((Task_table_03_2_26!$C$2:$C$596=$C$1)*(A292&gt;Task_table_03_2_26!$J$2:$J$596)*(A292&lt;Task_table_03_2_26!$K$2:$K$596))</f>
        <v>18</v>
      </c>
      <c r="D292" cm="1">
        <f t="array" ref="D292">SUMPRODUCT((Task_table_03_2_26!$C$2:$C$596=$D$1)*(A292&gt;Task_table_03_2_26!$J$2:$J$596)*(A292&lt;Task_table_03_2_26!$K$2:$K$596))</f>
        <v>2</v>
      </c>
      <c r="E292" cm="1">
        <f t="array" ref="E292">SUMPRODUCT((Task_table_03_2_26!$C$2:$C$596=$E$1)*(A292&gt;Task_table_03_2_26!$J$2:$J$596)*(A292&lt;Task_table_03_2_26!$K$2:$K$596))</f>
        <v>4</v>
      </c>
    </row>
    <row r="293" spans="1:5">
      <c r="A293" s="5">
        <v>46161</v>
      </c>
      <c r="B293" cm="1">
        <f t="array" ref="B293">SUMPRODUCT((Task_table_03_2_26!$C$2:$C$596=$B$1)*(A293&gt;Task_table_03_2_26!$J$2:$J$596)*(A293&lt;Task_table_03_2_26!$K$2:$K$596))</f>
        <v>48</v>
      </c>
      <c r="C293" cm="1">
        <f t="array" ref="C293">SUMPRODUCT((Task_table_03_2_26!$C$2:$C$596=$C$1)*(A293&gt;Task_table_03_2_26!$J$2:$J$596)*(A293&lt;Task_table_03_2_26!$K$2:$K$596))</f>
        <v>19</v>
      </c>
      <c r="D293" cm="1">
        <f t="array" ref="D293">SUMPRODUCT((Task_table_03_2_26!$C$2:$C$596=$D$1)*(A293&gt;Task_table_03_2_26!$J$2:$J$596)*(A293&lt;Task_table_03_2_26!$K$2:$K$596))</f>
        <v>2</v>
      </c>
      <c r="E293" cm="1">
        <f t="array" ref="E293">SUMPRODUCT((Task_table_03_2_26!$C$2:$C$596=$E$1)*(A293&gt;Task_table_03_2_26!$J$2:$J$596)*(A293&lt;Task_table_03_2_26!$K$2:$K$596))</f>
        <v>4</v>
      </c>
    </row>
    <row r="294" spans="1:5">
      <c r="A294" s="5">
        <v>46162</v>
      </c>
      <c r="B294" cm="1">
        <f t="array" ref="B294">SUMPRODUCT((Task_table_03_2_26!$C$2:$C$596=$B$1)*(A294&gt;Task_table_03_2_26!$J$2:$J$596)*(A294&lt;Task_table_03_2_26!$K$2:$K$596))</f>
        <v>47</v>
      </c>
      <c r="C294" cm="1">
        <f t="array" ref="C294">SUMPRODUCT((Task_table_03_2_26!$C$2:$C$596=$C$1)*(A294&gt;Task_table_03_2_26!$J$2:$J$596)*(A294&lt;Task_table_03_2_26!$K$2:$K$596))</f>
        <v>19</v>
      </c>
      <c r="D294" cm="1">
        <f t="array" ref="D294">SUMPRODUCT((Task_table_03_2_26!$C$2:$C$596=$D$1)*(A294&gt;Task_table_03_2_26!$J$2:$J$596)*(A294&lt;Task_table_03_2_26!$K$2:$K$596))</f>
        <v>2</v>
      </c>
      <c r="E294" cm="1">
        <f t="array" ref="E294">SUMPRODUCT((Task_table_03_2_26!$C$2:$C$596=$E$1)*(A294&gt;Task_table_03_2_26!$J$2:$J$596)*(A294&lt;Task_table_03_2_26!$K$2:$K$596))</f>
        <v>4</v>
      </c>
    </row>
    <row r="295" spans="1:5">
      <c r="A295" s="5">
        <v>46163</v>
      </c>
      <c r="B295" cm="1">
        <f t="array" ref="B295">SUMPRODUCT((Task_table_03_2_26!$C$2:$C$596=$B$1)*(A295&gt;Task_table_03_2_26!$J$2:$J$596)*(A295&lt;Task_table_03_2_26!$K$2:$K$596))</f>
        <v>46</v>
      </c>
      <c r="C295" cm="1">
        <f t="array" ref="C295">SUMPRODUCT((Task_table_03_2_26!$C$2:$C$596=$C$1)*(A295&gt;Task_table_03_2_26!$J$2:$J$596)*(A295&lt;Task_table_03_2_26!$K$2:$K$596))</f>
        <v>19</v>
      </c>
      <c r="D295" cm="1">
        <f t="array" ref="D295">SUMPRODUCT((Task_table_03_2_26!$C$2:$C$596=$D$1)*(A295&gt;Task_table_03_2_26!$J$2:$J$596)*(A295&lt;Task_table_03_2_26!$K$2:$K$596))</f>
        <v>2</v>
      </c>
      <c r="E295" cm="1">
        <f t="array" ref="E295">SUMPRODUCT((Task_table_03_2_26!$C$2:$C$596=$E$1)*(A295&gt;Task_table_03_2_26!$J$2:$J$596)*(A295&lt;Task_table_03_2_26!$K$2:$K$596))</f>
        <v>4</v>
      </c>
    </row>
    <row r="296" spans="1:5">
      <c r="A296" s="5">
        <v>46164</v>
      </c>
      <c r="B296" cm="1">
        <f t="array" ref="B296">SUMPRODUCT((Task_table_03_2_26!$C$2:$C$596=$B$1)*(A296&gt;Task_table_03_2_26!$J$2:$J$596)*(A296&lt;Task_table_03_2_26!$K$2:$K$596))</f>
        <v>46</v>
      </c>
      <c r="C296" cm="1">
        <f t="array" ref="C296">SUMPRODUCT((Task_table_03_2_26!$C$2:$C$596=$C$1)*(A296&gt;Task_table_03_2_26!$J$2:$J$596)*(A296&lt;Task_table_03_2_26!$K$2:$K$596))</f>
        <v>19</v>
      </c>
      <c r="D296" cm="1">
        <f t="array" ref="D296">SUMPRODUCT((Task_table_03_2_26!$C$2:$C$596=$D$1)*(A296&gt;Task_table_03_2_26!$J$2:$J$596)*(A296&lt;Task_table_03_2_26!$K$2:$K$596))</f>
        <v>2</v>
      </c>
      <c r="E296" cm="1">
        <f t="array" ref="E296">SUMPRODUCT((Task_table_03_2_26!$C$2:$C$596=$E$1)*(A296&gt;Task_table_03_2_26!$J$2:$J$596)*(A296&lt;Task_table_03_2_26!$K$2:$K$596))</f>
        <v>4</v>
      </c>
    </row>
    <row r="297" spans="1:5">
      <c r="A297" s="5">
        <v>46165</v>
      </c>
      <c r="B297" cm="1">
        <f t="array" ref="B297">SUMPRODUCT((Task_table_03_2_26!$C$2:$C$596=$B$1)*(A297&gt;Task_table_03_2_26!$J$2:$J$596)*(A297&lt;Task_table_03_2_26!$K$2:$K$596))</f>
        <v>46</v>
      </c>
      <c r="C297" cm="1">
        <f t="array" ref="C297">SUMPRODUCT((Task_table_03_2_26!$C$2:$C$596=$C$1)*(A297&gt;Task_table_03_2_26!$J$2:$J$596)*(A297&lt;Task_table_03_2_26!$K$2:$K$596))</f>
        <v>19</v>
      </c>
      <c r="D297" cm="1">
        <f t="array" ref="D297">SUMPRODUCT((Task_table_03_2_26!$C$2:$C$596=$D$1)*(A297&gt;Task_table_03_2_26!$J$2:$J$596)*(A297&lt;Task_table_03_2_26!$K$2:$K$596))</f>
        <v>2</v>
      </c>
      <c r="E297" cm="1">
        <f t="array" ref="E297">SUMPRODUCT((Task_table_03_2_26!$C$2:$C$596=$E$1)*(A297&gt;Task_table_03_2_26!$J$2:$J$596)*(A297&lt;Task_table_03_2_26!$K$2:$K$596))</f>
        <v>4</v>
      </c>
    </row>
    <row r="298" spans="1:5">
      <c r="A298" s="5">
        <v>46166</v>
      </c>
      <c r="B298" cm="1">
        <f t="array" ref="B298">SUMPRODUCT((Task_table_03_2_26!$C$2:$C$596=$B$1)*(A298&gt;Task_table_03_2_26!$J$2:$J$596)*(A298&lt;Task_table_03_2_26!$K$2:$K$596))</f>
        <v>46</v>
      </c>
      <c r="C298" cm="1">
        <f t="array" ref="C298">SUMPRODUCT((Task_table_03_2_26!$C$2:$C$596=$C$1)*(A298&gt;Task_table_03_2_26!$J$2:$J$596)*(A298&lt;Task_table_03_2_26!$K$2:$K$596))</f>
        <v>19</v>
      </c>
      <c r="D298" cm="1">
        <f t="array" ref="D298">SUMPRODUCT((Task_table_03_2_26!$C$2:$C$596=$D$1)*(A298&gt;Task_table_03_2_26!$J$2:$J$596)*(A298&lt;Task_table_03_2_26!$K$2:$K$596))</f>
        <v>2</v>
      </c>
      <c r="E298" cm="1">
        <f t="array" ref="E298">SUMPRODUCT((Task_table_03_2_26!$C$2:$C$596=$E$1)*(A298&gt;Task_table_03_2_26!$J$2:$J$596)*(A298&lt;Task_table_03_2_26!$K$2:$K$596))</f>
        <v>4</v>
      </c>
    </row>
    <row r="299" spans="1:5">
      <c r="A299" s="5">
        <v>46167</v>
      </c>
      <c r="B299" cm="1">
        <f t="array" ref="B299">SUMPRODUCT((Task_table_03_2_26!$C$2:$C$596=$B$1)*(A299&gt;Task_table_03_2_26!$J$2:$J$596)*(A299&lt;Task_table_03_2_26!$K$2:$K$596))</f>
        <v>46</v>
      </c>
      <c r="C299" cm="1">
        <f t="array" ref="C299">SUMPRODUCT((Task_table_03_2_26!$C$2:$C$596=$C$1)*(A299&gt;Task_table_03_2_26!$J$2:$J$596)*(A299&lt;Task_table_03_2_26!$K$2:$K$596))</f>
        <v>19</v>
      </c>
      <c r="D299" cm="1">
        <f t="array" ref="D299">SUMPRODUCT((Task_table_03_2_26!$C$2:$C$596=$D$1)*(A299&gt;Task_table_03_2_26!$J$2:$J$596)*(A299&lt;Task_table_03_2_26!$K$2:$K$596))</f>
        <v>2</v>
      </c>
      <c r="E299" cm="1">
        <f t="array" ref="E299">SUMPRODUCT((Task_table_03_2_26!$C$2:$C$596=$E$1)*(A299&gt;Task_table_03_2_26!$J$2:$J$596)*(A299&lt;Task_table_03_2_26!$K$2:$K$596))</f>
        <v>4</v>
      </c>
    </row>
    <row r="300" spans="1:5">
      <c r="A300" s="5">
        <v>46168</v>
      </c>
      <c r="B300" cm="1">
        <f t="array" ref="B300">SUMPRODUCT((Task_table_03_2_26!$C$2:$C$596=$B$1)*(A300&gt;Task_table_03_2_26!$J$2:$J$596)*(A300&lt;Task_table_03_2_26!$K$2:$K$596))</f>
        <v>46</v>
      </c>
      <c r="C300" cm="1">
        <f t="array" ref="C300">SUMPRODUCT((Task_table_03_2_26!$C$2:$C$596=$C$1)*(A300&gt;Task_table_03_2_26!$J$2:$J$596)*(A300&lt;Task_table_03_2_26!$K$2:$K$596))</f>
        <v>20</v>
      </c>
      <c r="D300" cm="1">
        <f t="array" ref="D300">SUMPRODUCT((Task_table_03_2_26!$C$2:$C$596=$D$1)*(A300&gt;Task_table_03_2_26!$J$2:$J$596)*(A300&lt;Task_table_03_2_26!$K$2:$K$596))</f>
        <v>2</v>
      </c>
      <c r="E300" cm="1">
        <f t="array" ref="E300">SUMPRODUCT((Task_table_03_2_26!$C$2:$C$596=$E$1)*(A300&gt;Task_table_03_2_26!$J$2:$J$596)*(A300&lt;Task_table_03_2_26!$K$2:$K$596))</f>
        <v>4</v>
      </c>
    </row>
    <row r="301" spans="1:5">
      <c r="A301" s="5">
        <v>46169</v>
      </c>
      <c r="B301" cm="1">
        <f t="array" ref="B301">SUMPRODUCT((Task_table_03_2_26!$C$2:$C$596=$B$1)*(A301&gt;Task_table_03_2_26!$J$2:$J$596)*(A301&lt;Task_table_03_2_26!$K$2:$K$596))</f>
        <v>46</v>
      </c>
      <c r="C301" cm="1">
        <f t="array" ref="C301">SUMPRODUCT((Task_table_03_2_26!$C$2:$C$596=$C$1)*(A301&gt;Task_table_03_2_26!$J$2:$J$596)*(A301&lt;Task_table_03_2_26!$K$2:$K$596))</f>
        <v>20</v>
      </c>
      <c r="D301" cm="1">
        <f t="array" ref="D301">SUMPRODUCT((Task_table_03_2_26!$C$2:$C$596=$D$1)*(A301&gt;Task_table_03_2_26!$J$2:$J$596)*(A301&lt;Task_table_03_2_26!$K$2:$K$596))</f>
        <v>2</v>
      </c>
      <c r="E301" cm="1">
        <f t="array" ref="E301">SUMPRODUCT((Task_table_03_2_26!$C$2:$C$596=$E$1)*(A301&gt;Task_table_03_2_26!$J$2:$J$596)*(A301&lt;Task_table_03_2_26!$K$2:$K$596))</f>
        <v>4</v>
      </c>
    </row>
    <row r="302" spans="1:5">
      <c r="A302" s="5">
        <v>46170</v>
      </c>
      <c r="B302" cm="1">
        <f t="array" ref="B302">SUMPRODUCT((Task_table_03_2_26!$C$2:$C$596=$B$1)*(A302&gt;Task_table_03_2_26!$J$2:$J$596)*(A302&lt;Task_table_03_2_26!$K$2:$K$596))</f>
        <v>46</v>
      </c>
      <c r="C302" cm="1">
        <f t="array" ref="C302">SUMPRODUCT((Task_table_03_2_26!$C$2:$C$596=$C$1)*(A302&gt;Task_table_03_2_26!$J$2:$J$596)*(A302&lt;Task_table_03_2_26!$K$2:$K$596))</f>
        <v>20</v>
      </c>
      <c r="D302" cm="1">
        <f t="array" ref="D302">SUMPRODUCT((Task_table_03_2_26!$C$2:$C$596=$D$1)*(A302&gt;Task_table_03_2_26!$J$2:$J$596)*(A302&lt;Task_table_03_2_26!$K$2:$K$596))</f>
        <v>2</v>
      </c>
      <c r="E302" cm="1">
        <f t="array" ref="E302">SUMPRODUCT((Task_table_03_2_26!$C$2:$C$596=$E$1)*(A302&gt;Task_table_03_2_26!$J$2:$J$596)*(A302&lt;Task_table_03_2_26!$K$2:$K$596))</f>
        <v>4</v>
      </c>
    </row>
    <row r="303" spans="1:5">
      <c r="A303" s="5">
        <v>46171</v>
      </c>
      <c r="B303" cm="1">
        <f t="array" ref="B303">SUMPRODUCT((Task_table_03_2_26!$C$2:$C$596=$B$1)*(A303&gt;Task_table_03_2_26!$J$2:$J$596)*(A303&lt;Task_table_03_2_26!$K$2:$K$596))</f>
        <v>46</v>
      </c>
      <c r="C303" cm="1">
        <f t="array" ref="C303">SUMPRODUCT((Task_table_03_2_26!$C$2:$C$596=$C$1)*(A303&gt;Task_table_03_2_26!$J$2:$J$596)*(A303&lt;Task_table_03_2_26!$K$2:$K$596))</f>
        <v>20</v>
      </c>
      <c r="D303" cm="1">
        <f t="array" ref="D303">SUMPRODUCT((Task_table_03_2_26!$C$2:$C$596=$D$1)*(A303&gt;Task_table_03_2_26!$J$2:$J$596)*(A303&lt;Task_table_03_2_26!$K$2:$K$596))</f>
        <v>2</v>
      </c>
      <c r="E303" cm="1">
        <f t="array" ref="E303">SUMPRODUCT((Task_table_03_2_26!$C$2:$C$596=$E$1)*(A303&gt;Task_table_03_2_26!$J$2:$J$596)*(A303&lt;Task_table_03_2_26!$K$2:$K$596))</f>
        <v>4</v>
      </c>
    </row>
    <row r="304" spans="1:5">
      <c r="A304" s="5">
        <v>46172</v>
      </c>
      <c r="B304" cm="1">
        <f t="array" ref="B304">SUMPRODUCT((Task_table_03_2_26!$C$2:$C$596=$B$1)*(A304&gt;Task_table_03_2_26!$J$2:$J$596)*(A304&lt;Task_table_03_2_26!$K$2:$K$596))</f>
        <v>46</v>
      </c>
      <c r="C304" cm="1">
        <f t="array" ref="C304">SUMPRODUCT((Task_table_03_2_26!$C$2:$C$596=$C$1)*(A304&gt;Task_table_03_2_26!$J$2:$J$596)*(A304&lt;Task_table_03_2_26!$K$2:$K$596))</f>
        <v>20</v>
      </c>
      <c r="D304" cm="1">
        <f t="array" ref="D304">SUMPRODUCT((Task_table_03_2_26!$C$2:$C$596=$D$1)*(A304&gt;Task_table_03_2_26!$J$2:$J$596)*(A304&lt;Task_table_03_2_26!$K$2:$K$596))</f>
        <v>2</v>
      </c>
      <c r="E304" cm="1">
        <f t="array" ref="E304">SUMPRODUCT((Task_table_03_2_26!$C$2:$C$596=$E$1)*(A304&gt;Task_table_03_2_26!$J$2:$J$596)*(A304&lt;Task_table_03_2_26!$K$2:$K$596))</f>
        <v>4</v>
      </c>
    </row>
    <row r="305" spans="1:5">
      <c r="A305" s="5">
        <v>46173</v>
      </c>
      <c r="B305" cm="1">
        <f t="array" ref="B305">SUMPRODUCT((Task_table_03_2_26!$C$2:$C$596=$B$1)*(A305&gt;Task_table_03_2_26!$J$2:$J$596)*(A305&lt;Task_table_03_2_26!$K$2:$K$596))</f>
        <v>39</v>
      </c>
      <c r="C305" cm="1">
        <f t="array" ref="C305">SUMPRODUCT((Task_table_03_2_26!$C$2:$C$596=$C$1)*(A305&gt;Task_table_03_2_26!$J$2:$J$596)*(A305&lt;Task_table_03_2_26!$K$2:$K$596))</f>
        <v>19</v>
      </c>
      <c r="D305" cm="1">
        <f t="array" ref="D305">SUMPRODUCT((Task_table_03_2_26!$C$2:$C$596=$D$1)*(A305&gt;Task_table_03_2_26!$J$2:$J$596)*(A305&lt;Task_table_03_2_26!$K$2:$K$596))</f>
        <v>2</v>
      </c>
      <c r="E305" cm="1">
        <f t="array" ref="E305">SUMPRODUCT((Task_table_03_2_26!$C$2:$C$596=$E$1)*(A305&gt;Task_table_03_2_26!$J$2:$J$596)*(A305&lt;Task_table_03_2_26!$K$2:$K$596))</f>
        <v>4</v>
      </c>
    </row>
    <row r="306" spans="1:5">
      <c r="A306" s="5">
        <v>46174</v>
      </c>
      <c r="B306" cm="1">
        <f t="array" ref="B306">SUMPRODUCT((Task_table_03_2_26!$C$2:$C$596=$B$1)*(A306&gt;Task_table_03_2_26!$J$2:$J$596)*(A306&lt;Task_table_03_2_26!$K$2:$K$596))</f>
        <v>39</v>
      </c>
      <c r="C306" cm="1">
        <f t="array" ref="C306">SUMPRODUCT((Task_table_03_2_26!$C$2:$C$596=$C$1)*(A306&gt;Task_table_03_2_26!$J$2:$J$596)*(A306&lt;Task_table_03_2_26!$K$2:$K$596))</f>
        <v>19</v>
      </c>
      <c r="D306" cm="1">
        <f t="array" ref="D306">SUMPRODUCT((Task_table_03_2_26!$C$2:$C$596=$D$1)*(A306&gt;Task_table_03_2_26!$J$2:$J$596)*(A306&lt;Task_table_03_2_26!$K$2:$K$596))</f>
        <v>2</v>
      </c>
      <c r="E306" cm="1">
        <f t="array" ref="E306">SUMPRODUCT((Task_table_03_2_26!$C$2:$C$596=$E$1)*(A306&gt;Task_table_03_2_26!$J$2:$J$596)*(A306&lt;Task_table_03_2_26!$K$2:$K$596))</f>
        <v>4</v>
      </c>
    </row>
    <row r="307" spans="1:5">
      <c r="A307" s="5">
        <v>46175</v>
      </c>
      <c r="B307" cm="1">
        <f t="array" ref="B307">SUMPRODUCT((Task_table_03_2_26!$C$2:$C$596=$B$1)*(A307&gt;Task_table_03_2_26!$J$2:$J$596)*(A307&lt;Task_table_03_2_26!$K$2:$K$596))</f>
        <v>39</v>
      </c>
      <c r="C307" cm="1">
        <f t="array" ref="C307">SUMPRODUCT((Task_table_03_2_26!$C$2:$C$596=$C$1)*(A307&gt;Task_table_03_2_26!$J$2:$J$596)*(A307&lt;Task_table_03_2_26!$K$2:$K$596))</f>
        <v>20</v>
      </c>
      <c r="D307" cm="1">
        <f t="array" ref="D307">SUMPRODUCT((Task_table_03_2_26!$C$2:$C$596=$D$1)*(A307&gt;Task_table_03_2_26!$J$2:$J$596)*(A307&lt;Task_table_03_2_26!$K$2:$K$596))</f>
        <v>3</v>
      </c>
      <c r="E307" cm="1">
        <f t="array" ref="E307">SUMPRODUCT((Task_table_03_2_26!$C$2:$C$596=$E$1)*(A307&gt;Task_table_03_2_26!$J$2:$J$596)*(A307&lt;Task_table_03_2_26!$K$2:$K$596))</f>
        <v>5</v>
      </c>
    </row>
    <row r="308" spans="1:5">
      <c r="A308" s="5">
        <v>46176</v>
      </c>
      <c r="B308" cm="1">
        <f t="array" ref="B308">SUMPRODUCT((Task_table_03_2_26!$C$2:$C$596=$B$1)*(A308&gt;Task_table_03_2_26!$J$2:$J$596)*(A308&lt;Task_table_03_2_26!$K$2:$K$596))</f>
        <v>39</v>
      </c>
      <c r="C308" cm="1">
        <f t="array" ref="C308">SUMPRODUCT((Task_table_03_2_26!$C$2:$C$596=$C$1)*(A308&gt;Task_table_03_2_26!$J$2:$J$596)*(A308&lt;Task_table_03_2_26!$K$2:$K$596))</f>
        <v>20</v>
      </c>
      <c r="D308" cm="1">
        <f t="array" ref="D308">SUMPRODUCT((Task_table_03_2_26!$C$2:$C$596=$D$1)*(A308&gt;Task_table_03_2_26!$J$2:$J$596)*(A308&lt;Task_table_03_2_26!$K$2:$K$596))</f>
        <v>3</v>
      </c>
      <c r="E308" cm="1">
        <f t="array" ref="E308">SUMPRODUCT((Task_table_03_2_26!$C$2:$C$596=$E$1)*(A308&gt;Task_table_03_2_26!$J$2:$J$596)*(A308&lt;Task_table_03_2_26!$K$2:$K$596))</f>
        <v>5</v>
      </c>
    </row>
    <row r="309" spans="1:5">
      <c r="A309" s="5">
        <v>46177</v>
      </c>
      <c r="B309" cm="1">
        <f t="array" ref="B309">SUMPRODUCT((Task_table_03_2_26!$C$2:$C$596=$B$1)*(A309&gt;Task_table_03_2_26!$J$2:$J$596)*(A309&lt;Task_table_03_2_26!$K$2:$K$596))</f>
        <v>39</v>
      </c>
      <c r="C309" cm="1">
        <f t="array" ref="C309">SUMPRODUCT((Task_table_03_2_26!$C$2:$C$596=$C$1)*(A309&gt;Task_table_03_2_26!$J$2:$J$596)*(A309&lt;Task_table_03_2_26!$K$2:$K$596))</f>
        <v>20</v>
      </c>
      <c r="D309" cm="1">
        <f t="array" ref="D309">SUMPRODUCT((Task_table_03_2_26!$C$2:$C$596=$D$1)*(A309&gt;Task_table_03_2_26!$J$2:$J$596)*(A309&lt;Task_table_03_2_26!$K$2:$K$596))</f>
        <v>3</v>
      </c>
      <c r="E309" cm="1">
        <f t="array" ref="E309">SUMPRODUCT((Task_table_03_2_26!$C$2:$C$596=$E$1)*(A309&gt;Task_table_03_2_26!$J$2:$J$596)*(A309&lt;Task_table_03_2_26!$K$2:$K$596))</f>
        <v>5</v>
      </c>
    </row>
    <row r="310" spans="1:5">
      <c r="A310" s="5">
        <v>46178</v>
      </c>
      <c r="B310" cm="1">
        <f t="array" ref="B310">SUMPRODUCT((Task_table_03_2_26!$C$2:$C$596=$B$1)*(A310&gt;Task_table_03_2_26!$J$2:$J$596)*(A310&lt;Task_table_03_2_26!$K$2:$K$596))</f>
        <v>39</v>
      </c>
      <c r="C310" cm="1">
        <f t="array" ref="C310">SUMPRODUCT((Task_table_03_2_26!$C$2:$C$596=$C$1)*(A310&gt;Task_table_03_2_26!$J$2:$J$596)*(A310&lt;Task_table_03_2_26!$K$2:$K$596))</f>
        <v>20</v>
      </c>
      <c r="D310" cm="1">
        <f t="array" ref="D310">SUMPRODUCT((Task_table_03_2_26!$C$2:$C$596=$D$1)*(A310&gt;Task_table_03_2_26!$J$2:$J$596)*(A310&lt;Task_table_03_2_26!$K$2:$K$596))</f>
        <v>3</v>
      </c>
      <c r="E310" cm="1">
        <f t="array" ref="E310">SUMPRODUCT((Task_table_03_2_26!$C$2:$C$596=$E$1)*(A310&gt;Task_table_03_2_26!$J$2:$J$596)*(A310&lt;Task_table_03_2_26!$K$2:$K$596))</f>
        <v>5</v>
      </c>
    </row>
    <row r="311" spans="1:5">
      <c r="A311" s="5">
        <v>46179</v>
      </c>
      <c r="B311" cm="1">
        <f t="array" ref="B311">SUMPRODUCT((Task_table_03_2_26!$C$2:$C$596=$B$1)*(A311&gt;Task_table_03_2_26!$J$2:$J$596)*(A311&lt;Task_table_03_2_26!$K$2:$K$596))</f>
        <v>39</v>
      </c>
      <c r="C311" cm="1">
        <f t="array" ref="C311">SUMPRODUCT((Task_table_03_2_26!$C$2:$C$596=$C$1)*(A311&gt;Task_table_03_2_26!$J$2:$J$596)*(A311&lt;Task_table_03_2_26!$K$2:$K$596))</f>
        <v>20</v>
      </c>
      <c r="D311" cm="1">
        <f t="array" ref="D311">SUMPRODUCT((Task_table_03_2_26!$C$2:$C$596=$D$1)*(A311&gt;Task_table_03_2_26!$J$2:$J$596)*(A311&lt;Task_table_03_2_26!$K$2:$K$596))</f>
        <v>3</v>
      </c>
      <c r="E311" cm="1">
        <f t="array" ref="E311">SUMPRODUCT((Task_table_03_2_26!$C$2:$C$596=$E$1)*(A311&gt;Task_table_03_2_26!$J$2:$J$596)*(A311&lt;Task_table_03_2_26!$K$2:$K$596))</f>
        <v>5</v>
      </c>
    </row>
    <row r="312" spans="1:5">
      <c r="A312" s="5">
        <v>46180</v>
      </c>
      <c r="B312" cm="1">
        <f t="array" ref="B312">SUMPRODUCT((Task_table_03_2_26!$C$2:$C$596=$B$1)*(A312&gt;Task_table_03_2_26!$J$2:$J$596)*(A312&lt;Task_table_03_2_26!$K$2:$K$596))</f>
        <v>39</v>
      </c>
      <c r="C312" cm="1">
        <f t="array" ref="C312">SUMPRODUCT((Task_table_03_2_26!$C$2:$C$596=$C$1)*(A312&gt;Task_table_03_2_26!$J$2:$J$596)*(A312&lt;Task_table_03_2_26!$K$2:$K$596))</f>
        <v>20</v>
      </c>
      <c r="D312" cm="1">
        <f t="array" ref="D312">SUMPRODUCT((Task_table_03_2_26!$C$2:$C$596=$D$1)*(A312&gt;Task_table_03_2_26!$J$2:$J$596)*(A312&lt;Task_table_03_2_26!$K$2:$K$596))</f>
        <v>3</v>
      </c>
      <c r="E312" cm="1">
        <f t="array" ref="E312">SUMPRODUCT((Task_table_03_2_26!$C$2:$C$596=$E$1)*(A312&gt;Task_table_03_2_26!$J$2:$J$596)*(A312&lt;Task_table_03_2_26!$K$2:$K$596))</f>
        <v>5</v>
      </c>
    </row>
    <row r="313" spans="1:5">
      <c r="A313" s="5">
        <v>46181</v>
      </c>
      <c r="B313" cm="1">
        <f t="array" ref="B313">SUMPRODUCT((Task_table_03_2_26!$C$2:$C$596=$B$1)*(A313&gt;Task_table_03_2_26!$J$2:$J$596)*(A313&lt;Task_table_03_2_26!$K$2:$K$596))</f>
        <v>39</v>
      </c>
      <c r="C313" cm="1">
        <f t="array" ref="C313">SUMPRODUCT((Task_table_03_2_26!$C$2:$C$596=$C$1)*(A313&gt;Task_table_03_2_26!$J$2:$J$596)*(A313&lt;Task_table_03_2_26!$K$2:$K$596))</f>
        <v>20</v>
      </c>
      <c r="D313" cm="1">
        <f t="array" ref="D313">SUMPRODUCT((Task_table_03_2_26!$C$2:$C$596=$D$1)*(A313&gt;Task_table_03_2_26!$J$2:$J$596)*(A313&lt;Task_table_03_2_26!$K$2:$K$596))</f>
        <v>3</v>
      </c>
      <c r="E313" cm="1">
        <f t="array" ref="E313">SUMPRODUCT((Task_table_03_2_26!$C$2:$C$596=$E$1)*(A313&gt;Task_table_03_2_26!$J$2:$J$596)*(A313&lt;Task_table_03_2_26!$K$2:$K$596))</f>
        <v>5</v>
      </c>
    </row>
    <row r="314" spans="1:5">
      <c r="A314" s="5">
        <v>46182</v>
      </c>
      <c r="B314" cm="1">
        <f t="array" ref="B314">SUMPRODUCT((Task_table_03_2_26!$C$2:$C$596=$B$1)*(A314&gt;Task_table_03_2_26!$J$2:$J$596)*(A314&lt;Task_table_03_2_26!$K$2:$K$596))</f>
        <v>39</v>
      </c>
      <c r="C314" cm="1">
        <f t="array" ref="C314">SUMPRODUCT((Task_table_03_2_26!$C$2:$C$596=$C$1)*(A314&gt;Task_table_03_2_26!$J$2:$J$596)*(A314&lt;Task_table_03_2_26!$K$2:$K$596))</f>
        <v>20</v>
      </c>
      <c r="D314" cm="1">
        <f t="array" ref="D314">SUMPRODUCT((Task_table_03_2_26!$C$2:$C$596=$D$1)*(A314&gt;Task_table_03_2_26!$J$2:$J$596)*(A314&lt;Task_table_03_2_26!$K$2:$K$596))</f>
        <v>3</v>
      </c>
      <c r="E314" cm="1">
        <f t="array" ref="E314">SUMPRODUCT((Task_table_03_2_26!$C$2:$C$596=$E$1)*(A314&gt;Task_table_03_2_26!$J$2:$J$596)*(A314&lt;Task_table_03_2_26!$K$2:$K$596))</f>
        <v>5</v>
      </c>
    </row>
    <row r="315" spans="1:5">
      <c r="A315" s="5">
        <v>46183</v>
      </c>
      <c r="B315" cm="1">
        <f t="array" ref="B315">SUMPRODUCT((Task_table_03_2_26!$C$2:$C$596=$B$1)*(A315&gt;Task_table_03_2_26!$J$2:$J$596)*(A315&lt;Task_table_03_2_26!$K$2:$K$596))</f>
        <v>39</v>
      </c>
      <c r="C315" cm="1">
        <f t="array" ref="C315">SUMPRODUCT((Task_table_03_2_26!$C$2:$C$596=$C$1)*(A315&gt;Task_table_03_2_26!$J$2:$J$596)*(A315&lt;Task_table_03_2_26!$K$2:$K$596))</f>
        <v>20</v>
      </c>
      <c r="D315" cm="1">
        <f t="array" ref="D315">SUMPRODUCT((Task_table_03_2_26!$C$2:$C$596=$D$1)*(A315&gt;Task_table_03_2_26!$J$2:$J$596)*(A315&lt;Task_table_03_2_26!$K$2:$K$596))</f>
        <v>3</v>
      </c>
      <c r="E315" cm="1">
        <f t="array" ref="E315">SUMPRODUCT((Task_table_03_2_26!$C$2:$C$596=$E$1)*(A315&gt;Task_table_03_2_26!$J$2:$J$596)*(A315&lt;Task_table_03_2_26!$K$2:$K$596))</f>
        <v>5</v>
      </c>
    </row>
    <row r="316" spans="1:5">
      <c r="A316" s="5">
        <v>46184</v>
      </c>
      <c r="B316" cm="1">
        <f t="array" ref="B316">SUMPRODUCT((Task_table_03_2_26!$C$2:$C$596=$B$1)*(A316&gt;Task_table_03_2_26!$J$2:$J$596)*(A316&lt;Task_table_03_2_26!$K$2:$K$596))</f>
        <v>39</v>
      </c>
      <c r="C316" cm="1">
        <f t="array" ref="C316">SUMPRODUCT((Task_table_03_2_26!$C$2:$C$596=$C$1)*(A316&gt;Task_table_03_2_26!$J$2:$J$596)*(A316&lt;Task_table_03_2_26!$K$2:$K$596))</f>
        <v>20</v>
      </c>
      <c r="D316" cm="1">
        <f t="array" ref="D316">SUMPRODUCT((Task_table_03_2_26!$C$2:$C$596=$D$1)*(A316&gt;Task_table_03_2_26!$J$2:$J$596)*(A316&lt;Task_table_03_2_26!$K$2:$K$596))</f>
        <v>3</v>
      </c>
      <c r="E316" cm="1">
        <f t="array" ref="E316">SUMPRODUCT((Task_table_03_2_26!$C$2:$C$596=$E$1)*(A316&gt;Task_table_03_2_26!$J$2:$J$596)*(A316&lt;Task_table_03_2_26!$K$2:$K$596))</f>
        <v>5</v>
      </c>
    </row>
    <row r="317" spans="1:5">
      <c r="A317" s="5">
        <v>46185</v>
      </c>
      <c r="B317" cm="1">
        <f t="array" ref="B317">SUMPRODUCT((Task_table_03_2_26!$C$2:$C$596=$B$1)*(A317&gt;Task_table_03_2_26!$J$2:$J$596)*(A317&lt;Task_table_03_2_26!$K$2:$K$596))</f>
        <v>39</v>
      </c>
      <c r="C317" cm="1">
        <f t="array" ref="C317">SUMPRODUCT((Task_table_03_2_26!$C$2:$C$596=$C$1)*(A317&gt;Task_table_03_2_26!$J$2:$J$596)*(A317&lt;Task_table_03_2_26!$K$2:$K$596))</f>
        <v>20</v>
      </c>
      <c r="D317" cm="1">
        <f t="array" ref="D317">SUMPRODUCT((Task_table_03_2_26!$C$2:$C$596=$D$1)*(A317&gt;Task_table_03_2_26!$J$2:$J$596)*(A317&lt;Task_table_03_2_26!$K$2:$K$596))</f>
        <v>3</v>
      </c>
      <c r="E317" cm="1">
        <f t="array" ref="E317">SUMPRODUCT((Task_table_03_2_26!$C$2:$C$596=$E$1)*(A317&gt;Task_table_03_2_26!$J$2:$J$596)*(A317&lt;Task_table_03_2_26!$K$2:$K$596))</f>
        <v>5</v>
      </c>
    </row>
    <row r="318" spans="1:5">
      <c r="A318" s="5">
        <v>46186</v>
      </c>
      <c r="B318" cm="1">
        <f t="array" ref="B318">SUMPRODUCT((Task_table_03_2_26!$C$2:$C$596=$B$1)*(A318&gt;Task_table_03_2_26!$J$2:$J$596)*(A318&lt;Task_table_03_2_26!$K$2:$K$596))</f>
        <v>39</v>
      </c>
      <c r="C318" cm="1">
        <f t="array" ref="C318">SUMPRODUCT((Task_table_03_2_26!$C$2:$C$596=$C$1)*(A318&gt;Task_table_03_2_26!$J$2:$J$596)*(A318&lt;Task_table_03_2_26!$K$2:$K$596))</f>
        <v>20</v>
      </c>
      <c r="D318" cm="1">
        <f t="array" ref="D318">SUMPRODUCT((Task_table_03_2_26!$C$2:$C$596=$D$1)*(A318&gt;Task_table_03_2_26!$J$2:$J$596)*(A318&lt;Task_table_03_2_26!$K$2:$K$596))</f>
        <v>3</v>
      </c>
      <c r="E318" cm="1">
        <f t="array" ref="E318">SUMPRODUCT((Task_table_03_2_26!$C$2:$C$596=$E$1)*(A318&gt;Task_table_03_2_26!$J$2:$J$596)*(A318&lt;Task_table_03_2_26!$K$2:$K$596))</f>
        <v>5</v>
      </c>
    </row>
    <row r="319" spans="1:5">
      <c r="A319" s="5">
        <v>46187</v>
      </c>
      <c r="B319" cm="1">
        <f t="array" ref="B319">SUMPRODUCT((Task_table_03_2_26!$C$2:$C$596=$B$1)*(A319&gt;Task_table_03_2_26!$J$2:$J$596)*(A319&lt;Task_table_03_2_26!$K$2:$K$596))</f>
        <v>39</v>
      </c>
      <c r="C319" cm="1">
        <f t="array" ref="C319">SUMPRODUCT((Task_table_03_2_26!$C$2:$C$596=$C$1)*(A319&gt;Task_table_03_2_26!$J$2:$J$596)*(A319&lt;Task_table_03_2_26!$K$2:$K$596))</f>
        <v>20</v>
      </c>
      <c r="D319" cm="1">
        <f t="array" ref="D319">SUMPRODUCT((Task_table_03_2_26!$C$2:$C$596=$D$1)*(A319&gt;Task_table_03_2_26!$J$2:$J$596)*(A319&lt;Task_table_03_2_26!$K$2:$K$596))</f>
        <v>3</v>
      </c>
      <c r="E319" cm="1">
        <f t="array" ref="E319">SUMPRODUCT((Task_table_03_2_26!$C$2:$C$596=$E$1)*(A319&gt;Task_table_03_2_26!$J$2:$J$596)*(A319&lt;Task_table_03_2_26!$K$2:$K$596))</f>
        <v>5</v>
      </c>
    </row>
    <row r="320" spans="1:5">
      <c r="A320" s="5">
        <v>46188</v>
      </c>
      <c r="B320" cm="1">
        <f t="array" ref="B320">SUMPRODUCT((Task_table_03_2_26!$C$2:$C$596=$B$1)*(A320&gt;Task_table_03_2_26!$J$2:$J$596)*(A320&lt;Task_table_03_2_26!$K$2:$K$596))</f>
        <v>36</v>
      </c>
      <c r="C320" cm="1">
        <f t="array" ref="C320">SUMPRODUCT((Task_table_03_2_26!$C$2:$C$596=$C$1)*(A320&gt;Task_table_03_2_26!$J$2:$J$596)*(A320&lt;Task_table_03_2_26!$K$2:$K$596))</f>
        <v>16</v>
      </c>
      <c r="D320" cm="1">
        <f t="array" ref="D320">SUMPRODUCT((Task_table_03_2_26!$C$2:$C$596=$D$1)*(A320&gt;Task_table_03_2_26!$J$2:$J$596)*(A320&lt;Task_table_03_2_26!$K$2:$K$596))</f>
        <v>3</v>
      </c>
      <c r="E320" cm="1">
        <f t="array" ref="E320">SUMPRODUCT((Task_table_03_2_26!$C$2:$C$596=$E$1)*(A320&gt;Task_table_03_2_26!$J$2:$J$596)*(A320&lt;Task_table_03_2_26!$K$2:$K$596))</f>
        <v>4</v>
      </c>
    </row>
    <row r="321" spans="1:5">
      <c r="A321" s="5">
        <v>46189</v>
      </c>
      <c r="B321" cm="1">
        <f t="array" ref="B321">SUMPRODUCT((Task_table_03_2_26!$C$2:$C$596=$B$1)*(A321&gt;Task_table_03_2_26!$J$2:$J$596)*(A321&lt;Task_table_03_2_26!$K$2:$K$596))</f>
        <v>36</v>
      </c>
      <c r="C321" cm="1">
        <f t="array" ref="C321">SUMPRODUCT((Task_table_03_2_26!$C$2:$C$596=$C$1)*(A321&gt;Task_table_03_2_26!$J$2:$J$596)*(A321&lt;Task_table_03_2_26!$K$2:$K$596))</f>
        <v>17</v>
      </c>
      <c r="D321" cm="1">
        <f t="array" ref="D321">SUMPRODUCT((Task_table_03_2_26!$C$2:$C$596=$D$1)*(A321&gt;Task_table_03_2_26!$J$2:$J$596)*(A321&lt;Task_table_03_2_26!$K$2:$K$596))</f>
        <v>3</v>
      </c>
      <c r="E321" cm="1">
        <f t="array" ref="E321">SUMPRODUCT((Task_table_03_2_26!$C$2:$C$596=$E$1)*(A321&gt;Task_table_03_2_26!$J$2:$J$596)*(A321&lt;Task_table_03_2_26!$K$2:$K$596))</f>
        <v>4</v>
      </c>
    </row>
    <row r="322" spans="1:5">
      <c r="A322" s="5">
        <v>46190</v>
      </c>
      <c r="B322" cm="1">
        <f t="array" ref="B322">SUMPRODUCT((Task_table_03_2_26!$C$2:$C$596=$B$1)*(A322&gt;Task_table_03_2_26!$J$2:$J$596)*(A322&lt;Task_table_03_2_26!$K$2:$K$596))</f>
        <v>34</v>
      </c>
      <c r="C322" cm="1">
        <f t="array" ref="C322">SUMPRODUCT((Task_table_03_2_26!$C$2:$C$596=$C$1)*(A322&gt;Task_table_03_2_26!$J$2:$J$596)*(A322&lt;Task_table_03_2_26!$K$2:$K$596))</f>
        <v>17</v>
      </c>
      <c r="D322" cm="1">
        <f t="array" ref="D322">SUMPRODUCT((Task_table_03_2_26!$C$2:$C$596=$D$1)*(A322&gt;Task_table_03_2_26!$J$2:$J$596)*(A322&lt;Task_table_03_2_26!$K$2:$K$596))</f>
        <v>3</v>
      </c>
      <c r="E322" cm="1">
        <f t="array" ref="E322">SUMPRODUCT((Task_table_03_2_26!$C$2:$C$596=$E$1)*(A322&gt;Task_table_03_2_26!$J$2:$J$596)*(A322&lt;Task_table_03_2_26!$K$2:$K$596))</f>
        <v>4</v>
      </c>
    </row>
    <row r="323" spans="1:5">
      <c r="A323" s="5">
        <v>46191</v>
      </c>
      <c r="B323" cm="1">
        <f t="array" ref="B323">SUMPRODUCT((Task_table_03_2_26!$C$2:$C$596=$B$1)*(A323&gt;Task_table_03_2_26!$J$2:$J$596)*(A323&lt;Task_table_03_2_26!$K$2:$K$596))</f>
        <v>34</v>
      </c>
      <c r="C323" cm="1">
        <f t="array" ref="C323">SUMPRODUCT((Task_table_03_2_26!$C$2:$C$596=$C$1)*(A323&gt;Task_table_03_2_26!$J$2:$J$596)*(A323&lt;Task_table_03_2_26!$K$2:$K$596))</f>
        <v>17</v>
      </c>
      <c r="D323" cm="1">
        <f t="array" ref="D323">SUMPRODUCT((Task_table_03_2_26!$C$2:$C$596=$D$1)*(A323&gt;Task_table_03_2_26!$J$2:$J$596)*(A323&lt;Task_table_03_2_26!$K$2:$K$596))</f>
        <v>3</v>
      </c>
      <c r="E323" cm="1">
        <f t="array" ref="E323">SUMPRODUCT((Task_table_03_2_26!$C$2:$C$596=$E$1)*(A323&gt;Task_table_03_2_26!$J$2:$J$596)*(A323&lt;Task_table_03_2_26!$K$2:$K$596))</f>
        <v>4</v>
      </c>
    </row>
    <row r="324" spans="1:5">
      <c r="A324" s="5">
        <v>46192</v>
      </c>
      <c r="B324" cm="1">
        <f t="array" ref="B324">SUMPRODUCT((Task_table_03_2_26!$C$2:$C$596=$B$1)*(A324&gt;Task_table_03_2_26!$J$2:$J$596)*(A324&lt;Task_table_03_2_26!$K$2:$K$596))</f>
        <v>34</v>
      </c>
      <c r="C324" cm="1">
        <f t="array" ref="C324">SUMPRODUCT((Task_table_03_2_26!$C$2:$C$596=$C$1)*(A324&gt;Task_table_03_2_26!$J$2:$J$596)*(A324&lt;Task_table_03_2_26!$K$2:$K$596))</f>
        <v>17</v>
      </c>
      <c r="D324" cm="1">
        <f t="array" ref="D324">SUMPRODUCT((Task_table_03_2_26!$C$2:$C$596=$D$1)*(A324&gt;Task_table_03_2_26!$J$2:$J$596)*(A324&lt;Task_table_03_2_26!$K$2:$K$596))</f>
        <v>3</v>
      </c>
      <c r="E324" cm="1">
        <f t="array" ref="E324">SUMPRODUCT((Task_table_03_2_26!$C$2:$C$596=$E$1)*(A324&gt;Task_table_03_2_26!$J$2:$J$596)*(A324&lt;Task_table_03_2_26!$K$2:$K$596))</f>
        <v>4</v>
      </c>
    </row>
    <row r="325" spans="1:5">
      <c r="A325" s="5">
        <v>46193</v>
      </c>
      <c r="B325" cm="1">
        <f t="array" ref="B325">SUMPRODUCT((Task_table_03_2_26!$C$2:$C$596=$B$1)*(A325&gt;Task_table_03_2_26!$J$2:$J$596)*(A325&lt;Task_table_03_2_26!$K$2:$K$596))</f>
        <v>34</v>
      </c>
      <c r="C325" cm="1">
        <f t="array" ref="C325">SUMPRODUCT((Task_table_03_2_26!$C$2:$C$596=$C$1)*(A325&gt;Task_table_03_2_26!$J$2:$J$596)*(A325&lt;Task_table_03_2_26!$K$2:$K$596))</f>
        <v>17</v>
      </c>
      <c r="D325" cm="1">
        <f t="array" ref="D325">SUMPRODUCT((Task_table_03_2_26!$C$2:$C$596=$D$1)*(A325&gt;Task_table_03_2_26!$J$2:$J$596)*(A325&lt;Task_table_03_2_26!$K$2:$K$596))</f>
        <v>3</v>
      </c>
      <c r="E325" cm="1">
        <f t="array" ref="E325">SUMPRODUCT((Task_table_03_2_26!$C$2:$C$596=$E$1)*(A325&gt;Task_table_03_2_26!$J$2:$J$596)*(A325&lt;Task_table_03_2_26!$K$2:$K$596))</f>
        <v>4</v>
      </c>
    </row>
    <row r="326" spans="1:5">
      <c r="A326" s="5">
        <v>46194</v>
      </c>
      <c r="B326" cm="1">
        <f t="array" ref="B326">SUMPRODUCT((Task_table_03_2_26!$C$2:$C$596=$B$1)*(A326&gt;Task_table_03_2_26!$J$2:$J$596)*(A326&lt;Task_table_03_2_26!$K$2:$K$596))</f>
        <v>34</v>
      </c>
      <c r="C326" cm="1">
        <f t="array" ref="C326">SUMPRODUCT((Task_table_03_2_26!$C$2:$C$596=$C$1)*(A326&gt;Task_table_03_2_26!$J$2:$J$596)*(A326&lt;Task_table_03_2_26!$K$2:$K$596))</f>
        <v>17</v>
      </c>
      <c r="D326" cm="1">
        <f t="array" ref="D326">SUMPRODUCT((Task_table_03_2_26!$C$2:$C$596=$D$1)*(A326&gt;Task_table_03_2_26!$J$2:$J$596)*(A326&lt;Task_table_03_2_26!$K$2:$K$596))</f>
        <v>3</v>
      </c>
      <c r="E326" cm="1">
        <f t="array" ref="E326">SUMPRODUCT((Task_table_03_2_26!$C$2:$C$596=$E$1)*(A326&gt;Task_table_03_2_26!$J$2:$J$596)*(A326&lt;Task_table_03_2_26!$K$2:$K$596))</f>
        <v>4</v>
      </c>
    </row>
    <row r="327" spans="1:5">
      <c r="A327" s="5">
        <v>46195</v>
      </c>
      <c r="B327" cm="1">
        <f t="array" ref="B327">SUMPRODUCT((Task_table_03_2_26!$C$2:$C$596=$B$1)*(A327&gt;Task_table_03_2_26!$J$2:$J$596)*(A327&lt;Task_table_03_2_26!$K$2:$K$596))</f>
        <v>34</v>
      </c>
      <c r="C327" cm="1">
        <f t="array" ref="C327">SUMPRODUCT((Task_table_03_2_26!$C$2:$C$596=$C$1)*(A327&gt;Task_table_03_2_26!$J$2:$J$596)*(A327&lt;Task_table_03_2_26!$K$2:$K$596))</f>
        <v>16</v>
      </c>
      <c r="D327" cm="1">
        <f t="array" ref="D327">SUMPRODUCT((Task_table_03_2_26!$C$2:$C$596=$D$1)*(A327&gt;Task_table_03_2_26!$J$2:$J$596)*(A327&lt;Task_table_03_2_26!$K$2:$K$596))</f>
        <v>3</v>
      </c>
      <c r="E327" cm="1">
        <f t="array" ref="E327">SUMPRODUCT((Task_table_03_2_26!$C$2:$C$596=$E$1)*(A327&gt;Task_table_03_2_26!$J$2:$J$596)*(A327&lt;Task_table_03_2_26!$K$2:$K$596))</f>
        <v>4</v>
      </c>
    </row>
    <row r="328" spans="1:5">
      <c r="A328" s="5">
        <v>46196</v>
      </c>
      <c r="B328" cm="1">
        <f t="array" ref="B328">SUMPRODUCT((Task_table_03_2_26!$C$2:$C$596=$B$1)*(A328&gt;Task_table_03_2_26!$J$2:$J$596)*(A328&lt;Task_table_03_2_26!$K$2:$K$596))</f>
        <v>34</v>
      </c>
      <c r="C328" cm="1">
        <f t="array" ref="C328">SUMPRODUCT((Task_table_03_2_26!$C$2:$C$596=$C$1)*(A328&gt;Task_table_03_2_26!$J$2:$J$596)*(A328&lt;Task_table_03_2_26!$K$2:$K$596))</f>
        <v>16</v>
      </c>
      <c r="D328" cm="1">
        <f t="array" ref="D328">SUMPRODUCT((Task_table_03_2_26!$C$2:$C$596=$D$1)*(A328&gt;Task_table_03_2_26!$J$2:$J$596)*(A328&lt;Task_table_03_2_26!$K$2:$K$596))</f>
        <v>3</v>
      </c>
      <c r="E328" cm="1">
        <f t="array" ref="E328">SUMPRODUCT((Task_table_03_2_26!$C$2:$C$596=$E$1)*(A328&gt;Task_table_03_2_26!$J$2:$J$596)*(A328&lt;Task_table_03_2_26!$K$2:$K$596))</f>
        <v>4</v>
      </c>
    </row>
    <row r="329" spans="1:5">
      <c r="A329" s="5">
        <v>46197</v>
      </c>
      <c r="B329" cm="1">
        <f t="array" ref="B329">SUMPRODUCT((Task_table_03_2_26!$C$2:$C$596=$B$1)*(A329&gt;Task_table_03_2_26!$J$2:$J$596)*(A329&lt;Task_table_03_2_26!$K$2:$K$596))</f>
        <v>34</v>
      </c>
      <c r="C329" cm="1">
        <f t="array" ref="C329">SUMPRODUCT((Task_table_03_2_26!$C$2:$C$596=$C$1)*(A329&gt;Task_table_03_2_26!$J$2:$J$596)*(A329&lt;Task_table_03_2_26!$K$2:$K$596))</f>
        <v>16</v>
      </c>
      <c r="D329" cm="1">
        <f t="array" ref="D329">SUMPRODUCT((Task_table_03_2_26!$C$2:$C$596=$D$1)*(A329&gt;Task_table_03_2_26!$J$2:$J$596)*(A329&lt;Task_table_03_2_26!$K$2:$K$596))</f>
        <v>3</v>
      </c>
      <c r="E329" cm="1">
        <f t="array" ref="E329">SUMPRODUCT((Task_table_03_2_26!$C$2:$C$596=$E$1)*(A329&gt;Task_table_03_2_26!$J$2:$J$596)*(A329&lt;Task_table_03_2_26!$K$2:$K$596))</f>
        <v>4</v>
      </c>
    </row>
    <row r="330" spans="1:5">
      <c r="A330" s="5">
        <v>46198</v>
      </c>
      <c r="B330" cm="1">
        <f t="array" ref="B330">SUMPRODUCT((Task_table_03_2_26!$C$2:$C$596=$B$1)*(A330&gt;Task_table_03_2_26!$J$2:$J$596)*(A330&lt;Task_table_03_2_26!$K$2:$K$596))</f>
        <v>34</v>
      </c>
      <c r="C330" cm="1">
        <f t="array" ref="C330">SUMPRODUCT((Task_table_03_2_26!$C$2:$C$596=$C$1)*(A330&gt;Task_table_03_2_26!$J$2:$J$596)*(A330&lt;Task_table_03_2_26!$K$2:$K$596))</f>
        <v>16</v>
      </c>
      <c r="D330" cm="1">
        <f t="array" ref="D330">SUMPRODUCT((Task_table_03_2_26!$C$2:$C$596=$D$1)*(A330&gt;Task_table_03_2_26!$J$2:$J$596)*(A330&lt;Task_table_03_2_26!$K$2:$K$596))</f>
        <v>3</v>
      </c>
      <c r="E330" cm="1">
        <f t="array" ref="E330">SUMPRODUCT((Task_table_03_2_26!$C$2:$C$596=$E$1)*(A330&gt;Task_table_03_2_26!$J$2:$J$596)*(A330&lt;Task_table_03_2_26!$K$2:$K$596))</f>
        <v>4</v>
      </c>
    </row>
    <row r="331" spans="1:5">
      <c r="A331" s="5">
        <v>46199</v>
      </c>
      <c r="B331" cm="1">
        <f t="array" ref="B331">SUMPRODUCT((Task_table_03_2_26!$C$2:$C$596=$B$1)*(A331&gt;Task_table_03_2_26!$J$2:$J$596)*(A331&lt;Task_table_03_2_26!$K$2:$K$596))</f>
        <v>34</v>
      </c>
      <c r="C331" cm="1">
        <f t="array" ref="C331">SUMPRODUCT((Task_table_03_2_26!$C$2:$C$596=$C$1)*(A331&gt;Task_table_03_2_26!$J$2:$J$596)*(A331&lt;Task_table_03_2_26!$K$2:$K$596))</f>
        <v>16</v>
      </c>
      <c r="D331" cm="1">
        <f t="array" ref="D331">SUMPRODUCT((Task_table_03_2_26!$C$2:$C$596=$D$1)*(A331&gt;Task_table_03_2_26!$J$2:$J$596)*(A331&lt;Task_table_03_2_26!$K$2:$K$596))</f>
        <v>3</v>
      </c>
      <c r="E331" cm="1">
        <f t="array" ref="E331">SUMPRODUCT((Task_table_03_2_26!$C$2:$C$596=$E$1)*(A331&gt;Task_table_03_2_26!$J$2:$J$596)*(A331&lt;Task_table_03_2_26!$K$2:$K$596))</f>
        <v>4</v>
      </c>
    </row>
    <row r="332" spans="1:5">
      <c r="A332" s="5">
        <v>46200</v>
      </c>
      <c r="B332" cm="1">
        <f t="array" ref="B332">SUMPRODUCT((Task_table_03_2_26!$C$2:$C$596=$B$1)*(A332&gt;Task_table_03_2_26!$J$2:$J$596)*(A332&lt;Task_table_03_2_26!$K$2:$K$596))</f>
        <v>34</v>
      </c>
      <c r="C332" cm="1">
        <f t="array" ref="C332">SUMPRODUCT((Task_table_03_2_26!$C$2:$C$596=$C$1)*(A332&gt;Task_table_03_2_26!$J$2:$J$596)*(A332&lt;Task_table_03_2_26!$K$2:$K$596))</f>
        <v>16</v>
      </c>
      <c r="D332" cm="1">
        <f t="array" ref="D332">SUMPRODUCT((Task_table_03_2_26!$C$2:$C$596=$D$1)*(A332&gt;Task_table_03_2_26!$J$2:$J$596)*(A332&lt;Task_table_03_2_26!$K$2:$K$596))</f>
        <v>3</v>
      </c>
      <c r="E332" cm="1">
        <f t="array" ref="E332">SUMPRODUCT((Task_table_03_2_26!$C$2:$C$596=$E$1)*(A332&gt;Task_table_03_2_26!$J$2:$J$596)*(A332&lt;Task_table_03_2_26!$K$2:$K$596))</f>
        <v>4</v>
      </c>
    </row>
    <row r="333" spans="1:5">
      <c r="A333" s="5">
        <v>46201</v>
      </c>
      <c r="B333" cm="1">
        <f t="array" ref="B333">SUMPRODUCT((Task_table_03_2_26!$C$2:$C$596=$B$1)*(A333&gt;Task_table_03_2_26!$J$2:$J$596)*(A333&lt;Task_table_03_2_26!$K$2:$K$596))</f>
        <v>34</v>
      </c>
      <c r="C333" cm="1">
        <f t="array" ref="C333">SUMPRODUCT((Task_table_03_2_26!$C$2:$C$596=$C$1)*(A333&gt;Task_table_03_2_26!$J$2:$J$596)*(A333&lt;Task_table_03_2_26!$K$2:$K$596))</f>
        <v>16</v>
      </c>
      <c r="D333" cm="1">
        <f t="array" ref="D333">SUMPRODUCT((Task_table_03_2_26!$C$2:$C$596=$D$1)*(A333&gt;Task_table_03_2_26!$J$2:$J$596)*(A333&lt;Task_table_03_2_26!$K$2:$K$596))</f>
        <v>3</v>
      </c>
      <c r="E333" cm="1">
        <f t="array" ref="E333">SUMPRODUCT((Task_table_03_2_26!$C$2:$C$596=$E$1)*(A333&gt;Task_table_03_2_26!$J$2:$J$596)*(A333&lt;Task_table_03_2_26!$K$2:$K$596))</f>
        <v>4</v>
      </c>
    </row>
    <row r="334" spans="1:5">
      <c r="A334" s="5">
        <v>46202</v>
      </c>
      <c r="B334" cm="1">
        <f t="array" ref="B334">SUMPRODUCT((Task_table_03_2_26!$C$2:$C$596=$B$1)*(A334&gt;Task_table_03_2_26!$J$2:$J$596)*(A334&lt;Task_table_03_2_26!$K$2:$K$596))</f>
        <v>34</v>
      </c>
      <c r="C334" cm="1">
        <f t="array" ref="C334">SUMPRODUCT((Task_table_03_2_26!$C$2:$C$596=$C$1)*(A334&gt;Task_table_03_2_26!$J$2:$J$596)*(A334&lt;Task_table_03_2_26!$K$2:$K$596))</f>
        <v>16</v>
      </c>
      <c r="D334" cm="1">
        <f t="array" ref="D334">SUMPRODUCT((Task_table_03_2_26!$C$2:$C$596=$D$1)*(A334&gt;Task_table_03_2_26!$J$2:$J$596)*(A334&lt;Task_table_03_2_26!$K$2:$K$596))</f>
        <v>3</v>
      </c>
      <c r="E334" cm="1">
        <f t="array" ref="E334">SUMPRODUCT((Task_table_03_2_26!$C$2:$C$596=$E$1)*(A334&gt;Task_table_03_2_26!$J$2:$J$596)*(A334&lt;Task_table_03_2_26!$K$2:$K$596))</f>
        <v>4</v>
      </c>
    </row>
    <row r="335" spans="1:5">
      <c r="A335" s="5">
        <v>46203</v>
      </c>
      <c r="B335" cm="1">
        <f t="array" ref="B335">SUMPRODUCT((Task_table_03_2_26!$C$2:$C$596=$B$1)*(A335&gt;Task_table_03_2_26!$J$2:$J$596)*(A335&lt;Task_table_03_2_26!$K$2:$K$596))</f>
        <v>30</v>
      </c>
      <c r="C335" cm="1">
        <f t="array" ref="C335">SUMPRODUCT((Task_table_03_2_26!$C$2:$C$596=$C$1)*(A335&gt;Task_table_03_2_26!$J$2:$J$596)*(A335&lt;Task_table_03_2_26!$K$2:$K$596))</f>
        <v>10</v>
      </c>
      <c r="D335" cm="1">
        <f t="array" ref="D335">SUMPRODUCT((Task_table_03_2_26!$C$2:$C$596=$D$1)*(A335&gt;Task_table_03_2_26!$J$2:$J$596)*(A335&lt;Task_table_03_2_26!$K$2:$K$596))</f>
        <v>1</v>
      </c>
      <c r="E335" cm="1">
        <f t="array" ref="E335">SUMPRODUCT((Task_table_03_2_26!$C$2:$C$596=$E$1)*(A335&gt;Task_table_03_2_26!$J$2:$J$596)*(A335&lt;Task_table_03_2_26!$K$2:$K$596))</f>
        <v>2</v>
      </c>
    </row>
    <row r="336" spans="1:5">
      <c r="A336" s="5">
        <v>46204</v>
      </c>
      <c r="B336" cm="1">
        <f t="array" ref="B336">SUMPRODUCT((Task_table_03_2_26!$C$2:$C$596=$B$1)*(A336&gt;Task_table_03_2_26!$J$2:$J$596)*(A336&lt;Task_table_03_2_26!$K$2:$K$596))</f>
        <v>30</v>
      </c>
      <c r="C336" cm="1">
        <f t="array" ref="C336">SUMPRODUCT((Task_table_03_2_26!$C$2:$C$596=$C$1)*(A336&gt;Task_table_03_2_26!$J$2:$J$596)*(A336&lt;Task_table_03_2_26!$K$2:$K$596))</f>
        <v>9</v>
      </c>
      <c r="D336" cm="1">
        <f t="array" ref="D336">SUMPRODUCT((Task_table_03_2_26!$C$2:$C$596=$D$1)*(A336&gt;Task_table_03_2_26!$J$2:$J$596)*(A336&lt;Task_table_03_2_26!$K$2:$K$596))</f>
        <v>0</v>
      </c>
      <c r="E336" cm="1">
        <f t="array" ref="E336">SUMPRODUCT((Task_table_03_2_26!$C$2:$C$596=$E$1)*(A336&gt;Task_table_03_2_26!$J$2:$J$596)*(A336&lt;Task_table_03_2_26!$K$2:$K$596))</f>
        <v>1</v>
      </c>
    </row>
    <row r="337" spans="1:5">
      <c r="A337" s="5">
        <v>46205</v>
      </c>
      <c r="B337" cm="1">
        <f t="array" ref="B337">SUMPRODUCT((Task_table_03_2_26!$C$2:$C$596=$B$1)*(A337&gt;Task_table_03_2_26!$J$2:$J$596)*(A337&lt;Task_table_03_2_26!$K$2:$K$596))</f>
        <v>30</v>
      </c>
      <c r="C337" cm="1">
        <f t="array" ref="C337">SUMPRODUCT((Task_table_03_2_26!$C$2:$C$596=$C$1)*(A337&gt;Task_table_03_2_26!$J$2:$J$596)*(A337&lt;Task_table_03_2_26!$K$2:$K$596))</f>
        <v>9</v>
      </c>
      <c r="D337" cm="1">
        <f t="array" ref="D337">SUMPRODUCT((Task_table_03_2_26!$C$2:$C$596=$D$1)*(A337&gt;Task_table_03_2_26!$J$2:$J$596)*(A337&lt;Task_table_03_2_26!$K$2:$K$596))</f>
        <v>0</v>
      </c>
      <c r="E337" cm="1">
        <f t="array" ref="E337">SUMPRODUCT((Task_table_03_2_26!$C$2:$C$596=$E$1)*(A337&gt;Task_table_03_2_26!$J$2:$J$596)*(A337&lt;Task_table_03_2_26!$K$2:$K$596))</f>
        <v>1</v>
      </c>
    </row>
    <row r="338" spans="1:5">
      <c r="A338" s="5">
        <v>46206</v>
      </c>
      <c r="B338" cm="1">
        <f t="array" ref="B338">SUMPRODUCT((Task_table_03_2_26!$C$2:$C$596=$B$1)*(A338&gt;Task_table_03_2_26!$J$2:$J$596)*(A338&lt;Task_table_03_2_26!$K$2:$K$596))</f>
        <v>30</v>
      </c>
      <c r="C338" cm="1">
        <f t="array" ref="C338">SUMPRODUCT((Task_table_03_2_26!$C$2:$C$596=$C$1)*(A338&gt;Task_table_03_2_26!$J$2:$J$596)*(A338&lt;Task_table_03_2_26!$K$2:$K$596))</f>
        <v>9</v>
      </c>
      <c r="D338" cm="1">
        <f t="array" ref="D338">SUMPRODUCT((Task_table_03_2_26!$C$2:$C$596=$D$1)*(A338&gt;Task_table_03_2_26!$J$2:$J$596)*(A338&lt;Task_table_03_2_26!$K$2:$K$596))</f>
        <v>0</v>
      </c>
      <c r="E338" cm="1">
        <f t="array" ref="E338">SUMPRODUCT((Task_table_03_2_26!$C$2:$C$596=$E$1)*(A338&gt;Task_table_03_2_26!$J$2:$J$596)*(A338&lt;Task_table_03_2_26!$K$2:$K$596))</f>
        <v>1</v>
      </c>
    </row>
    <row r="339" spans="1:5">
      <c r="A339" s="5">
        <v>46207</v>
      </c>
      <c r="B339" cm="1">
        <f t="array" ref="B339">SUMPRODUCT((Task_table_03_2_26!$C$2:$C$596=$B$1)*(A339&gt;Task_table_03_2_26!$J$2:$J$596)*(A339&lt;Task_table_03_2_26!$K$2:$K$596))</f>
        <v>30</v>
      </c>
      <c r="C339" cm="1">
        <f t="array" ref="C339">SUMPRODUCT((Task_table_03_2_26!$C$2:$C$596=$C$1)*(A339&gt;Task_table_03_2_26!$J$2:$J$596)*(A339&lt;Task_table_03_2_26!$K$2:$K$596))</f>
        <v>9</v>
      </c>
      <c r="D339" cm="1">
        <f t="array" ref="D339">SUMPRODUCT((Task_table_03_2_26!$C$2:$C$596=$D$1)*(A339&gt;Task_table_03_2_26!$J$2:$J$596)*(A339&lt;Task_table_03_2_26!$K$2:$K$596))</f>
        <v>0</v>
      </c>
      <c r="E339" cm="1">
        <f t="array" ref="E339">SUMPRODUCT((Task_table_03_2_26!$C$2:$C$596=$E$1)*(A339&gt;Task_table_03_2_26!$J$2:$J$596)*(A339&lt;Task_table_03_2_26!$K$2:$K$596))</f>
        <v>1</v>
      </c>
    </row>
    <row r="340" spans="1:5">
      <c r="A340" s="5">
        <v>46208</v>
      </c>
      <c r="B340" cm="1">
        <f t="array" ref="B340">SUMPRODUCT((Task_table_03_2_26!$C$2:$C$596=$B$1)*(A340&gt;Task_table_03_2_26!$J$2:$J$596)*(A340&lt;Task_table_03_2_26!$K$2:$K$596))</f>
        <v>30</v>
      </c>
      <c r="C340" cm="1">
        <f t="array" ref="C340">SUMPRODUCT((Task_table_03_2_26!$C$2:$C$596=$C$1)*(A340&gt;Task_table_03_2_26!$J$2:$J$596)*(A340&lt;Task_table_03_2_26!$K$2:$K$596))</f>
        <v>9</v>
      </c>
      <c r="D340" cm="1">
        <f t="array" ref="D340">SUMPRODUCT((Task_table_03_2_26!$C$2:$C$596=$D$1)*(A340&gt;Task_table_03_2_26!$J$2:$J$596)*(A340&lt;Task_table_03_2_26!$K$2:$K$596))</f>
        <v>0</v>
      </c>
      <c r="E340" cm="1">
        <f t="array" ref="E340">SUMPRODUCT((Task_table_03_2_26!$C$2:$C$596=$E$1)*(A340&gt;Task_table_03_2_26!$J$2:$J$596)*(A340&lt;Task_table_03_2_26!$K$2:$K$596))</f>
        <v>1</v>
      </c>
    </row>
    <row r="341" spans="1:5">
      <c r="A341" s="5">
        <v>46209</v>
      </c>
      <c r="B341" cm="1">
        <f t="array" ref="B341">SUMPRODUCT((Task_table_03_2_26!$C$2:$C$596=$B$1)*(A341&gt;Task_table_03_2_26!$J$2:$J$596)*(A341&lt;Task_table_03_2_26!$K$2:$K$596))</f>
        <v>30</v>
      </c>
      <c r="C341" cm="1">
        <f t="array" ref="C341">SUMPRODUCT((Task_table_03_2_26!$C$2:$C$596=$C$1)*(A341&gt;Task_table_03_2_26!$J$2:$J$596)*(A341&lt;Task_table_03_2_26!$K$2:$K$596))</f>
        <v>9</v>
      </c>
      <c r="D341" cm="1">
        <f t="array" ref="D341">SUMPRODUCT((Task_table_03_2_26!$C$2:$C$596=$D$1)*(A341&gt;Task_table_03_2_26!$J$2:$J$596)*(A341&lt;Task_table_03_2_26!$K$2:$K$596))</f>
        <v>0</v>
      </c>
      <c r="E341" cm="1">
        <f t="array" ref="E341">SUMPRODUCT((Task_table_03_2_26!$C$2:$C$596=$E$1)*(A341&gt;Task_table_03_2_26!$J$2:$J$596)*(A341&lt;Task_table_03_2_26!$K$2:$K$596))</f>
        <v>1</v>
      </c>
    </row>
    <row r="342" spans="1:5">
      <c r="A342" s="5">
        <v>46210</v>
      </c>
      <c r="B342" cm="1">
        <f t="array" ref="B342">SUMPRODUCT((Task_table_03_2_26!$C$2:$C$596=$B$1)*(A342&gt;Task_table_03_2_26!$J$2:$J$596)*(A342&lt;Task_table_03_2_26!$K$2:$K$596))</f>
        <v>30</v>
      </c>
      <c r="C342" cm="1">
        <f t="array" ref="C342">SUMPRODUCT((Task_table_03_2_26!$C$2:$C$596=$C$1)*(A342&gt;Task_table_03_2_26!$J$2:$J$596)*(A342&lt;Task_table_03_2_26!$K$2:$K$596))</f>
        <v>9</v>
      </c>
      <c r="D342" cm="1">
        <f t="array" ref="D342">SUMPRODUCT((Task_table_03_2_26!$C$2:$C$596=$D$1)*(A342&gt;Task_table_03_2_26!$J$2:$J$596)*(A342&lt;Task_table_03_2_26!$K$2:$K$596))</f>
        <v>0</v>
      </c>
      <c r="E342" cm="1">
        <f t="array" ref="E342">SUMPRODUCT((Task_table_03_2_26!$C$2:$C$596=$E$1)*(A342&gt;Task_table_03_2_26!$J$2:$J$596)*(A342&lt;Task_table_03_2_26!$K$2:$K$596))</f>
        <v>1</v>
      </c>
    </row>
    <row r="343" spans="1:5">
      <c r="A343" s="5">
        <v>46211</v>
      </c>
      <c r="B343" cm="1">
        <f t="array" ref="B343">SUMPRODUCT((Task_table_03_2_26!$C$2:$C$596=$B$1)*(A343&gt;Task_table_03_2_26!$J$2:$J$596)*(A343&lt;Task_table_03_2_26!$K$2:$K$596))</f>
        <v>30</v>
      </c>
      <c r="C343" cm="1">
        <f t="array" ref="C343">SUMPRODUCT((Task_table_03_2_26!$C$2:$C$596=$C$1)*(A343&gt;Task_table_03_2_26!$J$2:$J$596)*(A343&lt;Task_table_03_2_26!$K$2:$K$596))</f>
        <v>9</v>
      </c>
      <c r="D343" cm="1">
        <f t="array" ref="D343">SUMPRODUCT((Task_table_03_2_26!$C$2:$C$596=$D$1)*(A343&gt;Task_table_03_2_26!$J$2:$J$596)*(A343&lt;Task_table_03_2_26!$K$2:$K$596))</f>
        <v>0</v>
      </c>
      <c r="E343" cm="1">
        <f t="array" ref="E343">SUMPRODUCT((Task_table_03_2_26!$C$2:$C$596=$E$1)*(A343&gt;Task_table_03_2_26!$J$2:$J$596)*(A343&lt;Task_table_03_2_26!$K$2:$K$596))</f>
        <v>1</v>
      </c>
    </row>
    <row r="344" spans="1:5">
      <c r="A344" s="5">
        <v>46212</v>
      </c>
      <c r="B344" cm="1">
        <f t="array" ref="B344">SUMPRODUCT((Task_table_03_2_26!$C$2:$C$596=$B$1)*(A344&gt;Task_table_03_2_26!$J$2:$J$596)*(A344&lt;Task_table_03_2_26!$K$2:$K$596))</f>
        <v>30</v>
      </c>
      <c r="C344" cm="1">
        <f t="array" ref="C344">SUMPRODUCT((Task_table_03_2_26!$C$2:$C$596=$C$1)*(A344&gt;Task_table_03_2_26!$J$2:$J$596)*(A344&lt;Task_table_03_2_26!$K$2:$K$596))</f>
        <v>9</v>
      </c>
      <c r="D344" cm="1">
        <f t="array" ref="D344">SUMPRODUCT((Task_table_03_2_26!$C$2:$C$596=$D$1)*(A344&gt;Task_table_03_2_26!$J$2:$J$596)*(A344&lt;Task_table_03_2_26!$K$2:$K$596))</f>
        <v>0</v>
      </c>
      <c r="E344" cm="1">
        <f t="array" ref="E344">SUMPRODUCT((Task_table_03_2_26!$C$2:$C$596=$E$1)*(A344&gt;Task_table_03_2_26!$J$2:$J$596)*(A344&lt;Task_table_03_2_26!$K$2:$K$596))</f>
        <v>1</v>
      </c>
    </row>
    <row r="345" spans="1:5">
      <c r="A345" s="5">
        <v>46213</v>
      </c>
      <c r="B345" cm="1">
        <f t="array" ref="B345">SUMPRODUCT((Task_table_03_2_26!$C$2:$C$596=$B$1)*(A345&gt;Task_table_03_2_26!$J$2:$J$596)*(A345&lt;Task_table_03_2_26!$K$2:$K$596))</f>
        <v>30</v>
      </c>
      <c r="C345" cm="1">
        <f t="array" ref="C345">SUMPRODUCT((Task_table_03_2_26!$C$2:$C$596=$C$1)*(A345&gt;Task_table_03_2_26!$J$2:$J$596)*(A345&lt;Task_table_03_2_26!$K$2:$K$596))</f>
        <v>9</v>
      </c>
      <c r="D345" cm="1">
        <f t="array" ref="D345">SUMPRODUCT((Task_table_03_2_26!$C$2:$C$596=$D$1)*(A345&gt;Task_table_03_2_26!$J$2:$J$596)*(A345&lt;Task_table_03_2_26!$K$2:$K$596))</f>
        <v>0</v>
      </c>
      <c r="E345" cm="1">
        <f t="array" ref="E345">SUMPRODUCT((Task_table_03_2_26!$C$2:$C$596=$E$1)*(A345&gt;Task_table_03_2_26!$J$2:$J$596)*(A345&lt;Task_table_03_2_26!$K$2:$K$596))</f>
        <v>1</v>
      </c>
    </row>
    <row r="346" spans="1:5">
      <c r="A346" s="5">
        <v>46214</v>
      </c>
      <c r="B346" cm="1">
        <f t="array" ref="B346">SUMPRODUCT((Task_table_03_2_26!$C$2:$C$596=$B$1)*(A346&gt;Task_table_03_2_26!$J$2:$J$596)*(A346&lt;Task_table_03_2_26!$K$2:$K$596))</f>
        <v>30</v>
      </c>
      <c r="C346" cm="1">
        <f t="array" ref="C346">SUMPRODUCT((Task_table_03_2_26!$C$2:$C$596=$C$1)*(A346&gt;Task_table_03_2_26!$J$2:$J$596)*(A346&lt;Task_table_03_2_26!$K$2:$K$596))</f>
        <v>9</v>
      </c>
      <c r="D346" cm="1">
        <f t="array" ref="D346">SUMPRODUCT((Task_table_03_2_26!$C$2:$C$596=$D$1)*(A346&gt;Task_table_03_2_26!$J$2:$J$596)*(A346&lt;Task_table_03_2_26!$K$2:$K$596))</f>
        <v>0</v>
      </c>
      <c r="E346" cm="1">
        <f t="array" ref="E346">SUMPRODUCT((Task_table_03_2_26!$C$2:$C$596=$E$1)*(A346&gt;Task_table_03_2_26!$J$2:$J$596)*(A346&lt;Task_table_03_2_26!$K$2:$K$596))</f>
        <v>1</v>
      </c>
    </row>
    <row r="347" spans="1:5">
      <c r="A347" s="5">
        <v>46215</v>
      </c>
      <c r="B347" cm="1">
        <f t="array" ref="B347">SUMPRODUCT((Task_table_03_2_26!$C$2:$C$596=$B$1)*(A347&gt;Task_table_03_2_26!$J$2:$J$596)*(A347&lt;Task_table_03_2_26!$K$2:$K$596))</f>
        <v>30</v>
      </c>
      <c r="C347" cm="1">
        <f t="array" ref="C347">SUMPRODUCT((Task_table_03_2_26!$C$2:$C$596=$C$1)*(A347&gt;Task_table_03_2_26!$J$2:$J$596)*(A347&lt;Task_table_03_2_26!$K$2:$K$596))</f>
        <v>9</v>
      </c>
      <c r="D347" cm="1">
        <f t="array" ref="D347">SUMPRODUCT((Task_table_03_2_26!$C$2:$C$596=$D$1)*(A347&gt;Task_table_03_2_26!$J$2:$J$596)*(A347&lt;Task_table_03_2_26!$K$2:$K$596))</f>
        <v>0</v>
      </c>
      <c r="E347" cm="1">
        <f t="array" ref="E347">SUMPRODUCT((Task_table_03_2_26!$C$2:$C$596=$E$1)*(A347&gt;Task_table_03_2_26!$J$2:$J$596)*(A347&lt;Task_table_03_2_26!$K$2:$K$596))</f>
        <v>1</v>
      </c>
    </row>
    <row r="348" spans="1:5">
      <c r="A348" s="5">
        <v>46216</v>
      </c>
      <c r="B348" cm="1">
        <f t="array" ref="B348">SUMPRODUCT((Task_table_03_2_26!$C$2:$C$596=$B$1)*(A348&gt;Task_table_03_2_26!$J$2:$J$596)*(A348&lt;Task_table_03_2_26!$K$2:$K$596))</f>
        <v>30</v>
      </c>
      <c r="C348" cm="1">
        <f t="array" ref="C348">SUMPRODUCT((Task_table_03_2_26!$C$2:$C$596=$C$1)*(A348&gt;Task_table_03_2_26!$J$2:$J$596)*(A348&lt;Task_table_03_2_26!$K$2:$K$596))</f>
        <v>9</v>
      </c>
      <c r="D348" cm="1">
        <f t="array" ref="D348">SUMPRODUCT((Task_table_03_2_26!$C$2:$C$596=$D$1)*(A348&gt;Task_table_03_2_26!$J$2:$J$596)*(A348&lt;Task_table_03_2_26!$K$2:$K$596))</f>
        <v>0</v>
      </c>
      <c r="E348" cm="1">
        <f t="array" ref="E348">SUMPRODUCT((Task_table_03_2_26!$C$2:$C$596=$E$1)*(A348&gt;Task_table_03_2_26!$J$2:$J$596)*(A348&lt;Task_table_03_2_26!$K$2:$K$596))</f>
        <v>1</v>
      </c>
    </row>
    <row r="349" spans="1:5">
      <c r="A349" s="5">
        <v>46217</v>
      </c>
      <c r="B349" cm="1">
        <f t="array" ref="B349">SUMPRODUCT((Task_table_03_2_26!$C$2:$C$596=$B$1)*(A349&gt;Task_table_03_2_26!$J$2:$J$596)*(A349&lt;Task_table_03_2_26!$K$2:$K$596))</f>
        <v>30</v>
      </c>
      <c r="C349" cm="1">
        <f t="array" ref="C349">SUMPRODUCT((Task_table_03_2_26!$C$2:$C$596=$C$1)*(A349&gt;Task_table_03_2_26!$J$2:$J$596)*(A349&lt;Task_table_03_2_26!$K$2:$K$596))</f>
        <v>10</v>
      </c>
      <c r="D349" cm="1">
        <f t="array" ref="D349">SUMPRODUCT((Task_table_03_2_26!$C$2:$C$596=$D$1)*(A349&gt;Task_table_03_2_26!$J$2:$J$596)*(A349&lt;Task_table_03_2_26!$K$2:$K$596))</f>
        <v>0</v>
      </c>
      <c r="E349" cm="1">
        <f t="array" ref="E349">SUMPRODUCT((Task_table_03_2_26!$C$2:$C$596=$E$1)*(A349&gt;Task_table_03_2_26!$J$2:$J$596)*(A349&lt;Task_table_03_2_26!$K$2:$K$596))</f>
        <v>1</v>
      </c>
    </row>
    <row r="350" spans="1:5">
      <c r="A350" s="5">
        <v>46218</v>
      </c>
      <c r="B350" cm="1">
        <f t="array" ref="B350">SUMPRODUCT((Task_table_03_2_26!$C$2:$C$596=$B$1)*(A350&gt;Task_table_03_2_26!$J$2:$J$596)*(A350&lt;Task_table_03_2_26!$K$2:$K$596))</f>
        <v>30</v>
      </c>
      <c r="C350" cm="1">
        <f t="array" ref="C350">SUMPRODUCT((Task_table_03_2_26!$C$2:$C$596=$C$1)*(A350&gt;Task_table_03_2_26!$J$2:$J$596)*(A350&lt;Task_table_03_2_26!$K$2:$K$596))</f>
        <v>10</v>
      </c>
      <c r="D350" cm="1">
        <f t="array" ref="D350">SUMPRODUCT((Task_table_03_2_26!$C$2:$C$596=$D$1)*(A350&gt;Task_table_03_2_26!$J$2:$J$596)*(A350&lt;Task_table_03_2_26!$K$2:$K$596))</f>
        <v>0</v>
      </c>
      <c r="E350" cm="1">
        <f t="array" ref="E350">SUMPRODUCT((Task_table_03_2_26!$C$2:$C$596=$E$1)*(A350&gt;Task_table_03_2_26!$J$2:$J$596)*(A350&lt;Task_table_03_2_26!$K$2:$K$596))</f>
        <v>1</v>
      </c>
    </row>
    <row r="351" spans="1:5">
      <c r="A351" s="5">
        <v>46219</v>
      </c>
      <c r="B351" cm="1">
        <f t="array" ref="B351">SUMPRODUCT((Task_table_03_2_26!$C$2:$C$596=$B$1)*(A351&gt;Task_table_03_2_26!$J$2:$J$596)*(A351&lt;Task_table_03_2_26!$K$2:$K$596))</f>
        <v>30</v>
      </c>
      <c r="C351" cm="1">
        <f t="array" ref="C351">SUMPRODUCT((Task_table_03_2_26!$C$2:$C$596=$C$1)*(A351&gt;Task_table_03_2_26!$J$2:$J$596)*(A351&lt;Task_table_03_2_26!$K$2:$K$596))</f>
        <v>11</v>
      </c>
      <c r="D351" cm="1">
        <f t="array" ref="D351">SUMPRODUCT((Task_table_03_2_26!$C$2:$C$596=$D$1)*(A351&gt;Task_table_03_2_26!$J$2:$J$596)*(A351&lt;Task_table_03_2_26!$K$2:$K$596))</f>
        <v>0</v>
      </c>
      <c r="E351" cm="1">
        <f t="array" ref="E351">SUMPRODUCT((Task_table_03_2_26!$C$2:$C$596=$E$1)*(A351&gt;Task_table_03_2_26!$J$2:$J$596)*(A351&lt;Task_table_03_2_26!$K$2:$K$596))</f>
        <v>1</v>
      </c>
    </row>
    <row r="352" spans="1:5">
      <c r="A352" s="5">
        <v>46220</v>
      </c>
      <c r="B352" cm="1">
        <f t="array" ref="B352">SUMPRODUCT((Task_table_03_2_26!$C$2:$C$596=$B$1)*(A352&gt;Task_table_03_2_26!$J$2:$J$596)*(A352&lt;Task_table_03_2_26!$K$2:$K$596))</f>
        <v>30</v>
      </c>
      <c r="C352" cm="1">
        <f t="array" ref="C352">SUMPRODUCT((Task_table_03_2_26!$C$2:$C$596=$C$1)*(A352&gt;Task_table_03_2_26!$J$2:$J$596)*(A352&lt;Task_table_03_2_26!$K$2:$K$596))</f>
        <v>11</v>
      </c>
      <c r="D352" cm="1">
        <f t="array" ref="D352">SUMPRODUCT((Task_table_03_2_26!$C$2:$C$596=$D$1)*(A352&gt;Task_table_03_2_26!$J$2:$J$596)*(A352&lt;Task_table_03_2_26!$K$2:$K$596))</f>
        <v>0</v>
      </c>
      <c r="E352" cm="1">
        <f t="array" ref="E352">SUMPRODUCT((Task_table_03_2_26!$C$2:$C$596=$E$1)*(A352&gt;Task_table_03_2_26!$J$2:$J$596)*(A352&lt;Task_table_03_2_26!$K$2:$K$596))</f>
        <v>1</v>
      </c>
    </row>
    <row r="353" spans="1:5">
      <c r="A353" s="5">
        <v>46221</v>
      </c>
      <c r="B353" cm="1">
        <f t="array" ref="B353">SUMPRODUCT((Task_table_03_2_26!$C$2:$C$596=$B$1)*(A353&gt;Task_table_03_2_26!$J$2:$J$596)*(A353&lt;Task_table_03_2_26!$K$2:$K$596))</f>
        <v>30</v>
      </c>
      <c r="C353" cm="1">
        <f t="array" ref="C353">SUMPRODUCT((Task_table_03_2_26!$C$2:$C$596=$C$1)*(A353&gt;Task_table_03_2_26!$J$2:$J$596)*(A353&lt;Task_table_03_2_26!$K$2:$K$596))</f>
        <v>11</v>
      </c>
      <c r="D353" cm="1">
        <f t="array" ref="D353">SUMPRODUCT((Task_table_03_2_26!$C$2:$C$596=$D$1)*(A353&gt;Task_table_03_2_26!$J$2:$J$596)*(A353&lt;Task_table_03_2_26!$K$2:$K$596))</f>
        <v>0</v>
      </c>
      <c r="E353" cm="1">
        <f t="array" ref="E353">SUMPRODUCT((Task_table_03_2_26!$C$2:$C$596=$E$1)*(A353&gt;Task_table_03_2_26!$J$2:$J$596)*(A353&lt;Task_table_03_2_26!$K$2:$K$596))</f>
        <v>1</v>
      </c>
    </row>
    <row r="354" spans="1:5">
      <c r="A354" s="5">
        <v>46222</v>
      </c>
      <c r="B354" cm="1">
        <f t="array" ref="B354">SUMPRODUCT((Task_table_03_2_26!$C$2:$C$596=$B$1)*(A354&gt;Task_table_03_2_26!$J$2:$J$596)*(A354&lt;Task_table_03_2_26!$K$2:$K$596))</f>
        <v>30</v>
      </c>
      <c r="C354" cm="1">
        <f t="array" ref="C354">SUMPRODUCT((Task_table_03_2_26!$C$2:$C$596=$C$1)*(A354&gt;Task_table_03_2_26!$J$2:$J$596)*(A354&lt;Task_table_03_2_26!$K$2:$K$596))</f>
        <v>11</v>
      </c>
      <c r="D354" cm="1">
        <f t="array" ref="D354">SUMPRODUCT((Task_table_03_2_26!$C$2:$C$596=$D$1)*(A354&gt;Task_table_03_2_26!$J$2:$J$596)*(A354&lt;Task_table_03_2_26!$K$2:$K$596))</f>
        <v>0</v>
      </c>
      <c r="E354" cm="1">
        <f t="array" ref="E354">SUMPRODUCT((Task_table_03_2_26!$C$2:$C$596=$E$1)*(A354&gt;Task_table_03_2_26!$J$2:$J$596)*(A354&lt;Task_table_03_2_26!$K$2:$K$596))</f>
        <v>1</v>
      </c>
    </row>
    <row r="355" spans="1:5">
      <c r="A355" s="5">
        <v>46223</v>
      </c>
      <c r="B355" cm="1">
        <f t="array" ref="B355">SUMPRODUCT((Task_table_03_2_26!$C$2:$C$596=$B$1)*(A355&gt;Task_table_03_2_26!$J$2:$J$596)*(A355&lt;Task_table_03_2_26!$K$2:$K$596))</f>
        <v>30</v>
      </c>
      <c r="C355" cm="1">
        <f t="array" ref="C355">SUMPRODUCT((Task_table_03_2_26!$C$2:$C$596=$C$1)*(A355&gt;Task_table_03_2_26!$J$2:$J$596)*(A355&lt;Task_table_03_2_26!$K$2:$K$596))</f>
        <v>11</v>
      </c>
      <c r="D355" cm="1">
        <f t="array" ref="D355">SUMPRODUCT((Task_table_03_2_26!$C$2:$C$596=$D$1)*(A355&gt;Task_table_03_2_26!$J$2:$J$596)*(A355&lt;Task_table_03_2_26!$K$2:$K$596))</f>
        <v>0</v>
      </c>
      <c r="E355" cm="1">
        <f t="array" ref="E355">SUMPRODUCT((Task_table_03_2_26!$C$2:$C$596=$E$1)*(A355&gt;Task_table_03_2_26!$J$2:$J$596)*(A355&lt;Task_table_03_2_26!$K$2:$K$596))</f>
        <v>1</v>
      </c>
    </row>
    <row r="356" spans="1:5">
      <c r="A356" s="5">
        <v>46224</v>
      </c>
      <c r="B356" cm="1">
        <f t="array" ref="B356">SUMPRODUCT((Task_table_03_2_26!$C$2:$C$596=$B$1)*(A356&gt;Task_table_03_2_26!$J$2:$J$596)*(A356&lt;Task_table_03_2_26!$K$2:$K$596))</f>
        <v>30</v>
      </c>
      <c r="C356" cm="1">
        <f t="array" ref="C356">SUMPRODUCT((Task_table_03_2_26!$C$2:$C$596=$C$1)*(A356&gt;Task_table_03_2_26!$J$2:$J$596)*(A356&lt;Task_table_03_2_26!$K$2:$K$596))</f>
        <v>11</v>
      </c>
      <c r="D356" cm="1">
        <f t="array" ref="D356">SUMPRODUCT((Task_table_03_2_26!$C$2:$C$596=$D$1)*(A356&gt;Task_table_03_2_26!$J$2:$J$596)*(A356&lt;Task_table_03_2_26!$K$2:$K$596))</f>
        <v>0</v>
      </c>
      <c r="E356" cm="1">
        <f t="array" ref="E356">SUMPRODUCT((Task_table_03_2_26!$C$2:$C$596=$E$1)*(A356&gt;Task_table_03_2_26!$J$2:$J$596)*(A356&lt;Task_table_03_2_26!$K$2:$K$596))</f>
        <v>1</v>
      </c>
    </row>
    <row r="357" spans="1:5">
      <c r="A357" s="5">
        <v>46225</v>
      </c>
      <c r="B357" cm="1">
        <f t="array" ref="B357">SUMPRODUCT((Task_table_03_2_26!$C$2:$C$596=$B$1)*(A357&gt;Task_table_03_2_26!$J$2:$J$596)*(A357&lt;Task_table_03_2_26!$K$2:$K$596))</f>
        <v>30</v>
      </c>
      <c r="C357" cm="1">
        <f t="array" ref="C357">SUMPRODUCT((Task_table_03_2_26!$C$2:$C$596=$C$1)*(A357&gt;Task_table_03_2_26!$J$2:$J$596)*(A357&lt;Task_table_03_2_26!$K$2:$K$596))</f>
        <v>11</v>
      </c>
      <c r="D357" cm="1">
        <f t="array" ref="D357">SUMPRODUCT((Task_table_03_2_26!$C$2:$C$596=$D$1)*(A357&gt;Task_table_03_2_26!$J$2:$J$596)*(A357&lt;Task_table_03_2_26!$K$2:$K$596))</f>
        <v>0</v>
      </c>
      <c r="E357" cm="1">
        <f t="array" ref="E357">SUMPRODUCT((Task_table_03_2_26!$C$2:$C$596=$E$1)*(A357&gt;Task_table_03_2_26!$J$2:$J$596)*(A357&lt;Task_table_03_2_26!$K$2:$K$596))</f>
        <v>1</v>
      </c>
    </row>
    <row r="358" spans="1:5">
      <c r="A358" s="5">
        <v>46226</v>
      </c>
      <c r="B358" cm="1">
        <f t="array" ref="B358">SUMPRODUCT((Task_table_03_2_26!$C$2:$C$596=$B$1)*(A358&gt;Task_table_03_2_26!$J$2:$J$596)*(A358&lt;Task_table_03_2_26!$K$2:$K$596))</f>
        <v>30</v>
      </c>
      <c r="C358" cm="1">
        <f t="array" ref="C358">SUMPRODUCT((Task_table_03_2_26!$C$2:$C$596=$C$1)*(A358&gt;Task_table_03_2_26!$J$2:$J$596)*(A358&lt;Task_table_03_2_26!$K$2:$K$596))</f>
        <v>11</v>
      </c>
      <c r="D358" cm="1">
        <f t="array" ref="D358">SUMPRODUCT((Task_table_03_2_26!$C$2:$C$596=$D$1)*(A358&gt;Task_table_03_2_26!$J$2:$J$596)*(A358&lt;Task_table_03_2_26!$K$2:$K$596))</f>
        <v>0</v>
      </c>
      <c r="E358" cm="1">
        <f t="array" ref="E358">SUMPRODUCT((Task_table_03_2_26!$C$2:$C$596=$E$1)*(A358&gt;Task_table_03_2_26!$J$2:$J$596)*(A358&lt;Task_table_03_2_26!$K$2:$K$596))</f>
        <v>1</v>
      </c>
    </row>
    <row r="359" spans="1:5">
      <c r="A359" s="5">
        <v>46227</v>
      </c>
      <c r="B359" cm="1">
        <f t="array" ref="B359">SUMPRODUCT((Task_table_03_2_26!$C$2:$C$596=$B$1)*(A359&gt;Task_table_03_2_26!$J$2:$J$596)*(A359&lt;Task_table_03_2_26!$K$2:$K$596))</f>
        <v>30</v>
      </c>
      <c r="C359" cm="1">
        <f t="array" ref="C359">SUMPRODUCT((Task_table_03_2_26!$C$2:$C$596=$C$1)*(A359&gt;Task_table_03_2_26!$J$2:$J$596)*(A359&lt;Task_table_03_2_26!$K$2:$K$596))</f>
        <v>11</v>
      </c>
      <c r="D359" cm="1">
        <f t="array" ref="D359">SUMPRODUCT((Task_table_03_2_26!$C$2:$C$596=$D$1)*(A359&gt;Task_table_03_2_26!$J$2:$J$596)*(A359&lt;Task_table_03_2_26!$K$2:$K$596))</f>
        <v>0</v>
      </c>
      <c r="E359" cm="1">
        <f t="array" ref="E359">SUMPRODUCT((Task_table_03_2_26!$C$2:$C$596=$E$1)*(A359&gt;Task_table_03_2_26!$J$2:$J$596)*(A359&lt;Task_table_03_2_26!$K$2:$K$596))</f>
        <v>1</v>
      </c>
    </row>
    <row r="360" spans="1:5">
      <c r="A360" s="5">
        <v>46228</v>
      </c>
      <c r="B360" cm="1">
        <f t="array" ref="B360">SUMPRODUCT((Task_table_03_2_26!$C$2:$C$596=$B$1)*(A360&gt;Task_table_03_2_26!$J$2:$J$596)*(A360&lt;Task_table_03_2_26!$K$2:$K$596))</f>
        <v>30</v>
      </c>
      <c r="C360" cm="1">
        <f t="array" ref="C360">SUMPRODUCT((Task_table_03_2_26!$C$2:$C$596=$C$1)*(A360&gt;Task_table_03_2_26!$J$2:$J$596)*(A360&lt;Task_table_03_2_26!$K$2:$K$596))</f>
        <v>11</v>
      </c>
      <c r="D360" cm="1">
        <f t="array" ref="D360">SUMPRODUCT((Task_table_03_2_26!$C$2:$C$596=$D$1)*(A360&gt;Task_table_03_2_26!$J$2:$J$596)*(A360&lt;Task_table_03_2_26!$K$2:$K$596))</f>
        <v>0</v>
      </c>
      <c r="E360" cm="1">
        <f t="array" ref="E360">SUMPRODUCT((Task_table_03_2_26!$C$2:$C$596=$E$1)*(A360&gt;Task_table_03_2_26!$J$2:$J$596)*(A360&lt;Task_table_03_2_26!$K$2:$K$596))</f>
        <v>1</v>
      </c>
    </row>
    <row r="361" spans="1:5">
      <c r="A361" s="5">
        <v>46229</v>
      </c>
      <c r="B361" cm="1">
        <f t="array" ref="B361">SUMPRODUCT((Task_table_03_2_26!$C$2:$C$596=$B$1)*(A361&gt;Task_table_03_2_26!$J$2:$J$596)*(A361&lt;Task_table_03_2_26!$K$2:$K$596))</f>
        <v>30</v>
      </c>
      <c r="C361" cm="1">
        <f t="array" ref="C361">SUMPRODUCT((Task_table_03_2_26!$C$2:$C$596=$C$1)*(A361&gt;Task_table_03_2_26!$J$2:$J$596)*(A361&lt;Task_table_03_2_26!$K$2:$K$596))</f>
        <v>11</v>
      </c>
      <c r="D361" cm="1">
        <f t="array" ref="D361">SUMPRODUCT((Task_table_03_2_26!$C$2:$C$596=$D$1)*(A361&gt;Task_table_03_2_26!$J$2:$J$596)*(A361&lt;Task_table_03_2_26!$K$2:$K$596))</f>
        <v>0</v>
      </c>
      <c r="E361" cm="1">
        <f t="array" ref="E361">SUMPRODUCT((Task_table_03_2_26!$C$2:$C$596=$E$1)*(A361&gt;Task_table_03_2_26!$J$2:$J$596)*(A361&lt;Task_table_03_2_26!$K$2:$K$596))</f>
        <v>1</v>
      </c>
    </row>
    <row r="362" spans="1:5">
      <c r="A362" s="5">
        <v>46230</v>
      </c>
      <c r="B362" cm="1">
        <f t="array" ref="B362">SUMPRODUCT((Task_table_03_2_26!$C$2:$C$596=$B$1)*(A362&gt;Task_table_03_2_26!$J$2:$J$596)*(A362&lt;Task_table_03_2_26!$K$2:$K$596))</f>
        <v>30</v>
      </c>
      <c r="C362" cm="1">
        <f t="array" ref="C362">SUMPRODUCT((Task_table_03_2_26!$C$2:$C$596=$C$1)*(A362&gt;Task_table_03_2_26!$J$2:$J$596)*(A362&lt;Task_table_03_2_26!$K$2:$K$596))</f>
        <v>11</v>
      </c>
      <c r="D362" cm="1">
        <f t="array" ref="D362">SUMPRODUCT((Task_table_03_2_26!$C$2:$C$596=$D$1)*(A362&gt;Task_table_03_2_26!$J$2:$J$596)*(A362&lt;Task_table_03_2_26!$K$2:$K$596))</f>
        <v>0</v>
      </c>
      <c r="E362" cm="1">
        <f t="array" ref="E362">SUMPRODUCT((Task_table_03_2_26!$C$2:$C$596=$E$1)*(A362&gt;Task_table_03_2_26!$J$2:$J$596)*(A362&lt;Task_table_03_2_26!$K$2:$K$596))</f>
        <v>1</v>
      </c>
    </row>
    <row r="363" spans="1:5">
      <c r="A363" s="5">
        <v>46231</v>
      </c>
      <c r="B363" cm="1">
        <f t="array" ref="B363">SUMPRODUCT((Task_table_03_2_26!$C$2:$C$596=$B$1)*(A363&gt;Task_table_03_2_26!$J$2:$J$596)*(A363&lt;Task_table_03_2_26!$K$2:$K$596))</f>
        <v>30</v>
      </c>
      <c r="C363" cm="1">
        <f t="array" ref="C363">SUMPRODUCT((Task_table_03_2_26!$C$2:$C$596=$C$1)*(A363&gt;Task_table_03_2_26!$J$2:$J$596)*(A363&lt;Task_table_03_2_26!$K$2:$K$596))</f>
        <v>11</v>
      </c>
      <c r="D363" cm="1">
        <f t="array" ref="D363">SUMPRODUCT((Task_table_03_2_26!$C$2:$C$596=$D$1)*(A363&gt;Task_table_03_2_26!$J$2:$J$596)*(A363&lt;Task_table_03_2_26!$K$2:$K$596))</f>
        <v>0</v>
      </c>
      <c r="E363" cm="1">
        <f t="array" ref="E363">SUMPRODUCT((Task_table_03_2_26!$C$2:$C$596=$E$1)*(A363&gt;Task_table_03_2_26!$J$2:$J$596)*(A363&lt;Task_table_03_2_26!$K$2:$K$596))</f>
        <v>1</v>
      </c>
    </row>
    <row r="364" spans="1:5">
      <c r="A364" s="5">
        <v>46232</v>
      </c>
      <c r="B364" cm="1">
        <f t="array" ref="B364">SUMPRODUCT((Task_table_03_2_26!$C$2:$C$596=$B$1)*(A364&gt;Task_table_03_2_26!$J$2:$J$596)*(A364&lt;Task_table_03_2_26!$K$2:$K$596))</f>
        <v>30</v>
      </c>
      <c r="C364" cm="1">
        <f t="array" ref="C364">SUMPRODUCT((Task_table_03_2_26!$C$2:$C$596=$C$1)*(A364&gt;Task_table_03_2_26!$J$2:$J$596)*(A364&lt;Task_table_03_2_26!$K$2:$K$596))</f>
        <v>10</v>
      </c>
      <c r="D364" cm="1">
        <f t="array" ref="D364">SUMPRODUCT((Task_table_03_2_26!$C$2:$C$596=$D$1)*(A364&gt;Task_table_03_2_26!$J$2:$J$596)*(A364&lt;Task_table_03_2_26!$K$2:$K$596))</f>
        <v>0</v>
      </c>
      <c r="E364" cm="1">
        <f t="array" ref="E364">SUMPRODUCT((Task_table_03_2_26!$C$2:$C$596=$E$1)*(A364&gt;Task_table_03_2_26!$J$2:$J$596)*(A364&lt;Task_table_03_2_26!$K$2:$K$596))</f>
        <v>1</v>
      </c>
    </row>
    <row r="365" spans="1:5">
      <c r="A365" s="5">
        <v>46233</v>
      </c>
      <c r="B365" cm="1">
        <f t="array" ref="B365">SUMPRODUCT((Task_table_03_2_26!$C$2:$C$596=$B$1)*(A365&gt;Task_table_03_2_26!$J$2:$J$596)*(A365&lt;Task_table_03_2_26!$K$2:$K$596))</f>
        <v>30</v>
      </c>
      <c r="C365" cm="1">
        <f t="array" ref="C365">SUMPRODUCT((Task_table_03_2_26!$C$2:$C$596=$C$1)*(A365&gt;Task_table_03_2_26!$J$2:$J$596)*(A365&lt;Task_table_03_2_26!$K$2:$K$596))</f>
        <v>10</v>
      </c>
      <c r="D365" cm="1">
        <f t="array" ref="D365">SUMPRODUCT((Task_table_03_2_26!$C$2:$C$596=$D$1)*(A365&gt;Task_table_03_2_26!$J$2:$J$596)*(A365&lt;Task_table_03_2_26!$K$2:$K$596))</f>
        <v>0</v>
      </c>
      <c r="E365" cm="1">
        <f t="array" ref="E365">SUMPRODUCT((Task_table_03_2_26!$C$2:$C$596=$E$1)*(A365&gt;Task_table_03_2_26!$J$2:$J$596)*(A365&lt;Task_table_03_2_26!$K$2:$K$596))</f>
        <v>1</v>
      </c>
    </row>
    <row r="366" spans="1:5">
      <c r="A366" s="5">
        <v>46234</v>
      </c>
      <c r="B366" cm="1">
        <f t="array" ref="B366">SUMPRODUCT((Task_table_03_2_26!$C$2:$C$596=$B$1)*(A366&gt;Task_table_03_2_26!$J$2:$J$596)*(A366&lt;Task_table_03_2_26!$K$2:$K$596))</f>
        <v>30</v>
      </c>
      <c r="C366" cm="1">
        <f t="array" ref="C366">SUMPRODUCT((Task_table_03_2_26!$C$2:$C$596=$C$1)*(A366&gt;Task_table_03_2_26!$J$2:$J$596)*(A366&lt;Task_table_03_2_26!$K$2:$K$596))</f>
        <v>9</v>
      </c>
      <c r="D366" cm="1">
        <f t="array" ref="D366">SUMPRODUCT((Task_table_03_2_26!$C$2:$C$596=$D$1)*(A366&gt;Task_table_03_2_26!$J$2:$J$596)*(A366&lt;Task_table_03_2_26!$K$2:$K$596))</f>
        <v>0</v>
      </c>
      <c r="E366" cm="1">
        <f t="array" ref="E366">SUMPRODUCT((Task_table_03_2_26!$C$2:$C$596=$E$1)*(A366&gt;Task_table_03_2_26!$J$2:$J$596)*(A366&lt;Task_table_03_2_26!$K$2:$K$596))</f>
        <v>1</v>
      </c>
    </row>
    <row r="367" spans="1:5">
      <c r="A367" s="5">
        <v>46235</v>
      </c>
      <c r="B367" cm="1">
        <f t="array" ref="B367">SUMPRODUCT((Task_table_03_2_26!$C$2:$C$596=$B$1)*(A367&gt;Task_table_03_2_26!$J$2:$J$596)*(A367&lt;Task_table_03_2_26!$K$2:$K$596))</f>
        <v>30</v>
      </c>
      <c r="C367" cm="1">
        <f t="array" ref="C367">SUMPRODUCT((Task_table_03_2_26!$C$2:$C$596=$C$1)*(A367&gt;Task_table_03_2_26!$J$2:$J$596)*(A367&lt;Task_table_03_2_26!$K$2:$K$596))</f>
        <v>9</v>
      </c>
      <c r="D367" cm="1">
        <f t="array" ref="D367">SUMPRODUCT((Task_table_03_2_26!$C$2:$C$596=$D$1)*(A367&gt;Task_table_03_2_26!$J$2:$J$596)*(A367&lt;Task_table_03_2_26!$K$2:$K$596))</f>
        <v>0</v>
      </c>
      <c r="E367" cm="1">
        <f t="array" ref="E367">SUMPRODUCT((Task_table_03_2_26!$C$2:$C$596=$E$1)*(A367&gt;Task_table_03_2_26!$J$2:$J$596)*(A367&lt;Task_table_03_2_26!$K$2:$K$596))</f>
        <v>1</v>
      </c>
    </row>
    <row r="368" spans="1:5">
      <c r="A368" s="5">
        <v>46236</v>
      </c>
      <c r="B368" cm="1">
        <f t="array" ref="B368">SUMPRODUCT((Task_table_03_2_26!$C$2:$C$596=$B$1)*(A368&gt;Task_table_03_2_26!$J$2:$J$596)*(A368&lt;Task_table_03_2_26!$K$2:$K$596))</f>
        <v>30</v>
      </c>
      <c r="C368" cm="1">
        <f t="array" ref="C368">SUMPRODUCT((Task_table_03_2_26!$C$2:$C$596=$C$1)*(A368&gt;Task_table_03_2_26!$J$2:$J$596)*(A368&lt;Task_table_03_2_26!$K$2:$K$596))</f>
        <v>9</v>
      </c>
      <c r="D368" cm="1">
        <f t="array" ref="D368">SUMPRODUCT((Task_table_03_2_26!$C$2:$C$596=$D$1)*(A368&gt;Task_table_03_2_26!$J$2:$J$596)*(A368&lt;Task_table_03_2_26!$K$2:$K$596))</f>
        <v>0</v>
      </c>
      <c r="E368" cm="1">
        <f t="array" ref="E368">SUMPRODUCT((Task_table_03_2_26!$C$2:$C$596=$E$1)*(A368&gt;Task_table_03_2_26!$J$2:$J$596)*(A368&lt;Task_table_03_2_26!$K$2:$K$596))</f>
        <v>1</v>
      </c>
    </row>
    <row r="369" spans="1:5">
      <c r="A369" s="5">
        <v>46237</v>
      </c>
      <c r="B369" cm="1">
        <f t="array" ref="B369">SUMPRODUCT((Task_table_03_2_26!$C$2:$C$596=$B$1)*(A369&gt;Task_table_03_2_26!$J$2:$J$596)*(A369&lt;Task_table_03_2_26!$K$2:$K$596))</f>
        <v>30</v>
      </c>
      <c r="C369" cm="1">
        <f t="array" ref="C369">SUMPRODUCT((Task_table_03_2_26!$C$2:$C$596=$C$1)*(A369&gt;Task_table_03_2_26!$J$2:$J$596)*(A369&lt;Task_table_03_2_26!$K$2:$K$596))</f>
        <v>9</v>
      </c>
      <c r="D369" cm="1">
        <f t="array" ref="D369">SUMPRODUCT((Task_table_03_2_26!$C$2:$C$596=$D$1)*(A369&gt;Task_table_03_2_26!$J$2:$J$596)*(A369&lt;Task_table_03_2_26!$K$2:$K$596))</f>
        <v>0</v>
      </c>
      <c r="E369" cm="1">
        <f t="array" ref="E369">SUMPRODUCT((Task_table_03_2_26!$C$2:$C$596=$E$1)*(A369&gt;Task_table_03_2_26!$J$2:$J$596)*(A369&lt;Task_table_03_2_26!$K$2:$K$596))</f>
        <v>1</v>
      </c>
    </row>
    <row r="370" spans="1:5">
      <c r="A370" s="5">
        <v>46238</v>
      </c>
      <c r="B370" cm="1">
        <f t="array" ref="B370">SUMPRODUCT((Task_table_03_2_26!$C$2:$C$596=$B$1)*(A370&gt;Task_table_03_2_26!$J$2:$J$596)*(A370&lt;Task_table_03_2_26!$K$2:$K$596))</f>
        <v>30</v>
      </c>
      <c r="C370" cm="1">
        <f t="array" ref="C370">SUMPRODUCT((Task_table_03_2_26!$C$2:$C$596=$C$1)*(A370&gt;Task_table_03_2_26!$J$2:$J$596)*(A370&lt;Task_table_03_2_26!$K$2:$K$596))</f>
        <v>9</v>
      </c>
      <c r="D370" cm="1">
        <f t="array" ref="D370">SUMPRODUCT((Task_table_03_2_26!$C$2:$C$596=$D$1)*(A370&gt;Task_table_03_2_26!$J$2:$J$596)*(A370&lt;Task_table_03_2_26!$K$2:$K$596))</f>
        <v>0</v>
      </c>
      <c r="E370" cm="1">
        <f t="array" ref="E370">SUMPRODUCT((Task_table_03_2_26!$C$2:$C$596=$E$1)*(A370&gt;Task_table_03_2_26!$J$2:$J$596)*(A370&lt;Task_table_03_2_26!$K$2:$K$596))</f>
        <v>1</v>
      </c>
    </row>
    <row r="371" spans="1:5">
      <c r="A371" s="5">
        <v>46239</v>
      </c>
      <c r="B371" cm="1">
        <f t="array" ref="B371">SUMPRODUCT((Task_table_03_2_26!$C$2:$C$596=$B$1)*(A371&gt;Task_table_03_2_26!$J$2:$J$596)*(A371&lt;Task_table_03_2_26!$K$2:$K$596))</f>
        <v>30</v>
      </c>
      <c r="C371" cm="1">
        <f t="array" ref="C371">SUMPRODUCT((Task_table_03_2_26!$C$2:$C$596=$C$1)*(A371&gt;Task_table_03_2_26!$J$2:$J$596)*(A371&lt;Task_table_03_2_26!$K$2:$K$596))</f>
        <v>9</v>
      </c>
      <c r="D371" cm="1">
        <f t="array" ref="D371">SUMPRODUCT((Task_table_03_2_26!$C$2:$C$596=$D$1)*(A371&gt;Task_table_03_2_26!$J$2:$J$596)*(A371&lt;Task_table_03_2_26!$K$2:$K$596))</f>
        <v>0</v>
      </c>
      <c r="E371" cm="1">
        <f t="array" ref="E371">SUMPRODUCT((Task_table_03_2_26!$C$2:$C$596=$E$1)*(A371&gt;Task_table_03_2_26!$J$2:$J$596)*(A371&lt;Task_table_03_2_26!$K$2:$K$596))</f>
        <v>1</v>
      </c>
    </row>
    <row r="372" spans="1:5">
      <c r="A372" s="5">
        <v>46240</v>
      </c>
      <c r="B372" cm="1">
        <f t="array" ref="B372">SUMPRODUCT((Task_table_03_2_26!$C$2:$C$596=$B$1)*(A372&gt;Task_table_03_2_26!$J$2:$J$596)*(A372&lt;Task_table_03_2_26!$K$2:$K$596))</f>
        <v>30</v>
      </c>
      <c r="C372" cm="1">
        <f t="array" ref="C372">SUMPRODUCT((Task_table_03_2_26!$C$2:$C$596=$C$1)*(A372&gt;Task_table_03_2_26!$J$2:$J$596)*(A372&lt;Task_table_03_2_26!$K$2:$K$596))</f>
        <v>9</v>
      </c>
      <c r="D372" cm="1">
        <f t="array" ref="D372">SUMPRODUCT((Task_table_03_2_26!$C$2:$C$596=$D$1)*(A372&gt;Task_table_03_2_26!$J$2:$J$596)*(A372&lt;Task_table_03_2_26!$K$2:$K$596))</f>
        <v>0</v>
      </c>
      <c r="E372" cm="1">
        <f t="array" ref="E372">SUMPRODUCT((Task_table_03_2_26!$C$2:$C$596=$E$1)*(A372&gt;Task_table_03_2_26!$J$2:$J$596)*(A372&lt;Task_table_03_2_26!$K$2:$K$596))</f>
        <v>1</v>
      </c>
    </row>
    <row r="373" spans="1:5">
      <c r="A373" s="5">
        <v>46241</v>
      </c>
      <c r="B373" cm="1">
        <f t="array" ref="B373">SUMPRODUCT((Task_table_03_2_26!$C$2:$C$596=$B$1)*(A373&gt;Task_table_03_2_26!$J$2:$J$596)*(A373&lt;Task_table_03_2_26!$K$2:$K$596))</f>
        <v>30</v>
      </c>
      <c r="C373" cm="1">
        <f t="array" ref="C373">SUMPRODUCT((Task_table_03_2_26!$C$2:$C$596=$C$1)*(A373&gt;Task_table_03_2_26!$J$2:$J$596)*(A373&lt;Task_table_03_2_26!$K$2:$K$596))</f>
        <v>9</v>
      </c>
      <c r="D373" cm="1">
        <f t="array" ref="D373">SUMPRODUCT((Task_table_03_2_26!$C$2:$C$596=$D$1)*(A373&gt;Task_table_03_2_26!$J$2:$J$596)*(A373&lt;Task_table_03_2_26!$K$2:$K$596))</f>
        <v>0</v>
      </c>
      <c r="E373" cm="1">
        <f t="array" ref="E373">SUMPRODUCT((Task_table_03_2_26!$C$2:$C$596=$E$1)*(A373&gt;Task_table_03_2_26!$J$2:$J$596)*(A373&lt;Task_table_03_2_26!$K$2:$K$596))</f>
        <v>1</v>
      </c>
    </row>
    <row r="374" spans="1:5">
      <c r="A374" s="5">
        <v>46242</v>
      </c>
      <c r="B374" cm="1">
        <f t="array" ref="B374">SUMPRODUCT((Task_table_03_2_26!$C$2:$C$596=$B$1)*(A374&gt;Task_table_03_2_26!$J$2:$J$596)*(A374&lt;Task_table_03_2_26!$K$2:$K$596))</f>
        <v>30</v>
      </c>
      <c r="C374" cm="1">
        <f t="array" ref="C374">SUMPRODUCT((Task_table_03_2_26!$C$2:$C$596=$C$1)*(A374&gt;Task_table_03_2_26!$J$2:$J$596)*(A374&lt;Task_table_03_2_26!$K$2:$K$596))</f>
        <v>9</v>
      </c>
      <c r="D374" cm="1">
        <f t="array" ref="D374">SUMPRODUCT((Task_table_03_2_26!$C$2:$C$596=$D$1)*(A374&gt;Task_table_03_2_26!$J$2:$J$596)*(A374&lt;Task_table_03_2_26!$K$2:$K$596))</f>
        <v>0</v>
      </c>
      <c r="E374" cm="1">
        <f t="array" ref="E374">SUMPRODUCT((Task_table_03_2_26!$C$2:$C$596=$E$1)*(A374&gt;Task_table_03_2_26!$J$2:$J$596)*(A374&lt;Task_table_03_2_26!$K$2:$K$596))</f>
        <v>1</v>
      </c>
    </row>
    <row r="375" spans="1:5">
      <c r="A375" s="5">
        <v>46243</v>
      </c>
      <c r="B375" cm="1">
        <f t="array" ref="B375">SUMPRODUCT((Task_table_03_2_26!$C$2:$C$596=$B$1)*(A375&gt;Task_table_03_2_26!$J$2:$J$596)*(A375&lt;Task_table_03_2_26!$K$2:$K$596))</f>
        <v>30</v>
      </c>
      <c r="C375" cm="1">
        <f t="array" ref="C375">SUMPRODUCT((Task_table_03_2_26!$C$2:$C$596=$C$1)*(A375&gt;Task_table_03_2_26!$J$2:$J$596)*(A375&lt;Task_table_03_2_26!$K$2:$K$596))</f>
        <v>9</v>
      </c>
      <c r="D375" cm="1">
        <f t="array" ref="D375">SUMPRODUCT((Task_table_03_2_26!$C$2:$C$596=$D$1)*(A375&gt;Task_table_03_2_26!$J$2:$J$596)*(A375&lt;Task_table_03_2_26!$K$2:$K$596))</f>
        <v>0</v>
      </c>
      <c r="E375" cm="1">
        <f t="array" ref="E375">SUMPRODUCT((Task_table_03_2_26!$C$2:$C$596=$E$1)*(A375&gt;Task_table_03_2_26!$J$2:$J$596)*(A375&lt;Task_table_03_2_26!$K$2:$K$596))</f>
        <v>1</v>
      </c>
    </row>
    <row r="376" spans="1:5">
      <c r="A376" s="5">
        <v>46244</v>
      </c>
      <c r="B376" cm="1">
        <f t="array" ref="B376">SUMPRODUCT((Task_table_03_2_26!$C$2:$C$596=$B$1)*(A376&gt;Task_table_03_2_26!$J$2:$J$596)*(A376&lt;Task_table_03_2_26!$K$2:$K$596))</f>
        <v>30</v>
      </c>
      <c r="C376" cm="1">
        <f t="array" ref="C376">SUMPRODUCT((Task_table_03_2_26!$C$2:$C$596=$C$1)*(A376&gt;Task_table_03_2_26!$J$2:$J$596)*(A376&lt;Task_table_03_2_26!$K$2:$K$596))</f>
        <v>9</v>
      </c>
      <c r="D376" cm="1">
        <f t="array" ref="D376">SUMPRODUCT((Task_table_03_2_26!$C$2:$C$596=$D$1)*(A376&gt;Task_table_03_2_26!$J$2:$J$596)*(A376&lt;Task_table_03_2_26!$K$2:$K$596))</f>
        <v>0</v>
      </c>
      <c r="E376" cm="1">
        <f t="array" ref="E376">SUMPRODUCT((Task_table_03_2_26!$C$2:$C$596=$E$1)*(A376&gt;Task_table_03_2_26!$J$2:$J$596)*(A376&lt;Task_table_03_2_26!$K$2:$K$596))</f>
        <v>1</v>
      </c>
    </row>
    <row r="377" spans="1:5">
      <c r="A377" s="5">
        <v>46245</v>
      </c>
      <c r="B377" cm="1">
        <f t="array" ref="B377">SUMPRODUCT((Task_table_03_2_26!$C$2:$C$596=$B$1)*(A377&gt;Task_table_03_2_26!$J$2:$J$596)*(A377&lt;Task_table_03_2_26!$K$2:$K$596))</f>
        <v>30</v>
      </c>
      <c r="C377" cm="1">
        <f t="array" ref="C377">SUMPRODUCT((Task_table_03_2_26!$C$2:$C$596=$C$1)*(A377&gt;Task_table_03_2_26!$J$2:$J$596)*(A377&lt;Task_table_03_2_26!$K$2:$K$596))</f>
        <v>9</v>
      </c>
      <c r="D377" cm="1">
        <f t="array" ref="D377">SUMPRODUCT((Task_table_03_2_26!$C$2:$C$596=$D$1)*(A377&gt;Task_table_03_2_26!$J$2:$J$596)*(A377&lt;Task_table_03_2_26!$K$2:$K$596))</f>
        <v>0</v>
      </c>
      <c r="E377" cm="1">
        <f t="array" ref="E377">SUMPRODUCT((Task_table_03_2_26!$C$2:$C$596=$E$1)*(A377&gt;Task_table_03_2_26!$J$2:$J$596)*(A377&lt;Task_table_03_2_26!$K$2:$K$596))</f>
        <v>1</v>
      </c>
    </row>
    <row r="378" spans="1:5">
      <c r="A378" s="5">
        <v>46246</v>
      </c>
      <c r="B378" cm="1">
        <f t="array" ref="B378">SUMPRODUCT((Task_table_03_2_26!$C$2:$C$596=$B$1)*(A378&gt;Task_table_03_2_26!$J$2:$J$596)*(A378&lt;Task_table_03_2_26!$K$2:$K$596))</f>
        <v>30</v>
      </c>
      <c r="C378" cm="1">
        <f t="array" ref="C378">SUMPRODUCT((Task_table_03_2_26!$C$2:$C$596=$C$1)*(A378&gt;Task_table_03_2_26!$J$2:$J$596)*(A378&lt;Task_table_03_2_26!$K$2:$K$596))</f>
        <v>9</v>
      </c>
      <c r="D378" cm="1">
        <f t="array" ref="D378">SUMPRODUCT((Task_table_03_2_26!$C$2:$C$596=$D$1)*(A378&gt;Task_table_03_2_26!$J$2:$J$596)*(A378&lt;Task_table_03_2_26!$K$2:$K$596))</f>
        <v>0</v>
      </c>
      <c r="E378" cm="1">
        <f t="array" ref="E378">SUMPRODUCT((Task_table_03_2_26!$C$2:$C$596=$E$1)*(A378&gt;Task_table_03_2_26!$J$2:$J$596)*(A378&lt;Task_table_03_2_26!$K$2:$K$596))</f>
        <v>1</v>
      </c>
    </row>
    <row r="379" spans="1:5">
      <c r="A379" s="5">
        <v>46247</v>
      </c>
      <c r="B379" cm="1">
        <f t="array" ref="B379">SUMPRODUCT((Task_table_03_2_26!$C$2:$C$596=$B$1)*(A379&gt;Task_table_03_2_26!$J$2:$J$596)*(A379&lt;Task_table_03_2_26!$K$2:$K$596))</f>
        <v>30</v>
      </c>
      <c r="C379" cm="1">
        <f t="array" ref="C379">SUMPRODUCT((Task_table_03_2_26!$C$2:$C$596=$C$1)*(A379&gt;Task_table_03_2_26!$J$2:$J$596)*(A379&lt;Task_table_03_2_26!$K$2:$K$596))</f>
        <v>9</v>
      </c>
      <c r="D379" cm="1">
        <f t="array" ref="D379">SUMPRODUCT((Task_table_03_2_26!$C$2:$C$596=$D$1)*(A379&gt;Task_table_03_2_26!$J$2:$J$596)*(A379&lt;Task_table_03_2_26!$K$2:$K$596))</f>
        <v>0</v>
      </c>
      <c r="E379" cm="1">
        <f t="array" ref="E379">SUMPRODUCT((Task_table_03_2_26!$C$2:$C$596=$E$1)*(A379&gt;Task_table_03_2_26!$J$2:$J$596)*(A379&lt;Task_table_03_2_26!$K$2:$K$596))</f>
        <v>1</v>
      </c>
    </row>
    <row r="380" spans="1:5">
      <c r="A380" s="5">
        <v>46248</v>
      </c>
      <c r="B380" cm="1">
        <f t="array" ref="B380">SUMPRODUCT((Task_table_03_2_26!$C$2:$C$596=$B$1)*(A380&gt;Task_table_03_2_26!$J$2:$J$596)*(A380&lt;Task_table_03_2_26!$K$2:$K$596))</f>
        <v>30</v>
      </c>
      <c r="C380" cm="1">
        <f t="array" ref="C380">SUMPRODUCT((Task_table_03_2_26!$C$2:$C$596=$C$1)*(A380&gt;Task_table_03_2_26!$J$2:$J$596)*(A380&lt;Task_table_03_2_26!$K$2:$K$596))</f>
        <v>8</v>
      </c>
      <c r="D380" cm="1">
        <f t="array" ref="D380">SUMPRODUCT((Task_table_03_2_26!$C$2:$C$596=$D$1)*(A380&gt;Task_table_03_2_26!$J$2:$J$596)*(A380&lt;Task_table_03_2_26!$K$2:$K$596))</f>
        <v>0</v>
      </c>
      <c r="E380" cm="1">
        <f t="array" ref="E380">SUMPRODUCT((Task_table_03_2_26!$C$2:$C$596=$E$1)*(A380&gt;Task_table_03_2_26!$J$2:$J$596)*(A380&lt;Task_table_03_2_26!$K$2:$K$596))</f>
        <v>1</v>
      </c>
    </row>
    <row r="381" spans="1:5">
      <c r="A381" s="5">
        <v>46249</v>
      </c>
      <c r="B381" cm="1">
        <f t="array" ref="B381">SUMPRODUCT((Task_table_03_2_26!$C$2:$C$596=$B$1)*(A381&gt;Task_table_03_2_26!$J$2:$J$596)*(A381&lt;Task_table_03_2_26!$K$2:$K$596))</f>
        <v>30</v>
      </c>
      <c r="C381" cm="1">
        <f t="array" ref="C381">SUMPRODUCT((Task_table_03_2_26!$C$2:$C$596=$C$1)*(A381&gt;Task_table_03_2_26!$J$2:$J$596)*(A381&lt;Task_table_03_2_26!$K$2:$K$596))</f>
        <v>8</v>
      </c>
      <c r="D381" cm="1">
        <f t="array" ref="D381">SUMPRODUCT((Task_table_03_2_26!$C$2:$C$596=$D$1)*(A381&gt;Task_table_03_2_26!$J$2:$J$596)*(A381&lt;Task_table_03_2_26!$K$2:$K$596))</f>
        <v>0</v>
      </c>
      <c r="E381" cm="1">
        <f t="array" ref="E381">SUMPRODUCT((Task_table_03_2_26!$C$2:$C$596=$E$1)*(A381&gt;Task_table_03_2_26!$J$2:$J$596)*(A381&lt;Task_table_03_2_26!$K$2:$K$596))</f>
        <v>1</v>
      </c>
    </row>
    <row r="382" spans="1:5">
      <c r="A382" s="5">
        <v>46250</v>
      </c>
      <c r="B382" cm="1">
        <f t="array" ref="B382">SUMPRODUCT((Task_table_03_2_26!$C$2:$C$596=$B$1)*(A382&gt;Task_table_03_2_26!$J$2:$J$596)*(A382&lt;Task_table_03_2_26!$K$2:$K$596))</f>
        <v>30</v>
      </c>
      <c r="C382" cm="1">
        <f t="array" ref="C382">SUMPRODUCT((Task_table_03_2_26!$C$2:$C$596=$C$1)*(A382&gt;Task_table_03_2_26!$J$2:$J$596)*(A382&lt;Task_table_03_2_26!$K$2:$K$596))</f>
        <v>8</v>
      </c>
      <c r="D382" cm="1">
        <f t="array" ref="D382">SUMPRODUCT((Task_table_03_2_26!$C$2:$C$596=$D$1)*(A382&gt;Task_table_03_2_26!$J$2:$J$596)*(A382&lt;Task_table_03_2_26!$K$2:$K$596))</f>
        <v>0</v>
      </c>
      <c r="E382" cm="1">
        <f t="array" ref="E382">SUMPRODUCT((Task_table_03_2_26!$C$2:$C$596=$E$1)*(A382&gt;Task_table_03_2_26!$J$2:$J$596)*(A382&lt;Task_table_03_2_26!$K$2:$K$596))</f>
        <v>1</v>
      </c>
    </row>
    <row r="383" spans="1:5">
      <c r="A383" s="5">
        <v>46251</v>
      </c>
      <c r="B383" cm="1">
        <f t="array" ref="B383">SUMPRODUCT((Task_table_03_2_26!$C$2:$C$596=$B$1)*(A383&gt;Task_table_03_2_26!$J$2:$J$596)*(A383&lt;Task_table_03_2_26!$K$2:$K$596))</f>
        <v>30</v>
      </c>
      <c r="C383" cm="1">
        <f t="array" ref="C383">SUMPRODUCT((Task_table_03_2_26!$C$2:$C$596=$C$1)*(A383&gt;Task_table_03_2_26!$J$2:$J$596)*(A383&lt;Task_table_03_2_26!$K$2:$K$596))</f>
        <v>8</v>
      </c>
      <c r="D383" cm="1">
        <f t="array" ref="D383">SUMPRODUCT((Task_table_03_2_26!$C$2:$C$596=$D$1)*(A383&gt;Task_table_03_2_26!$J$2:$J$596)*(A383&lt;Task_table_03_2_26!$K$2:$K$596))</f>
        <v>0</v>
      </c>
      <c r="E383" cm="1">
        <f t="array" ref="E383">SUMPRODUCT((Task_table_03_2_26!$C$2:$C$596=$E$1)*(A383&gt;Task_table_03_2_26!$J$2:$J$596)*(A383&lt;Task_table_03_2_26!$K$2:$K$596))</f>
        <v>1</v>
      </c>
    </row>
    <row r="384" spans="1:5">
      <c r="A384" s="5">
        <v>46252</v>
      </c>
      <c r="B384" cm="1">
        <f t="array" ref="B384">SUMPRODUCT((Task_table_03_2_26!$C$2:$C$596=$B$1)*(A384&gt;Task_table_03_2_26!$J$2:$J$596)*(A384&lt;Task_table_03_2_26!$K$2:$K$596))</f>
        <v>30</v>
      </c>
      <c r="C384" cm="1">
        <f t="array" ref="C384">SUMPRODUCT((Task_table_03_2_26!$C$2:$C$596=$C$1)*(A384&gt;Task_table_03_2_26!$J$2:$J$596)*(A384&lt;Task_table_03_2_26!$K$2:$K$596))</f>
        <v>8</v>
      </c>
      <c r="D384" cm="1">
        <f t="array" ref="D384">SUMPRODUCT((Task_table_03_2_26!$C$2:$C$596=$D$1)*(A384&gt;Task_table_03_2_26!$J$2:$J$596)*(A384&lt;Task_table_03_2_26!$K$2:$K$596))</f>
        <v>0</v>
      </c>
      <c r="E384" cm="1">
        <f t="array" ref="E384">SUMPRODUCT((Task_table_03_2_26!$C$2:$C$596=$E$1)*(A384&gt;Task_table_03_2_26!$J$2:$J$596)*(A384&lt;Task_table_03_2_26!$K$2:$K$596))</f>
        <v>1</v>
      </c>
    </row>
    <row r="385" spans="1:5">
      <c r="A385" s="5">
        <v>46253</v>
      </c>
      <c r="B385" cm="1">
        <f t="array" ref="B385">SUMPRODUCT((Task_table_03_2_26!$C$2:$C$596=$B$1)*(A385&gt;Task_table_03_2_26!$J$2:$J$596)*(A385&lt;Task_table_03_2_26!$K$2:$K$596))</f>
        <v>30</v>
      </c>
      <c r="C385" cm="1">
        <f t="array" ref="C385">SUMPRODUCT((Task_table_03_2_26!$C$2:$C$596=$C$1)*(A385&gt;Task_table_03_2_26!$J$2:$J$596)*(A385&lt;Task_table_03_2_26!$K$2:$K$596))</f>
        <v>8</v>
      </c>
      <c r="D385" cm="1">
        <f t="array" ref="D385">SUMPRODUCT((Task_table_03_2_26!$C$2:$C$596=$D$1)*(A385&gt;Task_table_03_2_26!$J$2:$J$596)*(A385&lt;Task_table_03_2_26!$K$2:$K$596))</f>
        <v>0</v>
      </c>
      <c r="E385" cm="1">
        <f t="array" ref="E385">SUMPRODUCT((Task_table_03_2_26!$C$2:$C$596=$E$1)*(A385&gt;Task_table_03_2_26!$J$2:$J$596)*(A385&lt;Task_table_03_2_26!$K$2:$K$596))</f>
        <v>1</v>
      </c>
    </row>
    <row r="386" spans="1:5">
      <c r="A386" s="5">
        <v>46254</v>
      </c>
      <c r="B386" cm="1">
        <f t="array" ref="B386">SUMPRODUCT((Task_table_03_2_26!$C$2:$C$596=$B$1)*(A386&gt;Task_table_03_2_26!$J$2:$J$596)*(A386&lt;Task_table_03_2_26!$K$2:$K$596))</f>
        <v>30</v>
      </c>
      <c r="C386" cm="1">
        <f t="array" ref="C386">SUMPRODUCT((Task_table_03_2_26!$C$2:$C$596=$C$1)*(A386&gt;Task_table_03_2_26!$J$2:$J$596)*(A386&lt;Task_table_03_2_26!$K$2:$K$596))</f>
        <v>8</v>
      </c>
      <c r="D386" cm="1">
        <f t="array" ref="D386">SUMPRODUCT((Task_table_03_2_26!$C$2:$C$596=$D$1)*(A386&gt;Task_table_03_2_26!$J$2:$J$596)*(A386&lt;Task_table_03_2_26!$K$2:$K$596))</f>
        <v>0</v>
      </c>
      <c r="E386" cm="1">
        <f t="array" ref="E386">SUMPRODUCT((Task_table_03_2_26!$C$2:$C$596=$E$1)*(A386&gt;Task_table_03_2_26!$J$2:$J$596)*(A386&lt;Task_table_03_2_26!$K$2:$K$596))</f>
        <v>1</v>
      </c>
    </row>
    <row r="387" spans="1:5">
      <c r="A387" s="5">
        <v>46255</v>
      </c>
      <c r="B387" cm="1">
        <f t="array" ref="B387">SUMPRODUCT((Task_table_03_2_26!$C$2:$C$596=$B$1)*(A387&gt;Task_table_03_2_26!$J$2:$J$596)*(A387&lt;Task_table_03_2_26!$K$2:$K$596))</f>
        <v>30</v>
      </c>
      <c r="C387" cm="1">
        <f t="array" ref="C387">SUMPRODUCT((Task_table_03_2_26!$C$2:$C$596=$C$1)*(A387&gt;Task_table_03_2_26!$J$2:$J$596)*(A387&lt;Task_table_03_2_26!$K$2:$K$596))</f>
        <v>8</v>
      </c>
      <c r="D387" cm="1">
        <f t="array" ref="D387">SUMPRODUCT((Task_table_03_2_26!$C$2:$C$596=$D$1)*(A387&gt;Task_table_03_2_26!$J$2:$J$596)*(A387&lt;Task_table_03_2_26!$K$2:$K$596))</f>
        <v>0</v>
      </c>
      <c r="E387" cm="1">
        <f t="array" ref="E387">SUMPRODUCT((Task_table_03_2_26!$C$2:$C$596=$E$1)*(A387&gt;Task_table_03_2_26!$J$2:$J$596)*(A387&lt;Task_table_03_2_26!$K$2:$K$596))</f>
        <v>1</v>
      </c>
    </row>
    <row r="388" spans="1:5">
      <c r="A388" s="5">
        <v>46256</v>
      </c>
      <c r="B388" cm="1">
        <f t="array" ref="B388">SUMPRODUCT((Task_table_03_2_26!$C$2:$C$596=$B$1)*(A388&gt;Task_table_03_2_26!$J$2:$J$596)*(A388&lt;Task_table_03_2_26!$K$2:$K$596))</f>
        <v>30</v>
      </c>
      <c r="C388" cm="1">
        <f t="array" ref="C388">SUMPRODUCT((Task_table_03_2_26!$C$2:$C$596=$C$1)*(A388&gt;Task_table_03_2_26!$J$2:$J$596)*(A388&lt;Task_table_03_2_26!$K$2:$K$596))</f>
        <v>8</v>
      </c>
      <c r="D388" cm="1">
        <f t="array" ref="D388">SUMPRODUCT((Task_table_03_2_26!$C$2:$C$596=$D$1)*(A388&gt;Task_table_03_2_26!$J$2:$J$596)*(A388&lt;Task_table_03_2_26!$K$2:$K$596))</f>
        <v>0</v>
      </c>
      <c r="E388" cm="1">
        <f t="array" ref="E388">SUMPRODUCT((Task_table_03_2_26!$C$2:$C$596=$E$1)*(A388&gt;Task_table_03_2_26!$J$2:$J$596)*(A388&lt;Task_table_03_2_26!$K$2:$K$596))</f>
        <v>1</v>
      </c>
    </row>
    <row r="389" spans="1:5">
      <c r="A389" s="5">
        <v>46257</v>
      </c>
      <c r="B389" cm="1">
        <f t="array" ref="B389">SUMPRODUCT((Task_table_03_2_26!$C$2:$C$596=$B$1)*(A389&gt;Task_table_03_2_26!$J$2:$J$596)*(A389&lt;Task_table_03_2_26!$K$2:$K$596))</f>
        <v>30</v>
      </c>
      <c r="C389" cm="1">
        <f t="array" ref="C389">SUMPRODUCT((Task_table_03_2_26!$C$2:$C$596=$C$1)*(A389&gt;Task_table_03_2_26!$J$2:$J$596)*(A389&lt;Task_table_03_2_26!$K$2:$K$596))</f>
        <v>8</v>
      </c>
      <c r="D389" cm="1">
        <f t="array" ref="D389">SUMPRODUCT((Task_table_03_2_26!$C$2:$C$596=$D$1)*(A389&gt;Task_table_03_2_26!$J$2:$J$596)*(A389&lt;Task_table_03_2_26!$K$2:$K$596))</f>
        <v>0</v>
      </c>
      <c r="E389" cm="1">
        <f t="array" ref="E389">SUMPRODUCT((Task_table_03_2_26!$C$2:$C$596=$E$1)*(A389&gt;Task_table_03_2_26!$J$2:$J$596)*(A389&lt;Task_table_03_2_26!$K$2:$K$596))</f>
        <v>1</v>
      </c>
    </row>
    <row r="390" spans="1:5">
      <c r="A390" s="5">
        <v>46258</v>
      </c>
      <c r="B390" cm="1">
        <f t="array" ref="B390">SUMPRODUCT((Task_table_03_2_26!$C$2:$C$596=$B$1)*(A390&gt;Task_table_03_2_26!$J$2:$J$596)*(A390&lt;Task_table_03_2_26!$K$2:$K$596))</f>
        <v>30</v>
      </c>
      <c r="C390" cm="1">
        <f t="array" ref="C390">SUMPRODUCT((Task_table_03_2_26!$C$2:$C$596=$C$1)*(A390&gt;Task_table_03_2_26!$J$2:$J$596)*(A390&lt;Task_table_03_2_26!$K$2:$K$596))</f>
        <v>8</v>
      </c>
      <c r="D390" cm="1">
        <f t="array" ref="D390">SUMPRODUCT((Task_table_03_2_26!$C$2:$C$596=$D$1)*(A390&gt;Task_table_03_2_26!$J$2:$J$596)*(A390&lt;Task_table_03_2_26!$K$2:$K$596))</f>
        <v>0</v>
      </c>
      <c r="E390" cm="1">
        <f t="array" ref="E390">SUMPRODUCT((Task_table_03_2_26!$C$2:$C$596=$E$1)*(A390&gt;Task_table_03_2_26!$J$2:$J$596)*(A390&lt;Task_table_03_2_26!$K$2:$K$596))</f>
        <v>1</v>
      </c>
    </row>
    <row r="391" spans="1:5">
      <c r="A391" s="5">
        <v>46259</v>
      </c>
      <c r="B391" cm="1">
        <f t="array" ref="B391">SUMPRODUCT((Task_table_03_2_26!$C$2:$C$596=$B$1)*(A391&gt;Task_table_03_2_26!$J$2:$J$596)*(A391&lt;Task_table_03_2_26!$K$2:$K$596))</f>
        <v>30</v>
      </c>
      <c r="C391" cm="1">
        <f t="array" ref="C391">SUMPRODUCT((Task_table_03_2_26!$C$2:$C$596=$C$1)*(A391&gt;Task_table_03_2_26!$J$2:$J$596)*(A391&lt;Task_table_03_2_26!$K$2:$K$596))</f>
        <v>8</v>
      </c>
      <c r="D391" cm="1">
        <f t="array" ref="D391">SUMPRODUCT((Task_table_03_2_26!$C$2:$C$596=$D$1)*(A391&gt;Task_table_03_2_26!$J$2:$J$596)*(A391&lt;Task_table_03_2_26!$K$2:$K$596))</f>
        <v>0</v>
      </c>
      <c r="E391" cm="1">
        <f t="array" ref="E391">SUMPRODUCT((Task_table_03_2_26!$C$2:$C$596=$E$1)*(A391&gt;Task_table_03_2_26!$J$2:$J$596)*(A391&lt;Task_table_03_2_26!$K$2:$K$596))</f>
        <v>1</v>
      </c>
    </row>
    <row r="392" spans="1:5">
      <c r="A392" s="5">
        <v>46260</v>
      </c>
      <c r="B392" cm="1">
        <f t="array" ref="B392">SUMPRODUCT((Task_table_03_2_26!$C$2:$C$596=$B$1)*(A392&gt;Task_table_03_2_26!$J$2:$J$596)*(A392&lt;Task_table_03_2_26!$K$2:$K$596))</f>
        <v>30</v>
      </c>
      <c r="C392" cm="1">
        <f t="array" ref="C392">SUMPRODUCT((Task_table_03_2_26!$C$2:$C$596=$C$1)*(A392&gt;Task_table_03_2_26!$J$2:$J$596)*(A392&lt;Task_table_03_2_26!$K$2:$K$596))</f>
        <v>8</v>
      </c>
      <c r="D392" cm="1">
        <f t="array" ref="D392">SUMPRODUCT((Task_table_03_2_26!$C$2:$C$596=$D$1)*(A392&gt;Task_table_03_2_26!$J$2:$J$596)*(A392&lt;Task_table_03_2_26!$K$2:$K$596))</f>
        <v>0</v>
      </c>
      <c r="E392" cm="1">
        <f t="array" ref="E392">SUMPRODUCT((Task_table_03_2_26!$C$2:$C$596=$E$1)*(A392&gt;Task_table_03_2_26!$J$2:$J$596)*(A392&lt;Task_table_03_2_26!$K$2:$K$596))</f>
        <v>1</v>
      </c>
    </row>
    <row r="393" spans="1:5">
      <c r="A393" s="5">
        <v>46261</v>
      </c>
      <c r="B393" cm="1">
        <f t="array" ref="B393">SUMPRODUCT((Task_table_03_2_26!$C$2:$C$596=$B$1)*(A393&gt;Task_table_03_2_26!$J$2:$J$596)*(A393&lt;Task_table_03_2_26!$K$2:$K$596))</f>
        <v>30</v>
      </c>
      <c r="C393" cm="1">
        <f t="array" ref="C393">SUMPRODUCT((Task_table_03_2_26!$C$2:$C$596=$C$1)*(A393&gt;Task_table_03_2_26!$J$2:$J$596)*(A393&lt;Task_table_03_2_26!$K$2:$K$596))</f>
        <v>8</v>
      </c>
      <c r="D393" cm="1">
        <f t="array" ref="D393">SUMPRODUCT((Task_table_03_2_26!$C$2:$C$596=$D$1)*(A393&gt;Task_table_03_2_26!$J$2:$J$596)*(A393&lt;Task_table_03_2_26!$K$2:$K$596))</f>
        <v>0</v>
      </c>
      <c r="E393" cm="1">
        <f t="array" ref="E393">SUMPRODUCT((Task_table_03_2_26!$C$2:$C$596=$E$1)*(A393&gt;Task_table_03_2_26!$J$2:$J$596)*(A393&lt;Task_table_03_2_26!$K$2:$K$596))</f>
        <v>1</v>
      </c>
    </row>
    <row r="394" spans="1:5">
      <c r="A394" s="5">
        <v>46262</v>
      </c>
      <c r="B394" cm="1">
        <f t="array" ref="B394">SUMPRODUCT((Task_table_03_2_26!$C$2:$C$596=$B$1)*(A394&gt;Task_table_03_2_26!$J$2:$J$596)*(A394&lt;Task_table_03_2_26!$K$2:$K$596))</f>
        <v>30</v>
      </c>
      <c r="C394" cm="1">
        <f t="array" ref="C394">SUMPRODUCT((Task_table_03_2_26!$C$2:$C$596=$C$1)*(A394&gt;Task_table_03_2_26!$J$2:$J$596)*(A394&lt;Task_table_03_2_26!$K$2:$K$596))</f>
        <v>8</v>
      </c>
      <c r="D394" cm="1">
        <f t="array" ref="D394">SUMPRODUCT((Task_table_03_2_26!$C$2:$C$596=$D$1)*(A394&gt;Task_table_03_2_26!$J$2:$J$596)*(A394&lt;Task_table_03_2_26!$K$2:$K$596))</f>
        <v>0</v>
      </c>
      <c r="E394" cm="1">
        <f t="array" ref="E394">SUMPRODUCT((Task_table_03_2_26!$C$2:$C$596=$E$1)*(A394&gt;Task_table_03_2_26!$J$2:$J$596)*(A394&lt;Task_table_03_2_26!$K$2:$K$596))</f>
        <v>1</v>
      </c>
    </row>
    <row r="395" spans="1:5">
      <c r="A395" s="5">
        <v>46263</v>
      </c>
      <c r="B395" cm="1">
        <f t="array" ref="B395">SUMPRODUCT((Task_table_03_2_26!$C$2:$C$596=$B$1)*(A395&gt;Task_table_03_2_26!$J$2:$J$596)*(A395&lt;Task_table_03_2_26!$K$2:$K$596))</f>
        <v>30</v>
      </c>
      <c r="C395" cm="1">
        <f t="array" ref="C395">SUMPRODUCT((Task_table_03_2_26!$C$2:$C$596=$C$1)*(A395&gt;Task_table_03_2_26!$J$2:$J$596)*(A395&lt;Task_table_03_2_26!$K$2:$K$596))</f>
        <v>8</v>
      </c>
      <c r="D395" cm="1">
        <f t="array" ref="D395">SUMPRODUCT((Task_table_03_2_26!$C$2:$C$596=$D$1)*(A395&gt;Task_table_03_2_26!$J$2:$J$596)*(A395&lt;Task_table_03_2_26!$K$2:$K$596))</f>
        <v>0</v>
      </c>
      <c r="E395" cm="1">
        <f t="array" ref="E395">SUMPRODUCT((Task_table_03_2_26!$C$2:$C$596=$E$1)*(A395&gt;Task_table_03_2_26!$J$2:$J$596)*(A395&lt;Task_table_03_2_26!$K$2:$K$596))</f>
        <v>1</v>
      </c>
    </row>
    <row r="396" spans="1:5">
      <c r="A396" s="5">
        <v>46264</v>
      </c>
      <c r="B396" cm="1">
        <f t="array" ref="B396">SUMPRODUCT((Task_table_03_2_26!$C$2:$C$596=$B$1)*(A396&gt;Task_table_03_2_26!$J$2:$J$596)*(A396&lt;Task_table_03_2_26!$K$2:$K$596))</f>
        <v>30</v>
      </c>
      <c r="C396" cm="1">
        <f t="array" ref="C396">SUMPRODUCT((Task_table_03_2_26!$C$2:$C$596=$C$1)*(A396&gt;Task_table_03_2_26!$J$2:$J$596)*(A396&lt;Task_table_03_2_26!$K$2:$K$596))</f>
        <v>8</v>
      </c>
      <c r="D396" cm="1">
        <f t="array" ref="D396">SUMPRODUCT((Task_table_03_2_26!$C$2:$C$596=$D$1)*(A396&gt;Task_table_03_2_26!$J$2:$J$596)*(A396&lt;Task_table_03_2_26!$K$2:$K$596))</f>
        <v>0</v>
      </c>
      <c r="E396" cm="1">
        <f t="array" ref="E396">SUMPRODUCT((Task_table_03_2_26!$C$2:$C$596=$E$1)*(A396&gt;Task_table_03_2_26!$J$2:$J$596)*(A396&lt;Task_table_03_2_26!$K$2:$K$596))</f>
        <v>1</v>
      </c>
    </row>
    <row r="397" spans="1:5">
      <c r="A397" s="5">
        <v>46265</v>
      </c>
      <c r="B397" cm="1">
        <f t="array" ref="B397">SUMPRODUCT((Task_table_03_2_26!$C$2:$C$596=$B$1)*(A397&gt;Task_table_03_2_26!$J$2:$J$596)*(A397&lt;Task_table_03_2_26!$K$2:$K$596))</f>
        <v>30</v>
      </c>
      <c r="C397" cm="1">
        <f t="array" ref="C397">SUMPRODUCT((Task_table_03_2_26!$C$2:$C$596=$C$1)*(A397&gt;Task_table_03_2_26!$J$2:$J$596)*(A397&lt;Task_table_03_2_26!$K$2:$K$596))</f>
        <v>5</v>
      </c>
      <c r="D397" cm="1">
        <f t="array" ref="D397">SUMPRODUCT((Task_table_03_2_26!$C$2:$C$596=$D$1)*(A397&gt;Task_table_03_2_26!$J$2:$J$596)*(A397&lt;Task_table_03_2_26!$K$2:$K$596))</f>
        <v>0</v>
      </c>
      <c r="E397" cm="1">
        <f t="array" ref="E397">SUMPRODUCT((Task_table_03_2_26!$C$2:$C$596=$E$1)*(A397&gt;Task_table_03_2_26!$J$2:$J$596)*(A397&lt;Task_table_03_2_26!$K$2:$K$596))</f>
        <v>1</v>
      </c>
    </row>
    <row r="398" spans="1:5">
      <c r="A398" s="5">
        <v>46266</v>
      </c>
      <c r="B398" cm="1">
        <f t="array" ref="B398">SUMPRODUCT((Task_table_03_2_26!$C$2:$C$596=$B$1)*(A398&gt;Task_table_03_2_26!$J$2:$J$596)*(A398&lt;Task_table_03_2_26!$K$2:$K$596))</f>
        <v>30</v>
      </c>
      <c r="C398" cm="1">
        <f t="array" ref="C398">SUMPRODUCT((Task_table_03_2_26!$C$2:$C$596=$C$1)*(A398&gt;Task_table_03_2_26!$J$2:$J$596)*(A398&lt;Task_table_03_2_26!$K$2:$K$596))</f>
        <v>5</v>
      </c>
      <c r="D398" cm="1">
        <f t="array" ref="D398">SUMPRODUCT((Task_table_03_2_26!$C$2:$C$596=$D$1)*(A398&gt;Task_table_03_2_26!$J$2:$J$596)*(A398&lt;Task_table_03_2_26!$K$2:$K$596))</f>
        <v>0</v>
      </c>
      <c r="E398" cm="1">
        <f t="array" ref="E398">SUMPRODUCT((Task_table_03_2_26!$C$2:$C$596=$E$1)*(A398&gt;Task_table_03_2_26!$J$2:$J$596)*(A398&lt;Task_table_03_2_26!$K$2:$K$596))</f>
        <v>1</v>
      </c>
    </row>
    <row r="399" spans="1:5">
      <c r="A399" s="5">
        <v>46267</v>
      </c>
      <c r="B399" cm="1">
        <f t="array" ref="B399">SUMPRODUCT((Task_table_03_2_26!$C$2:$C$596=$B$1)*(A399&gt;Task_table_03_2_26!$J$2:$J$596)*(A399&lt;Task_table_03_2_26!$K$2:$K$596))</f>
        <v>30</v>
      </c>
      <c r="C399" cm="1">
        <f t="array" ref="C399">SUMPRODUCT((Task_table_03_2_26!$C$2:$C$596=$C$1)*(A399&gt;Task_table_03_2_26!$J$2:$J$596)*(A399&lt;Task_table_03_2_26!$K$2:$K$596))</f>
        <v>5</v>
      </c>
      <c r="D399" cm="1">
        <f t="array" ref="D399">SUMPRODUCT((Task_table_03_2_26!$C$2:$C$596=$D$1)*(A399&gt;Task_table_03_2_26!$J$2:$J$596)*(A399&lt;Task_table_03_2_26!$K$2:$K$596))</f>
        <v>0</v>
      </c>
      <c r="E399" cm="1">
        <f t="array" ref="E399">SUMPRODUCT((Task_table_03_2_26!$C$2:$C$596=$E$1)*(A399&gt;Task_table_03_2_26!$J$2:$J$596)*(A399&lt;Task_table_03_2_26!$K$2:$K$596))</f>
        <v>1</v>
      </c>
    </row>
    <row r="400" spans="1:5">
      <c r="A400" s="5">
        <v>46268</v>
      </c>
      <c r="B400" cm="1">
        <f t="array" ref="B400">SUMPRODUCT((Task_table_03_2_26!$C$2:$C$596=$B$1)*(A400&gt;Task_table_03_2_26!$J$2:$J$596)*(A400&lt;Task_table_03_2_26!$K$2:$K$596))</f>
        <v>30</v>
      </c>
      <c r="C400" cm="1">
        <f t="array" ref="C400">SUMPRODUCT((Task_table_03_2_26!$C$2:$C$596=$C$1)*(A400&gt;Task_table_03_2_26!$J$2:$J$596)*(A400&lt;Task_table_03_2_26!$K$2:$K$596))</f>
        <v>5</v>
      </c>
      <c r="D400" cm="1">
        <f t="array" ref="D400">SUMPRODUCT((Task_table_03_2_26!$C$2:$C$596=$D$1)*(A400&gt;Task_table_03_2_26!$J$2:$J$596)*(A400&lt;Task_table_03_2_26!$K$2:$K$596))</f>
        <v>0</v>
      </c>
      <c r="E400" cm="1">
        <f t="array" ref="E400">SUMPRODUCT((Task_table_03_2_26!$C$2:$C$596=$E$1)*(A400&gt;Task_table_03_2_26!$J$2:$J$596)*(A400&lt;Task_table_03_2_26!$K$2:$K$596))</f>
        <v>1</v>
      </c>
    </row>
    <row r="401" spans="1:5">
      <c r="A401" s="5">
        <v>46269</v>
      </c>
      <c r="B401" cm="1">
        <f t="array" ref="B401">SUMPRODUCT((Task_table_03_2_26!$C$2:$C$596=$B$1)*(A401&gt;Task_table_03_2_26!$J$2:$J$596)*(A401&lt;Task_table_03_2_26!$K$2:$K$596))</f>
        <v>30</v>
      </c>
      <c r="C401" cm="1">
        <f t="array" ref="C401">SUMPRODUCT((Task_table_03_2_26!$C$2:$C$596=$C$1)*(A401&gt;Task_table_03_2_26!$J$2:$J$596)*(A401&lt;Task_table_03_2_26!$K$2:$K$596))</f>
        <v>5</v>
      </c>
      <c r="D401" cm="1">
        <f t="array" ref="D401">SUMPRODUCT((Task_table_03_2_26!$C$2:$C$596=$D$1)*(A401&gt;Task_table_03_2_26!$J$2:$J$596)*(A401&lt;Task_table_03_2_26!$K$2:$K$596))</f>
        <v>0</v>
      </c>
      <c r="E401" cm="1">
        <f t="array" ref="E401">SUMPRODUCT((Task_table_03_2_26!$C$2:$C$596=$E$1)*(A401&gt;Task_table_03_2_26!$J$2:$J$596)*(A401&lt;Task_table_03_2_26!$K$2:$K$596))</f>
        <v>1</v>
      </c>
    </row>
    <row r="402" spans="1:5">
      <c r="A402" s="5">
        <v>46270</v>
      </c>
      <c r="B402" cm="1">
        <f t="array" ref="B402">SUMPRODUCT((Task_table_03_2_26!$C$2:$C$596=$B$1)*(A402&gt;Task_table_03_2_26!$J$2:$J$596)*(A402&lt;Task_table_03_2_26!$K$2:$K$596))</f>
        <v>30</v>
      </c>
      <c r="C402" cm="1">
        <f t="array" ref="C402">SUMPRODUCT((Task_table_03_2_26!$C$2:$C$596=$C$1)*(A402&gt;Task_table_03_2_26!$J$2:$J$596)*(A402&lt;Task_table_03_2_26!$K$2:$K$596))</f>
        <v>5</v>
      </c>
      <c r="D402" cm="1">
        <f t="array" ref="D402">SUMPRODUCT((Task_table_03_2_26!$C$2:$C$596=$D$1)*(A402&gt;Task_table_03_2_26!$J$2:$J$596)*(A402&lt;Task_table_03_2_26!$K$2:$K$596))</f>
        <v>0</v>
      </c>
      <c r="E402" cm="1">
        <f t="array" ref="E402">SUMPRODUCT((Task_table_03_2_26!$C$2:$C$596=$E$1)*(A402&gt;Task_table_03_2_26!$J$2:$J$596)*(A402&lt;Task_table_03_2_26!$K$2:$K$596))</f>
        <v>1</v>
      </c>
    </row>
    <row r="403" spans="1:5">
      <c r="A403" s="5">
        <v>46271</v>
      </c>
      <c r="B403" cm="1">
        <f t="array" ref="B403">SUMPRODUCT((Task_table_03_2_26!$C$2:$C$596=$B$1)*(A403&gt;Task_table_03_2_26!$J$2:$J$596)*(A403&lt;Task_table_03_2_26!$K$2:$K$596))</f>
        <v>30</v>
      </c>
      <c r="C403" cm="1">
        <f t="array" ref="C403">SUMPRODUCT((Task_table_03_2_26!$C$2:$C$596=$C$1)*(A403&gt;Task_table_03_2_26!$J$2:$J$596)*(A403&lt;Task_table_03_2_26!$K$2:$K$596))</f>
        <v>5</v>
      </c>
      <c r="D403" cm="1">
        <f t="array" ref="D403">SUMPRODUCT((Task_table_03_2_26!$C$2:$C$596=$D$1)*(A403&gt;Task_table_03_2_26!$J$2:$J$596)*(A403&lt;Task_table_03_2_26!$K$2:$K$596))</f>
        <v>0</v>
      </c>
      <c r="E403" cm="1">
        <f t="array" ref="E403">SUMPRODUCT((Task_table_03_2_26!$C$2:$C$596=$E$1)*(A403&gt;Task_table_03_2_26!$J$2:$J$596)*(A403&lt;Task_table_03_2_26!$K$2:$K$596))</f>
        <v>1</v>
      </c>
    </row>
    <row r="404" spans="1:5">
      <c r="A404" s="5">
        <v>46272</v>
      </c>
      <c r="B404" cm="1">
        <f t="array" ref="B404">SUMPRODUCT((Task_table_03_2_26!$C$2:$C$596=$B$1)*(A404&gt;Task_table_03_2_26!$J$2:$J$596)*(A404&lt;Task_table_03_2_26!$K$2:$K$596))</f>
        <v>30</v>
      </c>
      <c r="C404" cm="1">
        <f t="array" ref="C404">SUMPRODUCT((Task_table_03_2_26!$C$2:$C$596=$C$1)*(A404&gt;Task_table_03_2_26!$J$2:$J$596)*(A404&lt;Task_table_03_2_26!$K$2:$K$596))</f>
        <v>5</v>
      </c>
      <c r="D404" cm="1">
        <f t="array" ref="D404">SUMPRODUCT((Task_table_03_2_26!$C$2:$C$596=$D$1)*(A404&gt;Task_table_03_2_26!$J$2:$J$596)*(A404&lt;Task_table_03_2_26!$K$2:$K$596))</f>
        <v>0</v>
      </c>
      <c r="E404" cm="1">
        <f t="array" ref="E404">SUMPRODUCT((Task_table_03_2_26!$C$2:$C$596=$E$1)*(A404&gt;Task_table_03_2_26!$J$2:$J$596)*(A404&lt;Task_table_03_2_26!$K$2:$K$596))</f>
        <v>1</v>
      </c>
    </row>
    <row r="405" spans="1:5">
      <c r="A405" s="5">
        <v>46273</v>
      </c>
      <c r="B405" cm="1">
        <f t="array" ref="B405">SUMPRODUCT((Task_table_03_2_26!$C$2:$C$596=$B$1)*(A405&gt;Task_table_03_2_26!$J$2:$J$596)*(A405&lt;Task_table_03_2_26!$K$2:$K$596))</f>
        <v>30</v>
      </c>
      <c r="C405" cm="1">
        <f t="array" ref="C405">SUMPRODUCT((Task_table_03_2_26!$C$2:$C$596=$C$1)*(A405&gt;Task_table_03_2_26!$J$2:$J$596)*(A405&lt;Task_table_03_2_26!$K$2:$K$596))</f>
        <v>4</v>
      </c>
      <c r="D405" cm="1">
        <f t="array" ref="D405">SUMPRODUCT((Task_table_03_2_26!$C$2:$C$596=$D$1)*(A405&gt;Task_table_03_2_26!$J$2:$J$596)*(A405&lt;Task_table_03_2_26!$K$2:$K$596))</f>
        <v>0</v>
      </c>
      <c r="E405" cm="1">
        <f t="array" ref="E405">SUMPRODUCT((Task_table_03_2_26!$C$2:$C$596=$E$1)*(A405&gt;Task_table_03_2_26!$J$2:$J$596)*(A405&lt;Task_table_03_2_26!$K$2:$K$596))</f>
        <v>1</v>
      </c>
    </row>
    <row r="406" spans="1:5">
      <c r="A406" s="5">
        <v>46274</v>
      </c>
      <c r="B406" cm="1">
        <f t="array" ref="B406">SUMPRODUCT((Task_table_03_2_26!$C$2:$C$596=$B$1)*(A406&gt;Task_table_03_2_26!$J$2:$J$596)*(A406&lt;Task_table_03_2_26!$K$2:$K$596))</f>
        <v>30</v>
      </c>
      <c r="C406" cm="1">
        <f t="array" ref="C406">SUMPRODUCT((Task_table_03_2_26!$C$2:$C$596=$C$1)*(A406&gt;Task_table_03_2_26!$J$2:$J$596)*(A406&lt;Task_table_03_2_26!$K$2:$K$596))</f>
        <v>4</v>
      </c>
      <c r="D406" cm="1">
        <f t="array" ref="D406">SUMPRODUCT((Task_table_03_2_26!$C$2:$C$596=$D$1)*(A406&gt;Task_table_03_2_26!$J$2:$J$596)*(A406&lt;Task_table_03_2_26!$K$2:$K$596))</f>
        <v>0</v>
      </c>
      <c r="E406" cm="1">
        <f t="array" ref="E406">SUMPRODUCT((Task_table_03_2_26!$C$2:$C$596=$E$1)*(A406&gt;Task_table_03_2_26!$J$2:$J$596)*(A406&lt;Task_table_03_2_26!$K$2:$K$596))</f>
        <v>1</v>
      </c>
    </row>
    <row r="407" spans="1:5">
      <c r="A407" s="5">
        <v>46275</v>
      </c>
      <c r="B407" cm="1">
        <f t="array" ref="B407">SUMPRODUCT((Task_table_03_2_26!$C$2:$C$596=$B$1)*(A407&gt;Task_table_03_2_26!$J$2:$J$596)*(A407&lt;Task_table_03_2_26!$K$2:$K$596))</f>
        <v>30</v>
      </c>
      <c r="C407" cm="1">
        <f t="array" ref="C407">SUMPRODUCT((Task_table_03_2_26!$C$2:$C$596=$C$1)*(A407&gt;Task_table_03_2_26!$J$2:$J$596)*(A407&lt;Task_table_03_2_26!$K$2:$K$596))</f>
        <v>4</v>
      </c>
      <c r="D407" cm="1">
        <f t="array" ref="D407">SUMPRODUCT((Task_table_03_2_26!$C$2:$C$596=$D$1)*(A407&gt;Task_table_03_2_26!$J$2:$J$596)*(A407&lt;Task_table_03_2_26!$K$2:$K$596))</f>
        <v>0</v>
      </c>
      <c r="E407" cm="1">
        <f t="array" ref="E407">SUMPRODUCT((Task_table_03_2_26!$C$2:$C$596=$E$1)*(A407&gt;Task_table_03_2_26!$J$2:$J$596)*(A407&lt;Task_table_03_2_26!$K$2:$K$596))</f>
        <v>1</v>
      </c>
    </row>
    <row r="408" spans="1:5">
      <c r="A408" s="5">
        <v>46276</v>
      </c>
      <c r="B408" cm="1">
        <f t="array" ref="B408">SUMPRODUCT((Task_table_03_2_26!$C$2:$C$596=$B$1)*(A408&gt;Task_table_03_2_26!$J$2:$J$596)*(A408&lt;Task_table_03_2_26!$K$2:$K$596))</f>
        <v>30</v>
      </c>
      <c r="C408" cm="1">
        <f t="array" ref="C408">SUMPRODUCT((Task_table_03_2_26!$C$2:$C$596=$C$1)*(A408&gt;Task_table_03_2_26!$J$2:$J$596)*(A408&lt;Task_table_03_2_26!$K$2:$K$596))</f>
        <v>4</v>
      </c>
      <c r="D408" cm="1">
        <f t="array" ref="D408">SUMPRODUCT((Task_table_03_2_26!$C$2:$C$596=$D$1)*(A408&gt;Task_table_03_2_26!$J$2:$J$596)*(A408&lt;Task_table_03_2_26!$K$2:$K$596))</f>
        <v>0</v>
      </c>
      <c r="E408" cm="1">
        <f t="array" ref="E408">SUMPRODUCT((Task_table_03_2_26!$C$2:$C$596=$E$1)*(A408&gt;Task_table_03_2_26!$J$2:$J$596)*(A408&lt;Task_table_03_2_26!$K$2:$K$596))</f>
        <v>1</v>
      </c>
    </row>
    <row r="409" spans="1:5">
      <c r="A409" s="5">
        <v>46277</v>
      </c>
      <c r="B409" cm="1">
        <f t="array" ref="B409">SUMPRODUCT((Task_table_03_2_26!$C$2:$C$596=$B$1)*(A409&gt;Task_table_03_2_26!$J$2:$J$596)*(A409&lt;Task_table_03_2_26!$K$2:$K$596))</f>
        <v>30</v>
      </c>
      <c r="C409" cm="1">
        <f t="array" ref="C409">SUMPRODUCT((Task_table_03_2_26!$C$2:$C$596=$C$1)*(A409&gt;Task_table_03_2_26!$J$2:$J$596)*(A409&lt;Task_table_03_2_26!$K$2:$K$596))</f>
        <v>4</v>
      </c>
      <c r="D409" cm="1">
        <f t="array" ref="D409">SUMPRODUCT((Task_table_03_2_26!$C$2:$C$596=$D$1)*(A409&gt;Task_table_03_2_26!$J$2:$J$596)*(A409&lt;Task_table_03_2_26!$K$2:$K$596))</f>
        <v>0</v>
      </c>
      <c r="E409" cm="1">
        <f t="array" ref="E409">SUMPRODUCT((Task_table_03_2_26!$C$2:$C$596=$E$1)*(A409&gt;Task_table_03_2_26!$J$2:$J$596)*(A409&lt;Task_table_03_2_26!$K$2:$K$596))</f>
        <v>1</v>
      </c>
    </row>
    <row r="410" spans="1:5">
      <c r="A410" s="5">
        <v>46278</v>
      </c>
      <c r="B410" cm="1">
        <f t="array" ref="B410">SUMPRODUCT((Task_table_03_2_26!$C$2:$C$596=$B$1)*(A410&gt;Task_table_03_2_26!$J$2:$J$596)*(A410&lt;Task_table_03_2_26!$K$2:$K$596))</f>
        <v>30</v>
      </c>
      <c r="C410" cm="1">
        <f t="array" ref="C410">SUMPRODUCT((Task_table_03_2_26!$C$2:$C$596=$C$1)*(A410&gt;Task_table_03_2_26!$J$2:$J$596)*(A410&lt;Task_table_03_2_26!$K$2:$K$596))</f>
        <v>4</v>
      </c>
      <c r="D410" cm="1">
        <f t="array" ref="D410">SUMPRODUCT((Task_table_03_2_26!$C$2:$C$596=$D$1)*(A410&gt;Task_table_03_2_26!$J$2:$J$596)*(A410&lt;Task_table_03_2_26!$K$2:$K$596))</f>
        <v>0</v>
      </c>
      <c r="E410" cm="1">
        <f t="array" ref="E410">SUMPRODUCT((Task_table_03_2_26!$C$2:$C$596=$E$1)*(A410&gt;Task_table_03_2_26!$J$2:$J$596)*(A410&lt;Task_table_03_2_26!$K$2:$K$596))</f>
        <v>1</v>
      </c>
    </row>
    <row r="411" spans="1:5">
      <c r="A411" s="5">
        <v>46279</v>
      </c>
      <c r="B411" cm="1">
        <f t="array" ref="B411">SUMPRODUCT((Task_table_03_2_26!$C$2:$C$596=$B$1)*(A411&gt;Task_table_03_2_26!$J$2:$J$596)*(A411&lt;Task_table_03_2_26!$K$2:$K$596))</f>
        <v>30</v>
      </c>
      <c r="C411" cm="1">
        <f t="array" ref="C411">SUMPRODUCT((Task_table_03_2_26!$C$2:$C$596=$C$1)*(A411&gt;Task_table_03_2_26!$J$2:$J$596)*(A411&lt;Task_table_03_2_26!$K$2:$K$596))</f>
        <v>4</v>
      </c>
      <c r="D411" cm="1">
        <f t="array" ref="D411">SUMPRODUCT((Task_table_03_2_26!$C$2:$C$596=$D$1)*(A411&gt;Task_table_03_2_26!$J$2:$J$596)*(A411&lt;Task_table_03_2_26!$K$2:$K$596))</f>
        <v>0</v>
      </c>
      <c r="E411" cm="1">
        <f t="array" ref="E411">SUMPRODUCT((Task_table_03_2_26!$C$2:$C$596=$E$1)*(A411&gt;Task_table_03_2_26!$J$2:$J$596)*(A411&lt;Task_table_03_2_26!$K$2:$K$596))</f>
        <v>1</v>
      </c>
    </row>
    <row r="412" spans="1:5">
      <c r="A412" s="5">
        <v>46280</v>
      </c>
      <c r="B412" cm="1">
        <f t="array" ref="B412">SUMPRODUCT((Task_table_03_2_26!$C$2:$C$596=$B$1)*(A412&gt;Task_table_03_2_26!$J$2:$J$596)*(A412&lt;Task_table_03_2_26!$K$2:$K$596))</f>
        <v>30</v>
      </c>
      <c r="C412" cm="1">
        <f t="array" ref="C412">SUMPRODUCT((Task_table_03_2_26!$C$2:$C$596=$C$1)*(A412&gt;Task_table_03_2_26!$J$2:$J$596)*(A412&lt;Task_table_03_2_26!$K$2:$K$596))</f>
        <v>4</v>
      </c>
      <c r="D412" cm="1">
        <f t="array" ref="D412">SUMPRODUCT((Task_table_03_2_26!$C$2:$C$596=$D$1)*(A412&gt;Task_table_03_2_26!$J$2:$J$596)*(A412&lt;Task_table_03_2_26!$K$2:$K$596))</f>
        <v>0</v>
      </c>
      <c r="E412" cm="1">
        <f t="array" ref="E412">SUMPRODUCT((Task_table_03_2_26!$C$2:$C$596=$E$1)*(A412&gt;Task_table_03_2_26!$J$2:$J$596)*(A412&lt;Task_table_03_2_26!$K$2:$K$596))</f>
        <v>1</v>
      </c>
    </row>
    <row r="413" spans="1:5">
      <c r="A413" s="5">
        <v>46281</v>
      </c>
      <c r="B413" cm="1">
        <f t="array" ref="B413">SUMPRODUCT((Task_table_03_2_26!$C$2:$C$596=$B$1)*(A413&gt;Task_table_03_2_26!$J$2:$J$596)*(A413&lt;Task_table_03_2_26!$K$2:$K$596))</f>
        <v>30</v>
      </c>
      <c r="C413" cm="1">
        <f t="array" ref="C413">SUMPRODUCT((Task_table_03_2_26!$C$2:$C$596=$C$1)*(A413&gt;Task_table_03_2_26!$J$2:$J$596)*(A413&lt;Task_table_03_2_26!$K$2:$K$596))</f>
        <v>4</v>
      </c>
      <c r="D413" cm="1">
        <f t="array" ref="D413">SUMPRODUCT((Task_table_03_2_26!$C$2:$C$596=$D$1)*(A413&gt;Task_table_03_2_26!$J$2:$J$596)*(A413&lt;Task_table_03_2_26!$K$2:$K$596))</f>
        <v>0</v>
      </c>
      <c r="E413" cm="1">
        <f t="array" ref="E413">SUMPRODUCT((Task_table_03_2_26!$C$2:$C$596=$E$1)*(A413&gt;Task_table_03_2_26!$J$2:$J$596)*(A413&lt;Task_table_03_2_26!$K$2:$K$596))</f>
        <v>1</v>
      </c>
    </row>
    <row r="414" spans="1:5">
      <c r="A414" s="5">
        <v>46282</v>
      </c>
      <c r="B414" cm="1">
        <f t="array" ref="B414">SUMPRODUCT((Task_table_03_2_26!$C$2:$C$596=$B$1)*(A414&gt;Task_table_03_2_26!$J$2:$J$596)*(A414&lt;Task_table_03_2_26!$K$2:$K$596))</f>
        <v>30</v>
      </c>
      <c r="C414" cm="1">
        <f t="array" ref="C414">SUMPRODUCT((Task_table_03_2_26!$C$2:$C$596=$C$1)*(A414&gt;Task_table_03_2_26!$J$2:$J$596)*(A414&lt;Task_table_03_2_26!$K$2:$K$596))</f>
        <v>4</v>
      </c>
      <c r="D414" cm="1">
        <f t="array" ref="D414">SUMPRODUCT((Task_table_03_2_26!$C$2:$C$596=$D$1)*(A414&gt;Task_table_03_2_26!$J$2:$J$596)*(A414&lt;Task_table_03_2_26!$K$2:$K$596))</f>
        <v>0</v>
      </c>
      <c r="E414" cm="1">
        <f t="array" ref="E414">SUMPRODUCT((Task_table_03_2_26!$C$2:$C$596=$E$1)*(A414&gt;Task_table_03_2_26!$J$2:$J$596)*(A414&lt;Task_table_03_2_26!$K$2:$K$596))</f>
        <v>1</v>
      </c>
    </row>
    <row r="415" spans="1:5">
      <c r="A415" s="5">
        <v>46283</v>
      </c>
      <c r="B415" cm="1">
        <f t="array" ref="B415">SUMPRODUCT((Task_table_03_2_26!$C$2:$C$596=$B$1)*(A415&gt;Task_table_03_2_26!$J$2:$J$596)*(A415&lt;Task_table_03_2_26!$K$2:$K$596))</f>
        <v>30</v>
      </c>
      <c r="C415" cm="1">
        <f t="array" ref="C415">SUMPRODUCT((Task_table_03_2_26!$C$2:$C$596=$C$1)*(A415&gt;Task_table_03_2_26!$J$2:$J$596)*(A415&lt;Task_table_03_2_26!$K$2:$K$596))</f>
        <v>4</v>
      </c>
      <c r="D415" cm="1">
        <f t="array" ref="D415">SUMPRODUCT((Task_table_03_2_26!$C$2:$C$596=$D$1)*(A415&gt;Task_table_03_2_26!$J$2:$J$596)*(A415&lt;Task_table_03_2_26!$K$2:$K$596))</f>
        <v>0</v>
      </c>
      <c r="E415" cm="1">
        <f t="array" ref="E415">SUMPRODUCT((Task_table_03_2_26!$C$2:$C$596=$E$1)*(A415&gt;Task_table_03_2_26!$J$2:$J$596)*(A415&lt;Task_table_03_2_26!$K$2:$K$596))</f>
        <v>1</v>
      </c>
    </row>
    <row r="416" spans="1:5">
      <c r="A416" s="5">
        <v>46284</v>
      </c>
      <c r="B416" cm="1">
        <f t="array" ref="B416">SUMPRODUCT((Task_table_03_2_26!$C$2:$C$596=$B$1)*(A416&gt;Task_table_03_2_26!$J$2:$J$596)*(A416&lt;Task_table_03_2_26!$K$2:$K$596))</f>
        <v>30</v>
      </c>
      <c r="C416" cm="1">
        <f t="array" ref="C416">SUMPRODUCT((Task_table_03_2_26!$C$2:$C$596=$C$1)*(A416&gt;Task_table_03_2_26!$J$2:$J$596)*(A416&lt;Task_table_03_2_26!$K$2:$K$596))</f>
        <v>4</v>
      </c>
      <c r="D416" cm="1">
        <f t="array" ref="D416">SUMPRODUCT((Task_table_03_2_26!$C$2:$C$596=$D$1)*(A416&gt;Task_table_03_2_26!$J$2:$J$596)*(A416&lt;Task_table_03_2_26!$K$2:$K$596))</f>
        <v>0</v>
      </c>
      <c r="E416" cm="1">
        <f t="array" ref="E416">SUMPRODUCT((Task_table_03_2_26!$C$2:$C$596=$E$1)*(A416&gt;Task_table_03_2_26!$J$2:$J$596)*(A416&lt;Task_table_03_2_26!$K$2:$K$596))</f>
        <v>1</v>
      </c>
    </row>
    <row r="417" spans="1:5">
      <c r="A417" s="5">
        <v>46285</v>
      </c>
      <c r="B417" cm="1">
        <f t="array" ref="B417">SUMPRODUCT((Task_table_03_2_26!$C$2:$C$596=$B$1)*(A417&gt;Task_table_03_2_26!$J$2:$J$596)*(A417&lt;Task_table_03_2_26!$K$2:$K$596))</f>
        <v>30</v>
      </c>
      <c r="C417" cm="1">
        <f t="array" ref="C417">SUMPRODUCT((Task_table_03_2_26!$C$2:$C$596=$C$1)*(A417&gt;Task_table_03_2_26!$J$2:$J$596)*(A417&lt;Task_table_03_2_26!$K$2:$K$596))</f>
        <v>4</v>
      </c>
      <c r="D417" cm="1">
        <f t="array" ref="D417">SUMPRODUCT((Task_table_03_2_26!$C$2:$C$596=$D$1)*(A417&gt;Task_table_03_2_26!$J$2:$J$596)*(A417&lt;Task_table_03_2_26!$K$2:$K$596))</f>
        <v>0</v>
      </c>
      <c r="E417" cm="1">
        <f t="array" ref="E417">SUMPRODUCT((Task_table_03_2_26!$C$2:$C$596=$E$1)*(A417&gt;Task_table_03_2_26!$J$2:$J$596)*(A417&lt;Task_table_03_2_26!$K$2:$K$596))</f>
        <v>1</v>
      </c>
    </row>
    <row r="418" spans="1:5">
      <c r="A418" s="5">
        <v>46286</v>
      </c>
      <c r="B418" cm="1">
        <f t="array" ref="B418">SUMPRODUCT((Task_table_03_2_26!$C$2:$C$596=$B$1)*(A418&gt;Task_table_03_2_26!$J$2:$J$596)*(A418&lt;Task_table_03_2_26!$K$2:$K$596))</f>
        <v>30</v>
      </c>
      <c r="C418" cm="1">
        <f t="array" ref="C418">SUMPRODUCT((Task_table_03_2_26!$C$2:$C$596=$C$1)*(A418&gt;Task_table_03_2_26!$J$2:$J$596)*(A418&lt;Task_table_03_2_26!$K$2:$K$596))</f>
        <v>4</v>
      </c>
      <c r="D418" cm="1">
        <f t="array" ref="D418">SUMPRODUCT((Task_table_03_2_26!$C$2:$C$596=$D$1)*(A418&gt;Task_table_03_2_26!$J$2:$J$596)*(A418&lt;Task_table_03_2_26!$K$2:$K$596))</f>
        <v>0</v>
      </c>
      <c r="E418" cm="1">
        <f t="array" ref="E418">SUMPRODUCT((Task_table_03_2_26!$C$2:$C$596=$E$1)*(A418&gt;Task_table_03_2_26!$J$2:$J$596)*(A418&lt;Task_table_03_2_26!$K$2:$K$596))</f>
        <v>1</v>
      </c>
    </row>
    <row r="419" spans="1:5">
      <c r="A419" s="5">
        <v>46287</v>
      </c>
      <c r="B419" cm="1">
        <f t="array" ref="B419">SUMPRODUCT((Task_table_03_2_26!$C$2:$C$596=$B$1)*(A419&gt;Task_table_03_2_26!$J$2:$J$596)*(A419&lt;Task_table_03_2_26!$K$2:$K$596))</f>
        <v>30</v>
      </c>
      <c r="C419" cm="1">
        <f t="array" ref="C419">SUMPRODUCT((Task_table_03_2_26!$C$2:$C$596=$C$1)*(A419&gt;Task_table_03_2_26!$J$2:$J$596)*(A419&lt;Task_table_03_2_26!$K$2:$K$596))</f>
        <v>4</v>
      </c>
      <c r="D419" cm="1">
        <f t="array" ref="D419">SUMPRODUCT((Task_table_03_2_26!$C$2:$C$596=$D$1)*(A419&gt;Task_table_03_2_26!$J$2:$J$596)*(A419&lt;Task_table_03_2_26!$K$2:$K$596))</f>
        <v>0</v>
      </c>
      <c r="E419" cm="1">
        <f t="array" ref="E419">SUMPRODUCT((Task_table_03_2_26!$C$2:$C$596=$E$1)*(A419&gt;Task_table_03_2_26!$J$2:$J$596)*(A419&lt;Task_table_03_2_26!$K$2:$K$596))</f>
        <v>1</v>
      </c>
    </row>
    <row r="420" spans="1:5">
      <c r="A420" s="5">
        <v>46288</v>
      </c>
      <c r="B420" cm="1">
        <f t="array" ref="B420">SUMPRODUCT((Task_table_03_2_26!$C$2:$C$596=$B$1)*(A420&gt;Task_table_03_2_26!$J$2:$J$596)*(A420&lt;Task_table_03_2_26!$K$2:$K$596))</f>
        <v>30</v>
      </c>
      <c r="C420" cm="1">
        <f t="array" ref="C420">SUMPRODUCT((Task_table_03_2_26!$C$2:$C$596=$C$1)*(A420&gt;Task_table_03_2_26!$J$2:$J$596)*(A420&lt;Task_table_03_2_26!$K$2:$K$596))</f>
        <v>4</v>
      </c>
      <c r="D420" cm="1">
        <f t="array" ref="D420">SUMPRODUCT((Task_table_03_2_26!$C$2:$C$596=$D$1)*(A420&gt;Task_table_03_2_26!$J$2:$J$596)*(A420&lt;Task_table_03_2_26!$K$2:$K$596))</f>
        <v>0</v>
      </c>
      <c r="E420" cm="1">
        <f t="array" ref="E420">SUMPRODUCT((Task_table_03_2_26!$C$2:$C$596=$E$1)*(A420&gt;Task_table_03_2_26!$J$2:$J$596)*(A420&lt;Task_table_03_2_26!$K$2:$K$596))</f>
        <v>1</v>
      </c>
    </row>
    <row r="421" spans="1:5">
      <c r="A421" s="5">
        <v>46289</v>
      </c>
      <c r="B421" cm="1">
        <f t="array" ref="B421">SUMPRODUCT((Task_table_03_2_26!$C$2:$C$596=$B$1)*(A421&gt;Task_table_03_2_26!$J$2:$J$596)*(A421&lt;Task_table_03_2_26!$K$2:$K$596))</f>
        <v>30</v>
      </c>
      <c r="C421" cm="1">
        <f t="array" ref="C421">SUMPRODUCT((Task_table_03_2_26!$C$2:$C$596=$C$1)*(A421&gt;Task_table_03_2_26!$J$2:$J$596)*(A421&lt;Task_table_03_2_26!$K$2:$K$596))</f>
        <v>4</v>
      </c>
      <c r="D421" cm="1">
        <f t="array" ref="D421">SUMPRODUCT((Task_table_03_2_26!$C$2:$C$596=$D$1)*(A421&gt;Task_table_03_2_26!$J$2:$J$596)*(A421&lt;Task_table_03_2_26!$K$2:$K$596))</f>
        <v>0</v>
      </c>
      <c r="E421" cm="1">
        <f t="array" ref="E421">SUMPRODUCT((Task_table_03_2_26!$C$2:$C$596=$E$1)*(A421&gt;Task_table_03_2_26!$J$2:$J$596)*(A421&lt;Task_table_03_2_26!$K$2:$K$596))</f>
        <v>1</v>
      </c>
    </row>
    <row r="422" spans="1:5">
      <c r="A422" s="5">
        <v>46290</v>
      </c>
      <c r="B422" cm="1">
        <f t="array" ref="B422">SUMPRODUCT((Task_table_03_2_26!$C$2:$C$596=$B$1)*(A422&gt;Task_table_03_2_26!$J$2:$J$596)*(A422&lt;Task_table_03_2_26!$K$2:$K$596))</f>
        <v>30</v>
      </c>
      <c r="C422" cm="1">
        <f t="array" ref="C422">SUMPRODUCT((Task_table_03_2_26!$C$2:$C$596=$C$1)*(A422&gt;Task_table_03_2_26!$J$2:$J$596)*(A422&lt;Task_table_03_2_26!$K$2:$K$596))</f>
        <v>4</v>
      </c>
      <c r="D422" cm="1">
        <f t="array" ref="D422">SUMPRODUCT((Task_table_03_2_26!$C$2:$C$596=$D$1)*(A422&gt;Task_table_03_2_26!$J$2:$J$596)*(A422&lt;Task_table_03_2_26!$K$2:$K$596))</f>
        <v>0</v>
      </c>
      <c r="E422" cm="1">
        <f t="array" ref="E422">SUMPRODUCT((Task_table_03_2_26!$C$2:$C$596=$E$1)*(A422&gt;Task_table_03_2_26!$J$2:$J$596)*(A422&lt;Task_table_03_2_26!$K$2:$K$596))</f>
        <v>1</v>
      </c>
    </row>
    <row r="423" spans="1:5">
      <c r="A423" s="5">
        <v>46291</v>
      </c>
      <c r="B423" cm="1">
        <f t="array" ref="B423">SUMPRODUCT((Task_table_03_2_26!$C$2:$C$596=$B$1)*(A423&gt;Task_table_03_2_26!$J$2:$J$596)*(A423&lt;Task_table_03_2_26!$K$2:$K$596))</f>
        <v>30</v>
      </c>
      <c r="C423" cm="1">
        <f t="array" ref="C423">SUMPRODUCT((Task_table_03_2_26!$C$2:$C$596=$C$1)*(A423&gt;Task_table_03_2_26!$J$2:$J$596)*(A423&lt;Task_table_03_2_26!$K$2:$K$596))</f>
        <v>4</v>
      </c>
      <c r="D423" cm="1">
        <f t="array" ref="D423">SUMPRODUCT((Task_table_03_2_26!$C$2:$C$596=$D$1)*(A423&gt;Task_table_03_2_26!$J$2:$J$596)*(A423&lt;Task_table_03_2_26!$K$2:$K$596))</f>
        <v>0</v>
      </c>
      <c r="E423" cm="1">
        <f t="array" ref="E423">SUMPRODUCT((Task_table_03_2_26!$C$2:$C$596=$E$1)*(A423&gt;Task_table_03_2_26!$J$2:$J$596)*(A423&lt;Task_table_03_2_26!$K$2:$K$596))</f>
        <v>1</v>
      </c>
    </row>
    <row r="424" spans="1:5">
      <c r="A424" s="5">
        <v>46292</v>
      </c>
      <c r="B424" cm="1">
        <f t="array" ref="B424">SUMPRODUCT((Task_table_03_2_26!$C$2:$C$596=$B$1)*(A424&gt;Task_table_03_2_26!$J$2:$J$596)*(A424&lt;Task_table_03_2_26!$K$2:$K$596))</f>
        <v>30</v>
      </c>
      <c r="C424" cm="1">
        <f t="array" ref="C424">SUMPRODUCT((Task_table_03_2_26!$C$2:$C$596=$C$1)*(A424&gt;Task_table_03_2_26!$J$2:$J$596)*(A424&lt;Task_table_03_2_26!$K$2:$K$596))</f>
        <v>4</v>
      </c>
      <c r="D424" cm="1">
        <f t="array" ref="D424">SUMPRODUCT((Task_table_03_2_26!$C$2:$C$596=$D$1)*(A424&gt;Task_table_03_2_26!$J$2:$J$596)*(A424&lt;Task_table_03_2_26!$K$2:$K$596))</f>
        <v>0</v>
      </c>
      <c r="E424" cm="1">
        <f t="array" ref="E424">SUMPRODUCT((Task_table_03_2_26!$C$2:$C$596=$E$1)*(A424&gt;Task_table_03_2_26!$J$2:$J$596)*(A424&lt;Task_table_03_2_26!$K$2:$K$596))</f>
        <v>1</v>
      </c>
    </row>
    <row r="425" spans="1:5">
      <c r="A425" s="5">
        <v>46293</v>
      </c>
      <c r="B425" cm="1">
        <f t="array" ref="B425">SUMPRODUCT((Task_table_03_2_26!$C$2:$C$596=$B$1)*(A425&gt;Task_table_03_2_26!$J$2:$J$596)*(A425&lt;Task_table_03_2_26!$K$2:$K$596))</f>
        <v>30</v>
      </c>
      <c r="C425" cm="1">
        <f t="array" ref="C425">SUMPRODUCT((Task_table_03_2_26!$C$2:$C$596=$C$1)*(A425&gt;Task_table_03_2_26!$J$2:$J$596)*(A425&lt;Task_table_03_2_26!$K$2:$K$596))</f>
        <v>4</v>
      </c>
      <c r="D425" cm="1">
        <f t="array" ref="D425">SUMPRODUCT((Task_table_03_2_26!$C$2:$C$596=$D$1)*(A425&gt;Task_table_03_2_26!$J$2:$J$596)*(A425&lt;Task_table_03_2_26!$K$2:$K$596))</f>
        <v>0</v>
      </c>
      <c r="E425" cm="1">
        <f t="array" ref="E425">SUMPRODUCT((Task_table_03_2_26!$C$2:$C$596=$E$1)*(A425&gt;Task_table_03_2_26!$J$2:$J$596)*(A425&lt;Task_table_03_2_26!$K$2:$K$596))</f>
        <v>1</v>
      </c>
    </row>
    <row r="426" spans="1:5">
      <c r="A426" s="5">
        <v>46294</v>
      </c>
      <c r="B426" cm="1">
        <f t="array" ref="B426">SUMPRODUCT((Task_table_03_2_26!$C$2:$C$596=$B$1)*(A426&gt;Task_table_03_2_26!$J$2:$J$596)*(A426&lt;Task_table_03_2_26!$K$2:$K$596))</f>
        <v>30</v>
      </c>
      <c r="C426" cm="1">
        <f t="array" ref="C426">SUMPRODUCT((Task_table_03_2_26!$C$2:$C$596=$C$1)*(A426&gt;Task_table_03_2_26!$J$2:$J$596)*(A426&lt;Task_table_03_2_26!$K$2:$K$596))</f>
        <v>4</v>
      </c>
      <c r="D426" cm="1">
        <f t="array" ref="D426">SUMPRODUCT((Task_table_03_2_26!$C$2:$C$596=$D$1)*(A426&gt;Task_table_03_2_26!$J$2:$J$596)*(A426&lt;Task_table_03_2_26!$K$2:$K$596))</f>
        <v>0</v>
      </c>
      <c r="E426" cm="1">
        <f t="array" ref="E426">SUMPRODUCT((Task_table_03_2_26!$C$2:$C$596=$E$1)*(A426&gt;Task_table_03_2_26!$J$2:$J$596)*(A426&lt;Task_table_03_2_26!$K$2:$K$596))</f>
        <v>1</v>
      </c>
    </row>
    <row r="427" spans="1:5">
      <c r="A427" s="5">
        <v>46295</v>
      </c>
      <c r="B427" cm="1">
        <f t="array" ref="B427">SUMPRODUCT((Task_table_03_2_26!$C$2:$C$596=$B$1)*(A427&gt;Task_table_03_2_26!$J$2:$J$596)*(A427&lt;Task_table_03_2_26!$K$2:$K$596))</f>
        <v>23</v>
      </c>
      <c r="C427" cm="1">
        <f t="array" ref="C427">SUMPRODUCT((Task_table_03_2_26!$C$2:$C$596=$C$1)*(A427&gt;Task_table_03_2_26!$J$2:$J$596)*(A427&lt;Task_table_03_2_26!$K$2:$K$596))</f>
        <v>3</v>
      </c>
      <c r="D427" cm="1">
        <f t="array" ref="D427">SUMPRODUCT((Task_table_03_2_26!$C$2:$C$596=$D$1)*(A427&gt;Task_table_03_2_26!$J$2:$J$596)*(A427&lt;Task_table_03_2_26!$K$2:$K$596))</f>
        <v>0</v>
      </c>
      <c r="E427" cm="1">
        <f t="array" ref="E427">SUMPRODUCT((Task_table_03_2_26!$C$2:$C$596=$E$1)*(A427&gt;Task_table_03_2_26!$J$2:$J$596)*(A427&lt;Task_table_03_2_26!$K$2:$K$596))</f>
        <v>1</v>
      </c>
    </row>
    <row r="428" spans="1:5">
      <c r="A428" s="5">
        <v>46296</v>
      </c>
      <c r="B428" cm="1">
        <f t="array" ref="B428">SUMPRODUCT((Task_table_03_2_26!$C$2:$C$596=$B$1)*(A428&gt;Task_table_03_2_26!$J$2:$J$596)*(A428&lt;Task_table_03_2_26!$K$2:$K$596))</f>
        <v>23</v>
      </c>
      <c r="C428" cm="1">
        <f t="array" ref="C428">SUMPRODUCT((Task_table_03_2_26!$C$2:$C$596=$C$1)*(A428&gt;Task_table_03_2_26!$J$2:$J$596)*(A428&lt;Task_table_03_2_26!$K$2:$K$596))</f>
        <v>3</v>
      </c>
      <c r="D428" cm="1">
        <f t="array" ref="D428">SUMPRODUCT((Task_table_03_2_26!$C$2:$C$596=$D$1)*(A428&gt;Task_table_03_2_26!$J$2:$J$596)*(A428&lt;Task_table_03_2_26!$K$2:$K$596))</f>
        <v>0</v>
      </c>
      <c r="E428" cm="1">
        <f t="array" ref="E428">SUMPRODUCT((Task_table_03_2_26!$C$2:$C$596=$E$1)*(A428&gt;Task_table_03_2_26!$J$2:$J$596)*(A428&lt;Task_table_03_2_26!$K$2:$K$596))</f>
        <v>1</v>
      </c>
    </row>
    <row r="429" spans="1:5">
      <c r="A429" s="5">
        <v>46297</v>
      </c>
      <c r="B429" cm="1">
        <f t="array" ref="B429">SUMPRODUCT((Task_table_03_2_26!$C$2:$C$596=$B$1)*(A429&gt;Task_table_03_2_26!$J$2:$J$596)*(A429&lt;Task_table_03_2_26!$K$2:$K$596))</f>
        <v>23</v>
      </c>
      <c r="C429" cm="1">
        <f t="array" ref="C429">SUMPRODUCT((Task_table_03_2_26!$C$2:$C$596=$C$1)*(A429&gt;Task_table_03_2_26!$J$2:$J$596)*(A429&lt;Task_table_03_2_26!$K$2:$K$596))</f>
        <v>3</v>
      </c>
      <c r="D429" cm="1">
        <f t="array" ref="D429">SUMPRODUCT((Task_table_03_2_26!$C$2:$C$596=$D$1)*(A429&gt;Task_table_03_2_26!$J$2:$J$596)*(A429&lt;Task_table_03_2_26!$K$2:$K$596))</f>
        <v>0</v>
      </c>
      <c r="E429" cm="1">
        <f t="array" ref="E429">SUMPRODUCT((Task_table_03_2_26!$C$2:$C$596=$E$1)*(A429&gt;Task_table_03_2_26!$J$2:$J$596)*(A429&lt;Task_table_03_2_26!$K$2:$K$596))</f>
        <v>1</v>
      </c>
    </row>
    <row r="430" spans="1:5">
      <c r="A430" s="5">
        <v>46298</v>
      </c>
      <c r="B430" cm="1">
        <f t="array" ref="B430">SUMPRODUCT((Task_table_03_2_26!$C$2:$C$596=$B$1)*(A430&gt;Task_table_03_2_26!$J$2:$J$596)*(A430&lt;Task_table_03_2_26!$K$2:$K$596))</f>
        <v>23</v>
      </c>
      <c r="C430" cm="1">
        <f t="array" ref="C430">SUMPRODUCT((Task_table_03_2_26!$C$2:$C$596=$C$1)*(A430&gt;Task_table_03_2_26!$J$2:$J$596)*(A430&lt;Task_table_03_2_26!$K$2:$K$596))</f>
        <v>3</v>
      </c>
      <c r="D430" cm="1">
        <f t="array" ref="D430">SUMPRODUCT((Task_table_03_2_26!$C$2:$C$596=$D$1)*(A430&gt;Task_table_03_2_26!$J$2:$J$596)*(A430&lt;Task_table_03_2_26!$K$2:$K$596))</f>
        <v>0</v>
      </c>
      <c r="E430" cm="1">
        <f t="array" ref="E430">SUMPRODUCT((Task_table_03_2_26!$C$2:$C$596=$E$1)*(A430&gt;Task_table_03_2_26!$J$2:$J$596)*(A430&lt;Task_table_03_2_26!$K$2:$K$596))</f>
        <v>1</v>
      </c>
    </row>
    <row r="431" spans="1:5">
      <c r="A431" s="5">
        <v>46299</v>
      </c>
      <c r="B431" cm="1">
        <f t="array" ref="B431">SUMPRODUCT((Task_table_03_2_26!$C$2:$C$596=$B$1)*(A431&gt;Task_table_03_2_26!$J$2:$J$596)*(A431&lt;Task_table_03_2_26!$K$2:$K$596))</f>
        <v>23</v>
      </c>
      <c r="C431" cm="1">
        <f t="array" ref="C431">SUMPRODUCT((Task_table_03_2_26!$C$2:$C$596=$C$1)*(A431&gt;Task_table_03_2_26!$J$2:$J$596)*(A431&lt;Task_table_03_2_26!$K$2:$K$596))</f>
        <v>3</v>
      </c>
      <c r="D431" cm="1">
        <f t="array" ref="D431">SUMPRODUCT((Task_table_03_2_26!$C$2:$C$596=$D$1)*(A431&gt;Task_table_03_2_26!$J$2:$J$596)*(A431&lt;Task_table_03_2_26!$K$2:$K$596))</f>
        <v>0</v>
      </c>
      <c r="E431" cm="1">
        <f t="array" ref="E431">SUMPRODUCT((Task_table_03_2_26!$C$2:$C$596=$E$1)*(A431&gt;Task_table_03_2_26!$J$2:$J$596)*(A431&lt;Task_table_03_2_26!$K$2:$K$596))</f>
        <v>1</v>
      </c>
    </row>
    <row r="432" spans="1:5">
      <c r="A432" s="5">
        <v>46300</v>
      </c>
      <c r="B432" cm="1">
        <f t="array" ref="B432">SUMPRODUCT((Task_table_03_2_26!$C$2:$C$596=$B$1)*(A432&gt;Task_table_03_2_26!$J$2:$J$596)*(A432&lt;Task_table_03_2_26!$K$2:$K$596))</f>
        <v>23</v>
      </c>
      <c r="C432" cm="1">
        <f t="array" ref="C432">SUMPRODUCT((Task_table_03_2_26!$C$2:$C$596=$C$1)*(A432&gt;Task_table_03_2_26!$J$2:$J$596)*(A432&lt;Task_table_03_2_26!$K$2:$K$596))</f>
        <v>3</v>
      </c>
      <c r="D432" cm="1">
        <f t="array" ref="D432">SUMPRODUCT((Task_table_03_2_26!$C$2:$C$596=$D$1)*(A432&gt;Task_table_03_2_26!$J$2:$J$596)*(A432&lt;Task_table_03_2_26!$K$2:$K$596))</f>
        <v>0</v>
      </c>
      <c r="E432" cm="1">
        <f t="array" ref="E432">SUMPRODUCT((Task_table_03_2_26!$C$2:$C$596=$E$1)*(A432&gt;Task_table_03_2_26!$J$2:$J$596)*(A432&lt;Task_table_03_2_26!$K$2:$K$596))</f>
        <v>1</v>
      </c>
    </row>
    <row r="433" spans="1:5">
      <c r="A433" s="5">
        <v>46301</v>
      </c>
      <c r="B433" cm="1">
        <f t="array" ref="B433">SUMPRODUCT((Task_table_03_2_26!$C$2:$C$596=$B$1)*(A433&gt;Task_table_03_2_26!$J$2:$J$596)*(A433&lt;Task_table_03_2_26!$K$2:$K$596))</f>
        <v>23</v>
      </c>
      <c r="C433" cm="1">
        <f t="array" ref="C433">SUMPRODUCT((Task_table_03_2_26!$C$2:$C$596=$C$1)*(A433&gt;Task_table_03_2_26!$J$2:$J$596)*(A433&lt;Task_table_03_2_26!$K$2:$K$596))</f>
        <v>3</v>
      </c>
      <c r="D433" cm="1">
        <f t="array" ref="D433">SUMPRODUCT((Task_table_03_2_26!$C$2:$C$596=$D$1)*(A433&gt;Task_table_03_2_26!$J$2:$J$596)*(A433&lt;Task_table_03_2_26!$K$2:$K$596))</f>
        <v>0</v>
      </c>
      <c r="E433" cm="1">
        <f t="array" ref="E433">SUMPRODUCT((Task_table_03_2_26!$C$2:$C$596=$E$1)*(A433&gt;Task_table_03_2_26!$J$2:$J$596)*(A433&lt;Task_table_03_2_26!$K$2:$K$596))</f>
        <v>1</v>
      </c>
    </row>
    <row r="434" spans="1:5">
      <c r="A434" s="5">
        <v>46302</v>
      </c>
      <c r="B434" cm="1">
        <f t="array" ref="B434">SUMPRODUCT((Task_table_03_2_26!$C$2:$C$596=$B$1)*(A434&gt;Task_table_03_2_26!$J$2:$J$596)*(A434&lt;Task_table_03_2_26!$K$2:$K$596))</f>
        <v>23</v>
      </c>
      <c r="C434" cm="1">
        <f t="array" ref="C434">SUMPRODUCT((Task_table_03_2_26!$C$2:$C$596=$C$1)*(A434&gt;Task_table_03_2_26!$J$2:$J$596)*(A434&lt;Task_table_03_2_26!$K$2:$K$596))</f>
        <v>3</v>
      </c>
      <c r="D434" cm="1">
        <f t="array" ref="D434">SUMPRODUCT((Task_table_03_2_26!$C$2:$C$596=$D$1)*(A434&gt;Task_table_03_2_26!$J$2:$J$596)*(A434&lt;Task_table_03_2_26!$K$2:$K$596))</f>
        <v>0</v>
      </c>
      <c r="E434" cm="1">
        <f t="array" ref="E434">SUMPRODUCT((Task_table_03_2_26!$C$2:$C$596=$E$1)*(A434&gt;Task_table_03_2_26!$J$2:$J$596)*(A434&lt;Task_table_03_2_26!$K$2:$K$596))</f>
        <v>1</v>
      </c>
    </row>
    <row r="435" spans="1:5">
      <c r="A435" s="5">
        <v>46303</v>
      </c>
      <c r="B435" cm="1">
        <f t="array" ref="B435">SUMPRODUCT((Task_table_03_2_26!$C$2:$C$596=$B$1)*(A435&gt;Task_table_03_2_26!$J$2:$J$596)*(A435&lt;Task_table_03_2_26!$K$2:$K$596))</f>
        <v>23</v>
      </c>
      <c r="C435" cm="1">
        <f t="array" ref="C435">SUMPRODUCT((Task_table_03_2_26!$C$2:$C$596=$C$1)*(A435&gt;Task_table_03_2_26!$J$2:$J$596)*(A435&lt;Task_table_03_2_26!$K$2:$K$596))</f>
        <v>3</v>
      </c>
      <c r="D435" cm="1">
        <f t="array" ref="D435">SUMPRODUCT((Task_table_03_2_26!$C$2:$C$596=$D$1)*(A435&gt;Task_table_03_2_26!$J$2:$J$596)*(A435&lt;Task_table_03_2_26!$K$2:$K$596))</f>
        <v>0</v>
      </c>
      <c r="E435" cm="1">
        <f t="array" ref="E435">SUMPRODUCT((Task_table_03_2_26!$C$2:$C$596=$E$1)*(A435&gt;Task_table_03_2_26!$J$2:$J$596)*(A435&lt;Task_table_03_2_26!$K$2:$K$596))</f>
        <v>1</v>
      </c>
    </row>
    <row r="436" spans="1:5">
      <c r="A436" s="5">
        <v>46304</v>
      </c>
      <c r="B436" cm="1">
        <f t="array" ref="B436">SUMPRODUCT((Task_table_03_2_26!$C$2:$C$596=$B$1)*(A436&gt;Task_table_03_2_26!$J$2:$J$596)*(A436&lt;Task_table_03_2_26!$K$2:$K$596))</f>
        <v>23</v>
      </c>
      <c r="C436" cm="1">
        <f t="array" ref="C436">SUMPRODUCT((Task_table_03_2_26!$C$2:$C$596=$C$1)*(A436&gt;Task_table_03_2_26!$J$2:$J$596)*(A436&lt;Task_table_03_2_26!$K$2:$K$596))</f>
        <v>3</v>
      </c>
      <c r="D436" cm="1">
        <f t="array" ref="D436">SUMPRODUCT((Task_table_03_2_26!$C$2:$C$596=$D$1)*(A436&gt;Task_table_03_2_26!$J$2:$J$596)*(A436&lt;Task_table_03_2_26!$K$2:$K$596))</f>
        <v>0</v>
      </c>
      <c r="E436" cm="1">
        <f t="array" ref="E436">SUMPRODUCT((Task_table_03_2_26!$C$2:$C$596=$E$1)*(A436&gt;Task_table_03_2_26!$J$2:$J$596)*(A436&lt;Task_table_03_2_26!$K$2:$K$596))</f>
        <v>1</v>
      </c>
    </row>
    <row r="437" spans="1:5">
      <c r="A437" s="5">
        <v>46305</v>
      </c>
      <c r="B437" cm="1">
        <f t="array" ref="B437">SUMPRODUCT((Task_table_03_2_26!$C$2:$C$596=$B$1)*(A437&gt;Task_table_03_2_26!$J$2:$J$596)*(A437&lt;Task_table_03_2_26!$K$2:$K$596))</f>
        <v>23</v>
      </c>
      <c r="C437" cm="1">
        <f t="array" ref="C437">SUMPRODUCT((Task_table_03_2_26!$C$2:$C$596=$C$1)*(A437&gt;Task_table_03_2_26!$J$2:$J$596)*(A437&lt;Task_table_03_2_26!$K$2:$K$596))</f>
        <v>3</v>
      </c>
      <c r="D437" cm="1">
        <f t="array" ref="D437">SUMPRODUCT((Task_table_03_2_26!$C$2:$C$596=$D$1)*(A437&gt;Task_table_03_2_26!$J$2:$J$596)*(A437&lt;Task_table_03_2_26!$K$2:$K$596))</f>
        <v>0</v>
      </c>
      <c r="E437" cm="1">
        <f t="array" ref="E437">SUMPRODUCT((Task_table_03_2_26!$C$2:$C$596=$E$1)*(A437&gt;Task_table_03_2_26!$J$2:$J$596)*(A437&lt;Task_table_03_2_26!$K$2:$K$596))</f>
        <v>1</v>
      </c>
    </row>
    <row r="438" spans="1:5">
      <c r="A438" s="5">
        <v>46306</v>
      </c>
      <c r="B438" cm="1">
        <f t="array" ref="B438">SUMPRODUCT((Task_table_03_2_26!$C$2:$C$596=$B$1)*(A438&gt;Task_table_03_2_26!$J$2:$J$596)*(A438&lt;Task_table_03_2_26!$K$2:$K$596))</f>
        <v>23</v>
      </c>
      <c r="C438" cm="1">
        <f t="array" ref="C438">SUMPRODUCT((Task_table_03_2_26!$C$2:$C$596=$C$1)*(A438&gt;Task_table_03_2_26!$J$2:$J$596)*(A438&lt;Task_table_03_2_26!$K$2:$K$596))</f>
        <v>3</v>
      </c>
      <c r="D438" cm="1">
        <f t="array" ref="D438">SUMPRODUCT((Task_table_03_2_26!$C$2:$C$596=$D$1)*(A438&gt;Task_table_03_2_26!$J$2:$J$596)*(A438&lt;Task_table_03_2_26!$K$2:$K$596))</f>
        <v>0</v>
      </c>
      <c r="E438" cm="1">
        <f t="array" ref="E438">SUMPRODUCT((Task_table_03_2_26!$C$2:$C$596=$E$1)*(A438&gt;Task_table_03_2_26!$J$2:$J$596)*(A438&lt;Task_table_03_2_26!$K$2:$K$596))</f>
        <v>1</v>
      </c>
    </row>
    <row r="439" spans="1:5">
      <c r="A439" s="5">
        <v>46307</v>
      </c>
      <c r="B439" cm="1">
        <f t="array" ref="B439">SUMPRODUCT((Task_table_03_2_26!$C$2:$C$596=$B$1)*(A439&gt;Task_table_03_2_26!$J$2:$J$596)*(A439&lt;Task_table_03_2_26!$K$2:$K$596))</f>
        <v>23</v>
      </c>
      <c r="C439" cm="1">
        <f t="array" ref="C439">SUMPRODUCT((Task_table_03_2_26!$C$2:$C$596=$C$1)*(A439&gt;Task_table_03_2_26!$J$2:$J$596)*(A439&lt;Task_table_03_2_26!$K$2:$K$596))</f>
        <v>3</v>
      </c>
      <c r="D439" cm="1">
        <f t="array" ref="D439">SUMPRODUCT((Task_table_03_2_26!$C$2:$C$596=$D$1)*(A439&gt;Task_table_03_2_26!$J$2:$J$596)*(A439&lt;Task_table_03_2_26!$K$2:$K$596))</f>
        <v>0</v>
      </c>
      <c r="E439" cm="1">
        <f t="array" ref="E439">SUMPRODUCT((Task_table_03_2_26!$C$2:$C$596=$E$1)*(A439&gt;Task_table_03_2_26!$J$2:$J$596)*(A439&lt;Task_table_03_2_26!$K$2:$K$596))</f>
        <v>1</v>
      </c>
    </row>
    <row r="440" spans="1:5">
      <c r="A440" s="5">
        <v>46308</v>
      </c>
      <c r="B440" cm="1">
        <f t="array" ref="B440">SUMPRODUCT((Task_table_03_2_26!$C$2:$C$596=$B$1)*(A440&gt;Task_table_03_2_26!$J$2:$J$596)*(A440&lt;Task_table_03_2_26!$K$2:$K$596))</f>
        <v>23</v>
      </c>
      <c r="C440" cm="1">
        <f t="array" ref="C440">SUMPRODUCT((Task_table_03_2_26!$C$2:$C$596=$C$1)*(A440&gt;Task_table_03_2_26!$J$2:$J$596)*(A440&lt;Task_table_03_2_26!$K$2:$K$596))</f>
        <v>3</v>
      </c>
      <c r="D440" cm="1">
        <f t="array" ref="D440">SUMPRODUCT((Task_table_03_2_26!$C$2:$C$596=$D$1)*(A440&gt;Task_table_03_2_26!$J$2:$J$596)*(A440&lt;Task_table_03_2_26!$K$2:$K$596))</f>
        <v>0</v>
      </c>
      <c r="E440" cm="1">
        <f t="array" ref="E440">SUMPRODUCT((Task_table_03_2_26!$C$2:$C$596=$E$1)*(A440&gt;Task_table_03_2_26!$J$2:$J$596)*(A440&lt;Task_table_03_2_26!$K$2:$K$596))</f>
        <v>1</v>
      </c>
    </row>
    <row r="441" spans="1:5">
      <c r="A441" s="5">
        <v>46309</v>
      </c>
      <c r="B441" cm="1">
        <f t="array" ref="B441">SUMPRODUCT((Task_table_03_2_26!$C$2:$C$596=$B$1)*(A441&gt;Task_table_03_2_26!$J$2:$J$596)*(A441&lt;Task_table_03_2_26!$K$2:$K$596))</f>
        <v>23</v>
      </c>
      <c r="C441" cm="1">
        <f t="array" ref="C441">SUMPRODUCT((Task_table_03_2_26!$C$2:$C$596=$C$1)*(A441&gt;Task_table_03_2_26!$J$2:$J$596)*(A441&lt;Task_table_03_2_26!$K$2:$K$596))</f>
        <v>3</v>
      </c>
      <c r="D441" cm="1">
        <f t="array" ref="D441">SUMPRODUCT((Task_table_03_2_26!$C$2:$C$596=$D$1)*(A441&gt;Task_table_03_2_26!$J$2:$J$596)*(A441&lt;Task_table_03_2_26!$K$2:$K$596))</f>
        <v>0</v>
      </c>
      <c r="E441" cm="1">
        <f t="array" ref="E441">SUMPRODUCT((Task_table_03_2_26!$C$2:$C$596=$E$1)*(A441&gt;Task_table_03_2_26!$J$2:$J$596)*(A441&lt;Task_table_03_2_26!$K$2:$K$596))</f>
        <v>1</v>
      </c>
    </row>
    <row r="442" spans="1:5">
      <c r="A442" s="5">
        <v>46310</v>
      </c>
      <c r="B442" cm="1">
        <f t="array" ref="B442">SUMPRODUCT((Task_table_03_2_26!$C$2:$C$596=$B$1)*(A442&gt;Task_table_03_2_26!$J$2:$J$596)*(A442&lt;Task_table_03_2_26!$K$2:$K$596))</f>
        <v>23</v>
      </c>
      <c r="C442" cm="1">
        <f t="array" ref="C442">SUMPRODUCT((Task_table_03_2_26!$C$2:$C$596=$C$1)*(A442&gt;Task_table_03_2_26!$J$2:$J$596)*(A442&lt;Task_table_03_2_26!$K$2:$K$596))</f>
        <v>3</v>
      </c>
      <c r="D442" cm="1">
        <f t="array" ref="D442">SUMPRODUCT((Task_table_03_2_26!$C$2:$C$596=$D$1)*(A442&gt;Task_table_03_2_26!$J$2:$J$596)*(A442&lt;Task_table_03_2_26!$K$2:$K$596))</f>
        <v>0</v>
      </c>
      <c r="E442" cm="1">
        <f t="array" ref="E442">SUMPRODUCT((Task_table_03_2_26!$C$2:$C$596=$E$1)*(A442&gt;Task_table_03_2_26!$J$2:$J$596)*(A442&lt;Task_table_03_2_26!$K$2:$K$596))</f>
        <v>1</v>
      </c>
    </row>
    <row r="443" spans="1:5">
      <c r="A443" s="5">
        <v>46311</v>
      </c>
      <c r="B443" cm="1">
        <f t="array" ref="B443">SUMPRODUCT((Task_table_03_2_26!$C$2:$C$596=$B$1)*(A443&gt;Task_table_03_2_26!$J$2:$J$596)*(A443&lt;Task_table_03_2_26!$K$2:$K$596))</f>
        <v>23</v>
      </c>
      <c r="C443" cm="1">
        <f t="array" ref="C443">SUMPRODUCT((Task_table_03_2_26!$C$2:$C$596=$C$1)*(A443&gt;Task_table_03_2_26!$J$2:$J$596)*(A443&lt;Task_table_03_2_26!$K$2:$K$596))</f>
        <v>4</v>
      </c>
      <c r="D443" cm="1">
        <f t="array" ref="D443">SUMPRODUCT((Task_table_03_2_26!$C$2:$C$596=$D$1)*(A443&gt;Task_table_03_2_26!$J$2:$J$596)*(A443&lt;Task_table_03_2_26!$K$2:$K$596))</f>
        <v>0</v>
      </c>
      <c r="E443" cm="1">
        <f t="array" ref="E443">SUMPRODUCT((Task_table_03_2_26!$C$2:$C$596=$E$1)*(A443&gt;Task_table_03_2_26!$J$2:$J$596)*(A443&lt;Task_table_03_2_26!$K$2:$K$596))</f>
        <v>1</v>
      </c>
    </row>
    <row r="444" spans="1:5">
      <c r="A444" s="5">
        <v>46312</v>
      </c>
      <c r="B444" cm="1">
        <f t="array" ref="B444">SUMPRODUCT((Task_table_03_2_26!$C$2:$C$596=$B$1)*(A444&gt;Task_table_03_2_26!$J$2:$J$596)*(A444&lt;Task_table_03_2_26!$K$2:$K$596))</f>
        <v>23</v>
      </c>
      <c r="C444" cm="1">
        <f t="array" ref="C444">SUMPRODUCT((Task_table_03_2_26!$C$2:$C$596=$C$1)*(A444&gt;Task_table_03_2_26!$J$2:$J$596)*(A444&lt;Task_table_03_2_26!$K$2:$K$596))</f>
        <v>4</v>
      </c>
      <c r="D444" cm="1">
        <f t="array" ref="D444">SUMPRODUCT((Task_table_03_2_26!$C$2:$C$596=$D$1)*(A444&gt;Task_table_03_2_26!$J$2:$J$596)*(A444&lt;Task_table_03_2_26!$K$2:$K$596))</f>
        <v>0</v>
      </c>
      <c r="E444" cm="1">
        <f t="array" ref="E444">SUMPRODUCT((Task_table_03_2_26!$C$2:$C$596=$E$1)*(A444&gt;Task_table_03_2_26!$J$2:$J$596)*(A444&lt;Task_table_03_2_26!$K$2:$K$596))</f>
        <v>1</v>
      </c>
    </row>
    <row r="445" spans="1:5">
      <c r="A445" s="5">
        <v>46313</v>
      </c>
      <c r="B445" cm="1">
        <f t="array" ref="B445">SUMPRODUCT((Task_table_03_2_26!$C$2:$C$596=$B$1)*(A445&gt;Task_table_03_2_26!$J$2:$J$596)*(A445&lt;Task_table_03_2_26!$K$2:$K$596))</f>
        <v>23</v>
      </c>
      <c r="C445" cm="1">
        <f t="array" ref="C445">SUMPRODUCT((Task_table_03_2_26!$C$2:$C$596=$C$1)*(A445&gt;Task_table_03_2_26!$J$2:$J$596)*(A445&lt;Task_table_03_2_26!$K$2:$K$596))</f>
        <v>4</v>
      </c>
      <c r="D445" cm="1">
        <f t="array" ref="D445">SUMPRODUCT((Task_table_03_2_26!$C$2:$C$596=$D$1)*(A445&gt;Task_table_03_2_26!$J$2:$J$596)*(A445&lt;Task_table_03_2_26!$K$2:$K$596))</f>
        <v>0</v>
      </c>
      <c r="E445" cm="1">
        <f t="array" ref="E445">SUMPRODUCT((Task_table_03_2_26!$C$2:$C$596=$E$1)*(A445&gt;Task_table_03_2_26!$J$2:$J$596)*(A445&lt;Task_table_03_2_26!$K$2:$K$596))</f>
        <v>1</v>
      </c>
    </row>
    <row r="446" spans="1:5">
      <c r="A446" s="5">
        <v>46314</v>
      </c>
      <c r="B446" cm="1">
        <f t="array" ref="B446">SUMPRODUCT((Task_table_03_2_26!$C$2:$C$596=$B$1)*(A446&gt;Task_table_03_2_26!$J$2:$J$596)*(A446&lt;Task_table_03_2_26!$K$2:$K$596))</f>
        <v>23</v>
      </c>
      <c r="C446" cm="1">
        <f t="array" ref="C446">SUMPRODUCT((Task_table_03_2_26!$C$2:$C$596=$C$1)*(A446&gt;Task_table_03_2_26!$J$2:$J$596)*(A446&lt;Task_table_03_2_26!$K$2:$K$596))</f>
        <v>4</v>
      </c>
      <c r="D446" cm="1">
        <f t="array" ref="D446">SUMPRODUCT((Task_table_03_2_26!$C$2:$C$596=$D$1)*(A446&gt;Task_table_03_2_26!$J$2:$J$596)*(A446&lt;Task_table_03_2_26!$K$2:$K$596))</f>
        <v>0</v>
      </c>
      <c r="E446" cm="1">
        <f t="array" ref="E446">SUMPRODUCT((Task_table_03_2_26!$C$2:$C$596=$E$1)*(A446&gt;Task_table_03_2_26!$J$2:$J$596)*(A446&lt;Task_table_03_2_26!$K$2:$K$596))</f>
        <v>1</v>
      </c>
    </row>
    <row r="447" spans="1:5">
      <c r="A447" s="5">
        <v>46315</v>
      </c>
      <c r="B447" cm="1">
        <f t="array" ref="B447">SUMPRODUCT((Task_table_03_2_26!$C$2:$C$596=$B$1)*(A447&gt;Task_table_03_2_26!$J$2:$J$596)*(A447&lt;Task_table_03_2_26!$K$2:$K$596))</f>
        <v>23</v>
      </c>
      <c r="C447" cm="1">
        <f t="array" ref="C447">SUMPRODUCT((Task_table_03_2_26!$C$2:$C$596=$C$1)*(A447&gt;Task_table_03_2_26!$J$2:$J$596)*(A447&lt;Task_table_03_2_26!$K$2:$K$596))</f>
        <v>4</v>
      </c>
      <c r="D447" cm="1">
        <f t="array" ref="D447">SUMPRODUCT((Task_table_03_2_26!$C$2:$C$596=$D$1)*(A447&gt;Task_table_03_2_26!$J$2:$J$596)*(A447&lt;Task_table_03_2_26!$K$2:$K$596))</f>
        <v>0</v>
      </c>
      <c r="E447" cm="1">
        <f t="array" ref="E447">SUMPRODUCT((Task_table_03_2_26!$C$2:$C$596=$E$1)*(A447&gt;Task_table_03_2_26!$J$2:$J$596)*(A447&lt;Task_table_03_2_26!$K$2:$K$596))</f>
        <v>1</v>
      </c>
    </row>
    <row r="448" spans="1:5">
      <c r="A448" s="5">
        <v>46316</v>
      </c>
      <c r="B448" cm="1">
        <f t="array" ref="B448">SUMPRODUCT((Task_table_03_2_26!$C$2:$C$596=$B$1)*(A448&gt;Task_table_03_2_26!$J$2:$J$596)*(A448&lt;Task_table_03_2_26!$K$2:$K$596))</f>
        <v>23</v>
      </c>
      <c r="C448" cm="1">
        <f t="array" ref="C448">SUMPRODUCT((Task_table_03_2_26!$C$2:$C$596=$C$1)*(A448&gt;Task_table_03_2_26!$J$2:$J$596)*(A448&lt;Task_table_03_2_26!$K$2:$K$596))</f>
        <v>4</v>
      </c>
      <c r="D448" cm="1">
        <f t="array" ref="D448">SUMPRODUCT((Task_table_03_2_26!$C$2:$C$596=$D$1)*(A448&gt;Task_table_03_2_26!$J$2:$J$596)*(A448&lt;Task_table_03_2_26!$K$2:$K$596))</f>
        <v>0</v>
      </c>
      <c r="E448" cm="1">
        <f t="array" ref="E448">SUMPRODUCT((Task_table_03_2_26!$C$2:$C$596=$E$1)*(A448&gt;Task_table_03_2_26!$J$2:$J$596)*(A448&lt;Task_table_03_2_26!$K$2:$K$596))</f>
        <v>1</v>
      </c>
    </row>
    <row r="449" spans="1:5">
      <c r="A449" s="5">
        <v>46317</v>
      </c>
      <c r="B449" cm="1">
        <f t="array" ref="B449">SUMPRODUCT((Task_table_03_2_26!$C$2:$C$596=$B$1)*(A449&gt;Task_table_03_2_26!$J$2:$J$596)*(A449&lt;Task_table_03_2_26!$K$2:$K$596))</f>
        <v>23</v>
      </c>
      <c r="C449" cm="1">
        <f t="array" ref="C449">SUMPRODUCT((Task_table_03_2_26!$C$2:$C$596=$C$1)*(A449&gt;Task_table_03_2_26!$J$2:$J$596)*(A449&lt;Task_table_03_2_26!$K$2:$K$596))</f>
        <v>4</v>
      </c>
      <c r="D449" cm="1">
        <f t="array" ref="D449">SUMPRODUCT((Task_table_03_2_26!$C$2:$C$596=$D$1)*(A449&gt;Task_table_03_2_26!$J$2:$J$596)*(A449&lt;Task_table_03_2_26!$K$2:$K$596))</f>
        <v>0</v>
      </c>
      <c r="E449" cm="1">
        <f t="array" ref="E449">SUMPRODUCT((Task_table_03_2_26!$C$2:$C$596=$E$1)*(A449&gt;Task_table_03_2_26!$J$2:$J$596)*(A449&lt;Task_table_03_2_26!$K$2:$K$596))</f>
        <v>1</v>
      </c>
    </row>
    <row r="450" spans="1:5">
      <c r="A450" s="5">
        <v>46318</v>
      </c>
      <c r="B450" cm="1">
        <f t="array" ref="B450">SUMPRODUCT((Task_table_03_2_26!$C$2:$C$596=$B$1)*(A450&gt;Task_table_03_2_26!$J$2:$J$596)*(A450&lt;Task_table_03_2_26!$K$2:$K$596))</f>
        <v>23</v>
      </c>
      <c r="C450" cm="1">
        <f t="array" ref="C450">SUMPRODUCT((Task_table_03_2_26!$C$2:$C$596=$C$1)*(A450&gt;Task_table_03_2_26!$J$2:$J$596)*(A450&lt;Task_table_03_2_26!$K$2:$K$596))</f>
        <v>4</v>
      </c>
      <c r="D450" cm="1">
        <f t="array" ref="D450">SUMPRODUCT((Task_table_03_2_26!$C$2:$C$596=$D$1)*(A450&gt;Task_table_03_2_26!$J$2:$J$596)*(A450&lt;Task_table_03_2_26!$K$2:$K$596))</f>
        <v>0</v>
      </c>
      <c r="E450" cm="1">
        <f t="array" ref="E450">SUMPRODUCT((Task_table_03_2_26!$C$2:$C$596=$E$1)*(A450&gt;Task_table_03_2_26!$J$2:$J$596)*(A450&lt;Task_table_03_2_26!$K$2:$K$596))</f>
        <v>1</v>
      </c>
    </row>
    <row r="451" spans="1:5">
      <c r="A451" s="5">
        <v>46319</v>
      </c>
      <c r="B451" cm="1">
        <f t="array" ref="B451">SUMPRODUCT((Task_table_03_2_26!$C$2:$C$596=$B$1)*(A451&gt;Task_table_03_2_26!$J$2:$J$596)*(A451&lt;Task_table_03_2_26!$K$2:$K$596))</f>
        <v>23</v>
      </c>
      <c r="C451" cm="1">
        <f t="array" ref="C451">SUMPRODUCT((Task_table_03_2_26!$C$2:$C$596=$C$1)*(A451&gt;Task_table_03_2_26!$J$2:$J$596)*(A451&lt;Task_table_03_2_26!$K$2:$K$596))</f>
        <v>4</v>
      </c>
      <c r="D451" cm="1">
        <f t="array" ref="D451">SUMPRODUCT((Task_table_03_2_26!$C$2:$C$596=$D$1)*(A451&gt;Task_table_03_2_26!$J$2:$J$596)*(A451&lt;Task_table_03_2_26!$K$2:$K$596))</f>
        <v>0</v>
      </c>
      <c r="E451" cm="1">
        <f t="array" ref="E451">SUMPRODUCT((Task_table_03_2_26!$C$2:$C$596=$E$1)*(A451&gt;Task_table_03_2_26!$J$2:$J$596)*(A451&lt;Task_table_03_2_26!$K$2:$K$596))</f>
        <v>1</v>
      </c>
    </row>
    <row r="452" spans="1:5">
      <c r="A452" s="5">
        <v>46320</v>
      </c>
      <c r="B452" cm="1">
        <f t="array" ref="B452">SUMPRODUCT((Task_table_03_2_26!$C$2:$C$596=$B$1)*(A452&gt;Task_table_03_2_26!$J$2:$J$596)*(A452&lt;Task_table_03_2_26!$K$2:$K$596))</f>
        <v>23</v>
      </c>
      <c r="C452" cm="1">
        <f t="array" ref="C452">SUMPRODUCT((Task_table_03_2_26!$C$2:$C$596=$C$1)*(A452&gt;Task_table_03_2_26!$J$2:$J$596)*(A452&lt;Task_table_03_2_26!$K$2:$K$596))</f>
        <v>4</v>
      </c>
      <c r="D452" cm="1">
        <f t="array" ref="D452">SUMPRODUCT((Task_table_03_2_26!$C$2:$C$596=$D$1)*(A452&gt;Task_table_03_2_26!$J$2:$J$596)*(A452&lt;Task_table_03_2_26!$K$2:$K$596))</f>
        <v>0</v>
      </c>
      <c r="E452" cm="1">
        <f t="array" ref="E452">SUMPRODUCT((Task_table_03_2_26!$C$2:$C$596=$E$1)*(A452&gt;Task_table_03_2_26!$J$2:$J$596)*(A452&lt;Task_table_03_2_26!$K$2:$K$596))</f>
        <v>1</v>
      </c>
    </row>
    <row r="453" spans="1:5">
      <c r="A453" s="5">
        <v>46321</v>
      </c>
      <c r="B453" cm="1">
        <f t="array" ref="B453">SUMPRODUCT((Task_table_03_2_26!$C$2:$C$596=$B$1)*(A453&gt;Task_table_03_2_26!$J$2:$J$596)*(A453&lt;Task_table_03_2_26!$K$2:$K$596))</f>
        <v>23</v>
      </c>
      <c r="C453" cm="1">
        <f t="array" ref="C453">SUMPRODUCT((Task_table_03_2_26!$C$2:$C$596=$C$1)*(A453&gt;Task_table_03_2_26!$J$2:$J$596)*(A453&lt;Task_table_03_2_26!$K$2:$K$596))</f>
        <v>4</v>
      </c>
      <c r="D453" cm="1">
        <f t="array" ref="D453">SUMPRODUCT((Task_table_03_2_26!$C$2:$C$596=$D$1)*(A453&gt;Task_table_03_2_26!$J$2:$J$596)*(A453&lt;Task_table_03_2_26!$K$2:$K$596))</f>
        <v>0</v>
      </c>
      <c r="E453" cm="1">
        <f t="array" ref="E453">SUMPRODUCT((Task_table_03_2_26!$C$2:$C$596=$E$1)*(A453&gt;Task_table_03_2_26!$J$2:$J$596)*(A453&lt;Task_table_03_2_26!$K$2:$K$596))</f>
        <v>1</v>
      </c>
    </row>
    <row r="454" spans="1:5">
      <c r="A454" s="5">
        <v>46322</v>
      </c>
      <c r="B454" cm="1">
        <f t="array" ref="B454">SUMPRODUCT((Task_table_03_2_26!$C$2:$C$596=$B$1)*(A454&gt;Task_table_03_2_26!$J$2:$J$596)*(A454&lt;Task_table_03_2_26!$K$2:$K$596))</f>
        <v>23</v>
      </c>
      <c r="C454" cm="1">
        <f t="array" ref="C454">SUMPRODUCT((Task_table_03_2_26!$C$2:$C$596=$C$1)*(A454&gt;Task_table_03_2_26!$J$2:$J$596)*(A454&lt;Task_table_03_2_26!$K$2:$K$596))</f>
        <v>4</v>
      </c>
      <c r="D454" cm="1">
        <f t="array" ref="D454">SUMPRODUCT((Task_table_03_2_26!$C$2:$C$596=$D$1)*(A454&gt;Task_table_03_2_26!$J$2:$J$596)*(A454&lt;Task_table_03_2_26!$K$2:$K$596))</f>
        <v>0</v>
      </c>
      <c r="E454" cm="1">
        <f t="array" ref="E454">SUMPRODUCT((Task_table_03_2_26!$C$2:$C$596=$E$1)*(A454&gt;Task_table_03_2_26!$J$2:$J$596)*(A454&lt;Task_table_03_2_26!$K$2:$K$596))</f>
        <v>1</v>
      </c>
    </row>
    <row r="455" spans="1:5">
      <c r="A455" s="5">
        <v>46323</v>
      </c>
      <c r="B455" cm="1">
        <f t="array" ref="B455">SUMPRODUCT((Task_table_03_2_26!$C$2:$C$596=$B$1)*(A455&gt;Task_table_03_2_26!$J$2:$J$596)*(A455&lt;Task_table_03_2_26!$K$2:$K$596))</f>
        <v>23</v>
      </c>
      <c r="C455" cm="1">
        <f t="array" ref="C455">SUMPRODUCT((Task_table_03_2_26!$C$2:$C$596=$C$1)*(A455&gt;Task_table_03_2_26!$J$2:$J$596)*(A455&lt;Task_table_03_2_26!$K$2:$K$596))</f>
        <v>4</v>
      </c>
      <c r="D455" cm="1">
        <f t="array" ref="D455">SUMPRODUCT((Task_table_03_2_26!$C$2:$C$596=$D$1)*(A455&gt;Task_table_03_2_26!$J$2:$J$596)*(A455&lt;Task_table_03_2_26!$K$2:$K$596))</f>
        <v>0</v>
      </c>
      <c r="E455" cm="1">
        <f t="array" ref="E455">SUMPRODUCT((Task_table_03_2_26!$C$2:$C$596=$E$1)*(A455&gt;Task_table_03_2_26!$J$2:$J$596)*(A455&lt;Task_table_03_2_26!$K$2:$K$596))</f>
        <v>1</v>
      </c>
    </row>
    <row r="456" spans="1:5">
      <c r="A456" s="5">
        <v>46324</v>
      </c>
      <c r="B456" cm="1">
        <f t="array" ref="B456">SUMPRODUCT((Task_table_03_2_26!$C$2:$C$596=$B$1)*(A456&gt;Task_table_03_2_26!$J$2:$J$596)*(A456&lt;Task_table_03_2_26!$K$2:$K$596))</f>
        <v>23</v>
      </c>
      <c r="C456" cm="1">
        <f t="array" ref="C456">SUMPRODUCT((Task_table_03_2_26!$C$2:$C$596=$C$1)*(A456&gt;Task_table_03_2_26!$J$2:$J$596)*(A456&lt;Task_table_03_2_26!$K$2:$K$596))</f>
        <v>4</v>
      </c>
      <c r="D456" cm="1">
        <f t="array" ref="D456">SUMPRODUCT((Task_table_03_2_26!$C$2:$C$596=$D$1)*(A456&gt;Task_table_03_2_26!$J$2:$J$596)*(A456&lt;Task_table_03_2_26!$K$2:$K$596))</f>
        <v>0</v>
      </c>
      <c r="E456" cm="1">
        <f t="array" ref="E456">SUMPRODUCT((Task_table_03_2_26!$C$2:$C$596=$E$1)*(A456&gt;Task_table_03_2_26!$J$2:$J$596)*(A456&lt;Task_table_03_2_26!$K$2:$K$596))</f>
        <v>1</v>
      </c>
    </row>
    <row r="457" spans="1:5">
      <c r="A457" s="5">
        <v>46325</v>
      </c>
      <c r="B457" cm="1">
        <f t="array" ref="B457">SUMPRODUCT((Task_table_03_2_26!$C$2:$C$596=$B$1)*(A457&gt;Task_table_03_2_26!$J$2:$J$596)*(A457&lt;Task_table_03_2_26!$K$2:$K$596))</f>
        <v>23</v>
      </c>
      <c r="C457" cm="1">
        <f t="array" ref="C457">SUMPRODUCT((Task_table_03_2_26!$C$2:$C$596=$C$1)*(A457&gt;Task_table_03_2_26!$J$2:$J$596)*(A457&lt;Task_table_03_2_26!$K$2:$K$596))</f>
        <v>4</v>
      </c>
      <c r="D457" cm="1">
        <f t="array" ref="D457">SUMPRODUCT((Task_table_03_2_26!$C$2:$C$596=$D$1)*(A457&gt;Task_table_03_2_26!$J$2:$J$596)*(A457&lt;Task_table_03_2_26!$K$2:$K$596))</f>
        <v>0</v>
      </c>
      <c r="E457" cm="1">
        <f t="array" ref="E457">SUMPRODUCT((Task_table_03_2_26!$C$2:$C$596=$E$1)*(A457&gt;Task_table_03_2_26!$J$2:$J$596)*(A457&lt;Task_table_03_2_26!$K$2:$K$596))</f>
        <v>1</v>
      </c>
    </row>
    <row r="458" spans="1:5">
      <c r="A458" s="5">
        <v>46326</v>
      </c>
      <c r="B458" cm="1">
        <f t="array" ref="B458">SUMPRODUCT((Task_table_03_2_26!$C$2:$C$596=$B$1)*(A458&gt;Task_table_03_2_26!$J$2:$J$596)*(A458&lt;Task_table_03_2_26!$K$2:$K$596))</f>
        <v>23</v>
      </c>
      <c r="C458" cm="1">
        <f t="array" ref="C458">SUMPRODUCT((Task_table_03_2_26!$C$2:$C$596=$C$1)*(A458&gt;Task_table_03_2_26!$J$2:$J$596)*(A458&lt;Task_table_03_2_26!$K$2:$K$596))</f>
        <v>4</v>
      </c>
      <c r="D458" cm="1">
        <f t="array" ref="D458">SUMPRODUCT((Task_table_03_2_26!$C$2:$C$596=$D$1)*(A458&gt;Task_table_03_2_26!$J$2:$J$596)*(A458&lt;Task_table_03_2_26!$K$2:$K$596))</f>
        <v>0</v>
      </c>
      <c r="E458" cm="1">
        <f t="array" ref="E458">SUMPRODUCT((Task_table_03_2_26!$C$2:$C$596=$E$1)*(A458&gt;Task_table_03_2_26!$J$2:$J$596)*(A458&lt;Task_table_03_2_26!$K$2:$K$596))</f>
        <v>1</v>
      </c>
    </row>
    <row r="459" spans="1:5">
      <c r="A459" s="5">
        <v>46327</v>
      </c>
      <c r="B459" cm="1">
        <f t="array" ref="B459">SUMPRODUCT((Task_table_03_2_26!$C$2:$C$596=$B$1)*(A459&gt;Task_table_03_2_26!$J$2:$J$596)*(A459&lt;Task_table_03_2_26!$K$2:$K$596))</f>
        <v>23</v>
      </c>
      <c r="C459" cm="1">
        <f t="array" ref="C459">SUMPRODUCT((Task_table_03_2_26!$C$2:$C$596=$C$1)*(A459&gt;Task_table_03_2_26!$J$2:$J$596)*(A459&lt;Task_table_03_2_26!$K$2:$K$596))</f>
        <v>4</v>
      </c>
      <c r="D459" cm="1">
        <f t="array" ref="D459">SUMPRODUCT((Task_table_03_2_26!$C$2:$C$596=$D$1)*(A459&gt;Task_table_03_2_26!$J$2:$J$596)*(A459&lt;Task_table_03_2_26!$K$2:$K$596))</f>
        <v>0</v>
      </c>
      <c r="E459" cm="1">
        <f t="array" ref="E459">SUMPRODUCT((Task_table_03_2_26!$C$2:$C$596=$E$1)*(A459&gt;Task_table_03_2_26!$J$2:$J$596)*(A459&lt;Task_table_03_2_26!$K$2:$K$596))</f>
        <v>1</v>
      </c>
    </row>
    <row r="460" spans="1:5">
      <c r="A460" s="5">
        <v>46328</v>
      </c>
      <c r="B460" cm="1">
        <f t="array" ref="B460">SUMPRODUCT((Task_table_03_2_26!$C$2:$C$596=$B$1)*(A460&gt;Task_table_03_2_26!$J$2:$J$596)*(A460&lt;Task_table_03_2_26!$K$2:$K$596))</f>
        <v>23</v>
      </c>
      <c r="C460" cm="1">
        <f t="array" ref="C460">SUMPRODUCT((Task_table_03_2_26!$C$2:$C$596=$C$1)*(A460&gt;Task_table_03_2_26!$J$2:$J$596)*(A460&lt;Task_table_03_2_26!$K$2:$K$596))</f>
        <v>4</v>
      </c>
      <c r="D460" cm="1">
        <f t="array" ref="D460">SUMPRODUCT((Task_table_03_2_26!$C$2:$C$596=$D$1)*(A460&gt;Task_table_03_2_26!$J$2:$J$596)*(A460&lt;Task_table_03_2_26!$K$2:$K$596))</f>
        <v>0</v>
      </c>
      <c r="E460" cm="1">
        <f t="array" ref="E460">SUMPRODUCT((Task_table_03_2_26!$C$2:$C$596=$E$1)*(A460&gt;Task_table_03_2_26!$J$2:$J$596)*(A460&lt;Task_table_03_2_26!$K$2:$K$596))</f>
        <v>1</v>
      </c>
    </row>
    <row r="461" spans="1:5">
      <c r="A461" s="5">
        <v>46329</v>
      </c>
      <c r="B461" cm="1">
        <f t="array" ref="B461">SUMPRODUCT((Task_table_03_2_26!$C$2:$C$596=$B$1)*(A461&gt;Task_table_03_2_26!$J$2:$J$596)*(A461&lt;Task_table_03_2_26!$K$2:$K$596))</f>
        <v>23</v>
      </c>
      <c r="C461" cm="1">
        <f t="array" ref="C461">SUMPRODUCT((Task_table_03_2_26!$C$2:$C$596=$C$1)*(A461&gt;Task_table_03_2_26!$J$2:$J$596)*(A461&lt;Task_table_03_2_26!$K$2:$K$596))</f>
        <v>4</v>
      </c>
      <c r="D461" cm="1">
        <f t="array" ref="D461">SUMPRODUCT((Task_table_03_2_26!$C$2:$C$596=$D$1)*(A461&gt;Task_table_03_2_26!$J$2:$J$596)*(A461&lt;Task_table_03_2_26!$K$2:$K$596))</f>
        <v>0</v>
      </c>
      <c r="E461" cm="1">
        <f t="array" ref="E461">SUMPRODUCT((Task_table_03_2_26!$C$2:$C$596=$E$1)*(A461&gt;Task_table_03_2_26!$J$2:$J$596)*(A461&lt;Task_table_03_2_26!$K$2:$K$596))</f>
        <v>1</v>
      </c>
    </row>
    <row r="462" spans="1:5">
      <c r="A462" s="5">
        <v>46330</v>
      </c>
      <c r="B462" cm="1">
        <f t="array" ref="B462">SUMPRODUCT((Task_table_03_2_26!$C$2:$C$596=$B$1)*(A462&gt;Task_table_03_2_26!$J$2:$J$596)*(A462&lt;Task_table_03_2_26!$K$2:$K$596))</f>
        <v>23</v>
      </c>
      <c r="C462" cm="1">
        <f t="array" ref="C462">SUMPRODUCT((Task_table_03_2_26!$C$2:$C$596=$C$1)*(A462&gt;Task_table_03_2_26!$J$2:$J$596)*(A462&lt;Task_table_03_2_26!$K$2:$K$596))</f>
        <v>4</v>
      </c>
      <c r="D462" cm="1">
        <f t="array" ref="D462">SUMPRODUCT((Task_table_03_2_26!$C$2:$C$596=$D$1)*(A462&gt;Task_table_03_2_26!$J$2:$J$596)*(A462&lt;Task_table_03_2_26!$K$2:$K$596))</f>
        <v>0</v>
      </c>
      <c r="E462" cm="1">
        <f t="array" ref="E462">SUMPRODUCT((Task_table_03_2_26!$C$2:$C$596=$E$1)*(A462&gt;Task_table_03_2_26!$J$2:$J$596)*(A462&lt;Task_table_03_2_26!$K$2:$K$596))</f>
        <v>1</v>
      </c>
    </row>
    <row r="463" spans="1:5">
      <c r="A463" s="5">
        <v>46331</v>
      </c>
      <c r="B463" cm="1">
        <f t="array" ref="B463">SUMPRODUCT((Task_table_03_2_26!$C$2:$C$596=$B$1)*(A463&gt;Task_table_03_2_26!$J$2:$J$596)*(A463&lt;Task_table_03_2_26!$K$2:$K$596))</f>
        <v>23</v>
      </c>
      <c r="C463" cm="1">
        <f t="array" ref="C463">SUMPRODUCT((Task_table_03_2_26!$C$2:$C$596=$C$1)*(A463&gt;Task_table_03_2_26!$J$2:$J$596)*(A463&lt;Task_table_03_2_26!$K$2:$K$596))</f>
        <v>4</v>
      </c>
      <c r="D463" cm="1">
        <f t="array" ref="D463">SUMPRODUCT((Task_table_03_2_26!$C$2:$C$596=$D$1)*(A463&gt;Task_table_03_2_26!$J$2:$J$596)*(A463&lt;Task_table_03_2_26!$K$2:$K$596))</f>
        <v>0</v>
      </c>
      <c r="E463" cm="1">
        <f t="array" ref="E463">SUMPRODUCT((Task_table_03_2_26!$C$2:$C$596=$E$1)*(A463&gt;Task_table_03_2_26!$J$2:$J$596)*(A463&lt;Task_table_03_2_26!$K$2:$K$596))</f>
        <v>1</v>
      </c>
    </row>
    <row r="464" spans="1:5">
      <c r="A464" s="5">
        <v>46332</v>
      </c>
      <c r="B464" cm="1">
        <f t="array" ref="B464">SUMPRODUCT((Task_table_03_2_26!$C$2:$C$596=$B$1)*(A464&gt;Task_table_03_2_26!$J$2:$J$596)*(A464&lt;Task_table_03_2_26!$K$2:$K$596))</f>
        <v>23</v>
      </c>
      <c r="C464" cm="1">
        <f t="array" ref="C464">SUMPRODUCT((Task_table_03_2_26!$C$2:$C$596=$C$1)*(A464&gt;Task_table_03_2_26!$J$2:$J$596)*(A464&lt;Task_table_03_2_26!$K$2:$K$596))</f>
        <v>4</v>
      </c>
      <c r="D464" cm="1">
        <f t="array" ref="D464">SUMPRODUCT((Task_table_03_2_26!$C$2:$C$596=$D$1)*(A464&gt;Task_table_03_2_26!$J$2:$J$596)*(A464&lt;Task_table_03_2_26!$K$2:$K$596))</f>
        <v>0</v>
      </c>
      <c r="E464" cm="1">
        <f t="array" ref="E464">SUMPRODUCT((Task_table_03_2_26!$C$2:$C$596=$E$1)*(A464&gt;Task_table_03_2_26!$J$2:$J$596)*(A464&lt;Task_table_03_2_26!$K$2:$K$596))</f>
        <v>1</v>
      </c>
    </row>
    <row r="465" spans="1:5">
      <c r="A465" s="5">
        <v>46333</v>
      </c>
      <c r="B465" cm="1">
        <f t="array" ref="B465">SUMPRODUCT((Task_table_03_2_26!$C$2:$C$596=$B$1)*(A465&gt;Task_table_03_2_26!$J$2:$J$596)*(A465&lt;Task_table_03_2_26!$K$2:$K$596))</f>
        <v>23</v>
      </c>
      <c r="C465" cm="1">
        <f t="array" ref="C465">SUMPRODUCT((Task_table_03_2_26!$C$2:$C$596=$C$1)*(A465&gt;Task_table_03_2_26!$J$2:$J$596)*(A465&lt;Task_table_03_2_26!$K$2:$K$596))</f>
        <v>4</v>
      </c>
      <c r="D465" cm="1">
        <f t="array" ref="D465">SUMPRODUCT((Task_table_03_2_26!$C$2:$C$596=$D$1)*(A465&gt;Task_table_03_2_26!$J$2:$J$596)*(A465&lt;Task_table_03_2_26!$K$2:$K$596))</f>
        <v>0</v>
      </c>
      <c r="E465" cm="1">
        <f t="array" ref="E465">SUMPRODUCT((Task_table_03_2_26!$C$2:$C$596=$E$1)*(A465&gt;Task_table_03_2_26!$J$2:$J$596)*(A465&lt;Task_table_03_2_26!$K$2:$K$596))</f>
        <v>1</v>
      </c>
    </row>
    <row r="466" spans="1:5">
      <c r="A466" s="5">
        <v>46334</v>
      </c>
      <c r="B466" cm="1">
        <f t="array" ref="B466">SUMPRODUCT((Task_table_03_2_26!$C$2:$C$596=$B$1)*(A466&gt;Task_table_03_2_26!$J$2:$J$596)*(A466&lt;Task_table_03_2_26!$K$2:$K$596))</f>
        <v>23</v>
      </c>
      <c r="C466" cm="1">
        <f t="array" ref="C466">SUMPRODUCT((Task_table_03_2_26!$C$2:$C$596=$C$1)*(A466&gt;Task_table_03_2_26!$J$2:$J$596)*(A466&lt;Task_table_03_2_26!$K$2:$K$596))</f>
        <v>4</v>
      </c>
      <c r="D466" cm="1">
        <f t="array" ref="D466">SUMPRODUCT((Task_table_03_2_26!$C$2:$C$596=$D$1)*(A466&gt;Task_table_03_2_26!$J$2:$J$596)*(A466&lt;Task_table_03_2_26!$K$2:$K$596))</f>
        <v>0</v>
      </c>
      <c r="E466" cm="1">
        <f t="array" ref="E466">SUMPRODUCT((Task_table_03_2_26!$C$2:$C$596=$E$1)*(A466&gt;Task_table_03_2_26!$J$2:$J$596)*(A466&lt;Task_table_03_2_26!$K$2:$K$596))</f>
        <v>1</v>
      </c>
    </row>
    <row r="467" spans="1:5">
      <c r="A467" s="5">
        <v>46335</v>
      </c>
      <c r="B467" cm="1">
        <f t="array" ref="B467">SUMPRODUCT((Task_table_03_2_26!$C$2:$C$596=$B$1)*(A467&gt;Task_table_03_2_26!$J$2:$J$596)*(A467&lt;Task_table_03_2_26!$K$2:$K$596))</f>
        <v>23</v>
      </c>
      <c r="C467" cm="1">
        <f t="array" ref="C467">SUMPRODUCT((Task_table_03_2_26!$C$2:$C$596=$C$1)*(A467&gt;Task_table_03_2_26!$J$2:$J$596)*(A467&lt;Task_table_03_2_26!$K$2:$K$596))</f>
        <v>4</v>
      </c>
      <c r="D467" cm="1">
        <f t="array" ref="D467">SUMPRODUCT((Task_table_03_2_26!$C$2:$C$596=$D$1)*(A467&gt;Task_table_03_2_26!$J$2:$J$596)*(A467&lt;Task_table_03_2_26!$K$2:$K$596))</f>
        <v>0</v>
      </c>
      <c r="E467" cm="1">
        <f t="array" ref="E467">SUMPRODUCT((Task_table_03_2_26!$C$2:$C$596=$E$1)*(A467&gt;Task_table_03_2_26!$J$2:$J$596)*(A467&lt;Task_table_03_2_26!$K$2:$K$596))</f>
        <v>1</v>
      </c>
    </row>
    <row r="468" spans="1:5">
      <c r="A468" s="5">
        <v>46336</v>
      </c>
      <c r="B468" cm="1">
        <f t="array" ref="B468">SUMPRODUCT((Task_table_03_2_26!$C$2:$C$596=$B$1)*(A468&gt;Task_table_03_2_26!$J$2:$J$596)*(A468&lt;Task_table_03_2_26!$K$2:$K$596))</f>
        <v>23</v>
      </c>
      <c r="C468" cm="1">
        <f t="array" ref="C468">SUMPRODUCT((Task_table_03_2_26!$C$2:$C$596=$C$1)*(A468&gt;Task_table_03_2_26!$J$2:$J$596)*(A468&lt;Task_table_03_2_26!$K$2:$K$596))</f>
        <v>4</v>
      </c>
      <c r="D468" cm="1">
        <f t="array" ref="D468">SUMPRODUCT((Task_table_03_2_26!$C$2:$C$596=$D$1)*(A468&gt;Task_table_03_2_26!$J$2:$J$596)*(A468&lt;Task_table_03_2_26!$K$2:$K$596))</f>
        <v>0</v>
      </c>
      <c r="E468" cm="1">
        <f t="array" ref="E468">SUMPRODUCT((Task_table_03_2_26!$C$2:$C$596=$E$1)*(A468&gt;Task_table_03_2_26!$J$2:$J$596)*(A468&lt;Task_table_03_2_26!$K$2:$K$596))</f>
        <v>1</v>
      </c>
    </row>
    <row r="469" spans="1:5">
      <c r="A469" s="5">
        <v>46337</v>
      </c>
      <c r="B469" cm="1">
        <f t="array" ref="B469">SUMPRODUCT((Task_table_03_2_26!$C$2:$C$596=$B$1)*(A469&gt;Task_table_03_2_26!$J$2:$J$596)*(A469&lt;Task_table_03_2_26!$K$2:$K$596))</f>
        <v>23</v>
      </c>
      <c r="C469" cm="1">
        <f t="array" ref="C469">SUMPRODUCT((Task_table_03_2_26!$C$2:$C$596=$C$1)*(A469&gt;Task_table_03_2_26!$J$2:$J$596)*(A469&lt;Task_table_03_2_26!$K$2:$K$596))</f>
        <v>4</v>
      </c>
      <c r="D469" cm="1">
        <f t="array" ref="D469">SUMPRODUCT((Task_table_03_2_26!$C$2:$C$596=$D$1)*(A469&gt;Task_table_03_2_26!$J$2:$J$596)*(A469&lt;Task_table_03_2_26!$K$2:$K$596))</f>
        <v>0</v>
      </c>
      <c r="E469" cm="1">
        <f t="array" ref="E469">SUMPRODUCT((Task_table_03_2_26!$C$2:$C$596=$E$1)*(A469&gt;Task_table_03_2_26!$J$2:$J$596)*(A469&lt;Task_table_03_2_26!$K$2:$K$596))</f>
        <v>1</v>
      </c>
    </row>
    <row r="470" spans="1:5">
      <c r="A470" s="5">
        <v>46338</v>
      </c>
      <c r="B470" cm="1">
        <f t="array" ref="B470">SUMPRODUCT((Task_table_03_2_26!$C$2:$C$596=$B$1)*(A470&gt;Task_table_03_2_26!$J$2:$J$596)*(A470&lt;Task_table_03_2_26!$K$2:$K$596))</f>
        <v>23</v>
      </c>
      <c r="C470" cm="1">
        <f t="array" ref="C470">SUMPRODUCT((Task_table_03_2_26!$C$2:$C$596=$C$1)*(A470&gt;Task_table_03_2_26!$J$2:$J$596)*(A470&lt;Task_table_03_2_26!$K$2:$K$596))</f>
        <v>4</v>
      </c>
      <c r="D470" cm="1">
        <f t="array" ref="D470">SUMPRODUCT((Task_table_03_2_26!$C$2:$C$596=$D$1)*(A470&gt;Task_table_03_2_26!$J$2:$J$596)*(A470&lt;Task_table_03_2_26!$K$2:$K$596))</f>
        <v>0</v>
      </c>
      <c r="E470" cm="1">
        <f t="array" ref="E470">SUMPRODUCT((Task_table_03_2_26!$C$2:$C$596=$E$1)*(A470&gt;Task_table_03_2_26!$J$2:$J$596)*(A470&lt;Task_table_03_2_26!$K$2:$K$596))</f>
        <v>1</v>
      </c>
    </row>
    <row r="471" spans="1:5">
      <c r="A471" s="5">
        <v>46339</v>
      </c>
      <c r="B471" cm="1">
        <f t="array" ref="B471">SUMPRODUCT((Task_table_03_2_26!$C$2:$C$596=$B$1)*(A471&gt;Task_table_03_2_26!$J$2:$J$596)*(A471&lt;Task_table_03_2_26!$K$2:$K$596))</f>
        <v>23</v>
      </c>
      <c r="C471" cm="1">
        <f t="array" ref="C471">SUMPRODUCT((Task_table_03_2_26!$C$2:$C$596=$C$1)*(A471&gt;Task_table_03_2_26!$J$2:$J$596)*(A471&lt;Task_table_03_2_26!$K$2:$K$596))</f>
        <v>4</v>
      </c>
      <c r="D471" cm="1">
        <f t="array" ref="D471">SUMPRODUCT((Task_table_03_2_26!$C$2:$C$596=$D$1)*(A471&gt;Task_table_03_2_26!$J$2:$J$596)*(A471&lt;Task_table_03_2_26!$K$2:$K$596))</f>
        <v>0</v>
      </c>
      <c r="E471" cm="1">
        <f t="array" ref="E471">SUMPRODUCT((Task_table_03_2_26!$C$2:$C$596=$E$1)*(A471&gt;Task_table_03_2_26!$J$2:$J$596)*(A471&lt;Task_table_03_2_26!$K$2:$K$596))</f>
        <v>1</v>
      </c>
    </row>
    <row r="472" spans="1:5">
      <c r="A472" s="5">
        <v>46340</v>
      </c>
      <c r="B472" cm="1">
        <f t="array" ref="B472">SUMPRODUCT((Task_table_03_2_26!$C$2:$C$596=$B$1)*(A472&gt;Task_table_03_2_26!$J$2:$J$596)*(A472&lt;Task_table_03_2_26!$K$2:$K$596))</f>
        <v>23</v>
      </c>
      <c r="C472" cm="1">
        <f t="array" ref="C472">SUMPRODUCT((Task_table_03_2_26!$C$2:$C$596=$C$1)*(A472&gt;Task_table_03_2_26!$J$2:$J$596)*(A472&lt;Task_table_03_2_26!$K$2:$K$596))</f>
        <v>4</v>
      </c>
      <c r="D472" cm="1">
        <f t="array" ref="D472">SUMPRODUCT((Task_table_03_2_26!$C$2:$C$596=$D$1)*(A472&gt;Task_table_03_2_26!$J$2:$J$596)*(A472&lt;Task_table_03_2_26!$K$2:$K$596))</f>
        <v>0</v>
      </c>
      <c r="E472" cm="1">
        <f t="array" ref="E472">SUMPRODUCT((Task_table_03_2_26!$C$2:$C$596=$E$1)*(A472&gt;Task_table_03_2_26!$J$2:$J$596)*(A472&lt;Task_table_03_2_26!$K$2:$K$596))</f>
        <v>1</v>
      </c>
    </row>
    <row r="473" spans="1:5">
      <c r="A473" s="5">
        <v>46341</v>
      </c>
      <c r="B473" cm="1">
        <f t="array" ref="B473">SUMPRODUCT((Task_table_03_2_26!$C$2:$C$596=$B$1)*(A473&gt;Task_table_03_2_26!$J$2:$J$596)*(A473&lt;Task_table_03_2_26!$K$2:$K$596))</f>
        <v>23</v>
      </c>
      <c r="C473" cm="1">
        <f t="array" ref="C473">SUMPRODUCT((Task_table_03_2_26!$C$2:$C$596=$C$1)*(A473&gt;Task_table_03_2_26!$J$2:$J$596)*(A473&lt;Task_table_03_2_26!$K$2:$K$596))</f>
        <v>4</v>
      </c>
      <c r="D473" cm="1">
        <f t="array" ref="D473">SUMPRODUCT((Task_table_03_2_26!$C$2:$C$596=$D$1)*(A473&gt;Task_table_03_2_26!$J$2:$J$596)*(A473&lt;Task_table_03_2_26!$K$2:$K$596))</f>
        <v>0</v>
      </c>
      <c r="E473" cm="1">
        <f t="array" ref="E473">SUMPRODUCT((Task_table_03_2_26!$C$2:$C$596=$E$1)*(A473&gt;Task_table_03_2_26!$J$2:$J$596)*(A473&lt;Task_table_03_2_26!$K$2:$K$596))</f>
        <v>1</v>
      </c>
    </row>
    <row r="474" spans="1:5">
      <c r="A474" s="5">
        <v>46342</v>
      </c>
      <c r="B474" cm="1">
        <f t="array" ref="B474">SUMPRODUCT((Task_table_03_2_26!$C$2:$C$596=$B$1)*(A474&gt;Task_table_03_2_26!$J$2:$J$596)*(A474&lt;Task_table_03_2_26!$K$2:$K$596))</f>
        <v>23</v>
      </c>
      <c r="C474" cm="1">
        <f t="array" ref="C474">SUMPRODUCT((Task_table_03_2_26!$C$2:$C$596=$C$1)*(A474&gt;Task_table_03_2_26!$J$2:$J$596)*(A474&lt;Task_table_03_2_26!$K$2:$K$596))</f>
        <v>4</v>
      </c>
      <c r="D474" cm="1">
        <f t="array" ref="D474">SUMPRODUCT((Task_table_03_2_26!$C$2:$C$596=$D$1)*(A474&gt;Task_table_03_2_26!$J$2:$J$596)*(A474&lt;Task_table_03_2_26!$K$2:$K$596))</f>
        <v>0</v>
      </c>
      <c r="E474" cm="1">
        <f t="array" ref="E474">SUMPRODUCT((Task_table_03_2_26!$C$2:$C$596=$E$1)*(A474&gt;Task_table_03_2_26!$J$2:$J$596)*(A474&lt;Task_table_03_2_26!$K$2:$K$596))</f>
        <v>1</v>
      </c>
    </row>
    <row r="475" spans="1:5">
      <c r="A475" s="5">
        <v>46343</v>
      </c>
      <c r="B475" cm="1">
        <f t="array" ref="B475">SUMPRODUCT((Task_table_03_2_26!$C$2:$C$596=$B$1)*(A475&gt;Task_table_03_2_26!$J$2:$J$596)*(A475&lt;Task_table_03_2_26!$K$2:$K$596))</f>
        <v>23</v>
      </c>
      <c r="C475" cm="1">
        <f t="array" ref="C475">SUMPRODUCT((Task_table_03_2_26!$C$2:$C$596=$C$1)*(A475&gt;Task_table_03_2_26!$J$2:$J$596)*(A475&lt;Task_table_03_2_26!$K$2:$K$596))</f>
        <v>4</v>
      </c>
      <c r="D475" cm="1">
        <f t="array" ref="D475">SUMPRODUCT((Task_table_03_2_26!$C$2:$C$596=$D$1)*(A475&gt;Task_table_03_2_26!$J$2:$J$596)*(A475&lt;Task_table_03_2_26!$K$2:$K$596))</f>
        <v>0</v>
      </c>
      <c r="E475" cm="1">
        <f t="array" ref="E475">SUMPRODUCT((Task_table_03_2_26!$C$2:$C$596=$E$1)*(A475&gt;Task_table_03_2_26!$J$2:$J$596)*(A475&lt;Task_table_03_2_26!$K$2:$K$596))</f>
        <v>1</v>
      </c>
    </row>
    <row r="476" spans="1:5">
      <c r="A476" s="5">
        <v>46344</v>
      </c>
      <c r="B476" cm="1">
        <f t="array" ref="B476">SUMPRODUCT((Task_table_03_2_26!$C$2:$C$596=$B$1)*(A476&gt;Task_table_03_2_26!$J$2:$J$596)*(A476&lt;Task_table_03_2_26!$K$2:$K$596))</f>
        <v>23</v>
      </c>
      <c r="C476" cm="1">
        <f t="array" ref="C476">SUMPRODUCT((Task_table_03_2_26!$C$2:$C$596=$C$1)*(A476&gt;Task_table_03_2_26!$J$2:$J$596)*(A476&lt;Task_table_03_2_26!$K$2:$K$596))</f>
        <v>4</v>
      </c>
      <c r="D476" cm="1">
        <f t="array" ref="D476">SUMPRODUCT((Task_table_03_2_26!$C$2:$C$596=$D$1)*(A476&gt;Task_table_03_2_26!$J$2:$J$596)*(A476&lt;Task_table_03_2_26!$K$2:$K$596))</f>
        <v>0</v>
      </c>
      <c r="E476" cm="1">
        <f t="array" ref="E476">SUMPRODUCT((Task_table_03_2_26!$C$2:$C$596=$E$1)*(A476&gt;Task_table_03_2_26!$J$2:$J$596)*(A476&lt;Task_table_03_2_26!$K$2:$K$596))</f>
        <v>1</v>
      </c>
    </row>
    <row r="477" spans="1:5">
      <c r="A477" s="5">
        <v>46345</v>
      </c>
      <c r="B477" cm="1">
        <f t="array" ref="B477">SUMPRODUCT((Task_table_03_2_26!$C$2:$C$596=$B$1)*(A477&gt;Task_table_03_2_26!$J$2:$J$596)*(A477&lt;Task_table_03_2_26!$K$2:$K$596))</f>
        <v>23</v>
      </c>
      <c r="C477" cm="1">
        <f t="array" ref="C477">SUMPRODUCT((Task_table_03_2_26!$C$2:$C$596=$C$1)*(A477&gt;Task_table_03_2_26!$J$2:$J$596)*(A477&lt;Task_table_03_2_26!$K$2:$K$596))</f>
        <v>4</v>
      </c>
      <c r="D477" cm="1">
        <f t="array" ref="D477">SUMPRODUCT((Task_table_03_2_26!$C$2:$C$596=$D$1)*(A477&gt;Task_table_03_2_26!$J$2:$J$596)*(A477&lt;Task_table_03_2_26!$K$2:$K$596))</f>
        <v>0</v>
      </c>
      <c r="E477" cm="1">
        <f t="array" ref="E477">SUMPRODUCT((Task_table_03_2_26!$C$2:$C$596=$E$1)*(A477&gt;Task_table_03_2_26!$J$2:$J$596)*(A477&lt;Task_table_03_2_26!$K$2:$K$596))</f>
        <v>1</v>
      </c>
    </row>
    <row r="478" spans="1:5">
      <c r="A478" s="5">
        <v>46346</v>
      </c>
      <c r="B478" cm="1">
        <f t="array" ref="B478">SUMPRODUCT((Task_table_03_2_26!$C$2:$C$596=$B$1)*(A478&gt;Task_table_03_2_26!$J$2:$J$596)*(A478&lt;Task_table_03_2_26!$K$2:$K$596))</f>
        <v>23</v>
      </c>
      <c r="C478" cm="1">
        <f t="array" ref="C478">SUMPRODUCT((Task_table_03_2_26!$C$2:$C$596=$C$1)*(A478&gt;Task_table_03_2_26!$J$2:$J$596)*(A478&lt;Task_table_03_2_26!$K$2:$K$596))</f>
        <v>4</v>
      </c>
      <c r="D478" cm="1">
        <f t="array" ref="D478">SUMPRODUCT((Task_table_03_2_26!$C$2:$C$596=$D$1)*(A478&gt;Task_table_03_2_26!$J$2:$J$596)*(A478&lt;Task_table_03_2_26!$K$2:$K$596))</f>
        <v>0</v>
      </c>
      <c r="E478" cm="1">
        <f t="array" ref="E478">SUMPRODUCT((Task_table_03_2_26!$C$2:$C$596=$E$1)*(A478&gt;Task_table_03_2_26!$J$2:$J$596)*(A478&lt;Task_table_03_2_26!$K$2:$K$596))</f>
        <v>1</v>
      </c>
    </row>
    <row r="479" spans="1:5">
      <c r="A479" s="5">
        <v>46347</v>
      </c>
      <c r="B479" cm="1">
        <f t="array" ref="B479">SUMPRODUCT((Task_table_03_2_26!$C$2:$C$596=$B$1)*(A479&gt;Task_table_03_2_26!$J$2:$J$596)*(A479&lt;Task_table_03_2_26!$K$2:$K$596))</f>
        <v>23</v>
      </c>
      <c r="C479" cm="1">
        <f t="array" ref="C479">SUMPRODUCT((Task_table_03_2_26!$C$2:$C$596=$C$1)*(A479&gt;Task_table_03_2_26!$J$2:$J$596)*(A479&lt;Task_table_03_2_26!$K$2:$K$596))</f>
        <v>4</v>
      </c>
      <c r="D479" cm="1">
        <f t="array" ref="D479">SUMPRODUCT((Task_table_03_2_26!$C$2:$C$596=$D$1)*(A479&gt;Task_table_03_2_26!$J$2:$J$596)*(A479&lt;Task_table_03_2_26!$K$2:$K$596))</f>
        <v>0</v>
      </c>
      <c r="E479" cm="1">
        <f t="array" ref="E479">SUMPRODUCT((Task_table_03_2_26!$C$2:$C$596=$E$1)*(A479&gt;Task_table_03_2_26!$J$2:$J$596)*(A479&lt;Task_table_03_2_26!$K$2:$K$596))</f>
        <v>1</v>
      </c>
    </row>
    <row r="480" spans="1:5">
      <c r="A480" s="5">
        <v>46348</v>
      </c>
      <c r="B480" cm="1">
        <f t="array" ref="B480">SUMPRODUCT((Task_table_03_2_26!$C$2:$C$596=$B$1)*(A480&gt;Task_table_03_2_26!$J$2:$J$596)*(A480&lt;Task_table_03_2_26!$K$2:$K$596))</f>
        <v>23</v>
      </c>
      <c r="C480" cm="1">
        <f t="array" ref="C480">SUMPRODUCT((Task_table_03_2_26!$C$2:$C$596=$C$1)*(A480&gt;Task_table_03_2_26!$J$2:$J$596)*(A480&lt;Task_table_03_2_26!$K$2:$K$596))</f>
        <v>4</v>
      </c>
      <c r="D480" cm="1">
        <f t="array" ref="D480">SUMPRODUCT((Task_table_03_2_26!$C$2:$C$596=$D$1)*(A480&gt;Task_table_03_2_26!$J$2:$J$596)*(A480&lt;Task_table_03_2_26!$K$2:$K$596))</f>
        <v>0</v>
      </c>
      <c r="E480" cm="1">
        <f t="array" ref="E480">SUMPRODUCT((Task_table_03_2_26!$C$2:$C$596=$E$1)*(A480&gt;Task_table_03_2_26!$J$2:$J$596)*(A480&lt;Task_table_03_2_26!$K$2:$K$596))</f>
        <v>1</v>
      </c>
    </row>
    <row r="481" spans="1:5">
      <c r="A481" s="5">
        <v>46349</v>
      </c>
      <c r="B481" cm="1">
        <f t="array" ref="B481">SUMPRODUCT((Task_table_03_2_26!$C$2:$C$596=$B$1)*(A481&gt;Task_table_03_2_26!$J$2:$J$596)*(A481&lt;Task_table_03_2_26!$K$2:$K$596))</f>
        <v>23</v>
      </c>
      <c r="C481" cm="1">
        <f t="array" ref="C481">SUMPRODUCT((Task_table_03_2_26!$C$2:$C$596=$C$1)*(A481&gt;Task_table_03_2_26!$J$2:$J$596)*(A481&lt;Task_table_03_2_26!$K$2:$K$596))</f>
        <v>4</v>
      </c>
      <c r="D481" cm="1">
        <f t="array" ref="D481">SUMPRODUCT((Task_table_03_2_26!$C$2:$C$596=$D$1)*(A481&gt;Task_table_03_2_26!$J$2:$J$596)*(A481&lt;Task_table_03_2_26!$K$2:$K$596))</f>
        <v>0</v>
      </c>
      <c r="E481" cm="1">
        <f t="array" ref="E481">SUMPRODUCT((Task_table_03_2_26!$C$2:$C$596=$E$1)*(A481&gt;Task_table_03_2_26!$J$2:$J$596)*(A481&lt;Task_table_03_2_26!$K$2:$K$596))</f>
        <v>1</v>
      </c>
    </row>
    <row r="482" spans="1:5">
      <c r="A482" s="5">
        <v>46350</v>
      </c>
      <c r="B482" cm="1">
        <f t="array" ref="B482">SUMPRODUCT((Task_table_03_2_26!$C$2:$C$596=$B$1)*(A482&gt;Task_table_03_2_26!$J$2:$J$596)*(A482&lt;Task_table_03_2_26!$K$2:$K$596))</f>
        <v>23</v>
      </c>
      <c r="C482" cm="1">
        <f t="array" ref="C482">SUMPRODUCT((Task_table_03_2_26!$C$2:$C$596=$C$1)*(A482&gt;Task_table_03_2_26!$J$2:$J$596)*(A482&lt;Task_table_03_2_26!$K$2:$K$596))</f>
        <v>4</v>
      </c>
      <c r="D482" cm="1">
        <f t="array" ref="D482">SUMPRODUCT((Task_table_03_2_26!$C$2:$C$596=$D$1)*(A482&gt;Task_table_03_2_26!$J$2:$J$596)*(A482&lt;Task_table_03_2_26!$K$2:$K$596))</f>
        <v>0</v>
      </c>
      <c r="E482" cm="1">
        <f t="array" ref="E482">SUMPRODUCT((Task_table_03_2_26!$C$2:$C$596=$E$1)*(A482&gt;Task_table_03_2_26!$J$2:$J$596)*(A482&lt;Task_table_03_2_26!$K$2:$K$596))</f>
        <v>1</v>
      </c>
    </row>
    <row r="483" spans="1:5">
      <c r="A483" s="5">
        <v>46351</v>
      </c>
      <c r="B483" cm="1">
        <f t="array" ref="B483">SUMPRODUCT((Task_table_03_2_26!$C$2:$C$596=$B$1)*(A483&gt;Task_table_03_2_26!$J$2:$J$596)*(A483&lt;Task_table_03_2_26!$K$2:$K$596))</f>
        <v>23</v>
      </c>
      <c r="C483" cm="1">
        <f t="array" ref="C483">SUMPRODUCT((Task_table_03_2_26!$C$2:$C$596=$C$1)*(A483&gt;Task_table_03_2_26!$J$2:$J$596)*(A483&lt;Task_table_03_2_26!$K$2:$K$596))</f>
        <v>4</v>
      </c>
      <c r="D483" cm="1">
        <f t="array" ref="D483">SUMPRODUCT((Task_table_03_2_26!$C$2:$C$596=$D$1)*(A483&gt;Task_table_03_2_26!$J$2:$J$596)*(A483&lt;Task_table_03_2_26!$K$2:$K$596))</f>
        <v>0</v>
      </c>
      <c r="E483" cm="1">
        <f t="array" ref="E483">SUMPRODUCT((Task_table_03_2_26!$C$2:$C$596=$E$1)*(A483&gt;Task_table_03_2_26!$J$2:$J$596)*(A483&lt;Task_table_03_2_26!$K$2:$K$596))</f>
        <v>1</v>
      </c>
    </row>
    <row r="484" spans="1:5">
      <c r="A484" s="5">
        <v>46352</v>
      </c>
      <c r="B484" cm="1">
        <f t="array" ref="B484">SUMPRODUCT((Task_table_03_2_26!$C$2:$C$596=$B$1)*(A484&gt;Task_table_03_2_26!$J$2:$J$596)*(A484&lt;Task_table_03_2_26!$K$2:$K$596))</f>
        <v>23</v>
      </c>
      <c r="C484" cm="1">
        <f t="array" ref="C484">SUMPRODUCT((Task_table_03_2_26!$C$2:$C$596=$C$1)*(A484&gt;Task_table_03_2_26!$J$2:$J$596)*(A484&lt;Task_table_03_2_26!$K$2:$K$596))</f>
        <v>4</v>
      </c>
      <c r="D484" cm="1">
        <f t="array" ref="D484">SUMPRODUCT((Task_table_03_2_26!$C$2:$C$596=$D$1)*(A484&gt;Task_table_03_2_26!$J$2:$J$596)*(A484&lt;Task_table_03_2_26!$K$2:$K$596))</f>
        <v>0</v>
      </c>
      <c r="E484" cm="1">
        <f t="array" ref="E484">SUMPRODUCT((Task_table_03_2_26!$C$2:$C$596=$E$1)*(A484&gt;Task_table_03_2_26!$J$2:$J$596)*(A484&lt;Task_table_03_2_26!$K$2:$K$596))</f>
        <v>1</v>
      </c>
    </row>
    <row r="485" spans="1:5">
      <c r="A485" s="5">
        <v>46353</v>
      </c>
      <c r="B485" cm="1">
        <f t="array" ref="B485">SUMPRODUCT((Task_table_03_2_26!$C$2:$C$596=$B$1)*(A485&gt;Task_table_03_2_26!$J$2:$J$596)*(A485&lt;Task_table_03_2_26!$K$2:$K$596))</f>
        <v>23</v>
      </c>
      <c r="C485" cm="1">
        <f t="array" ref="C485">SUMPRODUCT((Task_table_03_2_26!$C$2:$C$596=$C$1)*(A485&gt;Task_table_03_2_26!$J$2:$J$596)*(A485&lt;Task_table_03_2_26!$K$2:$K$596))</f>
        <v>4</v>
      </c>
      <c r="D485" cm="1">
        <f t="array" ref="D485">SUMPRODUCT((Task_table_03_2_26!$C$2:$C$596=$D$1)*(A485&gt;Task_table_03_2_26!$J$2:$J$596)*(A485&lt;Task_table_03_2_26!$K$2:$K$596))</f>
        <v>0</v>
      </c>
      <c r="E485" cm="1">
        <f t="array" ref="E485">SUMPRODUCT((Task_table_03_2_26!$C$2:$C$596=$E$1)*(A485&gt;Task_table_03_2_26!$J$2:$J$596)*(A485&lt;Task_table_03_2_26!$K$2:$K$596))</f>
        <v>1</v>
      </c>
    </row>
    <row r="486" spans="1:5">
      <c r="A486" s="5">
        <v>46354</v>
      </c>
      <c r="B486" cm="1">
        <f t="array" ref="B486">SUMPRODUCT((Task_table_03_2_26!$C$2:$C$596=$B$1)*(A486&gt;Task_table_03_2_26!$J$2:$J$596)*(A486&lt;Task_table_03_2_26!$K$2:$K$596))</f>
        <v>23</v>
      </c>
      <c r="C486" cm="1">
        <f t="array" ref="C486">SUMPRODUCT((Task_table_03_2_26!$C$2:$C$596=$C$1)*(A486&gt;Task_table_03_2_26!$J$2:$J$596)*(A486&lt;Task_table_03_2_26!$K$2:$K$596))</f>
        <v>4</v>
      </c>
      <c r="D486" cm="1">
        <f t="array" ref="D486">SUMPRODUCT((Task_table_03_2_26!$C$2:$C$596=$D$1)*(A486&gt;Task_table_03_2_26!$J$2:$J$596)*(A486&lt;Task_table_03_2_26!$K$2:$K$596))</f>
        <v>0</v>
      </c>
      <c r="E486" cm="1">
        <f t="array" ref="E486">SUMPRODUCT((Task_table_03_2_26!$C$2:$C$596=$E$1)*(A486&gt;Task_table_03_2_26!$J$2:$J$596)*(A486&lt;Task_table_03_2_26!$K$2:$K$596))</f>
        <v>1</v>
      </c>
    </row>
    <row r="487" spans="1:5">
      <c r="A487" s="5">
        <v>46355</v>
      </c>
      <c r="B487" cm="1">
        <f t="array" ref="B487">SUMPRODUCT((Task_table_03_2_26!$C$2:$C$596=$B$1)*(A487&gt;Task_table_03_2_26!$J$2:$J$596)*(A487&lt;Task_table_03_2_26!$K$2:$K$596))</f>
        <v>23</v>
      </c>
      <c r="C487" cm="1">
        <f t="array" ref="C487">SUMPRODUCT((Task_table_03_2_26!$C$2:$C$596=$C$1)*(A487&gt;Task_table_03_2_26!$J$2:$J$596)*(A487&lt;Task_table_03_2_26!$K$2:$K$596))</f>
        <v>4</v>
      </c>
      <c r="D487" cm="1">
        <f t="array" ref="D487">SUMPRODUCT((Task_table_03_2_26!$C$2:$C$596=$D$1)*(A487&gt;Task_table_03_2_26!$J$2:$J$596)*(A487&lt;Task_table_03_2_26!$K$2:$K$596))</f>
        <v>0</v>
      </c>
      <c r="E487" cm="1">
        <f t="array" ref="E487">SUMPRODUCT((Task_table_03_2_26!$C$2:$C$596=$E$1)*(A487&gt;Task_table_03_2_26!$J$2:$J$596)*(A487&lt;Task_table_03_2_26!$K$2:$K$596))</f>
        <v>1</v>
      </c>
    </row>
    <row r="488" spans="1:5">
      <c r="A488" s="5">
        <v>46356</v>
      </c>
      <c r="B488" cm="1">
        <f t="array" ref="B488">SUMPRODUCT((Task_table_03_2_26!$C$2:$C$596=$B$1)*(A488&gt;Task_table_03_2_26!$J$2:$J$596)*(A488&lt;Task_table_03_2_26!$K$2:$K$596))</f>
        <v>23</v>
      </c>
      <c r="C488" cm="1">
        <f t="array" ref="C488">SUMPRODUCT((Task_table_03_2_26!$C$2:$C$596=$C$1)*(A488&gt;Task_table_03_2_26!$J$2:$J$596)*(A488&lt;Task_table_03_2_26!$K$2:$K$596))</f>
        <v>4</v>
      </c>
      <c r="D488" cm="1">
        <f t="array" ref="D488">SUMPRODUCT((Task_table_03_2_26!$C$2:$C$596=$D$1)*(A488&gt;Task_table_03_2_26!$J$2:$J$596)*(A488&lt;Task_table_03_2_26!$K$2:$K$596))</f>
        <v>0</v>
      </c>
      <c r="E488" cm="1">
        <f t="array" ref="E488">SUMPRODUCT((Task_table_03_2_26!$C$2:$C$596=$E$1)*(A488&gt;Task_table_03_2_26!$J$2:$J$596)*(A488&lt;Task_table_03_2_26!$K$2:$K$596))</f>
        <v>1</v>
      </c>
    </row>
    <row r="489" spans="1:5">
      <c r="A489" s="5">
        <v>46357</v>
      </c>
      <c r="B489" cm="1">
        <f t="array" ref="B489">SUMPRODUCT((Task_table_03_2_26!$C$2:$C$596=$B$1)*(A489&gt;Task_table_03_2_26!$J$2:$J$596)*(A489&lt;Task_table_03_2_26!$K$2:$K$596))</f>
        <v>23</v>
      </c>
      <c r="C489" cm="1">
        <f t="array" ref="C489">SUMPRODUCT((Task_table_03_2_26!$C$2:$C$596=$C$1)*(A489&gt;Task_table_03_2_26!$J$2:$J$596)*(A489&lt;Task_table_03_2_26!$K$2:$K$596))</f>
        <v>4</v>
      </c>
      <c r="D489" cm="1">
        <f t="array" ref="D489">SUMPRODUCT((Task_table_03_2_26!$C$2:$C$596=$D$1)*(A489&gt;Task_table_03_2_26!$J$2:$J$596)*(A489&lt;Task_table_03_2_26!$K$2:$K$596))</f>
        <v>0</v>
      </c>
      <c r="E489" cm="1">
        <f t="array" ref="E489">SUMPRODUCT((Task_table_03_2_26!$C$2:$C$596=$E$1)*(A489&gt;Task_table_03_2_26!$J$2:$J$596)*(A489&lt;Task_table_03_2_26!$K$2:$K$596))</f>
        <v>1</v>
      </c>
    </row>
    <row r="490" spans="1:5">
      <c r="A490" s="5">
        <v>46358</v>
      </c>
      <c r="B490" cm="1">
        <f t="array" ref="B490">SUMPRODUCT((Task_table_03_2_26!$C$2:$C$596=$B$1)*(A490&gt;Task_table_03_2_26!$J$2:$J$596)*(A490&lt;Task_table_03_2_26!$K$2:$K$596))</f>
        <v>23</v>
      </c>
      <c r="C490" cm="1">
        <f t="array" ref="C490">SUMPRODUCT((Task_table_03_2_26!$C$2:$C$596=$C$1)*(A490&gt;Task_table_03_2_26!$J$2:$J$596)*(A490&lt;Task_table_03_2_26!$K$2:$K$596))</f>
        <v>4</v>
      </c>
      <c r="D490" cm="1">
        <f t="array" ref="D490">SUMPRODUCT((Task_table_03_2_26!$C$2:$C$596=$D$1)*(A490&gt;Task_table_03_2_26!$J$2:$J$596)*(A490&lt;Task_table_03_2_26!$K$2:$K$596))</f>
        <v>0</v>
      </c>
      <c r="E490" cm="1">
        <f t="array" ref="E490">SUMPRODUCT((Task_table_03_2_26!$C$2:$C$596=$E$1)*(A490&gt;Task_table_03_2_26!$J$2:$J$596)*(A490&lt;Task_table_03_2_26!$K$2:$K$596))</f>
        <v>1</v>
      </c>
    </row>
    <row r="491" spans="1:5">
      <c r="A491" s="5">
        <v>46359</v>
      </c>
      <c r="B491" cm="1">
        <f t="array" ref="B491">SUMPRODUCT((Task_table_03_2_26!$C$2:$C$596=$B$1)*(A491&gt;Task_table_03_2_26!$J$2:$J$596)*(A491&lt;Task_table_03_2_26!$K$2:$K$596))</f>
        <v>23</v>
      </c>
      <c r="C491" cm="1">
        <f t="array" ref="C491">SUMPRODUCT((Task_table_03_2_26!$C$2:$C$596=$C$1)*(A491&gt;Task_table_03_2_26!$J$2:$J$596)*(A491&lt;Task_table_03_2_26!$K$2:$K$596))</f>
        <v>4</v>
      </c>
      <c r="D491" cm="1">
        <f t="array" ref="D491">SUMPRODUCT((Task_table_03_2_26!$C$2:$C$596=$D$1)*(A491&gt;Task_table_03_2_26!$J$2:$J$596)*(A491&lt;Task_table_03_2_26!$K$2:$K$596))</f>
        <v>0</v>
      </c>
      <c r="E491" cm="1">
        <f t="array" ref="E491">SUMPRODUCT((Task_table_03_2_26!$C$2:$C$596=$E$1)*(A491&gt;Task_table_03_2_26!$J$2:$J$596)*(A491&lt;Task_table_03_2_26!$K$2:$K$596))</f>
        <v>1</v>
      </c>
    </row>
    <row r="492" spans="1:5">
      <c r="A492" s="5">
        <v>46360</v>
      </c>
      <c r="B492" cm="1">
        <f t="array" ref="B492">SUMPRODUCT((Task_table_03_2_26!$C$2:$C$596=$B$1)*(A492&gt;Task_table_03_2_26!$J$2:$J$596)*(A492&lt;Task_table_03_2_26!$K$2:$K$596))</f>
        <v>23</v>
      </c>
      <c r="C492" cm="1">
        <f t="array" ref="C492">SUMPRODUCT((Task_table_03_2_26!$C$2:$C$596=$C$1)*(A492&gt;Task_table_03_2_26!$J$2:$J$596)*(A492&lt;Task_table_03_2_26!$K$2:$K$596))</f>
        <v>4</v>
      </c>
      <c r="D492" cm="1">
        <f t="array" ref="D492">SUMPRODUCT((Task_table_03_2_26!$C$2:$C$596=$D$1)*(A492&gt;Task_table_03_2_26!$J$2:$J$596)*(A492&lt;Task_table_03_2_26!$K$2:$K$596))</f>
        <v>0</v>
      </c>
      <c r="E492" cm="1">
        <f t="array" ref="E492">SUMPRODUCT((Task_table_03_2_26!$C$2:$C$596=$E$1)*(A492&gt;Task_table_03_2_26!$J$2:$J$596)*(A492&lt;Task_table_03_2_26!$K$2:$K$596))</f>
        <v>1</v>
      </c>
    </row>
    <row r="493" spans="1:5">
      <c r="A493" s="5">
        <v>46361</v>
      </c>
      <c r="B493" cm="1">
        <f t="array" ref="B493">SUMPRODUCT((Task_table_03_2_26!$C$2:$C$596=$B$1)*(A493&gt;Task_table_03_2_26!$J$2:$J$596)*(A493&lt;Task_table_03_2_26!$K$2:$K$596))</f>
        <v>23</v>
      </c>
      <c r="C493" cm="1">
        <f t="array" ref="C493">SUMPRODUCT((Task_table_03_2_26!$C$2:$C$596=$C$1)*(A493&gt;Task_table_03_2_26!$J$2:$J$596)*(A493&lt;Task_table_03_2_26!$K$2:$K$596))</f>
        <v>4</v>
      </c>
      <c r="D493" cm="1">
        <f t="array" ref="D493">SUMPRODUCT((Task_table_03_2_26!$C$2:$C$596=$D$1)*(A493&gt;Task_table_03_2_26!$J$2:$J$596)*(A493&lt;Task_table_03_2_26!$K$2:$K$596))</f>
        <v>0</v>
      </c>
      <c r="E493" cm="1">
        <f t="array" ref="E493">SUMPRODUCT((Task_table_03_2_26!$C$2:$C$596=$E$1)*(A493&gt;Task_table_03_2_26!$J$2:$J$596)*(A493&lt;Task_table_03_2_26!$K$2:$K$596))</f>
        <v>1</v>
      </c>
    </row>
    <row r="494" spans="1:5">
      <c r="A494" s="5">
        <v>46362</v>
      </c>
      <c r="B494" cm="1">
        <f t="array" ref="B494">SUMPRODUCT((Task_table_03_2_26!$C$2:$C$596=$B$1)*(A494&gt;Task_table_03_2_26!$J$2:$J$596)*(A494&lt;Task_table_03_2_26!$K$2:$K$596))</f>
        <v>23</v>
      </c>
      <c r="C494" cm="1">
        <f t="array" ref="C494">SUMPRODUCT((Task_table_03_2_26!$C$2:$C$596=$C$1)*(A494&gt;Task_table_03_2_26!$J$2:$J$596)*(A494&lt;Task_table_03_2_26!$K$2:$K$596))</f>
        <v>4</v>
      </c>
      <c r="D494" cm="1">
        <f t="array" ref="D494">SUMPRODUCT((Task_table_03_2_26!$C$2:$C$596=$D$1)*(A494&gt;Task_table_03_2_26!$J$2:$J$596)*(A494&lt;Task_table_03_2_26!$K$2:$K$596))</f>
        <v>0</v>
      </c>
      <c r="E494" cm="1">
        <f t="array" ref="E494">SUMPRODUCT((Task_table_03_2_26!$C$2:$C$596=$E$1)*(A494&gt;Task_table_03_2_26!$J$2:$J$596)*(A494&lt;Task_table_03_2_26!$K$2:$K$596))</f>
        <v>1</v>
      </c>
    </row>
    <row r="495" spans="1:5">
      <c r="A495" s="5">
        <v>46363</v>
      </c>
      <c r="B495" cm="1">
        <f t="array" ref="B495">SUMPRODUCT((Task_table_03_2_26!$C$2:$C$596=$B$1)*(A495&gt;Task_table_03_2_26!$J$2:$J$596)*(A495&lt;Task_table_03_2_26!$K$2:$K$596))</f>
        <v>23</v>
      </c>
      <c r="C495" cm="1">
        <f t="array" ref="C495">SUMPRODUCT((Task_table_03_2_26!$C$2:$C$596=$C$1)*(A495&gt;Task_table_03_2_26!$J$2:$J$596)*(A495&lt;Task_table_03_2_26!$K$2:$K$596))</f>
        <v>4</v>
      </c>
      <c r="D495" cm="1">
        <f t="array" ref="D495">SUMPRODUCT((Task_table_03_2_26!$C$2:$C$596=$D$1)*(A495&gt;Task_table_03_2_26!$J$2:$J$596)*(A495&lt;Task_table_03_2_26!$K$2:$K$596))</f>
        <v>0</v>
      </c>
      <c r="E495" cm="1">
        <f t="array" ref="E495">SUMPRODUCT((Task_table_03_2_26!$C$2:$C$596=$E$1)*(A495&gt;Task_table_03_2_26!$J$2:$J$596)*(A495&lt;Task_table_03_2_26!$K$2:$K$596))</f>
        <v>1</v>
      </c>
    </row>
    <row r="496" spans="1:5">
      <c r="A496" s="5">
        <v>46364</v>
      </c>
      <c r="B496" cm="1">
        <f t="array" ref="B496">SUMPRODUCT((Task_table_03_2_26!$C$2:$C$596=$B$1)*(A496&gt;Task_table_03_2_26!$J$2:$J$596)*(A496&lt;Task_table_03_2_26!$K$2:$K$596))</f>
        <v>23</v>
      </c>
      <c r="C496" cm="1">
        <f t="array" ref="C496">SUMPRODUCT((Task_table_03_2_26!$C$2:$C$596=$C$1)*(A496&gt;Task_table_03_2_26!$J$2:$J$596)*(A496&lt;Task_table_03_2_26!$K$2:$K$596))</f>
        <v>4</v>
      </c>
      <c r="D496" cm="1">
        <f t="array" ref="D496">SUMPRODUCT((Task_table_03_2_26!$C$2:$C$596=$D$1)*(A496&gt;Task_table_03_2_26!$J$2:$J$596)*(A496&lt;Task_table_03_2_26!$K$2:$K$596))</f>
        <v>0</v>
      </c>
      <c r="E496" cm="1">
        <f t="array" ref="E496">SUMPRODUCT((Task_table_03_2_26!$C$2:$C$596=$E$1)*(A496&gt;Task_table_03_2_26!$J$2:$J$596)*(A496&lt;Task_table_03_2_26!$K$2:$K$596))</f>
        <v>1</v>
      </c>
    </row>
    <row r="497" spans="1:5">
      <c r="A497" s="5">
        <v>46365</v>
      </c>
      <c r="B497" cm="1">
        <f t="array" ref="B497">SUMPRODUCT((Task_table_03_2_26!$C$2:$C$596=$B$1)*(A497&gt;Task_table_03_2_26!$J$2:$J$596)*(A497&lt;Task_table_03_2_26!$K$2:$K$596))</f>
        <v>23</v>
      </c>
      <c r="C497" cm="1">
        <f t="array" ref="C497">SUMPRODUCT((Task_table_03_2_26!$C$2:$C$596=$C$1)*(A497&gt;Task_table_03_2_26!$J$2:$J$596)*(A497&lt;Task_table_03_2_26!$K$2:$K$596))</f>
        <v>4</v>
      </c>
      <c r="D497" cm="1">
        <f t="array" ref="D497">SUMPRODUCT((Task_table_03_2_26!$C$2:$C$596=$D$1)*(A497&gt;Task_table_03_2_26!$J$2:$J$596)*(A497&lt;Task_table_03_2_26!$K$2:$K$596))</f>
        <v>0</v>
      </c>
      <c r="E497" cm="1">
        <f t="array" ref="E497">SUMPRODUCT((Task_table_03_2_26!$C$2:$C$596=$E$1)*(A497&gt;Task_table_03_2_26!$J$2:$J$596)*(A497&lt;Task_table_03_2_26!$K$2:$K$596))</f>
        <v>1</v>
      </c>
    </row>
    <row r="498" spans="1:5">
      <c r="A498" s="5">
        <v>46366</v>
      </c>
      <c r="B498" cm="1">
        <f t="array" ref="B498">SUMPRODUCT((Task_table_03_2_26!$C$2:$C$596=$B$1)*(A498&gt;Task_table_03_2_26!$J$2:$J$596)*(A498&lt;Task_table_03_2_26!$K$2:$K$596))</f>
        <v>23</v>
      </c>
      <c r="C498" cm="1">
        <f t="array" ref="C498">SUMPRODUCT((Task_table_03_2_26!$C$2:$C$596=$C$1)*(A498&gt;Task_table_03_2_26!$J$2:$J$596)*(A498&lt;Task_table_03_2_26!$K$2:$K$596))</f>
        <v>4</v>
      </c>
      <c r="D498" cm="1">
        <f t="array" ref="D498">SUMPRODUCT((Task_table_03_2_26!$C$2:$C$596=$D$1)*(A498&gt;Task_table_03_2_26!$J$2:$J$596)*(A498&lt;Task_table_03_2_26!$K$2:$K$596))</f>
        <v>0</v>
      </c>
      <c r="E498" cm="1">
        <f t="array" ref="E498">SUMPRODUCT((Task_table_03_2_26!$C$2:$C$596=$E$1)*(A498&gt;Task_table_03_2_26!$J$2:$J$596)*(A498&lt;Task_table_03_2_26!$K$2:$K$596))</f>
        <v>1</v>
      </c>
    </row>
    <row r="499" spans="1:5">
      <c r="A499" s="5">
        <v>46367</v>
      </c>
      <c r="B499" cm="1">
        <f t="array" ref="B499">SUMPRODUCT((Task_table_03_2_26!$C$2:$C$596=$B$1)*(A499&gt;Task_table_03_2_26!$J$2:$J$596)*(A499&lt;Task_table_03_2_26!$K$2:$K$596))</f>
        <v>23</v>
      </c>
      <c r="C499" cm="1">
        <f t="array" ref="C499">SUMPRODUCT((Task_table_03_2_26!$C$2:$C$596=$C$1)*(A499&gt;Task_table_03_2_26!$J$2:$J$596)*(A499&lt;Task_table_03_2_26!$K$2:$K$596))</f>
        <v>4</v>
      </c>
      <c r="D499" cm="1">
        <f t="array" ref="D499">SUMPRODUCT((Task_table_03_2_26!$C$2:$C$596=$D$1)*(A499&gt;Task_table_03_2_26!$J$2:$J$596)*(A499&lt;Task_table_03_2_26!$K$2:$K$596))</f>
        <v>0</v>
      </c>
      <c r="E499" cm="1">
        <f t="array" ref="E499">SUMPRODUCT((Task_table_03_2_26!$C$2:$C$596=$E$1)*(A499&gt;Task_table_03_2_26!$J$2:$J$596)*(A499&lt;Task_table_03_2_26!$K$2:$K$596))</f>
        <v>1</v>
      </c>
    </row>
    <row r="500" spans="1:5">
      <c r="A500" s="5">
        <v>46368</v>
      </c>
      <c r="B500" cm="1">
        <f t="array" ref="B500">SUMPRODUCT((Task_table_03_2_26!$C$2:$C$596=$B$1)*(A500&gt;Task_table_03_2_26!$J$2:$J$596)*(A500&lt;Task_table_03_2_26!$K$2:$K$596))</f>
        <v>23</v>
      </c>
      <c r="C500" cm="1">
        <f t="array" ref="C500">SUMPRODUCT((Task_table_03_2_26!$C$2:$C$596=$C$1)*(A500&gt;Task_table_03_2_26!$J$2:$J$596)*(A500&lt;Task_table_03_2_26!$K$2:$K$596))</f>
        <v>4</v>
      </c>
      <c r="D500" cm="1">
        <f t="array" ref="D500">SUMPRODUCT((Task_table_03_2_26!$C$2:$C$596=$D$1)*(A500&gt;Task_table_03_2_26!$J$2:$J$596)*(A500&lt;Task_table_03_2_26!$K$2:$K$596))</f>
        <v>0</v>
      </c>
      <c r="E500" cm="1">
        <f t="array" ref="E500">SUMPRODUCT((Task_table_03_2_26!$C$2:$C$596=$E$1)*(A500&gt;Task_table_03_2_26!$J$2:$J$596)*(A500&lt;Task_table_03_2_26!$K$2:$K$596))</f>
        <v>1</v>
      </c>
    </row>
    <row r="501" spans="1:5">
      <c r="A501" s="5">
        <v>46369</v>
      </c>
      <c r="B501" cm="1">
        <f t="array" ref="B501">SUMPRODUCT((Task_table_03_2_26!$C$2:$C$596=$B$1)*(A501&gt;Task_table_03_2_26!$J$2:$J$596)*(A501&lt;Task_table_03_2_26!$K$2:$K$596))</f>
        <v>23</v>
      </c>
      <c r="C501" cm="1">
        <f t="array" ref="C501">SUMPRODUCT((Task_table_03_2_26!$C$2:$C$596=$C$1)*(A501&gt;Task_table_03_2_26!$J$2:$J$596)*(A501&lt;Task_table_03_2_26!$K$2:$K$596))</f>
        <v>4</v>
      </c>
      <c r="D501" cm="1">
        <f t="array" ref="D501">SUMPRODUCT((Task_table_03_2_26!$C$2:$C$596=$D$1)*(A501&gt;Task_table_03_2_26!$J$2:$J$596)*(A501&lt;Task_table_03_2_26!$K$2:$K$596))</f>
        <v>0</v>
      </c>
      <c r="E501" cm="1">
        <f t="array" ref="E501">SUMPRODUCT((Task_table_03_2_26!$C$2:$C$596=$E$1)*(A501&gt;Task_table_03_2_26!$J$2:$J$596)*(A501&lt;Task_table_03_2_26!$K$2:$K$596))</f>
        <v>1</v>
      </c>
    </row>
    <row r="502" spans="1:5">
      <c r="A502" s="5">
        <v>46370</v>
      </c>
      <c r="B502" cm="1">
        <f t="array" ref="B502">SUMPRODUCT((Task_table_03_2_26!$C$2:$C$596=$B$1)*(A502&gt;Task_table_03_2_26!$J$2:$J$596)*(A502&lt;Task_table_03_2_26!$K$2:$K$596))</f>
        <v>23</v>
      </c>
      <c r="C502" cm="1">
        <f t="array" ref="C502">SUMPRODUCT((Task_table_03_2_26!$C$2:$C$596=$C$1)*(A502&gt;Task_table_03_2_26!$J$2:$J$596)*(A502&lt;Task_table_03_2_26!$K$2:$K$596))</f>
        <v>4</v>
      </c>
      <c r="D502" cm="1">
        <f t="array" ref="D502">SUMPRODUCT((Task_table_03_2_26!$C$2:$C$596=$D$1)*(A502&gt;Task_table_03_2_26!$J$2:$J$596)*(A502&lt;Task_table_03_2_26!$K$2:$K$596))</f>
        <v>0</v>
      </c>
      <c r="E502" cm="1">
        <f t="array" ref="E502">SUMPRODUCT((Task_table_03_2_26!$C$2:$C$596=$E$1)*(A502&gt;Task_table_03_2_26!$J$2:$J$596)*(A502&lt;Task_table_03_2_26!$K$2:$K$596))</f>
        <v>1</v>
      </c>
    </row>
    <row r="503" spans="1:5">
      <c r="A503" s="5">
        <v>46371</v>
      </c>
      <c r="B503" cm="1">
        <f t="array" ref="B503">SUMPRODUCT((Task_table_03_2_26!$C$2:$C$596=$B$1)*(A503&gt;Task_table_03_2_26!$J$2:$J$596)*(A503&lt;Task_table_03_2_26!$K$2:$K$596))</f>
        <v>23</v>
      </c>
      <c r="C503" cm="1">
        <f t="array" ref="C503">SUMPRODUCT((Task_table_03_2_26!$C$2:$C$596=$C$1)*(A503&gt;Task_table_03_2_26!$J$2:$J$596)*(A503&lt;Task_table_03_2_26!$K$2:$K$596))</f>
        <v>4</v>
      </c>
      <c r="D503" cm="1">
        <f t="array" ref="D503">SUMPRODUCT((Task_table_03_2_26!$C$2:$C$596=$D$1)*(A503&gt;Task_table_03_2_26!$J$2:$J$596)*(A503&lt;Task_table_03_2_26!$K$2:$K$596))</f>
        <v>0</v>
      </c>
      <c r="E503" cm="1">
        <f t="array" ref="E503">SUMPRODUCT((Task_table_03_2_26!$C$2:$C$596=$E$1)*(A503&gt;Task_table_03_2_26!$J$2:$J$596)*(A503&lt;Task_table_03_2_26!$K$2:$K$596))</f>
        <v>1</v>
      </c>
    </row>
    <row r="504" spans="1:5">
      <c r="A504" s="5">
        <v>46372</v>
      </c>
      <c r="B504" cm="1">
        <f t="array" ref="B504">SUMPRODUCT((Task_table_03_2_26!$C$2:$C$596=$B$1)*(A504&gt;Task_table_03_2_26!$J$2:$J$596)*(A504&lt;Task_table_03_2_26!$K$2:$K$596))</f>
        <v>23</v>
      </c>
      <c r="C504" cm="1">
        <f t="array" ref="C504">SUMPRODUCT((Task_table_03_2_26!$C$2:$C$596=$C$1)*(A504&gt;Task_table_03_2_26!$J$2:$J$596)*(A504&lt;Task_table_03_2_26!$K$2:$K$596))</f>
        <v>4</v>
      </c>
      <c r="D504" cm="1">
        <f t="array" ref="D504">SUMPRODUCT((Task_table_03_2_26!$C$2:$C$596=$D$1)*(A504&gt;Task_table_03_2_26!$J$2:$J$596)*(A504&lt;Task_table_03_2_26!$K$2:$K$596))</f>
        <v>0</v>
      </c>
      <c r="E504" cm="1">
        <f t="array" ref="E504">SUMPRODUCT((Task_table_03_2_26!$C$2:$C$596=$E$1)*(A504&gt;Task_table_03_2_26!$J$2:$J$596)*(A504&lt;Task_table_03_2_26!$K$2:$K$596))</f>
        <v>1</v>
      </c>
    </row>
    <row r="505" spans="1:5">
      <c r="A505" s="5">
        <v>46373</v>
      </c>
      <c r="B505" cm="1">
        <f t="array" ref="B505">SUMPRODUCT((Task_table_03_2_26!$C$2:$C$596=$B$1)*(A505&gt;Task_table_03_2_26!$J$2:$J$596)*(A505&lt;Task_table_03_2_26!$K$2:$K$596))</f>
        <v>23</v>
      </c>
      <c r="C505" cm="1">
        <f t="array" ref="C505">SUMPRODUCT((Task_table_03_2_26!$C$2:$C$596=$C$1)*(A505&gt;Task_table_03_2_26!$J$2:$J$596)*(A505&lt;Task_table_03_2_26!$K$2:$K$596))</f>
        <v>4</v>
      </c>
      <c r="D505" cm="1">
        <f t="array" ref="D505">SUMPRODUCT((Task_table_03_2_26!$C$2:$C$596=$D$1)*(A505&gt;Task_table_03_2_26!$J$2:$J$596)*(A505&lt;Task_table_03_2_26!$K$2:$K$596))</f>
        <v>0</v>
      </c>
      <c r="E505" cm="1">
        <f t="array" ref="E505">SUMPRODUCT((Task_table_03_2_26!$C$2:$C$596=$E$1)*(A505&gt;Task_table_03_2_26!$J$2:$J$596)*(A505&lt;Task_table_03_2_26!$K$2:$K$596))</f>
        <v>1</v>
      </c>
    </row>
    <row r="506" spans="1:5">
      <c r="A506" s="5">
        <v>46374</v>
      </c>
      <c r="B506" cm="1">
        <f t="array" ref="B506">SUMPRODUCT((Task_table_03_2_26!$C$2:$C$596=$B$1)*(A506&gt;Task_table_03_2_26!$J$2:$J$596)*(A506&lt;Task_table_03_2_26!$K$2:$K$596))</f>
        <v>23</v>
      </c>
      <c r="C506" cm="1">
        <f t="array" ref="C506">SUMPRODUCT((Task_table_03_2_26!$C$2:$C$596=$C$1)*(A506&gt;Task_table_03_2_26!$J$2:$J$596)*(A506&lt;Task_table_03_2_26!$K$2:$K$596))</f>
        <v>4</v>
      </c>
      <c r="D506" cm="1">
        <f t="array" ref="D506">SUMPRODUCT((Task_table_03_2_26!$C$2:$C$596=$D$1)*(A506&gt;Task_table_03_2_26!$J$2:$J$596)*(A506&lt;Task_table_03_2_26!$K$2:$K$596))</f>
        <v>0</v>
      </c>
      <c r="E506" cm="1">
        <f t="array" ref="E506">SUMPRODUCT((Task_table_03_2_26!$C$2:$C$596=$E$1)*(A506&gt;Task_table_03_2_26!$J$2:$J$596)*(A506&lt;Task_table_03_2_26!$K$2:$K$596))</f>
        <v>1</v>
      </c>
    </row>
    <row r="507" spans="1:5">
      <c r="A507" s="5">
        <v>46375</v>
      </c>
      <c r="B507" cm="1">
        <f t="array" ref="B507">SUMPRODUCT((Task_table_03_2_26!$C$2:$C$596=$B$1)*(A507&gt;Task_table_03_2_26!$J$2:$J$596)*(A507&lt;Task_table_03_2_26!$K$2:$K$596))</f>
        <v>23</v>
      </c>
      <c r="C507" cm="1">
        <f t="array" ref="C507">SUMPRODUCT((Task_table_03_2_26!$C$2:$C$596=$C$1)*(A507&gt;Task_table_03_2_26!$J$2:$J$596)*(A507&lt;Task_table_03_2_26!$K$2:$K$596))</f>
        <v>4</v>
      </c>
      <c r="D507" cm="1">
        <f t="array" ref="D507">SUMPRODUCT((Task_table_03_2_26!$C$2:$C$596=$D$1)*(A507&gt;Task_table_03_2_26!$J$2:$J$596)*(A507&lt;Task_table_03_2_26!$K$2:$K$596))</f>
        <v>0</v>
      </c>
      <c r="E507" cm="1">
        <f t="array" ref="E507">SUMPRODUCT((Task_table_03_2_26!$C$2:$C$596=$E$1)*(A507&gt;Task_table_03_2_26!$J$2:$J$596)*(A507&lt;Task_table_03_2_26!$K$2:$K$596))</f>
        <v>1</v>
      </c>
    </row>
    <row r="508" spans="1:5">
      <c r="A508" s="5">
        <v>46376</v>
      </c>
      <c r="B508" cm="1">
        <f t="array" ref="B508">SUMPRODUCT((Task_table_03_2_26!$C$2:$C$596=$B$1)*(A508&gt;Task_table_03_2_26!$J$2:$J$596)*(A508&lt;Task_table_03_2_26!$K$2:$K$596))</f>
        <v>23</v>
      </c>
      <c r="C508" cm="1">
        <f t="array" ref="C508">SUMPRODUCT((Task_table_03_2_26!$C$2:$C$596=$C$1)*(A508&gt;Task_table_03_2_26!$J$2:$J$596)*(A508&lt;Task_table_03_2_26!$K$2:$K$596))</f>
        <v>4</v>
      </c>
      <c r="D508" cm="1">
        <f t="array" ref="D508">SUMPRODUCT((Task_table_03_2_26!$C$2:$C$596=$D$1)*(A508&gt;Task_table_03_2_26!$J$2:$J$596)*(A508&lt;Task_table_03_2_26!$K$2:$K$596))</f>
        <v>0</v>
      </c>
      <c r="E508" cm="1">
        <f t="array" ref="E508">SUMPRODUCT((Task_table_03_2_26!$C$2:$C$596=$E$1)*(A508&gt;Task_table_03_2_26!$J$2:$J$596)*(A508&lt;Task_table_03_2_26!$K$2:$K$596))</f>
        <v>1</v>
      </c>
    </row>
    <row r="509" spans="1:5">
      <c r="A509" s="5">
        <v>46377</v>
      </c>
      <c r="B509" cm="1">
        <f t="array" ref="B509">SUMPRODUCT((Task_table_03_2_26!$C$2:$C$596=$B$1)*(A509&gt;Task_table_03_2_26!$J$2:$J$596)*(A509&lt;Task_table_03_2_26!$K$2:$K$596))</f>
        <v>23</v>
      </c>
      <c r="C509" cm="1">
        <f t="array" ref="C509">SUMPRODUCT((Task_table_03_2_26!$C$2:$C$596=$C$1)*(A509&gt;Task_table_03_2_26!$J$2:$J$596)*(A509&lt;Task_table_03_2_26!$K$2:$K$596))</f>
        <v>4</v>
      </c>
      <c r="D509" cm="1">
        <f t="array" ref="D509">SUMPRODUCT((Task_table_03_2_26!$C$2:$C$596=$D$1)*(A509&gt;Task_table_03_2_26!$J$2:$J$596)*(A509&lt;Task_table_03_2_26!$K$2:$K$596))</f>
        <v>0</v>
      </c>
      <c r="E509" cm="1">
        <f t="array" ref="E509">SUMPRODUCT((Task_table_03_2_26!$C$2:$C$596=$E$1)*(A509&gt;Task_table_03_2_26!$J$2:$J$596)*(A509&lt;Task_table_03_2_26!$K$2:$K$596))</f>
        <v>1</v>
      </c>
    </row>
    <row r="510" spans="1:5">
      <c r="A510" s="5">
        <v>46378</v>
      </c>
      <c r="B510" cm="1">
        <f t="array" ref="B510">SUMPRODUCT((Task_table_03_2_26!$C$2:$C$596=$B$1)*(A510&gt;Task_table_03_2_26!$J$2:$J$596)*(A510&lt;Task_table_03_2_26!$K$2:$K$596))</f>
        <v>23</v>
      </c>
      <c r="C510" cm="1">
        <f t="array" ref="C510">SUMPRODUCT((Task_table_03_2_26!$C$2:$C$596=$C$1)*(A510&gt;Task_table_03_2_26!$J$2:$J$596)*(A510&lt;Task_table_03_2_26!$K$2:$K$596))</f>
        <v>4</v>
      </c>
      <c r="D510" cm="1">
        <f t="array" ref="D510">SUMPRODUCT((Task_table_03_2_26!$C$2:$C$596=$D$1)*(A510&gt;Task_table_03_2_26!$J$2:$J$596)*(A510&lt;Task_table_03_2_26!$K$2:$K$596))</f>
        <v>0</v>
      </c>
      <c r="E510" cm="1">
        <f t="array" ref="E510">SUMPRODUCT((Task_table_03_2_26!$C$2:$C$596=$E$1)*(A510&gt;Task_table_03_2_26!$J$2:$J$596)*(A510&lt;Task_table_03_2_26!$K$2:$K$596))</f>
        <v>1</v>
      </c>
    </row>
    <row r="511" spans="1:5">
      <c r="A511" s="5">
        <v>46379</v>
      </c>
      <c r="B511" cm="1">
        <f t="array" ref="B511">SUMPRODUCT((Task_table_03_2_26!$C$2:$C$596=$B$1)*(A511&gt;Task_table_03_2_26!$J$2:$J$596)*(A511&lt;Task_table_03_2_26!$K$2:$K$596))</f>
        <v>23</v>
      </c>
      <c r="C511" cm="1">
        <f t="array" ref="C511">SUMPRODUCT((Task_table_03_2_26!$C$2:$C$596=$C$1)*(A511&gt;Task_table_03_2_26!$J$2:$J$596)*(A511&lt;Task_table_03_2_26!$K$2:$K$596))</f>
        <v>3</v>
      </c>
      <c r="D511" cm="1">
        <f t="array" ref="D511">SUMPRODUCT((Task_table_03_2_26!$C$2:$C$596=$D$1)*(A511&gt;Task_table_03_2_26!$J$2:$J$596)*(A511&lt;Task_table_03_2_26!$K$2:$K$596))</f>
        <v>0</v>
      </c>
      <c r="E511" cm="1">
        <f t="array" ref="E511">SUMPRODUCT((Task_table_03_2_26!$C$2:$C$596=$E$1)*(A511&gt;Task_table_03_2_26!$J$2:$J$596)*(A511&lt;Task_table_03_2_26!$K$2:$K$596))</f>
        <v>1</v>
      </c>
    </row>
    <row r="512" spans="1:5">
      <c r="A512" s="5">
        <v>46380</v>
      </c>
      <c r="B512" cm="1">
        <f t="array" ref="B512">SUMPRODUCT((Task_table_03_2_26!$C$2:$C$596=$B$1)*(A512&gt;Task_table_03_2_26!$J$2:$J$596)*(A512&lt;Task_table_03_2_26!$K$2:$K$596))</f>
        <v>23</v>
      </c>
      <c r="C512" cm="1">
        <f t="array" ref="C512">SUMPRODUCT((Task_table_03_2_26!$C$2:$C$596=$C$1)*(A512&gt;Task_table_03_2_26!$J$2:$J$596)*(A512&lt;Task_table_03_2_26!$K$2:$K$596))</f>
        <v>3</v>
      </c>
      <c r="D512" cm="1">
        <f t="array" ref="D512">SUMPRODUCT((Task_table_03_2_26!$C$2:$C$596=$D$1)*(A512&gt;Task_table_03_2_26!$J$2:$J$596)*(A512&lt;Task_table_03_2_26!$K$2:$K$596))</f>
        <v>0</v>
      </c>
      <c r="E512" cm="1">
        <f t="array" ref="E512">SUMPRODUCT((Task_table_03_2_26!$C$2:$C$596=$E$1)*(A512&gt;Task_table_03_2_26!$J$2:$J$596)*(A512&lt;Task_table_03_2_26!$K$2:$K$596))</f>
        <v>1</v>
      </c>
    </row>
    <row r="513" spans="1:5">
      <c r="A513" s="5">
        <v>46381</v>
      </c>
      <c r="B513" cm="1">
        <f t="array" ref="B513">SUMPRODUCT((Task_table_03_2_26!$C$2:$C$596=$B$1)*(A513&gt;Task_table_03_2_26!$J$2:$J$596)*(A513&lt;Task_table_03_2_26!$K$2:$K$596))</f>
        <v>23</v>
      </c>
      <c r="C513" cm="1">
        <f t="array" ref="C513">SUMPRODUCT((Task_table_03_2_26!$C$2:$C$596=$C$1)*(A513&gt;Task_table_03_2_26!$J$2:$J$596)*(A513&lt;Task_table_03_2_26!$K$2:$K$596))</f>
        <v>3</v>
      </c>
      <c r="D513" cm="1">
        <f t="array" ref="D513">SUMPRODUCT((Task_table_03_2_26!$C$2:$C$596=$D$1)*(A513&gt;Task_table_03_2_26!$J$2:$J$596)*(A513&lt;Task_table_03_2_26!$K$2:$K$596))</f>
        <v>0</v>
      </c>
      <c r="E513" cm="1">
        <f t="array" ref="E513">SUMPRODUCT((Task_table_03_2_26!$C$2:$C$596=$E$1)*(A513&gt;Task_table_03_2_26!$J$2:$J$596)*(A513&lt;Task_table_03_2_26!$K$2:$K$596))</f>
        <v>1</v>
      </c>
    </row>
    <row r="514" spans="1:5">
      <c r="A514" s="5">
        <v>46382</v>
      </c>
      <c r="B514" cm="1">
        <f t="array" ref="B514">SUMPRODUCT((Task_table_03_2_26!$C$2:$C$596=$B$1)*(A514&gt;Task_table_03_2_26!$J$2:$J$596)*(A514&lt;Task_table_03_2_26!$K$2:$K$596))</f>
        <v>23</v>
      </c>
      <c r="C514" cm="1">
        <f t="array" ref="C514">SUMPRODUCT((Task_table_03_2_26!$C$2:$C$596=$C$1)*(A514&gt;Task_table_03_2_26!$J$2:$J$596)*(A514&lt;Task_table_03_2_26!$K$2:$K$596))</f>
        <v>3</v>
      </c>
      <c r="D514" cm="1">
        <f t="array" ref="D514">SUMPRODUCT((Task_table_03_2_26!$C$2:$C$596=$D$1)*(A514&gt;Task_table_03_2_26!$J$2:$J$596)*(A514&lt;Task_table_03_2_26!$K$2:$K$596))</f>
        <v>0</v>
      </c>
      <c r="E514" cm="1">
        <f t="array" ref="E514">SUMPRODUCT((Task_table_03_2_26!$C$2:$C$596=$E$1)*(A514&gt;Task_table_03_2_26!$J$2:$J$596)*(A514&lt;Task_table_03_2_26!$K$2:$K$596))</f>
        <v>1</v>
      </c>
    </row>
    <row r="515" spans="1:5">
      <c r="A515" s="5">
        <v>46383</v>
      </c>
      <c r="B515" cm="1">
        <f t="array" ref="B515">SUMPRODUCT((Task_table_03_2_26!$C$2:$C$596=$B$1)*(A515&gt;Task_table_03_2_26!$J$2:$J$596)*(A515&lt;Task_table_03_2_26!$K$2:$K$596))</f>
        <v>23</v>
      </c>
      <c r="C515" cm="1">
        <f t="array" ref="C515">SUMPRODUCT((Task_table_03_2_26!$C$2:$C$596=$C$1)*(A515&gt;Task_table_03_2_26!$J$2:$J$596)*(A515&lt;Task_table_03_2_26!$K$2:$K$596))</f>
        <v>3</v>
      </c>
      <c r="D515" cm="1">
        <f t="array" ref="D515">SUMPRODUCT((Task_table_03_2_26!$C$2:$C$596=$D$1)*(A515&gt;Task_table_03_2_26!$J$2:$J$596)*(A515&lt;Task_table_03_2_26!$K$2:$K$596))</f>
        <v>0</v>
      </c>
      <c r="E515" cm="1">
        <f t="array" ref="E515">SUMPRODUCT((Task_table_03_2_26!$C$2:$C$596=$E$1)*(A515&gt;Task_table_03_2_26!$J$2:$J$596)*(A515&lt;Task_table_03_2_26!$K$2:$K$596))</f>
        <v>1</v>
      </c>
    </row>
    <row r="516" spans="1:5">
      <c r="A516" s="5">
        <v>46384</v>
      </c>
      <c r="B516" cm="1">
        <f t="array" ref="B516">SUMPRODUCT((Task_table_03_2_26!$C$2:$C$596=$B$1)*(A516&gt;Task_table_03_2_26!$J$2:$J$596)*(A516&lt;Task_table_03_2_26!$K$2:$K$596))</f>
        <v>23</v>
      </c>
      <c r="C516" cm="1">
        <f t="array" ref="C516">SUMPRODUCT((Task_table_03_2_26!$C$2:$C$596=$C$1)*(A516&gt;Task_table_03_2_26!$J$2:$J$596)*(A516&lt;Task_table_03_2_26!$K$2:$K$596))</f>
        <v>3</v>
      </c>
      <c r="D516" cm="1">
        <f t="array" ref="D516">SUMPRODUCT((Task_table_03_2_26!$C$2:$C$596=$D$1)*(A516&gt;Task_table_03_2_26!$J$2:$J$596)*(A516&lt;Task_table_03_2_26!$K$2:$K$596))</f>
        <v>0</v>
      </c>
      <c r="E516" cm="1">
        <f t="array" ref="E516">SUMPRODUCT((Task_table_03_2_26!$C$2:$C$596=$E$1)*(A516&gt;Task_table_03_2_26!$J$2:$J$596)*(A516&lt;Task_table_03_2_26!$K$2:$K$596))</f>
        <v>1</v>
      </c>
    </row>
    <row r="517" spans="1:5">
      <c r="A517" s="5">
        <v>46385</v>
      </c>
      <c r="B517" cm="1">
        <f t="array" ref="B517">SUMPRODUCT((Task_table_03_2_26!$C$2:$C$596=$B$1)*(A517&gt;Task_table_03_2_26!$J$2:$J$596)*(A517&lt;Task_table_03_2_26!$K$2:$K$596))</f>
        <v>23</v>
      </c>
      <c r="C517" cm="1">
        <f t="array" ref="C517">SUMPRODUCT((Task_table_03_2_26!$C$2:$C$596=$C$1)*(A517&gt;Task_table_03_2_26!$J$2:$J$596)*(A517&lt;Task_table_03_2_26!$K$2:$K$596))</f>
        <v>3</v>
      </c>
      <c r="D517" cm="1">
        <f t="array" ref="D517">SUMPRODUCT((Task_table_03_2_26!$C$2:$C$596=$D$1)*(A517&gt;Task_table_03_2_26!$J$2:$J$596)*(A517&lt;Task_table_03_2_26!$K$2:$K$596))</f>
        <v>0</v>
      </c>
      <c r="E517" cm="1">
        <f t="array" ref="E517">SUMPRODUCT((Task_table_03_2_26!$C$2:$C$596=$E$1)*(A517&gt;Task_table_03_2_26!$J$2:$J$596)*(A517&lt;Task_table_03_2_26!$K$2:$K$596))</f>
        <v>1</v>
      </c>
    </row>
    <row r="518" spans="1:5">
      <c r="A518" s="5">
        <v>46386</v>
      </c>
      <c r="B518" cm="1">
        <f t="array" ref="B518">SUMPRODUCT((Task_table_03_2_26!$C$2:$C$596=$B$1)*(A518&gt;Task_table_03_2_26!$J$2:$J$596)*(A518&lt;Task_table_03_2_26!$K$2:$K$596))</f>
        <v>23</v>
      </c>
      <c r="C518" cm="1">
        <f t="array" ref="C518">SUMPRODUCT((Task_table_03_2_26!$C$2:$C$596=$C$1)*(A518&gt;Task_table_03_2_26!$J$2:$J$596)*(A518&lt;Task_table_03_2_26!$K$2:$K$596))</f>
        <v>3</v>
      </c>
      <c r="D518" cm="1">
        <f t="array" ref="D518">SUMPRODUCT((Task_table_03_2_26!$C$2:$C$596=$D$1)*(A518&gt;Task_table_03_2_26!$J$2:$J$596)*(A518&lt;Task_table_03_2_26!$K$2:$K$596))</f>
        <v>0</v>
      </c>
      <c r="E518" cm="1">
        <f t="array" ref="E518">SUMPRODUCT((Task_table_03_2_26!$C$2:$C$596=$E$1)*(A518&gt;Task_table_03_2_26!$J$2:$J$596)*(A518&lt;Task_table_03_2_26!$K$2:$K$596))</f>
        <v>1</v>
      </c>
    </row>
    <row r="519" spans="1:5">
      <c r="A519" s="5">
        <v>46387</v>
      </c>
      <c r="B519" cm="1">
        <f t="array" ref="B519">SUMPRODUCT((Task_table_03_2_26!$C$2:$C$596=$B$1)*(A519&gt;Task_table_03_2_26!$J$2:$J$596)*(A519&lt;Task_table_03_2_26!$K$2:$K$596))</f>
        <v>22</v>
      </c>
      <c r="C519" cm="1">
        <f t="array" ref="C519">SUMPRODUCT((Task_table_03_2_26!$C$2:$C$596=$C$1)*(A519&gt;Task_table_03_2_26!$J$2:$J$596)*(A519&lt;Task_table_03_2_26!$K$2:$K$596))</f>
        <v>0</v>
      </c>
      <c r="D519" cm="1">
        <f t="array" ref="D519">SUMPRODUCT((Task_table_03_2_26!$C$2:$C$596=$D$1)*(A519&gt;Task_table_03_2_26!$J$2:$J$596)*(A519&lt;Task_table_03_2_26!$K$2:$K$596))</f>
        <v>0</v>
      </c>
      <c r="E519" cm="1">
        <f t="array" ref="E519">SUMPRODUCT((Task_table_03_2_26!$C$2:$C$596=$E$1)*(A519&gt;Task_table_03_2_26!$J$2:$J$596)*(A519&lt;Task_table_03_2_26!$K$2:$K$596))</f>
        <v>1</v>
      </c>
    </row>
    <row r="520" spans="1:5">
      <c r="A520" s="5">
        <v>46388</v>
      </c>
      <c r="B520" cm="1">
        <f t="array" ref="B520">SUMPRODUCT((Task_table_03_2_26!$C$2:$C$596=$B$1)*(A520&gt;Task_table_03_2_26!$J$2:$J$596)*(A520&lt;Task_table_03_2_26!$K$2:$K$596))</f>
        <v>22</v>
      </c>
      <c r="C520" cm="1">
        <f t="array" ref="C520">SUMPRODUCT((Task_table_03_2_26!$C$2:$C$596=$C$1)*(A520&gt;Task_table_03_2_26!$J$2:$J$596)*(A520&lt;Task_table_03_2_26!$K$2:$K$596))</f>
        <v>0</v>
      </c>
      <c r="D520" cm="1">
        <f t="array" ref="D520">SUMPRODUCT((Task_table_03_2_26!$C$2:$C$596=$D$1)*(A520&gt;Task_table_03_2_26!$J$2:$J$596)*(A520&lt;Task_table_03_2_26!$K$2:$K$596))</f>
        <v>0</v>
      </c>
      <c r="E520" cm="1">
        <f t="array" ref="E520">SUMPRODUCT((Task_table_03_2_26!$C$2:$C$596=$E$1)*(A520&gt;Task_table_03_2_26!$J$2:$J$596)*(A520&lt;Task_table_03_2_26!$K$2:$K$596))</f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22243-A36E-4D38-9691-2F18AB6E93C1}">
  <dimension ref="A1:R612"/>
  <sheetViews>
    <sheetView workbookViewId="0">
      <selection activeCell="J2" sqref="J2"/>
    </sheetView>
  </sheetViews>
  <sheetFormatPr defaultColWidth="8.85546875" defaultRowHeight="15"/>
  <cols>
    <col min="1" max="1" width="26.5703125" customWidth="1"/>
    <col min="2" max="2" width="35.85546875" customWidth="1"/>
    <col min="3" max="3" width="23.7109375" customWidth="1"/>
    <col min="4" max="4" width="10.5703125" bestFit="1" customWidth="1"/>
    <col min="5" max="5" width="13.140625" customWidth="1"/>
    <col min="6" max="6" width="12" style="118" bestFit="1" customWidth="1"/>
    <col min="7" max="7" width="19.85546875" customWidth="1"/>
    <col min="8" max="8" width="20.28515625" customWidth="1"/>
    <col min="9" max="9" width="21.7109375" customWidth="1"/>
    <col min="10" max="10" width="26.140625" style="5" customWidth="1"/>
    <col min="11" max="11" width="23.5703125" style="5" customWidth="1"/>
    <col min="12" max="12" width="21.28515625" customWidth="1"/>
    <col min="13" max="13" width="20.85546875" style="5" customWidth="1"/>
    <col min="14" max="14" width="23.5703125" customWidth="1"/>
    <col min="15" max="15" width="24.42578125" customWidth="1"/>
    <col min="16" max="16" width="24.28515625" customWidth="1"/>
    <col min="17" max="17" width="5.85546875" bestFit="1" customWidth="1"/>
  </cols>
  <sheetData>
    <row r="1" spans="1:18" ht="24">
      <c r="A1" s="90" t="s">
        <v>205</v>
      </c>
      <c r="B1" s="90" t="s">
        <v>206</v>
      </c>
      <c r="C1" s="90" t="s">
        <v>2</v>
      </c>
      <c r="D1" s="90" t="s">
        <v>3</v>
      </c>
      <c r="E1" s="90" t="s">
        <v>207</v>
      </c>
      <c r="F1" s="112" t="s">
        <v>460</v>
      </c>
      <c r="G1" s="90" t="s">
        <v>209</v>
      </c>
      <c r="H1" s="90" t="s">
        <v>461</v>
      </c>
      <c r="I1" s="90" t="s">
        <v>210</v>
      </c>
      <c r="J1" s="110" t="s">
        <v>9</v>
      </c>
      <c r="K1" s="110" t="s">
        <v>610</v>
      </c>
      <c r="L1" s="90" t="s">
        <v>464</v>
      </c>
      <c r="M1" s="110" t="s">
        <v>465</v>
      </c>
      <c r="N1" s="90" t="s">
        <v>14</v>
      </c>
      <c r="O1" s="90" t="s">
        <v>214</v>
      </c>
      <c r="P1" s="90" t="s">
        <v>611</v>
      </c>
      <c r="Q1" s="90" t="s">
        <v>612</v>
      </c>
      <c r="R1" s="144" t="s">
        <v>613</v>
      </c>
    </row>
    <row r="2" spans="1:18">
      <c r="A2" s="94" t="s">
        <v>16</v>
      </c>
      <c r="B2" s="96" t="s">
        <v>215</v>
      </c>
      <c r="C2" s="96" t="s">
        <v>18</v>
      </c>
      <c r="D2" s="96" t="s">
        <v>19</v>
      </c>
      <c r="E2" s="96" t="s">
        <v>20</v>
      </c>
      <c r="F2" s="113">
        <v>0.5</v>
      </c>
      <c r="G2" s="95"/>
      <c r="H2" s="95"/>
      <c r="I2" s="95"/>
      <c r="J2" s="105">
        <v>46055</v>
      </c>
      <c r="K2" s="105">
        <v>46232</v>
      </c>
      <c r="L2" s="96">
        <v>128</v>
      </c>
      <c r="M2" s="105">
        <v>46148</v>
      </c>
      <c r="N2" s="96"/>
      <c r="O2" s="96" t="s">
        <v>17</v>
      </c>
      <c r="P2" s="91"/>
      <c r="Q2" s="91"/>
      <c r="R2" t="str">
        <f t="shared" ref="R2:R65" si="0">TRIM(A2)&amp;"♦"&amp;TRIM(B2)&amp;"♦"&amp;TRIM(C2)&amp;"♦"&amp;TRIM(D2)&amp;"♦"&amp;TRIM(E2)</f>
        <v>Corporate IT body♦Manage IT strategy♦Total♦L1♦MP</v>
      </c>
    </row>
    <row r="3" spans="1:18">
      <c r="A3" s="97" t="s">
        <v>16</v>
      </c>
      <c r="B3" s="98" t="s">
        <v>216</v>
      </c>
      <c r="C3" s="98" t="s">
        <v>22</v>
      </c>
      <c r="D3" s="98" t="s">
        <v>19</v>
      </c>
      <c r="E3" s="98" t="s">
        <v>20</v>
      </c>
      <c r="F3" s="114">
        <v>0.5</v>
      </c>
      <c r="G3" s="98" t="s">
        <v>469</v>
      </c>
      <c r="H3" s="98" t="s">
        <v>24</v>
      </c>
      <c r="I3" s="98" t="s">
        <v>25</v>
      </c>
      <c r="J3" s="106">
        <v>46055</v>
      </c>
      <c r="K3" s="105">
        <v>46142</v>
      </c>
      <c r="L3" s="98">
        <v>64</v>
      </c>
      <c r="M3" s="106"/>
      <c r="N3" s="98" t="s">
        <v>26</v>
      </c>
      <c r="O3" s="98" t="s">
        <v>17</v>
      </c>
      <c r="P3" s="91"/>
      <c r="Q3" s="91"/>
      <c r="R3" t="str">
        <f t="shared" si="0"/>
        <v>Corporate IT body♦Manage IT strategy♦Elaboration♦L1♦MP</v>
      </c>
    </row>
    <row r="4" spans="1:18">
      <c r="A4" s="97" t="s">
        <v>16</v>
      </c>
      <c r="B4" s="98" t="s">
        <v>216</v>
      </c>
      <c r="C4" s="98" t="s">
        <v>28</v>
      </c>
      <c r="D4" s="98" t="s">
        <v>19</v>
      </c>
      <c r="E4" s="98" t="s">
        <v>20</v>
      </c>
      <c r="F4" s="114">
        <v>0</v>
      </c>
      <c r="G4" s="95"/>
      <c r="H4" s="95"/>
      <c r="I4" s="95"/>
      <c r="J4" s="105">
        <v>46156</v>
      </c>
      <c r="K4" s="105">
        <v>46232</v>
      </c>
      <c r="L4" s="98">
        <v>55</v>
      </c>
      <c r="M4" s="106"/>
      <c r="N4" s="98" t="s">
        <v>27</v>
      </c>
      <c r="O4" s="98" t="s">
        <v>17</v>
      </c>
      <c r="P4" s="91"/>
      <c r="Q4" s="91"/>
      <c r="R4" t="str">
        <f t="shared" si="0"/>
        <v>Corporate IT body♦Manage IT strategy♦Implementation LIS♦L1♦MP</v>
      </c>
    </row>
    <row r="5" spans="1:18">
      <c r="A5" s="97" t="s">
        <v>16</v>
      </c>
      <c r="B5" s="98" t="s">
        <v>216</v>
      </c>
      <c r="C5" s="98" t="s">
        <v>29</v>
      </c>
      <c r="D5" s="98" t="s">
        <v>19</v>
      </c>
      <c r="E5" s="98" t="s">
        <v>20</v>
      </c>
      <c r="F5" s="114">
        <v>0</v>
      </c>
      <c r="G5" s="95"/>
      <c r="H5" s="95"/>
      <c r="I5" s="95"/>
      <c r="J5" s="106"/>
      <c r="K5" s="106"/>
      <c r="L5" s="98">
        <v>0</v>
      </c>
      <c r="M5" s="106"/>
      <c r="N5" s="95"/>
      <c r="O5" s="98" t="s">
        <v>17</v>
      </c>
      <c r="P5" s="91"/>
      <c r="Q5" s="91"/>
      <c r="R5" t="str">
        <f t="shared" si="0"/>
        <v>Corporate IT body♦Manage IT strategy♦Implementation COT♦L1♦MP</v>
      </c>
    </row>
    <row r="6" spans="1:18">
      <c r="A6" s="97" t="s">
        <v>16</v>
      </c>
      <c r="B6" s="98" t="s">
        <v>216</v>
      </c>
      <c r="C6" s="98" t="s">
        <v>30</v>
      </c>
      <c r="D6" s="98" t="s">
        <v>19</v>
      </c>
      <c r="E6" s="98" t="s">
        <v>20</v>
      </c>
      <c r="F6" s="114">
        <v>0</v>
      </c>
      <c r="G6" s="95"/>
      <c r="H6" s="95"/>
      <c r="I6" s="95"/>
      <c r="J6" s="106"/>
      <c r="K6" s="106"/>
      <c r="L6" s="98">
        <v>0</v>
      </c>
      <c r="M6" s="106"/>
      <c r="N6" s="95"/>
      <c r="O6" s="98" t="s">
        <v>17</v>
      </c>
      <c r="P6" s="91"/>
      <c r="Q6" s="91"/>
      <c r="R6" t="str">
        <f t="shared" si="0"/>
        <v>Corporate IT body♦Manage IT strategy♦Implementation LUS♦L1♦MP</v>
      </c>
    </row>
    <row r="7" spans="1:18" ht="30">
      <c r="A7" s="99" t="s">
        <v>16</v>
      </c>
      <c r="B7" s="96" t="s">
        <v>217</v>
      </c>
      <c r="C7" s="96" t="s">
        <v>18</v>
      </c>
      <c r="D7" s="96" t="s">
        <v>19</v>
      </c>
      <c r="E7" s="96" t="s">
        <v>20</v>
      </c>
      <c r="F7" s="113">
        <v>0.5</v>
      </c>
      <c r="G7" s="95"/>
      <c r="H7" s="95"/>
      <c r="I7" s="95"/>
      <c r="J7" s="105">
        <v>46029</v>
      </c>
      <c r="K7" s="105">
        <v>46265</v>
      </c>
      <c r="L7" s="96">
        <v>169</v>
      </c>
      <c r="M7" s="105"/>
      <c r="N7" s="95"/>
      <c r="O7" s="96" t="s">
        <v>31</v>
      </c>
      <c r="P7" s="91"/>
      <c r="Q7" s="91"/>
      <c r="R7" t="str">
        <f t="shared" si="0"/>
        <v>Corporate IT body♦Manage IT governance framework♦Total♦L1♦MP</v>
      </c>
    </row>
    <row r="8" spans="1:18" ht="75">
      <c r="A8" s="97" t="s">
        <v>16</v>
      </c>
      <c r="B8" s="98" t="s">
        <v>218</v>
      </c>
      <c r="C8" s="98" t="s">
        <v>22</v>
      </c>
      <c r="D8" s="98" t="s">
        <v>19</v>
      </c>
      <c r="E8" s="98" t="s">
        <v>20</v>
      </c>
      <c r="F8" s="114">
        <v>0.5</v>
      </c>
      <c r="G8" s="98" t="s">
        <v>471</v>
      </c>
      <c r="H8" s="98" t="s">
        <v>24</v>
      </c>
      <c r="I8" s="98" t="s">
        <v>25</v>
      </c>
      <c r="J8" s="106">
        <v>46097</v>
      </c>
      <c r="K8" s="105">
        <v>46163</v>
      </c>
      <c r="L8" s="98">
        <v>49</v>
      </c>
      <c r="M8" s="106"/>
      <c r="N8" s="98" t="s">
        <v>26</v>
      </c>
      <c r="O8" s="98" t="s">
        <v>31</v>
      </c>
      <c r="P8" s="91"/>
      <c r="Q8" s="91"/>
      <c r="R8" t="str">
        <f t="shared" si="0"/>
        <v>Corporate IT body♦Manage IT governance framework♦Elaboration♦L1♦MP</v>
      </c>
    </row>
    <row r="9" spans="1:18" ht="30">
      <c r="A9" s="97" t="s">
        <v>16</v>
      </c>
      <c r="B9" s="98" t="s">
        <v>218</v>
      </c>
      <c r="C9" s="98" t="s">
        <v>28</v>
      </c>
      <c r="D9" s="98" t="s">
        <v>19</v>
      </c>
      <c r="E9" s="98" t="s">
        <v>20</v>
      </c>
      <c r="F9" s="114">
        <v>0</v>
      </c>
      <c r="G9" s="95"/>
      <c r="H9" s="95"/>
      <c r="I9" s="95"/>
      <c r="J9" s="105">
        <v>46167</v>
      </c>
      <c r="K9" s="105">
        <v>46265</v>
      </c>
      <c r="L9" s="98">
        <v>71</v>
      </c>
      <c r="M9" s="106"/>
      <c r="N9" s="98" t="s">
        <v>27</v>
      </c>
      <c r="O9" s="98" t="s">
        <v>31</v>
      </c>
      <c r="P9" s="91"/>
      <c r="Q9" s="91"/>
      <c r="R9" t="str">
        <f t="shared" si="0"/>
        <v>Corporate IT body♦Manage IT governance framework♦Implementation LIS♦L1♦MP</v>
      </c>
    </row>
    <row r="10" spans="1:18" ht="30">
      <c r="A10" s="97" t="s">
        <v>16</v>
      </c>
      <c r="B10" s="98" t="s">
        <v>218</v>
      </c>
      <c r="C10" s="98" t="s">
        <v>29</v>
      </c>
      <c r="D10" s="98" t="s">
        <v>19</v>
      </c>
      <c r="E10" s="98" t="s">
        <v>20</v>
      </c>
      <c r="F10" s="114">
        <v>0</v>
      </c>
      <c r="G10" s="95"/>
      <c r="H10" s="95"/>
      <c r="I10" s="95"/>
      <c r="J10" s="106"/>
      <c r="K10" s="106"/>
      <c r="L10" s="98">
        <v>0</v>
      </c>
      <c r="M10" s="106"/>
      <c r="N10" s="95"/>
      <c r="O10" s="98" t="s">
        <v>31</v>
      </c>
      <c r="P10" s="91"/>
      <c r="Q10" s="91"/>
      <c r="R10" t="str">
        <f t="shared" si="0"/>
        <v>Corporate IT body♦Manage IT governance framework♦Implementation COT♦L1♦MP</v>
      </c>
    </row>
    <row r="11" spans="1:18" ht="30">
      <c r="A11" s="97" t="s">
        <v>16</v>
      </c>
      <c r="B11" s="98" t="s">
        <v>218</v>
      </c>
      <c r="C11" s="98" t="s">
        <v>30</v>
      </c>
      <c r="D11" s="98" t="s">
        <v>19</v>
      </c>
      <c r="E11" s="98" t="s">
        <v>20</v>
      </c>
      <c r="F11" s="114">
        <v>0</v>
      </c>
      <c r="G11" s="95"/>
      <c r="H11" s="95"/>
      <c r="I11" s="95"/>
      <c r="J11" s="106"/>
      <c r="K11" s="106"/>
      <c r="L11" s="98">
        <v>0</v>
      </c>
      <c r="M11" s="106"/>
      <c r="N11" s="95"/>
      <c r="O11" s="98" t="s">
        <v>31</v>
      </c>
      <c r="P11" s="91"/>
      <c r="Q11" s="91"/>
      <c r="R11" t="str">
        <f t="shared" si="0"/>
        <v>Corporate IT body♦Manage IT governance framework♦Implementation LUS♦L1♦MP</v>
      </c>
    </row>
    <row r="12" spans="1:18" ht="30">
      <c r="A12" s="94" t="s">
        <v>16</v>
      </c>
      <c r="B12" s="92" t="s">
        <v>219</v>
      </c>
      <c r="C12" s="92" t="s">
        <v>18</v>
      </c>
      <c r="D12" s="92" t="s">
        <v>33</v>
      </c>
      <c r="E12" s="92" t="s">
        <v>20</v>
      </c>
      <c r="F12" s="115">
        <v>0.25</v>
      </c>
      <c r="G12" s="91"/>
      <c r="H12" s="91"/>
      <c r="I12" s="91"/>
      <c r="J12" s="107">
        <v>46029</v>
      </c>
      <c r="K12" s="107">
        <v>46039</v>
      </c>
      <c r="L12" s="92">
        <v>8</v>
      </c>
      <c r="M12" s="107"/>
      <c r="N12" s="91"/>
      <c r="O12" s="92" t="s">
        <v>31</v>
      </c>
      <c r="P12" s="91"/>
      <c r="Q12" s="91"/>
      <c r="R12" t="str">
        <f t="shared" si="0"/>
        <v>Corporate IT body♦Maintain IT glossary♦Total♦L2♦MP</v>
      </c>
    </row>
    <row r="13" spans="1:18" ht="60">
      <c r="A13" s="97" t="s">
        <v>16</v>
      </c>
      <c r="B13" s="97" t="s">
        <v>220</v>
      </c>
      <c r="C13" s="97" t="s">
        <v>22</v>
      </c>
      <c r="D13" s="97" t="s">
        <v>33</v>
      </c>
      <c r="E13" s="97" t="s">
        <v>20</v>
      </c>
      <c r="F13" s="116">
        <v>0.25</v>
      </c>
      <c r="G13" s="97" t="s">
        <v>23</v>
      </c>
      <c r="H13" s="97" t="s">
        <v>24</v>
      </c>
      <c r="I13" s="97" t="s">
        <v>25</v>
      </c>
      <c r="J13" s="108">
        <v>46029</v>
      </c>
      <c r="K13" s="107"/>
      <c r="L13" s="97">
        <v>0</v>
      </c>
      <c r="M13" s="108"/>
      <c r="N13" s="91"/>
      <c r="O13" s="97" t="s">
        <v>31</v>
      </c>
      <c r="P13" s="91"/>
      <c r="Q13" s="91"/>
      <c r="R13" t="str">
        <f t="shared" si="0"/>
        <v>Corporate IT body♦Maintain IT glossary♦Elaboration♦L2♦MP</v>
      </c>
    </row>
    <row r="14" spans="1:18" ht="30">
      <c r="A14" s="97" t="s">
        <v>16</v>
      </c>
      <c r="B14" s="97" t="s">
        <v>220</v>
      </c>
      <c r="C14" s="97" t="s">
        <v>28</v>
      </c>
      <c r="D14" s="97" t="s">
        <v>33</v>
      </c>
      <c r="E14" s="97" t="s">
        <v>20</v>
      </c>
      <c r="F14" s="116">
        <v>0</v>
      </c>
      <c r="G14" s="91"/>
      <c r="H14" s="91"/>
      <c r="I14" s="91"/>
      <c r="J14" s="108">
        <v>46029</v>
      </c>
      <c r="K14" s="108">
        <v>46039</v>
      </c>
      <c r="L14" s="97">
        <v>7</v>
      </c>
      <c r="M14" s="108"/>
      <c r="N14" s="97" t="s">
        <v>132</v>
      </c>
      <c r="O14" s="97" t="s">
        <v>31</v>
      </c>
      <c r="P14" s="91"/>
      <c r="Q14" s="91"/>
      <c r="R14" t="str">
        <f t="shared" si="0"/>
        <v>Corporate IT body♦Maintain IT glossary♦Implementation LIS♦L2♦MP</v>
      </c>
    </row>
    <row r="15" spans="1:18" ht="30">
      <c r="A15" s="97" t="s">
        <v>16</v>
      </c>
      <c r="B15" s="97" t="s">
        <v>220</v>
      </c>
      <c r="C15" s="97" t="s">
        <v>29</v>
      </c>
      <c r="D15" s="97" t="s">
        <v>33</v>
      </c>
      <c r="E15" s="97" t="s">
        <v>20</v>
      </c>
      <c r="F15" s="116">
        <v>0</v>
      </c>
      <c r="G15" s="91"/>
      <c r="H15" s="91"/>
      <c r="I15" s="91"/>
      <c r="J15" s="108">
        <v>46029</v>
      </c>
      <c r="K15" s="108"/>
      <c r="L15" s="97">
        <v>0</v>
      </c>
      <c r="M15" s="108"/>
      <c r="N15" s="91"/>
      <c r="O15" s="97" t="s">
        <v>31</v>
      </c>
      <c r="P15" s="91"/>
      <c r="Q15" s="91"/>
      <c r="R15" t="str">
        <f t="shared" si="0"/>
        <v>Corporate IT body♦Maintain IT glossary♦Implementation COT♦L2♦MP</v>
      </c>
    </row>
    <row r="16" spans="1:18" ht="30">
      <c r="A16" s="97" t="s">
        <v>16</v>
      </c>
      <c r="B16" s="97" t="s">
        <v>220</v>
      </c>
      <c r="C16" s="97" t="s">
        <v>30</v>
      </c>
      <c r="D16" s="97" t="s">
        <v>33</v>
      </c>
      <c r="E16" s="97" t="s">
        <v>20</v>
      </c>
      <c r="F16" s="116">
        <v>0</v>
      </c>
      <c r="G16" s="91"/>
      <c r="H16" s="91"/>
      <c r="I16" s="91"/>
      <c r="J16" s="108"/>
      <c r="K16" s="108"/>
      <c r="L16" s="97">
        <v>0</v>
      </c>
      <c r="M16" s="108"/>
      <c r="N16" s="91"/>
      <c r="O16" s="97" t="s">
        <v>31</v>
      </c>
      <c r="P16" s="91"/>
      <c r="Q16" s="91"/>
      <c r="R16" t="str">
        <f t="shared" si="0"/>
        <v>Corporate IT body♦Maintain IT glossary♦Implementation LUS♦L2♦MP</v>
      </c>
    </row>
    <row r="17" spans="1:18" ht="30">
      <c r="A17" s="100" t="s">
        <v>16</v>
      </c>
      <c r="B17" s="101" t="s">
        <v>221</v>
      </c>
      <c r="C17" s="101" t="s">
        <v>18</v>
      </c>
      <c r="D17" s="101" t="s">
        <v>19</v>
      </c>
      <c r="E17" s="101" t="s">
        <v>20</v>
      </c>
      <c r="F17" s="117">
        <v>0</v>
      </c>
      <c r="G17" s="95"/>
      <c r="H17" s="95"/>
      <c r="I17" s="95"/>
      <c r="J17" s="109">
        <v>45946</v>
      </c>
      <c r="K17" s="109">
        <v>46219</v>
      </c>
      <c r="L17" s="101">
        <v>195.85</v>
      </c>
      <c r="M17" s="109"/>
      <c r="N17" s="95"/>
      <c r="O17" s="101" t="s">
        <v>34</v>
      </c>
      <c r="P17" s="91"/>
      <c r="Q17" s="91"/>
      <c r="R17" t="str">
        <f t="shared" si="0"/>
        <v>Corporate IT body♦Manage enterprise architecture♦Total♦L1♦MP</v>
      </c>
    </row>
    <row r="18" spans="1:18">
      <c r="A18" s="99" t="s">
        <v>39</v>
      </c>
      <c r="B18" s="96" t="s">
        <v>227</v>
      </c>
      <c r="C18" s="96" t="s">
        <v>18</v>
      </c>
      <c r="D18" s="96" t="s">
        <v>19</v>
      </c>
      <c r="E18" s="96" t="s">
        <v>20</v>
      </c>
      <c r="F18" s="113">
        <v>0.78</v>
      </c>
      <c r="G18" s="95"/>
      <c r="H18" s="95"/>
      <c r="I18" s="95"/>
      <c r="J18" s="105">
        <v>45971</v>
      </c>
      <c r="K18" s="105">
        <v>46157</v>
      </c>
      <c r="L18" s="96">
        <v>135</v>
      </c>
      <c r="M18" s="105"/>
      <c r="N18" s="95"/>
      <c r="O18" s="96" t="s">
        <v>40</v>
      </c>
      <c r="P18" s="91"/>
      <c r="Q18" s="91"/>
      <c r="R18" t="str">
        <f t="shared" si="0"/>
        <v>ITSM♦Manage IT portfolio♦Total♦L1♦MP</v>
      </c>
    </row>
    <row r="19" spans="1:18" ht="75">
      <c r="A19" s="97" t="s">
        <v>39</v>
      </c>
      <c r="B19" s="98" t="s">
        <v>228</v>
      </c>
      <c r="C19" s="98" t="s">
        <v>22</v>
      </c>
      <c r="D19" s="98" t="s">
        <v>19</v>
      </c>
      <c r="E19" s="98" t="s">
        <v>20</v>
      </c>
      <c r="F19" s="114">
        <v>1</v>
      </c>
      <c r="G19" s="98" t="s">
        <v>41</v>
      </c>
      <c r="H19" s="95"/>
      <c r="I19" s="95"/>
      <c r="J19" s="106">
        <v>45972</v>
      </c>
      <c r="K19" s="106">
        <v>46051</v>
      </c>
      <c r="L19" s="98">
        <v>58</v>
      </c>
      <c r="M19" s="106"/>
      <c r="N19" s="98" t="s">
        <v>108</v>
      </c>
      <c r="O19" s="98" t="s">
        <v>40</v>
      </c>
      <c r="P19" s="91"/>
      <c r="Q19" s="91"/>
      <c r="R19" t="str">
        <f t="shared" si="0"/>
        <v>ITSM♦Manage IT portfolio♦Elaboration♦L1♦MP</v>
      </c>
    </row>
    <row r="20" spans="1:18">
      <c r="A20" s="97" t="s">
        <v>39</v>
      </c>
      <c r="B20" s="98" t="s">
        <v>228</v>
      </c>
      <c r="C20" s="98" t="s">
        <v>28</v>
      </c>
      <c r="D20" s="98" t="s">
        <v>19</v>
      </c>
      <c r="E20" s="98" t="s">
        <v>20</v>
      </c>
      <c r="F20" s="114">
        <v>0</v>
      </c>
      <c r="G20" s="95"/>
      <c r="H20" s="95"/>
      <c r="I20" s="95"/>
      <c r="J20" s="106"/>
      <c r="K20" s="106"/>
      <c r="L20" s="98">
        <v>0</v>
      </c>
      <c r="M20" s="106"/>
      <c r="N20" s="95"/>
      <c r="O20" s="98" t="s">
        <v>40</v>
      </c>
      <c r="P20" s="91"/>
      <c r="Q20" s="91"/>
      <c r="R20" t="str">
        <f t="shared" si="0"/>
        <v>ITSM♦Manage IT portfolio♦Implementation LIS♦L1♦MP</v>
      </c>
    </row>
    <row r="21" spans="1:18">
      <c r="A21" s="97" t="s">
        <v>39</v>
      </c>
      <c r="B21" s="98" t="s">
        <v>228</v>
      </c>
      <c r="C21" s="98" t="s">
        <v>29</v>
      </c>
      <c r="D21" s="98" t="s">
        <v>19</v>
      </c>
      <c r="E21" s="98" t="s">
        <v>20</v>
      </c>
      <c r="F21" s="114">
        <v>0</v>
      </c>
      <c r="G21" s="95"/>
      <c r="H21" s="95"/>
      <c r="I21" s="95"/>
      <c r="J21" s="106"/>
      <c r="K21" s="106"/>
      <c r="L21" s="98">
        <v>0</v>
      </c>
      <c r="M21" s="106"/>
      <c r="N21" s="95"/>
      <c r="O21" s="98" t="s">
        <v>40</v>
      </c>
      <c r="P21" s="91"/>
      <c r="Q21" s="91"/>
      <c r="R21" t="str">
        <f t="shared" si="0"/>
        <v>ITSM♦Manage IT portfolio♦Implementation COT♦L1♦MP</v>
      </c>
    </row>
    <row r="22" spans="1:18">
      <c r="A22" s="97" t="s">
        <v>39</v>
      </c>
      <c r="B22" s="98" t="s">
        <v>228</v>
      </c>
      <c r="C22" s="98" t="s">
        <v>30</v>
      </c>
      <c r="D22" s="98" t="s">
        <v>19</v>
      </c>
      <c r="E22" s="98" t="s">
        <v>20</v>
      </c>
      <c r="F22" s="114">
        <v>0</v>
      </c>
      <c r="G22" s="95"/>
      <c r="H22" s="95"/>
      <c r="I22" s="95"/>
      <c r="J22" s="106"/>
      <c r="K22" s="106"/>
      <c r="L22" s="98">
        <v>0</v>
      </c>
      <c r="M22" s="106"/>
      <c r="N22" s="95"/>
      <c r="O22" s="98" t="s">
        <v>40</v>
      </c>
      <c r="P22" s="91"/>
      <c r="Q22" s="91"/>
      <c r="R22" t="str">
        <f t="shared" si="0"/>
        <v>ITSM♦Manage IT portfolio♦Implementation LUS♦L1♦MP</v>
      </c>
    </row>
    <row r="23" spans="1:18">
      <c r="A23" s="99" t="s">
        <v>44</v>
      </c>
      <c r="B23" s="92" t="s">
        <v>230</v>
      </c>
      <c r="C23" s="92" t="s">
        <v>18</v>
      </c>
      <c r="D23" s="92" t="s">
        <v>33</v>
      </c>
      <c r="E23" s="92" t="s">
        <v>20</v>
      </c>
      <c r="F23" s="115">
        <v>1</v>
      </c>
      <c r="G23" s="91"/>
      <c r="H23" s="91"/>
      <c r="I23" s="91"/>
      <c r="J23" s="107">
        <v>45971</v>
      </c>
      <c r="K23" s="107">
        <v>46173</v>
      </c>
      <c r="L23" s="92">
        <v>145</v>
      </c>
      <c r="M23" s="107"/>
      <c r="N23" s="91"/>
      <c r="O23" s="92" t="s">
        <v>40</v>
      </c>
      <c r="P23" s="91"/>
      <c r="Q23" s="91"/>
      <c r="R23" t="str">
        <f t="shared" si="0"/>
        <v>IT project management♦Manage IT project portfolio♦Total♦L2♦MP</v>
      </c>
    </row>
    <row r="24" spans="1:18" ht="30">
      <c r="A24" s="97" t="s">
        <v>44</v>
      </c>
      <c r="B24" s="97" t="s">
        <v>231</v>
      </c>
      <c r="C24" s="97" t="s">
        <v>22</v>
      </c>
      <c r="D24" s="97" t="s">
        <v>33</v>
      </c>
      <c r="E24" s="97" t="s">
        <v>20</v>
      </c>
      <c r="F24" s="116">
        <v>1</v>
      </c>
      <c r="G24" s="97" t="s">
        <v>46</v>
      </c>
      <c r="H24" s="97" t="s">
        <v>47</v>
      </c>
      <c r="I24" s="97" t="s">
        <v>48</v>
      </c>
      <c r="J24" s="108">
        <v>45971</v>
      </c>
      <c r="K24" s="108">
        <v>46001</v>
      </c>
      <c r="L24" s="97">
        <v>23</v>
      </c>
      <c r="M24" s="108">
        <v>46050</v>
      </c>
      <c r="N24" s="97" t="s">
        <v>108</v>
      </c>
      <c r="O24" s="97" t="s">
        <v>40</v>
      </c>
      <c r="P24" s="91"/>
      <c r="Q24" s="91"/>
      <c r="R24" t="str">
        <f t="shared" si="0"/>
        <v>IT project management♦Manage IT project portfolio♦Elaboration♦L2♦MP</v>
      </c>
    </row>
    <row r="25" spans="1:18">
      <c r="A25" s="97" t="s">
        <v>44</v>
      </c>
      <c r="B25" s="97" t="s">
        <v>231</v>
      </c>
      <c r="C25" s="97" t="s">
        <v>28</v>
      </c>
      <c r="D25" s="97" t="s">
        <v>33</v>
      </c>
      <c r="E25" s="97" t="s">
        <v>20</v>
      </c>
      <c r="F25" s="116">
        <v>0</v>
      </c>
      <c r="G25" s="91"/>
      <c r="H25" s="91"/>
      <c r="I25" s="91"/>
      <c r="J25" s="108">
        <v>46054</v>
      </c>
      <c r="K25" s="108">
        <v>46173</v>
      </c>
      <c r="L25" s="97">
        <v>85</v>
      </c>
      <c r="M25" s="108"/>
      <c r="N25" s="97" t="s">
        <v>28</v>
      </c>
      <c r="O25" s="97" t="s">
        <v>40</v>
      </c>
      <c r="P25" s="91"/>
      <c r="Q25" s="91"/>
      <c r="R25" t="str">
        <f t="shared" si="0"/>
        <v>IT project management♦Manage IT project portfolio♦Implementation LIS♦L2♦MP</v>
      </c>
    </row>
    <row r="26" spans="1:18">
      <c r="A26" s="97" t="s">
        <v>44</v>
      </c>
      <c r="B26" s="97" t="s">
        <v>231</v>
      </c>
      <c r="C26" s="97" t="s">
        <v>29</v>
      </c>
      <c r="D26" s="97" t="s">
        <v>33</v>
      </c>
      <c r="E26" s="97" t="s">
        <v>20</v>
      </c>
      <c r="F26" s="116">
        <v>0</v>
      </c>
      <c r="G26" s="91"/>
      <c r="H26" s="91"/>
      <c r="I26" s="91"/>
      <c r="J26" s="108"/>
      <c r="K26" s="108"/>
      <c r="L26" s="97">
        <v>0</v>
      </c>
      <c r="M26" s="108"/>
      <c r="N26" s="91"/>
      <c r="O26" s="97" t="s">
        <v>40</v>
      </c>
      <c r="P26" s="91"/>
      <c r="Q26" s="91"/>
      <c r="R26" t="str">
        <f t="shared" si="0"/>
        <v>IT project management♦Manage IT project portfolio♦Implementation COT♦L2♦MP</v>
      </c>
    </row>
    <row r="27" spans="1:18">
      <c r="A27" s="97" t="s">
        <v>44</v>
      </c>
      <c r="B27" s="97" t="s">
        <v>231</v>
      </c>
      <c r="C27" s="97" t="s">
        <v>30</v>
      </c>
      <c r="D27" s="97" t="s">
        <v>33</v>
      </c>
      <c r="E27" s="97" t="s">
        <v>20</v>
      </c>
      <c r="F27" s="116">
        <v>0</v>
      </c>
      <c r="G27" s="91"/>
      <c r="H27" s="91"/>
      <c r="I27" s="91"/>
      <c r="J27" s="108"/>
      <c r="K27" s="108"/>
      <c r="L27" s="97">
        <v>0</v>
      </c>
      <c r="M27" s="108"/>
      <c r="N27" s="91"/>
      <c r="O27" s="97" t="s">
        <v>40</v>
      </c>
      <c r="P27" s="91"/>
      <c r="Q27" s="91"/>
      <c r="R27" t="str">
        <f t="shared" si="0"/>
        <v>IT project management♦Manage IT project portfolio♦Implementation LUS♦L2♦MP</v>
      </c>
    </row>
    <row r="28" spans="1:18">
      <c r="A28" s="94" t="s">
        <v>39</v>
      </c>
      <c r="B28" s="92" t="s">
        <v>232</v>
      </c>
      <c r="C28" s="92" t="s">
        <v>18</v>
      </c>
      <c r="D28" s="92" t="s">
        <v>33</v>
      </c>
      <c r="E28" s="92" t="s">
        <v>20</v>
      </c>
      <c r="F28" s="115">
        <v>0.5</v>
      </c>
      <c r="G28" s="91"/>
      <c r="H28" s="91"/>
      <c r="I28" s="91"/>
      <c r="J28" s="107">
        <v>46113</v>
      </c>
      <c r="K28" s="107">
        <v>46273</v>
      </c>
      <c r="L28" s="92">
        <v>115</v>
      </c>
      <c r="M28" s="107"/>
      <c r="N28" s="91"/>
      <c r="O28" s="92" t="s">
        <v>40</v>
      </c>
      <c r="P28" s="91"/>
      <c r="Q28" s="91"/>
      <c r="R28" t="str">
        <f t="shared" si="0"/>
        <v>ITSM♦Manage IT service portfolio♦Total♦L2♦MP</v>
      </c>
    </row>
    <row r="29" spans="1:18" ht="75">
      <c r="A29" s="97" t="s">
        <v>39</v>
      </c>
      <c r="B29" s="97" t="s">
        <v>233</v>
      </c>
      <c r="C29" s="97" t="s">
        <v>22</v>
      </c>
      <c r="D29" s="97" t="s">
        <v>33</v>
      </c>
      <c r="E29" s="97" t="s">
        <v>20</v>
      </c>
      <c r="F29" s="116">
        <v>0.5</v>
      </c>
      <c r="G29" s="97" t="s">
        <v>41</v>
      </c>
      <c r="H29" s="97" t="s">
        <v>473</v>
      </c>
      <c r="I29" s="97" t="s">
        <v>50</v>
      </c>
      <c r="J29" s="108">
        <v>46113</v>
      </c>
      <c r="K29" s="108">
        <v>46188</v>
      </c>
      <c r="L29" s="97">
        <v>54</v>
      </c>
      <c r="M29" s="108"/>
      <c r="N29" s="97" t="s">
        <v>26</v>
      </c>
      <c r="O29" s="97" t="s">
        <v>40</v>
      </c>
      <c r="P29" s="97" t="s">
        <v>614</v>
      </c>
      <c r="Q29" s="91"/>
      <c r="R29" t="str">
        <f t="shared" si="0"/>
        <v>ITSM♦Manage IT service portfolio♦Elaboration♦L2♦MP</v>
      </c>
    </row>
    <row r="30" spans="1:18">
      <c r="A30" s="97" t="s">
        <v>39</v>
      </c>
      <c r="B30" s="97" t="s">
        <v>233</v>
      </c>
      <c r="C30" s="97" t="s">
        <v>28</v>
      </c>
      <c r="D30" s="97" t="s">
        <v>33</v>
      </c>
      <c r="E30" s="97" t="s">
        <v>20</v>
      </c>
      <c r="F30" s="116">
        <v>0</v>
      </c>
      <c r="G30" s="91"/>
      <c r="H30" s="91"/>
      <c r="I30" s="91"/>
      <c r="J30" s="108">
        <v>46188</v>
      </c>
      <c r="K30" s="108">
        <v>46273</v>
      </c>
      <c r="L30" s="97">
        <v>62</v>
      </c>
      <c r="M30" s="108"/>
      <c r="N30" s="97" t="s">
        <v>27</v>
      </c>
      <c r="O30" s="97" t="s">
        <v>40</v>
      </c>
      <c r="P30" s="91"/>
      <c r="Q30" s="91"/>
      <c r="R30" t="str">
        <f t="shared" si="0"/>
        <v>ITSM♦Manage IT service portfolio♦Implementation LIS♦L2♦MP</v>
      </c>
    </row>
    <row r="31" spans="1:18">
      <c r="A31" s="97" t="s">
        <v>39</v>
      </c>
      <c r="B31" s="97" t="s">
        <v>233</v>
      </c>
      <c r="C31" s="97" t="s">
        <v>29</v>
      </c>
      <c r="D31" s="97" t="s">
        <v>33</v>
      </c>
      <c r="E31" s="97" t="s">
        <v>20</v>
      </c>
      <c r="F31" s="116">
        <v>0</v>
      </c>
      <c r="G31" s="91"/>
      <c r="H31" s="91"/>
      <c r="I31" s="91"/>
      <c r="J31" s="108"/>
      <c r="K31" s="108"/>
      <c r="L31" s="97">
        <v>0</v>
      </c>
      <c r="M31" s="108"/>
      <c r="N31" s="91"/>
      <c r="O31" s="97" t="s">
        <v>40</v>
      </c>
      <c r="P31" s="91"/>
      <c r="Q31" s="91"/>
      <c r="R31" t="str">
        <f t="shared" si="0"/>
        <v>ITSM♦Manage IT service portfolio♦Implementation COT♦L2♦MP</v>
      </c>
    </row>
    <row r="32" spans="1:18">
      <c r="A32" s="97" t="s">
        <v>39</v>
      </c>
      <c r="B32" s="97" t="s">
        <v>233</v>
      </c>
      <c r="C32" s="97" t="s">
        <v>30</v>
      </c>
      <c r="D32" s="97" t="s">
        <v>33</v>
      </c>
      <c r="E32" s="97" t="s">
        <v>20</v>
      </c>
      <c r="F32" s="116">
        <v>0</v>
      </c>
      <c r="G32" s="91"/>
      <c r="H32" s="91"/>
      <c r="I32" s="91"/>
      <c r="J32" s="108"/>
      <c r="K32" s="108"/>
      <c r="L32" s="97">
        <v>0</v>
      </c>
      <c r="M32" s="108"/>
      <c r="N32" s="91"/>
      <c r="O32" s="97" t="s">
        <v>40</v>
      </c>
      <c r="P32" s="91"/>
      <c r="Q32" s="91"/>
      <c r="R32" t="str">
        <f t="shared" si="0"/>
        <v>ITSM♦Manage IT service portfolio♦Implementation LUS♦L2♦MP</v>
      </c>
    </row>
    <row r="33" spans="1:18" ht="30">
      <c r="A33" s="99" t="s">
        <v>51</v>
      </c>
      <c r="B33" s="96" t="s">
        <v>474</v>
      </c>
      <c r="C33" s="96" t="s">
        <v>18</v>
      </c>
      <c r="D33" s="96" t="s">
        <v>19</v>
      </c>
      <c r="E33" s="96" t="s">
        <v>20</v>
      </c>
      <c r="F33" s="113">
        <v>0.5</v>
      </c>
      <c r="G33" s="95"/>
      <c r="H33" s="95"/>
      <c r="I33" s="96" t="s">
        <v>55</v>
      </c>
      <c r="J33" s="105">
        <v>45945</v>
      </c>
      <c r="K33" s="105">
        <v>46234</v>
      </c>
      <c r="L33" s="96">
        <v>208</v>
      </c>
      <c r="M33" s="105"/>
      <c r="N33" s="95"/>
      <c r="O33" s="96" t="s">
        <v>235</v>
      </c>
      <c r="P33" s="91"/>
      <c r="Q33" s="91"/>
      <c r="R33" t="str">
        <f t="shared" si="0"/>
        <v>IT planning and steering♦Manage and control IT financials♦Total♦L1♦MP</v>
      </c>
    </row>
    <row r="34" spans="1:18" ht="45">
      <c r="A34" s="97" t="s">
        <v>51</v>
      </c>
      <c r="B34" s="98" t="s">
        <v>236</v>
      </c>
      <c r="C34" s="98" t="s">
        <v>22</v>
      </c>
      <c r="D34" s="98" t="s">
        <v>19</v>
      </c>
      <c r="E34" s="98" t="s">
        <v>20</v>
      </c>
      <c r="F34" s="114">
        <v>0.5</v>
      </c>
      <c r="G34" s="98" t="s">
        <v>237</v>
      </c>
      <c r="H34" s="98" t="s">
        <v>54</v>
      </c>
      <c r="I34" s="98" t="s">
        <v>55</v>
      </c>
      <c r="J34" s="106">
        <v>45945</v>
      </c>
      <c r="K34" s="106">
        <v>46142</v>
      </c>
      <c r="L34" s="98">
        <v>142</v>
      </c>
      <c r="M34" s="106"/>
      <c r="N34" s="98" t="s">
        <v>26</v>
      </c>
      <c r="O34" s="98" t="s">
        <v>235</v>
      </c>
      <c r="P34" s="91"/>
      <c r="Q34" s="91"/>
      <c r="R34" t="str">
        <f t="shared" si="0"/>
        <v>IT planning and steering♦Manage and control IT financials♦Elaboration♦L1♦MP</v>
      </c>
    </row>
    <row r="35" spans="1:18" ht="30">
      <c r="A35" s="97" t="s">
        <v>51</v>
      </c>
      <c r="B35" s="98" t="s">
        <v>236</v>
      </c>
      <c r="C35" s="98" t="s">
        <v>28</v>
      </c>
      <c r="D35" s="98" t="s">
        <v>19</v>
      </c>
      <c r="E35" s="98" t="s">
        <v>20</v>
      </c>
      <c r="F35" s="114">
        <v>0</v>
      </c>
      <c r="G35" s="95"/>
      <c r="H35" s="95"/>
      <c r="I35" s="95"/>
      <c r="J35" s="106">
        <v>46143</v>
      </c>
      <c r="K35" s="106">
        <v>46234</v>
      </c>
      <c r="L35" s="98">
        <v>66</v>
      </c>
      <c r="M35" s="106"/>
      <c r="N35" s="98" t="s">
        <v>27</v>
      </c>
      <c r="O35" s="98" t="s">
        <v>235</v>
      </c>
      <c r="P35" s="91"/>
      <c r="Q35" s="91"/>
      <c r="R35" t="str">
        <f t="shared" si="0"/>
        <v>IT planning and steering♦Manage and control IT financials♦Implementation LIS♦L1♦MP</v>
      </c>
    </row>
    <row r="36" spans="1:18" ht="30">
      <c r="A36" s="97" t="s">
        <v>51</v>
      </c>
      <c r="B36" s="98" t="s">
        <v>236</v>
      </c>
      <c r="C36" s="98" t="s">
        <v>29</v>
      </c>
      <c r="D36" s="98" t="s">
        <v>33</v>
      </c>
      <c r="E36" s="98" t="s">
        <v>20</v>
      </c>
      <c r="F36" s="114">
        <v>0</v>
      </c>
      <c r="G36" s="95"/>
      <c r="H36" s="95"/>
      <c r="I36" s="95"/>
      <c r="J36" s="106"/>
      <c r="K36" s="106"/>
      <c r="L36" s="98">
        <v>0</v>
      </c>
      <c r="M36" s="106"/>
      <c r="N36" s="95"/>
      <c r="O36" s="98" t="s">
        <v>235</v>
      </c>
      <c r="P36" s="91"/>
      <c r="Q36" s="91"/>
      <c r="R36" t="str">
        <f t="shared" si="0"/>
        <v>IT planning and steering♦Manage and control IT financials♦Implementation COT♦L2♦MP</v>
      </c>
    </row>
    <row r="37" spans="1:18" ht="30">
      <c r="A37" s="97" t="s">
        <v>51</v>
      </c>
      <c r="B37" s="98" t="s">
        <v>236</v>
      </c>
      <c r="C37" s="98" t="s">
        <v>30</v>
      </c>
      <c r="D37" s="98" t="s">
        <v>19</v>
      </c>
      <c r="E37" s="98" t="s">
        <v>20</v>
      </c>
      <c r="F37" s="114">
        <v>0</v>
      </c>
      <c r="G37" s="95"/>
      <c r="H37" s="95"/>
      <c r="I37" s="95"/>
      <c r="J37" s="106"/>
      <c r="K37" s="106"/>
      <c r="L37" s="98">
        <v>0</v>
      </c>
      <c r="M37" s="106"/>
      <c r="N37" s="95"/>
      <c r="O37" s="98" t="s">
        <v>235</v>
      </c>
      <c r="P37" s="91"/>
      <c r="Q37" s="91"/>
      <c r="R37" t="str">
        <f t="shared" si="0"/>
        <v>IT planning and steering♦Manage and control IT financials♦Implementation LUS♦L1♦MP</v>
      </c>
    </row>
    <row r="38" spans="1:18" ht="30">
      <c r="A38" s="99" t="s">
        <v>51</v>
      </c>
      <c r="B38" s="92" t="s">
        <v>238</v>
      </c>
      <c r="C38" s="92" t="s">
        <v>18</v>
      </c>
      <c r="D38" s="92" t="s">
        <v>33</v>
      </c>
      <c r="E38" s="92" t="s">
        <v>20</v>
      </c>
      <c r="F38" s="115">
        <v>0.5</v>
      </c>
      <c r="G38" s="91"/>
      <c r="H38" s="91"/>
      <c r="I38" s="91"/>
      <c r="J38" s="107">
        <v>45945</v>
      </c>
      <c r="K38" s="107"/>
      <c r="L38" s="92">
        <v>0</v>
      </c>
      <c r="M38" s="107"/>
      <c r="N38" s="91"/>
      <c r="O38" s="92" t="s">
        <v>235</v>
      </c>
      <c r="P38" s="91"/>
      <c r="Q38" s="91"/>
      <c r="R38" t="str">
        <f t="shared" si="0"/>
        <v>IT planning and steering♦Create and maintain IT budgets♦Total♦L2♦MP</v>
      </c>
    </row>
    <row r="39" spans="1:18" ht="45">
      <c r="A39" s="97" t="s">
        <v>51</v>
      </c>
      <c r="B39" s="97" t="s">
        <v>239</v>
      </c>
      <c r="C39" s="97" t="s">
        <v>22</v>
      </c>
      <c r="D39" s="97" t="s">
        <v>33</v>
      </c>
      <c r="E39" s="97" t="s">
        <v>20</v>
      </c>
      <c r="F39" s="116">
        <v>0.5</v>
      </c>
      <c r="G39" s="97" t="s">
        <v>237</v>
      </c>
      <c r="H39" s="97" t="s">
        <v>54</v>
      </c>
      <c r="I39" s="97" t="s">
        <v>25</v>
      </c>
      <c r="J39" s="107">
        <v>45945</v>
      </c>
      <c r="K39" s="107"/>
      <c r="L39" s="97">
        <v>0</v>
      </c>
      <c r="M39" s="108"/>
      <c r="N39" s="91"/>
      <c r="O39" s="97" t="s">
        <v>235</v>
      </c>
      <c r="P39" s="91"/>
      <c r="Q39" s="91"/>
      <c r="R39" t="str">
        <f t="shared" si="0"/>
        <v>IT planning and steering♦Create and maintain IT budgets♦Elaboration♦L2♦MP</v>
      </c>
    </row>
    <row r="40" spans="1:18" ht="30">
      <c r="A40" s="97" t="s">
        <v>51</v>
      </c>
      <c r="B40" s="97" t="s">
        <v>239</v>
      </c>
      <c r="C40" s="97" t="s">
        <v>28</v>
      </c>
      <c r="D40" s="97" t="s">
        <v>33</v>
      </c>
      <c r="E40" s="97" t="s">
        <v>20</v>
      </c>
      <c r="F40" s="116">
        <v>0</v>
      </c>
      <c r="G40" s="91"/>
      <c r="H40" s="91"/>
      <c r="I40" s="91"/>
      <c r="J40" s="107"/>
      <c r="K40" s="107"/>
      <c r="L40" s="97">
        <v>0</v>
      </c>
      <c r="M40" s="108"/>
      <c r="N40" s="91"/>
      <c r="O40" s="97" t="s">
        <v>235</v>
      </c>
      <c r="P40" s="91"/>
      <c r="Q40" s="91"/>
      <c r="R40" t="str">
        <f t="shared" si="0"/>
        <v>IT planning and steering♦Create and maintain IT budgets♦Implementation LIS♦L2♦MP</v>
      </c>
    </row>
    <row r="41" spans="1:18" ht="30">
      <c r="A41" s="97" t="s">
        <v>51</v>
      </c>
      <c r="B41" s="97" t="s">
        <v>239</v>
      </c>
      <c r="C41" s="97" t="s">
        <v>29</v>
      </c>
      <c r="D41" s="97" t="s">
        <v>33</v>
      </c>
      <c r="E41" s="97" t="s">
        <v>20</v>
      </c>
      <c r="F41" s="116">
        <v>0</v>
      </c>
      <c r="G41" s="91"/>
      <c r="H41" s="91"/>
      <c r="I41" s="91"/>
      <c r="J41" s="108"/>
      <c r="K41" s="108"/>
      <c r="L41" s="97">
        <v>0</v>
      </c>
      <c r="M41" s="108"/>
      <c r="N41" s="91"/>
      <c r="O41" s="97" t="s">
        <v>235</v>
      </c>
      <c r="P41" s="91"/>
      <c r="Q41" s="91"/>
      <c r="R41" t="str">
        <f t="shared" si="0"/>
        <v>IT planning and steering♦Create and maintain IT budgets♦Implementation COT♦L2♦MP</v>
      </c>
    </row>
    <row r="42" spans="1:18" ht="30">
      <c r="A42" s="97" t="s">
        <v>51</v>
      </c>
      <c r="B42" s="97" t="s">
        <v>239</v>
      </c>
      <c r="C42" s="97" t="s">
        <v>30</v>
      </c>
      <c r="D42" s="97" t="s">
        <v>33</v>
      </c>
      <c r="E42" s="97" t="s">
        <v>20</v>
      </c>
      <c r="F42" s="116">
        <v>0</v>
      </c>
      <c r="G42" s="91"/>
      <c r="H42" s="91"/>
      <c r="I42" s="91"/>
      <c r="J42" s="108"/>
      <c r="K42" s="108"/>
      <c r="L42" s="97">
        <v>0</v>
      </c>
      <c r="M42" s="108"/>
      <c r="N42" s="91"/>
      <c r="O42" s="97" t="s">
        <v>235</v>
      </c>
      <c r="P42" s="91"/>
      <c r="Q42" s="91"/>
      <c r="R42" t="str">
        <f t="shared" si="0"/>
        <v>IT planning and steering♦Create and maintain IT budgets♦Implementation LUS♦L2♦MP</v>
      </c>
    </row>
    <row r="43" spans="1:18" ht="30">
      <c r="A43" s="94" t="s">
        <v>51</v>
      </c>
      <c r="B43" s="92" t="s">
        <v>476</v>
      </c>
      <c r="C43" s="92" t="s">
        <v>18</v>
      </c>
      <c r="D43" s="92" t="s">
        <v>58</v>
      </c>
      <c r="E43" s="92" t="s">
        <v>20</v>
      </c>
      <c r="F43" s="115">
        <v>0.5</v>
      </c>
      <c r="G43" s="91"/>
      <c r="H43" s="91"/>
      <c r="I43" s="91"/>
      <c r="J43" s="107">
        <v>45945</v>
      </c>
      <c r="K43" s="107"/>
      <c r="L43" s="92">
        <v>0</v>
      </c>
      <c r="M43" s="107"/>
      <c r="N43" s="91"/>
      <c r="O43" s="92" t="s">
        <v>235</v>
      </c>
      <c r="P43" s="91"/>
      <c r="Q43" s="91"/>
      <c r="R43" t="str">
        <f t="shared" si="0"/>
        <v>IT planning and steering♦Approve and communicate budget plan♦Total♦L3♦MP</v>
      </c>
    </row>
    <row r="44" spans="1:18" ht="45">
      <c r="A44" s="97" t="s">
        <v>51</v>
      </c>
      <c r="B44" s="97" t="s">
        <v>241</v>
      </c>
      <c r="C44" s="97" t="s">
        <v>22</v>
      </c>
      <c r="D44" s="97" t="s">
        <v>58</v>
      </c>
      <c r="E44" s="97" t="s">
        <v>20</v>
      </c>
      <c r="F44" s="116">
        <v>0.5</v>
      </c>
      <c r="G44" s="97" t="s">
        <v>237</v>
      </c>
      <c r="H44" s="97" t="s">
        <v>54</v>
      </c>
      <c r="I44" s="97" t="s">
        <v>25</v>
      </c>
      <c r="J44" s="108">
        <v>45945</v>
      </c>
      <c r="K44" s="108"/>
      <c r="L44" s="97">
        <v>0</v>
      </c>
      <c r="M44" s="108"/>
      <c r="N44" s="91"/>
      <c r="O44" s="97" t="s">
        <v>235</v>
      </c>
      <c r="P44" s="91"/>
      <c r="Q44" s="91"/>
      <c r="R44" t="str">
        <f t="shared" si="0"/>
        <v>IT planning and steering♦Approve and communicate budget plan♦Elaboration♦L3♦MP</v>
      </c>
    </row>
    <row r="45" spans="1:18" ht="30">
      <c r="A45" s="97" t="s">
        <v>51</v>
      </c>
      <c r="B45" s="97" t="s">
        <v>241</v>
      </c>
      <c r="C45" s="97" t="s">
        <v>28</v>
      </c>
      <c r="D45" s="97" t="s">
        <v>58</v>
      </c>
      <c r="E45" s="97" t="s">
        <v>20</v>
      </c>
      <c r="F45" s="116">
        <v>0</v>
      </c>
      <c r="G45" s="91"/>
      <c r="H45" s="91"/>
      <c r="I45" s="91"/>
      <c r="J45" s="108"/>
      <c r="K45" s="108"/>
      <c r="L45" s="97">
        <v>0</v>
      </c>
      <c r="M45" s="108"/>
      <c r="N45" s="91"/>
      <c r="O45" s="97" t="s">
        <v>235</v>
      </c>
      <c r="P45" s="91"/>
      <c r="Q45" s="91"/>
      <c r="R45" t="str">
        <f t="shared" si="0"/>
        <v>IT planning and steering♦Approve and communicate budget plan♦Implementation LIS♦L3♦MP</v>
      </c>
    </row>
    <row r="46" spans="1:18" ht="30">
      <c r="A46" s="97" t="s">
        <v>51</v>
      </c>
      <c r="B46" s="97" t="s">
        <v>241</v>
      </c>
      <c r="C46" s="97" t="s">
        <v>29</v>
      </c>
      <c r="D46" s="97" t="s">
        <v>58</v>
      </c>
      <c r="E46" s="97" t="s">
        <v>20</v>
      </c>
      <c r="F46" s="116">
        <v>0</v>
      </c>
      <c r="G46" s="91"/>
      <c r="H46" s="91"/>
      <c r="I46" s="91"/>
      <c r="J46" s="108"/>
      <c r="K46" s="108"/>
      <c r="L46" s="97">
        <v>0</v>
      </c>
      <c r="M46" s="108"/>
      <c r="N46" s="91"/>
      <c r="O46" s="97" t="s">
        <v>235</v>
      </c>
      <c r="P46" s="91"/>
      <c r="Q46" s="91"/>
      <c r="R46" t="str">
        <f t="shared" si="0"/>
        <v>IT planning and steering♦Approve and communicate budget plan♦Implementation COT♦L3♦MP</v>
      </c>
    </row>
    <row r="47" spans="1:18" ht="30">
      <c r="A47" s="97" t="s">
        <v>51</v>
      </c>
      <c r="B47" s="97" t="s">
        <v>241</v>
      </c>
      <c r="C47" s="97" t="s">
        <v>30</v>
      </c>
      <c r="D47" s="97" t="s">
        <v>58</v>
      </c>
      <c r="E47" s="97" t="s">
        <v>20</v>
      </c>
      <c r="F47" s="116">
        <v>0</v>
      </c>
      <c r="G47" s="91"/>
      <c r="H47" s="91"/>
      <c r="I47" s="91"/>
      <c r="J47" s="108"/>
      <c r="K47" s="108"/>
      <c r="L47" s="97">
        <v>0</v>
      </c>
      <c r="M47" s="108"/>
      <c r="N47" s="91"/>
      <c r="O47" s="97" t="s">
        <v>235</v>
      </c>
      <c r="P47" s="91"/>
      <c r="Q47" s="91"/>
      <c r="R47" t="str">
        <f t="shared" si="0"/>
        <v>IT planning and steering♦Approve and communicate budget plan♦Implementation LUS♦L3♦MP</v>
      </c>
    </row>
    <row r="48" spans="1:18" ht="30">
      <c r="A48" s="94" t="s">
        <v>51</v>
      </c>
      <c r="B48" s="92" t="s">
        <v>478</v>
      </c>
      <c r="C48" s="92" t="s">
        <v>18</v>
      </c>
      <c r="D48" s="92" t="s">
        <v>58</v>
      </c>
      <c r="E48" s="92" t="s">
        <v>20</v>
      </c>
      <c r="F48" s="115">
        <v>0.5</v>
      </c>
      <c r="G48" s="91"/>
      <c r="H48" s="91"/>
      <c r="I48" s="91"/>
      <c r="J48" s="107">
        <v>45945</v>
      </c>
      <c r="K48" s="107"/>
      <c r="L48" s="92">
        <v>0</v>
      </c>
      <c r="M48" s="107"/>
      <c r="N48" s="91"/>
      <c r="O48" s="92" t="s">
        <v>235</v>
      </c>
      <c r="P48" s="91"/>
      <c r="Q48" s="91"/>
      <c r="R48" t="str">
        <f t="shared" si="0"/>
        <v>IT planning and steering♦Collect and consolidate budget from stakeholders♦Total♦L3♦MP</v>
      </c>
    </row>
    <row r="49" spans="1:18" ht="45">
      <c r="A49" s="97" t="s">
        <v>51</v>
      </c>
      <c r="B49" s="97" t="s">
        <v>243</v>
      </c>
      <c r="C49" s="97" t="s">
        <v>22</v>
      </c>
      <c r="D49" s="97" t="s">
        <v>58</v>
      </c>
      <c r="E49" s="97" t="s">
        <v>20</v>
      </c>
      <c r="F49" s="116">
        <v>0.5</v>
      </c>
      <c r="G49" s="97" t="s">
        <v>237</v>
      </c>
      <c r="H49" s="97" t="s">
        <v>54</v>
      </c>
      <c r="I49" s="97" t="s">
        <v>25</v>
      </c>
      <c r="J49" s="108">
        <v>45945</v>
      </c>
      <c r="K49" s="108"/>
      <c r="L49" s="97">
        <v>0</v>
      </c>
      <c r="M49" s="108"/>
      <c r="N49" s="91"/>
      <c r="O49" s="97" t="s">
        <v>235</v>
      </c>
      <c r="P49" s="91"/>
      <c r="Q49" s="91"/>
      <c r="R49" t="str">
        <f t="shared" si="0"/>
        <v>IT planning and steering♦Collect and consolidate budget from stakeholders♦Elaboration♦L3♦MP</v>
      </c>
    </row>
    <row r="50" spans="1:18" ht="30">
      <c r="A50" s="97" t="s">
        <v>51</v>
      </c>
      <c r="B50" s="97" t="s">
        <v>243</v>
      </c>
      <c r="C50" s="97" t="s">
        <v>28</v>
      </c>
      <c r="D50" s="97" t="s">
        <v>58</v>
      </c>
      <c r="E50" s="97" t="s">
        <v>20</v>
      </c>
      <c r="F50" s="116">
        <v>0</v>
      </c>
      <c r="G50" s="91"/>
      <c r="H50" s="91"/>
      <c r="I50" s="91"/>
      <c r="J50" s="108"/>
      <c r="K50" s="108"/>
      <c r="L50" s="97">
        <v>0</v>
      </c>
      <c r="M50" s="108"/>
      <c r="N50" s="91"/>
      <c r="O50" s="97" t="s">
        <v>235</v>
      </c>
      <c r="P50" s="91"/>
      <c r="Q50" s="91"/>
      <c r="R50" t="str">
        <f t="shared" si="0"/>
        <v>IT planning and steering♦Collect and consolidate budget from stakeholders♦Implementation LIS♦L3♦MP</v>
      </c>
    </row>
    <row r="51" spans="1:18" ht="30">
      <c r="A51" s="97" t="s">
        <v>51</v>
      </c>
      <c r="B51" s="97" t="s">
        <v>243</v>
      </c>
      <c r="C51" s="97" t="s">
        <v>29</v>
      </c>
      <c r="D51" s="97" t="s">
        <v>58</v>
      </c>
      <c r="E51" s="97" t="s">
        <v>20</v>
      </c>
      <c r="F51" s="116">
        <v>0</v>
      </c>
      <c r="G51" s="91"/>
      <c r="H51" s="91"/>
      <c r="I51" s="91"/>
      <c r="J51" s="108"/>
      <c r="K51" s="108"/>
      <c r="L51" s="97">
        <v>0</v>
      </c>
      <c r="M51" s="108"/>
      <c r="N51" s="91"/>
      <c r="O51" s="97" t="s">
        <v>235</v>
      </c>
      <c r="P51" s="91"/>
      <c r="Q51" s="91"/>
      <c r="R51" t="str">
        <f t="shared" si="0"/>
        <v>IT planning and steering♦Collect and consolidate budget from stakeholders♦Implementation COT♦L3♦MP</v>
      </c>
    </row>
    <row r="52" spans="1:18" ht="30">
      <c r="A52" s="97" t="s">
        <v>51</v>
      </c>
      <c r="B52" s="97" t="s">
        <v>243</v>
      </c>
      <c r="C52" s="97" t="s">
        <v>30</v>
      </c>
      <c r="D52" s="97" t="s">
        <v>58</v>
      </c>
      <c r="E52" s="97" t="s">
        <v>20</v>
      </c>
      <c r="F52" s="116">
        <v>0</v>
      </c>
      <c r="G52" s="91"/>
      <c r="H52" s="91"/>
      <c r="I52" s="91"/>
      <c r="J52" s="108"/>
      <c r="K52" s="108"/>
      <c r="L52" s="97">
        <v>0</v>
      </c>
      <c r="M52" s="108"/>
      <c r="N52" s="91"/>
      <c r="O52" s="97" t="s">
        <v>235</v>
      </c>
      <c r="P52" s="91"/>
      <c r="Q52" s="91"/>
      <c r="R52" t="str">
        <f t="shared" si="0"/>
        <v>IT planning and steering♦Collect and consolidate budget from stakeholders♦Implementation LUS♦L3♦MP</v>
      </c>
    </row>
    <row r="53" spans="1:18" ht="30">
      <c r="A53" s="94" t="s">
        <v>51</v>
      </c>
      <c r="B53" s="92" t="s">
        <v>480</v>
      </c>
      <c r="C53" s="92" t="s">
        <v>18</v>
      </c>
      <c r="D53" s="92" t="s">
        <v>58</v>
      </c>
      <c r="E53" s="92" t="s">
        <v>20</v>
      </c>
      <c r="F53" s="115">
        <v>0.5</v>
      </c>
      <c r="G53" s="91"/>
      <c r="H53" s="91"/>
      <c r="I53" s="91"/>
      <c r="J53" s="107">
        <v>45945</v>
      </c>
      <c r="K53" s="107"/>
      <c r="L53" s="92">
        <v>0</v>
      </c>
      <c r="M53" s="107"/>
      <c r="N53" s="91"/>
      <c r="O53" s="92" t="s">
        <v>235</v>
      </c>
      <c r="P53" s="91"/>
      <c r="Q53" s="91"/>
      <c r="R53" t="str">
        <f t="shared" si="0"/>
        <v>IT planning and steering♦Develop preliminary budget plan♦Total♦L3♦MP</v>
      </c>
    </row>
    <row r="54" spans="1:18" ht="45">
      <c r="A54" s="97" t="s">
        <v>51</v>
      </c>
      <c r="B54" s="97" t="s">
        <v>245</v>
      </c>
      <c r="C54" s="97" t="s">
        <v>22</v>
      </c>
      <c r="D54" s="97" t="s">
        <v>58</v>
      </c>
      <c r="E54" s="97" t="s">
        <v>20</v>
      </c>
      <c r="F54" s="116">
        <v>0.5</v>
      </c>
      <c r="G54" s="97" t="s">
        <v>237</v>
      </c>
      <c r="H54" s="97" t="s">
        <v>54</v>
      </c>
      <c r="I54" s="97" t="s">
        <v>25</v>
      </c>
      <c r="J54" s="108">
        <v>45945</v>
      </c>
      <c r="K54" s="108"/>
      <c r="L54" s="97">
        <v>0</v>
      </c>
      <c r="M54" s="108"/>
      <c r="N54" s="91"/>
      <c r="O54" s="97" t="s">
        <v>235</v>
      </c>
      <c r="P54" s="91"/>
      <c r="Q54" s="91"/>
      <c r="R54" t="str">
        <f t="shared" si="0"/>
        <v>IT planning and steering♦Develop preliminary budget plan♦Elaboration♦L3♦MP</v>
      </c>
    </row>
    <row r="55" spans="1:18" ht="30">
      <c r="A55" s="97" t="s">
        <v>51</v>
      </c>
      <c r="B55" s="97" t="s">
        <v>245</v>
      </c>
      <c r="C55" s="97" t="s">
        <v>28</v>
      </c>
      <c r="D55" s="97" t="s">
        <v>58</v>
      </c>
      <c r="E55" s="97" t="s">
        <v>20</v>
      </c>
      <c r="F55" s="116">
        <v>0</v>
      </c>
      <c r="G55" s="91"/>
      <c r="H55" s="91"/>
      <c r="I55" s="91"/>
      <c r="J55" s="108"/>
      <c r="K55" s="108"/>
      <c r="L55" s="97">
        <v>0</v>
      </c>
      <c r="M55" s="108"/>
      <c r="N55" s="91"/>
      <c r="O55" s="97" t="s">
        <v>235</v>
      </c>
      <c r="P55" s="91"/>
      <c r="Q55" s="91"/>
      <c r="R55" t="str">
        <f t="shared" si="0"/>
        <v>IT planning and steering♦Develop preliminary budget plan♦Implementation LIS♦L3♦MP</v>
      </c>
    </row>
    <row r="56" spans="1:18" ht="30">
      <c r="A56" s="97" t="s">
        <v>51</v>
      </c>
      <c r="B56" s="97" t="s">
        <v>245</v>
      </c>
      <c r="C56" s="97" t="s">
        <v>29</v>
      </c>
      <c r="D56" s="97" t="s">
        <v>58</v>
      </c>
      <c r="E56" s="97" t="s">
        <v>20</v>
      </c>
      <c r="F56" s="116">
        <v>0</v>
      </c>
      <c r="G56" s="91"/>
      <c r="H56" s="91"/>
      <c r="I56" s="91"/>
      <c r="J56" s="108"/>
      <c r="K56" s="108"/>
      <c r="L56" s="97">
        <v>0</v>
      </c>
      <c r="M56" s="108"/>
      <c r="N56" s="91"/>
      <c r="O56" s="97" t="s">
        <v>235</v>
      </c>
      <c r="P56" s="91"/>
      <c r="Q56" s="91"/>
      <c r="R56" t="str">
        <f t="shared" si="0"/>
        <v>IT planning and steering♦Develop preliminary budget plan♦Implementation COT♦L3♦MP</v>
      </c>
    </row>
    <row r="57" spans="1:18" ht="30">
      <c r="A57" s="97" t="s">
        <v>51</v>
      </c>
      <c r="B57" s="97" t="s">
        <v>245</v>
      </c>
      <c r="C57" s="97" t="s">
        <v>30</v>
      </c>
      <c r="D57" s="97" t="s">
        <v>58</v>
      </c>
      <c r="E57" s="97" t="s">
        <v>20</v>
      </c>
      <c r="F57" s="116">
        <v>0</v>
      </c>
      <c r="G57" s="91"/>
      <c r="H57" s="91"/>
      <c r="I57" s="91"/>
      <c r="J57" s="108"/>
      <c r="K57" s="108"/>
      <c r="L57" s="97">
        <v>0</v>
      </c>
      <c r="M57" s="108"/>
      <c r="N57" s="91"/>
      <c r="O57" s="97" t="s">
        <v>235</v>
      </c>
      <c r="P57" s="91"/>
      <c r="Q57" s="91"/>
      <c r="R57" t="str">
        <f t="shared" si="0"/>
        <v>IT planning and steering♦Develop preliminary budget plan♦Implementation LUS♦L3♦MP</v>
      </c>
    </row>
    <row r="58" spans="1:18" ht="30">
      <c r="A58" s="94" t="s">
        <v>51</v>
      </c>
      <c r="B58" s="92" t="s">
        <v>482</v>
      </c>
      <c r="C58" s="92" t="s">
        <v>18</v>
      </c>
      <c r="D58" s="92" t="s">
        <v>58</v>
      </c>
      <c r="E58" s="92" t="s">
        <v>20</v>
      </c>
      <c r="F58" s="115">
        <v>0.5</v>
      </c>
      <c r="G58" s="91"/>
      <c r="H58" s="91"/>
      <c r="I58" s="91"/>
      <c r="J58" s="107">
        <v>45945</v>
      </c>
      <c r="K58" s="107"/>
      <c r="L58" s="92">
        <v>0</v>
      </c>
      <c r="M58" s="107"/>
      <c r="N58" s="91"/>
      <c r="O58" s="92" t="s">
        <v>235</v>
      </c>
      <c r="P58" s="91"/>
      <c r="Q58" s="91"/>
      <c r="R58" t="str">
        <f t="shared" si="0"/>
        <v>IT planning and steering♦Maintan and adjust budget♦Total♦L3♦MP</v>
      </c>
    </row>
    <row r="59" spans="1:18" ht="45">
      <c r="A59" s="97" t="s">
        <v>51</v>
      </c>
      <c r="B59" s="97" t="s">
        <v>247</v>
      </c>
      <c r="C59" s="97" t="s">
        <v>22</v>
      </c>
      <c r="D59" s="97" t="s">
        <v>58</v>
      </c>
      <c r="E59" s="97" t="s">
        <v>20</v>
      </c>
      <c r="F59" s="116">
        <v>0.5</v>
      </c>
      <c r="G59" s="97" t="s">
        <v>237</v>
      </c>
      <c r="H59" s="97" t="s">
        <v>54</v>
      </c>
      <c r="I59" s="97" t="s">
        <v>25</v>
      </c>
      <c r="J59" s="108">
        <v>45945</v>
      </c>
      <c r="K59" s="108"/>
      <c r="L59" s="97">
        <v>0</v>
      </c>
      <c r="M59" s="108"/>
      <c r="N59" s="91"/>
      <c r="O59" s="97" t="s">
        <v>235</v>
      </c>
      <c r="P59" s="91"/>
      <c r="Q59" s="91"/>
      <c r="R59" t="str">
        <f t="shared" si="0"/>
        <v>IT planning and steering♦Maintan and adjust budget♦Elaboration♦L3♦MP</v>
      </c>
    </row>
    <row r="60" spans="1:18" ht="30">
      <c r="A60" s="97" t="s">
        <v>51</v>
      </c>
      <c r="B60" s="97" t="s">
        <v>247</v>
      </c>
      <c r="C60" s="97" t="s">
        <v>28</v>
      </c>
      <c r="D60" s="97" t="s">
        <v>58</v>
      </c>
      <c r="E60" s="97" t="s">
        <v>20</v>
      </c>
      <c r="F60" s="116">
        <v>0</v>
      </c>
      <c r="G60" s="91"/>
      <c r="H60" s="91"/>
      <c r="I60" s="91"/>
      <c r="J60" s="108"/>
      <c r="K60" s="108"/>
      <c r="L60" s="97">
        <v>0</v>
      </c>
      <c r="M60" s="108"/>
      <c r="N60" s="91"/>
      <c r="O60" s="97" t="s">
        <v>235</v>
      </c>
      <c r="P60" s="91"/>
      <c r="Q60" s="91"/>
      <c r="R60" t="str">
        <f t="shared" si="0"/>
        <v>IT planning and steering♦Maintan and adjust budget♦Implementation LIS♦L3♦MP</v>
      </c>
    </row>
    <row r="61" spans="1:18" ht="30">
      <c r="A61" s="97" t="s">
        <v>51</v>
      </c>
      <c r="B61" s="97" t="s">
        <v>247</v>
      </c>
      <c r="C61" s="97" t="s">
        <v>29</v>
      </c>
      <c r="D61" s="97" t="s">
        <v>58</v>
      </c>
      <c r="E61" s="97" t="s">
        <v>20</v>
      </c>
      <c r="F61" s="116">
        <v>0</v>
      </c>
      <c r="G61" s="91"/>
      <c r="H61" s="91"/>
      <c r="I61" s="91"/>
      <c r="J61" s="108"/>
      <c r="K61" s="108"/>
      <c r="L61" s="97">
        <v>0</v>
      </c>
      <c r="M61" s="108"/>
      <c r="N61" s="91"/>
      <c r="O61" s="97" t="s">
        <v>235</v>
      </c>
      <c r="P61" s="91"/>
      <c r="Q61" s="91"/>
      <c r="R61" t="str">
        <f t="shared" si="0"/>
        <v>IT planning and steering♦Maintan and adjust budget♦Implementation COT♦L3♦MP</v>
      </c>
    </row>
    <row r="62" spans="1:18" ht="30">
      <c r="A62" s="97" t="s">
        <v>51</v>
      </c>
      <c r="B62" s="97" t="s">
        <v>247</v>
      </c>
      <c r="C62" s="97" t="s">
        <v>30</v>
      </c>
      <c r="D62" s="97" t="s">
        <v>58</v>
      </c>
      <c r="E62" s="97" t="s">
        <v>20</v>
      </c>
      <c r="F62" s="116">
        <v>0</v>
      </c>
      <c r="G62" s="91"/>
      <c r="H62" s="91"/>
      <c r="I62" s="91"/>
      <c r="J62" s="108"/>
      <c r="K62" s="108"/>
      <c r="L62" s="97">
        <v>0</v>
      </c>
      <c r="M62" s="108"/>
      <c r="N62" s="91"/>
      <c r="O62" s="97" t="s">
        <v>235</v>
      </c>
      <c r="P62" s="91"/>
      <c r="Q62" s="91"/>
      <c r="R62" t="str">
        <f t="shared" si="0"/>
        <v>IT planning and steering♦Maintan and adjust budget♦Implementation LUS♦L3♦MP</v>
      </c>
    </row>
    <row r="63" spans="1:18" ht="30">
      <c r="A63" s="94" t="s">
        <v>51</v>
      </c>
      <c r="B63" s="92" t="s">
        <v>484</v>
      </c>
      <c r="C63" s="92" t="s">
        <v>18</v>
      </c>
      <c r="D63" s="92" t="s">
        <v>58</v>
      </c>
      <c r="E63" s="92" t="s">
        <v>20</v>
      </c>
      <c r="F63" s="115">
        <v>0.5</v>
      </c>
      <c r="G63" s="91"/>
      <c r="H63" s="91"/>
      <c r="I63" s="91"/>
      <c r="J63" s="107">
        <v>45945</v>
      </c>
      <c r="K63" s="107"/>
      <c r="L63" s="92">
        <v>0</v>
      </c>
      <c r="M63" s="107"/>
      <c r="N63" s="92">
        <v>18</v>
      </c>
      <c r="O63" s="92" t="s">
        <v>235</v>
      </c>
      <c r="P63" s="91"/>
      <c r="Q63" s="91"/>
      <c r="R63" t="str">
        <f t="shared" si="0"/>
        <v>IT planning and steering♦Review budget plan♦Total♦L3♦MP</v>
      </c>
    </row>
    <row r="64" spans="1:18" ht="45">
      <c r="A64" s="97" t="s">
        <v>51</v>
      </c>
      <c r="B64" s="97" t="s">
        <v>249</v>
      </c>
      <c r="C64" s="97" t="s">
        <v>22</v>
      </c>
      <c r="D64" s="97" t="s">
        <v>58</v>
      </c>
      <c r="E64" s="97" t="s">
        <v>20</v>
      </c>
      <c r="F64" s="116">
        <v>0.5</v>
      </c>
      <c r="G64" s="97" t="s">
        <v>237</v>
      </c>
      <c r="H64" s="97" t="s">
        <v>54</v>
      </c>
      <c r="I64" s="97" t="s">
        <v>25</v>
      </c>
      <c r="J64" s="108">
        <v>45945</v>
      </c>
      <c r="K64" s="108"/>
      <c r="L64" s="97">
        <v>0</v>
      </c>
      <c r="M64" s="108"/>
      <c r="N64" s="91"/>
      <c r="O64" s="97" t="s">
        <v>235</v>
      </c>
      <c r="P64" s="91"/>
      <c r="Q64" s="91"/>
      <c r="R64" t="str">
        <f t="shared" si="0"/>
        <v>IT planning and steering♦Review budget plan♦Elaboration♦L3♦MP</v>
      </c>
    </row>
    <row r="65" spans="1:18" ht="30">
      <c r="A65" s="97" t="s">
        <v>51</v>
      </c>
      <c r="B65" s="97" t="s">
        <v>249</v>
      </c>
      <c r="C65" s="97" t="s">
        <v>28</v>
      </c>
      <c r="D65" s="97" t="s">
        <v>58</v>
      </c>
      <c r="E65" s="97" t="s">
        <v>20</v>
      </c>
      <c r="F65" s="116">
        <v>0</v>
      </c>
      <c r="G65" s="91"/>
      <c r="H65" s="91"/>
      <c r="I65" s="91"/>
      <c r="J65" s="108"/>
      <c r="K65" s="108"/>
      <c r="L65" s="97">
        <v>0</v>
      </c>
      <c r="M65" s="108"/>
      <c r="N65" s="91"/>
      <c r="O65" s="97" t="s">
        <v>235</v>
      </c>
      <c r="P65" s="91"/>
      <c r="Q65" s="91"/>
      <c r="R65" t="str">
        <f t="shared" si="0"/>
        <v>IT planning and steering♦Review budget plan♦Implementation LIS♦L3♦MP</v>
      </c>
    </row>
    <row r="66" spans="1:18" ht="30">
      <c r="A66" s="97" t="s">
        <v>51</v>
      </c>
      <c r="B66" s="97" t="s">
        <v>249</v>
      </c>
      <c r="C66" s="97" t="s">
        <v>29</v>
      </c>
      <c r="D66" s="97" t="s">
        <v>58</v>
      </c>
      <c r="E66" s="97" t="s">
        <v>20</v>
      </c>
      <c r="F66" s="116">
        <v>0</v>
      </c>
      <c r="G66" s="91"/>
      <c r="H66" s="91"/>
      <c r="I66" s="91"/>
      <c r="J66" s="108"/>
      <c r="K66" s="108"/>
      <c r="L66" s="97">
        <v>0</v>
      </c>
      <c r="M66" s="108"/>
      <c r="N66" s="91"/>
      <c r="O66" s="97" t="s">
        <v>235</v>
      </c>
      <c r="P66" s="91"/>
      <c r="Q66" s="91"/>
      <c r="R66" t="str">
        <f t="shared" ref="R66:R129" si="1">TRIM(A66)&amp;"♦"&amp;TRIM(B66)&amp;"♦"&amp;TRIM(C66)&amp;"♦"&amp;TRIM(D66)&amp;"♦"&amp;TRIM(E66)</f>
        <v>IT planning and steering♦Review budget plan♦Implementation COT♦L3♦MP</v>
      </c>
    </row>
    <row r="67" spans="1:18" ht="30">
      <c r="A67" s="97" t="s">
        <v>51</v>
      </c>
      <c r="B67" s="97" t="s">
        <v>249</v>
      </c>
      <c r="C67" s="97" t="s">
        <v>30</v>
      </c>
      <c r="D67" s="97" t="s">
        <v>58</v>
      </c>
      <c r="E67" s="97" t="s">
        <v>20</v>
      </c>
      <c r="F67" s="116">
        <v>0</v>
      </c>
      <c r="G67" s="91"/>
      <c r="H67" s="91"/>
      <c r="I67" s="91"/>
      <c r="J67" s="108"/>
      <c r="K67" s="108"/>
      <c r="L67" s="97">
        <v>0</v>
      </c>
      <c r="M67" s="108"/>
      <c r="N67" s="91"/>
      <c r="O67" s="97" t="s">
        <v>235</v>
      </c>
      <c r="P67" s="91"/>
      <c r="Q67" s="91"/>
      <c r="R67" t="str">
        <f t="shared" si="1"/>
        <v>IT planning and steering♦Review budget plan♦Implementation LUS♦L3♦MP</v>
      </c>
    </row>
    <row r="68" spans="1:18" ht="30">
      <c r="A68" s="94" t="s">
        <v>51</v>
      </c>
      <c r="B68" s="92" t="s">
        <v>486</v>
      </c>
      <c r="C68" s="92" t="s">
        <v>18</v>
      </c>
      <c r="D68" s="92" t="s">
        <v>58</v>
      </c>
      <c r="E68" s="92" t="s">
        <v>20</v>
      </c>
      <c r="F68" s="115">
        <v>0.5</v>
      </c>
      <c r="G68" s="91"/>
      <c r="H68" s="91"/>
      <c r="I68" s="91"/>
      <c r="J68" s="107">
        <v>45945</v>
      </c>
      <c r="K68" s="107"/>
      <c r="L68" s="92">
        <v>0</v>
      </c>
      <c r="M68" s="107"/>
      <c r="N68" s="91"/>
      <c r="O68" s="92" t="s">
        <v>235</v>
      </c>
      <c r="P68" s="91"/>
      <c r="Q68" s="91"/>
      <c r="R68" t="str">
        <f t="shared" si="1"/>
        <v>IT planning and steering♦Revise and optimize budget plan♦Total♦L3♦MP</v>
      </c>
    </row>
    <row r="69" spans="1:18" ht="45">
      <c r="A69" s="97" t="s">
        <v>51</v>
      </c>
      <c r="B69" s="97" t="s">
        <v>251</v>
      </c>
      <c r="C69" s="97" t="s">
        <v>22</v>
      </c>
      <c r="D69" s="97" t="s">
        <v>58</v>
      </c>
      <c r="E69" s="97" t="s">
        <v>20</v>
      </c>
      <c r="F69" s="116">
        <v>0.5</v>
      </c>
      <c r="G69" s="97" t="s">
        <v>237</v>
      </c>
      <c r="H69" s="97" t="s">
        <v>54</v>
      </c>
      <c r="I69" s="97" t="s">
        <v>25</v>
      </c>
      <c r="J69" s="108">
        <v>45945</v>
      </c>
      <c r="K69" s="108"/>
      <c r="L69" s="97">
        <v>0</v>
      </c>
      <c r="M69" s="108"/>
      <c r="N69" s="91"/>
      <c r="O69" s="97" t="s">
        <v>235</v>
      </c>
      <c r="P69" s="91"/>
      <c r="Q69" s="91"/>
      <c r="R69" t="str">
        <f t="shared" si="1"/>
        <v>IT planning and steering♦Revise and optimize budget plan♦Elaboration♦L3♦MP</v>
      </c>
    </row>
    <row r="70" spans="1:18" ht="30">
      <c r="A70" s="97" t="s">
        <v>51</v>
      </c>
      <c r="B70" s="97" t="s">
        <v>251</v>
      </c>
      <c r="C70" s="97" t="s">
        <v>28</v>
      </c>
      <c r="D70" s="97" t="s">
        <v>58</v>
      </c>
      <c r="E70" s="97" t="s">
        <v>20</v>
      </c>
      <c r="F70" s="116">
        <v>0</v>
      </c>
      <c r="G70" s="91"/>
      <c r="H70" s="91"/>
      <c r="I70" s="91"/>
      <c r="J70" s="108"/>
      <c r="K70" s="108"/>
      <c r="L70" s="97">
        <v>0</v>
      </c>
      <c r="M70" s="108"/>
      <c r="N70" s="91"/>
      <c r="O70" s="97" t="s">
        <v>235</v>
      </c>
      <c r="P70" s="91"/>
      <c r="Q70" s="91"/>
      <c r="R70" t="str">
        <f t="shared" si="1"/>
        <v>IT planning and steering♦Revise and optimize budget plan♦Implementation LIS♦L3♦MP</v>
      </c>
    </row>
    <row r="71" spans="1:18" ht="30">
      <c r="A71" s="97" t="s">
        <v>51</v>
      </c>
      <c r="B71" s="97" t="s">
        <v>251</v>
      </c>
      <c r="C71" s="97" t="s">
        <v>29</v>
      </c>
      <c r="D71" s="97" t="s">
        <v>58</v>
      </c>
      <c r="E71" s="97" t="s">
        <v>20</v>
      </c>
      <c r="F71" s="116">
        <v>0</v>
      </c>
      <c r="G71" s="91"/>
      <c r="H71" s="91"/>
      <c r="I71" s="91"/>
      <c r="J71" s="108"/>
      <c r="K71" s="108"/>
      <c r="L71" s="97">
        <v>0</v>
      </c>
      <c r="M71" s="108"/>
      <c r="N71" s="91"/>
      <c r="O71" s="97" t="s">
        <v>235</v>
      </c>
      <c r="P71" s="91"/>
      <c r="Q71" s="91"/>
      <c r="R71" t="str">
        <f t="shared" si="1"/>
        <v>IT planning and steering♦Revise and optimize budget plan♦Implementation COT♦L3♦MP</v>
      </c>
    </row>
    <row r="72" spans="1:18" ht="30">
      <c r="A72" s="97" t="s">
        <v>51</v>
      </c>
      <c r="B72" s="97" t="s">
        <v>251</v>
      </c>
      <c r="C72" s="97" t="s">
        <v>30</v>
      </c>
      <c r="D72" s="97" t="s">
        <v>58</v>
      </c>
      <c r="E72" s="97" t="s">
        <v>20</v>
      </c>
      <c r="F72" s="116">
        <v>0</v>
      </c>
      <c r="G72" s="91"/>
      <c r="H72" s="91"/>
      <c r="I72" s="91"/>
      <c r="J72" s="108"/>
      <c r="K72" s="108"/>
      <c r="L72" s="97">
        <v>0</v>
      </c>
      <c r="M72" s="108"/>
      <c r="N72" s="91"/>
      <c r="O72" s="97" t="s">
        <v>235</v>
      </c>
      <c r="P72" s="91"/>
      <c r="Q72" s="91"/>
      <c r="R72" t="str">
        <f t="shared" si="1"/>
        <v>IT planning and steering♦Revise and optimize budget plan♦Implementation LUS♦L3♦MP</v>
      </c>
    </row>
    <row r="73" spans="1:18" ht="30">
      <c r="A73" s="99" t="s">
        <v>51</v>
      </c>
      <c r="B73" s="92" t="s">
        <v>252</v>
      </c>
      <c r="C73" s="92" t="s">
        <v>18</v>
      </c>
      <c r="D73" s="92" t="s">
        <v>33</v>
      </c>
      <c r="E73" s="92" t="s">
        <v>20</v>
      </c>
      <c r="F73" s="115">
        <v>0.5</v>
      </c>
      <c r="G73" s="91"/>
      <c r="H73" s="91"/>
      <c r="I73" s="91"/>
      <c r="J73" s="107">
        <v>45945</v>
      </c>
      <c r="K73" s="107"/>
      <c r="L73" s="92">
        <v>0</v>
      </c>
      <c r="M73" s="107"/>
      <c r="N73" s="91"/>
      <c r="O73" s="92" t="s">
        <v>235</v>
      </c>
      <c r="P73" s="91"/>
      <c r="Q73" s="91"/>
      <c r="R73" t="str">
        <f t="shared" si="1"/>
        <v>IT planning and steering♦Manage finance and accounting♦Total♦L2♦MP</v>
      </c>
    </row>
    <row r="74" spans="1:18" ht="45">
      <c r="A74" s="97" t="s">
        <v>51</v>
      </c>
      <c r="B74" s="97" t="s">
        <v>253</v>
      </c>
      <c r="C74" s="97" t="s">
        <v>22</v>
      </c>
      <c r="D74" s="97" t="s">
        <v>33</v>
      </c>
      <c r="E74" s="97" t="s">
        <v>20</v>
      </c>
      <c r="F74" s="116">
        <v>0.5</v>
      </c>
      <c r="G74" s="97" t="s">
        <v>237</v>
      </c>
      <c r="H74" s="97" t="s">
        <v>54</v>
      </c>
      <c r="I74" s="97" t="s">
        <v>55</v>
      </c>
      <c r="J74" s="108">
        <v>45945</v>
      </c>
      <c r="K74" s="107"/>
      <c r="L74" s="97">
        <v>0</v>
      </c>
      <c r="M74" s="108"/>
      <c r="N74" s="91"/>
      <c r="O74" s="97" t="s">
        <v>235</v>
      </c>
      <c r="P74" s="91"/>
      <c r="Q74" s="91"/>
      <c r="R74" t="str">
        <f t="shared" si="1"/>
        <v>IT planning and steering♦Manage finance and accounting♦Elaboration♦L2♦MP</v>
      </c>
    </row>
    <row r="75" spans="1:18" ht="30">
      <c r="A75" s="97" t="s">
        <v>51</v>
      </c>
      <c r="B75" s="97" t="s">
        <v>253</v>
      </c>
      <c r="C75" s="97" t="s">
        <v>28</v>
      </c>
      <c r="D75" s="97" t="s">
        <v>33</v>
      </c>
      <c r="E75" s="97" t="s">
        <v>20</v>
      </c>
      <c r="F75" s="116">
        <v>0</v>
      </c>
      <c r="G75" s="91"/>
      <c r="H75" s="91"/>
      <c r="I75" s="91"/>
      <c r="J75" s="108"/>
      <c r="K75" s="108"/>
      <c r="L75" s="97">
        <v>0</v>
      </c>
      <c r="M75" s="108"/>
      <c r="N75" s="91"/>
      <c r="O75" s="97" t="s">
        <v>235</v>
      </c>
      <c r="P75" s="91"/>
      <c r="Q75" s="91"/>
      <c r="R75" t="str">
        <f t="shared" si="1"/>
        <v>IT planning and steering♦Manage finance and accounting♦Implementation LIS♦L2♦MP</v>
      </c>
    </row>
    <row r="76" spans="1:18" ht="30">
      <c r="A76" s="97" t="s">
        <v>51</v>
      </c>
      <c r="B76" s="97" t="s">
        <v>253</v>
      </c>
      <c r="C76" s="97" t="s">
        <v>29</v>
      </c>
      <c r="D76" s="97" t="s">
        <v>33</v>
      </c>
      <c r="E76" s="97" t="s">
        <v>20</v>
      </c>
      <c r="F76" s="116">
        <v>0</v>
      </c>
      <c r="G76" s="91"/>
      <c r="H76" s="91"/>
      <c r="I76" s="91"/>
      <c r="J76" s="107"/>
      <c r="K76" s="107"/>
      <c r="L76" s="97">
        <v>0</v>
      </c>
      <c r="M76" s="108"/>
      <c r="N76" s="91"/>
      <c r="O76" s="97" t="s">
        <v>235</v>
      </c>
      <c r="P76" s="91"/>
      <c r="Q76" s="91"/>
      <c r="R76" t="str">
        <f t="shared" si="1"/>
        <v>IT planning and steering♦Manage finance and accounting♦Implementation COT♦L2♦MP</v>
      </c>
    </row>
    <row r="77" spans="1:18" ht="30">
      <c r="A77" s="97" t="s">
        <v>51</v>
      </c>
      <c r="B77" s="97" t="s">
        <v>253</v>
      </c>
      <c r="C77" s="97" t="s">
        <v>30</v>
      </c>
      <c r="D77" s="97" t="s">
        <v>33</v>
      </c>
      <c r="E77" s="97" t="s">
        <v>20</v>
      </c>
      <c r="F77" s="116">
        <v>0</v>
      </c>
      <c r="G77" s="91"/>
      <c r="H77" s="91"/>
      <c r="I77" s="91"/>
      <c r="J77" s="108"/>
      <c r="K77" s="108"/>
      <c r="L77" s="97">
        <v>0</v>
      </c>
      <c r="M77" s="108"/>
      <c r="N77" s="91"/>
      <c r="O77" s="97" t="s">
        <v>235</v>
      </c>
      <c r="P77" s="91"/>
      <c r="Q77" s="91"/>
      <c r="R77" t="str">
        <f t="shared" si="1"/>
        <v>IT planning and steering♦Manage finance and accounting♦Implementation LUS♦L2♦MP</v>
      </c>
    </row>
    <row r="78" spans="1:18" ht="30">
      <c r="A78" s="94" t="s">
        <v>51</v>
      </c>
      <c r="B78" s="92" t="s">
        <v>254</v>
      </c>
      <c r="C78" s="92" t="s">
        <v>18</v>
      </c>
      <c r="D78" s="92" t="s">
        <v>58</v>
      </c>
      <c r="E78" s="92" t="s">
        <v>20</v>
      </c>
      <c r="F78" s="115">
        <v>0.5</v>
      </c>
      <c r="G78" s="91"/>
      <c r="H78" s="91"/>
      <c r="I78" s="91"/>
      <c r="J78" s="107">
        <v>45945</v>
      </c>
      <c r="K78" s="107"/>
      <c r="L78" s="92">
        <v>0</v>
      </c>
      <c r="M78" s="107"/>
      <c r="N78" s="91"/>
      <c r="O78" s="92" t="s">
        <v>235</v>
      </c>
      <c r="P78" s="91"/>
      <c r="Q78" s="91"/>
      <c r="R78" t="str">
        <f t="shared" si="1"/>
        <v>IT planning and steering♦Define financial management framework♦Total♦L3♦MP</v>
      </c>
    </row>
    <row r="79" spans="1:18" ht="45">
      <c r="A79" s="97" t="s">
        <v>51</v>
      </c>
      <c r="B79" s="97" t="s">
        <v>255</v>
      </c>
      <c r="C79" s="97" t="s">
        <v>22</v>
      </c>
      <c r="D79" s="97" t="s">
        <v>58</v>
      </c>
      <c r="E79" s="97" t="s">
        <v>20</v>
      </c>
      <c r="F79" s="116">
        <v>0.5</v>
      </c>
      <c r="G79" s="97" t="s">
        <v>237</v>
      </c>
      <c r="H79" s="97" t="s">
        <v>54</v>
      </c>
      <c r="I79" s="97" t="s">
        <v>55</v>
      </c>
      <c r="J79" s="108">
        <v>45945</v>
      </c>
      <c r="K79" s="108"/>
      <c r="L79" s="97">
        <v>0</v>
      </c>
      <c r="M79" s="108"/>
      <c r="N79" s="91"/>
      <c r="O79" s="97" t="s">
        <v>235</v>
      </c>
      <c r="P79" s="91"/>
      <c r="Q79" s="91"/>
      <c r="R79" t="str">
        <f t="shared" si="1"/>
        <v>IT planning and steering♦Define financial management framework♦Elaboration♦L3♦MP</v>
      </c>
    </row>
    <row r="80" spans="1:18" ht="30">
      <c r="A80" s="97" t="s">
        <v>51</v>
      </c>
      <c r="B80" s="97" t="s">
        <v>255</v>
      </c>
      <c r="C80" s="97" t="s">
        <v>28</v>
      </c>
      <c r="D80" s="97" t="s">
        <v>58</v>
      </c>
      <c r="E80" s="97" t="s">
        <v>20</v>
      </c>
      <c r="F80" s="116">
        <v>0</v>
      </c>
      <c r="G80" s="91"/>
      <c r="H80" s="91"/>
      <c r="I80" s="91"/>
      <c r="J80" s="108"/>
      <c r="K80" s="108"/>
      <c r="L80" s="97">
        <v>0</v>
      </c>
      <c r="M80" s="108"/>
      <c r="N80" s="91"/>
      <c r="O80" s="97" t="s">
        <v>235</v>
      </c>
      <c r="P80" s="91"/>
      <c r="Q80" s="91"/>
      <c r="R80" t="str">
        <f t="shared" si="1"/>
        <v>IT planning and steering♦Define financial management framework♦Implementation LIS♦L3♦MP</v>
      </c>
    </row>
    <row r="81" spans="1:18" ht="30">
      <c r="A81" s="97" t="s">
        <v>51</v>
      </c>
      <c r="B81" s="97" t="s">
        <v>255</v>
      </c>
      <c r="C81" s="97" t="s">
        <v>29</v>
      </c>
      <c r="D81" s="97" t="s">
        <v>58</v>
      </c>
      <c r="E81" s="97" t="s">
        <v>20</v>
      </c>
      <c r="F81" s="116">
        <v>0</v>
      </c>
      <c r="G81" s="91"/>
      <c r="H81" s="91"/>
      <c r="I81" s="91"/>
      <c r="J81" s="108"/>
      <c r="K81" s="108"/>
      <c r="L81" s="97">
        <v>0</v>
      </c>
      <c r="M81" s="108"/>
      <c r="N81" s="91"/>
      <c r="O81" s="97" t="s">
        <v>235</v>
      </c>
      <c r="P81" s="91"/>
      <c r="Q81" s="91"/>
      <c r="R81" t="str">
        <f t="shared" si="1"/>
        <v>IT planning and steering♦Define financial management framework♦Implementation COT♦L3♦MP</v>
      </c>
    </row>
    <row r="82" spans="1:18" ht="30">
      <c r="A82" s="97" t="s">
        <v>51</v>
      </c>
      <c r="B82" s="97" t="s">
        <v>255</v>
      </c>
      <c r="C82" s="97" t="s">
        <v>30</v>
      </c>
      <c r="D82" s="97" t="s">
        <v>58</v>
      </c>
      <c r="E82" s="97" t="s">
        <v>20</v>
      </c>
      <c r="F82" s="116">
        <v>0</v>
      </c>
      <c r="G82" s="91"/>
      <c r="H82" s="91"/>
      <c r="I82" s="91"/>
      <c r="J82" s="108"/>
      <c r="K82" s="108"/>
      <c r="L82" s="97">
        <v>0</v>
      </c>
      <c r="M82" s="108"/>
      <c r="N82" s="91"/>
      <c r="O82" s="97" t="s">
        <v>235</v>
      </c>
      <c r="P82" s="91"/>
      <c r="Q82" s="91"/>
      <c r="R82" t="str">
        <f t="shared" si="1"/>
        <v>IT planning and steering♦Define financial management framework♦Implementation LUS♦L3♦MP</v>
      </c>
    </row>
    <row r="83" spans="1:18" ht="30">
      <c r="A83" s="94" t="s">
        <v>51</v>
      </c>
      <c r="B83" s="92" t="s">
        <v>256</v>
      </c>
      <c r="C83" s="92" t="s">
        <v>18</v>
      </c>
      <c r="D83" s="92" t="s">
        <v>58</v>
      </c>
      <c r="E83" s="92" t="s">
        <v>20</v>
      </c>
      <c r="F83" s="115">
        <v>0.5</v>
      </c>
      <c r="G83" s="91"/>
      <c r="H83" s="91"/>
      <c r="I83" s="91"/>
      <c r="J83" s="107">
        <v>45945</v>
      </c>
      <c r="K83" s="107"/>
      <c r="L83" s="92">
        <v>0</v>
      </c>
      <c r="M83" s="107"/>
      <c r="N83" s="91"/>
      <c r="O83" s="92" t="s">
        <v>235</v>
      </c>
      <c r="P83" s="91"/>
      <c r="Q83" s="91"/>
      <c r="R83" t="str">
        <f t="shared" si="1"/>
        <v>IT planning and steering♦Establish financial accounting structure♦Total♦L3♦MP</v>
      </c>
    </row>
    <row r="84" spans="1:18" ht="45">
      <c r="A84" s="97" t="s">
        <v>51</v>
      </c>
      <c r="B84" s="97" t="s">
        <v>257</v>
      </c>
      <c r="C84" s="97" t="s">
        <v>22</v>
      </c>
      <c r="D84" s="97" t="s">
        <v>58</v>
      </c>
      <c r="E84" s="97" t="s">
        <v>20</v>
      </c>
      <c r="F84" s="116">
        <v>0.5</v>
      </c>
      <c r="G84" s="97" t="s">
        <v>237</v>
      </c>
      <c r="H84" s="97" t="s">
        <v>54</v>
      </c>
      <c r="I84" s="97" t="s">
        <v>55</v>
      </c>
      <c r="J84" s="108">
        <v>45945</v>
      </c>
      <c r="K84" s="108"/>
      <c r="L84" s="97">
        <v>0</v>
      </c>
      <c r="M84" s="108"/>
      <c r="N84" s="91"/>
      <c r="O84" s="97" t="s">
        <v>235</v>
      </c>
      <c r="P84" s="91"/>
      <c r="Q84" s="91"/>
      <c r="R84" t="str">
        <f t="shared" si="1"/>
        <v>IT planning and steering♦Establish financial accounting structure♦Elaboration♦L3♦MP</v>
      </c>
    </row>
    <row r="85" spans="1:18" ht="30">
      <c r="A85" s="97" t="s">
        <v>51</v>
      </c>
      <c r="B85" s="97" t="s">
        <v>257</v>
      </c>
      <c r="C85" s="97" t="s">
        <v>28</v>
      </c>
      <c r="D85" s="97" t="s">
        <v>58</v>
      </c>
      <c r="E85" s="97" t="s">
        <v>20</v>
      </c>
      <c r="F85" s="116">
        <v>0</v>
      </c>
      <c r="G85" s="91"/>
      <c r="H85" s="91"/>
      <c r="I85" s="91"/>
      <c r="J85" s="108"/>
      <c r="K85" s="108"/>
      <c r="L85" s="97">
        <v>0</v>
      </c>
      <c r="M85" s="108"/>
      <c r="N85" s="91"/>
      <c r="O85" s="97" t="s">
        <v>235</v>
      </c>
      <c r="P85" s="91"/>
      <c r="Q85" s="91"/>
      <c r="R85" t="str">
        <f t="shared" si="1"/>
        <v>IT planning and steering♦Establish financial accounting structure♦Implementation LIS♦L3♦MP</v>
      </c>
    </row>
    <row r="86" spans="1:18" ht="30">
      <c r="A86" s="97" t="s">
        <v>51</v>
      </c>
      <c r="B86" s="97" t="s">
        <v>257</v>
      </c>
      <c r="C86" s="97" t="s">
        <v>29</v>
      </c>
      <c r="D86" s="97" t="s">
        <v>58</v>
      </c>
      <c r="E86" s="97" t="s">
        <v>20</v>
      </c>
      <c r="F86" s="116">
        <v>0</v>
      </c>
      <c r="G86" s="91"/>
      <c r="H86" s="91"/>
      <c r="I86" s="91"/>
      <c r="J86" s="108"/>
      <c r="K86" s="108"/>
      <c r="L86" s="97">
        <v>0</v>
      </c>
      <c r="M86" s="108"/>
      <c r="N86" s="91"/>
      <c r="O86" s="97" t="s">
        <v>235</v>
      </c>
      <c r="P86" s="91"/>
      <c r="Q86" s="91"/>
      <c r="R86" t="str">
        <f t="shared" si="1"/>
        <v>IT planning and steering♦Establish financial accounting structure♦Implementation COT♦L3♦MP</v>
      </c>
    </row>
    <row r="87" spans="1:18" ht="30">
      <c r="A87" s="97" t="s">
        <v>51</v>
      </c>
      <c r="B87" s="97" t="s">
        <v>257</v>
      </c>
      <c r="C87" s="97" t="s">
        <v>30</v>
      </c>
      <c r="D87" s="97" t="s">
        <v>58</v>
      </c>
      <c r="E87" s="97" t="s">
        <v>20</v>
      </c>
      <c r="F87" s="116">
        <v>0</v>
      </c>
      <c r="G87" s="91"/>
      <c r="H87" s="91"/>
      <c r="I87" s="91"/>
      <c r="J87" s="108"/>
      <c r="K87" s="108"/>
      <c r="L87" s="97">
        <v>0</v>
      </c>
      <c r="M87" s="108"/>
      <c r="N87" s="91"/>
      <c r="O87" s="97" t="s">
        <v>235</v>
      </c>
      <c r="P87" s="91"/>
      <c r="Q87" s="91"/>
      <c r="R87" t="str">
        <f t="shared" si="1"/>
        <v>IT planning and steering♦Establish financial accounting structure♦Implementation LUS♦L3♦MP</v>
      </c>
    </row>
    <row r="88" spans="1:18" ht="30">
      <c r="A88" s="99" t="s">
        <v>51</v>
      </c>
      <c r="B88" s="92" t="s">
        <v>258</v>
      </c>
      <c r="C88" s="92" t="s">
        <v>18</v>
      </c>
      <c r="D88" s="92" t="s">
        <v>33</v>
      </c>
      <c r="E88" s="92" t="s">
        <v>20</v>
      </c>
      <c r="F88" s="115">
        <v>0.5</v>
      </c>
      <c r="G88" s="91"/>
      <c r="H88" s="91"/>
      <c r="I88" s="91"/>
      <c r="J88" s="107">
        <v>45945</v>
      </c>
      <c r="K88" s="107"/>
      <c r="L88" s="92">
        <v>0</v>
      </c>
      <c r="M88" s="107"/>
      <c r="N88" s="91"/>
      <c r="O88" s="92" t="s">
        <v>235</v>
      </c>
      <c r="P88" s="91"/>
      <c r="Q88" s="91"/>
      <c r="R88" t="str">
        <f t="shared" si="1"/>
        <v>IT planning and steering♦Manage IT costs♦Total♦L2♦MP</v>
      </c>
    </row>
    <row r="89" spans="1:18" ht="45">
      <c r="A89" s="97" t="s">
        <v>51</v>
      </c>
      <c r="B89" s="97" t="s">
        <v>259</v>
      </c>
      <c r="C89" s="97" t="s">
        <v>22</v>
      </c>
      <c r="D89" s="97" t="s">
        <v>33</v>
      </c>
      <c r="E89" s="97" t="s">
        <v>20</v>
      </c>
      <c r="F89" s="116">
        <v>0.5</v>
      </c>
      <c r="G89" s="97" t="s">
        <v>237</v>
      </c>
      <c r="H89" s="97" t="s">
        <v>54</v>
      </c>
      <c r="I89" s="97" t="s">
        <v>55</v>
      </c>
      <c r="J89" s="107">
        <v>45945</v>
      </c>
      <c r="K89" s="107"/>
      <c r="L89" s="97">
        <v>0</v>
      </c>
      <c r="M89" s="108"/>
      <c r="N89" s="91"/>
      <c r="O89" s="97" t="s">
        <v>235</v>
      </c>
      <c r="P89" s="91"/>
      <c r="Q89" s="91"/>
      <c r="R89" t="str">
        <f t="shared" si="1"/>
        <v>IT planning and steering♦Manage IT costs♦Elaboration♦L2♦MP</v>
      </c>
    </row>
    <row r="90" spans="1:18" ht="30">
      <c r="A90" s="97" t="s">
        <v>51</v>
      </c>
      <c r="B90" s="97" t="s">
        <v>259</v>
      </c>
      <c r="C90" s="97" t="s">
        <v>28</v>
      </c>
      <c r="D90" s="97" t="s">
        <v>33</v>
      </c>
      <c r="E90" s="97" t="s">
        <v>20</v>
      </c>
      <c r="F90" s="116">
        <v>0</v>
      </c>
      <c r="G90" s="91"/>
      <c r="H90" s="91"/>
      <c r="I90" s="91"/>
      <c r="J90" s="107"/>
      <c r="K90" s="107"/>
      <c r="L90" s="97">
        <v>0</v>
      </c>
      <c r="M90" s="108"/>
      <c r="N90" s="91"/>
      <c r="O90" s="97" t="s">
        <v>235</v>
      </c>
      <c r="P90" s="91"/>
      <c r="Q90" s="91"/>
      <c r="R90" t="str">
        <f t="shared" si="1"/>
        <v>IT planning and steering♦Manage IT costs♦Implementation LIS♦L2♦MP</v>
      </c>
    </row>
    <row r="91" spans="1:18" ht="30">
      <c r="A91" s="97" t="s">
        <v>51</v>
      </c>
      <c r="B91" s="97" t="s">
        <v>259</v>
      </c>
      <c r="C91" s="97" t="s">
        <v>29</v>
      </c>
      <c r="D91" s="91"/>
      <c r="E91" s="97" t="s">
        <v>20</v>
      </c>
      <c r="F91" s="116">
        <v>0</v>
      </c>
      <c r="G91" s="91"/>
      <c r="H91" s="91"/>
      <c r="I91" s="91"/>
      <c r="J91" s="108"/>
      <c r="K91" s="108"/>
      <c r="L91" s="97">
        <v>0</v>
      </c>
      <c r="M91" s="108"/>
      <c r="N91" s="91"/>
      <c r="O91" s="97" t="s">
        <v>235</v>
      </c>
      <c r="P91" s="91"/>
      <c r="Q91" s="91"/>
      <c r="R91" t="str">
        <f t="shared" si="1"/>
        <v>IT planning and steering♦Manage IT costs♦Implementation COT♦♦MP</v>
      </c>
    </row>
    <row r="92" spans="1:18" ht="30">
      <c r="A92" s="97" t="s">
        <v>51</v>
      </c>
      <c r="B92" s="97" t="s">
        <v>259</v>
      </c>
      <c r="C92" s="97" t="s">
        <v>30</v>
      </c>
      <c r="D92" s="97" t="s">
        <v>33</v>
      </c>
      <c r="E92" s="97" t="s">
        <v>20</v>
      </c>
      <c r="F92" s="116">
        <v>0</v>
      </c>
      <c r="G92" s="91"/>
      <c r="H92" s="91"/>
      <c r="I92" s="91"/>
      <c r="J92" s="108"/>
      <c r="K92" s="108"/>
      <c r="L92" s="97">
        <v>0</v>
      </c>
      <c r="M92" s="108"/>
      <c r="N92" s="91"/>
      <c r="O92" s="97" t="s">
        <v>235</v>
      </c>
      <c r="P92" s="91"/>
      <c r="Q92" s="91"/>
      <c r="R92" t="str">
        <f t="shared" si="1"/>
        <v>IT planning and steering♦Manage IT costs♦Implementation LUS♦L2♦MP</v>
      </c>
    </row>
    <row r="93" spans="1:18" ht="30">
      <c r="A93" s="94" t="s">
        <v>51</v>
      </c>
      <c r="B93" s="92" t="s">
        <v>488</v>
      </c>
      <c r="C93" s="92" t="s">
        <v>18</v>
      </c>
      <c r="D93" s="92" t="s">
        <v>58</v>
      </c>
      <c r="E93" s="92" t="s">
        <v>20</v>
      </c>
      <c r="F93" s="115">
        <v>0.5</v>
      </c>
      <c r="G93" s="91"/>
      <c r="H93" s="91"/>
      <c r="I93" s="91"/>
      <c r="J93" s="107">
        <v>45945</v>
      </c>
      <c r="K93" s="107"/>
      <c r="L93" s="92">
        <v>0</v>
      </c>
      <c r="M93" s="107"/>
      <c r="N93" s="91"/>
      <c r="O93" s="92" t="s">
        <v>235</v>
      </c>
      <c r="P93" s="91"/>
      <c r="Q93" s="91"/>
      <c r="R93" t="str">
        <f t="shared" si="1"/>
        <v>IT planning and steering♦Compare actual cost to budget forecast♦Total♦L3♦MP</v>
      </c>
    </row>
    <row r="94" spans="1:18" ht="45">
      <c r="A94" s="97" t="s">
        <v>51</v>
      </c>
      <c r="B94" s="97" t="s">
        <v>489</v>
      </c>
      <c r="C94" s="97" t="s">
        <v>22</v>
      </c>
      <c r="D94" s="97" t="s">
        <v>58</v>
      </c>
      <c r="E94" s="97" t="s">
        <v>20</v>
      </c>
      <c r="F94" s="116">
        <v>0.5</v>
      </c>
      <c r="G94" s="97" t="s">
        <v>237</v>
      </c>
      <c r="H94" s="97" t="s">
        <v>54</v>
      </c>
      <c r="I94" s="97" t="s">
        <v>55</v>
      </c>
      <c r="J94" s="108">
        <v>45945</v>
      </c>
      <c r="K94" s="108"/>
      <c r="L94" s="97">
        <v>0</v>
      </c>
      <c r="M94" s="108"/>
      <c r="N94" s="91"/>
      <c r="O94" s="97" t="s">
        <v>235</v>
      </c>
      <c r="P94" s="91"/>
      <c r="Q94" s="91"/>
      <c r="R94" t="str">
        <f t="shared" si="1"/>
        <v>IT planning and steering♦Compare actual cost to budget forecast♦Elaboration♦L3♦MP</v>
      </c>
    </row>
    <row r="95" spans="1:18" ht="30">
      <c r="A95" s="97" t="s">
        <v>51</v>
      </c>
      <c r="B95" s="97" t="s">
        <v>489</v>
      </c>
      <c r="C95" s="97" t="s">
        <v>28</v>
      </c>
      <c r="D95" s="97" t="s">
        <v>58</v>
      </c>
      <c r="E95" s="97" t="s">
        <v>20</v>
      </c>
      <c r="F95" s="116">
        <v>0</v>
      </c>
      <c r="G95" s="91"/>
      <c r="H95" s="91"/>
      <c r="I95" s="91"/>
      <c r="J95" s="108"/>
      <c r="K95" s="108"/>
      <c r="L95" s="97">
        <v>0</v>
      </c>
      <c r="M95" s="108"/>
      <c r="N95" s="91"/>
      <c r="O95" s="97" t="s">
        <v>235</v>
      </c>
      <c r="P95" s="91"/>
      <c r="Q95" s="91"/>
      <c r="R95" t="str">
        <f t="shared" si="1"/>
        <v>IT planning and steering♦Compare actual cost to budget forecast♦Implementation LIS♦L3♦MP</v>
      </c>
    </row>
    <row r="96" spans="1:18" ht="30">
      <c r="A96" s="97" t="s">
        <v>51</v>
      </c>
      <c r="B96" s="97" t="s">
        <v>489</v>
      </c>
      <c r="C96" s="97" t="s">
        <v>29</v>
      </c>
      <c r="D96" s="97" t="s">
        <v>58</v>
      </c>
      <c r="E96" s="97" t="s">
        <v>20</v>
      </c>
      <c r="F96" s="116">
        <v>0</v>
      </c>
      <c r="G96" s="91"/>
      <c r="H96" s="91"/>
      <c r="I96" s="91"/>
      <c r="J96" s="108"/>
      <c r="K96" s="108"/>
      <c r="L96" s="97">
        <v>0</v>
      </c>
      <c r="M96" s="108"/>
      <c r="N96" s="91"/>
      <c r="O96" s="97" t="s">
        <v>235</v>
      </c>
      <c r="P96" s="91"/>
      <c r="Q96" s="91"/>
      <c r="R96" t="str">
        <f t="shared" si="1"/>
        <v>IT planning and steering♦Compare actual cost to budget forecast♦Implementation COT♦L3♦MP</v>
      </c>
    </row>
    <row r="97" spans="1:18" ht="30">
      <c r="A97" s="97" t="s">
        <v>51</v>
      </c>
      <c r="B97" s="97" t="s">
        <v>489</v>
      </c>
      <c r="C97" s="97" t="s">
        <v>30</v>
      </c>
      <c r="D97" s="97" t="s">
        <v>58</v>
      </c>
      <c r="E97" s="97" t="s">
        <v>20</v>
      </c>
      <c r="F97" s="116">
        <v>0</v>
      </c>
      <c r="G97" s="91"/>
      <c r="H97" s="91"/>
      <c r="I97" s="91"/>
      <c r="J97" s="108"/>
      <c r="K97" s="108"/>
      <c r="L97" s="97">
        <v>0</v>
      </c>
      <c r="M97" s="108"/>
      <c r="N97" s="91"/>
      <c r="O97" s="97" t="s">
        <v>235</v>
      </c>
      <c r="P97" s="91"/>
      <c r="Q97" s="91"/>
      <c r="R97" t="str">
        <f t="shared" si="1"/>
        <v>IT planning and steering♦Compare actual cost to budget forecast♦Implementation LUS♦L3♦MP</v>
      </c>
    </row>
    <row r="98" spans="1:18" ht="30">
      <c r="A98" s="94" t="s">
        <v>51</v>
      </c>
      <c r="B98" s="92" t="s">
        <v>262</v>
      </c>
      <c r="C98" s="92" t="s">
        <v>18</v>
      </c>
      <c r="D98" s="92" t="s">
        <v>58</v>
      </c>
      <c r="E98" s="92" t="s">
        <v>20</v>
      </c>
      <c r="F98" s="115">
        <v>0.5</v>
      </c>
      <c r="G98" s="91"/>
      <c r="H98" s="91"/>
      <c r="I98" s="91"/>
      <c r="J98" s="107">
        <v>45945</v>
      </c>
      <c r="K98" s="107"/>
      <c r="L98" s="92">
        <v>0</v>
      </c>
      <c r="M98" s="107"/>
      <c r="N98" s="91"/>
      <c r="O98" s="92" t="s">
        <v>235</v>
      </c>
      <c r="P98" s="91"/>
      <c r="Q98" s="91"/>
      <c r="R98" t="str">
        <f t="shared" si="1"/>
        <v>IT planning and steering♦Initiate corrective or preventive actions♦Total♦L3♦MP</v>
      </c>
    </row>
    <row r="99" spans="1:18" ht="45">
      <c r="A99" s="97" t="s">
        <v>51</v>
      </c>
      <c r="B99" s="97" t="s">
        <v>263</v>
      </c>
      <c r="C99" s="97" t="s">
        <v>22</v>
      </c>
      <c r="D99" s="97" t="s">
        <v>58</v>
      </c>
      <c r="E99" s="97" t="s">
        <v>20</v>
      </c>
      <c r="F99" s="116">
        <v>0.5</v>
      </c>
      <c r="G99" s="97" t="s">
        <v>237</v>
      </c>
      <c r="H99" s="97" t="s">
        <v>54</v>
      </c>
      <c r="I99" s="97" t="s">
        <v>55</v>
      </c>
      <c r="J99" s="108">
        <v>45945</v>
      </c>
      <c r="K99" s="108"/>
      <c r="L99" s="97">
        <v>0</v>
      </c>
      <c r="M99" s="108"/>
      <c r="N99" s="91"/>
      <c r="O99" s="97" t="s">
        <v>235</v>
      </c>
      <c r="P99" s="91"/>
      <c r="Q99" s="91"/>
      <c r="R99" t="str">
        <f t="shared" si="1"/>
        <v>IT planning and steering♦Initiate corrective or preventive actions♦Elaboration♦L3♦MP</v>
      </c>
    </row>
    <row r="100" spans="1:18" ht="30">
      <c r="A100" s="97" t="s">
        <v>51</v>
      </c>
      <c r="B100" s="97" t="s">
        <v>263</v>
      </c>
      <c r="C100" s="97" t="s">
        <v>28</v>
      </c>
      <c r="D100" s="97" t="s">
        <v>58</v>
      </c>
      <c r="E100" s="97" t="s">
        <v>20</v>
      </c>
      <c r="F100" s="116">
        <v>0</v>
      </c>
      <c r="G100" s="91"/>
      <c r="H100" s="91"/>
      <c r="I100" s="91"/>
      <c r="J100" s="108"/>
      <c r="K100" s="108"/>
      <c r="L100" s="97">
        <v>0</v>
      </c>
      <c r="M100" s="108"/>
      <c r="N100" s="91"/>
      <c r="O100" s="97" t="s">
        <v>235</v>
      </c>
      <c r="P100" s="91"/>
      <c r="Q100" s="91"/>
      <c r="R100" t="str">
        <f t="shared" si="1"/>
        <v>IT planning and steering♦Initiate corrective or preventive actions♦Implementation LIS♦L3♦MP</v>
      </c>
    </row>
    <row r="101" spans="1:18" ht="30">
      <c r="A101" s="97" t="s">
        <v>51</v>
      </c>
      <c r="B101" s="97" t="s">
        <v>263</v>
      </c>
      <c r="C101" s="97" t="s">
        <v>29</v>
      </c>
      <c r="D101" s="97" t="s">
        <v>58</v>
      </c>
      <c r="E101" s="97" t="s">
        <v>20</v>
      </c>
      <c r="F101" s="116">
        <v>0</v>
      </c>
      <c r="G101" s="91"/>
      <c r="H101" s="91"/>
      <c r="I101" s="91"/>
      <c r="J101" s="108"/>
      <c r="K101" s="108"/>
      <c r="L101" s="97">
        <v>0</v>
      </c>
      <c r="M101" s="108"/>
      <c r="N101" s="91"/>
      <c r="O101" s="97" t="s">
        <v>235</v>
      </c>
      <c r="P101" s="91"/>
      <c r="Q101" s="91"/>
      <c r="R101" t="str">
        <f t="shared" si="1"/>
        <v>IT planning and steering♦Initiate corrective or preventive actions♦Implementation COT♦L3♦MP</v>
      </c>
    </row>
    <row r="102" spans="1:18" ht="30">
      <c r="A102" s="97" t="s">
        <v>51</v>
      </c>
      <c r="B102" s="97" t="s">
        <v>263</v>
      </c>
      <c r="C102" s="97" t="s">
        <v>30</v>
      </c>
      <c r="D102" s="97" t="s">
        <v>58</v>
      </c>
      <c r="E102" s="97" t="s">
        <v>20</v>
      </c>
      <c r="F102" s="116">
        <v>0</v>
      </c>
      <c r="G102" s="91"/>
      <c r="H102" s="91"/>
      <c r="I102" s="91"/>
      <c r="J102" s="108"/>
      <c r="K102" s="108"/>
      <c r="L102" s="97">
        <v>0</v>
      </c>
      <c r="M102" s="108"/>
      <c r="N102" s="91"/>
      <c r="O102" s="97" t="s">
        <v>235</v>
      </c>
      <c r="P102" s="91"/>
      <c r="Q102" s="91"/>
      <c r="R102" t="str">
        <f t="shared" si="1"/>
        <v>IT planning and steering♦Initiate corrective or preventive actions♦Implementation LUS♦L3♦MP</v>
      </c>
    </row>
    <row r="103" spans="1:18" ht="30">
      <c r="A103" s="94" t="s">
        <v>51</v>
      </c>
      <c r="B103" s="92" t="s">
        <v>264</v>
      </c>
      <c r="C103" s="92" t="s">
        <v>18</v>
      </c>
      <c r="D103" s="92" t="s">
        <v>58</v>
      </c>
      <c r="E103" s="92" t="s">
        <v>20</v>
      </c>
      <c r="F103" s="115">
        <v>0.5</v>
      </c>
      <c r="G103" s="91"/>
      <c r="H103" s="91"/>
      <c r="I103" s="91"/>
      <c r="J103" s="107">
        <v>45945</v>
      </c>
      <c r="K103" s="107"/>
      <c r="L103" s="92">
        <v>0</v>
      </c>
      <c r="M103" s="107"/>
      <c r="N103" s="91"/>
      <c r="O103" s="92" t="s">
        <v>235</v>
      </c>
      <c r="P103" s="91"/>
      <c r="Q103" s="91"/>
      <c r="R103" t="str">
        <f t="shared" si="1"/>
        <v>IT planning and steering♦Report actual IT costs♦Total♦L3♦MP</v>
      </c>
    </row>
    <row r="104" spans="1:18" ht="45">
      <c r="A104" s="97" t="s">
        <v>51</v>
      </c>
      <c r="B104" s="97" t="s">
        <v>265</v>
      </c>
      <c r="C104" s="97" t="s">
        <v>22</v>
      </c>
      <c r="D104" s="97" t="s">
        <v>58</v>
      </c>
      <c r="E104" s="97" t="s">
        <v>20</v>
      </c>
      <c r="F104" s="116">
        <v>0.5</v>
      </c>
      <c r="G104" s="97" t="s">
        <v>237</v>
      </c>
      <c r="H104" s="97" t="s">
        <v>54</v>
      </c>
      <c r="I104" s="97" t="s">
        <v>55</v>
      </c>
      <c r="J104" s="108">
        <v>45945</v>
      </c>
      <c r="K104" s="108"/>
      <c r="L104" s="97">
        <v>0</v>
      </c>
      <c r="M104" s="108"/>
      <c r="N104" s="91"/>
      <c r="O104" s="97" t="s">
        <v>235</v>
      </c>
      <c r="P104" s="91"/>
      <c r="Q104" s="91"/>
      <c r="R104" t="str">
        <f t="shared" si="1"/>
        <v>IT planning and steering♦Report actual IT costs♦Elaboration♦L3♦MP</v>
      </c>
    </row>
    <row r="105" spans="1:18" ht="30">
      <c r="A105" s="97" t="s">
        <v>51</v>
      </c>
      <c r="B105" s="97" t="s">
        <v>265</v>
      </c>
      <c r="C105" s="97" t="s">
        <v>28</v>
      </c>
      <c r="D105" s="97" t="s">
        <v>58</v>
      </c>
      <c r="E105" s="97" t="s">
        <v>20</v>
      </c>
      <c r="F105" s="116">
        <v>0</v>
      </c>
      <c r="G105" s="91"/>
      <c r="H105" s="91"/>
      <c r="I105" s="91"/>
      <c r="J105" s="108"/>
      <c r="K105" s="108"/>
      <c r="L105" s="97">
        <v>0</v>
      </c>
      <c r="M105" s="108"/>
      <c r="N105" s="91"/>
      <c r="O105" s="97" t="s">
        <v>235</v>
      </c>
      <c r="P105" s="91"/>
      <c r="Q105" s="91"/>
      <c r="R105" t="str">
        <f t="shared" si="1"/>
        <v>IT planning and steering♦Report actual IT costs♦Implementation LIS♦L3♦MP</v>
      </c>
    </row>
    <row r="106" spans="1:18" ht="30">
      <c r="A106" s="97" t="s">
        <v>51</v>
      </c>
      <c r="B106" s="97" t="s">
        <v>265</v>
      </c>
      <c r="C106" s="97" t="s">
        <v>29</v>
      </c>
      <c r="D106" s="97" t="s">
        <v>58</v>
      </c>
      <c r="E106" s="97" t="s">
        <v>20</v>
      </c>
      <c r="F106" s="116">
        <v>0</v>
      </c>
      <c r="G106" s="91"/>
      <c r="H106" s="91"/>
      <c r="I106" s="91"/>
      <c r="J106" s="108"/>
      <c r="K106" s="108"/>
      <c r="L106" s="97">
        <v>0</v>
      </c>
      <c r="M106" s="108"/>
      <c r="N106" s="91"/>
      <c r="O106" s="97" t="s">
        <v>235</v>
      </c>
      <c r="P106" s="91"/>
      <c r="Q106" s="91"/>
      <c r="R106" t="str">
        <f t="shared" si="1"/>
        <v>IT planning and steering♦Report actual IT costs♦Implementation COT♦L3♦MP</v>
      </c>
    </row>
    <row r="107" spans="1:18" ht="30">
      <c r="A107" s="97" t="s">
        <v>51</v>
      </c>
      <c r="B107" s="97" t="s">
        <v>265</v>
      </c>
      <c r="C107" s="97" t="s">
        <v>30</v>
      </c>
      <c r="D107" s="97" t="s">
        <v>58</v>
      </c>
      <c r="E107" s="97" t="s">
        <v>20</v>
      </c>
      <c r="F107" s="116">
        <v>0</v>
      </c>
      <c r="G107" s="91"/>
      <c r="H107" s="91"/>
      <c r="I107" s="91"/>
      <c r="J107" s="108"/>
      <c r="K107" s="108"/>
      <c r="L107" s="97">
        <v>0</v>
      </c>
      <c r="M107" s="108"/>
      <c r="N107" s="91"/>
      <c r="O107" s="97" t="s">
        <v>235</v>
      </c>
      <c r="P107" s="91"/>
      <c r="Q107" s="91"/>
      <c r="R107" t="str">
        <f t="shared" si="1"/>
        <v>IT planning and steering♦Report actual IT costs♦Implementation LUS♦L3♦MP</v>
      </c>
    </row>
    <row r="108" spans="1:18" ht="30">
      <c r="A108" s="99" t="s">
        <v>51</v>
      </c>
      <c r="B108" s="92" t="s">
        <v>266</v>
      </c>
      <c r="C108" s="92" t="s">
        <v>18</v>
      </c>
      <c r="D108" s="92" t="s">
        <v>33</v>
      </c>
      <c r="E108" s="92" t="s">
        <v>20</v>
      </c>
      <c r="F108" s="115">
        <v>0.5</v>
      </c>
      <c r="G108" s="91"/>
      <c r="H108" s="91"/>
      <c r="I108" s="91"/>
      <c r="J108" s="107">
        <v>45945</v>
      </c>
      <c r="K108" s="107"/>
      <c r="L108" s="92">
        <v>0</v>
      </c>
      <c r="M108" s="107"/>
      <c r="N108" s="91"/>
      <c r="O108" s="92" t="s">
        <v>235</v>
      </c>
      <c r="P108" s="91"/>
      <c r="Q108" s="91"/>
      <c r="R108" t="str">
        <f t="shared" si="1"/>
        <v>IT planning and steering♦Model and allocate IT costs♦Total♦L2♦MP</v>
      </c>
    </row>
    <row r="109" spans="1:18" ht="45">
      <c r="A109" s="97" t="s">
        <v>51</v>
      </c>
      <c r="B109" s="97" t="s">
        <v>267</v>
      </c>
      <c r="C109" s="97" t="s">
        <v>22</v>
      </c>
      <c r="D109" s="97" t="s">
        <v>33</v>
      </c>
      <c r="E109" s="97" t="s">
        <v>20</v>
      </c>
      <c r="F109" s="116">
        <v>0.5</v>
      </c>
      <c r="G109" s="97" t="s">
        <v>237</v>
      </c>
      <c r="H109" s="97" t="s">
        <v>54</v>
      </c>
      <c r="I109" s="97" t="s">
        <v>55</v>
      </c>
      <c r="J109" s="107">
        <v>45945</v>
      </c>
      <c r="K109" s="107"/>
      <c r="L109" s="97">
        <v>0</v>
      </c>
      <c r="M109" s="108"/>
      <c r="N109" s="91"/>
      <c r="O109" s="97" t="s">
        <v>235</v>
      </c>
      <c r="P109" s="91"/>
      <c r="Q109" s="91"/>
      <c r="R109" t="str">
        <f t="shared" si="1"/>
        <v>IT planning and steering♦Model and allocate IT costs♦Elaboration♦L2♦MP</v>
      </c>
    </row>
    <row r="110" spans="1:18" ht="30">
      <c r="A110" s="97" t="s">
        <v>51</v>
      </c>
      <c r="B110" s="97" t="s">
        <v>267</v>
      </c>
      <c r="C110" s="97" t="s">
        <v>28</v>
      </c>
      <c r="D110" s="97" t="s">
        <v>33</v>
      </c>
      <c r="E110" s="97" t="s">
        <v>20</v>
      </c>
      <c r="F110" s="116">
        <v>0</v>
      </c>
      <c r="G110" s="91"/>
      <c r="H110" s="91"/>
      <c r="I110" s="91"/>
      <c r="J110" s="108"/>
      <c r="K110" s="108"/>
      <c r="L110" s="97">
        <v>0</v>
      </c>
      <c r="M110" s="108"/>
      <c r="N110" s="91"/>
      <c r="O110" s="97" t="s">
        <v>235</v>
      </c>
      <c r="P110" s="91"/>
      <c r="Q110" s="91"/>
      <c r="R110" t="str">
        <f t="shared" si="1"/>
        <v>IT planning and steering♦Model and allocate IT costs♦Implementation LIS♦L2♦MP</v>
      </c>
    </row>
    <row r="111" spans="1:18" ht="30">
      <c r="A111" s="97" t="s">
        <v>51</v>
      </c>
      <c r="B111" s="97" t="s">
        <v>267</v>
      </c>
      <c r="C111" s="97" t="s">
        <v>29</v>
      </c>
      <c r="D111" s="97" t="s">
        <v>33</v>
      </c>
      <c r="E111" s="97" t="s">
        <v>20</v>
      </c>
      <c r="F111" s="116">
        <v>0</v>
      </c>
      <c r="G111" s="91"/>
      <c r="H111" s="91"/>
      <c r="I111" s="91"/>
      <c r="J111" s="107"/>
      <c r="K111" s="107"/>
      <c r="L111" s="97">
        <v>0</v>
      </c>
      <c r="M111" s="108"/>
      <c r="N111" s="91"/>
      <c r="O111" s="97" t="s">
        <v>235</v>
      </c>
      <c r="P111" s="91"/>
      <c r="Q111" s="91"/>
      <c r="R111" t="str">
        <f t="shared" si="1"/>
        <v>IT planning and steering♦Model and allocate IT costs♦Implementation COT♦L2♦MP</v>
      </c>
    </row>
    <row r="112" spans="1:18" ht="30">
      <c r="A112" s="97" t="s">
        <v>51</v>
      </c>
      <c r="B112" s="97" t="s">
        <v>267</v>
      </c>
      <c r="C112" s="97" t="s">
        <v>30</v>
      </c>
      <c r="D112" s="97" t="s">
        <v>33</v>
      </c>
      <c r="E112" s="97" t="s">
        <v>20</v>
      </c>
      <c r="F112" s="116">
        <v>0</v>
      </c>
      <c r="G112" s="91"/>
      <c r="H112" s="91"/>
      <c r="I112" s="91"/>
      <c r="J112" s="108"/>
      <c r="K112" s="108"/>
      <c r="L112" s="97">
        <v>0</v>
      </c>
      <c r="M112" s="108"/>
      <c r="N112" s="91"/>
      <c r="O112" s="97" t="s">
        <v>235</v>
      </c>
      <c r="P112" s="91"/>
      <c r="Q112" s="91"/>
      <c r="R112" t="str">
        <f t="shared" si="1"/>
        <v>IT planning and steering♦Model and allocate IT costs♦Implementation LUS♦L2♦MP</v>
      </c>
    </row>
    <row r="113" spans="1:18" ht="30">
      <c r="A113" s="94" t="s">
        <v>51</v>
      </c>
      <c r="B113" s="92" t="s">
        <v>490</v>
      </c>
      <c r="C113" s="92" t="s">
        <v>18</v>
      </c>
      <c r="D113" s="92" t="s">
        <v>58</v>
      </c>
      <c r="E113" s="92" t="s">
        <v>20</v>
      </c>
      <c r="F113" s="115">
        <v>0.5</v>
      </c>
      <c r="G113" s="91"/>
      <c r="H113" s="91"/>
      <c r="I113" s="91"/>
      <c r="J113" s="107">
        <v>45945</v>
      </c>
      <c r="K113" s="107"/>
      <c r="L113" s="92">
        <v>0</v>
      </c>
      <c r="M113" s="107"/>
      <c r="N113" s="91"/>
      <c r="O113" s="92" t="s">
        <v>235</v>
      </c>
      <c r="P113" s="91"/>
      <c r="Q113" s="91"/>
      <c r="R113" t="str">
        <f t="shared" si="1"/>
        <v>IT planning and steering♦Apply cost model to calculate service cost per unit♦Total♦L3♦MP</v>
      </c>
    </row>
    <row r="114" spans="1:18" ht="45">
      <c r="A114" s="97" t="s">
        <v>51</v>
      </c>
      <c r="B114" s="97" t="s">
        <v>269</v>
      </c>
      <c r="C114" s="97" t="s">
        <v>22</v>
      </c>
      <c r="D114" s="97" t="s">
        <v>58</v>
      </c>
      <c r="E114" s="97" t="s">
        <v>20</v>
      </c>
      <c r="F114" s="116">
        <v>0.5</v>
      </c>
      <c r="G114" s="97" t="s">
        <v>237</v>
      </c>
      <c r="H114" s="97" t="s">
        <v>54</v>
      </c>
      <c r="I114" s="97" t="s">
        <v>55</v>
      </c>
      <c r="J114" s="108">
        <v>45945</v>
      </c>
      <c r="K114" s="108"/>
      <c r="L114" s="97">
        <v>0</v>
      </c>
      <c r="M114" s="108"/>
      <c r="N114" s="91"/>
      <c r="O114" s="97" t="s">
        <v>235</v>
      </c>
      <c r="P114" s="91"/>
      <c r="Q114" s="91"/>
      <c r="R114" t="str">
        <f t="shared" si="1"/>
        <v>IT planning and steering♦Apply cost model to calculate service cost per unit♦Elaboration♦L3♦MP</v>
      </c>
    </row>
    <row r="115" spans="1:18" ht="30">
      <c r="A115" s="97" t="s">
        <v>51</v>
      </c>
      <c r="B115" s="97" t="s">
        <v>269</v>
      </c>
      <c r="C115" s="97" t="s">
        <v>28</v>
      </c>
      <c r="D115" s="97" t="s">
        <v>58</v>
      </c>
      <c r="E115" s="97" t="s">
        <v>20</v>
      </c>
      <c r="F115" s="116">
        <v>0</v>
      </c>
      <c r="G115" s="91"/>
      <c r="H115" s="91"/>
      <c r="I115" s="91"/>
      <c r="J115" s="108"/>
      <c r="K115" s="108"/>
      <c r="L115" s="97">
        <v>0</v>
      </c>
      <c r="M115" s="108"/>
      <c r="N115" s="91"/>
      <c r="O115" s="97" t="s">
        <v>235</v>
      </c>
      <c r="P115" s="91"/>
      <c r="Q115" s="91"/>
      <c r="R115" t="str">
        <f t="shared" si="1"/>
        <v>IT planning and steering♦Apply cost model to calculate service cost per unit♦Implementation LIS♦L3♦MP</v>
      </c>
    </row>
    <row r="116" spans="1:18" ht="30">
      <c r="A116" s="97" t="s">
        <v>51</v>
      </c>
      <c r="B116" s="97" t="s">
        <v>269</v>
      </c>
      <c r="C116" s="97" t="s">
        <v>29</v>
      </c>
      <c r="D116" s="97" t="s">
        <v>58</v>
      </c>
      <c r="E116" s="97" t="s">
        <v>20</v>
      </c>
      <c r="F116" s="116">
        <v>0</v>
      </c>
      <c r="G116" s="91"/>
      <c r="H116" s="91"/>
      <c r="I116" s="91"/>
      <c r="J116" s="108"/>
      <c r="K116" s="108"/>
      <c r="L116" s="97">
        <v>0</v>
      </c>
      <c r="M116" s="108"/>
      <c r="N116" s="91"/>
      <c r="O116" s="97" t="s">
        <v>235</v>
      </c>
      <c r="P116" s="91"/>
      <c r="Q116" s="91"/>
      <c r="R116" t="str">
        <f t="shared" si="1"/>
        <v>IT planning and steering♦Apply cost model to calculate service cost per unit♦Implementation COT♦L3♦MP</v>
      </c>
    </row>
    <row r="117" spans="1:18" ht="30">
      <c r="A117" s="97" t="s">
        <v>51</v>
      </c>
      <c r="B117" s="97" t="s">
        <v>269</v>
      </c>
      <c r="C117" s="97" t="s">
        <v>30</v>
      </c>
      <c r="D117" s="97" t="s">
        <v>58</v>
      </c>
      <c r="E117" s="97" t="s">
        <v>20</v>
      </c>
      <c r="F117" s="116">
        <v>0</v>
      </c>
      <c r="G117" s="91"/>
      <c r="H117" s="91"/>
      <c r="I117" s="91"/>
      <c r="J117" s="108"/>
      <c r="K117" s="108"/>
      <c r="L117" s="97">
        <v>0</v>
      </c>
      <c r="M117" s="108"/>
      <c r="N117" s="91"/>
      <c r="O117" s="97" t="s">
        <v>235</v>
      </c>
      <c r="P117" s="91"/>
      <c r="Q117" s="91"/>
      <c r="R117" t="str">
        <f t="shared" si="1"/>
        <v>IT planning and steering♦Apply cost model to calculate service cost per unit♦Implementation LUS♦L3♦MP</v>
      </c>
    </row>
    <row r="118" spans="1:18" ht="30">
      <c r="A118" s="94" t="s">
        <v>51</v>
      </c>
      <c r="B118" s="92" t="s">
        <v>492</v>
      </c>
      <c r="C118" s="92" t="s">
        <v>18</v>
      </c>
      <c r="D118" s="92" t="s">
        <v>58</v>
      </c>
      <c r="E118" s="92" t="s">
        <v>20</v>
      </c>
      <c r="F118" s="115">
        <v>0.5</v>
      </c>
      <c r="G118" s="91"/>
      <c r="H118" s="91"/>
      <c r="I118" s="91"/>
      <c r="J118" s="107">
        <v>45945</v>
      </c>
      <c r="K118" s="107"/>
      <c r="L118" s="92">
        <v>0</v>
      </c>
      <c r="M118" s="107"/>
      <c r="N118" s="91"/>
      <c r="O118" s="92" t="s">
        <v>235</v>
      </c>
      <c r="P118" s="91"/>
      <c r="Q118" s="91"/>
      <c r="R118" t="str">
        <f t="shared" si="1"/>
        <v>IT planning and steering♦Implement cost allocation to stakeholders or companies♦Total♦L3♦MP</v>
      </c>
    </row>
    <row r="119" spans="1:18" ht="45">
      <c r="A119" s="97" t="s">
        <v>51</v>
      </c>
      <c r="B119" s="97" t="s">
        <v>493</v>
      </c>
      <c r="C119" s="97" t="s">
        <v>22</v>
      </c>
      <c r="D119" s="97" t="s">
        <v>58</v>
      </c>
      <c r="E119" s="97" t="s">
        <v>20</v>
      </c>
      <c r="F119" s="116">
        <v>0.5</v>
      </c>
      <c r="G119" s="97" t="s">
        <v>237</v>
      </c>
      <c r="H119" s="97" t="s">
        <v>54</v>
      </c>
      <c r="I119" s="97" t="s">
        <v>55</v>
      </c>
      <c r="J119" s="108">
        <v>45945</v>
      </c>
      <c r="K119" s="108"/>
      <c r="L119" s="97">
        <v>0</v>
      </c>
      <c r="M119" s="108"/>
      <c r="N119" s="91"/>
      <c r="O119" s="97" t="s">
        <v>235</v>
      </c>
      <c r="P119" s="91"/>
      <c r="Q119" s="91"/>
      <c r="R119" t="str">
        <f t="shared" si="1"/>
        <v>IT planning and steering♦Implement cost allocation to stakeholders or companies♦Elaboration♦L3♦MP</v>
      </c>
    </row>
    <row r="120" spans="1:18" ht="30">
      <c r="A120" s="97" t="s">
        <v>51</v>
      </c>
      <c r="B120" s="97" t="s">
        <v>493</v>
      </c>
      <c r="C120" s="97" t="s">
        <v>28</v>
      </c>
      <c r="D120" s="97" t="s">
        <v>58</v>
      </c>
      <c r="E120" s="97" t="s">
        <v>20</v>
      </c>
      <c r="F120" s="116">
        <v>0</v>
      </c>
      <c r="G120" s="91"/>
      <c r="H120" s="91"/>
      <c r="I120" s="91"/>
      <c r="J120" s="108"/>
      <c r="K120" s="108"/>
      <c r="L120" s="97">
        <v>0</v>
      </c>
      <c r="M120" s="108"/>
      <c r="N120" s="91"/>
      <c r="O120" s="97" t="s">
        <v>235</v>
      </c>
      <c r="P120" s="91"/>
      <c r="Q120" s="91"/>
      <c r="R120" t="str">
        <f t="shared" si="1"/>
        <v>IT planning and steering♦Implement cost allocation to stakeholders or companies♦Implementation LIS♦L3♦MP</v>
      </c>
    </row>
    <row r="121" spans="1:18" ht="30">
      <c r="A121" s="97" t="s">
        <v>51</v>
      </c>
      <c r="B121" s="97" t="s">
        <v>493</v>
      </c>
      <c r="C121" s="97" t="s">
        <v>29</v>
      </c>
      <c r="D121" s="97" t="s">
        <v>58</v>
      </c>
      <c r="E121" s="97" t="s">
        <v>20</v>
      </c>
      <c r="F121" s="116">
        <v>0</v>
      </c>
      <c r="G121" s="91"/>
      <c r="H121" s="91"/>
      <c r="I121" s="91"/>
      <c r="J121" s="108"/>
      <c r="K121" s="108"/>
      <c r="L121" s="97">
        <v>0</v>
      </c>
      <c r="M121" s="108"/>
      <c r="N121" s="91"/>
      <c r="O121" s="97" t="s">
        <v>235</v>
      </c>
      <c r="P121" s="91"/>
      <c r="Q121" s="91"/>
      <c r="R121" t="str">
        <f t="shared" si="1"/>
        <v>IT planning and steering♦Implement cost allocation to stakeholders or companies♦Implementation COT♦L3♦MP</v>
      </c>
    </row>
    <row r="122" spans="1:18" ht="30">
      <c r="A122" s="97" t="s">
        <v>51</v>
      </c>
      <c r="B122" s="97" t="s">
        <v>493</v>
      </c>
      <c r="C122" s="97" t="s">
        <v>30</v>
      </c>
      <c r="D122" s="97" t="s">
        <v>58</v>
      </c>
      <c r="E122" s="97" t="s">
        <v>20</v>
      </c>
      <c r="F122" s="116">
        <v>0</v>
      </c>
      <c r="G122" s="91"/>
      <c r="H122" s="91"/>
      <c r="I122" s="91"/>
      <c r="J122" s="108"/>
      <c r="K122" s="108"/>
      <c r="L122" s="97">
        <v>0</v>
      </c>
      <c r="M122" s="108"/>
      <c r="N122" s="91"/>
      <c r="O122" s="97" t="s">
        <v>235</v>
      </c>
      <c r="P122" s="91"/>
      <c r="Q122" s="91"/>
      <c r="R122" t="str">
        <f t="shared" si="1"/>
        <v>IT planning and steering♦Implement cost allocation to stakeholders or companies♦Implementation LUS♦L3♦MP</v>
      </c>
    </row>
    <row r="123" spans="1:18" ht="30">
      <c r="A123" s="94" t="s">
        <v>51</v>
      </c>
      <c r="B123" s="92" t="s">
        <v>494</v>
      </c>
      <c r="C123" s="92" t="s">
        <v>18</v>
      </c>
      <c r="D123" s="92" t="s">
        <v>58</v>
      </c>
      <c r="E123" s="92" t="s">
        <v>20</v>
      </c>
      <c r="F123" s="115">
        <v>0.5</v>
      </c>
      <c r="G123" s="91"/>
      <c r="H123" s="91"/>
      <c r="I123" s="91"/>
      <c r="J123" s="107">
        <v>45945</v>
      </c>
      <c r="K123" s="107"/>
      <c r="L123" s="92">
        <v>0</v>
      </c>
      <c r="M123" s="107"/>
      <c r="N123" s="91"/>
      <c r="O123" s="92" t="s">
        <v>235</v>
      </c>
      <c r="P123" s="91"/>
      <c r="Q123" s="91"/>
      <c r="R123" t="str">
        <f t="shared" si="1"/>
        <v>IT planning and steering♦Define cost allocation principles♦Total♦L3♦MP</v>
      </c>
    </row>
    <row r="124" spans="1:18" ht="45">
      <c r="A124" s="97" t="s">
        <v>51</v>
      </c>
      <c r="B124" s="97" t="s">
        <v>273</v>
      </c>
      <c r="C124" s="97" t="s">
        <v>22</v>
      </c>
      <c r="D124" s="97" t="s">
        <v>58</v>
      </c>
      <c r="E124" s="97" t="s">
        <v>20</v>
      </c>
      <c r="F124" s="116">
        <v>0.5</v>
      </c>
      <c r="G124" s="97" t="s">
        <v>237</v>
      </c>
      <c r="H124" s="97" t="s">
        <v>54</v>
      </c>
      <c r="I124" s="97" t="s">
        <v>55</v>
      </c>
      <c r="J124" s="108">
        <v>45945</v>
      </c>
      <c r="K124" s="108"/>
      <c r="L124" s="97">
        <v>0</v>
      </c>
      <c r="M124" s="108"/>
      <c r="N124" s="91"/>
      <c r="O124" s="97" t="s">
        <v>235</v>
      </c>
      <c r="P124" s="91"/>
      <c r="Q124" s="91"/>
      <c r="R124" t="str">
        <f t="shared" si="1"/>
        <v>IT planning and steering♦Define cost allocation principles♦Elaboration♦L3♦MP</v>
      </c>
    </row>
    <row r="125" spans="1:18" ht="30">
      <c r="A125" s="97" t="s">
        <v>51</v>
      </c>
      <c r="B125" s="97" t="s">
        <v>273</v>
      </c>
      <c r="C125" s="97" t="s">
        <v>28</v>
      </c>
      <c r="D125" s="97" t="s">
        <v>58</v>
      </c>
      <c r="E125" s="97" t="s">
        <v>20</v>
      </c>
      <c r="F125" s="116">
        <v>0</v>
      </c>
      <c r="G125" s="91"/>
      <c r="H125" s="91"/>
      <c r="I125" s="91"/>
      <c r="J125" s="108"/>
      <c r="K125" s="108"/>
      <c r="L125" s="97">
        <v>0</v>
      </c>
      <c r="M125" s="108"/>
      <c r="N125" s="91"/>
      <c r="O125" s="97" t="s">
        <v>235</v>
      </c>
      <c r="P125" s="91"/>
      <c r="Q125" s="91"/>
      <c r="R125" t="str">
        <f t="shared" si="1"/>
        <v>IT planning and steering♦Define cost allocation principles♦Implementation LIS♦L3♦MP</v>
      </c>
    </row>
    <row r="126" spans="1:18" ht="30">
      <c r="A126" s="97" t="s">
        <v>51</v>
      </c>
      <c r="B126" s="97" t="s">
        <v>273</v>
      </c>
      <c r="C126" s="97" t="s">
        <v>29</v>
      </c>
      <c r="D126" s="97" t="s">
        <v>58</v>
      </c>
      <c r="E126" s="97" t="s">
        <v>20</v>
      </c>
      <c r="F126" s="116">
        <v>0</v>
      </c>
      <c r="G126" s="91"/>
      <c r="H126" s="91"/>
      <c r="I126" s="91"/>
      <c r="J126" s="108"/>
      <c r="K126" s="108"/>
      <c r="L126" s="97">
        <v>0</v>
      </c>
      <c r="M126" s="108"/>
      <c r="N126" s="91"/>
      <c r="O126" s="97" t="s">
        <v>235</v>
      </c>
      <c r="P126" s="91"/>
      <c r="Q126" s="91"/>
      <c r="R126" t="str">
        <f t="shared" si="1"/>
        <v>IT planning and steering♦Define cost allocation principles♦Implementation COT♦L3♦MP</v>
      </c>
    </row>
    <row r="127" spans="1:18" ht="30">
      <c r="A127" s="97" t="s">
        <v>51</v>
      </c>
      <c r="B127" s="97" t="s">
        <v>273</v>
      </c>
      <c r="C127" s="97" t="s">
        <v>30</v>
      </c>
      <c r="D127" s="97" t="s">
        <v>58</v>
      </c>
      <c r="E127" s="97" t="s">
        <v>20</v>
      </c>
      <c r="F127" s="116">
        <v>0</v>
      </c>
      <c r="G127" s="91"/>
      <c r="H127" s="91"/>
      <c r="I127" s="91"/>
      <c r="J127" s="108"/>
      <c r="K127" s="108"/>
      <c r="L127" s="97">
        <v>0</v>
      </c>
      <c r="M127" s="108"/>
      <c r="N127" s="91"/>
      <c r="O127" s="97" t="s">
        <v>235</v>
      </c>
      <c r="P127" s="91"/>
      <c r="Q127" s="91"/>
      <c r="R127" t="str">
        <f t="shared" si="1"/>
        <v>IT planning and steering♦Define cost allocation principles♦Implementation LUS♦L3♦MP</v>
      </c>
    </row>
    <row r="128" spans="1:18" ht="30">
      <c r="A128" s="94" t="s">
        <v>51</v>
      </c>
      <c r="B128" s="92" t="s">
        <v>274</v>
      </c>
      <c r="C128" s="92" t="s">
        <v>18</v>
      </c>
      <c r="D128" s="92" t="s">
        <v>58</v>
      </c>
      <c r="E128" s="92" t="s">
        <v>20</v>
      </c>
      <c r="F128" s="115">
        <v>0.5</v>
      </c>
      <c r="G128" s="91"/>
      <c r="H128" s="91"/>
      <c r="I128" s="91"/>
      <c r="J128" s="107">
        <v>45945</v>
      </c>
      <c r="K128" s="107"/>
      <c r="L128" s="92">
        <v>0</v>
      </c>
      <c r="M128" s="107"/>
      <c r="N128" s="91"/>
      <c r="O128" s="92" t="s">
        <v>235</v>
      </c>
      <c r="P128" s="91"/>
      <c r="Q128" s="91"/>
      <c r="R128" t="str">
        <f t="shared" si="1"/>
        <v>IT planning and steering♦Establish cost allocation model♦Total♦L3♦MP</v>
      </c>
    </row>
    <row r="129" spans="1:18" ht="45">
      <c r="A129" s="97" t="s">
        <v>51</v>
      </c>
      <c r="B129" s="97" t="s">
        <v>275</v>
      </c>
      <c r="C129" s="97" t="s">
        <v>22</v>
      </c>
      <c r="D129" s="97" t="s">
        <v>58</v>
      </c>
      <c r="E129" s="97" t="s">
        <v>20</v>
      </c>
      <c r="F129" s="116">
        <v>0.5</v>
      </c>
      <c r="G129" s="97" t="s">
        <v>237</v>
      </c>
      <c r="H129" s="97" t="s">
        <v>54</v>
      </c>
      <c r="I129" s="97" t="s">
        <v>55</v>
      </c>
      <c r="J129" s="108">
        <v>45945</v>
      </c>
      <c r="K129" s="108"/>
      <c r="L129" s="97">
        <v>0</v>
      </c>
      <c r="M129" s="108"/>
      <c r="N129" s="91"/>
      <c r="O129" s="97" t="s">
        <v>235</v>
      </c>
      <c r="P129" s="91"/>
      <c r="Q129" s="91"/>
      <c r="R129" t="str">
        <f t="shared" si="1"/>
        <v>IT planning and steering♦Establish cost allocation model♦Elaboration♦L3♦MP</v>
      </c>
    </row>
    <row r="130" spans="1:18" ht="30">
      <c r="A130" s="97" t="s">
        <v>51</v>
      </c>
      <c r="B130" s="97" t="s">
        <v>275</v>
      </c>
      <c r="C130" s="97" t="s">
        <v>28</v>
      </c>
      <c r="D130" s="97" t="s">
        <v>58</v>
      </c>
      <c r="E130" s="97" t="s">
        <v>20</v>
      </c>
      <c r="F130" s="116">
        <v>0</v>
      </c>
      <c r="G130" s="91"/>
      <c r="H130" s="91"/>
      <c r="I130" s="91"/>
      <c r="J130" s="108"/>
      <c r="K130" s="108"/>
      <c r="L130" s="97">
        <v>0</v>
      </c>
      <c r="M130" s="108"/>
      <c r="N130" s="91"/>
      <c r="O130" s="97" t="s">
        <v>235</v>
      </c>
      <c r="P130" s="91"/>
      <c r="Q130" s="91"/>
      <c r="R130" t="str">
        <f t="shared" ref="R130:R193" si="2">TRIM(A130)&amp;"♦"&amp;TRIM(B130)&amp;"♦"&amp;TRIM(C130)&amp;"♦"&amp;TRIM(D130)&amp;"♦"&amp;TRIM(E130)</f>
        <v>IT planning and steering♦Establish cost allocation model♦Implementation LIS♦L3♦MP</v>
      </c>
    </row>
    <row r="131" spans="1:18" ht="30">
      <c r="A131" s="97" t="s">
        <v>51</v>
      </c>
      <c r="B131" s="97" t="s">
        <v>275</v>
      </c>
      <c r="C131" s="97" t="s">
        <v>29</v>
      </c>
      <c r="D131" s="97" t="s">
        <v>58</v>
      </c>
      <c r="E131" s="97" t="s">
        <v>20</v>
      </c>
      <c r="F131" s="116">
        <v>0</v>
      </c>
      <c r="G131" s="91"/>
      <c r="H131" s="91"/>
      <c r="I131" s="91"/>
      <c r="J131" s="108"/>
      <c r="K131" s="108"/>
      <c r="L131" s="97">
        <v>0</v>
      </c>
      <c r="M131" s="108"/>
      <c r="N131" s="91"/>
      <c r="O131" s="97" t="s">
        <v>235</v>
      </c>
      <c r="P131" s="91"/>
      <c r="Q131" s="91"/>
      <c r="R131" t="str">
        <f t="shared" si="2"/>
        <v>IT planning and steering♦Establish cost allocation model♦Implementation COT♦L3♦MP</v>
      </c>
    </row>
    <row r="132" spans="1:18" ht="30">
      <c r="A132" s="97" t="s">
        <v>51</v>
      </c>
      <c r="B132" s="97" t="s">
        <v>275</v>
      </c>
      <c r="C132" s="97" t="s">
        <v>30</v>
      </c>
      <c r="D132" s="97" t="s">
        <v>58</v>
      </c>
      <c r="E132" s="97" t="s">
        <v>20</v>
      </c>
      <c r="F132" s="116">
        <v>0</v>
      </c>
      <c r="G132" s="91"/>
      <c r="H132" s="91"/>
      <c r="I132" s="91"/>
      <c r="J132" s="108"/>
      <c r="K132" s="108"/>
      <c r="L132" s="97">
        <v>0</v>
      </c>
      <c r="M132" s="108"/>
      <c r="N132" s="91"/>
      <c r="O132" s="97" t="s">
        <v>235</v>
      </c>
      <c r="P132" s="91"/>
      <c r="Q132" s="91"/>
      <c r="R132" t="str">
        <f t="shared" si="2"/>
        <v>IT planning and steering♦Establish cost allocation model♦Implementation LUS♦L3♦MP</v>
      </c>
    </row>
    <row r="133" spans="1:18" ht="30">
      <c r="A133" s="94" t="s">
        <v>51</v>
      </c>
      <c r="B133" s="92" t="s">
        <v>276</v>
      </c>
      <c r="C133" s="92" t="s">
        <v>18</v>
      </c>
      <c r="D133" s="92" t="s">
        <v>58</v>
      </c>
      <c r="E133" s="92" t="s">
        <v>20</v>
      </c>
      <c r="F133" s="115">
        <v>0.5</v>
      </c>
      <c r="G133" s="91"/>
      <c r="H133" s="91"/>
      <c r="I133" s="91"/>
      <c r="J133" s="107">
        <v>45945</v>
      </c>
      <c r="K133" s="107"/>
      <c r="L133" s="92">
        <v>0</v>
      </c>
      <c r="M133" s="107"/>
      <c r="N133" s="91"/>
      <c r="O133" s="92" t="s">
        <v>235</v>
      </c>
      <c r="P133" s="91"/>
      <c r="Q133" s="91"/>
      <c r="R133" t="str">
        <f t="shared" si="2"/>
        <v>IT planning and steering♦Gather relevant cost and consumption data♦Total♦L3♦MP</v>
      </c>
    </row>
    <row r="134" spans="1:18" ht="45">
      <c r="A134" s="97" t="s">
        <v>51</v>
      </c>
      <c r="B134" s="97" t="s">
        <v>277</v>
      </c>
      <c r="C134" s="97" t="s">
        <v>22</v>
      </c>
      <c r="D134" s="97" t="s">
        <v>58</v>
      </c>
      <c r="E134" s="97" t="s">
        <v>20</v>
      </c>
      <c r="F134" s="116">
        <v>0.5</v>
      </c>
      <c r="G134" s="97" t="s">
        <v>237</v>
      </c>
      <c r="H134" s="97" t="s">
        <v>54</v>
      </c>
      <c r="I134" s="97" t="s">
        <v>55</v>
      </c>
      <c r="J134" s="108">
        <v>45945</v>
      </c>
      <c r="K134" s="108"/>
      <c r="L134" s="97">
        <v>0</v>
      </c>
      <c r="M134" s="108"/>
      <c r="N134" s="91"/>
      <c r="O134" s="97" t="s">
        <v>235</v>
      </c>
      <c r="P134" s="91"/>
      <c r="Q134" s="91"/>
      <c r="R134" t="str">
        <f t="shared" si="2"/>
        <v>IT planning and steering♦Gather relevant cost and consumption data♦Elaboration♦L3♦MP</v>
      </c>
    </row>
    <row r="135" spans="1:18" ht="30">
      <c r="A135" s="97" t="s">
        <v>51</v>
      </c>
      <c r="B135" s="97" t="s">
        <v>277</v>
      </c>
      <c r="C135" s="97" t="s">
        <v>28</v>
      </c>
      <c r="D135" s="97" t="s">
        <v>58</v>
      </c>
      <c r="E135" s="97" t="s">
        <v>20</v>
      </c>
      <c r="F135" s="116">
        <v>0</v>
      </c>
      <c r="G135" s="91"/>
      <c r="H135" s="91"/>
      <c r="I135" s="91"/>
      <c r="J135" s="108"/>
      <c r="K135" s="108"/>
      <c r="L135" s="97">
        <v>0</v>
      </c>
      <c r="M135" s="108"/>
      <c r="N135" s="91"/>
      <c r="O135" s="97" t="s">
        <v>235</v>
      </c>
      <c r="P135" s="91"/>
      <c r="Q135" s="91"/>
      <c r="R135" t="str">
        <f t="shared" si="2"/>
        <v>IT planning and steering♦Gather relevant cost and consumption data♦Implementation LIS♦L3♦MP</v>
      </c>
    </row>
    <row r="136" spans="1:18" ht="30">
      <c r="A136" s="97" t="s">
        <v>51</v>
      </c>
      <c r="B136" s="97" t="s">
        <v>277</v>
      </c>
      <c r="C136" s="97" t="s">
        <v>29</v>
      </c>
      <c r="D136" s="97" t="s">
        <v>58</v>
      </c>
      <c r="E136" s="97" t="s">
        <v>20</v>
      </c>
      <c r="F136" s="116">
        <v>0</v>
      </c>
      <c r="G136" s="91"/>
      <c r="H136" s="91"/>
      <c r="I136" s="91"/>
      <c r="J136" s="108"/>
      <c r="K136" s="108"/>
      <c r="L136" s="97">
        <v>0</v>
      </c>
      <c r="M136" s="108"/>
      <c r="N136" s="91"/>
      <c r="O136" s="97" t="s">
        <v>235</v>
      </c>
      <c r="P136" s="91"/>
      <c r="Q136" s="91"/>
      <c r="R136" t="str">
        <f t="shared" si="2"/>
        <v>IT planning and steering♦Gather relevant cost and consumption data♦Implementation COT♦L3♦MP</v>
      </c>
    </row>
    <row r="137" spans="1:18" ht="30">
      <c r="A137" s="97" t="s">
        <v>51</v>
      </c>
      <c r="B137" s="97" t="s">
        <v>277</v>
      </c>
      <c r="C137" s="97" t="s">
        <v>30</v>
      </c>
      <c r="D137" s="97" t="s">
        <v>58</v>
      </c>
      <c r="E137" s="97" t="s">
        <v>20</v>
      </c>
      <c r="F137" s="116">
        <v>0</v>
      </c>
      <c r="G137" s="91"/>
      <c r="H137" s="91"/>
      <c r="I137" s="91"/>
      <c r="J137" s="108"/>
      <c r="K137" s="108"/>
      <c r="L137" s="97">
        <v>0</v>
      </c>
      <c r="M137" s="108"/>
      <c r="N137" s="91"/>
      <c r="O137" s="97" t="s">
        <v>235</v>
      </c>
      <c r="P137" s="91"/>
      <c r="Q137" s="91"/>
      <c r="R137" t="str">
        <f t="shared" si="2"/>
        <v>IT planning and steering♦Gather relevant cost and consumption data♦Implementation LUS♦L3♦MP</v>
      </c>
    </row>
    <row r="138" spans="1:18" ht="30">
      <c r="A138" s="94" t="s">
        <v>16</v>
      </c>
      <c r="B138" s="96" t="s">
        <v>278</v>
      </c>
      <c r="C138" s="96" t="s">
        <v>18</v>
      </c>
      <c r="D138" s="96" t="s">
        <v>19</v>
      </c>
      <c r="E138" s="96" t="s">
        <v>20</v>
      </c>
      <c r="F138" s="113">
        <v>0</v>
      </c>
      <c r="G138" s="95"/>
      <c r="H138" s="95"/>
      <c r="I138" s="95"/>
      <c r="J138" s="105">
        <v>46113</v>
      </c>
      <c r="K138" s="105">
        <v>46379</v>
      </c>
      <c r="L138" s="96">
        <v>191</v>
      </c>
      <c r="M138" s="105"/>
      <c r="N138" s="95"/>
      <c r="O138" s="96" t="s">
        <v>77</v>
      </c>
      <c r="P138" s="91"/>
      <c r="Q138" s="91"/>
      <c r="R138" t="str">
        <f t="shared" si="2"/>
        <v>Corporate IT body♦Manage IT stakeholder relationships♦Total♦L1♦MP</v>
      </c>
    </row>
    <row r="139" spans="1:18" ht="30">
      <c r="A139" s="97" t="s">
        <v>16</v>
      </c>
      <c r="B139" s="98" t="s">
        <v>279</v>
      </c>
      <c r="C139" s="98" t="s">
        <v>22</v>
      </c>
      <c r="D139" s="98" t="s">
        <v>19</v>
      </c>
      <c r="E139" s="98" t="s">
        <v>20</v>
      </c>
      <c r="F139" s="114">
        <v>0</v>
      </c>
      <c r="G139" s="98" t="s">
        <v>469</v>
      </c>
      <c r="H139" s="98" t="s">
        <v>24</v>
      </c>
      <c r="I139" s="98" t="s">
        <v>25</v>
      </c>
      <c r="J139" s="106">
        <v>46113</v>
      </c>
      <c r="K139" s="105">
        <v>46188</v>
      </c>
      <c r="L139" s="98">
        <v>54</v>
      </c>
      <c r="M139" s="106"/>
      <c r="N139" s="98" t="s">
        <v>26</v>
      </c>
      <c r="O139" s="98" t="s">
        <v>77</v>
      </c>
      <c r="P139" s="91"/>
      <c r="Q139" s="91"/>
      <c r="R139" t="str">
        <f t="shared" si="2"/>
        <v>Corporate IT body♦Manage IT stakeholder relationships♦Elaboration♦L1♦MP</v>
      </c>
    </row>
    <row r="140" spans="1:18" ht="30">
      <c r="A140" s="97" t="s">
        <v>16</v>
      </c>
      <c r="B140" s="98" t="s">
        <v>279</v>
      </c>
      <c r="C140" s="98" t="s">
        <v>28</v>
      </c>
      <c r="D140" s="98" t="s">
        <v>19</v>
      </c>
      <c r="E140" s="98" t="s">
        <v>20</v>
      </c>
      <c r="F140" s="114">
        <v>0</v>
      </c>
      <c r="G140" s="95"/>
      <c r="H140" s="95"/>
      <c r="I140" s="95"/>
      <c r="J140" s="105">
        <v>46310</v>
      </c>
      <c r="K140" s="105">
        <v>46379</v>
      </c>
      <c r="L140" s="98">
        <v>50</v>
      </c>
      <c r="M140" s="106"/>
      <c r="N140" s="98" t="s">
        <v>27</v>
      </c>
      <c r="O140" s="98" t="s">
        <v>77</v>
      </c>
      <c r="P140" s="91"/>
      <c r="Q140" s="91"/>
      <c r="R140" t="str">
        <f t="shared" si="2"/>
        <v>Corporate IT body♦Manage IT stakeholder relationships♦Implementation LIS♦L1♦MP</v>
      </c>
    </row>
    <row r="141" spans="1:18" ht="30">
      <c r="A141" s="97" t="s">
        <v>16</v>
      </c>
      <c r="B141" s="98" t="s">
        <v>279</v>
      </c>
      <c r="C141" s="98" t="s">
        <v>29</v>
      </c>
      <c r="D141" s="98" t="s">
        <v>19</v>
      </c>
      <c r="E141" s="98" t="s">
        <v>20</v>
      </c>
      <c r="F141" s="114">
        <v>0</v>
      </c>
      <c r="G141" s="95"/>
      <c r="H141" s="95"/>
      <c r="I141" s="95"/>
      <c r="J141" s="106"/>
      <c r="K141" s="106"/>
      <c r="L141" s="98">
        <v>0</v>
      </c>
      <c r="M141" s="106"/>
      <c r="N141" s="95"/>
      <c r="O141" s="98" t="s">
        <v>77</v>
      </c>
      <c r="P141" s="91"/>
      <c r="Q141" s="91"/>
      <c r="R141" t="str">
        <f t="shared" si="2"/>
        <v>Corporate IT body♦Manage IT stakeholder relationships♦Implementation COT♦L1♦MP</v>
      </c>
    </row>
    <row r="142" spans="1:18" ht="30">
      <c r="A142" s="97" t="s">
        <v>16</v>
      </c>
      <c r="B142" s="98" t="s">
        <v>279</v>
      </c>
      <c r="C142" s="98" t="s">
        <v>30</v>
      </c>
      <c r="D142" s="98" t="s">
        <v>19</v>
      </c>
      <c r="E142" s="98" t="s">
        <v>20</v>
      </c>
      <c r="F142" s="114">
        <v>0</v>
      </c>
      <c r="G142" s="95"/>
      <c r="H142" s="95"/>
      <c r="I142" s="95"/>
      <c r="J142" s="106"/>
      <c r="K142" s="106"/>
      <c r="L142" s="98">
        <v>0</v>
      </c>
      <c r="M142" s="106"/>
      <c r="N142" s="95"/>
      <c r="O142" s="98" t="s">
        <v>77</v>
      </c>
      <c r="P142" s="91"/>
      <c r="Q142" s="91"/>
      <c r="R142" t="str">
        <f t="shared" si="2"/>
        <v>Corporate IT body♦Manage IT stakeholder relationships♦Implementation LUS♦L1♦MP</v>
      </c>
    </row>
    <row r="143" spans="1:18" ht="30">
      <c r="A143" s="94" t="s">
        <v>39</v>
      </c>
      <c r="B143" s="96" t="s">
        <v>496</v>
      </c>
      <c r="C143" s="96" t="s">
        <v>18</v>
      </c>
      <c r="D143" s="96" t="s">
        <v>19</v>
      </c>
      <c r="E143" s="96" t="s">
        <v>20</v>
      </c>
      <c r="F143" s="113">
        <v>0.21</v>
      </c>
      <c r="G143" s="95"/>
      <c r="H143" s="95"/>
      <c r="I143" s="95"/>
      <c r="J143" s="105">
        <v>45931</v>
      </c>
      <c r="K143" s="105">
        <v>46173</v>
      </c>
      <c r="L143" s="96">
        <v>173</v>
      </c>
      <c r="M143" s="105"/>
      <c r="N143" s="95"/>
      <c r="O143" s="96" t="s">
        <v>281</v>
      </c>
      <c r="P143" s="91"/>
      <c r="Q143" s="91"/>
      <c r="R143" t="str">
        <f t="shared" si="2"/>
        <v>ITSM♦Manage IT processes and continuous improvement♦Total♦L1♦MP</v>
      </c>
    </row>
    <row r="144" spans="1:18" ht="45">
      <c r="A144" s="97" t="s">
        <v>39</v>
      </c>
      <c r="B144" s="98" t="s">
        <v>282</v>
      </c>
      <c r="C144" s="98" t="s">
        <v>22</v>
      </c>
      <c r="D144" s="98" t="s">
        <v>19</v>
      </c>
      <c r="E144" s="98" t="s">
        <v>20</v>
      </c>
      <c r="F144" s="114">
        <v>1</v>
      </c>
      <c r="G144" s="98" t="s">
        <v>498</v>
      </c>
      <c r="H144" s="98" t="s">
        <v>48</v>
      </c>
      <c r="I144" s="98" t="s">
        <v>50</v>
      </c>
      <c r="J144" s="106">
        <v>45931</v>
      </c>
      <c r="K144" s="106">
        <v>45931</v>
      </c>
      <c r="L144" s="98">
        <v>1</v>
      </c>
      <c r="M144" s="106"/>
      <c r="N144" s="98" t="s">
        <v>108</v>
      </c>
      <c r="O144" s="98" t="s">
        <v>281</v>
      </c>
      <c r="P144" s="91"/>
      <c r="Q144" s="91"/>
      <c r="R144" t="str">
        <f t="shared" si="2"/>
        <v>ITSM♦Manage IT processes and continuous improvement♦Elaboration♦L1♦MP</v>
      </c>
    </row>
    <row r="145" spans="1:18" ht="30">
      <c r="A145" s="97" t="s">
        <v>39</v>
      </c>
      <c r="B145" s="98" t="s">
        <v>282</v>
      </c>
      <c r="C145" s="98" t="s">
        <v>28</v>
      </c>
      <c r="D145" s="98" t="s">
        <v>19</v>
      </c>
      <c r="E145" s="98" t="s">
        <v>20</v>
      </c>
      <c r="F145" s="114">
        <v>0</v>
      </c>
      <c r="G145" s="95"/>
      <c r="H145" s="95"/>
      <c r="I145" s="95"/>
      <c r="J145" s="106"/>
      <c r="K145" s="106"/>
      <c r="L145" s="98">
        <v>0</v>
      </c>
      <c r="M145" s="106"/>
      <c r="N145" s="95"/>
      <c r="O145" s="98" t="s">
        <v>281</v>
      </c>
      <c r="P145" s="91"/>
      <c r="Q145" s="91"/>
      <c r="R145" t="str">
        <f t="shared" si="2"/>
        <v>ITSM♦Manage IT processes and continuous improvement♦Implementation LIS♦L1♦MP</v>
      </c>
    </row>
    <row r="146" spans="1:18" ht="30">
      <c r="A146" s="97" t="s">
        <v>39</v>
      </c>
      <c r="B146" s="98" t="s">
        <v>282</v>
      </c>
      <c r="C146" s="98" t="s">
        <v>29</v>
      </c>
      <c r="D146" s="98" t="s">
        <v>19</v>
      </c>
      <c r="E146" s="98" t="s">
        <v>20</v>
      </c>
      <c r="F146" s="114">
        <v>0</v>
      </c>
      <c r="G146" s="95"/>
      <c r="H146" s="95"/>
      <c r="I146" s="95"/>
      <c r="J146" s="106"/>
      <c r="K146" s="106"/>
      <c r="L146" s="98">
        <v>0</v>
      </c>
      <c r="M146" s="106"/>
      <c r="N146" s="95"/>
      <c r="O146" s="98" t="s">
        <v>281</v>
      </c>
      <c r="P146" s="91"/>
      <c r="Q146" s="91"/>
      <c r="R146" t="str">
        <f t="shared" si="2"/>
        <v>ITSM♦Manage IT processes and continuous improvement♦Implementation COT♦L1♦MP</v>
      </c>
    </row>
    <row r="147" spans="1:18" ht="30">
      <c r="A147" s="97" t="s">
        <v>39</v>
      </c>
      <c r="B147" s="98" t="s">
        <v>282</v>
      </c>
      <c r="C147" s="98" t="s">
        <v>30</v>
      </c>
      <c r="D147" s="98" t="s">
        <v>19</v>
      </c>
      <c r="E147" s="98" t="s">
        <v>20</v>
      </c>
      <c r="F147" s="114">
        <v>0</v>
      </c>
      <c r="G147" s="95"/>
      <c r="H147" s="95"/>
      <c r="I147" s="95"/>
      <c r="J147" s="106"/>
      <c r="K147" s="106"/>
      <c r="L147" s="98">
        <v>0</v>
      </c>
      <c r="M147" s="106"/>
      <c r="N147" s="95"/>
      <c r="O147" s="98" t="s">
        <v>281</v>
      </c>
      <c r="P147" s="91"/>
      <c r="Q147" s="91"/>
      <c r="R147" t="str">
        <f t="shared" si="2"/>
        <v>ITSM♦Manage IT processes and continuous improvement♦Implementation LUS♦L1♦MP</v>
      </c>
    </row>
    <row r="148" spans="1:18" ht="30">
      <c r="A148" s="94" t="s">
        <v>39</v>
      </c>
      <c r="B148" s="92" t="s">
        <v>283</v>
      </c>
      <c r="C148" s="92" t="s">
        <v>18</v>
      </c>
      <c r="D148" s="92" t="s">
        <v>33</v>
      </c>
      <c r="E148" s="92" t="s">
        <v>20</v>
      </c>
      <c r="F148" s="115">
        <v>1</v>
      </c>
      <c r="G148" s="91"/>
      <c r="H148" s="91"/>
      <c r="I148" s="91"/>
      <c r="J148" s="107">
        <v>45945</v>
      </c>
      <c r="K148" s="107">
        <v>45946</v>
      </c>
      <c r="L148" s="92">
        <v>1</v>
      </c>
      <c r="M148" s="107">
        <v>45918</v>
      </c>
      <c r="N148" s="91"/>
      <c r="O148" s="92" t="s">
        <v>281</v>
      </c>
      <c r="P148" s="91"/>
      <c r="Q148" s="91"/>
      <c r="R148" t="str">
        <f t="shared" si="2"/>
        <v>ITSM♦Develop and maintain IT BPM framework♦Total♦L2♦MP</v>
      </c>
    </row>
    <row r="149" spans="1:18" ht="30">
      <c r="A149" s="97" t="s">
        <v>39</v>
      </c>
      <c r="B149" s="97" t="s">
        <v>284</v>
      </c>
      <c r="C149" s="97" t="s">
        <v>22</v>
      </c>
      <c r="D149" s="97" t="s">
        <v>33</v>
      </c>
      <c r="E149" s="97" t="s">
        <v>20</v>
      </c>
      <c r="F149" s="116">
        <v>1</v>
      </c>
      <c r="G149" s="97" t="s">
        <v>48</v>
      </c>
      <c r="H149" s="97" t="s">
        <v>48</v>
      </c>
      <c r="I149" s="97" t="s">
        <v>50</v>
      </c>
      <c r="J149" s="108">
        <v>45873</v>
      </c>
      <c r="K149" s="108">
        <v>45899</v>
      </c>
      <c r="L149" s="97">
        <v>20</v>
      </c>
      <c r="M149" s="108"/>
      <c r="N149" s="97" t="s">
        <v>108</v>
      </c>
      <c r="O149" s="97" t="s">
        <v>281</v>
      </c>
      <c r="P149" s="91"/>
      <c r="Q149" s="91"/>
      <c r="R149" t="str">
        <f t="shared" si="2"/>
        <v>ITSM♦Develop and maintain IT BPM framework♦Elaboration♦L2♦MP</v>
      </c>
    </row>
    <row r="150" spans="1:18" ht="30">
      <c r="A150" s="97" t="s">
        <v>39</v>
      </c>
      <c r="B150" s="97" t="s">
        <v>284</v>
      </c>
      <c r="C150" s="97" t="s">
        <v>28</v>
      </c>
      <c r="D150" s="97" t="s">
        <v>33</v>
      </c>
      <c r="E150" s="97" t="s">
        <v>20</v>
      </c>
      <c r="F150" s="116">
        <v>0</v>
      </c>
      <c r="G150" s="91"/>
      <c r="H150" s="91"/>
      <c r="I150" s="91"/>
      <c r="J150" s="108"/>
      <c r="K150" s="108"/>
      <c r="L150" s="97">
        <v>0</v>
      </c>
      <c r="M150" s="108"/>
      <c r="N150" s="91"/>
      <c r="O150" s="97" t="s">
        <v>281</v>
      </c>
      <c r="P150" s="91"/>
      <c r="Q150" s="91"/>
      <c r="R150" t="str">
        <f t="shared" si="2"/>
        <v>ITSM♦Develop and maintain IT BPM framework♦Implementation LIS♦L2♦MP</v>
      </c>
    </row>
    <row r="151" spans="1:18" ht="30">
      <c r="A151" s="97" t="s">
        <v>39</v>
      </c>
      <c r="B151" s="97" t="s">
        <v>284</v>
      </c>
      <c r="C151" s="97" t="s">
        <v>29</v>
      </c>
      <c r="D151" s="97" t="s">
        <v>33</v>
      </c>
      <c r="E151" s="97" t="s">
        <v>20</v>
      </c>
      <c r="F151" s="116">
        <v>0</v>
      </c>
      <c r="G151" s="91"/>
      <c r="H151" s="91"/>
      <c r="I151" s="91"/>
      <c r="J151" s="108"/>
      <c r="K151" s="108"/>
      <c r="L151" s="97">
        <v>0</v>
      </c>
      <c r="M151" s="108"/>
      <c r="N151" s="91"/>
      <c r="O151" s="97" t="s">
        <v>281</v>
      </c>
      <c r="P151" s="91"/>
      <c r="Q151" s="91"/>
      <c r="R151" t="str">
        <f t="shared" si="2"/>
        <v>ITSM♦Develop and maintain IT BPM framework♦Implementation COT♦L2♦MP</v>
      </c>
    </row>
    <row r="152" spans="1:18" ht="30">
      <c r="A152" s="97" t="s">
        <v>39</v>
      </c>
      <c r="B152" s="97" t="s">
        <v>284</v>
      </c>
      <c r="C152" s="97" t="s">
        <v>30</v>
      </c>
      <c r="D152" s="97" t="s">
        <v>33</v>
      </c>
      <c r="E152" s="97" t="s">
        <v>20</v>
      </c>
      <c r="F152" s="116">
        <v>0</v>
      </c>
      <c r="G152" s="91"/>
      <c r="H152" s="91"/>
      <c r="I152" s="91"/>
      <c r="J152" s="108"/>
      <c r="K152" s="108"/>
      <c r="L152" s="97">
        <v>0</v>
      </c>
      <c r="M152" s="108"/>
      <c r="N152" s="91"/>
      <c r="O152" s="97" t="s">
        <v>281</v>
      </c>
      <c r="P152" s="91"/>
      <c r="Q152" s="91"/>
      <c r="R152" t="str">
        <f t="shared" si="2"/>
        <v>ITSM♦Develop and maintain IT BPM framework♦Implementation LUS♦L2♦MP</v>
      </c>
    </row>
    <row r="153" spans="1:18" ht="30">
      <c r="A153" s="94" t="s">
        <v>39</v>
      </c>
      <c r="B153" s="92" t="s">
        <v>285</v>
      </c>
      <c r="C153" s="92" t="s">
        <v>18</v>
      </c>
      <c r="D153" s="92" t="s">
        <v>33</v>
      </c>
      <c r="E153" s="92" t="s">
        <v>20</v>
      </c>
      <c r="F153" s="115">
        <v>0</v>
      </c>
      <c r="G153" s="91"/>
      <c r="H153" s="91"/>
      <c r="I153" s="91"/>
      <c r="J153" s="107">
        <v>45931</v>
      </c>
      <c r="K153" s="107">
        <v>46052</v>
      </c>
      <c r="L153" s="92">
        <v>88</v>
      </c>
      <c r="M153" s="107"/>
      <c r="N153" s="91"/>
      <c r="O153" s="92" t="s">
        <v>281</v>
      </c>
      <c r="P153" s="91"/>
      <c r="Q153" s="91"/>
      <c r="R153" t="str">
        <f t="shared" si="2"/>
        <v>ITSM♦Manage continuous improvement♦Total♦L2♦MP</v>
      </c>
    </row>
    <row r="154" spans="1:18" ht="45">
      <c r="A154" s="97" t="s">
        <v>39</v>
      </c>
      <c r="B154" s="97" t="s">
        <v>286</v>
      </c>
      <c r="C154" s="97" t="s">
        <v>22</v>
      </c>
      <c r="D154" s="97" t="s">
        <v>33</v>
      </c>
      <c r="E154" s="97" t="s">
        <v>20</v>
      </c>
      <c r="F154" s="116">
        <v>0</v>
      </c>
      <c r="G154" s="97" t="s">
        <v>500</v>
      </c>
      <c r="H154" s="97" t="s">
        <v>79</v>
      </c>
      <c r="I154" s="97" t="s">
        <v>50</v>
      </c>
      <c r="J154" s="108">
        <v>45931</v>
      </c>
      <c r="K154" s="108">
        <v>46052</v>
      </c>
      <c r="L154" s="97">
        <v>88</v>
      </c>
      <c r="M154" s="108"/>
      <c r="N154" s="97" t="s">
        <v>108</v>
      </c>
      <c r="O154" s="97" t="s">
        <v>281</v>
      </c>
      <c r="P154" s="91"/>
      <c r="Q154" s="91"/>
      <c r="R154" t="str">
        <f t="shared" si="2"/>
        <v>ITSM♦Manage continuous improvement♦Elaboration♦L2♦MP</v>
      </c>
    </row>
    <row r="155" spans="1:18" ht="30">
      <c r="A155" s="97" t="s">
        <v>39</v>
      </c>
      <c r="B155" s="97" t="s">
        <v>286</v>
      </c>
      <c r="C155" s="97" t="s">
        <v>28</v>
      </c>
      <c r="D155" s="97" t="s">
        <v>33</v>
      </c>
      <c r="E155" s="97" t="s">
        <v>20</v>
      </c>
      <c r="F155" s="116">
        <v>0</v>
      </c>
      <c r="G155" s="91"/>
      <c r="H155" s="91"/>
      <c r="I155" s="91"/>
      <c r="J155" s="108"/>
      <c r="K155" s="108"/>
      <c r="L155" s="97">
        <v>0</v>
      </c>
      <c r="M155" s="108"/>
      <c r="N155" s="91"/>
      <c r="O155" s="97" t="s">
        <v>281</v>
      </c>
      <c r="P155" s="91"/>
      <c r="Q155" s="91"/>
      <c r="R155" t="str">
        <f t="shared" si="2"/>
        <v>ITSM♦Manage continuous improvement♦Implementation LIS♦L2♦MP</v>
      </c>
    </row>
    <row r="156" spans="1:18" ht="30">
      <c r="A156" s="97" t="s">
        <v>39</v>
      </c>
      <c r="B156" s="97" t="s">
        <v>286</v>
      </c>
      <c r="C156" s="97" t="s">
        <v>29</v>
      </c>
      <c r="D156" s="97" t="s">
        <v>33</v>
      </c>
      <c r="E156" s="97" t="s">
        <v>20</v>
      </c>
      <c r="F156" s="116">
        <v>0</v>
      </c>
      <c r="G156" s="91"/>
      <c r="H156" s="91"/>
      <c r="I156" s="91"/>
      <c r="J156" s="108"/>
      <c r="K156" s="108"/>
      <c r="L156" s="97">
        <v>0</v>
      </c>
      <c r="M156" s="108"/>
      <c r="N156" s="91"/>
      <c r="O156" s="97" t="s">
        <v>281</v>
      </c>
      <c r="P156" s="91"/>
      <c r="Q156" s="91"/>
      <c r="R156" t="str">
        <f t="shared" si="2"/>
        <v>ITSM♦Manage continuous improvement♦Implementation COT♦L2♦MP</v>
      </c>
    </row>
    <row r="157" spans="1:18" ht="30">
      <c r="A157" s="97" t="s">
        <v>39</v>
      </c>
      <c r="B157" s="97" t="s">
        <v>286</v>
      </c>
      <c r="C157" s="97" t="s">
        <v>30</v>
      </c>
      <c r="D157" s="97" t="s">
        <v>33</v>
      </c>
      <c r="E157" s="97" t="s">
        <v>20</v>
      </c>
      <c r="F157" s="116">
        <v>0</v>
      </c>
      <c r="G157" s="91"/>
      <c r="H157" s="91"/>
      <c r="I157" s="91"/>
      <c r="J157" s="108"/>
      <c r="K157" s="108"/>
      <c r="L157" s="97">
        <v>0</v>
      </c>
      <c r="M157" s="108"/>
      <c r="N157" s="91"/>
      <c r="O157" s="97" t="s">
        <v>281</v>
      </c>
      <c r="P157" s="91"/>
      <c r="Q157" s="91"/>
      <c r="R157" t="str">
        <f t="shared" si="2"/>
        <v>ITSM♦Manage continuous improvement♦Implementation LUS♦L2♦MP</v>
      </c>
    </row>
    <row r="158" spans="1:18" ht="30">
      <c r="A158" s="94" t="s">
        <v>39</v>
      </c>
      <c r="B158" s="92" t="s">
        <v>501</v>
      </c>
      <c r="C158" s="92" t="s">
        <v>18</v>
      </c>
      <c r="D158" s="92" t="s">
        <v>58</v>
      </c>
      <c r="E158" s="92" t="s">
        <v>20</v>
      </c>
      <c r="F158" s="115">
        <v>0</v>
      </c>
      <c r="G158" s="91"/>
      <c r="H158" s="91"/>
      <c r="I158" s="91"/>
      <c r="J158" s="107"/>
      <c r="K158" s="107">
        <v>45946</v>
      </c>
      <c r="L158" s="92">
        <v>0</v>
      </c>
      <c r="M158" s="107"/>
      <c r="N158" s="91"/>
      <c r="O158" s="92" t="s">
        <v>281</v>
      </c>
      <c r="P158" s="91"/>
      <c r="Q158" s="91"/>
      <c r="R158" t="str">
        <f t="shared" si="2"/>
        <v>ITSM♦Manage a common approach to contiual improvement♦Total♦L3♦MP</v>
      </c>
    </row>
    <row r="159" spans="1:18" ht="45">
      <c r="A159" s="97" t="s">
        <v>39</v>
      </c>
      <c r="B159" s="97" t="s">
        <v>288</v>
      </c>
      <c r="C159" s="97" t="s">
        <v>22</v>
      </c>
      <c r="D159" s="97" t="s">
        <v>58</v>
      </c>
      <c r="E159" s="97" t="s">
        <v>20</v>
      </c>
      <c r="F159" s="116">
        <v>0</v>
      </c>
      <c r="G159" s="97" t="s">
        <v>500</v>
      </c>
      <c r="H159" s="97" t="s">
        <v>79</v>
      </c>
      <c r="I159" s="97" t="s">
        <v>50</v>
      </c>
      <c r="J159" s="108"/>
      <c r="K159" s="108"/>
      <c r="L159" s="97">
        <v>0</v>
      </c>
      <c r="M159" s="108"/>
      <c r="N159" s="91"/>
      <c r="O159" s="97" t="s">
        <v>281</v>
      </c>
      <c r="P159" s="91"/>
      <c r="Q159" s="91"/>
      <c r="R159" t="str">
        <f t="shared" si="2"/>
        <v>ITSM♦Manage a common approach to contiual improvement♦Elaboration♦L3♦MP</v>
      </c>
    </row>
    <row r="160" spans="1:18" ht="30">
      <c r="A160" s="97" t="s">
        <v>39</v>
      </c>
      <c r="B160" s="97" t="s">
        <v>288</v>
      </c>
      <c r="C160" s="97" t="s">
        <v>28</v>
      </c>
      <c r="D160" s="97" t="s">
        <v>58</v>
      </c>
      <c r="E160" s="97" t="s">
        <v>20</v>
      </c>
      <c r="F160" s="116">
        <v>0</v>
      </c>
      <c r="G160" s="91"/>
      <c r="H160" s="91"/>
      <c r="I160" s="91"/>
      <c r="J160" s="108"/>
      <c r="K160" s="108"/>
      <c r="L160" s="97">
        <v>0</v>
      </c>
      <c r="M160" s="108"/>
      <c r="N160" s="91"/>
      <c r="O160" s="97" t="s">
        <v>281</v>
      </c>
      <c r="P160" s="91"/>
      <c r="Q160" s="91"/>
      <c r="R160" t="str">
        <f t="shared" si="2"/>
        <v>ITSM♦Manage a common approach to contiual improvement♦Implementation LIS♦L3♦MP</v>
      </c>
    </row>
    <row r="161" spans="1:18" ht="30">
      <c r="A161" s="97" t="s">
        <v>39</v>
      </c>
      <c r="B161" s="97" t="s">
        <v>288</v>
      </c>
      <c r="C161" s="97" t="s">
        <v>29</v>
      </c>
      <c r="D161" s="97" t="s">
        <v>58</v>
      </c>
      <c r="E161" s="97" t="s">
        <v>20</v>
      </c>
      <c r="F161" s="116">
        <v>0</v>
      </c>
      <c r="G161" s="91"/>
      <c r="H161" s="91"/>
      <c r="I161" s="91"/>
      <c r="J161" s="108"/>
      <c r="K161" s="108"/>
      <c r="L161" s="97">
        <v>0</v>
      </c>
      <c r="M161" s="108"/>
      <c r="N161" s="91"/>
      <c r="O161" s="97" t="s">
        <v>281</v>
      </c>
      <c r="P161" s="91"/>
      <c r="Q161" s="91"/>
      <c r="R161" t="str">
        <f t="shared" si="2"/>
        <v>ITSM♦Manage a common approach to contiual improvement♦Implementation COT♦L3♦MP</v>
      </c>
    </row>
    <row r="162" spans="1:18" ht="30">
      <c r="A162" s="97" t="s">
        <v>39</v>
      </c>
      <c r="B162" s="97" t="s">
        <v>288</v>
      </c>
      <c r="C162" s="97" t="s">
        <v>30</v>
      </c>
      <c r="D162" s="97" t="s">
        <v>58</v>
      </c>
      <c r="E162" s="97" t="s">
        <v>20</v>
      </c>
      <c r="F162" s="116">
        <v>0</v>
      </c>
      <c r="G162" s="91"/>
      <c r="H162" s="91"/>
      <c r="I162" s="91"/>
      <c r="J162" s="108"/>
      <c r="K162" s="108"/>
      <c r="L162" s="97">
        <v>0</v>
      </c>
      <c r="M162" s="108"/>
      <c r="N162" s="91"/>
      <c r="O162" s="97" t="s">
        <v>281</v>
      </c>
      <c r="P162" s="91"/>
      <c r="Q162" s="91"/>
      <c r="R162" t="str">
        <f t="shared" si="2"/>
        <v>ITSM♦Manage a common approach to contiual improvement♦Implementation LUS♦L3♦MP</v>
      </c>
    </row>
    <row r="163" spans="1:18" ht="30">
      <c r="A163" s="94" t="s">
        <v>39</v>
      </c>
      <c r="B163" s="92" t="s">
        <v>289</v>
      </c>
      <c r="C163" s="92" t="s">
        <v>18</v>
      </c>
      <c r="D163" s="92" t="s">
        <v>58</v>
      </c>
      <c r="E163" s="92" t="s">
        <v>20</v>
      </c>
      <c r="F163" s="115">
        <v>0</v>
      </c>
      <c r="G163" s="91"/>
      <c r="H163" s="91"/>
      <c r="I163" s="91"/>
      <c r="J163" s="107"/>
      <c r="K163" s="107">
        <v>45946</v>
      </c>
      <c r="L163" s="92">
        <v>0</v>
      </c>
      <c r="M163" s="107"/>
      <c r="N163" s="91"/>
      <c r="O163" s="92" t="s">
        <v>281</v>
      </c>
      <c r="P163" s="91"/>
      <c r="Q163" s="91"/>
      <c r="R163" t="str">
        <f t="shared" si="2"/>
        <v>ITSM♦Manage continual improvement initiative♦Total♦L3♦MP</v>
      </c>
    </row>
    <row r="164" spans="1:18" ht="45">
      <c r="A164" s="97" t="s">
        <v>39</v>
      </c>
      <c r="B164" s="97" t="s">
        <v>290</v>
      </c>
      <c r="C164" s="97" t="s">
        <v>22</v>
      </c>
      <c r="D164" s="97" t="s">
        <v>58</v>
      </c>
      <c r="E164" s="97" t="s">
        <v>20</v>
      </c>
      <c r="F164" s="116">
        <v>0</v>
      </c>
      <c r="G164" s="97" t="s">
        <v>500</v>
      </c>
      <c r="H164" s="97" t="s">
        <v>79</v>
      </c>
      <c r="I164" s="97" t="s">
        <v>50</v>
      </c>
      <c r="J164" s="108"/>
      <c r="K164" s="108"/>
      <c r="L164" s="97">
        <v>0</v>
      </c>
      <c r="M164" s="108"/>
      <c r="N164" s="91"/>
      <c r="O164" s="97" t="s">
        <v>281</v>
      </c>
      <c r="P164" s="91"/>
      <c r="Q164" s="91"/>
      <c r="R164" t="str">
        <f t="shared" si="2"/>
        <v>ITSM♦Manage continual improvement initiative♦Elaboration♦L3♦MP</v>
      </c>
    </row>
    <row r="165" spans="1:18" ht="30">
      <c r="A165" s="97" t="s">
        <v>39</v>
      </c>
      <c r="B165" s="97" t="s">
        <v>290</v>
      </c>
      <c r="C165" s="97" t="s">
        <v>28</v>
      </c>
      <c r="D165" s="97" t="s">
        <v>58</v>
      </c>
      <c r="E165" s="97" t="s">
        <v>20</v>
      </c>
      <c r="F165" s="116">
        <v>0</v>
      </c>
      <c r="G165" s="91"/>
      <c r="H165" s="91"/>
      <c r="I165" s="91"/>
      <c r="J165" s="108"/>
      <c r="K165" s="108"/>
      <c r="L165" s="97">
        <v>0</v>
      </c>
      <c r="M165" s="108"/>
      <c r="N165" s="91"/>
      <c r="O165" s="97" t="s">
        <v>281</v>
      </c>
      <c r="P165" s="91"/>
      <c r="Q165" s="91"/>
      <c r="R165" t="str">
        <f t="shared" si="2"/>
        <v>ITSM♦Manage continual improvement initiative♦Implementation LIS♦L3♦MP</v>
      </c>
    </row>
    <row r="166" spans="1:18" ht="30">
      <c r="A166" s="97" t="s">
        <v>39</v>
      </c>
      <c r="B166" s="97" t="s">
        <v>290</v>
      </c>
      <c r="C166" s="97" t="s">
        <v>29</v>
      </c>
      <c r="D166" s="97" t="s">
        <v>58</v>
      </c>
      <c r="E166" s="97" t="s">
        <v>20</v>
      </c>
      <c r="F166" s="116">
        <v>0</v>
      </c>
      <c r="G166" s="91"/>
      <c r="H166" s="91"/>
      <c r="I166" s="91"/>
      <c r="J166" s="108"/>
      <c r="K166" s="108"/>
      <c r="L166" s="97">
        <v>0</v>
      </c>
      <c r="M166" s="108"/>
      <c r="N166" s="91"/>
      <c r="O166" s="97" t="s">
        <v>281</v>
      </c>
      <c r="P166" s="91"/>
      <c r="Q166" s="91"/>
      <c r="R166" t="str">
        <f t="shared" si="2"/>
        <v>ITSM♦Manage continual improvement initiative♦Implementation COT♦L3♦MP</v>
      </c>
    </row>
    <row r="167" spans="1:18" ht="30">
      <c r="A167" s="97" t="s">
        <v>39</v>
      </c>
      <c r="B167" s="97" t="s">
        <v>290</v>
      </c>
      <c r="C167" s="97" t="s">
        <v>30</v>
      </c>
      <c r="D167" s="97" t="s">
        <v>58</v>
      </c>
      <c r="E167" s="97" t="s">
        <v>20</v>
      </c>
      <c r="F167" s="116">
        <v>0</v>
      </c>
      <c r="G167" s="91"/>
      <c r="H167" s="91"/>
      <c r="I167" s="91"/>
      <c r="J167" s="108"/>
      <c r="K167" s="108"/>
      <c r="L167" s="97">
        <v>0</v>
      </c>
      <c r="M167" s="108"/>
      <c r="N167" s="91"/>
      <c r="O167" s="97" t="s">
        <v>281</v>
      </c>
      <c r="P167" s="91"/>
      <c r="Q167" s="91"/>
      <c r="R167" t="str">
        <f t="shared" si="2"/>
        <v>ITSM♦Manage continual improvement initiative♦Implementation LUS♦L3♦MP</v>
      </c>
    </row>
    <row r="168" spans="1:18" ht="30">
      <c r="A168" s="94" t="s">
        <v>39</v>
      </c>
      <c r="B168" s="92" t="s">
        <v>291</v>
      </c>
      <c r="C168" s="92" t="s">
        <v>18</v>
      </c>
      <c r="D168" s="92" t="s">
        <v>33</v>
      </c>
      <c r="E168" s="92" t="s">
        <v>20</v>
      </c>
      <c r="F168" s="115">
        <v>0.25</v>
      </c>
      <c r="G168" s="91"/>
      <c r="H168" s="91"/>
      <c r="I168" s="91"/>
      <c r="J168" s="107">
        <v>45931</v>
      </c>
      <c r="K168" s="107">
        <v>46173</v>
      </c>
      <c r="L168" s="92">
        <v>173</v>
      </c>
      <c r="M168" s="107">
        <v>45918</v>
      </c>
      <c r="N168" s="91"/>
      <c r="O168" s="92" t="s">
        <v>281</v>
      </c>
      <c r="P168" s="91"/>
      <c r="Q168" s="91"/>
      <c r="R168" t="str">
        <f t="shared" si="2"/>
        <v>ITSM♦Perform operational process management♦Total♦L2♦MP</v>
      </c>
    </row>
    <row r="169" spans="1:18" ht="30">
      <c r="A169" s="97" t="s">
        <v>16</v>
      </c>
      <c r="B169" s="97" t="s">
        <v>503</v>
      </c>
      <c r="C169" s="97" t="s">
        <v>22</v>
      </c>
      <c r="D169" s="97" t="s">
        <v>33</v>
      </c>
      <c r="E169" s="97" t="s">
        <v>20</v>
      </c>
      <c r="F169" s="116">
        <v>0.25</v>
      </c>
      <c r="G169" s="97" t="s">
        <v>35</v>
      </c>
      <c r="H169" s="97" t="s">
        <v>48</v>
      </c>
      <c r="I169" s="97" t="s">
        <v>50</v>
      </c>
      <c r="J169" s="108">
        <v>46034</v>
      </c>
      <c r="K169" s="108">
        <v>46173</v>
      </c>
      <c r="L169" s="97">
        <v>100</v>
      </c>
      <c r="M169" s="108"/>
      <c r="N169" s="97" t="s">
        <v>26</v>
      </c>
      <c r="O169" s="97" t="s">
        <v>281</v>
      </c>
      <c r="P169" s="103" t="s">
        <v>615</v>
      </c>
      <c r="Q169" s="91"/>
      <c r="R169" t="str">
        <f t="shared" si="2"/>
        <v>Corporate IT body♦Perform operational process management (V 2.0)♦Elaboration♦L2♦MP</v>
      </c>
    </row>
    <row r="170" spans="1:18" ht="30">
      <c r="A170" s="97" t="s">
        <v>39</v>
      </c>
      <c r="B170" s="97" t="s">
        <v>292</v>
      </c>
      <c r="C170" s="97" t="s">
        <v>28</v>
      </c>
      <c r="D170" s="97" t="s">
        <v>33</v>
      </c>
      <c r="E170" s="97" t="s">
        <v>20</v>
      </c>
      <c r="F170" s="116">
        <v>0</v>
      </c>
      <c r="G170" s="91"/>
      <c r="H170" s="91"/>
      <c r="I170" s="91"/>
      <c r="J170" s="108"/>
      <c r="K170" s="108"/>
      <c r="L170" s="97">
        <v>0</v>
      </c>
      <c r="M170" s="108"/>
      <c r="N170" s="91"/>
      <c r="O170" s="97" t="s">
        <v>281</v>
      </c>
      <c r="P170" s="91"/>
      <c r="Q170" s="91"/>
      <c r="R170" t="str">
        <f t="shared" si="2"/>
        <v>ITSM♦Perform operational process management♦Implementation LIS♦L2♦MP</v>
      </c>
    </row>
    <row r="171" spans="1:18" ht="30">
      <c r="A171" s="97" t="s">
        <v>39</v>
      </c>
      <c r="B171" s="97" t="s">
        <v>292</v>
      </c>
      <c r="C171" s="97" t="s">
        <v>29</v>
      </c>
      <c r="D171" s="97" t="s">
        <v>33</v>
      </c>
      <c r="E171" s="97" t="s">
        <v>20</v>
      </c>
      <c r="F171" s="116">
        <v>0</v>
      </c>
      <c r="G171" s="91"/>
      <c r="H171" s="91"/>
      <c r="I171" s="91"/>
      <c r="J171" s="108"/>
      <c r="K171" s="108"/>
      <c r="L171" s="97">
        <v>0</v>
      </c>
      <c r="M171" s="108"/>
      <c r="N171" s="91"/>
      <c r="O171" s="97" t="s">
        <v>281</v>
      </c>
      <c r="P171" s="91"/>
      <c r="Q171" s="91"/>
      <c r="R171" t="str">
        <f t="shared" si="2"/>
        <v>ITSM♦Perform operational process management♦Implementation COT♦L2♦MP</v>
      </c>
    </row>
    <row r="172" spans="1:18" ht="30">
      <c r="A172" s="97" t="s">
        <v>39</v>
      </c>
      <c r="B172" s="97" t="s">
        <v>292</v>
      </c>
      <c r="C172" s="97" t="s">
        <v>30</v>
      </c>
      <c r="D172" s="97" t="s">
        <v>33</v>
      </c>
      <c r="E172" s="97" t="s">
        <v>20</v>
      </c>
      <c r="F172" s="116">
        <v>0</v>
      </c>
      <c r="G172" s="91"/>
      <c r="H172" s="91"/>
      <c r="I172" s="91"/>
      <c r="J172" s="108"/>
      <c r="K172" s="108"/>
      <c r="L172" s="97">
        <v>0</v>
      </c>
      <c r="M172" s="108"/>
      <c r="N172" s="91"/>
      <c r="O172" s="97" t="s">
        <v>281</v>
      </c>
      <c r="P172" s="91"/>
      <c r="Q172" s="91"/>
      <c r="R172" t="str">
        <f t="shared" si="2"/>
        <v>ITSM♦Perform operational process management♦Implementation LUS♦L2♦MP</v>
      </c>
    </row>
    <row r="173" spans="1:18" ht="30">
      <c r="A173" s="94" t="s">
        <v>39</v>
      </c>
      <c r="B173" s="92" t="s">
        <v>293</v>
      </c>
      <c r="C173" s="92" t="s">
        <v>18</v>
      </c>
      <c r="D173" s="92" t="s">
        <v>58</v>
      </c>
      <c r="E173" s="92" t="s">
        <v>20</v>
      </c>
      <c r="F173" s="115">
        <v>0.25</v>
      </c>
      <c r="G173" s="91"/>
      <c r="H173" s="91"/>
      <c r="I173" s="91"/>
      <c r="J173" s="107">
        <v>46034</v>
      </c>
      <c r="K173" s="107">
        <v>46173</v>
      </c>
      <c r="L173" s="92">
        <v>100</v>
      </c>
      <c r="M173" s="107">
        <v>45918</v>
      </c>
      <c r="N173" s="91"/>
      <c r="O173" s="92" t="s">
        <v>281</v>
      </c>
      <c r="P173" s="91"/>
      <c r="Q173" s="91"/>
      <c r="R173" t="str">
        <f t="shared" si="2"/>
        <v>ITSM♦Identify process and determine goals♦Total♦L3♦MP</v>
      </c>
    </row>
    <row r="174" spans="1:18" ht="30">
      <c r="A174" s="97" t="s">
        <v>16</v>
      </c>
      <c r="B174" s="97" t="s">
        <v>504</v>
      </c>
      <c r="C174" s="97" t="s">
        <v>22</v>
      </c>
      <c r="D174" s="97" t="s">
        <v>58</v>
      </c>
      <c r="E174" s="97" t="s">
        <v>20</v>
      </c>
      <c r="F174" s="116">
        <v>0.25</v>
      </c>
      <c r="G174" s="97" t="s">
        <v>35</v>
      </c>
      <c r="H174" s="97" t="s">
        <v>48</v>
      </c>
      <c r="I174" s="97" t="s">
        <v>50</v>
      </c>
      <c r="J174" s="108">
        <v>46034</v>
      </c>
      <c r="K174" s="108">
        <v>46173</v>
      </c>
      <c r="L174" s="97">
        <v>100</v>
      </c>
      <c r="M174" s="108"/>
      <c r="N174" s="97" t="s">
        <v>26</v>
      </c>
      <c r="O174" s="97" t="s">
        <v>281</v>
      </c>
      <c r="P174" s="103" t="s">
        <v>615</v>
      </c>
      <c r="Q174" s="91"/>
      <c r="R174" t="str">
        <f t="shared" si="2"/>
        <v>Corporate IT body♦Identify process and determine goals (V 2.0)♦Elaboration♦L3♦MP</v>
      </c>
    </row>
    <row r="175" spans="1:18" ht="30">
      <c r="A175" s="97" t="s">
        <v>39</v>
      </c>
      <c r="B175" s="97" t="s">
        <v>294</v>
      </c>
      <c r="C175" s="97" t="s">
        <v>28</v>
      </c>
      <c r="D175" s="97" t="s">
        <v>58</v>
      </c>
      <c r="E175" s="97" t="s">
        <v>20</v>
      </c>
      <c r="F175" s="116">
        <v>0</v>
      </c>
      <c r="G175" s="91"/>
      <c r="H175" s="91"/>
      <c r="I175" s="91"/>
      <c r="J175" s="108"/>
      <c r="K175" s="108"/>
      <c r="L175" s="97">
        <v>0</v>
      </c>
      <c r="M175" s="108"/>
      <c r="N175" s="91"/>
      <c r="O175" s="97" t="s">
        <v>281</v>
      </c>
      <c r="P175" s="91"/>
      <c r="Q175" s="91"/>
      <c r="R175" t="str">
        <f t="shared" si="2"/>
        <v>ITSM♦Identify process and determine goals♦Implementation LIS♦L3♦MP</v>
      </c>
    </row>
    <row r="176" spans="1:18" ht="30">
      <c r="A176" s="97" t="s">
        <v>39</v>
      </c>
      <c r="B176" s="97" t="s">
        <v>294</v>
      </c>
      <c r="C176" s="97" t="s">
        <v>29</v>
      </c>
      <c r="D176" s="97" t="s">
        <v>58</v>
      </c>
      <c r="E176" s="97" t="s">
        <v>20</v>
      </c>
      <c r="F176" s="116">
        <v>0</v>
      </c>
      <c r="G176" s="91"/>
      <c r="H176" s="91"/>
      <c r="I176" s="91"/>
      <c r="J176" s="108"/>
      <c r="K176" s="108"/>
      <c r="L176" s="97">
        <v>0</v>
      </c>
      <c r="M176" s="108"/>
      <c r="N176" s="91"/>
      <c r="O176" s="97" t="s">
        <v>281</v>
      </c>
      <c r="P176" s="91"/>
      <c r="Q176" s="91"/>
      <c r="R176" t="str">
        <f t="shared" si="2"/>
        <v>ITSM♦Identify process and determine goals♦Implementation COT♦L3♦MP</v>
      </c>
    </row>
    <row r="177" spans="1:18" ht="30">
      <c r="A177" s="97" t="s">
        <v>39</v>
      </c>
      <c r="B177" s="97" t="s">
        <v>294</v>
      </c>
      <c r="C177" s="97" t="s">
        <v>30</v>
      </c>
      <c r="D177" s="97" t="s">
        <v>58</v>
      </c>
      <c r="E177" s="97" t="s">
        <v>20</v>
      </c>
      <c r="F177" s="116">
        <v>0</v>
      </c>
      <c r="G177" s="91"/>
      <c r="H177" s="91"/>
      <c r="I177" s="91"/>
      <c r="J177" s="108"/>
      <c r="K177" s="108"/>
      <c r="L177" s="97">
        <v>0</v>
      </c>
      <c r="M177" s="108"/>
      <c r="N177" s="91"/>
      <c r="O177" s="97" t="s">
        <v>281</v>
      </c>
      <c r="P177" s="91"/>
      <c r="Q177" s="91"/>
      <c r="R177" t="str">
        <f t="shared" si="2"/>
        <v>ITSM♦Identify process and determine goals♦Implementation LUS♦L3♦MP</v>
      </c>
    </row>
    <row r="178" spans="1:18" ht="30">
      <c r="A178" s="94" t="s">
        <v>39</v>
      </c>
      <c r="B178" s="92" t="s">
        <v>295</v>
      </c>
      <c r="C178" s="92" t="s">
        <v>18</v>
      </c>
      <c r="D178" s="92" t="s">
        <v>58</v>
      </c>
      <c r="E178" s="92" t="s">
        <v>20</v>
      </c>
      <c r="F178" s="115">
        <v>0.25</v>
      </c>
      <c r="G178" s="91"/>
      <c r="H178" s="91"/>
      <c r="I178" s="91"/>
      <c r="J178" s="107">
        <v>46034</v>
      </c>
      <c r="K178" s="107">
        <v>46173</v>
      </c>
      <c r="L178" s="92">
        <v>100</v>
      </c>
      <c r="M178" s="107">
        <v>45918</v>
      </c>
      <c r="N178" s="91"/>
      <c r="O178" s="92" t="s">
        <v>281</v>
      </c>
      <c r="P178" s="91"/>
      <c r="Q178" s="91"/>
      <c r="R178" t="str">
        <f t="shared" si="2"/>
        <v>ITSM♦Elaborate to-be process♦Total♦L3♦MP</v>
      </c>
    </row>
    <row r="179" spans="1:18" ht="30">
      <c r="A179" s="97" t="s">
        <v>16</v>
      </c>
      <c r="B179" s="97" t="s">
        <v>505</v>
      </c>
      <c r="C179" s="97" t="s">
        <v>22</v>
      </c>
      <c r="D179" s="97" t="s">
        <v>58</v>
      </c>
      <c r="E179" s="97" t="s">
        <v>20</v>
      </c>
      <c r="F179" s="116">
        <v>0.25</v>
      </c>
      <c r="G179" s="97" t="s">
        <v>35</v>
      </c>
      <c r="H179" s="97" t="s">
        <v>48</v>
      </c>
      <c r="I179" s="97" t="s">
        <v>50</v>
      </c>
      <c r="J179" s="108">
        <v>46034</v>
      </c>
      <c r="K179" s="108">
        <v>46173</v>
      </c>
      <c r="L179" s="97">
        <v>100</v>
      </c>
      <c r="M179" s="108"/>
      <c r="N179" s="97" t="s">
        <v>26</v>
      </c>
      <c r="O179" s="97" t="s">
        <v>281</v>
      </c>
      <c r="P179" s="103" t="s">
        <v>615</v>
      </c>
      <c r="Q179" s="91"/>
      <c r="R179" t="str">
        <f t="shared" si="2"/>
        <v>Corporate IT body♦Elaborate to-be process (V 2.0)♦Elaboration♦L3♦MP</v>
      </c>
    </row>
    <row r="180" spans="1:18" ht="30">
      <c r="A180" s="97" t="s">
        <v>39</v>
      </c>
      <c r="B180" s="97" t="s">
        <v>296</v>
      </c>
      <c r="C180" s="97" t="s">
        <v>28</v>
      </c>
      <c r="D180" s="97" t="s">
        <v>58</v>
      </c>
      <c r="E180" s="97" t="s">
        <v>20</v>
      </c>
      <c r="F180" s="116">
        <v>0</v>
      </c>
      <c r="G180" s="91"/>
      <c r="H180" s="91"/>
      <c r="I180" s="91"/>
      <c r="J180" s="108"/>
      <c r="K180" s="108"/>
      <c r="L180" s="97">
        <v>0</v>
      </c>
      <c r="M180" s="108"/>
      <c r="N180" s="91"/>
      <c r="O180" s="97" t="s">
        <v>281</v>
      </c>
      <c r="P180" s="91"/>
      <c r="Q180" s="91"/>
      <c r="R180" t="str">
        <f t="shared" si="2"/>
        <v>ITSM♦Elaborate to-be process♦Implementation LIS♦L3♦MP</v>
      </c>
    </row>
    <row r="181" spans="1:18" ht="30">
      <c r="A181" s="97" t="s">
        <v>39</v>
      </c>
      <c r="B181" s="97" t="s">
        <v>296</v>
      </c>
      <c r="C181" s="97" t="s">
        <v>29</v>
      </c>
      <c r="D181" s="97" t="s">
        <v>58</v>
      </c>
      <c r="E181" s="97" t="s">
        <v>20</v>
      </c>
      <c r="F181" s="116">
        <v>0</v>
      </c>
      <c r="G181" s="91"/>
      <c r="H181" s="91"/>
      <c r="I181" s="91"/>
      <c r="J181" s="108"/>
      <c r="K181" s="108"/>
      <c r="L181" s="97">
        <v>0</v>
      </c>
      <c r="M181" s="108"/>
      <c r="N181" s="91"/>
      <c r="O181" s="97" t="s">
        <v>281</v>
      </c>
      <c r="P181" s="91"/>
      <c r="Q181" s="91"/>
      <c r="R181" t="str">
        <f t="shared" si="2"/>
        <v>ITSM♦Elaborate to-be process♦Implementation COT♦L3♦MP</v>
      </c>
    </row>
    <row r="182" spans="1:18" ht="30">
      <c r="A182" s="97" t="s">
        <v>39</v>
      </c>
      <c r="B182" s="97" t="s">
        <v>296</v>
      </c>
      <c r="C182" s="97" t="s">
        <v>30</v>
      </c>
      <c r="D182" s="97" t="s">
        <v>58</v>
      </c>
      <c r="E182" s="97" t="s">
        <v>20</v>
      </c>
      <c r="F182" s="116">
        <v>0</v>
      </c>
      <c r="G182" s="91"/>
      <c r="H182" s="91"/>
      <c r="I182" s="91"/>
      <c r="J182" s="108"/>
      <c r="K182" s="108"/>
      <c r="L182" s="97">
        <v>0</v>
      </c>
      <c r="M182" s="108"/>
      <c r="N182" s="91"/>
      <c r="O182" s="97" t="s">
        <v>281</v>
      </c>
      <c r="P182" s="91"/>
      <c r="Q182" s="91"/>
      <c r="R182" t="str">
        <f t="shared" si="2"/>
        <v>ITSM♦Elaborate to-be process♦Implementation LUS♦L3♦MP</v>
      </c>
    </row>
    <row r="183" spans="1:18" ht="30">
      <c r="A183" s="94" t="s">
        <v>39</v>
      </c>
      <c r="B183" s="92" t="s">
        <v>297</v>
      </c>
      <c r="C183" s="92" t="s">
        <v>18</v>
      </c>
      <c r="D183" s="92" t="s">
        <v>58</v>
      </c>
      <c r="E183" s="92" t="s">
        <v>20</v>
      </c>
      <c r="F183" s="115">
        <v>0.25</v>
      </c>
      <c r="G183" s="91"/>
      <c r="H183" s="91"/>
      <c r="I183" s="91"/>
      <c r="J183" s="107">
        <v>46034</v>
      </c>
      <c r="K183" s="107">
        <v>46173</v>
      </c>
      <c r="L183" s="92">
        <v>100</v>
      </c>
      <c r="M183" s="107">
        <v>45918</v>
      </c>
      <c r="N183" s="91"/>
      <c r="O183" s="92" t="s">
        <v>281</v>
      </c>
      <c r="P183" s="91"/>
      <c r="Q183" s="91"/>
      <c r="R183" t="str">
        <f t="shared" si="2"/>
        <v>ITSM♦Plan process execution♦Total♦L3♦MP</v>
      </c>
    </row>
    <row r="184" spans="1:18" ht="30">
      <c r="A184" s="97" t="s">
        <v>16</v>
      </c>
      <c r="B184" s="97" t="s">
        <v>506</v>
      </c>
      <c r="C184" s="97" t="s">
        <v>22</v>
      </c>
      <c r="D184" s="97" t="s">
        <v>58</v>
      </c>
      <c r="E184" s="97" t="s">
        <v>20</v>
      </c>
      <c r="F184" s="116">
        <v>0.25</v>
      </c>
      <c r="G184" s="97" t="s">
        <v>35</v>
      </c>
      <c r="H184" s="97" t="s">
        <v>48</v>
      </c>
      <c r="I184" s="97" t="s">
        <v>50</v>
      </c>
      <c r="J184" s="108">
        <v>46034</v>
      </c>
      <c r="K184" s="108">
        <v>46173</v>
      </c>
      <c r="L184" s="97">
        <v>100</v>
      </c>
      <c r="M184" s="108"/>
      <c r="N184" s="97" t="s">
        <v>26</v>
      </c>
      <c r="O184" s="97" t="s">
        <v>281</v>
      </c>
      <c r="P184" s="103" t="s">
        <v>615</v>
      </c>
      <c r="Q184" s="91"/>
      <c r="R184" t="str">
        <f t="shared" si="2"/>
        <v>Corporate IT body♦Plan process execution (V 2.0)♦Elaboration♦L3♦MP</v>
      </c>
    </row>
    <row r="185" spans="1:18" ht="30">
      <c r="A185" s="97" t="s">
        <v>39</v>
      </c>
      <c r="B185" s="97" t="s">
        <v>298</v>
      </c>
      <c r="C185" s="97" t="s">
        <v>28</v>
      </c>
      <c r="D185" s="97" t="s">
        <v>58</v>
      </c>
      <c r="E185" s="97" t="s">
        <v>20</v>
      </c>
      <c r="F185" s="116">
        <v>0</v>
      </c>
      <c r="G185" s="91"/>
      <c r="H185" s="91"/>
      <c r="I185" s="91"/>
      <c r="J185" s="108"/>
      <c r="K185" s="108"/>
      <c r="L185" s="97">
        <v>0</v>
      </c>
      <c r="M185" s="108"/>
      <c r="N185" s="91"/>
      <c r="O185" s="97" t="s">
        <v>281</v>
      </c>
      <c r="P185" s="91"/>
      <c r="Q185" s="91"/>
      <c r="R185" t="str">
        <f t="shared" si="2"/>
        <v>ITSM♦Plan process execution♦Implementation LIS♦L3♦MP</v>
      </c>
    </row>
    <row r="186" spans="1:18" ht="30">
      <c r="A186" s="97" t="s">
        <v>39</v>
      </c>
      <c r="B186" s="97" t="s">
        <v>298</v>
      </c>
      <c r="C186" s="97" t="s">
        <v>29</v>
      </c>
      <c r="D186" s="97" t="s">
        <v>58</v>
      </c>
      <c r="E186" s="97" t="s">
        <v>20</v>
      </c>
      <c r="F186" s="116">
        <v>0</v>
      </c>
      <c r="G186" s="91"/>
      <c r="H186" s="91"/>
      <c r="I186" s="91"/>
      <c r="J186" s="108"/>
      <c r="K186" s="108"/>
      <c r="L186" s="97">
        <v>0</v>
      </c>
      <c r="M186" s="108"/>
      <c r="N186" s="91"/>
      <c r="O186" s="97" t="s">
        <v>281</v>
      </c>
      <c r="P186" s="91"/>
      <c r="Q186" s="91"/>
      <c r="R186" t="str">
        <f t="shared" si="2"/>
        <v>ITSM♦Plan process execution♦Implementation COT♦L3♦MP</v>
      </c>
    </row>
    <row r="187" spans="1:18" ht="30">
      <c r="A187" s="97" t="s">
        <v>39</v>
      </c>
      <c r="B187" s="97" t="s">
        <v>298</v>
      </c>
      <c r="C187" s="97" t="s">
        <v>30</v>
      </c>
      <c r="D187" s="97" t="s">
        <v>58</v>
      </c>
      <c r="E187" s="97" t="s">
        <v>20</v>
      </c>
      <c r="F187" s="116">
        <v>0</v>
      </c>
      <c r="G187" s="91"/>
      <c r="H187" s="91"/>
      <c r="I187" s="91"/>
      <c r="J187" s="108"/>
      <c r="K187" s="108"/>
      <c r="L187" s="97">
        <v>0</v>
      </c>
      <c r="M187" s="108"/>
      <c r="N187" s="91"/>
      <c r="O187" s="97" t="s">
        <v>281</v>
      </c>
      <c r="P187" s="91"/>
      <c r="Q187" s="91"/>
      <c r="R187" t="str">
        <f t="shared" si="2"/>
        <v>ITSM♦Plan process execution♦Implementation LUS♦L3♦MP</v>
      </c>
    </row>
    <row r="188" spans="1:18" ht="30">
      <c r="A188" s="94" t="s">
        <v>39</v>
      </c>
      <c r="B188" s="92" t="s">
        <v>299</v>
      </c>
      <c r="C188" s="92" t="s">
        <v>18</v>
      </c>
      <c r="D188" s="92" t="s">
        <v>58</v>
      </c>
      <c r="E188" s="92" t="s">
        <v>20</v>
      </c>
      <c r="F188" s="115">
        <v>0.25</v>
      </c>
      <c r="G188" s="91"/>
      <c r="H188" s="91"/>
      <c r="I188" s="91"/>
      <c r="J188" s="107">
        <v>46034</v>
      </c>
      <c r="K188" s="107">
        <v>46173</v>
      </c>
      <c r="L188" s="92">
        <v>100</v>
      </c>
      <c r="M188" s="107">
        <v>45919</v>
      </c>
      <c r="N188" s="91"/>
      <c r="O188" s="92" t="s">
        <v>281</v>
      </c>
      <c r="P188" s="91"/>
      <c r="Q188" s="91"/>
      <c r="R188" t="str">
        <f t="shared" si="2"/>
        <v>ITSM♦Implement process♦Total♦L3♦MP</v>
      </c>
    </row>
    <row r="189" spans="1:18" ht="30">
      <c r="A189" s="97" t="s">
        <v>16</v>
      </c>
      <c r="B189" s="97" t="s">
        <v>508</v>
      </c>
      <c r="C189" s="97" t="s">
        <v>22</v>
      </c>
      <c r="D189" s="97" t="s">
        <v>58</v>
      </c>
      <c r="E189" s="97" t="s">
        <v>20</v>
      </c>
      <c r="F189" s="116">
        <v>0.25</v>
      </c>
      <c r="G189" s="97" t="s">
        <v>35</v>
      </c>
      <c r="H189" s="97" t="s">
        <v>48</v>
      </c>
      <c r="I189" s="97" t="s">
        <v>50</v>
      </c>
      <c r="J189" s="108">
        <v>46034</v>
      </c>
      <c r="K189" s="108">
        <v>46173</v>
      </c>
      <c r="L189" s="97">
        <v>100</v>
      </c>
      <c r="M189" s="108"/>
      <c r="N189" s="97" t="s">
        <v>26</v>
      </c>
      <c r="O189" s="97" t="s">
        <v>281</v>
      </c>
      <c r="P189" s="91"/>
      <c r="Q189" s="91"/>
      <c r="R189" t="str">
        <f t="shared" si="2"/>
        <v>Corporate IT body♦Implement process (V 2.0)♦Elaboration♦L3♦MP</v>
      </c>
    </row>
    <row r="190" spans="1:18" ht="30">
      <c r="A190" s="97" t="s">
        <v>39</v>
      </c>
      <c r="B190" s="97" t="s">
        <v>300</v>
      </c>
      <c r="C190" s="97" t="s">
        <v>28</v>
      </c>
      <c r="D190" s="97" t="s">
        <v>58</v>
      </c>
      <c r="E190" s="97" t="s">
        <v>20</v>
      </c>
      <c r="F190" s="116">
        <v>0</v>
      </c>
      <c r="G190" s="91"/>
      <c r="H190" s="91"/>
      <c r="I190" s="91"/>
      <c r="J190" s="108"/>
      <c r="K190" s="108"/>
      <c r="L190" s="97">
        <v>0</v>
      </c>
      <c r="M190" s="108"/>
      <c r="N190" s="91"/>
      <c r="O190" s="97" t="s">
        <v>281</v>
      </c>
      <c r="P190" s="91"/>
      <c r="Q190" s="91"/>
      <c r="R190" t="str">
        <f t="shared" si="2"/>
        <v>ITSM♦Implement process♦Implementation LIS♦L3♦MP</v>
      </c>
    </row>
    <row r="191" spans="1:18" ht="30">
      <c r="A191" s="97" t="s">
        <v>39</v>
      </c>
      <c r="B191" s="97" t="s">
        <v>300</v>
      </c>
      <c r="C191" s="97" t="s">
        <v>29</v>
      </c>
      <c r="D191" s="97" t="s">
        <v>58</v>
      </c>
      <c r="E191" s="97" t="s">
        <v>20</v>
      </c>
      <c r="F191" s="116">
        <v>0</v>
      </c>
      <c r="G191" s="91"/>
      <c r="H191" s="91"/>
      <c r="I191" s="91"/>
      <c r="J191" s="108"/>
      <c r="K191" s="108"/>
      <c r="L191" s="97">
        <v>0</v>
      </c>
      <c r="M191" s="108"/>
      <c r="N191" s="91"/>
      <c r="O191" s="97" t="s">
        <v>281</v>
      </c>
      <c r="P191" s="91"/>
      <c r="Q191" s="91"/>
      <c r="R191" t="str">
        <f t="shared" si="2"/>
        <v>ITSM♦Implement process♦Implementation COT♦L3♦MP</v>
      </c>
    </row>
    <row r="192" spans="1:18" ht="30">
      <c r="A192" s="97" t="s">
        <v>39</v>
      </c>
      <c r="B192" s="97" t="s">
        <v>300</v>
      </c>
      <c r="C192" s="97" t="s">
        <v>30</v>
      </c>
      <c r="D192" s="97" t="s">
        <v>58</v>
      </c>
      <c r="E192" s="97" t="s">
        <v>20</v>
      </c>
      <c r="F192" s="116">
        <v>0</v>
      </c>
      <c r="G192" s="91"/>
      <c r="H192" s="91"/>
      <c r="I192" s="91"/>
      <c r="J192" s="108"/>
      <c r="K192" s="108"/>
      <c r="L192" s="97">
        <v>0</v>
      </c>
      <c r="M192" s="108"/>
      <c r="N192" s="91"/>
      <c r="O192" s="97" t="s">
        <v>281</v>
      </c>
      <c r="P192" s="91"/>
      <c r="Q192" s="91"/>
      <c r="R192" t="str">
        <f t="shared" si="2"/>
        <v>ITSM♦Implement process♦Implementation LUS♦L3♦MP</v>
      </c>
    </row>
    <row r="193" spans="1:18" ht="30">
      <c r="A193" s="94" t="s">
        <v>39</v>
      </c>
      <c r="B193" s="92" t="s">
        <v>301</v>
      </c>
      <c r="C193" s="92" t="s">
        <v>18</v>
      </c>
      <c r="D193" s="92" t="s">
        <v>58</v>
      </c>
      <c r="E193" s="92" t="s">
        <v>20</v>
      </c>
      <c r="F193" s="115">
        <v>1</v>
      </c>
      <c r="G193" s="91"/>
      <c r="H193" s="91"/>
      <c r="I193" s="91"/>
      <c r="J193" s="107">
        <v>45931</v>
      </c>
      <c r="K193" s="107">
        <v>45931</v>
      </c>
      <c r="L193" s="92">
        <v>1</v>
      </c>
      <c r="M193" s="107">
        <v>45918</v>
      </c>
      <c r="N193" s="91"/>
      <c r="O193" s="92" t="s">
        <v>281</v>
      </c>
      <c r="P193" s="91"/>
      <c r="Q193" s="91"/>
      <c r="R193" t="str">
        <f t="shared" si="2"/>
        <v>ITSM♦Perform and measure process♦Total♦L3♦MP</v>
      </c>
    </row>
    <row r="194" spans="1:18" ht="30">
      <c r="A194" s="97" t="s">
        <v>16</v>
      </c>
      <c r="B194" s="97" t="s">
        <v>302</v>
      </c>
      <c r="C194" s="97" t="s">
        <v>22</v>
      </c>
      <c r="D194" s="97" t="s">
        <v>58</v>
      </c>
      <c r="E194" s="97" t="s">
        <v>20</v>
      </c>
      <c r="F194" s="116">
        <v>1</v>
      </c>
      <c r="G194" s="97" t="s">
        <v>35</v>
      </c>
      <c r="H194" s="97" t="s">
        <v>48</v>
      </c>
      <c r="I194" s="97" t="s">
        <v>50</v>
      </c>
      <c r="J194" s="108">
        <v>45931</v>
      </c>
      <c r="K194" s="108">
        <v>45931</v>
      </c>
      <c r="L194" s="97">
        <v>1</v>
      </c>
      <c r="M194" s="108"/>
      <c r="N194" s="97" t="s">
        <v>108</v>
      </c>
      <c r="O194" s="97" t="s">
        <v>281</v>
      </c>
      <c r="P194" s="103" t="s">
        <v>615</v>
      </c>
      <c r="Q194" s="91"/>
      <c r="R194" t="str">
        <f t="shared" ref="R194:R257" si="3">TRIM(A194)&amp;"♦"&amp;TRIM(B194)&amp;"♦"&amp;TRIM(C194)&amp;"♦"&amp;TRIM(D194)&amp;"♦"&amp;TRIM(E194)</f>
        <v>Corporate IT body♦Perform and measure process♦Elaboration♦L3♦MP</v>
      </c>
    </row>
    <row r="195" spans="1:18" ht="30">
      <c r="A195" s="97" t="s">
        <v>39</v>
      </c>
      <c r="B195" s="97" t="s">
        <v>302</v>
      </c>
      <c r="C195" s="97" t="s">
        <v>28</v>
      </c>
      <c r="D195" s="97" t="s">
        <v>58</v>
      </c>
      <c r="E195" s="97" t="s">
        <v>20</v>
      </c>
      <c r="F195" s="116">
        <v>0</v>
      </c>
      <c r="G195" s="91"/>
      <c r="H195" s="91"/>
      <c r="I195" s="91"/>
      <c r="J195" s="108"/>
      <c r="K195" s="108"/>
      <c r="L195" s="97">
        <v>0</v>
      </c>
      <c r="M195" s="108"/>
      <c r="N195" s="91"/>
      <c r="O195" s="97" t="s">
        <v>281</v>
      </c>
      <c r="P195" s="91"/>
      <c r="Q195" s="91"/>
      <c r="R195" t="str">
        <f t="shared" si="3"/>
        <v>ITSM♦Perform and measure process♦Implementation LIS♦L3♦MP</v>
      </c>
    </row>
    <row r="196" spans="1:18" ht="30">
      <c r="A196" s="97" t="s">
        <v>39</v>
      </c>
      <c r="B196" s="97" t="s">
        <v>302</v>
      </c>
      <c r="C196" s="97" t="s">
        <v>29</v>
      </c>
      <c r="D196" s="97" t="s">
        <v>58</v>
      </c>
      <c r="E196" s="97" t="s">
        <v>20</v>
      </c>
      <c r="F196" s="116">
        <v>0</v>
      </c>
      <c r="G196" s="91"/>
      <c r="H196" s="91"/>
      <c r="I196" s="91"/>
      <c r="J196" s="108"/>
      <c r="K196" s="108"/>
      <c r="L196" s="97">
        <v>0</v>
      </c>
      <c r="M196" s="108"/>
      <c r="N196" s="91"/>
      <c r="O196" s="97" t="s">
        <v>281</v>
      </c>
      <c r="P196" s="91"/>
      <c r="Q196" s="91"/>
      <c r="R196" t="str">
        <f t="shared" si="3"/>
        <v>ITSM♦Perform and measure process♦Implementation COT♦L3♦MP</v>
      </c>
    </row>
    <row r="197" spans="1:18" ht="30">
      <c r="A197" s="97" t="s">
        <v>39</v>
      </c>
      <c r="B197" s="97" t="s">
        <v>302</v>
      </c>
      <c r="C197" s="97" t="s">
        <v>30</v>
      </c>
      <c r="D197" s="97" t="s">
        <v>58</v>
      </c>
      <c r="E197" s="97" t="s">
        <v>20</v>
      </c>
      <c r="F197" s="116">
        <v>0</v>
      </c>
      <c r="G197" s="91"/>
      <c r="H197" s="91"/>
      <c r="I197" s="91"/>
      <c r="J197" s="108"/>
      <c r="K197" s="108"/>
      <c r="L197" s="97">
        <v>0</v>
      </c>
      <c r="M197" s="108"/>
      <c r="N197" s="91"/>
      <c r="O197" s="97" t="s">
        <v>281</v>
      </c>
      <c r="P197" s="91"/>
      <c r="Q197" s="91"/>
      <c r="R197" t="str">
        <f t="shared" si="3"/>
        <v>ITSM♦Perform and measure process♦Implementation LUS♦L3♦MP</v>
      </c>
    </row>
    <row r="198" spans="1:18" ht="30">
      <c r="A198" s="94" t="s">
        <v>39</v>
      </c>
      <c r="B198" s="92" t="s">
        <v>303</v>
      </c>
      <c r="C198" s="92" t="s">
        <v>18</v>
      </c>
      <c r="D198" s="92" t="s">
        <v>58</v>
      </c>
      <c r="E198" s="92" t="s">
        <v>20</v>
      </c>
      <c r="F198" s="115">
        <v>1</v>
      </c>
      <c r="G198" s="91"/>
      <c r="H198" s="91"/>
      <c r="I198" s="91"/>
      <c r="J198" s="107">
        <v>45931</v>
      </c>
      <c r="K198" s="107">
        <v>45931</v>
      </c>
      <c r="L198" s="92">
        <v>1</v>
      </c>
      <c r="M198" s="107">
        <v>45918</v>
      </c>
      <c r="N198" s="91"/>
      <c r="O198" s="92" t="s">
        <v>281</v>
      </c>
      <c r="P198" s="91"/>
      <c r="Q198" s="91"/>
      <c r="R198" t="str">
        <f t="shared" si="3"/>
        <v>ITSM♦Analyse process♦Total♦L3♦MP</v>
      </c>
    </row>
    <row r="199" spans="1:18" ht="30">
      <c r="A199" s="97" t="s">
        <v>16</v>
      </c>
      <c r="B199" s="97" t="s">
        <v>304</v>
      </c>
      <c r="C199" s="97" t="s">
        <v>22</v>
      </c>
      <c r="D199" s="97" t="s">
        <v>58</v>
      </c>
      <c r="E199" s="97" t="s">
        <v>20</v>
      </c>
      <c r="F199" s="116">
        <v>1</v>
      </c>
      <c r="G199" s="97" t="s">
        <v>35</v>
      </c>
      <c r="H199" s="97" t="s">
        <v>48</v>
      </c>
      <c r="I199" s="97" t="s">
        <v>50</v>
      </c>
      <c r="J199" s="108">
        <v>45931</v>
      </c>
      <c r="K199" s="108">
        <v>45931</v>
      </c>
      <c r="L199" s="97">
        <v>1</v>
      </c>
      <c r="M199" s="108"/>
      <c r="N199" s="97" t="s">
        <v>108</v>
      </c>
      <c r="O199" s="97" t="s">
        <v>281</v>
      </c>
      <c r="P199" s="103" t="s">
        <v>615</v>
      </c>
      <c r="Q199" s="91"/>
      <c r="R199" t="str">
        <f t="shared" si="3"/>
        <v>Corporate IT body♦Analyse process♦Elaboration♦L3♦MP</v>
      </c>
    </row>
    <row r="200" spans="1:18" ht="30">
      <c r="A200" s="97" t="s">
        <v>39</v>
      </c>
      <c r="B200" s="97" t="s">
        <v>304</v>
      </c>
      <c r="C200" s="97" t="s">
        <v>28</v>
      </c>
      <c r="D200" s="97" t="s">
        <v>58</v>
      </c>
      <c r="E200" s="97" t="s">
        <v>20</v>
      </c>
      <c r="F200" s="116">
        <v>0</v>
      </c>
      <c r="G200" s="91"/>
      <c r="H200" s="91"/>
      <c r="I200" s="91"/>
      <c r="J200" s="108"/>
      <c r="K200" s="108"/>
      <c r="L200" s="97">
        <v>0</v>
      </c>
      <c r="M200" s="108"/>
      <c r="N200" s="91"/>
      <c r="O200" s="97" t="s">
        <v>281</v>
      </c>
      <c r="P200" s="91"/>
      <c r="Q200" s="91"/>
      <c r="R200" t="str">
        <f t="shared" si="3"/>
        <v>ITSM♦Analyse process♦Implementation LIS♦L3♦MP</v>
      </c>
    </row>
    <row r="201" spans="1:18" ht="30">
      <c r="A201" s="97" t="s">
        <v>39</v>
      </c>
      <c r="B201" s="97" t="s">
        <v>304</v>
      </c>
      <c r="C201" s="97" t="s">
        <v>29</v>
      </c>
      <c r="D201" s="97" t="s">
        <v>58</v>
      </c>
      <c r="E201" s="97" t="s">
        <v>20</v>
      </c>
      <c r="F201" s="116">
        <v>0</v>
      </c>
      <c r="G201" s="91"/>
      <c r="H201" s="91"/>
      <c r="I201" s="91"/>
      <c r="J201" s="108"/>
      <c r="K201" s="108"/>
      <c r="L201" s="97">
        <v>0</v>
      </c>
      <c r="M201" s="108"/>
      <c r="N201" s="91"/>
      <c r="O201" s="97" t="s">
        <v>281</v>
      </c>
      <c r="P201" s="91"/>
      <c r="Q201" s="91"/>
      <c r="R201" t="str">
        <f t="shared" si="3"/>
        <v>ITSM♦Analyse process♦Implementation COT♦L3♦MP</v>
      </c>
    </row>
    <row r="202" spans="1:18" ht="30">
      <c r="A202" s="97" t="s">
        <v>39</v>
      </c>
      <c r="B202" s="97" t="s">
        <v>304</v>
      </c>
      <c r="C202" s="97" t="s">
        <v>30</v>
      </c>
      <c r="D202" s="97" t="s">
        <v>58</v>
      </c>
      <c r="E202" s="97" t="s">
        <v>20</v>
      </c>
      <c r="F202" s="116">
        <v>0</v>
      </c>
      <c r="G202" s="91"/>
      <c r="H202" s="91"/>
      <c r="I202" s="91"/>
      <c r="J202" s="108"/>
      <c r="K202" s="108"/>
      <c r="L202" s="97">
        <v>0</v>
      </c>
      <c r="M202" s="108"/>
      <c r="N202" s="91"/>
      <c r="O202" s="97" t="s">
        <v>281</v>
      </c>
      <c r="P202" s="91"/>
      <c r="Q202" s="91"/>
      <c r="R202" t="str">
        <f t="shared" si="3"/>
        <v>ITSM♦Analyse process♦Implementation LUS♦L3♦MP</v>
      </c>
    </row>
    <row r="203" spans="1:18" ht="30">
      <c r="A203" s="99" t="s">
        <v>94</v>
      </c>
      <c r="B203" s="96" t="s">
        <v>509</v>
      </c>
      <c r="C203" s="96" t="s">
        <v>18</v>
      </c>
      <c r="D203" s="96" t="s">
        <v>19</v>
      </c>
      <c r="E203" s="96" t="s">
        <v>20</v>
      </c>
      <c r="F203" s="113">
        <v>0.19</v>
      </c>
      <c r="G203" s="95"/>
      <c r="H203" s="95"/>
      <c r="I203" s="95"/>
      <c r="J203" s="105">
        <v>45931</v>
      </c>
      <c r="K203" s="105">
        <v>46295</v>
      </c>
      <c r="L203" s="96">
        <v>261</v>
      </c>
      <c r="M203" s="105"/>
      <c r="N203" s="95"/>
      <c r="O203" s="96" t="s">
        <v>306</v>
      </c>
      <c r="P203" s="91"/>
      <c r="Q203" s="91"/>
      <c r="R203" t="str">
        <f t="shared" si="3"/>
        <v>Central area (Jan Müskens)♦Manage IT risks and compliance♦Total♦L1♦MP</v>
      </c>
    </row>
    <row r="204" spans="1:18" ht="45">
      <c r="A204" s="97" t="s">
        <v>94</v>
      </c>
      <c r="B204" s="98" t="s">
        <v>307</v>
      </c>
      <c r="C204" s="98" t="s">
        <v>22</v>
      </c>
      <c r="D204" s="98" t="s">
        <v>19</v>
      </c>
      <c r="E204" s="98" t="s">
        <v>20</v>
      </c>
      <c r="F204" s="114">
        <v>1</v>
      </c>
      <c r="G204" s="98" t="s">
        <v>511</v>
      </c>
      <c r="H204" s="98" t="s">
        <v>96</v>
      </c>
      <c r="I204" s="98" t="s">
        <v>97</v>
      </c>
      <c r="J204" s="106">
        <v>45931</v>
      </c>
      <c r="K204" s="106">
        <v>45931</v>
      </c>
      <c r="L204" s="98">
        <v>1</v>
      </c>
      <c r="M204" s="106"/>
      <c r="N204" s="98" t="s">
        <v>108</v>
      </c>
      <c r="O204" s="98" t="s">
        <v>306</v>
      </c>
      <c r="P204" s="103" t="s">
        <v>616</v>
      </c>
      <c r="Q204" s="91"/>
      <c r="R204" t="str">
        <f t="shared" si="3"/>
        <v>Central area (Jan Müskens)♦Manage IT risks and compliance♦Elaboration♦L1♦MP</v>
      </c>
    </row>
    <row r="205" spans="1:18" ht="30">
      <c r="A205" s="97" t="s">
        <v>94</v>
      </c>
      <c r="B205" s="98" t="s">
        <v>307</v>
      </c>
      <c r="C205" s="98" t="s">
        <v>28</v>
      </c>
      <c r="D205" s="98" t="s">
        <v>19</v>
      </c>
      <c r="E205" s="98" t="s">
        <v>20</v>
      </c>
      <c r="F205" s="114">
        <v>0</v>
      </c>
      <c r="G205" s="95"/>
      <c r="H205" s="95"/>
      <c r="I205" s="95"/>
      <c r="J205" s="106"/>
      <c r="K205" s="106"/>
      <c r="L205" s="98">
        <v>0</v>
      </c>
      <c r="M205" s="106"/>
      <c r="N205" s="95"/>
      <c r="O205" s="98" t="s">
        <v>306</v>
      </c>
      <c r="P205" s="91"/>
      <c r="Q205" s="91"/>
      <c r="R205" t="str">
        <f t="shared" si="3"/>
        <v>Central area (Jan Müskens)♦Manage IT risks and compliance♦Implementation LIS♦L1♦MP</v>
      </c>
    </row>
    <row r="206" spans="1:18" ht="30">
      <c r="A206" s="97" t="s">
        <v>94</v>
      </c>
      <c r="B206" s="98" t="s">
        <v>307</v>
      </c>
      <c r="C206" s="98" t="s">
        <v>29</v>
      </c>
      <c r="D206" s="98" t="s">
        <v>19</v>
      </c>
      <c r="E206" s="98" t="s">
        <v>20</v>
      </c>
      <c r="F206" s="114">
        <v>0</v>
      </c>
      <c r="G206" s="95"/>
      <c r="H206" s="95"/>
      <c r="I206" s="95"/>
      <c r="J206" s="106"/>
      <c r="K206" s="106"/>
      <c r="L206" s="98">
        <v>0</v>
      </c>
      <c r="M206" s="106"/>
      <c r="N206" s="95"/>
      <c r="O206" s="98" t="s">
        <v>306</v>
      </c>
      <c r="P206" s="91"/>
      <c r="Q206" s="91"/>
      <c r="R206" t="str">
        <f t="shared" si="3"/>
        <v>Central area (Jan Müskens)♦Manage IT risks and compliance♦Implementation COT♦L1♦MP</v>
      </c>
    </row>
    <row r="207" spans="1:18" ht="30">
      <c r="A207" s="97" t="s">
        <v>94</v>
      </c>
      <c r="B207" s="98" t="s">
        <v>307</v>
      </c>
      <c r="C207" s="98" t="s">
        <v>30</v>
      </c>
      <c r="D207" s="98" t="s">
        <v>19</v>
      </c>
      <c r="E207" s="98" t="s">
        <v>20</v>
      </c>
      <c r="F207" s="114">
        <v>0</v>
      </c>
      <c r="G207" s="95"/>
      <c r="H207" s="95"/>
      <c r="I207" s="95"/>
      <c r="J207" s="106"/>
      <c r="K207" s="106"/>
      <c r="L207" s="98">
        <v>0</v>
      </c>
      <c r="M207" s="106"/>
      <c r="N207" s="95"/>
      <c r="O207" s="98" t="s">
        <v>306</v>
      </c>
      <c r="P207" s="91"/>
      <c r="Q207" s="91"/>
      <c r="R207" t="str">
        <f t="shared" si="3"/>
        <v>Central area (Jan Müskens)♦Manage IT risks and compliance♦Implementation LUS♦L1♦MP</v>
      </c>
    </row>
    <row r="208" spans="1:18" ht="30">
      <c r="A208" s="92" t="s">
        <v>94</v>
      </c>
      <c r="B208" s="92" t="s">
        <v>512</v>
      </c>
      <c r="C208" s="92" t="s">
        <v>18</v>
      </c>
      <c r="D208" s="92" t="s">
        <v>33</v>
      </c>
      <c r="E208" s="92" t="s">
        <v>20</v>
      </c>
      <c r="F208" s="115">
        <v>0</v>
      </c>
      <c r="G208" s="91"/>
      <c r="H208" s="91"/>
      <c r="I208" s="91"/>
      <c r="J208" s="107">
        <v>45931</v>
      </c>
      <c r="K208" s="107">
        <v>46295</v>
      </c>
      <c r="L208" s="92">
        <v>261</v>
      </c>
      <c r="M208" s="107"/>
      <c r="N208" s="91"/>
      <c r="O208" s="92" t="s">
        <v>306</v>
      </c>
      <c r="P208" s="91"/>
      <c r="Q208" s="91"/>
      <c r="R208" t="str">
        <f t="shared" si="3"/>
        <v>Central area (Jan Müskens)♦Manage IT risks♦Total♦L2♦MP</v>
      </c>
    </row>
    <row r="209" spans="1:18" ht="45">
      <c r="A209" s="97" t="s">
        <v>94</v>
      </c>
      <c r="B209" s="97" t="s">
        <v>513</v>
      </c>
      <c r="C209" s="97" t="s">
        <v>22</v>
      </c>
      <c r="D209" s="97" t="s">
        <v>33</v>
      </c>
      <c r="E209" s="97" t="s">
        <v>20</v>
      </c>
      <c r="F209" s="116">
        <v>0</v>
      </c>
      <c r="G209" s="97" t="s">
        <v>514</v>
      </c>
      <c r="H209" s="91"/>
      <c r="I209" s="97" t="s">
        <v>97</v>
      </c>
      <c r="J209" s="108"/>
      <c r="K209" s="108"/>
      <c r="L209" s="97">
        <v>0</v>
      </c>
      <c r="M209" s="108"/>
      <c r="N209" s="91"/>
      <c r="O209" s="97" t="s">
        <v>306</v>
      </c>
      <c r="P209" s="91"/>
      <c r="Q209" s="91"/>
      <c r="R209" t="str">
        <f t="shared" si="3"/>
        <v>Central area (Jan Müskens)♦Manage IT risks♦Elaboration♦L2♦MP</v>
      </c>
    </row>
    <row r="210" spans="1:18" ht="30">
      <c r="A210" s="97" t="s">
        <v>94</v>
      </c>
      <c r="B210" s="97" t="s">
        <v>513</v>
      </c>
      <c r="C210" s="97" t="s">
        <v>28</v>
      </c>
      <c r="D210" s="97" t="s">
        <v>33</v>
      </c>
      <c r="E210" s="97" t="s">
        <v>20</v>
      </c>
      <c r="F210" s="116">
        <v>0</v>
      </c>
      <c r="G210" s="91"/>
      <c r="H210" s="91"/>
      <c r="I210" s="91"/>
      <c r="J210" s="108"/>
      <c r="K210" s="108"/>
      <c r="L210" s="97">
        <v>0</v>
      </c>
      <c r="M210" s="108"/>
      <c r="N210" s="91"/>
      <c r="O210" s="97" t="s">
        <v>306</v>
      </c>
      <c r="P210" s="91"/>
      <c r="Q210" s="91"/>
      <c r="R210" t="str">
        <f t="shared" si="3"/>
        <v>Central area (Jan Müskens)♦Manage IT risks♦Implementation LIS♦L2♦MP</v>
      </c>
    </row>
    <row r="211" spans="1:18" ht="30">
      <c r="A211" s="97" t="s">
        <v>94</v>
      </c>
      <c r="B211" s="97" t="s">
        <v>513</v>
      </c>
      <c r="C211" s="97" t="s">
        <v>29</v>
      </c>
      <c r="D211" s="97" t="s">
        <v>33</v>
      </c>
      <c r="E211" s="97" t="s">
        <v>20</v>
      </c>
      <c r="F211" s="116">
        <v>0</v>
      </c>
      <c r="G211" s="91"/>
      <c r="H211" s="91"/>
      <c r="I211" s="91"/>
      <c r="J211" s="108"/>
      <c r="K211" s="108"/>
      <c r="L211" s="97">
        <v>0</v>
      </c>
      <c r="M211" s="108"/>
      <c r="N211" s="91"/>
      <c r="O211" s="97" t="s">
        <v>306</v>
      </c>
      <c r="P211" s="91"/>
      <c r="Q211" s="91"/>
      <c r="R211" t="str">
        <f t="shared" si="3"/>
        <v>Central area (Jan Müskens)♦Manage IT risks♦Implementation COT♦L2♦MP</v>
      </c>
    </row>
    <row r="212" spans="1:18" ht="30">
      <c r="A212" s="97" t="s">
        <v>94</v>
      </c>
      <c r="B212" s="97" t="s">
        <v>513</v>
      </c>
      <c r="C212" s="97" t="s">
        <v>30</v>
      </c>
      <c r="D212" s="97" t="s">
        <v>33</v>
      </c>
      <c r="E212" s="97" t="s">
        <v>20</v>
      </c>
      <c r="F212" s="116">
        <v>0</v>
      </c>
      <c r="G212" s="91"/>
      <c r="H212" s="91"/>
      <c r="I212" s="91"/>
      <c r="J212" s="108"/>
      <c r="K212" s="108"/>
      <c r="L212" s="97">
        <v>0</v>
      </c>
      <c r="M212" s="108"/>
      <c r="N212" s="91"/>
      <c r="O212" s="97" t="s">
        <v>306</v>
      </c>
      <c r="P212" s="91"/>
      <c r="Q212" s="91"/>
      <c r="R212" t="str">
        <f t="shared" si="3"/>
        <v>Central area (Jan Müskens)♦Manage IT risks♦Implementation LUS♦L2♦MP</v>
      </c>
    </row>
    <row r="213" spans="1:18" ht="30">
      <c r="A213" s="92" t="s">
        <v>94</v>
      </c>
      <c r="B213" s="92" t="s">
        <v>515</v>
      </c>
      <c r="C213" s="92" t="s">
        <v>18</v>
      </c>
      <c r="D213" s="92" t="s">
        <v>33</v>
      </c>
      <c r="E213" s="92" t="s">
        <v>20</v>
      </c>
      <c r="F213" s="115">
        <v>0.25</v>
      </c>
      <c r="G213" s="91"/>
      <c r="H213" s="91"/>
      <c r="I213" s="91"/>
      <c r="J213" s="107">
        <v>45931</v>
      </c>
      <c r="K213" s="107">
        <v>46295</v>
      </c>
      <c r="L213" s="92">
        <v>261</v>
      </c>
      <c r="M213" s="107"/>
      <c r="N213" s="91"/>
      <c r="O213" s="92" t="s">
        <v>306</v>
      </c>
      <c r="P213" s="91"/>
      <c r="Q213" s="91"/>
      <c r="R213" t="str">
        <f t="shared" si="3"/>
        <v>Central area (Jan Müskens)♦Manage IT compliance♦Total♦L2♦MP</v>
      </c>
    </row>
    <row r="214" spans="1:18" ht="30">
      <c r="A214" s="92" t="s">
        <v>94</v>
      </c>
      <c r="B214" s="97" t="s">
        <v>516</v>
      </c>
      <c r="C214" s="97" t="s">
        <v>22</v>
      </c>
      <c r="D214" s="97" t="s">
        <v>33</v>
      </c>
      <c r="E214" s="97" t="s">
        <v>20</v>
      </c>
      <c r="F214" s="116">
        <v>0.25</v>
      </c>
      <c r="G214" s="97" t="s">
        <v>469</v>
      </c>
      <c r="H214" s="97" t="s">
        <v>96</v>
      </c>
      <c r="I214" s="97" t="s">
        <v>97</v>
      </c>
      <c r="J214" s="108">
        <v>45931</v>
      </c>
      <c r="K214" s="108">
        <v>46295</v>
      </c>
      <c r="L214" s="97">
        <v>261</v>
      </c>
      <c r="M214" s="108"/>
      <c r="N214" s="97" t="s">
        <v>26</v>
      </c>
      <c r="O214" s="97" t="s">
        <v>306</v>
      </c>
      <c r="P214" s="103" t="s">
        <v>616</v>
      </c>
      <c r="Q214" s="91"/>
      <c r="R214" t="str">
        <f t="shared" si="3"/>
        <v>Central area (Jan Müskens)♦Manage IT compliance♦Elaboration♦L2♦MP</v>
      </c>
    </row>
    <row r="215" spans="1:18" ht="30">
      <c r="A215" s="92" t="s">
        <v>94</v>
      </c>
      <c r="B215" s="97" t="s">
        <v>516</v>
      </c>
      <c r="C215" s="97" t="s">
        <v>28</v>
      </c>
      <c r="D215" s="97" t="s">
        <v>33</v>
      </c>
      <c r="E215" s="97" t="s">
        <v>20</v>
      </c>
      <c r="F215" s="116">
        <v>0</v>
      </c>
      <c r="G215" s="91"/>
      <c r="H215" s="91"/>
      <c r="I215" s="91"/>
      <c r="J215" s="108"/>
      <c r="K215" s="108"/>
      <c r="L215" s="97">
        <v>0</v>
      </c>
      <c r="M215" s="108"/>
      <c r="N215" s="91"/>
      <c r="O215" s="97" t="s">
        <v>306</v>
      </c>
      <c r="P215" s="91"/>
      <c r="Q215" s="91"/>
      <c r="R215" t="str">
        <f t="shared" si="3"/>
        <v>Central area (Jan Müskens)♦Manage IT compliance♦Implementation LIS♦L2♦MP</v>
      </c>
    </row>
    <row r="216" spans="1:18" ht="30">
      <c r="A216" s="92" t="s">
        <v>94</v>
      </c>
      <c r="B216" s="97" t="s">
        <v>516</v>
      </c>
      <c r="C216" s="97" t="s">
        <v>29</v>
      </c>
      <c r="D216" s="97" t="s">
        <v>33</v>
      </c>
      <c r="E216" s="97" t="s">
        <v>20</v>
      </c>
      <c r="F216" s="116">
        <v>0</v>
      </c>
      <c r="G216" s="91"/>
      <c r="H216" s="91"/>
      <c r="I216" s="91"/>
      <c r="J216" s="108"/>
      <c r="K216" s="108"/>
      <c r="L216" s="97">
        <v>0</v>
      </c>
      <c r="M216" s="108"/>
      <c r="N216" s="91"/>
      <c r="O216" s="97" t="s">
        <v>306</v>
      </c>
      <c r="P216" s="91"/>
      <c r="Q216" s="91"/>
      <c r="R216" t="str">
        <f t="shared" si="3"/>
        <v>Central area (Jan Müskens)♦Manage IT compliance♦Implementation COT♦L2♦MP</v>
      </c>
    </row>
    <row r="217" spans="1:18" ht="30">
      <c r="A217" s="92" t="s">
        <v>94</v>
      </c>
      <c r="B217" s="97" t="s">
        <v>516</v>
      </c>
      <c r="C217" s="97" t="s">
        <v>30</v>
      </c>
      <c r="D217" s="97" t="s">
        <v>33</v>
      </c>
      <c r="E217" s="97" t="s">
        <v>20</v>
      </c>
      <c r="F217" s="116">
        <v>0</v>
      </c>
      <c r="G217" s="91"/>
      <c r="H217" s="91"/>
      <c r="I217" s="91"/>
      <c r="J217" s="108"/>
      <c r="K217" s="108"/>
      <c r="L217" s="97">
        <v>0</v>
      </c>
      <c r="M217" s="108"/>
      <c r="N217" s="91"/>
      <c r="O217" s="97" t="s">
        <v>306</v>
      </c>
      <c r="P217" s="91"/>
      <c r="Q217" s="91"/>
      <c r="R217" t="str">
        <f t="shared" si="3"/>
        <v>Central area (Jan Müskens)♦Manage IT compliance♦Implementation LUS♦L2♦MP</v>
      </c>
    </row>
    <row r="218" spans="1:18" ht="30">
      <c r="A218" s="94" t="s">
        <v>94</v>
      </c>
      <c r="B218" s="92" t="s">
        <v>310</v>
      </c>
      <c r="C218" s="92" t="s">
        <v>18</v>
      </c>
      <c r="D218" s="92" t="s">
        <v>58</v>
      </c>
      <c r="E218" s="92" t="s">
        <v>20</v>
      </c>
      <c r="F218" s="115">
        <v>0.25</v>
      </c>
      <c r="G218" s="91"/>
      <c r="H218" s="91"/>
      <c r="I218" s="91"/>
      <c r="J218" s="107">
        <v>45931</v>
      </c>
      <c r="K218" s="107">
        <v>46295</v>
      </c>
      <c r="L218" s="92">
        <v>261</v>
      </c>
      <c r="M218" s="107"/>
      <c r="N218" s="91"/>
      <c r="O218" s="92" t="s">
        <v>306</v>
      </c>
      <c r="P218" s="91"/>
      <c r="Q218" s="91"/>
      <c r="R218" t="str">
        <f t="shared" si="3"/>
        <v>Central area (Jan Müskens)♦Monitor to delegate♦Total♦L3♦MP</v>
      </c>
    </row>
    <row r="219" spans="1:18" ht="30">
      <c r="A219" s="97" t="s">
        <v>94</v>
      </c>
      <c r="B219" s="97" t="s">
        <v>517</v>
      </c>
      <c r="C219" s="97" t="s">
        <v>22</v>
      </c>
      <c r="D219" s="97" t="s">
        <v>58</v>
      </c>
      <c r="E219" s="97" t="s">
        <v>20</v>
      </c>
      <c r="F219" s="116">
        <v>0.25</v>
      </c>
      <c r="G219" s="97" t="s">
        <v>469</v>
      </c>
      <c r="H219" s="97" t="s">
        <v>96</v>
      </c>
      <c r="I219" s="97" t="s">
        <v>97</v>
      </c>
      <c r="J219" s="108">
        <v>45931</v>
      </c>
      <c r="K219" s="108">
        <v>46295</v>
      </c>
      <c r="L219" s="97">
        <v>261</v>
      </c>
      <c r="M219" s="108"/>
      <c r="N219" s="97" t="s">
        <v>26</v>
      </c>
      <c r="O219" s="97" t="s">
        <v>306</v>
      </c>
      <c r="P219" s="103" t="s">
        <v>616</v>
      </c>
      <c r="Q219" s="91"/>
      <c r="R219" t="str">
        <f t="shared" si="3"/>
        <v>Central area (Jan Müskens)♦Monitor to delegate♦Elaboration♦L3♦MP</v>
      </c>
    </row>
    <row r="220" spans="1:18" ht="30">
      <c r="A220" s="97" t="s">
        <v>94</v>
      </c>
      <c r="B220" s="97" t="s">
        <v>517</v>
      </c>
      <c r="C220" s="97" t="s">
        <v>28</v>
      </c>
      <c r="D220" s="97" t="s">
        <v>58</v>
      </c>
      <c r="E220" s="97" t="s">
        <v>20</v>
      </c>
      <c r="F220" s="116">
        <v>0</v>
      </c>
      <c r="G220" s="91"/>
      <c r="H220" s="91"/>
      <c r="I220" s="91"/>
      <c r="J220" s="108"/>
      <c r="K220" s="108"/>
      <c r="L220" s="97">
        <v>0</v>
      </c>
      <c r="M220" s="108"/>
      <c r="N220" s="91"/>
      <c r="O220" s="97" t="s">
        <v>306</v>
      </c>
      <c r="P220" s="91"/>
      <c r="Q220" s="91"/>
      <c r="R220" t="str">
        <f t="shared" si="3"/>
        <v>Central area (Jan Müskens)♦Monitor to delegate♦Implementation LIS♦L3♦MP</v>
      </c>
    </row>
    <row r="221" spans="1:18" ht="30">
      <c r="A221" s="97" t="s">
        <v>94</v>
      </c>
      <c r="B221" s="97" t="s">
        <v>517</v>
      </c>
      <c r="C221" s="97" t="s">
        <v>29</v>
      </c>
      <c r="D221" s="97" t="s">
        <v>58</v>
      </c>
      <c r="E221" s="97" t="s">
        <v>20</v>
      </c>
      <c r="F221" s="116">
        <v>0</v>
      </c>
      <c r="G221" s="91"/>
      <c r="H221" s="91"/>
      <c r="I221" s="91"/>
      <c r="J221" s="107"/>
      <c r="K221" s="107"/>
      <c r="L221" s="97">
        <v>0</v>
      </c>
      <c r="M221" s="108"/>
      <c r="N221" s="91"/>
      <c r="O221" s="97" t="s">
        <v>306</v>
      </c>
      <c r="P221" s="91"/>
      <c r="Q221" s="91"/>
      <c r="R221" t="str">
        <f t="shared" si="3"/>
        <v>Central area (Jan Müskens)♦Monitor to delegate♦Implementation COT♦L3♦MP</v>
      </c>
    </row>
    <row r="222" spans="1:18" ht="30">
      <c r="A222" s="97" t="s">
        <v>94</v>
      </c>
      <c r="B222" s="97" t="s">
        <v>517</v>
      </c>
      <c r="C222" s="97" t="s">
        <v>30</v>
      </c>
      <c r="D222" s="97" t="s">
        <v>58</v>
      </c>
      <c r="E222" s="97" t="s">
        <v>20</v>
      </c>
      <c r="F222" s="116">
        <v>0</v>
      </c>
      <c r="G222" s="91"/>
      <c r="H222" s="91"/>
      <c r="I222" s="91"/>
      <c r="J222" s="108"/>
      <c r="K222" s="108"/>
      <c r="L222" s="97">
        <v>0</v>
      </c>
      <c r="M222" s="108"/>
      <c r="N222" s="91"/>
      <c r="O222" s="97" t="s">
        <v>306</v>
      </c>
      <c r="P222" s="91"/>
      <c r="Q222" s="91"/>
      <c r="R222" t="str">
        <f t="shared" si="3"/>
        <v>Central area (Jan Müskens)♦Monitor to delegate♦Implementation LUS♦L3♦MP</v>
      </c>
    </row>
    <row r="223" spans="1:18" ht="30">
      <c r="A223" s="94" t="s">
        <v>94</v>
      </c>
      <c r="B223" s="92" t="s">
        <v>312</v>
      </c>
      <c r="C223" s="92" t="s">
        <v>18</v>
      </c>
      <c r="D223" s="92" t="s">
        <v>58</v>
      </c>
      <c r="E223" s="92" t="s">
        <v>20</v>
      </c>
      <c r="F223" s="115">
        <v>0.25</v>
      </c>
      <c r="G223" s="91"/>
      <c r="H223" s="91"/>
      <c r="I223" s="91"/>
      <c r="J223" s="107">
        <v>45931</v>
      </c>
      <c r="K223" s="107">
        <v>46295</v>
      </c>
      <c r="L223" s="92">
        <v>261</v>
      </c>
      <c r="M223" s="107"/>
      <c r="N223" s="91"/>
      <c r="O223" s="92" t="s">
        <v>306</v>
      </c>
      <c r="P223" s="91"/>
      <c r="Q223" s="91"/>
      <c r="R223" t="str">
        <f t="shared" si="3"/>
        <v>Central area (Jan Müskens)♦Requirements to measures♦Total♦L3♦MP</v>
      </c>
    </row>
    <row r="224" spans="1:18" ht="30">
      <c r="A224" s="97" t="s">
        <v>94</v>
      </c>
      <c r="B224" s="97" t="s">
        <v>518</v>
      </c>
      <c r="C224" s="97" t="s">
        <v>22</v>
      </c>
      <c r="D224" s="97" t="s">
        <v>58</v>
      </c>
      <c r="E224" s="97" t="s">
        <v>20</v>
      </c>
      <c r="F224" s="116">
        <v>0.25</v>
      </c>
      <c r="G224" s="97" t="s">
        <v>469</v>
      </c>
      <c r="H224" s="97" t="s">
        <v>96</v>
      </c>
      <c r="I224" s="97" t="s">
        <v>97</v>
      </c>
      <c r="J224" s="108">
        <v>45931</v>
      </c>
      <c r="K224" s="108">
        <v>46295</v>
      </c>
      <c r="L224" s="97">
        <v>261</v>
      </c>
      <c r="M224" s="108"/>
      <c r="N224" s="97" t="s">
        <v>26</v>
      </c>
      <c r="O224" s="97" t="s">
        <v>306</v>
      </c>
      <c r="P224" s="103" t="s">
        <v>616</v>
      </c>
      <c r="Q224" s="91"/>
      <c r="R224" t="str">
        <f t="shared" si="3"/>
        <v>Central area (Jan Müskens)♦Requirements to measures♦Elaboration♦L3♦MP</v>
      </c>
    </row>
    <row r="225" spans="1:18" ht="30">
      <c r="A225" s="97" t="s">
        <v>94</v>
      </c>
      <c r="B225" s="97" t="s">
        <v>518</v>
      </c>
      <c r="C225" s="97" t="s">
        <v>28</v>
      </c>
      <c r="D225" s="97" t="s">
        <v>58</v>
      </c>
      <c r="E225" s="97" t="s">
        <v>20</v>
      </c>
      <c r="F225" s="116">
        <v>0</v>
      </c>
      <c r="G225" s="91"/>
      <c r="H225" s="91"/>
      <c r="I225" s="91"/>
      <c r="J225" s="107"/>
      <c r="K225" s="107"/>
      <c r="L225" s="97">
        <v>0</v>
      </c>
      <c r="M225" s="108"/>
      <c r="N225" s="91"/>
      <c r="O225" s="97" t="s">
        <v>306</v>
      </c>
      <c r="P225" s="91"/>
      <c r="Q225" s="91"/>
      <c r="R225" t="str">
        <f t="shared" si="3"/>
        <v>Central area (Jan Müskens)♦Requirements to measures♦Implementation LIS♦L3♦MP</v>
      </c>
    </row>
    <row r="226" spans="1:18" ht="30">
      <c r="A226" s="97" t="s">
        <v>94</v>
      </c>
      <c r="B226" s="97" t="s">
        <v>518</v>
      </c>
      <c r="C226" s="97" t="s">
        <v>29</v>
      </c>
      <c r="D226" s="97" t="s">
        <v>58</v>
      </c>
      <c r="E226" s="97" t="s">
        <v>20</v>
      </c>
      <c r="F226" s="116">
        <v>0</v>
      </c>
      <c r="G226" s="91"/>
      <c r="H226" s="91"/>
      <c r="I226" s="91"/>
      <c r="J226" s="108"/>
      <c r="K226" s="108"/>
      <c r="L226" s="97">
        <v>0</v>
      </c>
      <c r="M226" s="108"/>
      <c r="N226" s="91"/>
      <c r="O226" s="97" t="s">
        <v>306</v>
      </c>
      <c r="P226" s="91"/>
      <c r="Q226" s="91"/>
      <c r="R226" t="str">
        <f t="shared" si="3"/>
        <v>Central area (Jan Müskens)♦Requirements to measures♦Implementation COT♦L3♦MP</v>
      </c>
    </row>
    <row r="227" spans="1:18" ht="30">
      <c r="A227" s="97" t="s">
        <v>94</v>
      </c>
      <c r="B227" s="97" t="s">
        <v>518</v>
      </c>
      <c r="C227" s="97" t="s">
        <v>30</v>
      </c>
      <c r="D227" s="97" t="s">
        <v>58</v>
      </c>
      <c r="E227" s="97" t="s">
        <v>20</v>
      </c>
      <c r="F227" s="116">
        <v>0</v>
      </c>
      <c r="G227" s="91"/>
      <c r="H227" s="91"/>
      <c r="I227" s="91"/>
      <c r="J227" s="108"/>
      <c r="K227" s="108"/>
      <c r="L227" s="97">
        <v>0</v>
      </c>
      <c r="M227" s="108"/>
      <c r="N227" s="91"/>
      <c r="O227" s="97" t="s">
        <v>306</v>
      </c>
      <c r="P227" s="91"/>
      <c r="Q227" s="91"/>
      <c r="R227" t="str">
        <f t="shared" si="3"/>
        <v>Central area (Jan Müskens)♦Requirements to measures♦Implementation LUS♦L3♦MP</v>
      </c>
    </row>
    <row r="228" spans="1:18" ht="30">
      <c r="A228" s="94" t="s">
        <v>94</v>
      </c>
      <c r="B228" s="92" t="s">
        <v>314</v>
      </c>
      <c r="C228" s="92" t="s">
        <v>18</v>
      </c>
      <c r="D228" s="92" t="s">
        <v>58</v>
      </c>
      <c r="E228" s="92" t="s">
        <v>20</v>
      </c>
      <c r="F228" s="115">
        <v>0.25</v>
      </c>
      <c r="G228" s="91"/>
      <c r="H228" s="91"/>
      <c r="I228" s="91"/>
      <c r="J228" s="107">
        <v>45931</v>
      </c>
      <c r="K228" s="107">
        <v>46295</v>
      </c>
      <c r="L228" s="92">
        <v>261</v>
      </c>
      <c r="M228" s="107"/>
      <c r="N228" s="91"/>
      <c r="O228" s="92" t="s">
        <v>306</v>
      </c>
      <c r="P228" s="91"/>
      <c r="Q228" s="91"/>
      <c r="R228" t="str">
        <f t="shared" si="3"/>
        <v>Central area (Jan Müskens)♦Implement to improve♦Total♦L3♦MP</v>
      </c>
    </row>
    <row r="229" spans="1:18" ht="30">
      <c r="A229" s="97" t="s">
        <v>94</v>
      </c>
      <c r="B229" s="97" t="s">
        <v>519</v>
      </c>
      <c r="C229" s="97" t="s">
        <v>22</v>
      </c>
      <c r="D229" s="97" t="s">
        <v>58</v>
      </c>
      <c r="E229" s="97" t="s">
        <v>20</v>
      </c>
      <c r="F229" s="116">
        <v>0.25</v>
      </c>
      <c r="G229" s="97" t="s">
        <v>469</v>
      </c>
      <c r="H229" s="97" t="s">
        <v>96</v>
      </c>
      <c r="I229" s="97" t="s">
        <v>97</v>
      </c>
      <c r="J229" s="108">
        <v>45931</v>
      </c>
      <c r="K229" s="108">
        <v>46295</v>
      </c>
      <c r="L229" s="97">
        <v>261</v>
      </c>
      <c r="M229" s="108"/>
      <c r="N229" s="97" t="s">
        <v>26</v>
      </c>
      <c r="O229" s="97" t="s">
        <v>306</v>
      </c>
      <c r="P229" s="103" t="s">
        <v>616</v>
      </c>
      <c r="Q229" s="91"/>
      <c r="R229" t="str">
        <f t="shared" si="3"/>
        <v>Central area (Jan Müskens)♦Implement to improve♦Elaboration♦L3♦MP</v>
      </c>
    </row>
    <row r="230" spans="1:18" ht="30">
      <c r="A230" s="97" t="s">
        <v>94</v>
      </c>
      <c r="B230" s="97" t="s">
        <v>519</v>
      </c>
      <c r="C230" s="97" t="s">
        <v>28</v>
      </c>
      <c r="D230" s="97" t="s">
        <v>58</v>
      </c>
      <c r="E230" s="97" t="s">
        <v>20</v>
      </c>
      <c r="F230" s="116">
        <v>0</v>
      </c>
      <c r="G230" s="91"/>
      <c r="H230" s="91"/>
      <c r="I230" s="91"/>
      <c r="J230" s="108"/>
      <c r="K230" s="108"/>
      <c r="L230" s="97">
        <v>0</v>
      </c>
      <c r="M230" s="108"/>
      <c r="N230" s="91"/>
      <c r="O230" s="97" t="s">
        <v>306</v>
      </c>
      <c r="P230" s="91"/>
      <c r="Q230" s="91"/>
      <c r="R230" t="str">
        <f t="shared" si="3"/>
        <v>Central area (Jan Müskens)♦Implement to improve♦Implementation LIS♦L3♦MP</v>
      </c>
    </row>
    <row r="231" spans="1:18" ht="30">
      <c r="A231" s="97" t="s">
        <v>94</v>
      </c>
      <c r="B231" s="97" t="s">
        <v>519</v>
      </c>
      <c r="C231" s="97" t="s">
        <v>29</v>
      </c>
      <c r="D231" s="97" t="s">
        <v>58</v>
      </c>
      <c r="E231" s="97" t="s">
        <v>20</v>
      </c>
      <c r="F231" s="116">
        <v>0</v>
      </c>
      <c r="G231" s="91"/>
      <c r="H231" s="91"/>
      <c r="I231" s="91"/>
      <c r="J231" s="107"/>
      <c r="K231" s="107"/>
      <c r="L231" s="97">
        <v>0</v>
      </c>
      <c r="M231" s="108"/>
      <c r="N231" s="91"/>
      <c r="O231" s="97" t="s">
        <v>306</v>
      </c>
      <c r="P231" s="91"/>
      <c r="Q231" s="91"/>
      <c r="R231" t="str">
        <f t="shared" si="3"/>
        <v>Central area (Jan Müskens)♦Implement to improve♦Implementation COT♦L3♦MP</v>
      </c>
    </row>
    <row r="232" spans="1:18" ht="30">
      <c r="A232" s="97" t="s">
        <v>94</v>
      </c>
      <c r="B232" s="97" t="s">
        <v>519</v>
      </c>
      <c r="C232" s="97" t="s">
        <v>30</v>
      </c>
      <c r="D232" s="97" t="s">
        <v>58</v>
      </c>
      <c r="E232" s="97" t="s">
        <v>20</v>
      </c>
      <c r="F232" s="116">
        <v>0</v>
      </c>
      <c r="G232" s="91"/>
      <c r="H232" s="91"/>
      <c r="I232" s="91"/>
      <c r="J232" s="108"/>
      <c r="K232" s="108"/>
      <c r="L232" s="97">
        <v>0</v>
      </c>
      <c r="M232" s="108"/>
      <c r="N232" s="91"/>
      <c r="O232" s="97" t="s">
        <v>306</v>
      </c>
      <c r="P232" s="91"/>
      <c r="Q232" s="91"/>
      <c r="R232" t="str">
        <f t="shared" si="3"/>
        <v>Central area (Jan Müskens)♦Implement to improve♦Implementation LUS♦L3♦MP</v>
      </c>
    </row>
    <row r="233" spans="1:18" ht="30">
      <c r="A233" s="94" t="s">
        <v>94</v>
      </c>
      <c r="B233" s="92" t="s">
        <v>316</v>
      </c>
      <c r="C233" s="92" t="s">
        <v>18</v>
      </c>
      <c r="D233" s="92" t="s">
        <v>58</v>
      </c>
      <c r="E233" s="92" t="s">
        <v>20</v>
      </c>
      <c r="F233" s="115">
        <v>0.25</v>
      </c>
      <c r="G233" s="91"/>
      <c r="H233" s="91"/>
      <c r="I233" s="91"/>
      <c r="J233" s="107">
        <v>45931</v>
      </c>
      <c r="K233" s="107">
        <v>46295</v>
      </c>
      <c r="L233" s="92">
        <v>261</v>
      </c>
      <c r="M233" s="107"/>
      <c r="N233" s="91"/>
      <c r="O233" s="92" t="s">
        <v>306</v>
      </c>
      <c r="P233" s="91"/>
      <c r="Q233" s="91"/>
      <c r="R233" t="str">
        <f t="shared" si="3"/>
        <v>Central area (Jan Müskens)♦Manage IT-C strategy♦Total♦L3♦MP</v>
      </c>
    </row>
    <row r="234" spans="1:18" ht="30">
      <c r="A234" s="97" t="s">
        <v>94</v>
      </c>
      <c r="B234" s="97" t="s">
        <v>520</v>
      </c>
      <c r="C234" s="97" t="s">
        <v>22</v>
      </c>
      <c r="D234" s="97" t="s">
        <v>58</v>
      </c>
      <c r="E234" s="97" t="s">
        <v>20</v>
      </c>
      <c r="F234" s="116">
        <v>0.25</v>
      </c>
      <c r="G234" s="97" t="s">
        <v>469</v>
      </c>
      <c r="H234" s="97" t="s">
        <v>96</v>
      </c>
      <c r="I234" s="97" t="s">
        <v>97</v>
      </c>
      <c r="J234" s="108">
        <v>45931</v>
      </c>
      <c r="K234" s="108">
        <v>46295</v>
      </c>
      <c r="L234" s="97">
        <v>261</v>
      </c>
      <c r="M234" s="108"/>
      <c r="N234" s="97" t="s">
        <v>26</v>
      </c>
      <c r="O234" s="97" t="s">
        <v>306</v>
      </c>
      <c r="P234" s="103" t="s">
        <v>616</v>
      </c>
      <c r="Q234" s="91"/>
      <c r="R234" t="str">
        <f t="shared" si="3"/>
        <v>Central area (Jan Müskens)♦Manage IT-C strategy♦Elaboration♦L3♦MP</v>
      </c>
    </row>
    <row r="235" spans="1:18" ht="30">
      <c r="A235" s="97" t="s">
        <v>94</v>
      </c>
      <c r="B235" s="97" t="s">
        <v>520</v>
      </c>
      <c r="C235" s="97" t="s">
        <v>28</v>
      </c>
      <c r="D235" s="97" t="s">
        <v>58</v>
      </c>
      <c r="E235" s="97" t="s">
        <v>20</v>
      </c>
      <c r="F235" s="116">
        <v>0</v>
      </c>
      <c r="G235" s="91"/>
      <c r="H235" s="91"/>
      <c r="I235" s="91"/>
      <c r="J235" s="108"/>
      <c r="K235" s="108"/>
      <c r="L235" s="97">
        <v>0</v>
      </c>
      <c r="M235" s="108"/>
      <c r="N235" s="91"/>
      <c r="O235" s="97" t="s">
        <v>306</v>
      </c>
      <c r="P235" s="91"/>
      <c r="Q235" s="91"/>
      <c r="R235" t="str">
        <f t="shared" si="3"/>
        <v>Central area (Jan Müskens)♦Manage IT-C strategy♦Implementation LIS♦L3♦MP</v>
      </c>
    </row>
    <row r="236" spans="1:18" ht="30">
      <c r="A236" s="97" t="s">
        <v>94</v>
      </c>
      <c r="B236" s="97" t="s">
        <v>520</v>
      </c>
      <c r="C236" s="97" t="s">
        <v>29</v>
      </c>
      <c r="D236" s="97" t="s">
        <v>58</v>
      </c>
      <c r="E236" s="97" t="s">
        <v>20</v>
      </c>
      <c r="F236" s="116">
        <v>0</v>
      </c>
      <c r="G236" s="91"/>
      <c r="H236" s="91"/>
      <c r="I236" s="91"/>
      <c r="J236" s="107"/>
      <c r="K236" s="107"/>
      <c r="L236" s="97">
        <v>0</v>
      </c>
      <c r="M236" s="108"/>
      <c r="N236" s="91"/>
      <c r="O236" s="97" t="s">
        <v>306</v>
      </c>
      <c r="P236" s="91"/>
      <c r="Q236" s="91"/>
      <c r="R236" t="str">
        <f t="shared" si="3"/>
        <v>Central area (Jan Müskens)♦Manage IT-C strategy♦Implementation COT♦L3♦MP</v>
      </c>
    </row>
    <row r="237" spans="1:18" ht="30">
      <c r="A237" s="97" t="s">
        <v>94</v>
      </c>
      <c r="B237" s="97" t="s">
        <v>520</v>
      </c>
      <c r="C237" s="97" t="s">
        <v>30</v>
      </c>
      <c r="D237" s="97" t="s">
        <v>58</v>
      </c>
      <c r="E237" s="97" t="s">
        <v>20</v>
      </c>
      <c r="F237" s="116">
        <v>0</v>
      </c>
      <c r="G237" s="91"/>
      <c r="H237" s="91"/>
      <c r="I237" s="91"/>
      <c r="J237" s="108"/>
      <c r="K237" s="108"/>
      <c r="L237" s="97">
        <v>0</v>
      </c>
      <c r="M237" s="108"/>
      <c r="N237" s="91"/>
      <c r="O237" s="97" t="s">
        <v>306</v>
      </c>
      <c r="P237" s="91"/>
      <c r="Q237" s="91"/>
      <c r="R237" t="str">
        <f t="shared" si="3"/>
        <v>Central area (Jan Müskens)♦Manage IT-C strategy♦Implementation LUS♦L3♦MP</v>
      </c>
    </row>
    <row r="238" spans="1:18" ht="30">
      <c r="A238" s="94" t="s">
        <v>94</v>
      </c>
      <c r="B238" s="92" t="s">
        <v>318</v>
      </c>
      <c r="C238" s="92" t="s">
        <v>18</v>
      </c>
      <c r="D238" s="92" t="s">
        <v>58</v>
      </c>
      <c r="E238" s="92" t="s">
        <v>20</v>
      </c>
      <c r="F238" s="115">
        <v>0.25</v>
      </c>
      <c r="G238" s="91"/>
      <c r="H238" s="91"/>
      <c r="I238" s="91"/>
      <c r="J238" s="107">
        <v>45931</v>
      </c>
      <c r="K238" s="107">
        <v>46295</v>
      </c>
      <c r="L238" s="92">
        <v>261</v>
      </c>
      <c r="M238" s="107"/>
      <c r="N238" s="91"/>
      <c r="O238" s="92" t="s">
        <v>306</v>
      </c>
      <c r="P238" s="91"/>
      <c r="Q238" s="91"/>
      <c r="R238" t="str">
        <f t="shared" si="3"/>
        <v>Central area (Jan Müskens)♦Manage IT-C framework♦Total♦L3♦MP</v>
      </c>
    </row>
    <row r="239" spans="1:18" ht="30">
      <c r="A239" s="97" t="s">
        <v>94</v>
      </c>
      <c r="B239" s="97" t="s">
        <v>521</v>
      </c>
      <c r="C239" s="97" t="s">
        <v>22</v>
      </c>
      <c r="D239" s="97" t="s">
        <v>58</v>
      </c>
      <c r="E239" s="97" t="s">
        <v>20</v>
      </c>
      <c r="F239" s="116">
        <v>0.25</v>
      </c>
      <c r="G239" s="97" t="s">
        <v>469</v>
      </c>
      <c r="H239" s="97" t="s">
        <v>96</v>
      </c>
      <c r="I239" s="97" t="s">
        <v>97</v>
      </c>
      <c r="J239" s="108">
        <v>45931</v>
      </c>
      <c r="K239" s="108">
        <v>46295</v>
      </c>
      <c r="L239" s="97">
        <v>261</v>
      </c>
      <c r="M239" s="108"/>
      <c r="N239" s="97" t="s">
        <v>26</v>
      </c>
      <c r="O239" s="97" t="s">
        <v>306</v>
      </c>
      <c r="P239" s="103" t="s">
        <v>616</v>
      </c>
      <c r="Q239" s="91"/>
      <c r="R239" t="str">
        <f t="shared" si="3"/>
        <v>Central area (Jan Müskens)♦Manage IT-C framework♦Elaboration♦L3♦MP</v>
      </c>
    </row>
    <row r="240" spans="1:18" ht="30">
      <c r="A240" s="97" t="s">
        <v>94</v>
      </c>
      <c r="B240" s="97" t="s">
        <v>521</v>
      </c>
      <c r="C240" s="97" t="s">
        <v>28</v>
      </c>
      <c r="D240" s="97" t="s">
        <v>58</v>
      </c>
      <c r="E240" s="97" t="s">
        <v>20</v>
      </c>
      <c r="F240" s="116">
        <v>0</v>
      </c>
      <c r="G240" s="91"/>
      <c r="H240" s="91"/>
      <c r="I240" s="91"/>
      <c r="J240" s="108"/>
      <c r="K240" s="108"/>
      <c r="L240" s="97">
        <v>0</v>
      </c>
      <c r="M240" s="108"/>
      <c r="N240" s="91"/>
      <c r="O240" s="97" t="s">
        <v>306</v>
      </c>
      <c r="P240" s="91"/>
      <c r="Q240" s="91"/>
      <c r="R240" t="str">
        <f t="shared" si="3"/>
        <v>Central area (Jan Müskens)♦Manage IT-C framework♦Implementation LIS♦L3♦MP</v>
      </c>
    </row>
    <row r="241" spans="1:18" ht="30">
      <c r="A241" s="97" t="s">
        <v>94</v>
      </c>
      <c r="B241" s="97" t="s">
        <v>521</v>
      </c>
      <c r="C241" s="97" t="s">
        <v>29</v>
      </c>
      <c r="D241" s="97" t="s">
        <v>58</v>
      </c>
      <c r="E241" s="97" t="s">
        <v>20</v>
      </c>
      <c r="F241" s="116">
        <v>0</v>
      </c>
      <c r="G241" s="91"/>
      <c r="H241" s="91"/>
      <c r="I241" s="91"/>
      <c r="J241" s="108"/>
      <c r="K241" s="108"/>
      <c r="L241" s="97">
        <v>0</v>
      </c>
      <c r="M241" s="108"/>
      <c r="N241" s="91"/>
      <c r="O241" s="97" t="s">
        <v>306</v>
      </c>
      <c r="P241" s="91"/>
      <c r="Q241" s="91"/>
      <c r="R241" t="str">
        <f t="shared" si="3"/>
        <v>Central area (Jan Müskens)♦Manage IT-C framework♦Implementation COT♦L3♦MP</v>
      </c>
    </row>
    <row r="242" spans="1:18" ht="30">
      <c r="A242" s="97" t="s">
        <v>94</v>
      </c>
      <c r="B242" s="97" t="s">
        <v>521</v>
      </c>
      <c r="C242" s="97" t="s">
        <v>30</v>
      </c>
      <c r="D242" s="97" t="s">
        <v>58</v>
      </c>
      <c r="E242" s="97" t="s">
        <v>20</v>
      </c>
      <c r="F242" s="116">
        <v>0</v>
      </c>
      <c r="G242" s="91"/>
      <c r="H242" s="91"/>
      <c r="I242" s="91"/>
      <c r="J242" s="108"/>
      <c r="K242" s="108"/>
      <c r="L242" s="97">
        <v>0</v>
      </c>
      <c r="M242" s="108"/>
      <c r="N242" s="91"/>
      <c r="O242" s="97" t="s">
        <v>306</v>
      </c>
      <c r="P242" s="91"/>
      <c r="Q242" s="91"/>
      <c r="R242" t="str">
        <f t="shared" si="3"/>
        <v>Central area (Jan Müskens)♦Manage IT-C framework♦Implementation LUS♦L3♦MP</v>
      </c>
    </row>
    <row r="243" spans="1:18" ht="30">
      <c r="A243" s="94" t="s">
        <v>94</v>
      </c>
      <c r="B243" s="92" t="s">
        <v>522</v>
      </c>
      <c r="C243" s="92" t="s">
        <v>18</v>
      </c>
      <c r="D243" s="92" t="s">
        <v>58</v>
      </c>
      <c r="E243" s="92" t="s">
        <v>20</v>
      </c>
      <c r="F243" s="115">
        <v>0.25</v>
      </c>
      <c r="G243" s="91"/>
      <c r="H243" s="91"/>
      <c r="I243" s="91"/>
      <c r="J243" s="107">
        <v>45931</v>
      </c>
      <c r="K243" s="107">
        <v>46295</v>
      </c>
      <c r="L243" s="92">
        <v>261</v>
      </c>
      <c r="M243" s="107"/>
      <c r="N243" s="91"/>
      <c r="O243" s="92" t="s">
        <v>306</v>
      </c>
      <c r="P243" s="91"/>
      <c r="Q243" s="91"/>
      <c r="R243" t="str">
        <f t="shared" si="3"/>
        <v>Central area (Jan Müskens)♦DC/DCC/MSC IT-compliance♦Total♦L3♦MP</v>
      </c>
    </row>
    <row r="244" spans="1:18" ht="30">
      <c r="A244" s="97" t="s">
        <v>94</v>
      </c>
      <c r="B244" s="97" t="s">
        <v>523</v>
      </c>
      <c r="C244" s="97" t="s">
        <v>22</v>
      </c>
      <c r="D244" s="97" t="s">
        <v>58</v>
      </c>
      <c r="E244" s="97" t="s">
        <v>20</v>
      </c>
      <c r="F244" s="116">
        <v>0.25</v>
      </c>
      <c r="G244" s="97" t="s">
        <v>469</v>
      </c>
      <c r="H244" s="97" t="s">
        <v>96</v>
      </c>
      <c r="I244" s="97" t="s">
        <v>97</v>
      </c>
      <c r="J244" s="108">
        <v>45931</v>
      </c>
      <c r="K244" s="108">
        <v>46295</v>
      </c>
      <c r="L244" s="97">
        <v>261</v>
      </c>
      <c r="M244" s="108"/>
      <c r="N244" s="97" t="s">
        <v>26</v>
      </c>
      <c r="O244" s="97" t="s">
        <v>306</v>
      </c>
      <c r="P244" s="103" t="s">
        <v>616</v>
      </c>
      <c r="Q244" s="91"/>
      <c r="R244" t="str">
        <f t="shared" si="3"/>
        <v>Central area (Jan Müskens)♦DC/DCC/MSC IT-compliance♦Elaboration♦L3♦MP</v>
      </c>
    </row>
    <row r="245" spans="1:18" ht="30">
      <c r="A245" s="97" t="s">
        <v>94</v>
      </c>
      <c r="B245" s="97" t="s">
        <v>523</v>
      </c>
      <c r="C245" s="97" t="s">
        <v>28</v>
      </c>
      <c r="D245" s="97" t="s">
        <v>58</v>
      </c>
      <c r="E245" s="97" t="s">
        <v>20</v>
      </c>
      <c r="F245" s="116">
        <v>0</v>
      </c>
      <c r="G245" s="91"/>
      <c r="H245" s="91"/>
      <c r="I245" s="91"/>
      <c r="J245" s="108"/>
      <c r="K245" s="108"/>
      <c r="L245" s="97">
        <v>0</v>
      </c>
      <c r="M245" s="108"/>
      <c r="N245" s="91"/>
      <c r="O245" s="97" t="s">
        <v>306</v>
      </c>
      <c r="P245" s="91"/>
      <c r="Q245" s="91"/>
      <c r="R245" t="str">
        <f t="shared" si="3"/>
        <v>Central area (Jan Müskens)♦DC/DCC/MSC IT-compliance♦Implementation LIS♦L3♦MP</v>
      </c>
    </row>
    <row r="246" spans="1:18" ht="30">
      <c r="A246" s="97" t="s">
        <v>94</v>
      </c>
      <c r="B246" s="97" t="s">
        <v>523</v>
      </c>
      <c r="C246" s="97" t="s">
        <v>29</v>
      </c>
      <c r="D246" s="97" t="s">
        <v>58</v>
      </c>
      <c r="E246" s="97" t="s">
        <v>20</v>
      </c>
      <c r="F246" s="116">
        <v>0</v>
      </c>
      <c r="G246" s="91"/>
      <c r="H246" s="91"/>
      <c r="I246" s="91"/>
      <c r="J246" s="108"/>
      <c r="K246" s="108"/>
      <c r="L246" s="97">
        <v>0</v>
      </c>
      <c r="M246" s="108"/>
      <c r="N246" s="91"/>
      <c r="O246" s="97" t="s">
        <v>306</v>
      </c>
      <c r="P246" s="91"/>
      <c r="Q246" s="91"/>
      <c r="R246" t="str">
        <f t="shared" si="3"/>
        <v>Central area (Jan Müskens)♦DC/DCC/MSC IT-compliance♦Implementation COT♦L3♦MP</v>
      </c>
    </row>
    <row r="247" spans="1:18" ht="30">
      <c r="A247" s="97" t="s">
        <v>94</v>
      </c>
      <c r="B247" s="97" t="s">
        <v>523</v>
      </c>
      <c r="C247" s="97" t="s">
        <v>30</v>
      </c>
      <c r="D247" s="97" t="s">
        <v>58</v>
      </c>
      <c r="E247" s="97" t="s">
        <v>20</v>
      </c>
      <c r="F247" s="116">
        <v>0</v>
      </c>
      <c r="G247" s="91"/>
      <c r="H247" s="91"/>
      <c r="I247" s="91"/>
      <c r="J247" s="108"/>
      <c r="K247" s="108"/>
      <c r="L247" s="97">
        <v>0</v>
      </c>
      <c r="M247" s="108"/>
      <c r="N247" s="91"/>
      <c r="O247" s="97" t="s">
        <v>306</v>
      </c>
      <c r="P247" s="91"/>
      <c r="Q247" s="91"/>
      <c r="R247" t="str">
        <f t="shared" si="3"/>
        <v>Central area (Jan Müskens)♦DC/DCC/MSC IT-compliance♦Implementation LUS♦L3♦MP</v>
      </c>
    </row>
    <row r="248" spans="1:18">
      <c r="A248" s="99" t="s">
        <v>16</v>
      </c>
      <c r="B248" s="96" t="s">
        <v>321</v>
      </c>
      <c r="C248" s="96" t="s">
        <v>18</v>
      </c>
      <c r="D248" s="96" t="s">
        <v>19</v>
      </c>
      <c r="E248" s="96" t="s">
        <v>105</v>
      </c>
      <c r="F248" s="113">
        <v>1</v>
      </c>
      <c r="G248" s="95"/>
      <c r="H248" s="95"/>
      <c r="I248" s="95"/>
      <c r="J248" s="105">
        <v>45870</v>
      </c>
      <c r="K248" s="105">
        <v>46142</v>
      </c>
      <c r="L248" s="96">
        <v>195</v>
      </c>
      <c r="M248" s="105"/>
      <c r="N248" s="95"/>
      <c r="O248" s="96" t="s">
        <v>104</v>
      </c>
      <c r="P248" s="91"/>
      <c r="Q248" s="91"/>
      <c r="R248" t="str">
        <f t="shared" si="3"/>
        <v>Corporate IT body♦Plan IT service♦Total♦L1♦CP</v>
      </c>
    </row>
    <row r="249" spans="1:18" ht="60">
      <c r="A249" s="97" t="s">
        <v>16</v>
      </c>
      <c r="B249" s="98" t="s">
        <v>322</v>
      </c>
      <c r="C249" s="98" t="s">
        <v>22</v>
      </c>
      <c r="D249" s="98" t="s">
        <v>19</v>
      </c>
      <c r="E249" s="98" t="s">
        <v>105</v>
      </c>
      <c r="F249" s="114">
        <v>1</v>
      </c>
      <c r="G249" s="98" t="s">
        <v>23</v>
      </c>
      <c r="H249" s="98" t="s">
        <v>106</v>
      </c>
      <c r="I249" s="98" t="s">
        <v>25</v>
      </c>
      <c r="J249" s="105">
        <v>45946</v>
      </c>
      <c r="K249" s="105">
        <v>45961</v>
      </c>
      <c r="L249" s="98">
        <v>12</v>
      </c>
      <c r="M249" s="106">
        <v>46001</v>
      </c>
      <c r="N249" s="98" t="s">
        <v>108</v>
      </c>
      <c r="O249" s="98" t="s">
        <v>104</v>
      </c>
      <c r="P249" s="91"/>
      <c r="Q249" s="91"/>
      <c r="R249" t="str">
        <f t="shared" si="3"/>
        <v>Corporate IT body♦Plan IT service♦Elaboration♦L1♦CP</v>
      </c>
    </row>
    <row r="250" spans="1:18" ht="30">
      <c r="A250" s="97" t="s">
        <v>16</v>
      </c>
      <c r="B250" s="98" t="s">
        <v>322</v>
      </c>
      <c r="C250" s="98" t="s">
        <v>28</v>
      </c>
      <c r="D250" s="98" t="s">
        <v>19</v>
      </c>
      <c r="E250" s="98" t="s">
        <v>105</v>
      </c>
      <c r="F250" s="114">
        <v>0.75</v>
      </c>
      <c r="G250" s="95"/>
      <c r="H250" s="95"/>
      <c r="I250" s="95"/>
      <c r="J250" s="106">
        <v>45962</v>
      </c>
      <c r="K250" s="106">
        <v>46081</v>
      </c>
      <c r="L250" s="98">
        <v>85</v>
      </c>
      <c r="M250" s="106"/>
      <c r="N250" s="98" t="s">
        <v>132</v>
      </c>
      <c r="O250" s="98" t="s">
        <v>104</v>
      </c>
      <c r="P250" s="91"/>
      <c r="Q250" s="91"/>
      <c r="R250" t="str">
        <f t="shared" si="3"/>
        <v>Corporate IT body♦Plan IT service♦Implementation LIS♦L1♦CP</v>
      </c>
    </row>
    <row r="251" spans="1:18" ht="30">
      <c r="A251" s="97" t="s">
        <v>16</v>
      </c>
      <c r="B251" s="98" t="s">
        <v>322</v>
      </c>
      <c r="C251" s="98" t="s">
        <v>29</v>
      </c>
      <c r="D251" s="98" t="s">
        <v>19</v>
      </c>
      <c r="E251" s="98" t="s">
        <v>105</v>
      </c>
      <c r="F251" s="114">
        <v>0</v>
      </c>
      <c r="G251" s="95"/>
      <c r="H251" s="95"/>
      <c r="I251" s="95"/>
      <c r="J251" s="105">
        <v>45964</v>
      </c>
      <c r="K251" s="105">
        <v>46112</v>
      </c>
      <c r="L251" s="98">
        <v>107</v>
      </c>
      <c r="M251" s="106"/>
      <c r="N251" s="98" t="s">
        <v>223</v>
      </c>
      <c r="O251" s="98" t="s">
        <v>104</v>
      </c>
      <c r="P251" s="91"/>
      <c r="Q251" s="91"/>
      <c r="R251" t="str">
        <f t="shared" si="3"/>
        <v>Corporate IT body♦Plan IT service♦Implementation COT♦L1♦CP</v>
      </c>
    </row>
    <row r="252" spans="1:18">
      <c r="A252" s="97" t="s">
        <v>16</v>
      </c>
      <c r="B252" s="98" t="s">
        <v>322</v>
      </c>
      <c r="C252" s="98" t="s">
        <v>30</v>
      </c>
      <c r="D252" s="98" t="s">
        <v>19</v>
      </c>
      <c r="E252" s="98" t="s">
        <v>105</v>
      </c>
      <c r="F252" s="114">
        <v>0</v>
      </c>
      <c r="G252" s="95"/>
      <c r="H252" s="95"/>
      <c r="I252" s="95"/>
      <c r="J252" s="106"/>
      <c r="K252" s="106"/>
      <c r="L252" s="98">
        <v>0</v>
      </c>
      <c r="M252" s="106"/>
      <c r="N252" s="95"/>
      <c r="O252" s="98" t="s">
        <v>104</v>
      </c>
      <c r="P252" s="91"/>
      <c r="Q252" s="91"/>
      <c r="R252" t="str">
        <f t="shared" si="3"/>
        <v>Corporate IT body♦Plan IT service♦Implementation LUS♦L1♦CP</v>
      </c>
    </row>
    <row r="253" spans="1:18" ht="30">
      <c r="A253" s="94" t="s">
        <v>16</v>
      </c>
      <c r="B253" s="92" t="s">
        <v>323</v>
      </c>
      <c r="C253" s="92" t="s">
        <v>18</v>
      </c>
      <c r="D253" s="92" t="s">
        <v>33</v>
      </c>
      <c r="E253" s="92" t="s">
        <v>105</v>
      </c>
      <c r="F253" s="115">
        <v>1</v>
      </c>
      <c r="G253" s="91"/>
      <c r="H253" s="91"/>
      <c r="I253" s="91"/>
      <c r="J253" s="107">
        <v>45870</v>
      </c>
      <c r="K253" s="107">
        <v>45874</v>
      </c>
      <c r="L253" s="92">
        <v>3</v>
      </c>
      <c r="M253" s="107">
        <v>45888</v>
      </c>
      <c r="N253" s="91"/>
      <c r="O253" s="92" t="s">
        <v>104</v>
      </c>
      <c r="P253" s="91"/>
      <c r="Q253" s="91"/>
      <c r="R253" t="str">
        <f t="shared" si="3"/>
        <v>Corporate IT body♦Perform initial assessment of customer need♦Total♦L2♦CP</v>
      </c>
    </row>
    <row r="254" spans="1:18" ht="60">
      <c r="A254" s="97" t="s">
        <v>16</v>
      </c>
      <c r="B254" s="97" t="s">
        <v>324</v>
      </c>
      <c r="C254" s="97" t="s">
        <v>22</v>
      </c>
      <c r="D254" s="97" t="s">
        <v>33</v>
      </c>
      <c r="E254" s="97" t="s">
        <v>105</v>
      </c>
      <c r="F254" s="116">
        <v>1</v>
      </c>
      <c r="G254" s="97" t="s">
        <v>23</v>
      </c>
      <c r="H254" s="97" t="s">
        <v>106</v>
      </c>
      <c r="I254" s="97" t="s">
        <v>25</v>
      </c>
      <c r="J254" s="107">
        <v>45870</v>
      </c>
      <c r="K254" s="107">
        <v>45870</v>
      </c>
      <c r="L254" s="97">
        <v>1</v>
      </c>
      <c r="M254" s="108"/>
      <c r="N254" s="97" t="s">
        <v>108</v>
      </c>
      <c r="O254" s="97" t="s">
        <v>104</v>
      </c>
      <c r="P254" s="91"/>
      <c r="Q254" s="91"/>
      <c r="R254" t="str">
        <f t="shared" si="3"/>
        <v>Corporate IT body♦Perform initial assessment of customer need♦Elaboration♦L2♦CP</v>
      </c>
    </row>
    <row r="255" spans="1:18" ht="30">
      <c r="A255" s="97" t="s">
        <v>16</v>
      </c>
      <c r="B255" s="97" t="s">
        <v>324</v>
      </c>
      <c r="C255" s="97" t="s">
        <v>28</v>
      </c>
      <c r="D255" s="97" t="s">
        <v>33</v>
      </c>
      <c r="E255" s="97" t="s">
        <v>105</v>
      </c>
      <c r="F255" s="116">
        <v>0</v>
      </c>
      <c r="G255" s="91"/>
      <c r="H255" s="91"/>
      <c r="I255" s="91"/>
      <c r="J255" s="108">
        <v>45962</v>
      </c>
      <c r="K255" s="108">
        <v>46081</v>
      </c>
      <c r="L255" s="97">
        <v>85</v>
      </c>
      <c r="M255" s="108"/>
      <c r="N255" s="97" t="s">
        <v>132</v>
      </c>
      <c r="O255" s="97" t="s">
        <v>104</v>
      </c>
      <c r="P255" s="91"/>
      <c r="Q255" s="91"/>
      <c r="R255" t="str">
        <f t="shared" si="3"/>
        <v>Corporate IT body♦Perform initial assessment of customer need♦Implementation LIS♦L2♦CP</v>
      </c>
    </row>
    <row r="256" spans="1:18" ht="30">
      <c r="A256" s="97" t="s">
        <v>16</v>
      </c>
      <c r="B256" s="97" t="s">
        <v>324</v>
      </c>
      <c r="C256" s="97" t="s">
        <v>29</v>
      </c>
      <c r="D256" s="97" t="s">
        <v>33</v>
      </c>
      <c r="E256" s="97" t="s">
        <v>105</v>
      </c>
      <c r="F256" s="116">
        <v>0</v>
      </c>
      <c r="G256" s="91"/>
      <c r="H256" s="91"/>
      <c r="I256" s="91"/>
      <c r="J256" s="107">
        <v>45964</v>
      </c>
      <c r="K256" s="107">
        <v>46112</v>
      </c>
      <c r="L256" s="97">
        <v>107</v>
      </c>
      <c r="M256" s="108"/>
      <c r="N256" s="97" t="s">
        <v>223</v>
      </c>
      <c r="O256" s="97" t="s">
        <v>104</v>
      </c>
      <c r="P256" s="91"/>
      <c r="Q256" s="91"/>
      <c r="R256" t="str">
        <f t="shared" si="3"/>
        <v>Corporate IT body♦Perform initial assessment of customer need♦Implementation COT♦L2♦CP</v>
      </c>
    </row>
    <row r="257" spans="1:18" ht="30">
      <c r="A257" s="97" t="s">
        <v>16</v>
      </c>
      <c r="B257" s="97" t="s">
        <v>324</v>
      </c>
      <c r="C257" s="97" t="s">
        <v>30</v>
      </c>
      <c r="D257" s="97" t="s">
        <v>33</v>
      </c>
      <c r="E257" s="97" t="s">
        <v>105</v>
      </c>
      <c r="F257" s="116">
        <v>0</v>
      </c>
      <c r="G257" s="91"/>
      <c r="H257" s="91"/>
      <c r="I257" s="91"/>
      <c r="J257" s="108"/>
      <c r="K257" s="108"/>
      <c r="L257" s="97">
        <v>0</v>
      </c>
      <c r="M257" s="108"/>
      <c r="N257" s="91"/>
      <c r="O257" s="97" t="s">
        <v>104</v>
      </c>
      <c r="P257" s="91"/>
      <c r="Q257" s="91"/>
      <c r="R257" t="str">
        <f t="shared" si="3"/>
        <v>Corporate IT body♦Perform initial assessment of customer need♦Implementation LUS♦L2♦CP</v>
      </c>
    </row>
    <row r="258" spans="1:18">
      <c r="A258" s="99" t="s">
        <v>16</v>
      </c>
      <c r="B258" s="92" t="s">
        <v>325</v>
      </c>
      <c r="C258" s="92" t="s">
        <v>18</v>
      </c>
      <c r="D258" s="92" t="s">
        <v>33</v>
      </c>
      <c r="E258" s="92" t="s">
        <v>105</v>
      </c>
      <c r="F258" s="115">
        <v>1</v>
      </c>
      <c r="G258" s="91"/>
      <c r="H258" s="91"/>
      <c r="I258" s="91"/>
      <c r="J258" s="107">
        <v>45870</v>
      </c>
      <c r="K258" s="107">
        <v>46142</v>
      </c>
      <c r="L258" s="92">
        <v>195</v>
      </c>
      <c r="M258" s="107">
        <v>46001</v>
      </c>
      <c r="N258" s="91"/>
      <c r="O258" s="92" t="s">
        <v>104</v>
      </c>
      <c r="P258" s="91"/>
      <c r="Q258" s="91"/>
      <c r="R258" t="str">
        <f t="shared" ref="R258:R321" si="4">TRIM(A258)&amp;"♦"&amp;TRIM(B258)&amp;"♦"&amp;TRIM(C258)&amp;"♦"&amp;TRIM(D258)&amp;"♦"&amp;TRIM(E258)</f>
        <v>Corporate IT body♦Evaluate and qualify IT demand♦Total♦L2♦CP</v>
      </c>
    </row>
    <row r="259" spans="1:18" ht="60">
      <c r="A259" s="97" t="s">
        <v>16</v>
      </c>
      <c r="B259" s="97" t="s">
        <v>326</v>
      </c>
      <c r="C259" s="97" t="s">
        <v>22</v>
      </c>
      <c r="D259" s="97" t="s">
        <v>33</v>
      </c>
      <c r="E259" s="97" t="s">
        <v>105</v>
      </c>
      <c r="F259" s="116">
        <v>1</v>
      </c>
      <c r="G259" s="97" t="s">
        <v>23</v>
      </c>
      <c r="H259" s="97" t="s">
        <v>106</v>
      </c>
      <c r="I259" s="97" t="s">
        <v>25</v>
      </c>
      <c r="J259" s="108">
        <v>45870</v>
      </c>
      <c r="K259" s="108">
        <v>45870</v>
      </c>
      <c r="L259" s="97">
        <v>1</v>
      </c>
      <c r="M259" s="108"/>
      <c r="N259" s="97" t="s">
        <v>108</v>
      </c>
      <c r="O259" s="97" t="s">
        <v>104</v>
      </c>
      <c r="P259" s="91"/>
      <c r="Q259" s="91"/>
      <c r="R259" t="str">
        <f t="shared" si="4"/>
        <v>Corporate IT body♦Evaluate and qualify IT demand♦Elaboration♦L2♦CP</v>
      </c>
    </row>
    <row r="260" spans="1:18" ht="30">
      <c r="A260" s="97" t="s">
        <v>16</v>
      </c>
      <c r="B260" s="97" t="s">
        <v>326</v>
      </c>
      <c r="C260" s="97" t="s">
        <v>28</v>
      </c>
      <c r="D260" s="97" t="s">
        <v>33</v>
      </c>
      <c r="E260" s="97" t="s">
        <v>105</v>
      </c>
      <c r="F260" s="116">
        <v>0</v>
      </c>
      <c r="G260" s="91"/>
      <c r="H260" s="91"/>
      <c r="I260" s="91"/>
      <c r="J260" s="108">
        <v>45962</v>
      </c>
      <c r="K260" s="108">
        <v>46081</v>
      </c>
      <c r="L260" s="97">
        <v>85</v>
      </c>
      <c r="M260" s="108"/>
      <c r="N260" s="97" t="s">
        <v>132</v>
      </c>
      <c r="O260" s="97" t="s">
        <v>104</v>
      </c>
      <c r="P260" s="91"/>
      <c r="Q260" s="91"/>
      <c r="R260" t="str">
        <f t="shared" si="4"/>
        <v>Corporate IT body♦Evaluate and qualify IT demand♦Implementation LIS♦L2♦CP</v>
      </c>
    </row>
    <row r="261" spans="1:18" ht="30">
      <c r="A261" s="97" t="s">
        <v>16</v>
      </c>
      <c r="B261" s="97" t="s">
        <v>326</v>
      </c>
      <c r="C261" s="97" t="s">
        <v>29</v>
      </c>
      <c r="D261" s="97" t="s">
        <v>33</v>
      </c>
      <c r="E261" s="97" t="s">
        <v>105</v>
      </c>
      <c r="F261" s="116">
        <v>0</v>
      </c>
      <c r="G261" s="91"/>
      <c r="H261" s="91"/>
      <c r="I261" s="91"/>
      <c r="J261" s="107">
        <v>45964</v>
      </c>
      <c r="K261" s="107">
        <v>46112</v>
      </c>
      <c r="L261" s="97">
        <v>107</v>
      </c>
      <c r="M261" s="108"/>
      <c r="N261" s="97" t="s">
        <v>223</v>
      </c>
      <c r="O261" s="97" t="s">
        <v>104</v>
      </c>
      <c r="P261" s="91"/>
      <c r="Q261" s="91"/>
      <c r="R261" t="str">
        <f t="shared" si="4"/>
        <v>Corporate IT body♦Evaluate and qualify IT demand♦Implementation COT♦L2♦CP</v>
      </c>
    </row>
    <row r="262" spans="1:18">
      <c r="A262" s="97" t="s">
        <v>16</v>
      </c>
      <c r="B262" s="97" t="s">
        <v>326</v>
      </c>
      <c r="C262" s="97" t="s">
        <v>30</v>
      </c>
      <c r="D262" s="97" t="s">
        <v>33</v>
      </c>
      <c r="E262" s="97" t="s">
        <v>105</v>
      </c>
      <c r="F262" s="116">
        <v>0</v>
      </c>
      <c r="G262" s="91"/>
      <c r="H262" s="91"/>
      <c r="I262" s="91"/>
      <c r="J262" s="108"/>
      <c r="K262" s="108"/>
      <c r="L262" s="97">
        <v>0</v>
      </c>
      <c r="M262" s="108"/>
      <c r="N262" s="91"/>
      <c r="O262" s="97" t="s">
        <v>104</v>
      </c>
      <c r="P262" s="91"/>
      <c r="Q262" s="91"/>
      <c r="R262" t="str">
        <f t="shared" si="4"/>
        <v>Corporate IT body♦Evaluate and qualify IT demand♦Implementation LUS♦L2♦CP</v>
      </c>
    </row>
    <row r="263" spans="1:18">
      <c r="A263" s="94" t="s">
        <v>16</v>
      </c>
      <c r="B263" s="92" t="s">
        <v>327</v>
      </c>
      <c r="C263" s="92" t="s">
        <v>18</v>
      </c>
      <c r="D263" s="92" t="s">
        <v>58</v>
      </c>
      <c r="E263" s="92" t="s">
        <v>105</v>
      </c>
      <c r="F263" s="115">
        <v>1</v>
      </c>
      <c r="G263" s="91"/>
      <c r="H263" s="91"/>
      <c r="I263" s="91"/>
      <c r="J263" s="107">
        <v>45870</v>
      </c>
      <c r="K263" s="107">
        <v>46142</v>
      </c>
      <c r="L263" s="92">
        <v>195</v>
      </c>
      <c r="M263" s="107"/>
      <c r="N263" s="91"/>
      <c r="O263" s="92" t="s">
        <v>104</v>
      </c>
      <c r="P263" s="91"/>
      <c r="Q263" s="91"/>
      <c r="R263" t="str">
        <f t="shared" si="4"/>
        <v>Corporate IT body♦Analyse architecture impact♦Total♦L3♦CP</v>
      </c>
    </row>
    <row r="264" spans="1:18" ht="60">
      <c r="A264" s="97" t="s">
        <v>16</v>
      </c>
      <c r="B264" s="97" t="s">
        <v>328</v>
      </c>
      <c r="C264" s="97" t="s">
        <v>22</v>
      </c>
      <c r="D264" s="97" t="s">
        <v>58</v>
      </c>
      <c r="E264" s="97" t="s">
        <v>105</v>
      </c>
      <c r="F264" s="116">
        <v>1</v>
      </c>
      <c r="G264" s="97" t="s">
        <v>23</v>
      </c>
      <c r="H264" s="97" t="s">
        <v>113</v>
      </c>
      <c r="I264" s="97" t="s">
        <v>25</v>
      </c>
      <c r="J264" s="107">
        <v>45870</v>
      </c>
      <c r="K264" s="107">
        <v>45945</v>
      </c>
      <c r="L264" s="97">
        <v>54</v>
      </c>
      <c r="M264" s="108"/>
      <c r="N264" s="97" t="s">
        <v>108</v>
      </c>
      <c r="O264" s="97" t="s">
        <v>104</v>
      </c>
      <c r="P264" s="91"/>
      <c r="Q264" s="91"/>
      <c r="R264" t="str">
        <f t="shared" si="4"/>
        <v>Corporate IT body♦Analyse architecture impact♦Elaboration♦L3♦CP</v>
      </c>
    </row>
    <row r="265" spans="1:18">
      <c r="A265" s="97" t="s">
        <v>16</v>
      </c>
      <c r="B265" s="97" t="s">
        <v>328</v>
      </c>
      <c r="C265" s="97" t="s">
        <v>28</v>
      </c>
      <c r="D265" s="97" t="s">
        <v>58</v>
      </c>
      <c r="E265" s="97" t="s">
        <v>105</v>
      </c>
      <c r="F265" s="116">
        <v>0</v>
      </c>
      <c r="G265" s="91"/>
      <c r="H265" s="91"/>
      <c r="I265" s="91"/>
      <c r="J265" s="108"/>
      <c r="K265" s="108"/>
      <c r="L265" s="97">
        <v>0</v>
      </c>
      <c r="M265" s="108"/>
      <c r="N265" s="91"/>
      <c r="O265" s="97" t="s">
        <v>104</v>
      </c>
      <c r="P265" s="91"/>
      <c r="Q265" s="91"/>
      <c r="R265" t="str">
        <f t="shared" si="4"/>
        <v>Corporate IT body♦Analyse architecture impact♦Implementation LIS♦L3♦CP</v>
      </c>
    </row>
    <row r="266" spans="1:18">
      <c r="A266" s="97" t="s">
        <v>16</v>
      </c>
      <c r="B266" s="97" t="s">
        <v>328</v>
      </c>
      <c r="C266" s="97" t="s">
        <v>29</v>
      </c>
      <c r="D266" s="97" t="s">
        <v>58</v>
      </c>
      <c r="E266" s="97" t="s">
        <v>105</v>
      </c>
      <c r="F266" s="116">
        <v>0</v>
      </c>
      <c r="G266" s="91"/>
      <c r="H266" s="91"/>
      <c r="I266" s="91"/>
      <c r="J266" s="107">
        <v>45946</v>
      </c>
      <c r="K266" s="107">
        <v>46142</v>
      </c>
      <c r="L266" s="97">
        <v>141</v>
      </c>
      <c r="M266" s="108"/>
      <c r="N266" s="97" t="s">
        <v>29</v>
      </c>
      <c r="O266" s="97" t="s">
        <v>104</v>
      </c>
      <c r="P266" s="91"/>
      <c r="Q266" s="91"/>
      <c r="R266" t="str">
        <f t="shared" si="4"/>
        <v>Corporate IT body♦Analyse architecture impact♦Implementation COT♦L3♦CP</v>
      </c>
    </row>
    <row r="267" spans="1:18">
      <c r="A267" s="97" t="s">
        <v>16</v>
      </c>
      <c r="B267" s="97" t="s">
        <v>328</v>
      </c>
      <c r="C267" s="97" t="s">
        <v>30</v>
      </c>
      <c r="D267" s="97" t="s">
        <v>58</v>
      </c>
      <c r="E267" s="97" t="s">
        <v>105</v>
      </c>
      <c r="F267" s="116">
        <v>0</v>
      </c>
      <c r="G267" s="91"/>
      <c r="H267" s="91"/>
      <c r="I267" s="91"/>
      <c r="J267" s="108"/>
      <c r="K267" s="108"/>
      <c r="L267" s="97">
        <v>0</v>
      </c>
      <c r="M267" s="108"/>
      <c r="N267" s="91"/>
      <c r="O267" s="97" t="s">
        <v>104</v>
      </c>
      <c r="P267" s="91"/>
      <c r="Q267" s="91"/>
      <c r="R267" t="str">
        <f t="shared" si="4"/>
        <v>Corporate IT body♦Analyse architecture impact♦Implementation LUS♦L3♦CP</v>
      </c>
    </row>
    <row r="268" spans="1:18">
      <c r="A268" s="94" t="s">
        <v>16</v>
      </c>
      <c r="B268" s="92" t="s">
        <v>329</v>
      </c>
      <c r="C268" s="92" t="s">
        <v>18</v>
      </c>
      <c r="D268" s="92" t="s">
        <v>33</v>
      </c>
      <c r="E268" s="92" t="s">
        <v>105</v>
      </c>
      <c r="F268" s="115">
        <v>1</v>
      </c>
      <c r="G268" s="91"/>
      <c r="H268" s="91"/>
      <c r="I268" s="91"/>
      <c r="J268" s="107">
        <v>45870</v>
      </c>
      <c r="K268" s="107">
        <v>45870</v>
      </c>
      <c r="L268" s="92">
        <v>1</v>
      </c>
      <c r="M268" s="107">
        <v>45888</v>
      </c>
      <c r="N268" s="91"/>
      <c r="O268" s="92" t="s">
        <v>104</v>
      </c>
      <c r="P268" s="91"/>
      <c r="Q268" s="91"/>
      <c r="R268" t="str">
        <f t="shared" si="4"/>
        <v>Corporate IT body♦Approve IT demand♦Total♦L2♦CP</v>
      </c>
    </row>
    <row r="269" spans="1:18" ht="60">
      <c r="A269" s="97" t="s">
        <v>16</v>
      </c>
      <c r="B269" s="97" t="s">
        <v>330</v>
      </c>
      <c r="C269" s="97" t="s">
        <v>22</v>
      </c>
      <c r="D269" s="97" t="s">
        <v>33</v>
      </c>
      <c r="E269" s="97" t="s">
        <v>105</v>
      </c>
      <c r="F269" s="116">
        <v>1</v>
      </c>
      <c r="G269" s="97" t="s">
        <v>23</v>
      </c>
      <c r="H269" s="97" t="s">
        <v>106</v>
      </c>
      <c r="I269" s="97" t="s">
        <v>25</v>
      </c>
      <c r="J269" s="108">
        <v>45870</v>
      </c>
      <c r="K269" s="108">
        <v>45870</v>
      </c>
      <c r="L269" s="97">
        <v>1</v>
      </c>
      <c r="M269" s="108"/>
      <c r="N269" s="97" t="s">
        <v>108</v>
      </c>
      <c r="O269" s="97" t="s">
        <v>104</v>
      </c>
      <c r="P269" s="91"/>
      <c r="Q269" s="91"/>
      <c r="R269" t="str">
        <f t="shared" si="4"/>
        <v>Corporate IT body♦Approve IT demand♦Elaboration♦L2♦CP</v>
      </c>
    </row>
    <row r="270" spans="1:18" ht="30">
      <c r="A270" s="97" t="s">
        <v>16</v>
      </c>
      <c r="B270" s="97" t="s">
        <v>330</v>
      </c>
      <c r="C270" s="97" t="s">
        <v>28</v>
      </c>
      <c r="D270" s="97" t="s">
        <v>33</v>
      </c>
      <c r="E270" s="97" t="s">
        <v>105</v>
      </c>
      <c r="F270" s="116">
        <v>0</v>
      </c>
      <c r="G270" s="91"/>
      <c r="H270" s="91"/>
      <c r="I270" s="91"/>
      <c r="J270" s="108">
        <v>45962</v>
      </c>
      <c r="K270" s="108">
        <v>46081</v>
      </c>
      <c r="L270" s="97">
        <v>85</v>
      </c>
      <c r="M270" s="108"/>
      <c r="N270" s="97" t="s">
        <v>132</v>
      </c>
      <c r="O270" s="97" t="s">
        <v>104</v>
      </c>
      <c r="P270" s="91"/>
      <c r="Q270" s="91"/>
      <c r="R270" t="str">
        <f t="shared" si="4"/>
        <v>Corporate IT body♦Approve IT demand♦Implementation LIS♦L2♦CP</v>
      </c>
    </row>
    <row r="271" spans="1:18" ht="30">
      <c r="A271" s="97" t="s">
        <v>16</v>
      </c>
      <c r="B271" s="97" t="s">
        <v>330</v>
      </c>
      <c r="C271" s="97" t="s">
        <v>29</v>
      </c>
      <c r="D271" s="97" t="s">
        <v>33</v>
      </c>
      <c r="E271" s="97" t="s">
        <v>105</v>
      </c>
      <c r="F271" s="116">
        <v>0</v>
      </c>
      <c r="G271" s="91"/>
      <c r="H271" s="91"/>
      <c r="I271" s="91"/>
      <c r="J271" s="107">
        <v>45964</v>
      </c>
      <c r="K271" s="107">
        <v>46112</v>
      </c>
      <c r="L271" s="97">
        <v>107</v>
      </c>
      <c r="M271" s="108"/>
      <c r="N271" s="97" t="s">
        <v>223</v>
      </c>
      <c r="O271" s="97" t="s">
        <v>104</v>
      </c>
      <c r="P271" s="91"/>
      <c r="Q271" s="91"/>
      <c r="R271" t="str">
        <f t="shared" si="4"/>
        <v>Corporate IT body♦Approve IT demand♦Implementation COT♦L2♦CP</v>
      </c>
    </row>
    <row r="272" spans="1:18">
      <c r="A272" s="97" t="s">
        <v>16</v>
      </c>
      <c r="B272" s="97" t="s">
        <v>330</v>
      </c>
      <c r="C272" s="97" t="s">
        <v>30</v>
      </c>
      <c r="D272" s="97" t="s">
        <v>33</v>
      </c>
      <c r="E272" s="97" t="s">
        <v>105</v>
      </c>
      <c r="F272" s="116">
        <v>0</v>
      </c>
      <c r="G272" s="91"/>
      <c r="H272" s="91"/>
      <c r="I272" s="91"/>
      <c r="J272" s="108"/>
      <c r="K272" s="108"/>
      <c r="L272" s="97">
        <v>0</v>
      </c>
      <c r="M272" s="108"/>
      <c r="N272" s="91"/>
      <c r="O272" s="97" t="s">
        <v>104</v>
      </c>
      <c r="P272" s="91"/>
      <c r="Q272" s="91"/>
      <c r="R272" t="str">
        <f t="shared" si="4"/>
        <v>Corporate IT body♦Approve IT demand♦Implementation LUS♦L2♦CP</v>
      </c>
    </row>
    <row r="273" spans="1:18">
      <c r="A273" s="94" t="s">
        <v>39</v>
      </c>
      <c r="B273" s="96" t="s">
        <v>331</v>
      </c>
      <c r="C273" s="96" t="s">
        <v>18</v>
      </c>
      <c r="D273" s="96" t="s">
        <v>19</v>
      </c>
      <c r="E273" s="96" t="s">
        <v>105</v>
      </c>
      <c r="F273" s="113">
        <v>0.41</v>
      </c>
      <c r="G273" s="95"/>
      <c r="H273" s="95"/>
      <c r="I273" s="95"/>
      <c r="J273" s="105">
        <v>45748</v>
      </c>
      <c r="K273" s="105">
        <v>46265</v>
      </c>
      <c r="L273" s="96">
        <v>370</v>
      </c>
      <c r="M273" s="105"/>
      <c r="N273" s="95"/>
      <c r="O273" s="96" t="s">
        <v>115</v>
      </c>
      <c r="P273" s="91"/>
      <c r="Q273" s="91"/>
      <c r="R273" t="str">
        <f t="shared" si="4"/>
        <v>ITSM♦Build IT Service♦Total♦L1♦CP</v>
      </c>
    </row>
    <row r="274" spans="1:18" ht="60">
      <c r="A274" s="97" t="s">
        <v>39</v>
      </c>
      <c r="B274" s="98" t="s">
        <v>332</v>
      </c>
      <c r="C274" s="98" t="s">
        <v>22</v>
      </c>
      <c r="D274" s="98" t="s">
        <v>19</v>
      </c>
      <c r="E274" s="98" t="s">
        <v>105</v>
      </c>
      <c r="F274" s="114">
        <v>0</v>
      </c>
      <c r="G274" s="98" t="s">
        <v>23</v>
      </c>
      <c r="H274" s="97" t="s">
        <v>526</v>
      </c>
      <c r="I274" s="98" t="s">
        <v>527</v>
      </c>
      <c r="J274" s="106"/>
      <c r="K274" s="106"/>
      <c r="L274" s="98">
        <v>0</v>
      </c>
      <c r="M274" s="106"/>
      <c r="N274" s="95"/>
      <c r="O274" s="98" t="s">
        <v>115</v>
      </c>
      <c r="P274" s="91"/>
      <c r="Q274" s="91"/>
      <c r="R274" t="str">
        <f t="shared" si="4"/>
        <v>ITSM♦Build IT Service♦Elaboration♦L1♦CP</v>
      </c>
    </row>
    <row r="275" spans="1:18">
      <c r="A275" s="97" t="s">
        <v>39</v>
      </c>
      <c r="B275" s="98" t="s">
        <v>332</v>
      </c>
      <c r="C275" s="98" t="s">
        <v>28</v>
      </c>
      <c r="D275" s="98" t="s">
        <v>19</v>
      </c>
      <c r="E275" s="98" t="s">
        <v>105</v>
      </c>
      <c r="F275" s="114">
        <v>0</v>
      </c>
      <c r="G275" s="95"/>
      <c r="H275" s="95"/>
      <c r="I275" s="95"/>
      <c r="J275" s="106"/>
      <c r="K275" s="106"/>
      <c r="L275" s="98">
        <v>0</v>
      </c>
      <c r="M275" s="106"/>
      <c r="N275" s="95"/>
      <c r="O275" s="98" t="s">
        <v>115</v>
      </c>
      <c r="P275" s="91"/>
      <c r="Q275" s="91"/>
      <c r="R275" t="str">
        <f t="shared" si="4"/>
        <v>ITSM♦Build IT Service♦Implementation LIS♦L1♦CP</v>
      </c>
    </row>
    <row r="276" spans="1:18">
      <c r="A276" s="97" t="s">
        <v>39</v>
      </c>
      <c r="B276" s="98" t="s">
        <v>332</v>
      </c>
      <c r="C276" s="98" t="s">
        <v>29</v>
      </c>
      <c r="D276" s="98" t="s">
        <v>19</v>
      </c>
      <c r="E276" s="98" t="s">
        <v>105</v>
      </c>
      <c r="F276" s="114">
        <v>0</v>
      </c>
      <c r="G276" s="95"/>
      <c r="H276" s="95"/>
      <c r="I276" s="95"/>
      <c r="J276" s="106"/>
      <c r="K276" s="106"/>
      <c r="L276" s="98">
        <v>0</v>
      </c>
      <c r="M276" s="106"/>
      <c r="N276" s="95"/>
      <c r="O276" s="98" t="s">
        <v>115</v>
      </c>
      <c r="P276" s="91"/>
      <c r="Q276" s="91"/>
      <c r="R276" t="str">
        <f t="shared" si="4"/>
        <v>ITSM♦Build IT Service♦Implementation COT♦L1♦CP</v>
      </c>
    </row>
    <row r="277" spans="1:18">
      <c r="A277" s="97" t="s">
        <v>39</v>
      </c>
      <c r="B277" s="98" t="s">
        <v>332</v>
      </c>
      <c r="C277" s="98" t="s">
        <v>30</v>
      </c>
      <c r="D277" s="98" t="s">
        <v>19</v>
      </c>
      <c r="E277" s="98" t="s">
        <v>105</v>
      </c>
      <c r="F277" s="114">
        <v>0</v>
      </c>
      <c r="G277" s="95"/>
      <c r="H277" s="95"/>
      <c r="I277" s="95"/>
      <c r="J277" s="106"/>
      <c r="K277" s="106"/>
      <c r="L277" s="98">
        <v>0</v>
      </c>
      <c r="M277" s="106"/>
      <c r="N277" s="95"/>
      <c r="O277" s="98" t="s">
        <v>115</v>
      </c>
      <c r="P277" s="91"/>
      <c r="Q277" s="91"/>
      <c r="R277" t="str">
        <f t="shared" si="4"/>
        <v>ITSM♦Build IT Service♦Implementation LUS♦L1♦CP</v>
      </c>
    </row>
    <row r="278" spans="1:18">
      <c r="A278" s="94" t="s">
        <v>39</v>
      </c>
      <c r="B278" s="92" t="s">
        <v>333</v>
      </c>
      <c r="C278" s="92" t="s">
        <v>18</v>
      </c>
      <c r="D278" s="92" t="s">
        <v>33</v>
      </c>
      <c r="E278" s="92" t="s">
        <v>105</v>
      </c>
      <c r="F278" s="115">
        <v>0.5</v>
      </c>
      <c r="G278" s="91"/>
      <c r="H278" s="91"/>
      <c r="I278" s="91"/>
      <c r="J278" s="107">
        <v>45931</v>
      </c>
      <c r="K278" s="107">
        <v>46248</v>
      </c>
      <c r="L278" s="92">
        <v>228</v>
      </c>
      <c r="M278" s="107"/>
      <c r="N278" s="91"/>
      <c r="O278" s="92" t="s">
        <v>115</v>
      </c>
      <c r="P278" s="91"/>
      <c r="Q278" s="91"/>
      <c r="R278" t="str">
        <f t="shared" si="4"/>
        <v>ITSM♦Design IT service♦Total♦L2♦CP</v>
      </c>
    </row>
    <row r="279" spans="1:18" ht="60">
      <c r="A279" s="97" t="s">
        <v>39</v>
      </c>
      <c r="B279" s="97" t="s">
        <v>334</v>
      </c>
      <c r="C279" s="97" t="s">
        <v>22</v>
      </c>
      <c r="D279" s="97" t="s">
        <v>33</v>
      </c>
      <c r="E279" s="97" t="s">
        <v>105</v>
      </c>
      <c r="F279" s="116">
        <v>0</v>
      </c>
      <c r="G279" s="97" t="s">
        <v>23</v>
      </c>
      <c r="H279" s="97" t="s">
        <v>526</v>
      </c>
      <c r="I279" s="97" t="s">
        <v>527</v>
      </c>
      <c r="J279" s="108">
        <v>46069</v>
      </c>
      <c r="K279" s="108">
        <v>46157</v>
      </c>
      <c r="L279" s="97">
        <v>65</v>
      </c>
      <c r="M279" s="108"/>
      <c r="N279" s="97" t="s">
        <v>26</v>
      </c>
      <c r="O279" s="97" t="s">
        <v>115</v>
      </c>
      <c r="P279" s="103" t="s">
        <v>615</v>
      </c>
      <c r="Q279" s="91"/>
      <c r="R279" t="str">
        <f t="shared" si="4"/>
        <v>ITSM♦Design IT service♦Elaboration♦L2♦CP</v>
      </c>
    </row>
    <row r="280" spans="1:18">
      <c r="A280" s="97" t="s">
        <v>39</v>
      </c>
      <c r="B280" s="97" t="s">
        <v>334</v>
      </c>
      <c r="C280" s="97" t="s">
        <v>28</v>
      </c>
      <c r="D280" s="97" t="s">
        <v>33</v>
      </c>
      <c r="E280" s="97" t="s">
        <v>105</v>
      </c>
      <c r="F280" s="116">
        <v>0</v>
      </c>
      <c r="G280" s="91"/>
      <c r="H280" s="91"/>
      <c r="I280" s="91"/>
      <c r="J280" s="108">
        <v>46160</v>
      </c>
      <c r="K280" s="108">
        <v>46248</v>
      </c>
      <c r="L280" s="97">
        <v>65</v>
      </c>
      <c r="M280" s="108"/>
      <c r="N280" s="97" t="s">
        <v>27</v>
      </c>
      <c r="O280" s="97" t="s">
        <v>115</v>
      </c>
      <c r="P280" s="103" t="s">
        <v>615</v>
      </c>
      <c r="Q280" s="91"/>
      <c r="R280" t="str">
        <f t="shared" si="4"/>
        <v>ITSM♦Design IT service♦Implementation LIS♦L2♦CP</v>
      </c>
    </row>
    <row r="281" spans="1:18">
      <c r="A281" s="97" t="s">
        <v>39</v>
      </c>
      <c r="B281" s="97" t="s">
        <v>334</v>
      </c>
      <c r="C281" s="97" t="s">
        <v>29</v>
      </c>
      <c r="D281" s="97" t="s">
        <v>33</v>
      </c>
      <c r="E281" s="97" t="s">
        <v>105</v>
      </c>
      <c r="F281" s="116">
        <v>0</v>
      </c>
      <c r="G281" s="91"/>
      <c r="H281" s="91"/>
      <c r="I281" s="91"/>
      <c r="J281" s="108"/>
      <c r="K281" s="108"/>
      <c r="L281" s="97">
        <v>0</v>
      </c>
      <c r="M281" s="108"/>
      <c r="N281" s="91"/>
      <c r="O281" s="97" t="s">
        <v>115</v>
      </c>
      <c r="P281" s="102"/>
      <c r="Q281" s="91"/>
      <c r="R281" t="str">
        <f t="shared" si="4"/>
        <v>ITSM♦Design IT service♦Implementation COT♦L2♦CP</v>
      </c>
    </row>
    <row r="282" spans="1:18">
      <c r="A282" s="97" t="s">
        <v>39</v>
      </c>
      <c r="B282" s="97" t="s">
        <v>334</v>
      </c>
      <c r="C282" s="97" t="s">
        <v>30</v>
      </c>
      <c r="D282" s="97" t="s">
        <v>33</v>
      </c>
      <c r="E282" s="97" t="s">
        <v>105</v>
      </c>
      <c r="F282" s="116">
        <v>0</v>
      </c>
      <c r="G282" s="91"/>
      <c r="H282" s="91"/>
      <c r="I282" s="91"/>
      <c r="J282" s="108"/>
      <c r="K282" s="108"/>
      <c r="L282" s="97">
        <v>0</v>
      </c>
      <c r="M282" s="108"/>
      <c r="N282" s="91"/>
      <c r="O282" s="97" t="s">
        <v>115</v>
      </c>
      <c r="P282" s="102"/>
      <c r="Q282" s="91"/>
      <c r="R282" t="str">
        <f t="shared" si="4"/>
        <v>ITSM♦Design IT service♦Implementation LUS♦L2♦CP</v>
      </c>
    </row>
    <row r="283" spans="1:18" ht="30">
      <c r="A283" s="94" t="s">
        <v>119</v>
      </c>
      <c r="B283" s="92" t="s">
        <v>335</v>
      </c>
      <c r="C283" s="92" t="s">
        <v>18</v>
      </c>
      <c r="D283" s="92" t="s">
        <v>58</v>
      </c>
      <c r="E283" s="92" t="s">
        <v>105</v>
      </c>
      <c r="F283" s="115">
        <v>0.5</v>
      </c>
      <c r="G283" s="91"/>
      <c r="H283" s="91"/>
      <c r="I283" s="91"/>
      <c r="J283" s="107">
        <v>46036</v>
      </c>
      <c r="K283" s="107">
        <v>46195</v>
      </c>
      <c r="L283" s="92">
        <v>114</v>
      </c>
      <c r="M283" s="107"/>
      <c r="N283" s="91"/>
      <c r="O283" s="92" t="s">
        <v>115</v>
      </c>
      <c r="P283" s="91"/>
      <c r="Q283" s="91"/>
      <c r="R283" t="str">
        <f t="shared" si="4"/>
        <v>Architecture management♦Define solution target architecture♦Total♦L3♦CP</v>
      </c>
    </row>
    <row r="284" spans="1:18" ht="30">
      <c r="A284" s="97" t="s">
        <v>119</v>
      </c>
      <c r="B284" s="97" t="s">
        <v>336</v>
      </c>
      <c r="C284" s="97" t="s">
        <v>22</v>
      </c>
      <c r="D284" s="97" t="s">
        <v>58</v>
      </c>
      <c r="E284" s="97" t="s">
        <v>105</v>
      </c>
      <c r="F284" s="116">
        <v>0.5</v>
      </c>
      <c r="G284" s="97" t="s">
        <v>35</v>
      </c>
      <c r="H284" s="97" t="s">
        <v>121</v>
      </c>
      <c r="I284" s="97" t="s">
        <v>37</v>
      </c>
      <c r="J284" s="107">
        <v>46058</v>
      </c>
      <c r="K284" s="107">
        <v>46133</v>
      </c>
      <c r="L284" s="97">
        <v>54</v>
      </c>
      <c r="M284" s="108"/>
      <c r="N284" s="97" t="s">
        <v>26</v>
      </c>
      <c r="O284" s="97" t="s">
        <v>115</v>
      </c>
      <c r="P284" s="91"/>
      <c r="Q284" s="91"/>
      <c r="R284" t="str">
        <f t="shared" si="4"/>
        <v>Architecture management♦Define solution target architecture♦Elaboration♦L3♦CP</v>
      </c>
    </row>
    <row r="285" spans="1:18" ht="30">
      <c r="A285" s="97" t="s">
        <v>119</v>
      </c>
      <c r="B285" s="97" t="s">
        <v>336</v>
      </c>
      <c r="C285" s="97" t="s">
        <v>28</v>
      </c>
      <c r="D285" s="97" t="s">
        <v>58</v>
      </c>
      <c r="E285" s="97" t="s">
        <v>105</v>
      </c>
      <c r="F285" s="116">
        <v>0</v>
      </c>
      <c r="G285" s="91"/>
      <c r="H285" s="91"/>
      <c r="I285" s="91"/>
      <c r="J285" s="108">
        <v>46134</v>
      </c>
      <c r="K285" s="108">
        <v>46195</v>
      </c>
      <c r="L285" s="97">
        <v>44</v>
      </c>
      <c r="M285" s="108"/>
      <c r="N285" s="97" t="s">
        <v>27</v>
      </c>
      <c r="O285" s="97" t="s">
        <v>115</v>
      </c>
      <c r="P285" s="91"/>
      <c r="Q285" s="91"/>
      <c r="R285" t="str">
        <f t="shared" si="4"/>
        <v>Architecture management♦Define solution target architecture♦Implementation LIS♦L3♦CP</v>
      </c>
    </row>
    <row r="286" spans="1:18" ht="30">
      <c r="A286" s="97" t="s">
        <v>119</v>
      </c>
      <c r="B286" s="97" t="s">
        <v>336</v>
      </c>
      <c r="C286" s="97" t="s">
        <v>29</v>
      </c>
      <c r="D286" s="97" t="s">
        <v>58</v>
      </c>
      <c r="E286" s="97" t="s">
        <v>105</v>
      </c>
      <c r="F286" s="116">
        <v>0</v>
      </c>
      <c r="G286" s="91"/>
      <c r="H286" s="91"/>
      <c r="I286" s="91"/>
      <c r="J286" s="107">
        <v>46134</v>
      </c>
      <c r="K286" s="107">
        <v>46134</v>
      </c>
      <c r="L286" s="97">
        <v>1</v>
      </c>
      <c r="M286" s="108"/>
      <c r="N286" s="97" t="s">
        <v>27</v>
      </c>
      <c r="O286" s="97" t="s">
        <v>115</v>
      </c>
      <c r="P286" s="91"/>
      <c r="Q286" s="91"/>
      <c r="R286" t="str">
        <f t="shared" si="4"/>
        <v>Architecture management♦Define solution target architecture♦Implementation COT♦L3♦CP</v>
      </c>
    </row>
    <row r="287" spans="1:18" ht="30">
      <c r="A287" s="97" t="s">
        <v>119</v>
      </c>
      <c r="B287" s="97" t="s">
        <v>336</v>
      </c>
      <c r="C287" s="97" t="s">
        <v>30</v>
      </c>
      <c r="D287" s="97" t="s">
        <v>58</v>
      </c>
      <c r="E287" s="97" t="s">
        <v>105</v>
      </c>
      <c r="F287" s="116">
        <v>0</v>
      </c>
      <c r="G287" s="91"/>
      <c r="H287" s="91"/>
      <c r="I287" s="91"/>
      <c r="J287" s="108">
        <v>46036</v>
      </c>
      <c r="K287" s="108">
        <v>46036</v>
      </c>
      <c r="L287" s="97">
        <v>0</v>
      </c>
      <c r="M287" s="108"/>
      <c r="N287" s="97" t="s">
        <v>226</v>
      </c>
      <c r="O287" s="97" t="s">
        <v>115</v>
      </c>
      <c r="P287" s="91"/>
      <c r="Q287" s="91"/>
      <c r="R287" t="str">
        <f t="shared" si="4"/>
        <v>Architecture management♦Define solution target architecture♦Implementation LUS♦L3♦CP</v>
      </c>
    </row>
    <row r="288" spans="1:18">
      <c r="A288" s="94" t="s">
        <v>119</v>
      </c>
      <c r="B288" s="92" t="s">
        <v>337</v>
      </c>
      <c r="C288" s="92" t="s">
        <v>18</v>
      </c>
      <c r="D288" s="92" t="s">
        <v>58</v>
      </c>
      <c r="E288" s="92" t="s">
        <v>105</v>
      </c>
      <c r="F288" s="115">
        <v>1</v>
      </c>
      <c r="G288" s="91"/>
      <c r="H288" s="91"/>
      <c r="I288" s="91"/>
      <c r="J288" s="107">
        <v>45931</v>
      </c>
      <c r="K288" s="107">
        <v>46142</v>
      </c>
      <c r="L288" s="92">
        <v>152</v>
      </c>
      <c r="M288" s="107">
        <v>45944</v>
      </c>
      <c r="N288" s="91"/>
      <c r="O288" s="92" t="s">
        <v>115</v>
      </c>
      <c r="P288" s="91"/>
      <c r="Q288" s="91"/>
      <c r="R288" t="str">
        <f t="shared" si="4"/>
        <v>Architecture management♦Perform software selection♦Total♦L3♦CP</v>
      </c>
    </row>
    <row r="289" spans="1:18" ht="30">
      <c r="A289" s="97" t="s">
        <v>119</v>
      </c>
      <c r="B289" s="97" t="s">
        <v>338</v>
      </c>
      <c r="C289" s="97" t="s">
        <v>22</v>
      </c>
      <c r="D289" s="97" t="s">
        <v>58</v>
      </c>
      <c r="E289" s="97" t="s">
        <v>105</v>
      </c>
      <c r="F289" s="116">
        <v>1</v>
      </c>
      <c r="G289" s="97" t="s">
        <v>35</v>
      </c>
      <c r="H289" s="97" t="s">
        <v>124</v>
      </c>
      <c r="I289" s="97" t="s">
        <v>50</v>
      </c>
      <c r="J289" s="107">
        <v>45931</v>
      </c>
      <c r="K289" s="107">
        <v>46014</v>
      </c>
      <c r="L289" s="97">
        <v>60</v>
      </c>
      <c r="M289" s="108"/>
      <c r="N289" s="97" t="s">
        <v>108</v>
      </c>
      <c r="O289" s="97" t="s">
        <v>115</v>
      </c>
      <c r="P289" s="91"/>
      <c r="Q289" s="91"/>
      <c r="R289" t="str">
        <f t="shared" si="4"/>
        <v>Architecture management♦Perform software selection♦Elaboration♦L3♦CP</v>
      </c>
    </row>
    <row r="290" spans="1:18">
      <c r="A290" s="97" t="s">
        <v>119</v>
      </c>
      <c r="B290" s="97" t="s">
        <v>338</v>
      </c>
      <c r="C290" s="97" t="s">
        <v>28</v>
      </c>
      <c r="D290" s="97" t="s">
        <v>58</v>
      </c>
      <c r="E290" s="97" t="s">
        <v>105</v>
      </c>
      <c r="F290" s="116">
        <v>0</v>
      </c>
      <c r="G290" s="91"/>
      <c r="H290" s="91"/>
      <c r="I290" s="91"/>
      <c r="J290" s="108">
        <v>46069</v>
      </c>
      <c r="K290" s="108">
        <v>46142</v>
      </c>
      <c r="L290" s="97">
        <v>54</v>
      </c>
      <c r="M290" s="108"/>
      <c r="N290" s="97" t="s">
        <v>28</v>
      </c>
      <c r="O290" s="97" t="s">
        <v>115</v>
      </c>
      <c r="P290" s="91"/>
      <c r="Q290" s="91"/>
      <c r="R290" t="str">
        <f t="shared" si="4"/>
        <v>Architecture management♦Perform software selection♦Implementation LIS♦L3♦CP</v>
      </c>
    </row>
    <row r="291" spans="1:18" ht="30">
      <c r="A291" s="97" t="s">
        <v>119</v>
      </c>
      <c r="B291" s="97" t="s">
        <v>338</v>
      </c>
      <c r="C291" s="97" t="s">
        <v>29</v>
      </c>
      <c r="D291" s="97" t="s">
        <v>58</v>
      </c>
      <c r="E291" s="97" t="s">
        <v>105</v>
      </c>
      <c r="F291" s="116">
        <v>0</v>
      </c>
      <c r="G291" s="91"/>
      <c r="H291" s="91"/>
      <c r="I291" s="91"/>
      <c r="J291" s="107">
        <v>45946</v>
      </c>
      <c r="K291" s="107">
        <v>46022</v>
      </c>
      <c r="L291" s="97">
        <v>55</v>
      </c>
      <c r="M291" s="108"/>
      <c r="N291" s="97" t="s">
        <v>223</v>
      </c>
      <c r="O291" s="97" t="s">
        <v>115</v>
      </c>
      <c r="P291" s="91"/>
      <c r="Q291" s="91"/>
      <c r="R291" t="str">
        <f t="shared" si="4"/>
        <v>Architecture management♦Perform software selection♦Implementation COT♦L3♦CP</v>
      </c>
    </row>
    <row r="292" spans="1:18">
      <c r="A292" s="97" t="s">
        <v>119</v>
      </c>
      <c r="B292" s="97" t="s">
        <v>338</v>
      </c>
      <c r="C292" s="97" t="s">
        <v>30</v>
      </c>
      <c r="D292" s="97" t="s">
        <v>58</v>
      </c>
      <c r="E292" s="97" t="s">
        <v>105</v>
      </c>
      <c r="F292" s="116">
        <v>0</v>
      </c>
      <c r="G292" s="91"/>
      <c r="H292" s="91"/>
      <c r="I292" s="91"/>
      <c r="J292" s="111"/>
      <c r="K292" s="111"/>
      <c r="L292" s="97">
        <v>0</v>
      </c>
      <c r="M292" s="108"/>
      <c r="N292" s="91"/>
      <c r="O292" s="97" t="s">
        <v>115</v>
      </c>
      <c r="P292" s="91"/>
      <c r="Q292" s="91"/>
      <c r="R292" t="str">
        <f t="shared" si="4"/>
        <v>Architecture management♦Perform software selection♦Implementation LUS♦L3♦CP</v>
      </c>
    </row>
    <row r="293" spans="1:18" ht="30">
      <c r="A293" s="94" t="s">
        <v>119</v>
      </c>
      <c r="B293" s="92" t="s">
        <v>339</v>
      </c>
      <c r="C293" s="92" t="s">
        <v>18</v>
      </c>
      <c r="D293" s="92" t="s">
        <v>126</v>
      </c>
      <c r="E293" s="92" t="s">
        <v>105</v>
      </c>
      <c r="F293" s="115">
        <v>1</v>
      </c>
      <c r="G293" s="91"/>
      <c r="H293" s="91"/>
      <c r="I293" s="91"/>
      <c r="J293" s="107">
        <v>45931</v>
      </c>
      <c r="K293" s="107">
        <v>45931</v>
      </c>
      <c r="L293" s="92">
        <v>1</v>
      </c>
      <c r="M293" s="107">
        <v>45944</v>
      </c>
      <c r="N293" s="91"/>
      <c r="O293" s="92" t="s">
        <v>115</v>
      </c>
      <c r="P293" s="91"/>
      <c r="Q293" s="91"/>
      <c r="R293" t="str">
        <f t="shared" si="4"/>
        <v>Architecture management♦Record and plan functional requirements♦Total♦L4♦CP</v>
      </c>
    </row>
    <row r="294" spans="1:18" ht="30">
      <c r="A294" s="97" t="s">
        <v>119</v>
      </c>
      <c r="B294" s="97" t="s">
        <v>340</v>
      </c>
      <c r="C294" s="97" t="s">
        <v>22</v>
      </c>
      <c r="D294" s="97" t="s">
        <v>126</v>
      </c>
      <c r="E294" s="97" t="s">
        <v>105</v>
      </c>
      <c r="F294" s="116">
        <v>1</v>
      </c>
      <c r="G294" s="97" t="s">
        <v>35</v>
      </c>
      <c r="H294" s="97" t="s">
        <v>124</v>
      </c>
      <c r="I294" s="97" t="s">
        <v>50</v>
      </c>
      <c r="J294" s="108">
        <v>45931</v>
      </c>
      <c r="K294" s="108">
        <v>45931</v>
      </c>
      <c r="L294" s="97">
        <v>1</v>
      </c>
      <c r="M294" s="108"/>
      <c r="N294" s="97" t="s">
        <v>108</v>
      </c>
      <c r="O294" s="97" t="s">
        <v>115</v>
      </c>
      <c r="P294" s="91"/>
      <c r="Q294" s="91"/>
      <c r="R294" t="str">
        <f t="shared" si="4"/>
        <v>Architecture management♦Record and plan functional requirements♦Elaboration♦L4♦CP</v>
      </c>
    </row>
    <row r="295" spans="1:18" ht="30">
      <c r="A295" s="97" t="s">
        <v>119</v>
      </c>
      <c r="B295" s="97" t="s">
        <v>340</v>
      </c>
      <c r="C295" s="97" t="s">
        <v>28</v>
      </c>
      <c r="D295" s="97" t="s">
        <v>126</v>
      </c>
      <c r="E295" s="97" t="s">
        <v>105</v>
      </c>
      <c r="F295" s="116">
        <v>0</v>
      </c>
      <c r="G295" s="91"/>
      <c r="H295" s="91"/>
      <c r="I295" s="91"/>
      <c r="J295" s="111"/>
      <c r="K295" s="111"/>
      <c r="L295" s="97">
        <v>0</v>
      </c>
      <c r="M295" s="108"/>
      <c r="N295" s="91"/>
      <c r="O295" s="97" t="s">
        <v>115</v>
      </c>
      <c r="P295" s="91"/>
      <c r="Q295" s="91"/>
      <c r="R295" t="str">
        <f t="shared" si="4"/>
        <v>Architecture management♦Record and plan functional requirements♦Implementation LIS♦L4♦CP</v>
      </c>
    </row>
    <row r="296" spans="1:18" ht="30">
      <c r="A296" s="97" t="s">
        <v>119</v>
      </c>
      <c r="B296" s="97" t="s">
        <v>340</v>
      </c>
      <c r="C296" s="97" t="s">
        <v>29</v>
      </c>
      <c r="D296" s="97" t="s">
        <v>126</v>
      </c>
      <c r="E296" s="97" t="s">
        <v>105</v>
      </c>
      <c r="F296" s="116">
        <v>0</v>
      </c>
      <c r="G296" s="91"/>
      <c r="H296" s="91"/>
      <c r="I296" s="91"/>
      <c r="J296" s="111"/>
      <c r="K296" s="111"/>
      <c r="L296" s="97">
        <v>0</v>
      </c>
      <c r="M296" s="108"/>
      <c r="N296" s="91"/>
      <c r="O296" s="97" t="s">
        <v>115</v>
      </c>
      <c r="P296" s="91"/>
      <c r="Q296" s="91"/>
      <c r="R296" t="str">
        <f t="shared" si="4"/>
        <v>Architecture management♦Record and plan functional requirements♦Implementation COT♦L4♦CP</v>
      </c>
    </row>
    <row r="297" spans="1:18" ht="30">
      <c r="A297" s="97" t="s">
        <v>119</v>
      </c>
      <c r="B297" s="97" t="s">
        <v>340</v>
      </c>
      <c r="C297" s="97" t="s">
        <v>30</v>
      </c>
      <c r="D297" s="97" t="s">
        <v>126</v>
      </c>
      <c r="E297" s="97" t="s">
        <v>105</v>
      </c>
      <c r="F297" s="116">
        <v>0</v>
      </c>
      <c r="G297" s="91"/>
      <c r="H297" s="91"/>
      <c r="I297" s="91"/>
      <c r="J297" s="111"/>
      <c r="K297" s="111"/>
      <c r="L297" s="97">
        <v>0</v>
      </c>
      <c r="M297" s="108"/>
      <c r="N297" s="91"/>
      <c r="O297" s="97" t="s">
        <v>115</v>
      </c>
      <c r="P297" s="91"/>
      <c r="Q297" s="91"/>
      <c r="R297" t="str">
        <f t="shared" si="4"/>
        <v>Architecture management♦Record and plan functional requirements♦Implementation LUS♦L4♦CP</v>
      </c>
    </row>
    <row r="298" spans="1:18" ht="30">
      <c r="A298" s="94" t="s">
        <v>119</v>
      </c>
      <c r="B298" s="92" t="s">
        <v>617</v>
      </c>
      <c r="C298" s="92" t="s">
        <v>18</v>
      </c>
      <c r="D298" s="92" t="s">
        <v>126</v>
      </c>
      <c r="E298" s="92" t="s">
        <v>105</v>
      </c>
      <c r="F298" s="115">
        <v>1</v>
      </c>
      <c r="G298" s="91"/>
      <c r="H298" s="91"/>
      <c r="I298" s="91"/>
      <c r="J298" s="107">
        <v>45931</v>
      </c>
      <c r="K298" s="107">
        <v>45931</v>
      </c>
      <c r="L298" s="92">
        <v>1</v>
      </c>
      <c r="M298" s="107">
        <v>45944</v>
      </c>
      <c r="N298" s="91"/>
      <c r="O298" s="92" t="s">
        <v>115</v>
      </c>
      <c r="P298" s="91"/>
      <c r="Q298" s="91"/>
      <c r="R298" t="str">
        <f t="shared" si="4"/>
        <v>Architecture management♦Conduct market analysis and compile long or short list♦Total♦L4♦CP</v>
      </c>
    </row>
    <row r="299" spans="1:18" ht="30">
      <c r="A299" s="97" t="s">
        <v>119</v>
      </c>
      <c r="B299" s="97" t="s">
        <v>618</v>
      </c>
      <c r="C299" s="97" t="s">
        <v>22</v>
      </c>
      <c r="D299" s="97" t="s">
        <v>126</v>
      </c>
      <c r="E299" s="97" t="s">
        <v>105</v>
      </c>
      <c r="F299" s="116">
        <v>1</v>
      </c>
      <c r="G299" s="97" t="s">
        <v>35</v>
      </c>
      <c r="H299" s="97" t="s">
        <v>124</v>
      </c>
      <c r="I299" s="97" t="s">
        <v>50</v>
      </c>
      <c r="J299" s="108">
        <v>45931</v>
      </c>
      <c r="K299" s="108">
        <v>45931</v>
      </c>
      <c r="L299" s="97">
        <v>1</v>
      </c>
      <c r="M299" s="108"/>
      <c r="N299" s="97" t="s">
        <v>108</v>
      </c>
      <c r="O299" s="97" t="s">
        <v>115</v>
      </c>
      <c r="P299" s="91"/>
      <c r="Q299" s="91"/>
      <c r="R299" t="str">
        <f t="shared" si="4"/>
        <v>Architecture management♦Conduct market analysis and compile long or short list♦Elaboration♦L4♦CP</v>
      </c>
    </row>
    <row r="300" spans="1:18" ht="30">
      <c r="A300" s="97" t="s">
        <v>119</v>
      </c>
      <c r="B300" s="97" t="s">
        <v>618</v>
      </c>
      <c r="C300" s="97" t="s">
        <v>28</v>
      </c>
      <c r="D300" s="97" t="s">
        <v>126</v>
      </c>
      <c r="E300" s="97" t="s">
        <v>105</v>
      </c>
      <c r="F300" s="116">
        <v>0</v>
      </c>
      <c r="G300" s="91"/>
      <c r="H300" s="91"/>
      <c r="I300" s="91"/>
      <c r="J300" s="111"/>
      <c r="K300" s="111"/>
      <c r="L300" s="97">
        <v>0</v>
      </c>
      <c r="M300" s="108"/>
      <c r="N300" s="91"/>
      <c r="O300" s="97" t="s">
        <v>115</v>
      </c>
      <c r="P300" s="91"/>
      <c r="Q300" s="91"/>
      <c r="R300" t="str">
        <f t="shared" si="4"/>
        <v>Architecture management♦Conduct market analysis and compile long or short list♦Implementation LIS♦L4♦CP</v>
      </c>
    </row>
    <row r="301" spans="1:18" ht="30">
      <c r="A301" s="97" t="s">
        <v>119</v>
      </c>
      <c r="B301" s="97" t="s">
        <v>618</v>
      </c>
      <c r="C301" s="97" t="s">
        <v>29</v>
      </c>
      <c r="D301" s="97" t="s">
        <v>126</v>
      </c>
      <c r="E301" s="97" t="s">
        <v>105</v>
      </c>
      <c r="F301" s="116">
        <v>0</v>
      </c>
      <c r="G301" s="91"/>
      <c r="H301" s="91"/>
      <c r="I301" s="91"/>
      <c r="J301" s="111"/>
      <c r="K301" s="111"/>
      <c r="L301" s="97">
        <v>0</v>
      </c>
      <c r="M301" s="108"/>
      <c r="N301" s="91"/>
      <c r="O301" s="97" t="s">
        <v>115</v>
      </c>
      <c r="P301" s="91"/>
      <c r="Q301" s="91"/>
      <c r="R301" t="str">
        <f t="shared" si="4"/>
        <v>Architecture management♦Conduct market analysis and compile long or short list♦Implementation COT♦L4♦CP</v>
      </c>
    </row>
    <row r="302" spans="1:18" ht="30">
      <c r="A302" s="97" t="s">
        <v>119</v>
      </c>
      <c r="B302" s="97" t="s">
        <v>618</v>
      </c>
      <c r="C302" s="97" t="s">
        <v>30</v>
      </c>
      <c r="D302" s="97" t="s">
        <v>126</v>
      </c>
      <c r="E302" s="97" t="s">
        <v>105</v>
      </c>
      <c r="F302" s="116">
        <v>0</v>
      </c>
      <c r="G302" s="91"/>
      <c r="H302" s="91"/>
      <c r="I302" s="91"/>
      <c r="J302" s="111"/>
      <c r="K302" s="111"/>
      <c r="L302" s="97">
        <v>0</v>
      </c>
      <c r="M302" s="108"/>
      <c r="N302" s="91"/>
      <c r="O302" s="97" t="s">
        <v>115</v>
      </c>
      <c r="P302" s="91"/>
      <c r="Q302" s="91"/>
      <c r="R302" t="str">
        <f t="shared" si="4"/>
        <v>Architecture management♦Conduct market analysis and compile long or short list♦Implementation LUS♦L4♦CP</v>
      </c>
    </row>
    <row r="303" spans="1:18" ht="30">
      <c r="A303" s="94" t="s">
        <v>119</v>
      </c>
      <c r="B303" s="92" t="s">
        <v>619</v>
      </c>
      <c r="C303" s="92" t="s">
        <v>18</v>
      </c>
      <c r="D303" s="92" t="s">
        <v>126</v>
      </c>
      <c r="E303" s="92" t="s">
        <v>105</v>
      </c>
      <c r="F303" s="115">
        <v>1</v>
      </c>
      <c r="G303" s="91"/>
      <c r="H303" s="91"/>
      <c r="I303" s="91"/>
      <c r="J303" s="107">
        <v>45931</v>
      </c>
      <c r="K303" s="107">
        <v>45931</v>
      </c>
      <c r="L303" s="92">
        <v>1</v>
      </c>
      <c r="M303" s="107">
        <v>45944</v>
      </c>
      <c r="N303" s="91"/>
      <c r="O303" s="92" t="s">
        <v>115</v>
      </c>
      <c r="P303" s="91"/>
      <c r="Q303" s="91"/>
      <c r="R303" t="str">
        <f t="shared" si="4"/>
        <v>Architecture management♦Perform vendor use case pitch and usability test♦Total♦L4♦CP</v>
      </c>
    </row>
    <row r="304" spans="1:18" ht="30">
      <c r="A304" s="97" t="s">
        <v>119</v>
      </c>
      <c r="B304" s="97" t="s">
        <v>620</v>
      </c>
      <c r="C304" s="97" t="s">
        <v>22</v>
      </c>
      <c r="D304" s="97" t="s">
        <v>126</v>
      </c>
      <c r="E304" s="97" t="s">
        <v>105</v>
      </c>
      <c r="F304" s="116">
        <v>1</v>
      </c>
      <c r="G304" s="97" t="s">
        <v>35</v>
      </c>
      <c r="H304" s="97" t="s">
        <v>124</v>
      </c>
      <c r="I304" s="97" t="s">
        <v>50</v>
      </c>
      <c r="J304" s="108">
        <v>45931</v>
      </c>
      <c r="K304" s="108">
        <v>45931</v>
      </c>
      <c r="L304" s="97">
        <v>1</v>
      </c>
      <c r="M304" s="108"/>
      <c r="N304" s="97" t="s">
        <v>108</v>
      </c>
      <c r="O304" s="97" t="s">
        <v>115</v>
      </c>
      <c r="P304" s="91"/>
      <c r="Q304" s="91"/>
      <c r="R304" t="str">
        <f t="shared" si="4"/>
        <v>Architecture management♦Perform vendor use case pitch and usability test♦Elaboration♦L4♦CP</v>
      </c>
    </row>
    <row r="305" spans="1:18" ht="30">
      <c r="A305" s="97" t="s">
        <v>119</v>
      </c>
      <c r="B305" s="97" t="s">
        <v>620</v>
      </c>
      <c r="C305" s="97" t="s">
        <v>28</v>
      </c>
      <c r="D305" s="97" t="s">
        <v>126</v>
      </c>
      <c r="E305" s="97" t="s">
        <v>105</v>
      </c>
      <c r="F305" s="116">
        <v>0</v>
      </c>
      <c r="G305" s="91"/>
      <c r="H305" s="91"/>
      <c r="I305" s="91"/>
      <c r="J305" s="111"/>
      <c r="K305" s="111"/>
      <c r="L305" s="97">
        <v>0</v>
      </c>
      <c r="M305" s="108"/>
      <c r="N305" s="91"/>
      <c r="O305" s="97" t="s">
        <v>115</v>
      </c>
      <c r="P305" s="91"/>
      <c r="Q305" s="91"/>
      <c r="R305" t="str">
        <f t="shared" si="4"/>
        <v>Architecture management♦Perform vendor use case pitch and usability test♦Implementation LIS♦L4♦CP</v>
      </c>
    </row>
    <row r="306" spans="1:18" ht="30">
      <c r="A306" s="97" t="s">
        <v>119</v>
      </c>
      <c r="B306" s="97" t="s">
        <v>620</v>
      </c>
      <c r="C306" s="97" t="s">
        <v>29</v>
      </c>
      <c r="D306" s="97" t="s">
        <v>126</v>
      </c>
      <c r="E306" s="97" t="s">
        <v>105</v>
      </c>
      <c r="F306" s="116">
        <v>0</v>
      </c>
      <c r="G306" s="91"/>
      <c r="H306" s="91"/>
      <c r="I306" s="91"/>
      <c r="J306" s="111"/>
      <c r="K306" s="111"/>
      <c r="L306" s="97">
        <v>0</v>
      </c>
      <c r="M306" s="108"/>
      <c r="N306" s="91"/>
      <c r="O306" s="97" t="s">
        <v>115</v>
      </c>
      <c r="P306" s="91"/>
      <c r="Q306" s="91"/>
      <c r="R306" t="str">
        <f t="shared" si="4"/>
        <v>Architecture management♦Perform vendor use case pitch and usability test♦Implementation COT♦L4♦CP</v>
      </c>
    </row>
    <row r="307" spans="1:18" ht="30">
      <c r="A307" s="97" t="s">
        <v>119</v>
      </c>
      <c r="B307" s="97" t="s">
        <v>620</v>
      </c>
      <c r="C307" s="97" t="s">
        <v>30</v>
      </c>
      <c r="D307" s="97" t="s">
        <v>126</v>
      </c>
      <c r="E307" s="97" t="s">
        <v>105</v>
      </c>
      <c r="F307" s="116">
        <v>0</v>
      </c>
      <c r="G307" s="91"/>
      <c r="H307" s="91"/>
      <c r="I307" s="91"/>
      <c r="J307" s="111"/>
      <c r="K307" s="111"/>
      <c r="L307" s="97">
        <v>0</v>
      </c>
      <c r="M307" s="108"/>
      <c r="N307" s="91"/>
      <c r="O307" s="97" t="s">
        <v>115</v>
      </c>
      <c r="P307" s="91"/>
      <c r="Q307" s="91"/>
      <c r="R307" t="str">
        <f t="shared" si="4"/>
        <v>Architecture management♦Perform vendor use case pitch and usability test♦Implementation LUS♦L4♦CP</v>
      </c>
    </row>
    <row r="308" spans="1:18">
      <c r="A308" s="94" t="s">
        <v>119</v>
      </c>
      <c r="B308" s="92" t="s">
        <v>621</v>
      </c>
      <c r="C308" s="92" t="s">
        <v>18</v>
      </c>
      <c r="D308" s="92" t="s">
        <v>126</v>
      </c>
      <c r="E308" s="92" t="s">
        <v>105</v>
      </c>
      <c r="F308" s="115">
        <v>1</v>
      </c>
      <c r="G308" s="91"/>
      <c r="H308" s="91"/>
      <c r="I308" s="91"/>
      <c r="J308" s="107">
        <v>45931</v>
      </c>
      <c r="K308" s="107">
        <v>45932</v>
      </c>
      <c r="L308" s="92">
        <v>2</v>
      </c>
      <c r="M308" s="107">
        <v>45944</v>
      </c>
      <c r="N308" s="91"/>
      <c r="O308" s="92" t="s">
        <v>115</v>
      </c>
      <c r="P308" s="91"/>
      <c r="Q308" s="91"/>
      <c r="R308" t="str">
        <f t="shared" si="4"/>
        <v>Architecture management♦Validate strategic fit♦Total♦L4♦CP</v>
      </c>
    </row>
    <row r="309" spans="1:18" ht="30">
      <c r="A309" s="97" t="s">
        <v>119</v>
      </c>
      <c r="B309" s="97" t="s">
        <v>346</v>
      </c>
      <c r="C309" s="97" t="s">
        <v>22</v>
      </c>
      <c r="D309" s="97" t="s">
        <v>126</v>
      </c>
      <c r="E309" s="97" t="s">
        <v>105</v>
      </c>
      <c r="F309" s="116">
        <v>1</v>
      </c>
      <c r="G309" s="97" t="s">
        <v>35</v>
      </c>
      <c r="H309" s="97" t="s">
        <v>124</v>
      </c>
      <c r="I309" s="97" t="s">
        <v>50</v>
      </c>
      <c r="J309" s="108">
        <v>45931</v>
      </c>
      <c r="K309" s="108">
        <v>45931</v>
      </c>
      <c r="L309" s="97">
        <v>1</v>
      </c>
      <c r="M309" s="108"/>
      <c r="N309" s="97" t="s">
        <v>108</v>
      </c>
      <c r="O309" s="97" t="s">
        <v>115</v>
      </c>
      <c r="P309" s="91"/>
      <c r="Q309" s="91"/>
      <c r="R309" t="str">
        <f t="shared" si="4"/>
        <v>Architecture management♦Validate strategic fit♦Elaboration♦L4♦CP</v>
      </c>
    </row>
    <row r="310" spans="1:18">
      <c r="A310" s="97" t="s">
        <v>119</v>
      </c>
      <c r="B310" s="97" t="s">
        <v>346</v>
      </c>
      <c r="C310" s="97" t="s">
        <v>28</v>
      </c>
      <c r="D310" s="97" t="s">
        <v>126</v>
      </c>
      <c r="E310" s="97" t="s">
        <v>105</v>
      </c>
      <c r="F310" s="116">
        <v>0</v>
      </c>
      <c r="G310" s="91"/>
      <c r="H310" s="91"/>
      <c r="I310" s="91"/>
      <c r="J310" s="111"/>
      <c r="K310" s="111"/>
      <c r="L310" s="97">
        <v>0</v>
      </c>
      <c r="M310" s="108"/>
      <c r="N310" s="91"/>
      <c r="O310" s="97" t="s">
        <v>115</v>
      </c>
      <c r="P310" s="91"/>
      <c r="Q310" s="91"/>
      <c r="R310" t="str">
        <f t="shared" si="4"/>
        <v>Architecture management♦Validate strategic fit♦Implementation LIS♦L4♦CP</v>
      </c>
    </row>
    <row r="311" spans="1:18">
      <c r="A311" s="97" t="s">
        <v>119</v>
      </c>
      <c r="B311" s="97" t="s">
        <v>346</v>
      </c>
      <c r="C311" s="97" t="s">
        <v>29</v>
      </c>
      <c r="D311" s="97" t="s">
        <v>126</v>
      </c>
      <c r="E311" s="97" t="s">
        <v>105</v>
      </c>
      <c r="F311" s="116">
        <v>0</v>
      </c>
      <c r="G311" s="91"/>
      <c r="H311" s="91"/>
      <c r="I311" s="91"/>
      <c r="J311" s="111"/>
      <c r="K311" s="111"/>
      <c r="L311" s="97">
        <v>0</v>
      </c>
      <c r="M311" s="108"/>
      <c r="N311" s="91"/>
      <c r="O311" s="97" t="s">
        <v>115</v>
      </c>
      <c r="P311" s="91"/>
      <c r="Q311" s="91"/>
      <c r="R311" t="str">
        <f t="shared" si="4"/>
        <v>Architecture management♦Validate strategic fit♦Implementation COT♦L4♦CP</v>
      </c>
    </row>
    <row r="312" spans="1:18">
      <c r="A312" s="97" t="s">
        <v>119</v>
      </c>
      <c r="B312" s="97" t="s">
        <v>346</v>
      </c>
      <c r="C312" s="97" t="s">
        <v>30</v>
      </c>
      <c r="D312" s="97" t="s">
        <v>126</v>
      </c>
      <c r="E312" s="97" t="s">
        <v>105</v>
      </c>
      <c r="F312" s="116">
        <v>0</v>
      </c>
      <c r="G312" s="91"/>
      <c r="H312" s="91"/>
      <c r="I312" s="91"/>
      <c r="J312" s="111"/>
      <c r="K312" s="111"/>
      <c r="L312" s="97">
        <v>0</v>
      </c>
      <c r="M312" s="108"/>
      <c r="N312" s="91"/>
      <c r="O312" s="97" t="s">
        <v>115</v>
      </c>
      <c r="P312" s="91"/>
      <c r="Q312" s="91"/>
      <c r="R312" t="str">
        <f t="shared" si="4"/>
        <v>Architecture management♦Validate strategic fit♦Implementation LUS♦L4♦CP</v>
      </c>
    </row>
    <row r="313" spans="1:18" ht="30">
      <c r="A313" s="94" t="s">
        <v>119</v>
      </c>
      <c r="B313" s="92" t="s">
        <v>622</v>
      </c>
      <c r="C313" s="92" t="s">
        <v>18</v>
      </c>
      <c r="D313" s="92" t="s">
        <v>126</v>
      </c>
      <c r="E313" s="92" t="s">
        <v>105</v>
      </c>
      <c r="F313" s="115">
        <v>1</v>
      </c>
      <c r="G313" s="91"/>
      <c r="H313" s="91"/>
      <c r="I313" s="91"/>
      <c r="J313" s="107">
        <v>45931</v>
      </c>
      <c r="K313" s="107">
        <v>45931</v>
      </c>
      <c r="L313" s="92">
        <v>1</v>
      </c>
      <c r="M313" s="107">
        <v>45944</v>
      </c>
      <c r="N313" s="91"/>
      <c r="O313" s="92" t="s">
        <v>115</v>
      </c>
      <c r="P313" s="91"/>
      <c r="Q313" s="91"/>
      <c r="R313" t="str">
        <f t="shared" si="4"/>
        <v>Architecture management♦Recommendation and EA approval♦Total♦L4♦CP</v>
      </c>
    </row>
    <row r="314" spans="1:18" ht="30">
      <c r="A314" s="97" t="s">
        <v>119</v>
      </c>
      <c r="B314" s="97" t="s">
        <v>623</v>
      </c>
      <c r="C314" s="97" t="s">
        <v>22</v>
      </c>
      <c r="D314" s="97" t="s">
        <v>126</v>
      </c>
      <c r="E314" s="97" t="s">
        <v>105</v>
      </c>
      <c r="F314" s="116">
        <v>1</v>
      </c>
      <c r="G314" s="97" t="s">
        <v>35</v>
      </c>
      <c r="H314" s="97" t="s">
        <v>124</v>
      </c>
      <c r="I314" s="97" t="s">
        <v>50</v>
      </c>
      <c r="J314" s="108">
        <v>45931</v>
      </c>
      <c r="K314" s="108">
        <v>45931</v>
      </c>
      <c r="L314" s="97">
        <v>1</v>
      </c>
      <c r="M314" s="108"/>
      <c r="N314" s="97" t="s">
        <v>108</v>
      </c>
      <c r="O314" s="97" t="s">
        <v>115</v>
      </c>
      <c r="P314" s="91"/>
      <c r="Q314" s="91"/>
      <c r="R314" t="str">
        <f t="shared" si="4"/>
        <v>Architecture management♦Recommendation and EA approval♦Elaboration♦L4♦CP</v>
      </c>
    </row>
    <row r="315" spans="1:18" ht="30">
      <c r="A315" s="97" t="s">
        <v>119</v>
      </c>
      <c r="B315" s="97" t="s">
        <v>623</v>
      </c>
      <c r="C315" s="97" t="s">
        <v>28</v>
      </c>
      <c r="D315" s="97" t="s">
        <v>126</v>
      </c>
      <c r="E315" s="97" t="s">
        <v>105</v>
      </c>
      <c r="F315" s="116">
        <v>0</v>
      </c>
      <c r="G315" s="91"/>
      <c r="H315" s="91"/>
      <c r="I315" s="91"/>
      <c r="J315" s="111"/>
      <c r="K315" s="111"/>
      <c r="L315" s="97">
        <v>0</v>
      </c>
      <c r="M315" s="108"/>
      <c r="N315" s="91"/>
      <c r="O315" s="97" t="s">
        <v>115</v>
      </c>
      <c r="P315" s="91"/>
      <c r="Q315" s="91"/>
      <c r="R315" t="str">
        <f t="shared" si="4"/>
        <v>Architecture management♦Recommendation and EA approval♦Implementation LIS♦L4♦CP</v>
      </c>
    </row>
    <row r="316" spans="1:18" ht="30">
      <c r="A316" s="97" t="s">
        <v>119</v>
      </c>
      <c r="B316" s="97" t="s">
        <v>623</v>
      </c>
      <c r="C316" s="97" t="s">
        <v>29</v>
      </c>
      <c r="D316" s="97" t="s">
        <v>126</v>
      </c>
      <c r="E316" s="97" t="s">
        <v>105</v>
      </c>
      <c r="F316" s="116">
        <v>0</v>
      </c>
      <c r="G316" s="91"/>
      <c r="H316" s="91"/>
      <c r="I316" s="91"/>
      <c r="J316" s="111"/>
      <c r="K316" s="111"/>
      <c r="L316" s="97">
        <v>0</v>
      </c>
      <c r="M316" s="108"/>
      <c r="N316" s="91"/>
      <c r="O316" s="97" t="s">
        <v>115</v>
      </c>
      <c r="P316" s="91"/>
      <c r="Q316" s="91"/>
      <c r="R316" t="str">
        <f t="shared" si="4"/>
        <v>Architecture management♦Recommendation and EA approval♦Implementation COT♦L4♦CP</v>
      </c>
    </row>
    <row r="317" spans="1:18" ht="30">
      <c r="A317" s="97" t="s">
        <v>119</v>
      </c>
      <c r="B317" s="97" t="s">
        <v>623</v>
      </c>
      <c r="C317" s="97" t="s">
        <v>30</v>
      </c>
      <c r="D317" s="97" t="s">
        <v>126</v>
      </c>
      <c r="E317" s="97" t="s">
        <v>105</v>
      </c>
      <c r="F317" s="116">
        <v>0</v>
      </c>
      <c r="G317" s="91"/>
      <c r="H317" s="91"/>
      <c r="I317" s="91"/>
      <c r="J317" s="111"/>
      <c r="K317" s="111"/>
      <c r="L317" s="97">
        <v>0</v>
      </c>
      <c r="M317" s="108"/>
      <c r="N317" s="91"/>
      <c r="O317" s="97" t="s">
        <v>115</v>
      </c>
      <c r="P317" s="91"/>
      <c r="Q317" s="91"/>
      <c r="R317" t="str">
        <f t="shared" si="4"/>
        <v>Architecture management♦Recommendation and EA approval♦Implementation LUS♦L4♦CP</v>
      </c>
    </row>
    <row r="318" spans="1:18">
      <c r="A318" s="94" t="s">
        <v>39</v>
      </c>
      <c r="B318" s="92" t="s">
        <v>349</v>
      </c>
      <c r="C318" s="92" t="s">
        <v>18</v>
      </c>
      <c r="D318" s="92" t="s">
        <v>33</v>
      </c>
      <c r="E318" s="92" t="s">
        <v>105</v>
      </c>
      <c r="F318" s="115">
        <v>0</v>
      </c>
      <c r="G318" s="91"/>
      <c r="H318" s="91"/>
      <c r="I318" s="91"/>
      <c r="J318" s="107">
        <v>45803</v>
      </c>
      <c r="K318" s="107">
        <v>46157</v>
      </c>
      <c r="L318" s="92">
        <v>255</v>
      </c>
      <c r="M318" s="107"/>
      <c r="N318" s="91"/>
      <c r="O318" s="92" t="s">
        <v>115</v>
      </c>
      <c r="P318" s="91"/>
      <c r="Q318" s="91"/>
      <c r="R318" t="str">
        <f t="shared" si="4"/>
        <v>ITSM♦Develop and customise IT service♦Total♦L2♦CP</v>
      </c>
    </row>
    <row r="319" spans="1:18" ht="60">
      <c r="A319" s="97" t="s">
        <v>39</v>
      </c>
      <c r="B319" s="97" t="s">
        <v>350</v>
      </c>
      <c r="C319" s="97" t="s">
        <v>22</v>
      </c>
      <c r="D319" s="97" t="s">
        <v>33</v>
      </c>
      <c r="E319" s="97" t="s">
        <v>105</v>
      </c>
      <c r="F319" s="116">
        <v>0</v>
      </c>
      <c r="G319" s="97" t="s">
        <v>23</v>
      </c>
      <c r="H319" s="97" t="s">
        <v>526</v>
      </c>
      <c r="I319" s="97" t="s">
        <v>527</v>
      </c>
      <c r="J319" s="108">
        <v>46069</v>
      </c>
      <c r="K319" s="108">
        <v>46157</v>
      </c>
      <c r="L319" s="97">
        <v>65</v>
      </c>
      <c r="M319" s="108"/>
      <c r="N319" s="97" t="s">
        <v>26</v>
      </c>
      <c r="O319" s="97" t="s">
        <v>115</v>
      </c>
      <c r="P319" s="103" t="s">
        <v>615</v>
      </c>
      <c r="Q319" s="91"/>
      <c r="R319" t="str">
        <f t="shared" si="4"/>
        <v>ITSM♦Develop and customise IT service♦Elaboration♦L2♦CP</v>
      </c>
    </row>
    <row r="320" spans="1:18" ht="30">
      <c r="A320" s="97" t="s">
        <v>39</v>
      </c>
      <c r="B320" s="97" t="s">
        <v>350</v>
      </c>
      <c r="C320" s="97" t="s">
        <v>28</v>
      </c>
      <c r="D320" s="97" t="s">
        <v>33</v>
      </c>
      <c r="E320" s="97" t="s">
        <v>105</v>
      </c>
      <c r="F320" s="116">
        <v>0</v>
      </c>
      <c r="G320" s="91"/>
      <c r="H320" s="91"/>
      <c r="I320" s="91"/>
      <c r="J320" s="108">
        <v>45803</v>
      </c>
      <c r="K320" s="108">
        <v>45884</v>
      </c>
      <c r="L320" s="97">
        <v>60</v>
      </c>
      <c r="M320" s="108"/>
      <c r="N320" s="97" t="s">
        <v>132</v>
      </c>
      <c r="O320" s="97" t="s">
        <v>115</v>
      </c>
      <c r="P320" s="103" t="s">
        <v>615</v>
      </c>
      <c r="Q320" s="91"/>
      <c r="R320" t="str">
        <f t="shared" si="4"/>
        <v>ITSM♦Develop and customise IT service♦Implementation LIS♦L2♦CP</v>
      </c>
    </row>
    <row r="321" spans="1:18">
      <c r="A321" s="97" t="s">
        <v>39</v>
      </c>
      <c r="B321" s="97" t="s">
        <v>350</v>
      </c>
      <c r="C321" s="97" t="s">
        <v>29</v>
      </c>
      <c r="D321" s="97" t="s">
        <v>33</v>
      </c>
      <c r="E321" s="97" t="s">
        <v>105</v>
      </c>
      <c r="F321" s="116">
        <v>0</v>
      </c>
      <c r="G321" s="91"/>
      <c r="H321" s="91"/>
      <c r="I321" s="91"/>
      <c r="J321" s="108"/>
      <c r="K321" s="108"/>
      <c r="L321" s="97">
        <v>0</v>
      </c>
      <c r="M321" s="108"/>
      <c r="N321" s="91"/>
      <c r="O321" s="97" t="s">
        <v>115</v>
      </c>
      <c r="P321" s="102"/>
      <c r="Q321" s="91"/>
      <c r="R321" t="str">
        <f t="shared" si="4"/>
        <v>ITSM♦Develop and customise IT service♦Implementation COT♦L2♦CP</v>
      </c>
    </row>
    <row r="322" spans="1:18">
      <c r="A322" s="97" t="s">
        <v>39</v>
      </c>
      <c r="B322" s="97" t="s">
        <v>350</v>
      </c>
      <c r="C322" s="97" t="s">
        <v>30</v>
      </c>
      <c r="D322" s="97" t="s">
        <v>33</v>
      </c>
      <c r="E322" s="97" t="s">
        <v>105</v>
      </c>
      <c r="F322" s="116">
        <v>0</v>
      </c>
      <c r="G322" s="91"/>
      <c r="H322" s="91"/>
      <c r="I322" s="91"/>
      <c r="J322" s="108"/>
      <c r="K322" s="108"/>
      <c r="L322" s="97">
        <v>0</v>
      </c>
      <c r="M322" s="108"/>
      <c r="N322" s="91"/>
      <c r="O322" s="97" t="s">
        <v>115</v>
      </c>
      <c r="P322" s="102"/>
      <c r="Q322" s="91"/>
      <c r="R322" t="str">
        <f t="shared" ref="R322:R385" si="5">TRIM(A322)&amp;"♦"&amp;TRIM(B322)&amp;"♦"&amp;TRIM(C322)&amp;"♦"&amp;TRIM(D322)&amp;"♦"&amp;TRIM(E322)</f>
        <v>ITSM♦Develop and customise IT service♦Implementation LUS♦L2♦CP</v>
      </c>
    </row>
    <row r="323" spans="1:18">
      <c r="A323" s="94" t="s">
        <v>39</v>
      </c>
      <c r="B323" s="92" t="s">
        <v>351</v>
      </c>
      <c r="C323" s="92" t="s">
        <v>18</v>
      </c>
      <c r="D323" s="92" t="s">
        <v>33</v>
      </c>
      <c r="E323" s="92" t="s">
        <v>105</v>
      </c>
      <c r="F323" s="115">
        <v>0</v>
      </c>
      <c r="G323" s="91"/>
      <c r="H323" s="91"/>
      <c r="I323" s="91"/>
      <c r="J323" s="107">
        <v>46127</v>
      </c>
      <c r="K323" s="107">
        <v>46265</v>
      </c>
      <c r="L323" s="92">
        <v>99</v>
      </c>
      <c r="M323" s="107"/>
      <c r="N323" s="91"/>
      <c r="O323" s="92" t="s">
        <v>115</v>
      </c>
      <c r="P323" s="91"/>
      <c r="Q323" s="91"/>
      <c r="R323" t="str">
        <f t="shared" si="5"/>
        <v>ITSM♦Deploy IT service♦Total♦L2♦CP</v>
      </c>
    </row>
    <row r="324" spans="1:18" ht="60">
      <c r="A324" s="97" t="s">
        <v>39</v>
      </c>
      <c r="B324" s="97" t="s">
        <v>352</v>
      </c>
      <c r="C324" s="97" t="s">
        <v>22</v>
      </c>
      <c r="D324" s="97" t="s">
        <v>33</v>
      </c>
      <c r="E324" s="97" t="s">
        <v>105</v>
      </c>
      <c r="F324" s="116">
        <v>0</v>
      </c>
      <c r="G324" s="97" t="s">
        <v>23</v>
      </c>
      <c r="H324" s="97" t="s">
        <v>526</v>
      </c>
      <c r="I324" s="97" t="s">
        <v>527</v>
      </c>
      <c r="J324" s="108">
        <v>46127</v>
      </c>
      <c r="K324" s="108">
        <v>46188</v>
      </c>
      <c r="L324" s="97">
        <v>44</v>
      </c>
      <c r="M324" s="108"/>
      <c r="N324" s="97" t="s">
        <v>27</v>
      </c>
      <c r="O324" s="97" t="s">
        <v>115</v>
      </c>
      <c r="P324" s="103" t="s">
        <v>615</v>
      </c>
      <c r="Q324" s="91"/>
      <c r="R324" t="str">
        <f t="shared" si="5"/>
        <v>ITSM♦Deploy IT service♦Elaboration♦L2♦CP</v>
      </c>
    </row>
    <row r="325" spans="1:18">
      <c r="A325" s="97" t="s">
        <v>39</v>
      </c>
      <c r="B325" s="97" t="s">
        <v>352</v>
      </c>
      <c r="C325" s="97" t="s">
        <v>28</v>
      </c>
      <c r="D325" s="97" t="s">
        <v>33</v>
      </c>
      <c r="E325" s="97" t="s">
        <v>105</v>
      </c>
      <c r="F325" s="116">
        <v>0</v>
      </c>
      <c r="G325" s="91"/>
      <c r="H325" s="91"/>
      <c r="I325" s="91"/>
      <c r="J325" s="108">
        <v>46218</v>
      </c>
      <c r="K325" s="108">
        <v>46265</v>
      </c>
      <c r="L325" s="97">
        <v>34</v>
      </c>
      <c r="M325" s="108"/>
      <c r="N325" s="97" t="s">
        <v>27</v>
      </c>
      <c r="O325" s="97" t="s">
        <v>115</v>
      </c>
      <c r="P325" s="103" t="s">
        <v>615</v>
      </c>
      <c r="Q325" s="91"/>
      <c r="R325" t="str">
        <f t="shared" si="5"/>
        <v>ITSM♦Deploy IT service♦Implementation LIS♦L2♦CP</v>
      </c>
    </row>
    <row r="326" spans="1:18">
      <c r="A326" s="97" t="s">
        <v>39</v>
      </c>
      <c r="B326" s="97" t="s">
        <v>352</v>
      </c>
      <c r="C326" s="97" t="s">
        <v>29</v>
      </c>
      <c r="D326" s="97" t="s">
        <v>33</v>
      </c>
      <c r="E326" s="97" t="s">
        <v>105</v>
      </c>
      <c r="F326" s="116">
        <v>0</v>
      </c>
      <c r="G326" s="91"/>
      <c r="H326" s="91"/>
      <c r="I326" s="91"/>
      <c r="J326" s="108"/>
      <c r="K326" s="108"/>
      <c r="L326" s="97">
        <v>0</v>
      </c>
      <c r="M326" s="108"/>
      <c r="N326" s="91"/>
      <c r="O326" s="97" t="s">
        <v>115</v>
      </c>
      <c r="P326" s="103" t="s">
        <v>615</v>
      </c>
      <c r="Q326" s="91"/>
      <c r="R326" t="str">
        <f t="shared" si="5"/>
        <v>ITSM♦Deploy IT service♦Implementation COT♦L2♦CP</v>
      </c>
    </row>
    <row r="327" spans="1:18">
      <c r="A327" s="97" t="s">
        <v>39</v>
      </c>
      <c r="B327" s="97" t="s">
        <v>352</v>
      </c>
      <c r="C327" s="97" t="s">
        <v>30</v>
      </c>
      <c r="D327" s="97" t="s">
        <v>33</v>
      </c>
      <c r="E327" s="97" t="s">
        <v>105</v>
      </c>
      <c r="F327" s="116">
        <v>0</v>
      </c>
      <c r="G327" s="91"/>
      <c r="H327" s="91"/>
      <c r="I327" s="91"/>
      <c r="J327" s="108"/>
      <c r="K327" s="108"/>
      <c r="L327" s="97">
        <v>0</v>
      </c>
      <c r="M327" s="108"/>
      <c r="N327" s="91"/>
      <c r="O327" s="97" t="s">
        <v>115</v>
      </c>
      <c r="P327" s="103" t="s">
        <v>615</v>
      </c>
      <c r="Q327" s="91"/>
      <c r="R327" t="str">
        <f t="shared" si="5"/>
        <v>ITSM♦Deploy IT service♦Implementation LUS♦L2♦CP</v>
      </c>
    </row>
    <row r="328" spans="1:18">
      <c r="A328" s="93"/>
      <c r="B328" s="92" t="s">
        <v>528</v>
      </c>
      <c r="C328" s="92" t="s">
        <v>18</v>
      </c>
      <c r="D328" s="92" t="s">
        <v>33</v>
      </c>
      <c r="E328" s="92" t="s">
        <v>105</v>
      </c>
      <c r="F328" s="115">
        <v>0</v>
      </c>
      <c r="G328" s="91"/>
      <c r="H328" s="91"/>
      <c r="I328" s="91"/>
      <c r="J328" s="107">
        <v>46127</v>
      </c>
      <c r="K328" s="107">
        <v>46265</v>
      </c>
      <c r="L328" s="92">
        <v>99</v>
      </c>
      <c r="M328" s="107"/>
      <c r="N328" s="91"/>
      <c r="O328" s="92" t="s">
        <v>115</v>
      </c>
      <c r="P328" s="91"/>
      <c r="Q328" s="91"/>
      <c r="R328" t="str">
        <f t="shared" si="5"/>
        <v>♦Test and validate IT service♦Total♦L2♦CP</v>
      </c>
    </row>
    <row r="329" spans="1:18" ht="60">
      <c r="A329" s="97" t="s">
        <v>39</v>
      </c>
      <c r="B329" s="97" t="s">
        <v>354</v>
      </c>
      <c r="C329" s="97" t="s">
        <v>22</v>
      </c>
      <c r="D329" s="97" t="s">
        <v>33</v>
      </c>
      <c r="E329" s="97" t="s">
        <v>105</v>
      </c>
      <c r="F329" s="116">
        <v>0</v>
      </c>
      <c r="G329" s="97" t="s">
        <v>23</v>
      </c>
      <c r="H329" s="97" t="s">
        <v>526</v>
      </c>
      <c r="I329" s="97" t="s">
        <v>527</v>
      </c>
      <c r="J329" s="108">
        <v>46127</v>
      </c>
      <c r="K329" s="108">
        <v>46188</v>
      </c>
      <c r="L329" s="97">
        <v>44</v>
      </c>
      <c r="M329" s="108"/>
      <c r="N329" s="97" t="s">
        <v>27</v>
      </c>
      <c r="O329" s="97" t="s">
        <v>115</v>
      </c>
      <c r="P329" s="103" t="s">
        <v>615</v>
      </c>
      <c r="Q329" s="91"/>
      <c r="R329" t="str">
        <f t="shared" si="5"/>
        <v>ITSM♦Test and validate IT service♦Elaboration♦L2♦CP</v>
      </c>
    </row>
    <row r="330" spans="1:18">
      <c r="A330" s="97" t="s">
        <v>39</v>
      </c>
      <c r="B330" s="97" t="s">
        <v>354</v>
      </c>
      <c r="C330" s="97" t="s">
        <v>28</v>
      </c>
      <c r="D330" s="97" t="s">
        <v>33</v>
      </c>
      <c r="E330" s="97" t="s">
        <v>105</v>
      </c>
      <c r="F330" s="116">
        <v>0</v>
      </c>
      <c r="G330" s="91"/>
      <c r="H330" s="91"/>
      <c r="I330" s="91"/>
      <c r="J330" s="108">
        <v>46218</v>
      </c>
      <c r="K330" s="108">
        <v>46265</v>
      </c>
      <c r="L330" s="97">
        <v>34</v>
      </c>
      <c r="M330" s="108"/>
      <c r="N330" s="97" t="s">
        <v>27</v>
      </c>
      <c r="O330" s="97" t="s">
        <v>115</v>
      </c>
      <c r="P330" s="103" t="s">
        <v>615</v>
      </c>
      <c r="Q330" s="91"/>
      <c r="R330" t="str">
        <f t="shared" si="5"/>
        <v>ITSM♦Test and validate IT service♦Implementation LIS♦L2♦CP</v>
      </c>
    </row>
    <row r="331" spans="1:18">
      <c r="A331" s="97" t="s">
        <v>39</v>
      </c>
      <c r="B331" s="97" t="s">
        <v>354</v>
      </c>
      <c r="C331" s="97" t="s">
        <v>29</v>
      </c>
      <c r="D331" s="97" t="s">
        <v>33</v>
      </c>
      <c r="E331" s="97" t="s">
        <v>105</v>
      </c>
      <c r="F331" s="116">
        <v>0</v>
      </c>
      <c r="G331" s="91"/>
      <c r="H331" s="91"/>
      <c r="I331" s="91"/>
      <c r="J331" s="108"/>
      <c r="K331" s="108"/>
      <c r="L331" s="97">
        <v>0</v>
      </c>
      <c r="M331" s="108"/>
      <c r="N331" s="91"/>
      <c r="O331" s="97" t="s">
        <v>115</v>
      </c>
      <c r="P331" s="103" t="s">
        <v>615</v>
      </c>
      <c r="Q331" s="91"/>
      <c r="R331" t="str">
        <f t="shared" si="5"/>
        <v>ITSM♦Test and validate IT service♦Implementation COT♦L2♦CP</v>
      </c>
    </row>
    <row r="332" spans="1:18">
      <c r="A332" s="97" t="s">
        <v>39</v>
      </c>
      <c r="B332" s="97" t="s">
        <v>354</v>
      </c>
      <c r="C332" s="97" t="s">
        <v>30</v>
      </c>
      <c r="D332" s="97" t="s">
        <v>33</v>
      </c>
      <c r="E332" s="97" t="s">
        <v>105</v>
      </c>
      <c r="F332" s="116">
        <v>0</v>
      </c>
      <c r="G332" s="91"/>
      <c r="H332" s="91"/>
      <c r="I332" s="91"/>
      <c r="J332" s="108"/>
      <c r="K332" s="108"/>
      <c r="L332" s="97">
        <v>0</v>
      </c>
      <c r="M332" s="108"/>
      <c r="N332" s="91"/>
      <c r="O332" s="97" t="s">
        <v>115</v>
      </c>
      <c r="P332" s="103" t="s">
        <v>615</v>
      </c>
      <c r="Q332" s="91"/>
      <c r="R332" t="str">
        <f t="shared" si="5"/>
        <v>ITSM♦Test and validate IT service♦Implementation LUS♦L2♦CP</v>
      </c>
    </row>
    <row r="333" spans="1:18" ht="30">
      <c r="A333" s="94" t="s">
        <v>39</v>
      </c>
      <c r="B333" s="92" t="s">
        <v>355</v>
      </c>
      <c r="C333" s="92" t="s">
        <v>18</v>
      </c>
      <c r="D333" s="92" t="s">
        <v>33</v>
      </c>
      <c r="E333" s="92" t="s">
        <v>105</v>
      </c>
      <c r="F333" s="115">
        <v>0</v>
      </c>
      <c r="G333" s="91"/>
      <c r="H333" s="91"/>
      <c r="I333" s="91"/>
      <c r="J333" s="107"/>
      <c r="K333" s="107"/>
      <c r="L333" s="92">
        <v>0</v>
      </c>
      <c r="M333" s="107"/>
      <c r="N333" s="91"/>
      <c r="O333" s="92" t="s">
        <v>115</v>
      </c>
      <c r="P333" s="91"/>
      <c r="Q333" s="91"/>
      <c r="R333" t="str">
        <f t="shared" si="5"/>
        <v>ITSM♦Evaluate success of IT service rollout♦Total♦L2♦CP</v>
      </c>
    </row>
    <row r="334" spans="1:18" ht="60">
      <c r="A334" s="97" t="s">
        <v>39</v>
      </c>
      <c r="B334" s="97" t="s">
        <v>356</v>
      </c>
      <c r="C334" s="97" t="s">
        <v>22</v>
      </c>
      <c r="D334" s="97" t="s">
        <v>33</v>
      </c>
      <c r="E334" s="97" t="s">
        <v>105</v>
      </c>
      <c r="F334" s="116">
        <v>0</v>
      </c>
      <c r="G334" s="97" t="s">
        <v>23</v>
      </c>
      <c r="H334" s="97" t="s">
        <v>526</v>
      </c>
      <c r="I334" s="97" t="s">
        <v>527</v>
      </c>
      <c r="J334" s="108"/>
      <c r="K334" s="108"/>
      <c r="L334" s="97">
        <v>0</v>
      </c>
      <c r="M334" s="108"/>
      <c r="N334" s="91"/>
      <c r="O334" s="97" t="s">
        <v>115</v>
      </c>
      <c r="P334" s="91"/>
      <c r="Q334" s="91"/>
      <c r="R334" t="str">
        <f t="shared" si="5"/>
        <v>ITSM♦Evaluate success of IT service rollout♦Elaboration♦L2♦CP</v>
      </c>
    </row>
    <row r="335" spans="1:18" ht="30">
      <c r="A335" s="97" t="s">
        <v>39</v>
      </c>
      <c r="B335" s="97" t="s">
        <v>356</v>
      </c>
      <c r="C335" s="97" t="s">
        <v>28</v>
      </c>
      <c r="D335" s="97" t="s">
        <v>33</v>
      </c>
      <c r="E335" s="97" t="s">
        <v>105</v>
      </c>
      <c r="F335" s="116">
        <v>0</v>
      </c>
      <c r="G335" s="91"/>
      <c r="H335" s="91"/>
      <c r="I335" s="91"/>
      <c r="J335" s="108"/>
      <c r="K335" s="108"/>
      <c r="L335" s="97">
        <v>0</v>
      </c>
      <c r="M335" s="108"/>
      <c r="N335" s="91"/>
      <c r="O335" s="97" t="s">
        <v>115</v>
      </c>
      <c r="P335" s="91"/>
      <c r="Q335" s="91"/>
      <c r="R335" t="str">
        <f t="shared" si="5"/>
        <v>ITSM♦Evaluate success of IT service rollout♦Implementation LIS♦L2♦CP</v>
      </c>
    </row>
    <row r="336" spans="1:18" ht="30">
      <c r="A336" s="97" t="s">
        <v>39</v>
      </c>
      <c r="B336" s="97" t="s">
        <v>356</v>
      </c>
      <c r="C336" s="97" t="s">
        <v>29</v>
      </c>
      <c r="D336" s="97" t="s">
        <v>33</v>
      </c>
      <c r="E336" s="97" t="s">
        <v>105</v>
      </c>
      <c r="F336" s="116">
        <v>0</v>
      </c>
      <c r="G336" s="91"/>
      <c r="H336" s="91"/>
      <c r="I336" s="91"/>
      <c r="J336" s="108"/>
      <c r="K336" s="108"/>
      <c r="L336" s="97">
        <v>0</v>
      </c>
      <c r="M336" s="108"/>
      <c r="N336" s="91"/>
      <c r="O336" s="97" t="s">
        <v>115</v>
      </c>
      <c r="P336" s="91"/>
      <c r="Q336" s="91"/>
      <c r="R336" t="str">
        <f t="shared" si="5"/>
        <v>ITSM♦Evaluate success of IT service rollout♦Implementation COT♦L2♦CP</v>
      </c>
    </row>
    <row r="337" spans="1:18" ht="30">
      <c r="A337" s="97" t="s">
        <v>39</v>
      </c>
      <c r="B337" s="97" t="s">
        <v>356</v>
      </c>
      <c r="C337" s="97" t="s">
        <v>30</v>
      </c>
      <c r="D337" s="97" t="s">
        <v>33</v>
      </c>
      <c r="E337" s="97" t="s">
        <v>105</v>
      </c>
      <c r="F337" s="116">
        <v>0</v>
      </c>
      <c r="G337" s="91"/>
      <c r="H337" s="91"/>
      <c r="I337" s="91"/>
      <c r="J337" s="108"/>
      <c r="K337" s="108"/>
      <c r="L337" s="97">
        <v>0</v>
      </c>
      <c r="M337" s="108"/>
      <c r="N337" s="91"/>
      <c r="O337" s="97" t="s">
        <v>115</v>
      </c>
      <c r="P337" s="91"/>
      <c r="Q337" s="91"/>
      <c r="R337" t="str">
        <f t="shared" si="5"/>
        <v>ITSM♦Evaluate success of IT service rollout♦Implementation LUS♦L2♦CP</v>
      </c>
    </row>
    <row r="338" spans="1:18">
      <c r="A338" s="94" t="s">
        <v>39</v>
      </c>
      <c r="B338" s="92" t="s">
        <v>357</v>
      </c>
      <c r="C338" s="92" t="s">
        <v>18</v>
      </c>
      <c r="D338" s="92" t="s">
        <v>33</v>
      </c>
      <c r="E338" s="92" t="s">
        <v>105</v>
      </c>
      <c r="F338" s="115">
        <v>1</v>
      </c>
      <c r="G338" s="91"/>
      <c r="H338" s="91"/>
      <c r="I338" s="91"/>
      <c r="J338" s="107">
        <v>46034</v>
      </c>
      <c r="K338" s="107">
        <v>46203</v>
      </c>
      <c r="L338" s="92">
        <v>122</v>
      </c>
      <c r="M338" s="107">
        <v>46127</v>
      </c>
      <c r="N338" s="91"/>
      <c r="O338" s="92" t="s">
        <v>115</v>
      </c>
      <c r="P338" s="91"/>
      <c r="Q338" s="91"/>
      <c r="R338" t="str">
        <f t="shared" si="5"/>
        <v>ITSM♦Manage IT service change♦Total♦L2♦CP</v>
      </c>
    </row>
    <row r="339" spans="1:18" ht="75">
      <c r="A339" s="97" t="s">
        <v>39</v>
      </c>
      <c r="B339" s="97" t="s">
        <v>358</v>
      </c>
      <c r="C339" s="97" t="s">
        <v>22</v>
      </c>
      <c r="D339" s="97" t="s">
        <v>33</v>
      </c>
      <c r="E339" s="97" t="s">
        <v>105</v>
      </c>
      <c r="F339" s="116">
        <v>1</v>
      </c>
      <c r="G339" s="97" t="s">
        <v>359</v>
      </c>
      <c r="H339" s="97" t="s">
        <v>139</v>
      </c>
      <c r="I339" s="97" t="s">
        <v>527</v>
      </c>
      <c r="J339" s="108">
        <v>46034</v>
      </c>
      <c r="K339" s="108">
        <v>46099</v>
      </c>
      <c r="L339" s="97">
        <v>48</v>
      </c>
      <c r="M339" s="108">
        <v>46127</v>
      </c>
      <c r="N339" s="97" t="s">
        <v>108</v>
      </c>
      <c r="O339" s="97" t="s">
        <v>115</v>
      </c>
      <c r="P339" s="91"/>
      <c r="Q339" s="91"/>
      <c r="R339" t="str">
        <f t="shared" si="5"/>
        <v>ITSM♦Manag IT service change♦Elaboration♦L2♦CP</v>
      </c>
    </row>
    <row r="340" spans="1:18">
      <c r="A340" s="97" t="s">
        <v>39</v>
      </c>
      <c r="B340" s="97" t="s">
        <v>358</v>
      </c>
      <c r="C340" s="97" t="s">
        <v>28</v>
      </c>
      <c r="D340" s="97" t="s">
        <v>33</v>
      </c>
      <c r="E340" s="97" t="s">
        <v>105</v>
      </c>
      <c r="F340" s="116">
        <v>0</v>
      </c>
      <c r="G340" s="91"/>
      <c r="H340" s="91"/>
      <c r="I340" s="91"/>
      <c r="J340" s="108">
        <v>46127</v>
      </c>
      <c r="K340" s="108">
        <v>46203</v>
      </c>
      <c r="L340" s="97">
        <v>55</v>
      </c>
      <c r="M340" s="108"/>
      <c r="N340" s="97" t="s">
        <v>27</v>
      </c>
      <c r="O340" s="97" t="s">
        <v>115</v>
      </c>
      <c r="P340" s="91"/>
      <c r="Q340" s="91"/>
      <c r="R340" t="str">
        <f t="shared" si="5"/>
        <v>ITSM♦Manag IT service change♦Implementation LIS♦L2♦CP</v>
      </c>
    </row>
    <row r="341" spans="1:18">
      <c r="A341" s="97" t="s">
        <v>39</v>
      </c>
      <c r="B341" s="97" t="s">
        <v>358</v>
      </c>
      <c r="C341" s="97" t="s">
        <v>29</v>
      </c>
      <c r="D341" s="97" t="s">
        <v>33</v>
      </c>
      <c r="E341" s="97" t="s">
        <v>105</v>
      </c>
      <c r="F341" s="116">
        <v>0</v>
      </c>
      <c r="G341" s="91"/>
      <c r="H341" s="91"/>
      <c r="I341" s="91"/>
      <c r="J341" s="108"/>
      <c r="K341" s="108"/>
      <c r="L341" s="97">
        <v>0</v>
      </c>
      <c r="M341" s="108"/>
      <c r="N341" s="91"/>
      <c r="O341" s="97" t="s">
        <v>115</v>
      </c>
      <c r="P341" s="91"/>
      <c r="Q341" s="91"/>
      <c r="R341" t="str">
        <f t="shared" si="5"/>
        <v>ITSM♦Manag IT service change♦Implementation COT♦L2♦CP</v>
      </c>
    </row>
    <row r="342" spans="1:18">
      <c r="A342" s="97" t="s">
        <v>39</v>
      </c>
      <c r="B342" s="97" t="s">
        <v>358</v>
      </c>
      <c r="C342" s="97" t="s">
        <v>30</v>
      </c>
      <c r="D342" s="97" t="s">
        <v>33</v>
      </c>
      <c r="E342" s="97" t="s">
        <v>105</v>
      </c>
      <c r="F342" s="116">
        <v>0</v>
      </c>
      <c r="G342" s="91"/>
      <c r="H342" s="91"/>
      <c r="I342" s="91"/>
      <c r="J342" s="108"/>
      <c r="K342" s="108"/>
      <c r="L342" s="97">
        <v>0</v>
      </c>
      <c r="M342" s="108"/>
      <c r="N342" s="91"/>
      <c r="O342" s="97" t="s">
        <v>115</v>
      </c>
      <c r="P342" s="91"/>
      <c r="Q342" s="91"/>
      <c r="R342" t="str">
        <f t="shared" si="5"/>
        <v>ITSM♦Manag IT service change♦Implementation LUS♦L2♦CP</v>
      </c>
    </row>
    <row r="343" spans="1:18">
      <c r="A343" s="94" t="s">
        <v>39</v>
      </c>
      <c r="B343" s="92" t="s">
        <v>360</v>
      </c>
      <c r="C343" s="92" t="s">
        <v>18</v>
      </c>
      <c r="D343" s="92" t="s">
        <v>33</v>
      </c>
      <c r="E343" s="92" t="s">
        <v>105</v>
      </c>
      <c r="F343" s="115">
        <v>0.5</v>
      </c>
      <c r="G343" s="91"/>
      <c r="H343" s="91"/>
      <c r="I343" s="91"/>
      <c r="J343" s="107">
        <v>46073</v>
      </c>
      <c r="K343" s="107">
        <v>46203</v>
      </c>
      <c r="L343" s="92">
        <v>93</v>
      </c>
      <c r="M343" s="107"/>
      <c r="N343" s="91"/>
      <c r="O343" s="92" t="s">
        <v>115</v>
      </c>
      <c r="P343" s="91"/>
      <c r="Q343" s="91"/>
      <c r="R343" t="str">
        <f t="shared" si="5"/>
        <v>ITSM♦Manage IT service release♦Total♦L2♦CP</v>
      </c>
    </row>
    <row r="344" spans="1:18" ht="75">
      <c r="A344" s="97" t="s">
        <v>39</v>
      </c>
      <c r="B344" s="97" t="s">
        <v>361</v>
      </c>
      <c r="C344" s="97" t="s">
        <v>22</v>
      </c>
      <c r="D344" s="97" t="s">
        <v>33</v>
      </c>
      <c r="E344" s="97" t="s">
        <v>105</v>
      </c>
      <c r="F344" s="116">
        <v>0.5</v>
      </c>
      <c r="G344" s="97" t="s">
        <v>359</v>
      </c>
      <c r="H344" s="97" t="s">
        <v>139</v>
      </c>
      <c r="I344" s="97" t="s">
        <v>527</v>
      </c>
      <c r="J344" s="108">
        <v>46073</v>
      </c>
      <c r="K344" s="108">
        <v>46150</v>
      </c>
      <c r="L344" s="97">
        <v>56</v>
      </c>
      <c r="M344" s="108"/>
      <c r="N344" s="97" t="s">
        <v>26</v>
      </c>
      <c r="O344" s="97" t="s">
        <v>115</v>
      </c>
      <c r="P344" s="91"/>
      <c r="Q344" s="91"/>
      <c r="R344" t="str">
        <f t="shared" si="5"/>
        <v>ITSM♦Manage IT service release♦Elaboration♦L2♦CP</v>
      </c>
    </row>
    <row r="345" spans="1:18">
      <c r="A345" s="97" t="s">
        <v>39</v>
      </c>
      <c r="B345" s="97" t="s">
        <v>361</v>
      </c>
      <c r="C345" s="97" t="s">
        <v>28</v>
      </c>
      <c r="D345" s="97" t="s">
        <v>33</v>
      </c>
      <c r="E345" s="97" t="s">
        <v>105</v>
      </c>
      <c r="F345" s="116">
        <v>0</v>
      </c>
      <c r="G345" s="91"/>
      <c r="H345" s="91"/>
      <c r="I345" s="91"/>
      <c r="J345" s="108">
        <v>46127</v>
      </c>
      <c r="K345" s="108">
        <v>46203</v>
      </c>
      <c r="L345" s="97">
        <v>55</v>
      </c>
      <c r="M345" s="108"/>
      <c r="N345" s="97" t="s">
        <v>27</v>
      </c>
      <c r="O345" s="97" t="s">
        <v>115</v>
      </c>
      <c r="P345" s="91"/>
      <c r="Q345" s="91"/>
      <c r="R345" t="str">
        <f t="shared" si="5"/>
        <v>ITSM♦Manage IT service release♦Implementation LIS♦L2♦CP</v>
      </c>
    </row>
    <row r="346" spans="1:18">
      <c r="A346" s="97" t="s">
        <v>39</v>
      </c>
      <c r="B346" s="97" t="s">
        <v>361</v>
      </c>
      <c r="C346" s="97" t="s">
        <v>29</v>
      </c>
      <c r="D346" s="97" t="s">
        <v>33</v>
      </c>
      <c r="E346" s="97" t="s">
        <v>105</v>
      </c>
      <c r="F346" s="116">
        <v>0</v>
      </c>
      <c r="G346" s="91"/>
      <c r="H346" s="91"/>
      <c r="I346" s="91"/>
      <c r="J346" s="108"/>
      <c r="K346" s="108"/>
      <c r="L346" s="97">
        <v>0</v>
      </c>
      <c r="M346" s="108"/>
      <c r="N346" s="91"/>
      <c r="O346" s="97" t="s">
        <v>115</v>
      </c>
      <c r="P346" s="91"/>
      <c r="Q346" s="91"/>
      <c r="R346" t="str">
        <f t="shared" si="5"/>
        <v>ITSM♦Manage IT service release♦Implementation COT♦L2♦CP</v>
      </c>
    </row>
    <row r="347" spans="1:18">
      <c r="A347" s="97" t="s">
        <v>39</v>
      </c>
      <c r="B347" s="97" t="s">
        <v>361</v>
      </c>
      <c r="C347" s="97" t="s">
        <v>30</v>
      </c>
      <c r="D347" s="97" t="s">
        <v>33</v>
      </c>
      <c r="E347" s="97" t="s">
        <v>105</v>
      </c>
      <c r="F347" s="116">
        <v>0</v>
      </c>
      <c r="G347" s="91"/>
      <c r="H347" s="91"/>
      <c r="I347" s="91"/>
      <c r="J347" s="108"/>
      <c r="K347" s="108"/>
      <c r="L347" s="97">
        <v>0</v>
      </c>
      <c r="M347" s="108"/>
      <c r="N347" s="91"/>
      <c r="O347" s="97" t="s">
        <v>115</v>
      </c>
      <c r="P347" s="91"/>
      <c r="Q347" s="91"/>
      <c r="R347" t="str">
        <f t="shared" si="5"/>
        <v>ITSM♦Manage IT service release♦Implementation LUS♦L2♦CP</v>
      </c>
    </row>
    <row r="348" spans="1:18">
      <c r="A348" s="94" t="s">
        <v>39</v>
      </c>
      <c r="B348" s="96" t="s">
        <v>362</v>
      </c>
      <c r="C348" s="96" t="s">
        <v>18</v>
      </c>
      <c r="D348" s="96" t="s">
        <v>19</v>
      </c>
      <c r="E348" s="96" t="s">
        <v>105</v>
      </c>
      <c r="F348" s="113">
        <v>0</v>
      </c>
      <c r="G348" s="95"/>
      <c r="H348" s="95"/>
      <c r="I348" s="95"/>
      <c r="J348" s="105">
        <v>46113</v>
      </c>
      <c r="K348" s="105">
        <v>46190</v>
      </c>
      <c r="L348" s="96">
        <v>56</v>
      </c>
      <c r="M348" s="105"/>
      <c r="N348" s="95"/>
      <c r="O348" s="96" t="s">
        <v>141</v>
      </c>
      <c r="P348" s="91"/>
      <c r="Q348" s="91"/>
      <c r="R348" t="str">
        <f t="shared" si="5"/>
        <v>ITSM♦Deliver IT service♦Total♦L1♦CP</v>
      </c>
    </row>
    <row r="349" spans="1:18" ht="30">
      <c r="A349" s="97" t="s">
        <v>39</v>
      </c>
      <c r="B349" s="98" t="s">
        <v>363</v>
      </c>
      <c r="C349" s="98" t="s">
        <v>22</v>
      </c>
      <c r="D349" s="98" t="s">
        <v>19</v>
      </c>
      <c r="E349" s="98" t="s">
        <v>105</v>
      </c>
      <c r="F349" s="114">
        <v>0</v>
      </c>
      <c r="G349" s="98" t="s">
        <v>35</v>
      </c>
      <c r="H349" s="98" t="s">
        <v>531</v>
      </c>
      <c r="I349" s="98" t="s">
        <v>532</v>
      </c>
      <c r="J349" s="106"/>
      <c r="K349" s="106"/>
      <c r="L349" s="98">
        <v>0</v>
      </c>
      <c r="M349" s="106"/>
      <c r="N349" s="95"/>
      <c r="O349" s="98" t="s">
        <v>141</v>
      </c>
      <c r="P349" s="91"/>
      <c r="Q349" s="91"/>
      <c r="R349" t="str">
        <f t="shared" si="5"/>
        <v>ITSM♦Deliver IT service♦Elaboration♦L1♦CP</v>
      </c>
    </row>
    <row r="350" spans="1:18">
      <c r="A350" s="97" t="s">
        <v>39</v>
      </c>
      <c r="B350" s="98" t="s">
        <v>363</v>
      </c>
      <c r="C350" s="98" t="s">
        <v>28</v>
      </c>
      <c r="D350" s="98" t="s">
        <v>19</v>
      </c>
      <c r="E350" s="98" t="s">
        <v>105</v>
      </c>
      <c r="F350" s="114">
        <v>0</v>
      </c>
      <c r="G350" s="95"/>
      <c r="H350" s="95"/>
      <c r="I350" s="95"/>
      <c r="J350" s="106"/>
      <c r="K350" s="106"/>
      <c r="L350" s="98">
        <v>0</v>
      </c>
      <c r="M350" s="106"/>
      <c r="N350" s="95"/>
      <c r="O350" s="98" t="s">
        <v>141</v>
      </c>
      <c r="P350" s="91"/>
      <c r="Q350" s="91"/>
      <c r="R350" t="str">
        <f t="shared" si="5"/>
        <v>ITSM♦Deliver IT service♦Implementation LIS♦L1♦CP</v>
      </c>
    </row>
    <row r="351" spans="1:18">
      <c r="A351" s="97" t="s">
        <v>39</v>
      </c>
      <c r="B351" s="98" t="s">
        <v>363</v>
      </c>
      <c r="C351" s="98" t="s">
        <v>29</v>
      </c>
      <c r="D351" s="98" t="s">
        <v>19</v>
      </c>
      <c r="E351" s="98" t="s">
        <v>105</v>
      </c>
      <c r="F351" s="114">
        <v>0</v>
      </c>
      <c r="G351" s="95"/>
      <c r="H351" s="95"/>
      <c r="I351" s="95"/>
      <c r="J351" s="106"/>
      <c r="K351" s="106"/>
      <c r="L351" s="98">
        <v>0</v>
      </c>
      <c r="M351" s="106"/>
      <c r="N351" s="95"/>
      <c r="O351" s="98" t="s">
        <v>141</v>
      </c>
      <c r="P351" s="91"/>
      <c r="Q351" s="91"/>
      <c r="R351" t="str">
        <f t="shared" si="5"/>
        <v>ITSM♦Deliver IT service♦Implementation COT♦L1♦CP</v>
      </c>
    </row>
    <row r="352" spans="1:18">
      <c r="A352" s="97" t="s">
        <v>39</v>
      </c>
      <c r="B352" s="98" t="s">
        <v>363</v>
      </c>
      <c r="C352" s="98" t="s">
        <v>30</v>
      </c>
      <c r="D352" s="98" t="s">
        <v>19</v>
      </c>
      <c r="E352" s="98" t="s">
        <v>105</v>
      </c>
      <c r="F352" s="114">
        <v>0</v>
      </c>
      <c r="G352" s="95"/>
      <c r="H352" s="95"/>
      <c r="I352" s="95"/>
      <c r="J352" s="106"/>
      <c r="K352" s="106"/>
      <c r="L352" s="98">
        <v>0</v>
      </c>
      <c r="M352" s="106"/>
      <c r="N352" s="95"/>
      <c r="O352" s="98" t="s">
        <v>141</v>
      </c>
      <c r="P352" s="91"/>
      <c r="Q352" s="91"/>
      <c r="R352" t="str">
        <f t="shared" si="5"/>
        <v>ITSM♦Deliver IT service♦Implementation LUS♦L1♦CP</v>
      </c>
    </row>
    <row r="353" spans="1:18" ht="30">
      <c r="A353" s="94" t="s">
        <v>39</v>
      </c>
      <c r="B353" s="92" t="s">
        <v>364</v>
      </c>
      <c r="C353" s="92" t="s">
        <v>18</v>
      </c>
      <c r="D353" s="92" t="s">
        <v>33</v>
      </c>
      <c r="E353" s="92" t="s">
        <v>105</v>
      </c>
      <c r="F353" s="115">
        <v>0</v>
      </c>
      <c r="G353" s="91"/>
      <c r="H353" s="91"/>
      <c r="I353" s="91"/>
      <c r="J353" s="107">
        <v>46113</v>
      </c>
      <c r="K353" s="107">
        <v>46190</v>
      </c>
      <c r="L353" s="92">
        <v>56</v>
      </c>
      <c r="M353" s="107"/>
      <c r="N353" s="91"/>
      <c r="O353" s="92" t="s">
        <v>141</v>
      </c>
      <c r="P353" s="91"/>
      <c r="Q353" s="91"/>
      <c r="R353" t="str">
        <f t="shared" si="5"/>
        <v>ITSM♦Manage IT service provision request♦Total♦L2♦CP</v>
      </c>
    </row>
    <row r="354" spans="1:18" ht="45">
      <c r="A354" s="97" t="s">
        <v>39</v>
      </c>
      <c r="B354" s="97" t="s">
        <v>365</v>
      </c>
      <c r="C354" s="97" t="s">
        <v>22</v>
      </c>
      <c r="D354" s="97" t="s">
        <v>33</v>
      </c>
      <c r="E354" s="97" t="s">
        <v>105</v>
      </c>
      <c r="F354" s="116">
        <v>0</v>
      </c>
      <c r="G354" s="97" t="s">
        <v>35</v>
      </c>
      <c r="H354" s="98" t="s">
        <v>531</v>
      </c>
      <c r="I354" s="97" t="s">
        <v>532</v>
      </c>
      <c r="J354" s="108">
        <v>46113</v>
      </c>
      <c r="K354" s="108">
        <v>46190</v>
      </c>
      <c r="L354" s="97">
        <v>56</v>
      </c>
      <c r="M354" s="108"/>
      <c r="N354" s="97" t="s">
        <v>26</v>
      </c>
      <c r="O354" s="97" t="s">
        <v>141</v>
      </c>
      <c r="P354" s="104" t="s">
        <v>624</v>
      </c>
      <c r="Q354" s="91"/>
      <c r="R354" t="str">
        <f t="shared" si="5"/>
        <v>ITSM♦Manage IT service provision request♦Elaboration♦L2♦CP</v>
      </c>
    </row>
    <row r="355" spans="1:18" ht="30">
      <c r="A355" s="97" t="s">
        <v>39</v>
      </c>
      <c r="B355" s="97" t="s">
        <v>365</v>
      </c>
      <c r="C355" s="97" t="s">
        <v>28</v>
      </c>
      <c r="D355" s="97" t="s">
        <v>33</v>
      </c>
      <c r="E355" s="97" t="s">
        <v>105</v>
      </c>
      <c r="F355" s="116">
        <v>0</v>
      </c>
      <c r="G355" s="91"/>
      <c r="H355" s="91"/>
      <c r="I355" s="91"/>
      <c r="J355" s="108">
        <v>46113</v>
      </c>
      <c r="K355" s="108">
        <v>46188</v>
      </c>
      <c r="L355" s="97">
        <v>54</v>
      </c>
      <c r="M355" s="108"/>
      <c r="N355" s="97" t="s">
        <v>28</v>
      </c>
      <c r="O355" s="97" t="s">
        <v>141</v>
      </c>
      <c r="P355" s="91"/>
      <c r="Q355" s="91"/>
      <c r="R355" t="str">
        <f t="shared" si="5"/>
        <v>ITSM♦Manage IT service provision request♦Implementation LIS♦L2♦CP</v>
      </c>
    </row>
    <row r="356" spans="1:18" ht="30">
      <c r="A356" s="97" t="s">
        <v>39</v>
      </c>
      <c r="B356" s="97" t="s">
        <v>365</v>
      </c>
      <c r="C356" s="97" t="s">
        <v>29</v>
      </c>
      <c r="D356" s="97" t="s">
        <v>33</v>
      </c>
      <c r="E356" s="97" t="s">
        <v>105</v>
      </c>
      <c r="F356" s="116">
        <v>0</v>
      </c>
      <c r="G356" s="91"/>
      <c r="H356" s="91"/>
      <c r="I356" s="91"/>
      <c r="J356" s="108"/>
      <c r="K356" s="108"/>
      <c r="L356" s="97">
        <v>0</v>
      </c>
      <c r="M356" s="108"/>
      <c r="N356" s="91"/>
      <c r="O356" s="97" t="s">
        <v>141</v>
      </c>
      <c r="P356" s="91"/>
      <c r="Q356" s="91"/>
      <c r="R356" t="str">
        <f t="shared" si="5"/>
        <v>ITSM♦Manage IT service provision request♦Implementation COT♦L2♦CP</v>
      </c>
    </row>
    <row r="357" spans="1:18" ht="30">
      <c r="A357" s="97" t="s">
        <v>39</v>
      </c>
      <c r="B357" s="97" t="s">
        <v>365</v>
      </c>
      <c r="C357" s="97" t="s">
        <v>30</v>
      </c>
      <c r="D357" s="97" t="s">
        <v>33</v>
      </c>
      <c r="E357" s="97" t="s">
        <v>105</v>
      </c>
      <c r="F357" s="116">
        <v>0</v>
      </c>
      <c r="G357" s="91"/>
      <c r="H357" s="91"/>
      <c r="I357" s="91"/>
      <c r="J357" s="108"/>
      <c r="K357" s="108"/>
      <c r="L357" s="97">
        <v>0</v>
      </c>
      <c r="M357" s="108"/>
      <c r="N357" s="91"/>
      <c r="O357" s="97" t="s">
        <v>141</v>
      </c>
      <c r="P357" s="91"/>
      <c r="Q357" s="91"/>
      <c r="R357" t="str">
        <f t="shared" si="5"/>
        <v>ITSM♦Manage IT service provision request♦Implementation LUS♦L2♦CP</v>
      </c>
    </row>
    <row r="358" spans="1:18">
      <c r="A358" s="94" t="s">
        <v>39</v>
      </c>
      <c r="B358" s="92" t="s">
        <v>533</v>
      </c>
      <c r="C358" s="92" t="s">
        <v>18</v>
      </c>
      <c r="D358" s="92" t="s">
        <v>33</v>
      </c>
      <c r="E358" s="92" t="s">
        <v>105</v>
      </c>
      <c r="F358" s="115">
        <v>0</v>
      </c>
      <c r="G358" s="91"/>
      <c r="H358" s="91"/>
      <c r="I358" s="91"/>
      <c r="J358" s="107">
        <v>46113</v>
      </c>
      <c r="K358" s="107">
        <v>46190</v>
      </c>
      <c r="L358" s="92">
        <v>56</v>
      </c>
      <c r="M358" s="107"/>
      <c r="N358" s="91"/>
      <c r="O358" s="92" t="s">
        <v>141</v>
      </c>
      <c r="P358" s="91"/>
      <c r="Q358" s="91"/>
      <c r="R358" t="str">
        <f t="shared" si="5"/>
        <v>ITSM♦Handle IT service order♦Total♦L2♦CP</v>
      </c>
    </row>
    <row r="359" spans="1:18" ht="45">
      <c r="A359" s="97" t="s">
        <v>39</v>
      </c>
      <c r="B359" s="97" t="s">
        <v>367</v>
      </c>
      <c r="C359" s="97" t="s">
        <v>22</v>
      </c>
      <c r="D359" s="97" t="s">
        <v>33</v>
      </c>
      <c r="E359" s="97" t="s">
        <v>105</v>
      </c>
      <c r="F359" s="116">
        <v>0</v>
      </c>
      <c r="G359" s="97" t="s">
        <v>35</v>
      </c>
      <c r="H359" s="98" t="s">
        <v>531</v>
      </c>
      <c r="I359" s="97" t="s">
        <v>532</v>
      </c>
      <c r="J359" s="108">
        <v>46113</v>
      </c>
      <c r="K359" s="108">
        <v>46190</v>
      </c>
      <c r="L359" s="97">
        <v>56</v>
      </c>
      <c r="M359" s="108"/>
      <c r="N359" s="97" t="s">
        <v>26</v>
      </c>
      <c r="O359" s="97" t="s">
        <v>141</v>
      </c>
      <c r="P359" s="104" t="s">
        <v>625</v>
      </c>
      <c r="Q359" s="91"/>
      <c r="R359" t="str">
        <f t="shared" si="5"/>
        <v>ITSM♦Handle IT service order♦Elaboration♦L2♦CP</v>
      </c>
    </row>
    <row r="360" spans="1:18">
      <c r="A360" s="97" t="s">
        <v>39</v>
      </c>
      <c r="B360" s="97" t="s">
        <v>367</v>
      </c>
      <c r="C360" s="97" t="s">
        <v>28</v>
      </c>
      <c r="D360" s="97" t="s">
        <v>33</v>
      </c>
      <c r="E360" s="97" t="s">
        <v>105</v>
      </c>
      <c r="F360" s="116">
        <v>0</v>
      </c>
      <c r="G360" s="91"/>
      <c r="H360" s="91"/>
      <c r="I360" s="91"/>
      <c r="J360" s="108">
        <v>46113</v>
      </c>
      <c r="K360" s="108">
        <v>46188</v>
      </c>
      <c r="L360" s="97">
        <v>54</v>
      </c>
      <c r="M360" s="108"/>
      <c r="N360" s="97" t="s">
        <v>28</v>
      </c>
      <c r="O360" s="97" t="s">
        <v>141</v>
      </c>
      <c r="P360" s="91"/>
      <c r="Q360" s="91"/>
      <c r="R360" t="str">
        <f t="shared" si="5"/>
        <v>ITSM♦Handle IT service order♦Implementation LIS♦L2♦CP</v>
      </c>
    </row>
    <row r="361" spans="1:18">
      <c r="A361" s="97" t="s">
        <v>39</v>
      </c>
      <c r="B361" s="97" t="s">
        <v>367</v>
      </c>
      <c r="C361" s="97" t="s">
        <v>29</v>
      </c>
      <c r="D361" s="97" t="s">
        <v>33</v>
      </c>
      <c r="E361" s="97" t="s">
        <v>105</v>
      </c>
      <c r="F361" s="116">
        <v>0</v>
      </c>
      <c r="G361" s="91"/>
      <c r="H361" s="91"/>
      <c r="I361" s="91"/>
      <c r="J361" s="108"/>
      <c r="K361" s="108"/>
      <c r="L361" s="97">
        <v>0</v>
      </c>
      <c r="M361" s="108"/>
      <c r="N361" s="91"/>
      <c r="O361" s="97" t="s">
        <v>141</v>
      </c>
      <c r="P361" s="91"/>
      <c r="Q361" s="91"/>
      <c r="R361" t="str">
        <f t="shared" si="5"/>
        <v>ITSM♦Handle IT service order♦Implementation COT♦L2♦CP</v>
      </c>
    </row>
    <row r="362" spans="1:18">
      <c r="A362" s="97" t="s">
        <v>39</v>
      </c>
      <c r="B362" s="97" t="s">
        <v>367</v>
      </c>
      <c r="C362" s="97" t="s">
        <v>30</v>
      </c>
      <c r="D362" s="97" t="s">
        <v>33</v>
      </c>
      <c r="E362" s="97" t="s">
        <v>105</v>
      </c>
      <c r="F362" s="116">
        <v>0</v>
      </c>
      <c r="G362" s="91"/>
      <c r="H362" s="91"/>
      <c r="I362" s="91"/>
      <c r="J362" s="108"/>
      <c r="K362" s="108"/>
      <c r="L362" s="97">
        <v>0</v>
      </c>
      <c r="M362" s="108"/>
      <c r="N362" s="91"/>
      <c r="O362" s="97" t="s">
        <v>141</v>
      </c>
      <c r="P362" s="91"/>
      <c r="Q362" s="91"/>
      <c r="R362" t="str">
        <f t="shared" si="5"/>
        <v>ITSM♦Handle IT service order♦Implementation LUS♦L2♦CP</v>
      </c>
    </row>
    <row r="363" spans="1:18">
      <c r="A363" s="94" t="s">
        <v>39</v>
      </c>
      <c r="B363" s="96" t="s">
        <v>368</v>
      </c>
      <c r="C363" s="96" t="s">
        <v>18</v>
      </c>
      <c r="D363" s="96" t="s">
        <v>19</v>
      </c>
      <c r="E363" s="96" t="s">
        <v>105</v>
      </c>
      <c r="F363" s="113">
        <v>0.17</v>
      </c>
      <c r="G363" s="95"/>
      <c r="H363" s="95"/>
      <c r="I363" s="95"/>
      <c r="J363" s="105">
        <v>45945</v>
      </c>
      <c r="K363" s="105">
        <v>46290</v>
      </c>
      <c r="L363" s="96">
        <v>248</v>
      </c>
      <c r="M363" s="105"/>
      <c r="N363" s="95"/>
      <c r="O363" s="96" t="s">
        <v>146</v>
      </c>
      <c r="P363" s="91"/>
      <c r="Q363" s="91"/>
      <c r="R363" t="str">
        <f t="shared" si="5"/>
        <v>ITSM♦Run IT service♦Total♦L1♦CP</v>
      </c>
    </row>
    <row r="364" spans="1:18" ht="45">
      <c r="A364" s="97" t="s">
        <v>39</v>
      </c>
      <c r="B364" s="98" t="s">
        <v>369</v>
      </c>
      <c r="C364" s="98" t="s">
        <v>22</v>
      </c>
      <c r="D364" s="98" t="s">
        <v>19</v>
      </c>
      <c r="E364" s="98" t="s">
        <v>105</v>
      </c>
      <c r="F364" s="114">
        <v>0</v>
      </c>
      <c r="G364" s="98" t="s">
        <v>535</v>
      </c>
      <c r="H364" s="97" t="s">
        <v>536</v>
      </c>
      <c r="I364" s="97" t="s">
        <v>139</v>
      </c>
      <c r="J364" s="106">
        <v>45946</v>
      </c>
      <c r="K364" s="106">
        <v>46203</v>
      </c>
      <c r="L364" s="98">
        <v>184</v>
      </c>
      <c r="M364" s="106"/>
      <c r="N364" s="98" t="s">
        <v>26</v>
      </c>
      <c r="O364" s="98" t="s">
        <v>146</v>
      </c>
      <c r="P364" s="91"/>
      <c r="Q364" s="91"/>
      <c r="R364" t="str">
        <f t="shared" si="5"/>
        <v>ITSM♦Run IT service♦Elaboration♦L1♦CP</v>
      </c>
    </row>
    <row r="365" spans="1:18">
      <c r="A365" s="97" t="s">
        <v>39</v>
      </c>
      <c r="B365" s="98" t="s">
        <v>369</v>
      </c>
      <c r="C365" s="98" t="s">
        <v>28</v>
      </c>
      <c r="D365" s="98" t="s">
        <v>19</v>
      </c>
      <c r="E365" s="98" t="s">
        <v>105</v>
      </c>
      <c r="F365" s="114">
        <v>0</v>
      </c>
      <c r="G365" s="95"/>
      <c r="H365" s="95"/>
      <c r="I365" s="95"/>
      <c r="J365" s="106"/>
      <c r="K365" s="106"/>
      <c r="L365" s="98">
        <v>0</v>
      </c>
      <c r="M365" s="106"/>
      <c r="N365" s="95"/>
      <c r="O365" s="98" t="s">
        <v>146</v>
      </c>
      <c r="P365" s="91"/>
      <c r="Q365" s="91"/>
      <c r="R365" t="str">
        <f t="shared" si="5"/>
        <v>ITSM♦Run IT service♦Implementation LIS♦L1♦CP</v>
      </c>
    </row>
    <row r="366" spans="1:18">
      <c r="A366" s="97" t="s">
        <v>39</v>
      </c>
      <c r="B366" s="98" t="s">
        <v>369</v>
      </c>
      <c r="C366" s="98" t="s">
        <v>29</v>
      </c>
      <c r="D366" s="98" t="s">
        <v>19</v>
      </c>
      <c r="E366" s="98" t="s">
        <v>105</v>
      </c>
      <c r="F366" s="114">
        <v>0</v>
      </c>
      <c r="G366" s="95"/>
      <c r="H366" s="95"/>
      <c r="I366" s="95"/>
      <c r="J366" s="106"/>
      <c r="K366" s="106"/>
      <c r="L366" s="98">
        <v>0</v>
      </c>
      <c r="M366" s="106"/>
      <c r="N366" s="95"/>
      <c r="O366" s="98" t="s">
        <v>146</v>
      </c>
      <c r="P366" s="91"/>
      <c r="Q366" s="91"/>
      <c r="R366" t="str">
        <f t="shared" si="5"/>
        <v>ITSM♦Run IT service♦Implementation COT♦L1♦CP</v>
      </c>
    </row>
    <row r="367" spans="1:18">
      <c r="A367" s="97" t="s">
        <v>39</v>
      </c>
      <c r="B367" s="98" t="s">
        <v>369</v>
      </c>
      <c r="C367" s="98" t="s">
        <v>30</v>
      </c>
      <c r="D367" s="98" t="s">
        <v>19</v>
      </c>
      <c r="E367" s="98" t="s">
        <v>105</v>
      </c>
      <c r="F367" s="114">
        <v>0</v>
      </c>
      <c r="G367" s="95"/>
      <c r="H367" s="95"/>
      <c r="I367" s="95"/>
      <c r="J367" s="106"/>
      <c r="K367" s="106"/>
      <c r="L367" s="98">
        <v>0</v>
      </c>
      <c r="M367" s="106"/>
      <c r="N367" s="95"/>
      <c r="O367" s="98" t="s">
        <v>146</v>
      </c>
      <c r="P367" s="91"/>
      <c r="Q367" s="91"/>
      <c r="R367" t="str">
        <f t="shared" si="5"/>
        <v>ITSM♦Run IT service♦Implementation LUS♦L1♦CP</v>
      </c>
    </row>
    <row r="368" spans="1:18">
      <c r="A368" s="94" t="s">
        <v>39</v>
      </c>
      <c r="B368" s="92" t="s">
        <v>537</v>
      </c>
      <c r="C368" s="92" t="s">
        <v>18</v>
      </c>
      <c r="D368" s="92" t="s">
        <v>33</v>
      </c>
      <c r="E368" s="92" t="s">
        <v>105</v>
      </c>
      <c r="F368" s="115">
        <v>0</v>
      </c>
      <c r="G368" s="91"/>
      <c r="H368" s="91"/>
      <c r="I368" s="91"/>
      <c r="J368" s="107"/>
      <c r="K368" s="107"/>
      <c r="L368" s="92">
        <v>0</v>
      </c>
      <c r="M368" s="107"/>
      <c r="N368" s="95"/>
      <c r="O368" s="96" t="s">
        <v>146</v>
      </c>
      <c r="P368" s="91"/>
      <c r="Q368" s="91"/>
      <c r="R368" t="str">
        <f t="shared" si="5"/>
        <v>ITSM♦Ensure IT service continuity♦Total♦L2♦CP</v>
      </c>
    </row>
    <row r="369" spans="1:18" ht="30">
      <c r="A369" s="97" t="s">
        <v>39</v>
      </c>
      <c r="B369" s="97" t="s">
        <v>371</v>
      </c>
      <c r="C369" s="97" t="s">
        <v>22</v>
      </c>
      <c r="D369" s="97" t="s">
        <v>33</v>
      </c>
      <c r="E369" s="97" t="s">
        <v>105</v>
      </c>
      <c r="F369" s="116">
        <v>0</v>
      </c>
      <c r="G369" s="97" t="s">
        <v>147</v>
      </c>
      <c r="H369" s="97" t="s">
        <v>539</v>
      </c>
      <c r="I369" s="97" t="s">
        <v>139</v>
      </c>
      <c r="J369" s="108"/>
      <c r="K369" s="108"/>
      <c r="L369" s="97">
        <v>0</v>
      </c>
      <c r="M369" s="108"/>
      <c r="N369" s="95"/>
      <c r="O369" s="98" t="s">
        <v>146</v>
      </c>
      <c r="P369" s="91"/>
      <c r="Q369" s="91"/>
      <c r="R369" t="str">
        <f t="shared" si="5"/>
        <v>ITSM♦Ensure IT service continuity♦Elaboration♦L2♦CP</v>
      </c>
    </row>
    <row r="370" spans="1:18">
      <c r="A370" s="97" t="s">
        <v>39</v>
      </c>
      <c r="B370" s="97" t="s">
        <v>371</v>
      </c>
      <c r="C370" s="97" t="s">
        <v>28</v>
      </c>
      <c r="D370" s="97" t="s">
        <v>33</v>
      </c>
      <c r="E370" s="97" t="s">
        <v>105</v>
      </c>
      <c r="F370" s="116">
        <v>0</v>
      </c>
      <c r="G370" s="91"/>
      <c r="H370" s="91"/>
      <c r="I370" s="91"/>
      <c r="J370" s="108"/>
      <c r="K370" s="108"/>
      <c r="L370" s="97">
        <v>0</v>
      </c>
      <c r="M370" s="108"/>
      <c r="N370" s="95"/>
      <c r="O370" s="98" t="s">
        <v>146</v>
      </c>
      <c r="P370" s="91"/>
      <c r="Q370" s="91"/>
      <c r="R370" t="str">
        <f t="shared" si="5"/>
        <v>ITSM♦Ensure IT service continuity♦Implementation LIS♦L2♦CP</v>
      </c>
    </row>
    <row r="371" spans="1:18">
      <c r="A371" s="97" t="s">
        <v>39</v>
      </c>
      <c r="B371" s="97" t="s">
        <v>371</v>
      </c>
      <c r="C371" s="97" t="s">
        <v>29</v>
      </c>
      <c r="D371" s="97" t="s">
        <v>33</v>
      </c>
      <c r="E371" s="97" t="s">
        <v>105</v>
      </c>
      <c r="F371" s="116">
        <v>0</v>
      </c>
      <c r="G371" s="91"/>
      <c r="H371" s="91"/>
      <c r="I371" s="91"/>
      <c r="J371" s="108"/>
      <c r="K371" s="108"/>
      <c r="L371" s="97">
        <v>0</v>
      </c>
      <c r="M371" s="108"/>
      <c r="N371" s="95"/>
      <c r="O371" s="98" t="s">
        <v>146</v>
      </c>
      <c r="P371" s="91"/>
      <c r="Q371" s="91"/>
      <c r="R371" t="str">
        <f t="shared" si="5"/>
        <v>ITSM♦Ensure IT service continuity♦Implementation COT♦L2♦CP</v>
      </c>
    </row>
    <row r="372" spans="1:18">
      <c r="A372" s="97" t="s">
        <v>39</v>
      </c>
      <c r="B372" s="97" t="s">
        <v>371</v>
      </c>
      <c r="C372" s="97" t="s">
        <v>30</v>
      </c>
      <c r="D372" s="97" t="s">
        <v>33</v>
      </c>
      <c r="E372" s="97" t="s">
        <v>105</v>
      </c>
      <c r="F372" s="116">
        <v>0</v>
      </c>
      <c r="G372" s="91"/>
      <c r="H372" s="91"/>
      <c r="I372" s="91"/>
      <c r="J372" s="108"/>
      <c r="K372" s="108"/>
      <c r="L372" s="97">
        <v>0</v>
      </c>
      <c r="M372" s="108"/>
      <c r="N372" s="95"/>
      <c r="O372" s="98" t="s">
        <v>146</v>
      </c>
      <c r="P372" s="91"/>
      <c r="Q372" s="91"/>
      <c r="R372" t="str">
        <f t="shared" si="5"/>
        <v>ITSM♦Ensure IT service continuity♦Implementation LUS♦L2♦CP</v>
      </c>
    </row>
    <row r="373" spans="1:18">
      <c r="A373" s="94" t="s">
        <v>39</v>
      </c>
      <c r="B373" s="92" t="s">
        <v>373</v>
      </c>
      <c r="C373" s="92" t="s">
        <v>18</v>
      </c>
      <c r="D373" s="92" t="s">
        <v>58</v>
      </c>
      <c r="E373" s="92" t="s">
        <v>105</v>
      </c>
      <c r="F373" s="115">
        <v>0</v>
      </c>
      <c r="G373" s="91"/>
      <c r="H373" s="91"/>
      <c r="I373" s="91"/>
      <c r="J373" s="107"/>
      <c r="K373" s="107"/>
      <c r="L373" s="92">
        <v>0</v>
      </c>
      <c r="M373" s="107"/>
      <c r="N373" s="91"/>
      <c r="O373" s="92" t="s">
        <v>146</v>
      </c>
      <c r="P373" s="91"/>
      <c r="Q373" s="91"/>
      <c r="R373" t="str">
        <f t="shared" si="5"/>
        <v>ITSM♦Manage IT service capacity♦Total♦L3♦CP</v>
      </c>
    </row>
    <row r="374" spans="1:18" ht="30">
      <c r="A374" s="97" t="s">
        <v>39</v>
      </c>
      <c r="B374" s="97" t="s">
        <v>374</v>
      </c>
      <c r="C374" s="97" t="s">
        <v>22</v>
      </c>
      <c r="D374" s="97" t="s">
        <v>58</v>
      </c>
      <c r="E374" s="97" t="s">
        <v>105</v>
      </c>
      <c r="F374" s="116">
        <v>0</v>
      </c>
      <c r="G374" s="97" t="s">
        <v>147</v>
      </c>
      <c r="H374" s="97" t="s">
        <v>539</v>
      </c>
      <c r="I374" s="97" t="s">
        <v>139</v>
      </c>
      <c r="J374" s="108"/>
      <c r="K374" s="108"/>
      <c r="L374" s="97">
        <v>0</v>
      </c>
      <c r="M374" s="108"/>
      <c r="N374" s="91"/>
      <c r="O374" s="97" t="s">
        <v>146</v>
      </c>
      <c r="P374" s="91"/>
      <c r="Q374" s="91"/>
      <c r="R374" t="str">
        <f t="shared" si="5"/>
        <v>ITSM♦Manage IT service capacity♦Elaboration♦L3♦CP</v>
      </c>
    </row>
    <row r="375" spans="1:18">
      <c r="A375" s="97" t="s">
        <v>39</v>
      </c>
      <c r="B375" s="97" t="s">
        <v>374</v>
      </c>
      <c r="C375" s="97" t="s">
        <v>28</v>
      </c>
      <c r="D375" s="97" t="s">
        <v>58</v>
      </c>
      <c r="E375" s="97" t="s">
        <v>105</v>
      </c>
      <c r="F375" s="116">
        <v>0</v>
      </c>
      <c r="G375" s="91"/>
      <c r="H375" s="91"/>
      <c r="I375" s="91"/>
      <c r="J375" s="108"/>
      <c r="K375" s="108"/>
      <c r="L375" s="97">
        <v>0</v>
      </c>
      <c r="M375" s="108"/>
      <c r="N375" s="91"/>
      <c r="O375" s="97" t="s">
        <v>146</v>
      </c>
      <c r="P375" s="91"/>
      <c r="Q375" s="91"/>
      <c r="R375" t="str">
        <f t="shared" si="5"/>
        <v>ITSM♦Manage IT service capacity♦Implementation LIS♦L3♦CP</v>
      </c>
    </row>
    <row r="376" spans="1:18">
      <c r="A376" s="97" t="s">
        <v>39</v>
      </c>
      <c r="B376" s="97" t="s">
        <v>374</v>
      </c>
      <c r="C376" s="97" t="s">
        <v>29</v>
      </c>
      <c r="D376" s="97" t="s">
        <v>58</v>
      </c>
      <c r="E376" s="97" t="s">
        <v>105</v>
      </c>
      <c r="F376" s="116">
        <v>0</v>
      </c>
      <c r="G376" s="91"/>
      <c r="H376" s="91"/>
      <c r="I376" s="91"/>
      <c r="J376" s="108"/>
      <c r="K376" s="108"/>
      <c r="L376" s="97">
        <v>0</v>
      </c>
      <c r="M376" s="108"/>
      <c r="N376" s="91"/>
      <c r="O376" s="97" t="s">
        <v>146</v>
      </c>
      <c r="P376" s="91"/>
      <c r="Q376" s="91"/>
      <c r="R376" t="str">
        <f t="shared" si="5"/>
        <v>ITSM♦Manage IT service capacity♦Implementation COT♦L3♦CP</v>
      </c>
    </row>
    <row r="377" spans="1:18">
      <c r="A377" s="97" t="s">
        <v>39</v>
      </c>
      <c r="B377" s="97" t="s">
        <v>374</v>
      </c>
      <c r="C377" s="97" t="s">
        <v>30</v>
      </c>
      <c r="D377" s="97" t="s">
        <v>58</v>
      </c>
      <c r="E377" s="97" t="s">
        <v>105</v>
      </c>
      <c r="F377" s="116">
        <v>0</v>
      </c>
      <c r="G377" s="91"/>
      <c r="H377" s="91"/>
      <c r="I377" s="91"/>
      <c r="J377" s="108"/>
      <c r="K377" s="108"/>
      <c r="L377" s="97">
        <v>0</v>
      </c>
      <c r="M377" s="108"/>
      <c r="N377" s="91"/>
      <c r="O377" s="97" t="s">
        <v>146</v>
      </c>
      <c r="P377" s="91"/>
      <c r="Q377" s="91"/>
      <c r="R377" t="str">
        <f t="shared" si="5"/>
        <v>ITSM♦Manage IT service capacity♦Implementation LUS♦L3♦CP</v>
      </c>
    </row>
    <row r="378" spans="1:18" ht="30">
      <c r="A378" s="94" t="s">
        <v>39</v>
      </c>
      <c r="B378" s="92" t="s">
        <v>375</v>
      </c>
      <c r="C378" s="92" t="s">
        <v>18</v>
      </c>
      <c r="D378" s="92" t="s">
        <v>58</v>
      </c>
      <c r="E378" s="92" t="s">
        <v>105</v>
      </c>
      <c r="F378" s="115">
        <v>0</v>
      </c>
      <c r="G378" s="91"/>
      <c r="H378" s="91"/>
      <c r="I378" s="91"/>
      <c r="J378" s="107"/>
      <c r="K378" s="107"/>
      <c r="L378" s="92">
        <v>0</v>
      </c>
      <c r="M378" s="107"/>
      <c r="N378" s="91"/>
      <c r="O378" s="92" t="s">
        <v>146</v>
      </c>
      <c r="P378" s="91"/>
      <c r="Q378" s="91"/>
      <c r="R378" t="str">
        <f t="shared" si="5"/>
        <v>ITSM♦Review and maintain IT service continuity plan♦Total♦L3♦CP</v>
      </c>
    </row>
    <row r="379" spans="1:18" ht="30">
      <c r="A379" s="97" t="s">
        <v>39</v>
      </c>
      <c r="B379" s="97" t="s">
        <v>376</v>
      </c>
      <c r="C379" s="97" t="s">
        <v>22</v>
      </c>
      <c r="D379" s="97" t="s">
        <v>58</v>
      </c>
      <c r="E379" s="97" t="s">
        <v>105</v>
      </c>
      <c r="F379" s="116">
        <v>0</v>
      </c>
      <c r="G379" s="97" t="s">
        <v>147</v>
      </c>
      <c r="H379" s="97" t="s">
        <v>539</v>
      </c>
      <c r="I379" s="97" t="s">
        <v>139</v>
      </c>
      <c r="J379" s="108"/>
      <c r="K379" s="108"/>
      <c r="L379" s="97">
        <v>0</v>
      </c>
      <c r="M379" s="108"/>
      <c r="N379" s="91"/>
      <c r="O379" s="97" t="s">
        <v>146</v>
      </c>
      <c r="P379" s="91"/>
      <c r="Q379" s="91"/>
      <c r="R379" t="str">
        <f t="shared" si="5"/>
        <v>ITSM♦Review and maintain IT service continuity plan♦Elaboration♦L3♦CP</v>
      </c>
    </row>
    <row r="380" spans="1:18" ht="30">
      <c r="A380" s="97" t="s">
        <v>39</v>
      </c>
      <c r="B380" s="97" t="s">
        <v>376</v>
      </c>
      <c r="C380" s="97" t="s">
        <v>28</v>
      </c>
      <c r="D380" s="97" t="s">
        <v>58</v>
      </c>
      <c r="E380" s="97" t="s">
        <v>105</v>
      </c>
      <c r="F380" s="116">
        <v>0</v>
      </c>
      <c r="G380" s="91"/>
      <c r="H380" s="91"/>
      <c r="I380" s="91"/>
      <c r="J380" s="108"/>
      <c r="K380" s="108"/>
      <c r="L380" s="97">
        <v>0</v>
      </c>
      <c r="M380" s="108"/>
      <c r="N380" s="91"/>
      <c r="O380" s="97" t="s">
        <v>146</v>
      </c>
      <c r="P380" s="91"/>
      <c r="Q380" s="91"/>
      <c r="R380" t="str">
        <f t="shared" si="5"/>
        <v>ITSM♦Review and maintain IT service continuity plan♦Implementation LIS♦L3♦CP</v>
      </c>
    </row>
    <row r="381" spans="1:18" ht="30">
      <c r="A381" s="97" t="s">
        <v>39</v>
      </c>
      <c r="B381" s="97" t="s">
        <v>376</v>
      </c>
      <c r="C381" s="97" t="s">
        <v>29</v>
      </c>
      <c r="D381" s="97" t="s">
        <v>58</v>
      </c>
      <c r="E381" s="97" t="s">
        <v>105</v>
      </c>
      <c r="F381" s="116">
        <v>0</v>
      </c>
      <c r="G381" s="91"/>
      <c r="H381" s="91"/>
      <c r="I381" s="91"/>
      <c r="J381" s="108"/>
      <c r="K381" s="108"/>
      <c r="L381" s="97">
        <v>0</v>
      </c>
      <c r="M381" s="108"/>
      <c r="N381" s="91"/>
      <c r="O381" s="97" t="s">
        <v>146</v>
      </c>
      <c r="P381" s="91"/>
      <c r="Q381" s="91"/>
      <c r="R381" t="str">
        <f t="shared" si="5"/>
        <v>ITSM♦Review and maintain IT service continuity plan♦Implementation COT♦L3♦CP</v>
      </c>
    </row>
    <row r="382" spans="1:18" ht="30">
      <c r="A382" s="97" t="s">
        <v>39</v>
      </c>
      <c r="B382" s="97" t="s">
        <v>376</v>
      </c>
      <c r="C382" s="97" t="s">
        <v>30</v>
      </c>
      <c r="D382" s="97" t="s">
        <v>58</v>
      </c>
      <c r="E382" s="97" t="s">
        <v>105</v>
      </c>
      <c r="F382" s="116">
        <v>0</v>
      </c>
      <c r="G382" s="91"/>
      <c r="H382" s="91"/>
      <c r="I382" s="91"/>
      <c r="J382" s="108"/>
      <c r="K382" s="108"/>
      <c r="L382" s="97">
        <v>0</v>
      </c>
      <c r="M382" s="108"/>
      <c r="N382" s="91"/>
      <c r="O382" s="97" t="s">
        <v>146</v>
      </c>
      <c r="P382" s="91"/>
      <c r="Q382" s="91"/>
      <c r="R382" t="str">
        <f t="shared" si="5"/>
        <v>ITSM♦Review and maintain IT service continuity plan♦Implementation LUS♦L3♦CP</v>
      </c>
    </row>
    <row r="383" spans="1:18" ht="30">
      <c r="A383" s="94" t="s">
        <v>39</v>
      </c>
      <c r="B383" s="92" t="s">
        <v>540</v>
      </c>
      <c r="C383" s="92" t="s">
        <v>18</v>
      </c>
      <c r="D383" s="92" t="s">
        <v>33</v>
      </c>
      <c r="E383" s="92" t="s">
        <v>105</v>
      </c>
      <c r="F383" s="115">
        <v>0</v>
      </c>
      <c r="G383" s="91"/>
      <c r="H383" s="91"/>
      <c r="I383" s="91"/>
      <c r="J383" s="107">
        <v>46127</v>
      </c>
      <c r="K383" s="107"/>
      <c r="L383" s="92">
        <v>0</v>
      </c>
      <c r="M383" s="107"/>
      <c r="N383" s="91"/>
      <c r="O383" s="92" t="s">
        <v>146</v>
      </c>
      <c r="P383" s="91"/>
      <c r="Q383" s="91"/>
      <c r="R383" t="str">
        <f t="shared" si="5"/>
        <v>ITSM♦Monitor and report IT service performance♦Total♦L2♦CP</v>
      </c>
    </row>
    <row r="384" spans="1:18" ht="30">
      <c r="A384" s="97" t="s">
        <v>39</v>
      </c>
      <c r="B384" s="97" t="s">
        <v>378</v>
      </c>
      <c r="C384" s="97" t="s">
        <v>22</v>
      </c>
      <c r="D384" s="97" t="s">
        <v>33</v>
      </c>
      <c r="E384" s="97" t="s">
        <v>105</v>
      </c>
      <c r="F384" s="116">
        <v>0</v>
      </c>
      <c r="G384" s="97" t="s">
        <v>147</v>
      </c>
      <c r="H384" s="97" t="s">
        <v>542</v>
      </c>
      <c r="I384" s="97" t="s">
        <v>139</v>
      </c>
      <c r="J384" s="108"/>
      <c r="K384" s="108"/>
      <c r="L384" s="97">
        <v>0</v>
      </c>
      <c r="M384" s="108"/>
      <c r="N384" s="91"/>
      <c r="O384" s="97" t="s">
        <v>146</v>
      </c>
      <c r="P384" s="103" t="s">
        <v>615</v>
      </c>
      <c r="Q384" s="91"/>
      <c r="R384" t="str">
        <f t="shared" si="5"/>
        <v>ITSM♦Montior and report IT service performance♦Elaboration♦L2♦CP</v>
      </c>
    </row>
    <row r="385" spans="1:18" ht="30">
      <c r="A385" s="97" t="s">
        <v>39</v>
      </c>
      <c r="B385" s="97" t="s">
        <v>378</v>
      </c>
      <c r="C385" s="97" t="s">
        <v>28</v>
      </c>
      <c r="D385" s="97" t="s">
        <v>33</v>
      </c>
      <c r="E385" s="97" t="s">
        <v>105</v>
      </c>
      <c r="F385" s="116">
        <v>0</v>
      </c>
      <c r="G385" s="91"/>
      <c r="H385" s="91"/>
      <c r="I385" s="91"/>
      <c r="J385" s="108"/>
      <c r="K385" s="108"/>
      <c r="L385" s="97">
        <v>0</v>
      </c>
      <c r="M385" s="108"/>
      <c r="N385" s="91"/>
      <c r="O385" s="97" t="s">
        <v>146</v>
      </c>
      <c r="P385" s="103" t="s">
        <v>615</v>
      </c>
      <c r="Q385" s="91"/>
      <c r="R385" t="str">
        <f t="shared" si="5"/>
        <v>ITSM♦Montior and report IT service performance♦Implementation LIS♦L2♦CP</v>
      </c>
    </row>
    <row r="386" spans="1:18" ht="30">
      <c r="A386" s="97" t="s">
        <v>39</v>
      </c>
      <c r="B386" s="97" t="s">
        <v>378</v>
      </c>
      <c r="C386" s="97" t="s">
        <v>29</v>
      </c>
      <c r="D386" s="97" t="s">
        <v>33</v>
      </c>
      <c r="E386" s="97" t="s">
        <v>105</v>
      </c>
      <c r="F386" s="116">
        <v>0</v>
      </c>
      <c r="G386" s="91"/>
      <c r="H386" s="91"/>
      <c r="I386" s="91"/>
      <c r="J386" s="108"/>
      <c r="K386" s="108"/>
      <c r="L386" s="97">
        <v>0</v>
      </c>
      <c r="M386" s="108"/>
      <c r="N386" s="91"/>
      <c r="O386" s="97" t="s">
        <v>146</v>
      </c>
      <c r="P386" s="102"/>
      <c r="Q386" s="91"/>
      <c r="R386" t="str">
        <f t="shared" ref="R386:R449" si="6">TRIM(A386)&amp;"♦"&amp;TRIM(B386)&amp;"♦"&amp;TRIM(C386)&amp;"♦"&amp;TRIM(D386)&amp;"♦"&amp;TRIM(E386)</f>
        <v>ITSM♦Montior and report IT service performance♦Implementation COT♦L2♦CP</v>
      </c>
    </row>
    <row r="387" spans="1:18" ht="30">
      <c r="A387" s="97" t="s">
        <v>39</v>
      </c>
      <c r="B387" s="97" t="s">
        <v>378</v>
      </c>
      <c r="C387" s="97" t="s">
        <v>30</v>
      </c>
      <c r="D387" s="97" t="s">
        <v>33</v>
      </c>
      <c r="E387" s="97" t="s">
        <v>105</v>
      </c>
      <c r="F387" s="116">
        <v>0</v>
      </c>
      <c r="G387" s="91"/>
      <c r="H387" s="91"/>
      <c r="I387" s="91"/>
      <c r="J387" s="108"/>
      <c r="K387" s="108"/>
      <c r="L387" s="97">
        <v>0</v>
      </c>
      <c r="M387" s="108"/>
      <c r="N387" s="91"/>
      <c r="O387" s="97" t="s">
        <v>146</v>
      </c>
      <c r="P387" s="102"/>
      <c r="Q387" s="91"/>
      <c r="R387" t="str">
        <f t="shared" si="6"/>
        <v>ITSM♦Montior and report IT service performance♦Implementation LUS♦L2♦CP</v>
      </c>
    </row>
    <row r="388" spans="1:18" ht="30">
      <c r="A388" s="94" t="s">
        <v>39</v>
      </c>
      <c r="B388" s="92" t="s">
        <v>379</v>
      </c>
      <c r="C388" s="92" t="s">
        <v>18</v>
      </c>
      <c r="D388" s="92" t="s">
        <v>58</v>
      </c>
      <c r="E388" s="92" t="s">
        <v>105</v>
      </c>
      <c r="F388" s="115">
        <v>0</v>
      </c>
      <c r="G388" s="91"/>
      <c r="H388" s="91"/>
      <c r="I388" s="91"/>
      <c r="J388" s="107"/>
      <c r="K388" s="107"/>
      <c r="L388" s="92">
        <v>0</v>
      </c>
      <c r="M388" s="107"/>
      <c r="N388" s="91"/>
      <c r="O388" s="92" t="s">
        <v>146</v>
      </c>
      <c r="P388" s="91"/>
      <c r="Q388" s="91"/>
      <c r="R388" t="str">
        <f t="shared" si="6"/>
        <v>ITSM♦Monitor and report IT service level♦Total♦L3♦CP</v>
      </c>
    </row>
    <row r="389" spans="1:18" ht="30">
      <c r="A389" s="97" t="s">
        <v>39</v>
      </c>
      <c r="B389" s="97" t="s">
        <v>380</v>
      </c>
      <c r="C389" s="97" t="s">
        <v>22</v>
      </c>
      <c r="D389" s="97" t="s">
        <v>58</v>
      </c>
      <c r="E389" s="97" t="s">
        <v>105</v>
      </c>
      <c r="F389" s="116">
        <v>0</v>
      </c>
      <c r="G389" s="97" t="s">
        <v>147</v>
      </c>
      <c r="H389" s="97" t="s">
        <v>542</v>
      </c>
      <c r="I389" s="97" t="s">
        <v>139</v>
      </c>
      <c r="J389" s="108"/>
      <c r="K389" s="108"/>
      <c r="L389" s="97">
        <v>0</v>
      </c>
      <c r="M389" s="108"/>
      <c r="N389" s="91"/>
      <c r="O389" s="97" t="s">
        <v>146</v>
      </c>
      <c r="P389" s="91"/>
      <c r="Q389" s="91"/>
      <c r="R389" t="str">
        <f t="shared" si="6"/>
        <v>ITSM♦Monitor and report IT service level♦Elaboration♦L3♦CP</v>
      </c>
    </row>
    <row r="390" spans="1:18" ht="30">
      <c r="A390" s="97" t="s">
        <v>39</v>
      </c>
      <c r="B390" s="97" t="s">
        <v>380</v>
      </c>
      <c r="C390" s="97" t="s">
        <v>28</v>
      </c>
      <c r="D390" s="97" t="s">
        <v>58</v>
      </c>
      <c r="E390" s="97" t="s">
        <v>105</v>
      </c>
      <c r="F390" s="116">
        <v>0</v>
      </c>
      <c r="G390" s="91"/>
      <c r="H390" s="91"/>
      <c r="I390" s="91"/>
      <c r="J390" s="108"/>
      <c r="K390" s="108"/>
      <c r="L390" s="97">
        <v>0</v>
      </c>
      <c r="M390" s="108"/>
      <c r="N390" s="91"/>
      <c r="O390" s="97" t="s">
        <v>146</v>
      </c>
      <c r="P390" s="91"/>
      <c r="Q390" s="91"/>
      <c r="R390" t="str">
        <f t="shared" si="6"/>
        <v>ITSM♦Monitor and report IT service level♦Implementation LIS♦L3♦CP</v>
      </c>
    </row>
    <row r="391" spans="1:18" ht="30">
      <c r="A391" s="97" t="s">
        <v>39</v>
      </c>
      <c r="B391" s="97" t="s">
        <v>380</v>
      </c>
      <c r="C391" s="97" t="s">
        <v>29</v>
      </c>
      <c r="D391" s="97" t="s">
        <v>58</v>
      </c>
      <c r="E391" s="97" t="s">
        <v>105</v>
      </c>
      <c r="F391" s="116">
        <v>0</v>
      </c>
      <c r="G391" s="91"/>
      <c r="H391" s="91"/>
      <c r="I391" s="91"/>
      <c r="J391" s="108"/>
      <c r="K391" s="108"/>
      <c r="L391" s="97">
        <v>0</v>
      </c>
      <c r="M391" s="108"/>
      <c r="N391" s="91"/>
      <c r="O391" s="97" t="s">
        <v>146</v>
      </c>
      <c r="P391" s="91"/>
      <c r="Q391" s="91"/>
      <c r="R391" t="str">
        <f t="shared" si="6"/>
        <v>ITSM♦Monitor and report IT service level♦Implementation COT♦L3♦CP</v>
      </c>
    </row>
    <row r="392" spans="1:18" ht="30">
      <c r="A392" s="97" t="s">
        <v>39</v>
      </c>
      <c r="B392" s="97" t="s">
        <v>380</v>
      </c>
      <c r="C392" s="97" t="s">
        <v>30</v>
      </c>
      <c r="D392" s="97" t="s">
        <v>58</v>
      </c>
      <c r="E392" s="97" t="s">
        <v>105</v>
      </c>
      <c r="F392" s="116">
        <v>0</v>
      </c>
      <c r="G392" s="91"/>
      <c r="H392" s="91"/>
      <c r="I392" s="91"/>
      <c r="J392" s="108"/>
      <c r="K392" s="108"/>
      <c r="L392" s="97">
        <v>0</v>
      </c>
      <c r="M392" s="108"/>
      <c r="N392" s="91"/>
      <c r="O392" s="97" t="s">
        <v>146</v>
      </c>
      <c r="P392" s="91"/>
      <c r="Q392" s="91"/>
      <c r="R392" t="str">
        <f t="shared" si="6"/>
        <v>ITSM♦Monitor and report IT service level♦Implementation LUS♦L3♦CP</v>
      </c>
    </row>
    <row r="393" spans="1:18" ht="30">
      <c r="A393" s="92" t="s">
        <v>39</v>
      </c>
      <c r="B393" s="92" t="s">
        <v>543</v>
      </c>
      <c r="C393" s="92" t="s">
        <v>18</v>
      </c>
      <c r="D393" s="92" t="s">
        <v>58</v>
      </c>
      <c r="E393" s="92" t="s">
        <v>105</v>
      </c>
      <c r="F393" s="115">
        <v>0</v>
      </c>
      <c r="G393" s="91"/>
      <c r="H393" s="91"/>
      <c r="I393" s="91"/>
      <c r="J393" s="107"/>
      <c r="K393" s="107"/>
      <c r="L393" s="92">
        <v>0</v>
      </c>
      <c r="M393" s="107"/>
      <c r="N393" s="91"/>
      <c r="O393" s="92" t="s">
        <v>146</v>
      </c>
      <c r="P393" s="91"/>
      <c r="Q393" s="91"/>
      <c r="R393" t="str">
        <f t="shared" si="6"/>
        <v>ITSM♦Monitor and report IT service financials♦Total♦L3♦CP</v>
      </c>
    </row>
    <row r="394" spans="1:18" ht="30">
      <c r="A394" s="97" t="s">
        <v>39</v>
      </c>
      <c r="B394" s="97" t="s">
        <v>544</v>
      </c>
      <c r="C394" s="97" t="s">
        <v>22</v>
      </c>
      <c r="D394" s="97" t="s">
        <v>58</v>
      </c>
      <c r="E394" s="97" t="s">
        <v>105</v>
      </c>
      <c r="F394" s="116">
        <v>0</v>
      </c>
      <c r="G394" s="97" t="s">
        <v>147</v>
      </c>
      <c r="H394" s="97" t="s">
        <v>542</v>
      </c>
      <c r="I394" s="97" t="s">
        <v>139</v>
      </c>
      <c r="J394" s="108"/>
      <c r="K394" s="108"/>
      <c r="L394" s="97">
        <v>0</v>
      </c>
      <c r="M394" s="108"/>
      <c r="N394" s="91"/>
      <c r="O394" s="97" t="s">
        <v>146</v>
      </c>
      <c r="P394" s="91"/>
      <c r="Q394" s="91"/>
      <c r="R394" t="str">
        <f t="shared" si="6"/>
        <v>ITSM♦Monitor and report IT service financials♦Elaboration♦L3♦CP</v>
      </c>
    </row>
    <row r="395" spans="1:18" ht="30">
      <c r="A395" s="97" t="s">
        <v>39</v>
      </c>
      <c r="B395" s="97" t="s">
        <v>544</v>
      </c>
      <c r="C395" s="97" t="s">
        <v>28</v>
      </c>
      <c r="D395" s="97" t="s">
        <v>58</v>
      </c>
      <c r="E395" s="97" t="s">
        <v>105</v>
      </c>
      <c r="F395" s="116">
        <v>0</v>
      </c>
      <c r="G395" s="91"/>
      <c r="H395" s="91"/>
      <c r="I395" s="91"/>
      <c r="J395" s="108"/>
      <c r="K395" s="108"/>
      <c r="L395" s="97">
        <v>0</v>
      </c>
      <c r="M395" s="108"/>
      <c r="N395" s="91"/>
      <c r="O395" s="97" t="s">
        <v>146</v>
      </c>
      <c r="P395" s="91"/>
      <c r="Q395" s="91"/>
      <c r="R395" t="str">
        <f t="shared" si="6"/>
        <v>ITSM♦Monitor and report IT service financials♦Implementation LIS♦L3♦CP</v>
      </c>
    </row>
    <row r="396" spans="1:18" ht="30">
      <c r="A396" s="97" t="s">
        <v>39</v>
      </c>
      <c r="B396" s="97" t="s">
        <v>544</v>
      </c>
      <c r="C396" s="97" t="s">
        <v>29</v>
      </c>
      <c r="D396" s="97" t="s">
        <v>58</v>
      </c>
      <c r="E396" s="97" t="s">
        <v>105</v>
      </c>
      <c r="F396" s="116">
        <v>0</v>
      </c>
      <c r="G396" s="91"/>
      <c r="H396" s="91"/>
      <c r="I396" s="91"/>
      <c r="J396" s="108"/>
      <c r="K396" s="108"/>
      <c r="L396" s="97">
        <v>0</v>
      </c>
      <c r="M396" s="108"/>
      <c r="N396" s="91"/>
      <c r="O396" s="97" t="s">
        <v>146</v>
      </c>
      <c r="P396" s="91"/>
      <c r="Q396" s="91"/>
      <c r="R396" t="str">
        <f t="shared" si="6"/>
        <v>ITSM♦Monitor and report IT service financials♦Implementation COT♦L3♦CP</v>
      </c>
    </row>
    <row r="397" spans="1:18" ht="30">
      <c r="A397" s="97" t="s">
        <v>39</v>
      </c>
      <c r="B397" s="97" t="s">
        <v>544</v>
      </c>
      <c r="C397" s="97" t="s">
        <v>30</v>
      </c>
      <c r="D397" s="97" t="s">
        <v>58</v>
      </c>
      <c r="E397" s="97" t="s">
        <v>105</v>
      </c>
      <c r="F397" s="116">
        <v>0</v>
      </c>
      <c r="G397" s="91"/>
      <c r="H397" s="91"/>
      <c r="I397" s="91"/>
      <c r="J397" s="108"/>
      <c r="K397" s="108"/>
      <c r="L397" s="97">
        <v>0</v>
      </c>
      <c r="M397" s="108"/>
      <c r="N397" s="91"/>
      <c r="O397" s="97" t="s">
        <v>146</v>
      </c>
      <c r="P397" s="91"/>
      <c r="Q397" s="91"/>
      <c r="R397" t="str">
        <f t="shared" si="6"/>
        <v>ITSM♦Monitor and report IT service financials♦Implementation LUS♦L3♦CP</v>
      </c>
    </row>
    <row r="398" spans="1:18">
      <c r="A398" s="92" t="s">
        <v>39</v>
      </c>
      <c r="B398" s="92" t="s">
        <v>545</v>
      </c>
      <c r="C398" s="92" t="s">
        <v>18</v>
      </c>
      <c r="D398" s="92" t="s">
        <v>58</v>
      </c>
      <c r="E398" s="92" t="s">
        <v>105</v>
      </c>
      <c r="F398" s="115">
        <v>0</v>
      </c>
      <c r="G398" s="91"/>
      <c r="H398" s="91"/>
      <c r="I398" s="91"/>
      <c r="J398" s="107"/>
      <c r="K398" s="107"/>
      <c r="L398" s="92">
        <v>0</v>
      </c>
      <c r="M398" s="107"/>
      <c r="N398" s="91"/>
      <c r="O398" s="92" t="s">
        <v>146</v>
      </c>
      <c r="P398" s="91"/>
      <c r="Q398" s="91"/>
      <c r="R398" t="str">
        <f t="shared" si="6"/>
        <v>ITSM♦Monitor and analyse events♦Total♦L3♦CP</v>
      </c>
    </row>
    <row r="399" spans="1:18" ht="30">
      <c r="A399" s="97" t="s">
        <v>39</v>
      </c>
      <c r="B399" s="97" t="s">
        <v>546</v>
      </c>
      <c r="C399" s="97" t="s">
        <v>22</v>
      </c>
      <c r="D399" s="97" t="s">
        <v>58</v>
      </c>
      <c r="E399" s="97" t="s">
        <v>105</v>
      </c>
      <c r="F399" s="116">
        <v>0</v>
      </c>
      <c r="G399" s="97" t="s">
        <v>147</v>
      </c>
      <c r="H399" s="97" t="s">
        <v>542</v>
      </c>
      <c r="I399" s="97" t="s">
        <v>139</v>
      </c>
      <c r="J399" s="108"/>
      <c r="K399" s="108"/>
      <c r="L399" s="97">
        <v>0</v>
      </c>
      <c r="M399" s="108"/>
      <c r="N399" s="91"/>
      <c r="O399" s="97" t="s">
        <v>146</v>
      </c>
      <c r="P399" s="91"/>
      <c r="Q399" s="91"/>
      <c r="R399" t="str">
        <f t="shared" si="6"/>
        <v>ITSM♦Monitor and analyse events♦Elaboration♦L3♦CP</v>
      </c>
    </row>
    <row r="400" spans="1:18">
      <c r="A400" s="97" t="s">
        <v>39</v>
      </c>
      <c r="B400" s="97" t="s">
        <v>546</v>
      </c>
      <c r="C400" s="97" t="s">
        <v>28</v>
      </c>
      <c r="D400" s="97" t="s">
        <v>58</v>
      </c>
      <c r="E400" s="97" t="s">
        <v>105</v>
      </c>
      <c r="F400" s="116">
        <v>0</v>
      </c>
      <c r="G400" s="91"/>
      <c r="H400" s="91"/>
      <c r="I400" s="91"/>
      <c r="J400" s="108"/>
      <c r="K400" s="108"/>
      <c r="L400" s="97">
        <v>0</v>
      </c>
      <c r="M400" s="108"/>
      <c r="N400" s="91"/>
      <c r="O400" s="97" t="s">
        <v>146</v>
      </c>
      <c r="P400" s="91"/>
      <c r="Q400" s="91"/>
      <c r="R400" t="str">
        <f t="shared" si="6"/>
        <v>ITSM♦Monitor and analyse events♦Implementation LIS♦L3♦CP</v>
      </c>
    </row>
    <row r="401" spans="1:18">
      <c r="A401" s="97" t="s">
        <v>39</v>
      </c>
      <c r="B401" s="97" t="s">
        <v>546</v>
      </c>
      <c r="C401" s="97" t="s">
        <v>29</v>
      </c>
      <c r="D401" s="97" t="s">
        <v>58</v>
      </c>
      <c r="E401" s="97" t="s">
        <v>105</v>
      </c>
      <c r="F401" s="116">
        <v>0</v>
      </c>
      <c r="G401" s="91"/>
      <c r="H401" s="91"/>
      <c r="I401" s="91"/>
      <c r="J401" s="108"/>
      <c r="K401" s="108"/>
      <c r="L401" s="97">
        <v>0</v>
      </c>
      <c r="M401" s="108"/>
      <c r="N401" s="91"/>
      <c r="O401" s="97" t="s">
        <v>146</v>
      </c>
      <c r="P401" s="91"/>
      <c r="Q401" s="91"/>
      <c r="R401" t="str">
        <f t="shared" si="6"/>
        <v>ITSM♦Monitor and analyse events♦Implementation COT♦L3♦CP</v>
      </c>
    </row>
    <row r="402" spans="1:18">
      <c r="A402" s="97" t="s">
        <v>39</v>
      </c>
      <c r="B402" s="97" t="s">
        <v>546</v>
      </c>
      <c r="C402" s="97" t="s">
        <v>30</v>
      </c>
      <c r="D402" s="97" t="s">
        <v>58</v>
      </c>
      <c r="E402" s="97" t="s">
        <v>105</v>
      </c>
      <c r="F402" s="116">
        <v>0</v>
      </c>
      <c r="G402" s="91"/>
      <c r="H402" s="91"/>
      <c r="I402" s="91"/>
      <c r="J402" s="108"/>
      <c r="K402" s="108"/>
      <c r="L402" s="97">
        <v>0</v>
      </c>
      <c r="M402" s="108"/>
      <c r="N402" s="91"/>
      <c r="O402" s="97" t="s">
        <v>146</v>
      </c>
      <c r="P402" s="91"/>
      <c r="Q402" s="91"/>
      <c r="R402" t="str">
        <f t="shared" si="6"/>
        <v>ITSM♦Monitor and analyse events♦Implementation LUS♦L3♦CP</v>
      </c>
    </row>
    <row r="403" spans="1:18" ht="30">
      <c r="A403" s="94" t="s">
        <v>39</v>
      </c>
      <c r="B403" s="92" t="s">
        <v>547</v>
      </c>
      <c r="C403" s="92" t="s">
        <v>18</v>
      </c>
      <c r="D403" s="92" t="s">
        <v>58</v>
      </c>
      <c r="E403" s="92" t="s">
        <v>105</v>
      </c>
      <c r="F403" s="115">
        <v>0</v>
      </c>
      <c r="G403" s="91"/>
      <c r="H403" s="91"/>
      <c r="I403" s="91"/>
      <c r="J403" s="107"/>
      <c r="K403" s="107"/>
      <c r="L403" s="92">
        <v>0</v>
      </c>
      <c r="M403" s="107"/>
      <c r="N403" s="91"/>
      <c r="O403" s="92" t="s">
        <v>146</v>
      </c>
      <c r="P403" s="91"/>
      <c r="Q403" s="91"/>
      <c r="R403" t="str">
        <f t="shared" si="6"/>
        <v>ITSM♦Monitor IT service risk and compliance♦Total♦L3♦CP</v>
      </c>
    </row>
    <row r="404" spans="1:18" ht="60">
      <c r="A404" s="97" t="s">
        <v>39</v>
      </c>
      <c r="B404" s="97" t="s">
        <v>382</v>
      </c>
      <c r="C404" s="97" t="s">
        <v>22</v>
      </c>
      <c r="D404" s="97" t="s">
        <v>58</v>
      </c>
      <c r="E404" s="97" t="s">
        <v>105</v>
      </c>
      <c r="F404" s="116">
        <v>0</v>
      </c>
      <c r="G404" s="97" t="s">
        <v>147</v>
      </c>
      <c r="H404" s="97" t="s">
        <v>542</v>
      </c>
      <c r="I404" s="97" t="s">
        <v>139</v>
      </c>
      <c r="J404" s="108"/>
      <c r="K404" s="108"/>
      <c r="L404" s="97">
        <v>0</v>
      </c>
      <c r="M404" s="108"/>
      <c r="N404" s="91"/>
      <c r="O404" s="97" t="s">
        <v>146</v>
      </c>
      <c r="P404" s="97" t="s">
        <v>626</v>
      </c>
      <c r="Q404" s="91"/>
      <c r="R404" t="str">
        <f t="shared" si="6"/>
        <v>ITSM♦Monitor IT service risk and compliance♦Elaboration♦L3♦CP</v>
      </c>
    </row>
    <row r="405" spans="1:18" ht="30">
      <c r="A405" s="97" t="s">
        <v>39</v>
      </c>
      <c r="B405" s="97" t="s">
        <v>382</v>
      </c>
      <c r="C405" s="97" t="s">
        <v>28</v>
      </c>
      <c r="D405" s="97" t="s">
        <v>58</v>
      </c>
      <c r="E405" s="97" t="s">
        <v>105</v>
      </c>
      <c r="F405" s="116">
        <v>0</v>
      </c>
      <c r="G405" s="91"/>
      <c r="H405" s="91"/>
      <c r="I405" s="91"/>
      <c r="J405" s="108"/>
      <c r="K405" s="108"/>
      <c r="L405" s="97">
        <v>0</v>
      </c>
      <c r="M405" s="108"/>
      <c r="N405" s="91"/>
      <c r="O405" s="97" t="s">
        <v>146</v>
      </c>
      <c r="P405" s="91"/>
      <c r="Q405" s="91"/>
      <c r="R405" t="str">
        <f t="shared" si="6"/>
        <v>ITSM♦Monitor IT service risk and compliance♦Implementation LIS♦L3♦CP</v>
      </c>
    </row>
    <row r="406" spans="1:18" ht="30">
      <c r="A406" s="97" t="s">
        <v>39</v>
      </c>
      <c r="B406" s="97" t="s">
        <v>382</v>
      </c>
      <c r="C406" s="97" t="s">
        <v>29</v>
      </c>
      <c r="D406" s="97" t="s">
        <v>58</v>
      </c>
      <c r="E406" s="97" t="s">
        <v>105</v>
      </c>
      <c r="F406" s="116">
        <v>0</v>
      </c>
      <c r="G406" s="91"/>
      <c r="H406" s="91"/>
      <c r="I406" s="91"/>
      <c r="J406" s="108"/>
      <c r="K406" s="108"/>
      <c r="L406" s="97">
        <v>0</v>
      </c>
      <c r="M406" s="108"/>
      <c r="N406" s="91"/>
      <c r="O406" s="97" t="s">
        <v>146</v>
      </c>
      <c r="P406" s="91"/>
      <c r="Q406" s="91"/>
      <c r="R406" t="str">
        <f t="shared" si="6"/>
        <v>ITSM♦Monitor IT service risk and compliance♦Implementation COT♦L3♦CP</v>
      </c>
    </row>
    <row r="407" spans="1:18" ht="30">
      <c r="A407" s="97" t="s">
        <v>39</v>
      </c>
      <c r="B407" s="97" t="s">
        <v>382</v>
      </c>
      <c r="C407" s="97" t="s">
        <v>30</v>
      </c>
      <c r="D407" s="97" t="s">
        <v>58</v>
      </c>
      <c r="E407" s="97" t="s">
        <v>105</v>
      </c>
      <c r="F407" s="116">
        <v>0</v>
      </c>
      <c r="G407" s="91"/>
      <c r="H407" s="91"/>
      <c r="I407" s="91"/>
      <c r="J407" s="108"/>
      <c r="K407" s="108"/>
      <c r="L407" s="97">
        <v>0</v>
      </c>
      <c r="M407" s="108"/>
      <c r="N407" s="91"/>
      <c r="O407" s="97" t="s">
        <v>146</v>
      </c>
      <c r="P407" s="91"/>
      <c r="Q407" s="91"/>
      <c r="R407" t="str">
        <f t="shared" si="6"/>
        <v>ITSM♦Monitor IT service risk and compliance♦Implementation LUS♦L3♦CP</v>
      </c>
    </row>
    <row r="408" spans="1:18">
      <c r="A408" s="94" t="s">
        <v>39</v>
      </c>
      <c r="B408" s="92" t="s">
        <v>549</v>
      </c>
      <c r="C408" s="92" t="s">
        <v>18</v>
      </c>
      <c r="D408" s="92" t="s">
        <v>58</v>
      </c>
      <c r="E408" s="92" t="s">
        <v>105</v>
      </c>
      <c r="F408" s="115">
        <v>0</v>
      </c>
      <c r="G408" s="91"/>
      <c r="H408" s="91"/>
      <c r="I408" s="91"/>
      <c r="J408" s="107"/>
      <c r="K408" s="107"/>
      <c r="L408" s="92">
        <v>0</v>
      </c>
      <c r="M408" s="107"/>
      <c r="N408" s="91"/>
      <c r="O408" s="92" t="s">
        <v>146</v>
      </c>
      <c r="P408" s="91"/>
      <c r="Q408" s="91"/>
      <c r="R408" t="str">
        <f t="shared" si="6"/>
        <v>ITSM♦Monitor user experience♦Total♦L3♦CP</v>
      </c>
    </row>
    <row r="409" spans="1:18" ht="60">
      <c r="A409" s="97" t="s">
        <v>39</v>
      </c>
      <c r="B409" s="97" t="s">
        <v>384</v>
      </c>
      <c r="C409" s="97" t="s">
        <v>22</v>
      </c>
      <c r="D409" s="97" t="s">
        <v>58</v>
      </c>
      <c r="E409" s="97" t="s">
        <v>105</v>
      </c>
      <c r="F409" s="116">
        <v>0</v>
      </c>
      <c r="G409" s="97" t="s">
        <v>147</v>
      </c>
      <c r="H409" s="97" t="s">
        <v>542</v>
      </c>
      <c r="I409" s="97" t="s">
        <v>139</v>
      </c>
      <c r="J409" s="108"/>
      <c r="K409" s="108"/>
      <c r="L409" s="97">
        <v>0</v>
      </c>
      <c r="M409" s="108"/>
      <c r="N409" s="91"/>
      <c r="O409" s="97" t="s">
        <v>146</v>
      </c>
      <c r="P409" s="97" t="s">
        <v>626</v>
      </c>
      <c r="Q409" s="91"/>
      <c r="R409" t="str">
        <f t="shared" si="6"/>
        <v>ITSM♦Monitor user experience♦Elaboration♦L3♦CP</v>
      </c>
    </row>
    <row r="410" spans="1:18">
      <c r="A410" s="97" t="s">
        <v>39</v>
      </c>
      <c r="B410" s="97" t="s">
        <v>384</v>
      </c>
      <c r="C410" s="97" t="s">
        <v>28</v>
      </c>
      <c r="D410" s="97" t="s">
        <v>58</v>
      </c>
      <c r="E410" s="97" t="s">
        <v>105</v>
      </c>
      <c r="F410" s="116">
        <v>0</v>
      </c>
      <c r="G410" s="91"/>
      <c r="H410" s="91"/>
      <c r="I410" s="91"/>
      <c r="J410" s="108"/>
      <c r="K410" s="108"/>
      <c r="L410" s="97">
        <v>0</v>
      </c>
      <c r="M410" s="108"/>
      <c r="N410" s="91"/>
      <c r="O410" s="97" t="s">
        <v>146</v>
      </c>
      <c r="P410" s="91"/>
      <c r="Q410" s="91"/>
      <c r="R410" t="str">
        <f t="shared" si="6"/>
        <v>ITSM♦Monitor user experience♦Implementation LIS♦L3♦CP</v>
      </c>
    </row>
    <row r="411" spans="1:18">
      <c r="A411" s="97" t="s">
        <v>39</v>
      </c>
      <c r="B411" s="97" t="s">
        <v>384</v>
      </c>
      <c r="C411" s="97" t="s">
        <v>29</v>
      </c>
      <c r="D411" s="97" t="s">
        <v>58</v>
      </c>
      <c r="E411" s="97" t="s">
        <v>105</v>
      </c>
      <c r="F411" s="116">
        <v>0</v>
      </c>
      <c r="G411" s="91"/>
      <c r="H411" s="91"/>
      <c r="I411" s="91"/>
      <c r="J411" s="108"/>
      <c r="K411" s="108"/>
      <c r="L411" s="97">
        <v>0</v>
      </c>
      <c r="M411" s="108"/>
      <c r="N411" s="91"/>
      <c r="O411" s="97" t="s">
        <v>146</v>
      </c>
      <c r="P411" s="91"/>
      <c r="Q411" s="91"/>
      <c r="R411" t="str">
        <f t="shared" si="6"/>
        <v>ITSM♦Monitor user experience♦Implementation COT♦L3♦CP</v>
      </c>
    </row>
    <row r="412" spans="1:18">
      <c r="A412" s="97" t="s">
        <v>39</v>
      </c>
      <c r="B412" s="97" t="s">
        <v>384</v>
      </c>
      <c r="C412" s="97" t="s">
        <v>30</v>
      </c>
      <c r="D412" s="97" t="s">
        <v>58</v>
      </c>
      <c r="E412" s="97" t="s">
        <v>105</v>
      </c>
      <c r="F412" s="116">
        <v>0</v>
      </c>
      <c r="G412" s="91"/>
      <c r="H412" s="91"/>
      <c r="I412" s="91"/>
      <c r="J412" s="108"/>
      <c r="K412" s="108"/>
      <c r="L412" s="97">
        <v>0</v>
      </c>
      <c r="M412" s="108"/>
      <c r="N412" s="91"/>
      <c r="O412" s="97" t="s">
        <v>146</v>
      </c>
      <c r="P412" s="91"/>
      <c r="Q412" s="91"/>
      <c r="R412" t="str">
        <f t="shared" si="6"/>
        <v>ITSM♦Monitor user experience♦Implementation LUS♦L3♦CP</v>
      </c>
    </row>
    <row r="413" spans="1:18">
      <c r="A413" s="94" t="s">
        <v>39</v>
      </c>
      <c r="B413" s="92" t="s">
        <v>551</v>
      </c>
      <c r="C413" s="92" t="s">
        <v>18</v>
      </c>
      <c r="D413" s="92" t="s">
        <v>33</v>
      </c>
      <c r="E413" s="92" t="s">
        <v>105</v>
      </c>
      <c r="F413" s="115">
        <v>0.21</v>
      </c>
      <c r="G413" s="91"/>
      <c r="H413" s="91"/>
      <c r="I413" s="91"/>
      <c r="J413" s="107">
        <v>45945</v>
      </c>
      <c r="K413" s="107">
        <v>46203</v>
      </c>
      <c r="L413" s="92">
        <v>185</v>
      </c>
      <c r="M413" s="107"/>
      <c r="N413" s="91"/>
      <c r="O413" s="92" t="s">
        <v>146</v>
      </c>
      <c r="P413" s="91"/>
      <c r="Q413" s="91"/>
      <c r="R413" t="str">
        <f t="shared" si="6"/>
        <v>ITSM♦Operate and maintain IT service♦Total♦L2♦CP</v>
      </c>
    </row>
    <row r="414" spans="1:18" ht="30">
      <c r="A414" s="97" t="s">
        <v>39</v>
      </c>
      <c r="B414" s="97" t="s">
        <v>386</v>
      </c>
      <c r="C414" s="97" t="s">
        <v>22</v>
      </c>
      <c r="D414" s="97" t="s">
        <v>33</v>
      </c>
      <c r="E414" s="97" t="s">
        <v>105</v>
      </c>
      <c r="F414" s="116">
        <v>0</v>
      </c>
      <c r="G414" s="97" t="s">
        <v>147</v>
      </c>
      <c r="H414" s="97" t="s">
        <v>158</v>
      </c>
      <c r="I414" s="97" t="s">
        <v>139</v>
      </c>
      <c r="J414" s="108">
        <v>46034</v>
      </c>
      <c r="K414" s="108">
        <v>46203</v>
      </c>
      <c r="L414" s="97">
        <v>122</v>
      </c>
      <c r="M414" s="108"/>
      <c r="N414" s="97" t="s">
        <v>26</v>
      </c>
      <c r="O414" s="97" t="s">
        <v>146</v>
      </c>
      <c r="P414" s="103" t="s">
        <v>615</v>
      </c>
      <c r="Q414" s="91"/>
      <c r="R414" t="str">
        <f t="shared" si="6"/>
        <v>ITSM♦Operate and maintain IT service♦Elaboration♦L2♦CP</v>
      </c>
    </row>
    <row r="415" spans="1:18">
      <c r="A415" s="97" t="s">
        <v>39</v>
      </c>
      <c r="B415" s="97" t="s">
        <v>386</v>
      </c>
      <c r="C415" s="97" t="s">
        <v>28</v>
      </c>
      <c r="D415" s="97" t="s">
        <v>33</v>
      </c>
      <c r="E415" s="97" t="s">
        <v>105</v>
      </c>
      <c r="F415" s="116">
        <v>0</v>
      </c>
      <c r="G415" s="91"/>
      <c r="H415" s="91"/>
      <c r="I415" s="91"/>
      <c r="J415" s="108">
        <v>46127</v>
      </c>
      <c r="K415" s="108">
        <v>46203</v>
      </c>
      <c r="L415" s="97">
        <v>55</v>
      </c>
      <c r="M415" s="108"/>
      <c r="N415" s="97" t="s">
        <v>27</v>
      </c>
      <c r="O415" s="97" t="s">
        <v>146</v>
      </c>
      <c r="P415" s="103" t="s">
        <v>615</v>
      </c>
      <c r="Q415" s="91"/>
      <c r="R415" t="str">
        <f t="shared" si="6"/>
        <v>ITSM♦Operate and maintain IT service♦Implementation LIS♦L2♦CP</v>
      </c>
    </row>
    <row r="416" spans="1:18">
      <c r="A416" s="97" t="s">
        <v>39</v>
      </c>
      <c r="B416" s="97" t="s">
        <v>386</v>
      </c>
      <c r="C416" s="97" t="s">
        <v>29</v>
      </c>
      <c r="D416" s="97" t="s">
        <v>33</v>
      </c>
      <c r="E416" s="97" t="s">
        <v>105</v>
      </c>
      <c r="F416" s="116">
        <v>0</v>
      </c>
      <c r="G416" s="91"/>
      <c r="H416" s="91"/>
      <c r="I416" s="91"/>
      <c r="J416" s="108"/>
      <c r="K416" s="108"/>
      <c r="L416" s="97">
        <v>0</v>
      </c>
      <c r="M416" s="108"/>
      <c r="N416" s="91"/>
      <c r="O416" s="97" t="s">
        <v>146</v>
      </c>
      <c r="P416" s="102"/>
      <c r="Q416" s="91"/>
      <c r="R416" t="str">
        <f t="shared" si="6"/>
        <v>ITSM♦Operate and maintain IT service♦Implementation COT♦L2♦CP</v>
      </c>
    </row>
    <row r="417" spans="1:18">
      <c r="A417" s="97" t="s">
        <v>39</v>
      </c>
      <c r="B417" s="97" t="s">
        <v>386</v>
      </c>
      <c r="C417" s="97" t="s">
        <v>30</v>
      </c>
      <c r="D417" s="97" t="s">
        <v>33</v>
      </c>
      <c r="E417" s="97" t="s">
        <v>105</v>
      </c>
      <c r="F417" s="116">
        <v>0</v>
      </c>
      <c r="G417" s="91"/>
      <c r="H417" s="91"/>
      <c r="I417" s="91"/>
      <c r="J417" s="108"/>
      <c r="K417" s="108"/>
      <c r="L417" s="97">
        <v>0</v>
      </c>
      <c r="M417" s="108"/>
      <c r="N417" s="91"/>
      <c r="O417" s="97" t="s">
        <v>146</v>
      </c>
      <c r="P417" s="102"/>
      <c r="Q417" s="91"/>
      <c r="R417" t="str">
        <f t="shared" si="6"/>
        <v>ITSM♦Operate and maintain IT service♦Implementation LUS♦L2♦CP</v>
      </c>
    </row>
    <row r="418" spans="1:18">
      <c r="A418" s="94" t="s">
        <v>39</v>
      </c>
      <c r="B418" s="92" t="s">
        <v>387</v>
      </c>
      <c r="C418" s="92" t="s">
        <v>18</v>
      </c>
      <c r="D418" s="92" t="s">
        <v>58</v>
      </c>
      <c r="E418" s="92" t="s">
        <v>105</v>
      </c>
      <c r="F418" s="115">
        <v>0.5</v>
      </c>
      <c r="G418" s="91"/>
      <c r="H418" s="91"/>
      <c r="I418" s="91"/>
      <c r="J418" s="107">
        <v>46036</v>
      </c>
      <c r="K418" s="107">
        <v>46162</v>
      </c>
      <c r="L418" s="92">
        <v>91</v>
      </c>
      <c r="M418" s="107"/>
      <c r="N418" s="91"/>
      <c r="O418" s="92" t="s">
        <v>146</v>
      </c>
      <c r="P418" s="91"/>
      <c r="Q418" s="91"/>
      <c r="R418" t="str">
        <f t="shared" si="6"/>
        <v>ITSM♦Maintain CMDB♦Total♦L3♦CP</v>
      </c>
    </row>
    <row r="419" spans="1:18" ht="30">
      <c r="A419" s="97" t="s">
        <v>39</v>
      </c>
      <c r="B419" s="97" t="s">
        <v>388</v>
      </c>
      <c r="C419" s="97" t="s">
        <v>22</v>
      </c>
      <c r="D419" s="97" t="s">
        <v>58</v>
      </c>
      <c r="E419" s="97" t="s">
        <v>105</v>
      </c>
      <c r="F419" s="116">
        <v>0.5</v>
      </c>
      <c r="G419" s="97" t="s">
        <v>147</v>
      </c>
      <c r="H419" s="97" t="s">
        <v>158</v>
      </c>
      <c r="I419" s="97" t="s">
        <v>139</v>
      </c>
      <c r="J419" s="108">
        <v>46036</v>
      </c>
      <c r="K419" s="108">
        <v>46162</v>
      </c>
      <c r="L419" s="97">
        <v>91</v>
      </c>
      <c r="M419" s="108"/>
      <c r="N419" s="97" t="s">
        <v>26</v>
      </c>
      <c r="O419" s="97" t="s">
        <v>146</v>
      </c>
      <c r="P419" s="91"/>
      <c r="Q419" s="91"/>
      <c r="R419" t="str">
        <f t="shared" si="6"/>
        <v>ITSM♦Maintain CMDB♦Elaboration♦L3♦CP</v>
      </c>
    </row>
    <row r="420" spans="1:18">
      <c r="A420" s="97" t="s">
        <v>39</v>
      </c>
      <c r="B420" s="97" t="s">
        <v>388</v>
      </c>
      <c r="C420" s="97" t="s">
        <v>28</v>
      </c>
      <c r="D420" s="97" t="s">
        <v>58</v>
      </c>
      <c r="E420" s="97" t="s">
        <v>105</v>
      </c>
      <c r="F420" s="116">
        <v>0</v>
      </c>
      <c r="G420" s="91"/>
      <c r="H420" s="91"/>
      <c r="I420" s="91"/>
      <c r="J420" s="108"/>
      <c r="K420" s="108"/>
      <c r="L420" s="97">
        <v>0</v>
      </c>
      <c r="M420" s="108"/>
      <c r="N420" s="91"/>
      <c r="O420" s="97" t="s">
        <v>146</v>
      </c>
      <c r="P420" s="91"/>
      <c r="Q420" s="91"/>
      <c r="R420" t="str">
        <f t="shared" si="6"/>
        <v>ITSM♦Maintain CMDB♦Implementation LIS♦L3♦CP</v>
      </c>
    </row>
    <row r="421" spans="1:18">
      <c r="A421" s="97" t="s">
        <v>39</v>
      </c>
      <c r="B421" s="97" t="s">
        <v>388</v>
      </c>
      <c r="C421" s="97" t="s">
        <v>29</v>
      </c>
      <c r="D421" s="97" t="s">
        <v>58</v>
      </c>
      <c r="E421" s="97" t="s">
        <v>105</v>
      </c>
      <c r="F421" s="116">
        <v>0</v>
      </c>
      <c r="G421" s="91"/>
      <c r="H421" s="91"/>
      <c r="I421" s="91"/>
      <c r="J421" s="108"/>
      <c r="K421" s="108"/>
      <c r="L421" s="97">
        <v>0</v>
      </c>
      <c r="M421" s="108"/>
      <c r="N421" s="91"/>
      <c r="O421" s="97" t="s">
        <v>146</v>
      </c>
      <c r="P421" s="91"/>
      <c r="Q421" s="91"/>
      <c r="R421" t="str">
        <f t="shared" si="6"/>
        <v>ITSM♦Maintain CMDB♦Implementation COT♦L3♦CP</v>
      </c>
    </row>
    <row r="422" spans="1:18">
      <c r="A422" s="97" t="s">
        <v>39</v>
      </c>
      <c r="B422" s="97" t="s">
        <v>388</v>
      </c>
      <c r="C422" s="97" t="s">
        <v>30</v>
      </c>
      <c r="D422" s="97" t="s">
        <v>58</v>
      </c>
      <c r="E422" s="97" t="s">
        <v>105</v>
      </c>
      <c r="F422" s="116">
        <v>0</v>
      </c>
      <c r="G422" s="91"/>
      <c r="H422" s="91"/>
      <c r="I422" s="91"/>
      <c r="J422" s="108"/>
      <c r="K422" s="108"/>
      <c r="L422" s="97">
        <v>0</v>
      </c>
      <c r="M422" s="108"/>
      <c r="N422" s="91"/>
      <c r="O422" s="97" t="s">
        <v>146</v>
      </c>
      <c r="P422" s="91"/>
      <c r="Q422" s="91"/>
      <c r="R422" t="str">
        <f t="shared" si="6"/>
        <v>ITSM♦Maintain CMDB♦Implementation LUS♦L3♦CP</v>
      </c>
    </row>
    <row r="423" spans="1:18">
      <c r="A423" s="94" t="s">
        <v>39</v>
      </c>
      <c r="B423" s="92" t="s">
        <v>553</v>
      </c>
      <c r="C423" s="92" t="s">
        <v>18</v>
      </c>
      <c r="D423" s="92" t="s">
        <v>58</v>
      </c>
      <c r="E423" s="92" t="s">
        <v>105</v>
      </c>
      <c r="F423" s="115">
        <v>0</v>
      </c>
      <c r="G423" s="91"/>
      <c r="H423" s="91"/>
      <c r="I423" s="91"/>
      <c r="J423" s="107">
        <v>46127</v>
      </c>
      <c r="K423" s="107">
        <v>46203</v>
      </c>
      <c r="L423" s="92">
        <v>55</v>
      </c>
      <c r="M423" s="107"/>
      <c r="N423" s="91"/>
      <c r="O423" s="92" t="s">
        <v>146</v>
      </c>
      <c r="P423" s="91"/>
      <c r="Q423" s="91"/>
      <c r="R423" t="str">
        <f t="shared" si="6"/>
        <v>ITSM♦Maintain IT asset database♦Total♦L3♦CP</v>
      </c>
    </row>
    <row r="424" spans="1:18" ht="30">
      <c r="A424" s="97" t="s">
        <v>39</v>
      </c>
      <c r="B424" s="97" t="s">
        <v>390</v>
      </c>
      <c r="C424" s="97" t="s">
        <v>22</v>
      </c>
      <c r="D424" s="97" t="s">
        <v>58</v>
      </c>
      <c r="E424" s="97" t="s">
        <v>105</v>
      </c>
      <c r="F424" s="116">
        <v>0</v>
      </c>
      <c r="G424" s="97" t="s">
        <v>147</v>
      </c>
      <c r="H424" s="97" t="s">
        <v>160</v>
      </c>
      <c r="I424" s="97" t="s">
        <v>139</v>
      </c>
      <c r="J424" s="108"/>
      <c r="K424" s="108"/>
      <c r="L424" s="97">
        <v>0</v>
      </c>
      <c r="M424" s="108"/>
      <c r="N424" s="91"/>
      <c r="O424" s="97" t="s">
        <v>146</v>
      </c>
      <c r="P424" s="91"/>
      <c r="Q424" s="91"/>
      <c r="R424" t="str">
        <f t="shared" si="6"/>
        <v>ITSM♦Maintain IT asset database♦Elaboration♦L3♦CP</v>
      </c>
    </row>
    <row r="425" spans="1:18">
      <c r="A425" s="97" t="s">
        <v>39</v>
      </c>
      <c r="B425" s="97" t="s">
        <v>390</v>
      </c>
      <c r="C425" s="97" t="s">
        <v>28</v>
      </c>
      <c r="D425" s="97" t="s">
        <v>58</v>
      </c>
      <c r="E425" s="97" t="s">
        <v>105</v>
      </c>
      <c r="F425" s="116">
        <v>0</v>
      </c>
      <c r="G425" s="91"/>
      <c r="H425" s="91"/>
      <c r="I425" s="91"/>
      <c r="J425" s="108"/>
      <c r="K425" s="108"/>
      <c r="L425" s="97">
        <v>0</v>
      </c>
      <c r="M425" s="108"/>
      <c r="N425" s="91"/>
      <c r="O425" s="97" t="s">
        <v>146</v>
      </c>
      <c r="P425" s="91"/>
      <c r="Q425" s="91"/>
      <c r="R425" t="str">
        <f t="shared" si="6"/>
        <v>ITSM♦Maintain IT asset database♦Implementation LIS♦L3♦CP</v>
      </c>
    </row>
    <row r="426" spans="1:18">
      <c r="A426" s="97" t="s">
        <v>39</v>
      </c>
      <c r="B426" s="97" t="s">
        <v>390</v>
      </c>
      <c r="C426" s="97" t="s">
        <v>29</v>
      </c>
      <c r="D426" s="97" t="s">
        <v>58</v>
      </c>
      <c r="E426" s="97" t="s">
        <v>105</v>
      </c>
      <c r="F426" s="116">
        <v>0</v>
      </c>
      <c r="G426" s="91"/>
      <c r="H426" s="91"/>
      <c r="I426" s="91"/>
      <c r="J426" s="108"/>
      <c r="K426" s="108"/>
      <c r="L426" s="97">
        <v>0</v>
      </c>
      <c r="M426" s="108"/>
      <c r="N426" s="91"/>
      <c r="O426" s="97" t="s">
        <v>146</v>
      </c>
      <c r="P426" s="91"/>
      <c r="Q426" s="91"/>
      <c r="R426" t="str">
        <f t="shared" si="6"/>
        <v>ITSM♦Maintain IT asset database♦Implementation COT♦L3♦CP</v>
      </c>
    </row>
    <row r="427" spans="1:18">
      <c r="A427" s="97" t="s">
        <v>39</v>
      </c>
      <c r="B427" s="97" t="s">
        <v>390</v>
      </c>
      <c r="C427" s="97" t="s">
        <v>30</v>
      </c>
      <c r="D427" s="97" t="s">
        <v>58</v>
      </c>
      <c r="E427" s="97" t="s">
        <v>105</v>
      </c>
      <c r="F427" s="116">
        <v>0</v>
      </c>
      <c r="G427" s="91"/>
      <c r="H427" s="91"/>
      <c r="I427" s="91"/>
      <c r="J427" s="108"/>
      <c r="K427" s="108"/>
      <c r="L427" s="97">
        <v>0</v>
      </c>
      <c r="M427" s="108"/>
      <c r="N427" s="91"/>
      <c r="O427" s="97" t="s">
        <v>146</v>
      </c>
      <c r="P427" s="91"/>
      <c r="Q427" s="91"/>
      <c r="R427" t="str">
        <f t="shared" si="6"/>
        <v>ITSM♦Maintain IT asset database♦Implementation LUS♦L3♦CP</v>
      </c>
    </row>
    <row r="428" spans="1:18" ht="30">
      <c r="A428" s="94" t="s">
        <v>39</v>
      </c>
      <c r="B428" s="92" t="s">
        <v>555</v>
      </c>
      <c r="C428" s="92" t="s">
        <v>18</v>
      </c>
      <c r="D428" s="92" t="s">
        <v>58</v>
      </c>
      <c r="E428" s="92" t="s">
        <v>105</v>
      </c>
      <c r="F428" s="115">
        <v>0</v>
      </c>
      <c r="G428" s="91"/>
      <c r="H428" s="91"/>
      <c r="I428" s="91"/>
      <c r="J428" s="107"/>
      <c r="K428" s="107"/>
      <c r="L428" s="92">
        <v>0</v>
      </c>
      <c r="M428" s="107"/>
      <c r="N428" s="91"/>
      <c r="O428" s="92" t="s">
        <v>146</v>
      </c>
      <c r="P428" s="91"/>
      <c r="Q428" s="91"/>
      <c r="R428" t="str">
        <f t="shared" si="6"/>
        <v>ITSM♦Maintain standard change catalouge for IT service♦Total♦L3♦CP</v>
      </c>
    </row>
    <row r="429" spans="1:18" ht="30">
      <c r="A429" s="97" t="s">
        <v>39</v>
      </c>
      <c r="B429" s="97" t="s">
        <v>392</v>
      </c>
      <c r="C429" s="97" t="s">
        <v>22</v>
      </c>
      <c r="D429" s="97" t="s">
        <v>58</v>
      </c>
      <c r="E429" s="97" t="s">
        <v>105</v>
      </c>
      <c r="F429" s="116">
        <v>0</v>
      </c>
      <c r="G429" s="97" t="s">
        <v>147</v>
      </c>
      <c r="H429" s="97" t="s">
        <v>539</v>
      </c>
      <c r="I429" s="97" t="s">
        <v>139</v>
      </c>
      <c r="J429" s="108"/>
      <c r="K429" s="108"/>
      <c r="L429" s="97">
        <v>0</v>
      </c>
      <c r="M429" s="108"/>
      <c r="N429" s="91"/>
      <c r="O429" s="97" t="s">
        <v>146</v>
      </c>
      <c r="P429" s="91"/>
      <c r="Q429" s="91"/>
      <c r="R429" t="str">
        <f t="shared" si="6"/>
        <v>ITSM♦Maintain standard change catalouge for IT service♦Elaboration♦L3♦CP</v>
      </c>
    </row>
    <row r="430" spans="1:18" ht="30">
      <c r="A430" s="97" t="s">
        <v>39</v>
      </c>
      <c r="B430" s="97" t="s">
        <v>392</v>
      </c>
      <c r="C430" s="97" t="s">
        <v>28</v>
      </c>
      <c r="D430" s="97" t="s">
        <v>58</v>
      </c>
      <c r="E430" s="97" t="s">
        <v>105</v>
      </c>
      <c r="F430" s="116">
        <v>0</v>
      </c>
      <c r="G430" s="91"/>
      <c r="H430" s="91"/>
      <c r="I430" s="91"/>
      <c r="J430" s="108"/>
      <c r="K430" s="108"/>
      <c r="L430" s="97">
        <v>0</v>
      </c>
      <c r="M430" s="108"/>
      <c r="N430" s="91"/>
      <c r="O430" s="97" t="s">
        <v>146</v>
      </c>
      <c r="P430" s="91"/>
      <c r="Q430" s="91"/>
      <c r="R430" t="str">
        <f t="shared" si="6"/>
        <v>ITSM♦Maintain standard change catalouge for IT service♦Implementation LIS♦L3♦CP</v>
      </c>
    </row>
    <row r="431" spans="1:18" ht="30">
      <c r="A431" s="97" t="s">
        <v>39</v>
      </c>
      <c r="B431" s="97" t="s">
        <v>392</v>
      </c>
      <c r="C431" s="97" t="s">
        <v>29</v>
      </c>
      <c r="D431" s="97" t="s">
        <v>58</v>
      </c>
      <c r="E431" s="97" t="s">
        <v>105</v>
      </c>
      <c r="F431" s="116">
        <v>0</v>
      </c>
      <c r="G431" s="91"/>
      <c r="H431" s="91"/>
      <c r="I431" s="91"/>
      <c r="J431" s="108"/>
      <c r="K431" s="108"/>
      <c r="L431" s="97">
        <v>0</v>
      </c>
      <c r="M431" s="108"/>
      <c r="N431" s="91"/>
      <c r="O431" s="97" t="s">
        <v>146</v>
      </c>
      <c r="P431" s="91"/>
      <c r="Q431" s="91"/>
      <c r="R431" t="str">
        <f t="shared" si="6"/>
        <v>ITSM♦Maintain standard change catalouge for IT service♦Implementation COT♦L3♦CP</v>
      </c>
    </row>
    <row r="432" spans="1:18" ht="30">
      <c r="A432" s="97" t="s">
        <v>39</v>
      </c>
      <c r="B432" s="97" t="s">
        <v>392</v>
      </c>
      <c r="C432" s="97" t="s">
        <v>30</v>
      </c>
      <c r="D432" s="97" t="s">
        <v>58</v>
      </c>
      <c r="E432" s="97" t="s">
        <v>105</v>
      </c>
      <c r="F432" s="116">
        <v>0</v>
      </c>
      <c r="G432" s="91"/>
      <c r="H432" s="91"/>
      <c r="I432" s="91"/>
      <c r="J432" s="108"/>
      <c r="K432" s="108"/>
      <c r="L432" s="97">
        <v>0</v>
      </c>
      <c r="M432" s="108"/>
      <c r="N432" s="91"/>
      <c r="O432" s="97" t="s">
        <v>146</v>
      </c>
      <c r="P432" s="91"/>
      <c r="Q432" s="91"/>
      <c r="R432" t="str">
        <f t="shared" si="6"/>
        <v>ITSM♦Maintain standard change catalouge for IT service♦Implementation LUS♦L3♦CP</v>
      </c>
    </row>
    <row r="433" spans="1:18">
      <c r="A433" s="94" t="s">
        <v>39</v>
      </c>
      <c r="B433" s="92" t="s">
        <v>393</v>
      </c>
      <c r="C433" s="92" t="s">
        <v>18</v>
      </c>
      <c r="D433" s="92" t="s">
        <v>33</v>
      </c>
      <c r="E433" s="92" t="s">
        <v>105</v>
      </c>
      <c r="F433" s="115">
        <v>0.56999999999999995</v>
      </c>
      <c r="G433" s="91"/>
      <c r="H433" s="91"/>
      <c r="I433" s="91"/>
      <c r="J433" s="107">
        <v>45946</v>
      </c>
      <c r="K433" s="107">
        <v>46188</v>
      </c>
      <c r="L433" s="92">
        <v>173</v>
      </c>
      <c r="M433" s="107"/>
      <c r="N433" s="91"/>
      <c r="O433" s="92" t="s">
        <v>146</v>
      </c>
      <c r="P433" s="91"/>
      <c r="Q433" s="91"/>
      <c r="R433" t="str">
        <f t="shared" si="6"/>
        <v>ITSM♦Provide IT service support♦Total♦L2♦CP</v>
      </c>
    </row>
    <row r="434" spans="1:18" ht="30">
      <c r="A434" s="97" t="s">
        <v>39</v>
      </c>
      <c r="B434" s="97" t="s">
        <v>394</v>
      </c>
      <c r="C434" s="97" t="s">
        <v>22</v>
      </c>
      <c r="D434" s="97" t="s">
        <v>33</v>
      </c>
      <c r="E434" s="97" t="s">
        <v>105</v>
      </c>
      <c r="F434" s="116">
        <v>0</v>
      </c>
      <c r="G434" s="97" t="s">
        <v>147</v>
      </c>
      <c r="H434" s="97" t="s">
        <v>542</v>
      </c>
      <c r="I434" s="97" t="s">
        <v>139</v>
      </c>
      <c r="J434" s="108">
        <v>46034</v>
      </c>
      <c r="K434" s="108">
        <v>46111</v>
      </c>
      <c r="L434" s="97">
        <v>56</v>
      </c>
      <c r="M434" s="108"/>
      <c r="N434" s="97" t="s">
        <v>108</v>
      </c>
      <c r="O434" s="97" t="s">
        <v>146</v>
      </c>
      <c r="P434" s="91"/>
      <c r="Q434" s="91"/>
      <c r="R434" t="str">
        <f t="shared" si="6"/>
        <v>ITSM♦Provide IT service support♦Elaboration♦L2♦CP</v>
      </c>
    </row>
    <row r="435" spans="1:18">
      <c r="A435" s="97" t="s">
        <v>39</v>
      </c>
      <c r="B435" s="97" t="s">
        <v>394</v>
      </c>
      <c r="C435" s="97" t="s">
        <v>28</v>
      </c>
      <c r="D435" s="97" t="s">
        <v>33</v>
      </c>
      <c r="E435" s="97" t="s">
        <v>105</v>
      </c>
      <c r="F435" s="116">
        <v>0</v>
      </c>
      <c r="G435" s="91"/>
      <c r="H435" s="91"/>
      <c r="I435" s="91"/>
      <c r="J435" s="108">
        <v>46113</v>
      </c>
      <c r="K435" s="108">
        <v>46188</v>
      </c>
      <c r="L435" s="97">
        <v>54</v>
      </c>
      <c r="M435" s="108"/>
      <c r="N435" s="97" t="s">
        <v>28</v>
      </c>
      <c r="O435" s="97" t="s">
        <v>146</v>
      </c>
      <c r="P435" s="91"/>
      <c r="Q435" s="91"/>
      <c r="R435" t="str">
        <f t="shared" si="6"/>
        <v>ITSM♦Provide IT service support♦Implementation LIS♦L2♦CP</v>
      </c>
    </row>
    <row r="436" spans="1:18">
      <c r="A436" s="97" t="s">
        <v>39</v>
      </c>
      <c r="B436" s="97" t="s">
        <v>394</v>
      </c>
      <c r="C436" s="97" t="s">
        <v>29</v>
      </c>
      <c r="D436" s="97" t="s">
        <v>33</v>
      </c>
      <c r="E436" s="97" t="s">
        <v>105</v>
      </c>
      <c r="F436" s="116">
        <v>0</v>
      </c>
      <c r="G436" s="91"/>
      <c r="H436" s="91"/>
      <c r="I436" s="91"/>
      <c r="J436" s="108"/>
      <c r="K436" s="108"/>
      <c r="L436" s="97">
        <v>0</v>
      </c>
      <c r="M436" s="108"/>
      <c r="N436" s="91"/>
      <c r="O436" s="97" t="s">
        <v>146</v>
      </c>
      <c r="P436" s="91"/>
      <c r="Q436" s="91"/>
      <c r="R436" t="str">
        <f t="shared" si="6"/>
        <v>ITSM♦Provide IT service support♦Implementation COT♦L2♦CP</v>
      </c>
    </row>
    <row r="437" spans="1:18">
      <c r="A437" s="97" t="s">
        <v>39</v>
      </c>
      <c r="B437" s="97" t="s">
        <v>394</v>
      </c>
      <c r="C437" s="97" t="s">
        <v>30</v>
      </c>
      <c r="D437" s="97" t="s">
        <v>33</v>
      </c>
      <c r="E437" s="97" t="s">
        <v>105</v>
      </c>
      <c r="F437" s="116">
        <v>0</v>
      </c>
      <c r="G437" s="91"/>
      <c r="H437" s="91"/>
      <c r="I437" s="91"/>
      <c r="J437" s="108"/>
      <c r="K437" s="108"/>
      <c r="L437" s="97">
        <v>0</v>
      </c>
      <c r="M437" s="108"/>
      <c r="N437" s="91"/>
      <c r="O437" s="97" t="s">
        <v>146</v>
      </c>
      <c r="P437" s="91"/>
      <c r="Q437" s="91"/>
      <c r="R437" t="str">
        <f t="shared" si="6"/>
        <v>ITSM♦Provide IT service support♦Implementation LUS♦L2♦CP</v>
      </c>
    </row>
    <row r="438" spans="1:18">
      <c r="A438" s="94" t="s">
        <v>39</v>
      </c>
      <c r="B438" s="92" t="s">
        <v>396</v>
      </c>
      <c r="C438" s="92" t="s">
        <v>18</v>
      </c>
      <c r="D438" s="92" t="s">
        <v>58</v>
      </c>
      <c r="E438" s="92" t="s">
        <v>105</v>
      </c>
      <c r="F438" s="115">
        <v>0.75</v>
      </c>
      <c r="G438" s="91"/>
      <c r="H438" s="91"/>
      <c r="I438" s="91"/>
      <c r="J438" s="107">
        <v>46035</v>
      </c>
      <c r="K438" s="107">
        <v>46100</v>
      </c>
      <c r="L438" s="92">
        <v>48</v>
      </c>
      <c r="M438" s="107">
        <v>46100</v>
      </c>
      <c r="N438" s="91"/>
      <c r="O438" s="92" t="s">
        <v>146</v>
      </c>
      <c r="P438" s="91"/>
      <c r="Q438" s="91"/>
      <c r="R438" t="str">
        <f t="shared" si="6"/>
        <v>ITSM♦Handle IT Incident♦Total♦L3♦CP</v>
      </c>
    </row>
    <row r="439" spans="1:18" ht="30">
      <c r="A439" s="97" t="s">
        <v>39</v>
      </c>
      <c r="B439" s="97" t="s">
        <v>397</v>
      </c>
      <c r="C439" s="97" t="s">
        <v>22</v>
      </c>
      <c r="D439" s="97" t="s">
        <v>58</v>
      </c>
      <c r="E439" s="97" t="s">
        <v>105</v>
      </c>
      <c r="F439" s="116">
        <v>0.75</v>
      </c>
      <c r="G439" s="97" t="s">
        <v>147</v>
      </c>
      <c r="H439" s="97" t="s">
        <v>542</v>
      </c>
      <c r="I439" s="97" t="s">
        <v>139</v>
      </c>
      <c r="J439" s="108">
        <v>46035</v>
      </c>
      <c r="K439" s="108">
        <v>46100</v>
      </c>
      <c r="L439" s="97">
        <v>48</v>
      </c>
      <c r="M439" s="108">
        <v>46100</v>
      </c>
      <c r="N439" s="97" t="s">
        <v>108</v>
      </c>
      <c r="O439" s="97" t="s">
        <v>146</v>
      </c>
      <c r="P439" s="97" t="s">
        <v>627</v>
      </c>
      <c r="Q439" s="91"/>
      <c r="R439" t="str">
        <f t="shared" si="6"/>
        <v>ITSM♦Handle IT Incident♦Elaboration♦L3♦CP</v>
      </c>
    </row>
    <row r="440" spans="1:18">
      <c r="A440" s="97" t="s">
        <v>39</v>
      </c>
      <c r="B440" s="97" t="s">
        <v>397</v>
      </c>
      <c r="C440" s="97" t="s">
        <v>28</v>
      </c>
      <c r="D440" s="97" t="s">
        <v>58</v>
      </c>
      <c r="E440" s="97" t="s">
        <v>105</v>
      </c>
      <c r="F440" s="116">
        <v>0</v>
      </c>
      <c r="G440" s="91"/>
      <c r="H440" s="91"/>
      <c r="I440" s="91"/>
      <c r="J440" s="108"/>
      <c r="K440" s="108"/>
      <c r="L440" s="97">
        <v>0</v>
      </c>
      <c r="M440" s="108"/>
      <c r="N440" s="91"/>
      <c r="O440" s="97" t="s">
        <v>146</v>
      </c>
      <c r="P440" s="91"/>
      <c r="Q440" s="91"/>
      <c r="R440" t="str">
        <f t="shared" si="6"/>
        <v>ITSM♦Handle IT Incident♦Implementation LIS♦L3♦CP</v>
      </c>
    </row>
    <row r="441" spans="1:18">
      <c r="A441" s="97" t="s">
        <v>39</v>
      </c>
      <c r="B441" s="97" t="s">
        <v>397</v>
      </c>
      <c r="C441" s="97" t="s">
        <v>29</v>
      </c>
      <c r="D441" s="97" t="s">
        <v>58</v>
      </c>
      <c r="E441" s="97" t="s">
        <v>105</v>
      </c>
      <c r="F441" s="116">
        <v>0</v>
      </c>
      <c r="G441" s="91"/>
      <c r="H441" s="91"/>
      <c r="I441" s="91"/>
      <c r="J441" s="108"/>
      <c r="K441" s="108"/>
      <c r="L441" s="97">
        <v>0</v>
      </c>
      <c r="M441" s="108"/>
      <c r="N441" s="91"/>
      <c r="O441" s="97" t="s">
        <v>146</v>
      </c>
      <c r="P441" s="91"/>
      <c r="Q441" s="91"/>
      <c r="R441" t="str">
        <f t="shared" si="6"/>
        <v>ITSM♦Handle IT Incident♦Implementation COT♦L3♦CP</v>
      </c>
    </row>
    <row r="442" spans="1:18">
      <c r="A442" s="97" t="s">
        <v>39</v>
      </c>
      <c r="B442" s="97" t="s">
        <v>397</v>
      </c>
      <c r="C442" s="97" t="s">
        <v>30</v>
      </c>
      <c r="D442" s="97" t="s">
        <v>58</v>
      </c>
      <c r="E442" s="97" t="s">
        <v>105</v>
      </c>
      <c r="F442" s="116">
        <v>0</v>
      </c>
      <c r="G442" s="91"/>
      <c r="H442" s="91"/>
      <c r="I442" s="91"/>
      <c r="J442" s="108"/>
      <c r="K442" s="108"/>
      <c r="L442" s="97">
        <v>0</v>
      </c>
      <c r="M442" s="108"/>
      <c r="N442" s="91"/>
      <c r="O442" s="97" t="s">
        <v>146</v>
      </c>
      <c r="P442" s="91"/>
      <c r="Q442" s="91"/>
      <c r="R442" t="str">
        <f t="shared" si="6"/>
        <v>ITSM♦Handle IT Incident♦Implementation LUS♦L3♦CP</v>
      </c>
    </row>
    <row r="443" spans="1:18">
      <c r="A443" s="94" t="s">
        <v>39</v>
      </c>
      <c r="B443" s="92" t="s">
        <v>398</v>
      </c>
      <c r="C443" s="92" t="s">
        <v>18</v>
      </c>
      <c r="D443" s="92" t="s">
        <v>58</v>
      </c>
      <c r="E443" s="92" t="s">
        <v>105</v>
      </c>
      <c r="F443" s="115">
        <v>0.75</v>
      </c>
      <c r="G443" s="91"/>
      <c r="H443" s="91"/>
      <c r="I443" s="91"/>
      <c r="J443" s="107">
        <v>46035</v>
      </c>
      <c r="K443" s="107">
        <v>46100</v>
      </c>
      <c r="L443" s="92">
        <v>48</v>
      </c>
      <c r="M443" s="107">
        <v>46100</v>
      </c>
      <c r="N443" s="91"/>
      <c r="O443" s="92" t="s">
        <v>146</v>
      </c>
      <c r="P443" s="91"/>
      <c r="Q443" s="91"/>
      <c r="R443" t="str">
        <f t="shared" si="6"/>
        <v>ITSM♦Handle IT problem♦Total♦L3♦CP</v>
      </c>
    </row>
    <row r="444" spans="1:18" ht="30">
      <c r="A444" s="97" t="s">
        <v>39</v>
      </c>
      <c r="B444" s="97" t="s">
        <v>399</v>
      </c>
      <c r="C444" s="97" t="s">
        <v>22</v>
      </c>
      <c r="D444" s="97" t="s">
        <v>58</v>
      </c>
      <c r="E444" s="97" t="s">
        <v>105</v>
      </c>
      <c r="F444" s="116">
        <v>0.75</v>
      </c>
      <c r="G444" s="97" t="s">
        <v>147</v>
      </c>
      <c r="H444" s="97" t="s">
        <v>542</v>
      </c>
      <c r="I444" s="97" t="s">
        <v>139</v>
      </c>
      <c r="J444" s="108">
        <v>46035</v>
      </c>
      <c r="K444" s="108">
        <v>46100</v>
      </c>
      <c r="L444" s="97">
        <v>48</v>
      </c>
      <c r="M444" s="108">
        <v>46100</v>
      </c>
      <c r="N444" s="97" t="s">
        <v>108</v>
      </c>
      <c r="O444" s="97" t="s">
        <v>146</v>
      </c>
      <c r="P444" s="97" t="s">
        <v>627</v>
      </c>
      <c r="Q444" s="91"/>
      <c r="R444" t="str">
        <f t="shared" si="6"/>
        <v>ITSM♦Handle IT problem♦Elaboration♦L3♦CP</v>
      </c>
    </row>
    <row r="445" spans="1:18">
      <c r="A445" s="97" t="s">
        <v>39</v>
      </c>
      <c r="B445" s="97" t="s">
        <v>399</v>
      </c>
      <c r="C445" s="97" t="s">
        <v>28</v>
      </c>
      <c r="D445" s="97" t="s">
        <v>58</v>
      </c>
      <c r="E445" s="97" t="s">
        <v>105</v>
      </c>
      <c r="F445" s="116">
        <v>0</v>
      </c>
      <c r="G445" s="91"/>
      <c r="H445" s="91"/>
      <c r="I445" s="91"/>
      <c r="J445" s="108"/>
      <c r="K445" s="108"/>
      <c r="L445" s="97">
        <v>0</v>
      </c>
      <c r="M445" s="108"/>
      <c r="N445" s="91"/>
      <c r="O445" s="97" t="s">
        <v>146</v>
      </c>
      <c r="P445" s="91"/>
      <c r="Q445" s="91"/>
      <c r="R445" t="str">
        <f t="shared" si="6"/>
        <v>ITSM♦Handle IT problem♦Implementation LIS♦L3♦CP</v>
      </c>
    </row>
    <row r="446" spans="1:18">
      <c r="A446" s="97" t="s">
        <v>39</v>
      </c>
      <c r="B446" s="97" t="s">
        <v>399</v>
      </c>
      <c r="C446" s="97" t="s">
        <v>29</v>
      </c>
      <c r="D446" s="97" t="s">
        <v>58</v>
      </c>
      <c r="E446" s="97" t="s">
        <v>105</v>
      </c>
      <c r="F446" s="116">
        <v>0</v>
      </c>
      <c r="G446" s="91"/>
      <c r="H446" s="91"/>
      <c r="I446" s="91"/>
      <c r="J446" s="108"/>
      <c r="K446" s="108"/>
      <c r="L446" s="97">
        <v>0</v>
      </c>
      <c r="M446" s="108"/>
      <c r="N446" s="91"/>
      <c r="O446" s="97" t="s">
        <v>146</v>
      </c>
      <c r="P446" s="91"/>
      <c r="Q446" s="91"/>
      <c r="R446" t="str">
        <f t="shared" si="6"/>
        <v>ITSM♦Handle IT problem♦Implementation COT♦L3♦CP</v>
      </c>
    </row>
    <row r="447" spans="1:18">
      <c r="A447" s="97" t="s">
        <v>39</v>
      </c>
      <c r="B447" s="97" t="s">
        <v>399</v>
      </c>
      <c r="C447" s="97" t="s">
        <v>30</v>
      </c>
      <c r="D447" s="97" t="s">
        <v>58</v>
      </c>
      <c r="E447" s="97" t="s">
        <v>105</v>
      </c>
      <c r="F447" s="116">
        <v>0</v>
      </c>
      <c r="G447" s="91"/>
      <c r="H447" s="91"/>
      <c r="I447" s="91"/>
      <c r="J447" s="108"/>
      <c r="K447" s="108"/>
      <c r="L447" s="97">
        <v>0</v>
      </c>
      <c r="M447" s="108"/>
      <c r="N447" s="91"/>
      <c r="O447" s="97" t="s">
        <v>146</v>
      </c>
      <c r="P447" s="91"/>
      <c r="Q447" s="91"/>
      <c r="R447" t="str">
        <f t="shared" si="6"/>
        <v>ITSM♦Handle IT problem♦Implementation LUS♦L3♦CP</v>
      </c>
    </row>
    <row r="448" spans="1:18">
      <c r="A448" s="94" t="s">
        <v>39</v>
      </c>
      <c r="B448" s="92" t="s">
        <v>400</v>
      </c>
      <c r="C448" s="92" t="s">
        <v>18</v>
      </c>
      <c r="D448" s="92" t="s">
        <v>58</v>
      </c>
      <c r="E448" s="92" t="s">
        <v>105</v>
      </c>
      <c r="F448" s="115">
        <v>1</v>
      </c>
      <c r="G448" s="91"/>
      <c r="H448" s="91"/>
      <c r="I448" s="91"/>
      <c r="J448" s="107">
        <v>46055</v>
      </c>
      <c r="K448" s="107">
        <v>46100</v>
      </c>
      <c r="L448" s="92">
        <v>34</v>
      </c>
      <c r="M448" s="107">
        <v>46100</v>
      </c>
      <c r="N448" s="91"/>
      <c r="O448" s="92" t="s">
        <v>146</v>
      </c>
      <c r="P448" s="91"/>
      <c r="Q448" s="91"/>
      <c r="R448" t="str">
        <f t="shared" si="6"/>
        <v>ITSM♦Handle IT service request♦Total♦L3♦CP</v>
      </c>
    </row>
    <row r="449" spans="1:18" ht="30">
      <c r="A449" s="97" t="s">
        <v>39</v>
      </c>
      <c r="B449" s="97" t="s">
        <v>401</v>
      </c>
      <c r="C449" s="97" t="s">
        <v>22</v>
      </c>
      <c r="D449" s="97" t="s">
        <v>58</v>
      </c>
      <c r="E449" s="97" t="s">
        <v>105</v>
      </c>
      <c r="F449" s="116">
        <v>1</v>
      </c>
      <c r="G449" s="97" t="s">
        <v>46</v>
      </c>
      <c r="H449" s="97" t="s">
        <v>542</v>
      </c>
      <c r="I449" s="97" t="s">
        <v>139</v>
      </c>
      <c r="J449" s="108">
        <v>46055</v>
      </c>
      <c r="K449" s="108">
        <v>46100</v>
      </c>
      <c r="L449" s="97">
        <v>34</v>
      </c>
      <c r="M449" s="108">
        <v>46100</v>
      </c>
      <c r="N449" s="97" t="s">
        <v>108</v>
      </c>
      <c r="O449" s="97" t="s">
        <v>146</v>
      </c>
      <c r="P449" s="97" t="s">
        <v>628</v>
      </c>
      <c r="Q449" s="91"/>
      <c r="R449" t="str">
        <f t="shared" si="6"/>
        <v>ITSM♦Handle IT service request♦Elaboration♦L3♦CP</v>
      </c>
    </row>
    <row r="450" spans="1:18">
      <c r="A450" s="97" t="s">
        <v>39</v>
      </c>
      <c r="B450" s="97" t="s">
        <v>401</v>
      </c>
      <c r="C450" s="97" t="s">
        <v>28</v>
      </c>
      <c r="D450" s="97" t="s">
        <v>58</v>
      </c>
      <c r="E450" s="97" t="s">
        <v>105</v>
      </c>
      <c r="F450" s="116">
        <v>0</v>
      </c>
      <c r="G450" s="91"/>
      <c r="H450" s="91"/>
      <c r="I450" s="91"/>
      <c r="J450" s="108"/>
      <c r="K450" s="108"/>
      <c r="L450" s="97">
        <v>0</v>
      </c>
      <c r="M450" s="108"/>
      <c r="N450" s="91"/>
      <c r="O450" s="97" t="s">
        <v>146</v>
      </c>
      <c r="P450" s="97" t="s">
        <v>629</v>
      </c>
      <c r="Q450" s="91"/>
      <c r="R450" t="str">
        <f t="shared" ref="R450:R513" si="7">TRIM(A450)&amp;"♦"&amp;TRIM(B450)&amp;"♦"&amp;TRIM(C450)&amp;"♦"&amp;TRIM(D450)&amp;"♦"&amp;TRIM(E450)</f>
        <v>ITSM♦Handle IT service request♦Implementation LIS♦L3♦CP</v>
      </c>
    </row>
    <row r="451" spans="1:18">
      <c r="A451" s="97" t="s">
        <v>39</v>
      </c>
      <c r="B451" s="97" t="s">
        <v>401</v>
      </c>
      <c r="C451" s="97" t="s">
        <v>29</v>
      </c>
      <c r="D451" s="97" t="s">
        <v>58</v>
      </c>
      <c r="E451" s="97" t="s">
        <v>105</v>
      </c>
      <c r="F451" s="116">
        <v>0</v>
      </c>
      <c r="G451" s="91"/>
      <c r="H451" s="91"/>
      <c r="I451" s="91"/>
      <c r="J451" s="108"/>
      <c r="K451" s="108"/>
      <c r="L451" s="97">
        <v>0</v>
      </c>
      <c r="M451" s="108"/>
      <c r="N451" s="91"/>
      <c r="O451" s="97" t="s">
        <v>146</v>
      </c>
      <c r="P451" s="97" t="s">
        <v>629</v>
      </c>
      <c r="Q451" s="91"/>
      <c r="R451" t="str">
        <f t="shared" si="7"/>
        <v>ITSM♦Handle IT service request♦Implementation COT♦L3♦CP</v>
      </c>
    </row>
    <row r="452" spans="1:18">
      <c r="A452" s="97" t="s">
        <v>39</v>
      </c>
      <c r="B452" s="97" t="s">
        <v>401</v>
      </c>
      <c r="C452" s="97" t="s">
        <v>30</v>
      </c>
      <c r="D452" s="97" t="s">
        <v>58</v>
      </c>
      <c r="E452" s="97" t="s">
        <v>105</v>
      </c>
      <c r="F452" s="116">
        <v>0</v>
      </c>
      <c r="G452" s="91"/>
      <c r="H452" s="91"/>
      <c r="I452" s="91"/>
      <c r="J452" s="108"/>
      <c r="K452" s="108"/>
      <c r="L452" s="97">
        <v>0</v>
      </c>
      <c r="M452" s="108"/>
      <c r="N452" s="91"/>
      <c r="O452" s="97" t="s">
        <v>146</v>
      </c>
      <c r="P452" s="97" t="s">
        <v>629</v>
      </c>
      <c r="Q452" s="91"/>
      <c r="R452" t="str">
        <f t="shared" si="7"/>
        <v>ITSM♦Handle IT service request♦Implementation LUS♦L3♦CP</v>
      </c>
    </row>
    <row r="453" spans="1:18">
      <c r="A453" s="94" t="s">
        <v>39</v>
      </c>
      <c r="B453" s="92" t="s">
        <v>402</v>
      </c>
      <c r="C453" s="92" t="s">
        <v>18</v>
      </c>
      <c r="D453" s="92" t="s">
        <v>58</v>
      </c>
      <c r="E453" s="92" t="s">
        <v>105</v>
      </c>
      <c r="F453" s="115">
        <v>0</v>
      </c>
      <c r="G453" s="91"/>
      <c r="H453" s="91"/>
      <c r="I453" s="91"/>
      <c r="J453" s="107"/>
      <c r="K453" s="107"/>
      <c r="L453" s="92">
        <v>0</v>
      </c>
      <c r="M453" s="107"/>
      <c r="N453" s="91"/>
      <c r="O453" s="92" t="s">
        <v>146</v>
      </c>
      <c r="P453" s="91"/>
      <c r="Q453" s="91"/>
      <c r="R453" t="str">
        <f t="shared" si="7"/>
        <v>ITSM♦Manage IT service desk♦Total♦L3♦CP</v>
      </c>
    </row>
    <row r="454" spans="1:18" ht="60">
      <c r="A454" s="97" t="s">
        <v>39</v>
      </c>
      <c r="B454" s="97" t="s">
        <v>403</v>
      </c>
      <c r="C454" s="97" t="s">
        <v>22</v>
      </c>
      <c r="D454" s="97" t="s">
        <v>58</v>
      </c>
      <c r="E454" s="97" t="s">
        <v>105</v>
      </c>
      <c r="F454" s="116">
        <v>0</v>
      </c>
      <c r="G454" s="97" t="s">
        <v>147</v>
      </c>
      <c r="H454" s="97" t="s">
        <v>542</v>
      </c>
      <c r="I454" s="97" t="s">
        <v>139</v>
      </c>
      <c r="J454" s="108"/>
      <c r="K454" s="108"/>
      <c r="L454" s="97">
        <v>0</v>
      </c>
      <c r="M454" s="108"/>
      <c r="N454" s="91"/>
      <c r="O454" s="97" t="s">
        <v>146</v>
      </c>
      <c r="P454" s="97" t="s">
        <v>630</v>
      </c>
      <c r="Q454" s="91"/>
      <c r="R454" t="str">
        <f t="shared" si="7"/>
        <v>ITSM♦Manage IT service desk♦Elaboration♦L3♦CP</v>
      </c>
    </row>
    <row r="455" spans="1:18">
      <c r="A455" s="97" t="s">
        <v>39</v>
      </c>
      <c r="B455" s="97" t="s">
        <v>403</v>
      </c>
      <c r="C455" s="97" t="s">
        <v>28</v>
      </c>
      <c r="D455" s="97" t="s">
        <v>58</v>
      </c>
      <c r="E455" s="97" t="s">
        <v>105</v>
      </c>
      <c r="F455" s="116">
        <v>0</v>
      </c>
      <c r="G455" s="91"/>
      <c r="H455" s="91"/>
      <c r="I455" s="91"/>
      <c r="J455" s="108"/>
      <c r="K455" s="108"/>
      <c r="L455" s="97">
        <v>0</v>
      </c>
      <c r="M455" s="108"/>
      <c r="N455" s="91"/>
      <c r="O455" s="97" t="s">
        <v>146</v>
      </c>
      <c r="P455" s="91"/>
      <c r="Q455" s="91"/>
      <c r="R455" t="str">
        <f t="shared" si="7"/>
        <v>ITSM♦Manage IT service desk♦Implementation LIS♦L3♦CP</v>
      </c>
    </row>
    <row r="456" spans="1:18">
      <c r="A456" s="97" t="s">
        <v>39</v>
      </c>
      <c r="B456" s="97" t="s">
        <v>403</v>
      </c>
      <c r="C456" s="97" t="s">
        <v>29</v>
      </c>
      <c r="D456" s="97" t="s">
        <v>58</v>
      </c>
      <c r="E456" s="97" t="s">
        <v>105</v>
      </c>
      <c r="F456" s="116">
        <v>0</v>
      </c>
      <c r="G456" s="91"/>
      <c r="H456" s="91"/>
      <c r="I456" s="91"/>
      <c r="J456" s="108"/>
      <c r="K456" s="108"/>
      <c r="L456" s="97">
        <v>0</v>
      </c>
      <c r="M456" s="108"/>
      <c r="N456" s="91"/>
      <c r="O456" s="97" t="s">
        <v>146</v>
      </c>
      <c r="P456" s="91"/>
      <c r="Q456" s="91"/>
      <c r="R456" t="str">
        <f t="shared" si="7"/>
        <v>ITSM♦Manage IT service desk♦Implementation COT♦L3♦CP</v>
      </c>
    </row>
    <row r="457" spans="1:18">
      <c r="A457" s="97" t="s">
        <v>39</v>
      </c>
      <c r="B457" s="97" t="s">
        <v>403</v>
      </c>
      <c r="C457" s="97" t="s">
        <v>30</v>
      </c>
      <c r="D457" s="97" t="s">
        <v>58</v>
      </c>
      <c r="E457" s="97" t="s">
        <v>105</v>
      </c>
      <c r="F457" s="116">
        <v>0</v>
      </c>
      <c r="G457" s="91"/>
      <c r="H457" s="91"/>
      <c r="I457" s="91"/>
      <c r="J457" s="108"/>
      <c r="K457" s="108"/>
      <c r="L457" s="97">
        <v>0</v>
      </c>
      <c r="M457" s="108"/>
      <c r="N457" s="91"/>
      <c r="O457" s="97" t="s">
        <v>146</v>
      </c>
      <c r="P457" s="91"/>
      <c r="Q457" s="91"/>
      <c r="R457" t="str">
        <f t="shared" si="7"/>
        <v>ITSM♦Manage IT service desk♦Implementation LUS♦L3♦CP</v>
      </c>
    </row>
    <row r="458" spans="1:18" ht="30">
      <c r="A458" s="99" t="s">
        <v>168</v>
      </c>
      <c r="B458" s="96" t="s">
        <v>558</v>
      </c>
      <c r="C458" s="96" t="s">
        <v>18</v>
      </c>
      <c r="D458" s="96" t="s">
        <v>19</v>
      </c>
      <c r="E458" s="96" t="s">
        <v>170</v>
      </c>
      <c r="F458" s="113">
        <v>0.5</v>
      </c>
      <c r="G458" s="95"/>
      <c r="H458" s="95"/>
      <c r="I458" s="95"/>
      <c r="J458" s="105">
        <v>45946</v>
      </c>
      <c r="K458" s="105">
        <v>45946</v>
      </c>
      <c r="L458" s="96">
        <v>1</v>
      </c>
      <c r="M458" s="105"/>
      <c r="N458" s="95"/>
      <c r="O458" s="96" t="s">
        <v>405</v>
      </c>
      <c r="P458" s="91"/>
      <c r="Q458" s="91"/>
      <c r="R458" t="str">
        <f t="shared" si="7"/>
        <v>Information security♦Ensure Information security♦Total♦L1♦SP</v>
      </c>
    </row>
    <row r="459" spans="1:18" ht="30">
      <c r="A459" s="97" t="s">
        <v>168</v>
      </c>
      <c r="B459" s="98" t="s">
        <v>406</v>
      </c>
      <c r="C459" s="98" t="s">
        <v>22</v>
      </c>
      <c r="D459" s="98" t="s">
        <v>19</v>
      </c>
      <c r="E459" s="98" t="s">
        <v>170</v>
      </c>
      <c r="F459" s="114">
        <v>0.5</v>
      </c>
      <c r="G459" s="98" t="s">
        <v>48</v>
      </c>
      <c r="H459" s="98" t="s">
        <v>171</v>
      </c>
      <c r="I459" s="98" t="s">
        <v>97</v>
      </c>
      <c r="J459" s="105">
        <v>45946</v>
      </c>
      <c r="K459" s="105"/>
      <c r="L459" s="98">
        <v>0</v>
      </c>
      <c r="M459" s="106"/>
      <c r="N459" s="95"/>
      <c r="O459" s="98" t="s">
        <v>405</v>
      </c>
      <c r="P459" s="91"/>
      <c r="Q459" s="91"/>
      <c r="R459" t="str">
        <f t="shared" si="7"/>
        <v>Information security♦Ensure Information security♦Elaboration♦L1♦SP</v>
      </c>
    </row>
    <row r="460" spans="1:18" ht="30">
      <c r="A460" s="97" t="s">
        <v>168</v>
      </c>
      <c r="B460" s="98" t="s">
        <v>406</v>
      </c>
      <c r="C460" s="98" t="s">
        <v>28</v>
      </c>
      <c r="D460" s="98" t="s">
        <v>19</v>
      </c>
      <c r="E460" s="98" t="s">
        <v>170</v>
      </c>
      <c r="F460" s="114">
        <v>0</v>
      </c>
      <c r="G460" s="95"/>
      <c r="H460" s="95"/>
      <c r="I460" s="95"/>
      <c r="J460" s="106"/>
      <c r="K460" s="106"/>
      <c r="L460" s="98">
        <v>0</v>
      </c>
      <c r="M460" s="106"/>
      <c r="N460" s="95"/>
      <c r="O460" s="98" t="s">
        <v>405</v>
      </c>
      <c r="P460" s="91"/>
      <c r="Q460" s="91"/>
      <c r="R460" t="str">
        <f t="shared" si="7"/>
        <v>Information security♦Ensure Information security♦Implementation LIS♦L1♦SP</v>
      </c>
    </row>
    <row r="461" spans="1:18" ht="30">
      <c r="A461" s="97" t="s">
        <v>168</v>
      </c>
      <c r="B461" s="98" t="s">
        <v>406</v>
      </c>
      <c r="C461" s="98" t="s">
        <v>29</v>
      </c>
      <c r="D461" s="98" t="s">
        <v>19</v>
      </c>
      <c r="E461" s="98" t="s">
        <v>170</v>
      </c>
      <c r="F461" s="114">
        <v>0</v>
      </c>
      <c r="G461" s="95"/>
      <c r="H461" s="95"/>
      <c r="I461" s="95"/>
      <c r="J461" s="106"/>
      <c r="K461" s="106"/>
      <c r="L461" s="98">
        <v>0</v>
      </c>
      <c r="M461" s="106"/>
      <c r="N461" s="95"/>
      <c r="O461" s="98" t="s">
        <v>405</v>
      </c>
      <c r="P461" s="91"/>
      <c r="Q461" s="91"/>
      <c r="R461" t="str">
        <f t="shared" si="7"/>
        <v>Information security♦Ensure Information security♦Implementation COT♦L1♦SP</v>
      </c>
    </row>
    <row r="462" spans="1:18" ht="30">
      <c r="A462" s="97" t="s">
        <v>168</v>
      </c>
      <c r="B462" s="98" t="s">
        <v>406</v>
      </c>
      <c r="C462" s="98" t="s">
        <v>30</v>
      </c>
      <c r="D462" s="98" t="s">
        <v>19</v>
      </c>
      <c r="E462" s="98" t="s">
        <v>170</v>
      </c>
      <c r="F462" s="114">
        <v>0</v>
      </c>
      <c r="G462" s="95"/>
      <c r="H462" s="95"/>
      <c r="I462" s="95"/>
      <c r="J462" s="106"/>
      <c r="K462" s="106"/>
      <c r="L462" s="98">
        <v>0</v>
      </c>
      <c r="M462" s="106"/>
      <c r="N462" s="95"/>
      <c r="O462" s="98" t="s">
        <v>405</v>
      </c>
      <c r="P462" s="91"/>
      <c r="Q462" s="91"/>
      <c r="R462" t="str">
        <f t="shared" si="7"/>
        <v>Information security♦Ensure Information security♦Implementation LUS♦L1♦SP</v>
      </c>
    </row>
    <row r="463" spans="1:18" ht="30">
      <c r="A463" s="94" t="s">
        <v>168</v>
      </c>
      <c r="B463" s="92" t="s">
        <v>407</v>
      </c>
      <c r="C463" s="92" t="s">
        <v>18</v>
      </c>
      <c r="D463" s="92" t="s">
        <v>33</v>
      </c>
      <c r="E463" s="92" t="s">
        <v>170</v>
      </c>
      <c r="F463" s="115">
        <v>0.5</v>
      </c>
      <c r="G463" s="91"/>
      <c r="H463" s="91"/>
      <c r="I463" s="91"/>
      <c r="J463" s="107">
        <v>45946</v>
      </c>
      <c r="K463" s="107"/>
      <c r="L463" s="92">
        <v>0</v>
      </c>
      <c r="M463" s="107"/>
      <c r="N463" s="91"/>
      <c r="O463" s="92" t="s">
        <v>405</v>
      </c>
      <c r="P463" s="91"/>
      <c r="Q463" s="91"/>
      <c r="R463" t="str">
        <f t="shared" si="7"/>
        <v>Information security♦Perform SaaS Security Assessment♦Total♦L2♦SP</v>
      </c>
    </row>
    <row r="464" spans="1:18" ht="45">
      <c r="A464" s="97" t="s">
        <v>168</v>
      </c>
      <c r="B464" s="97" t="s">
        <v>408</v>
      </c>
      <c r="C464" s="97" t="s">
        <v>22</v>
      </c>
      <c r="D464" s="97" t="s">
        <v>33</v>
      </c>
      <c r="E464" s="97" t="s">
        <v>170</v>
      </c>
      <c r="F464" s="116">
        <v>0.5</v>
      </c>
      <c r="G464" s="97" t="s">
        <v>498</v>
      </c>
      <c r="H464" s="97" t="s">
        <v>173</v>
      </c>
      <c r="I464" s="97" t="s">
        <v>50</v>
      </c>
      <c r="J464" s="108">
        <v>45949</v>
      </c>
      <c r="K464" s="108">
        <v>46142</v>
      </c>
      <c r="L464" s="97">
        <v>139</v>
      </c>
      <c r="M464" s="108"/>
      <c r="N464" s="97" t="s">
        <v>26</v>
      </c>
      <c r="O464" s="97" t="s">
        <v>405</v>
      </c>
      <c r="P464" s="91"/>
      <c r="Q464" s="91"/>
      <c r="R464" t="str">
        <f t="shared" si="7"/>
        <v>Information security♦Perform SaaS Security Assessment♦Elaboration♦L2♦SP</v>
      </c>
    </row>
    <row r="465" spans="1:18" ht="30">
      <c r="A465" s="97" t="s">
        <v>168</v>
      </c>
      <c r="B465" s="97" t="s">
        <v>408</v>
      </c>
      <c r="C465" s="97" t="s">
        <v>28</v>
      </c>
      <c r="D465" s="97" t="s">
        <v>33</v>
      </c>
      <c r="E465" s="97" t="s">
        <v>170</v>
      </c>
      <c r="F465" s="116">
        <v>0</v>
      </c>
      <c r="G465" s="91"/>
      <c r="H465" s="91"/>
      <c r="I465" s="91"/>
      <c r="J465" s="108"/>
      <c r="K465" s="108"/>
      <c r="L465" s="97">
        <v>0</v>
      </c>
      <c r="M465" s="108"/>
      <c r="N465" s="91"/>
      <c r="O465" s="97" t="s">
        <v>405</v>
      </c>
      <c r="P465" s="91"/>
      <c r="Q465" s="91"/>
      <c r="R465" t="str">
        <f t="shared" si="7"/>
        <v>Information security♦Perform SaaS Security Assessment♦Implementation LIS♦L2♦SP</v>
      </c>
    </row>
    <row r="466" spans="1:18" ht="30">
      <c r="A466" s="97" t="s">
        <v>168</v>
      </c>
      <c r="B466" s="97" t="s">
        <v>408</v>
      </c>
      <c r="C466" s="97" t="s">
        <v>29</v>
      </c>
      <c r="D466" s="97" t="s">
        <v>33</v>
      </c>
      <c r="E466" s="97" t="s">
        <v>170</v>
      </c>
      <c r="F466" s="116">
        <v>0</v>
      </c>
      <c r="G466" s="91"/>
      <c r="H466" s="91"/>
      <c r="I466" s="91"/>
      <c r="J466" s="108"/>
      <c r="K466" s="108"/>
      <c r="L466" s="97">
        <v>0</v>
      </c>
      <c r="M466" s="108"/>
      <c r="N466" s="91"/>
      <c r="O466" s="97" t="s">
        <v>405</v>
      </c>
      <c r="P466" s="91"/>
      <c r="Q466" s="91"/>
      <c r="R466" t="str">
        <f t="shared" si="7"/>
        <v>Information security♦Perform SaaS Security Assessment♦Implementation COT♦L2♦SP</v>
      </c>
    </row>
    <row r="467" spans="1:18" ht="30">
      <c r="A467" s="97" t="s">
        <v>168</v>
      </c>
      <c r="B467" s="97" t="s">
        <v>408</v>
      </c>
      <c r="C467" s="97" t="s">
        <v>30</v>
      </c>
      <c r="D467" s="97" t="s">
        <v>33</v>
      </c>
      <c r="E467" s="97" t="s">
        <v>170</v>
      </c>
      <c r="F467" s="116">
        <v>0</v>
      </c>
      <c r="G467" s="91"/>
      <c r="H467" s="91"/>
      <c r="I467" s="91"/>
      <c r="J467" s="108"/>
      <c r="K467" s="108"/>
      <c r="L467" s="97">
        <v>0</v>
      </c>
      <c r="M467" s="108"/>
      <c r="N467" s="91"/>
      <c r="O467" s="97" t="s">
        <v>405</v>
      </c>
      <c r="P467" s="91"/>
      <c r="Q467" s="91"/>
      <c r="R467" t="str">
        <f t="shared" si="7"/>
        <v>Information security♦Perform SaaS Security Assessment♦Implementation LUS♦L2♦SP</v>
      </c>
    </row>
    <row r="468" spans="1:18">
      <c r="A468" s="99" t="s">
        <v>44</v>
      </c>
      <c r="B468" s="96" t="s">
        <v>409</v>
      </c>
      <c r="C468" s="96" t="s">
        <v>18</v>
      </c>
      <c r="D468" s="96" t="s">
        <v>19</v>
      </c>
      <c r="E468" s="96" t="s">
        <v>170</v>
      </c>
      <c r="F468" s="113">
        <v>1</v>
      </c>
      <c r="G468" s="95"/>
      <c r="H468" s="95"/>
      <c r="I468" s="95"/>
      <c r="J468" s="105">
        <v>45852</v>
      </c>
      <c r="K468" s="105">
        <v>46001</v>
      </c>
      <c r="L468" s="96">
        <v>108</v>
      </c>
      <c r="M468" s="105">
        <v>45918</v>
      </c>
      <c r="N468" s="95"/>
      <c r="O468" s="96" t="s">
        <v>174</v>
      </c>
      <c r="P468" s="91"/>
      <c r="Q468" s="91"/>
      <c r="R468" t="str">
        <f t="shared" si="7"/>
        <v>IT project management♦Manage IT project♦Total♦L1♦SP</v>
      </c>
    </row>
    <row r="469" spans="1:18" ht="30">
      <c r="A469" s="97" t="s">
        <v>44</v>
      </c>
      <c r="B469" s="98" t="s">
        <v>410</v>
      </c>
      <c r="C469" s="98" t="s">
        <v>22</v>
      </c>
      <c r="D469" s="98" t="s">
        <v>19</v>
      </c>
      <c r="E469" s="98" t="s">
        <v>170</v>
      </c>
      <c r="F469" s="114">
        <v>1</v>
      </c>
      <c r="G469" s="98" t="s">
        <v>46</v>
      </c>
      <c r="H469" s="98" t="s">
        <v>47</v>
      </c>
      <c r="I469" s="98" t="s">
        <v>48</v>
      </c>
      <c r="J469" s="106">
        <v>45972</v>
      </c>
      <c r="K469" s="106">
        <v>46001</v>
      </c>
      <c r="L469" s="98">
        <v>22</v>
      </c>
      <c r="M469" s="106">
        <v>46050</v>
      </c>
      <c r="N469" s="98" t="s">
        <v>108</v>
      </c>
      <c r="O469" s="98" t="s">
        <v>174</v>
      </c>
      <c r="P469" s="91"/>
      <c r="Q469" s="91"/>
      <c r="R469" t="str">
        <f t="shared" si="7"/>
        <v>IT project management♦Manage IT project♦Elaboration♦L1♦SP</v>
      </c>
    </row>
    <row r="470" spans="1:18" ht="30">
      <c r="A470" s="97" t="s">
        <v>44</v>
      </c>
      <c r="B470" s="98" t="s">
        <v>410</v>
      </c>
      <c r="C470" s="98" t="s">
        <v>28</v>
      </c>
      <c r="D470" s="98" t="s">
        <v>19</v>
      </c>
      <c r="E470" s="98" t="s">
        <v>170</v>
      </c>
      <c r="F470" s="114">
        <v>0</v>
      </c>
      <c r="G470" s="95"/>
      <c r="H470" s="95"/>
      <c r="I470" s="95"/>
      <c r="J470" s="106"/>
      <c r="K470" s="106"/>
      <c r="L470" s="98">
        <v>0</v>
      </c>
      <c r="M470" s="106"/>
      <c r="N470" s="95"/>
      <c r="O470" s="98" t="s">
        <v>174</v>
      </c>
      <c r="P470" s="97" t="s">
        <v>631</v>
      </c>
      <c r="Q470" s="91"/>
      <c r="R470" t="str">
        <f t="shared" si="7"/>
        <v>IT project management♦Manage IT project♦Implementation LIS♦L1♦SP</v>
      </c>
    </row>
    <row r="471" spans="1:18" ht="30">
      <c r="A471" s="97" t="s">
        <v>44</v>
      </c>
      <c r="B471" s="98" t="s">
        <v>410</v>
      </c>
      <c r="C471" s="98" t="s">
        <v>29</v>
      </c>
      <c r="D471" s="98" t="s">
        <v>19</v>
      </c>
      <c r="E471" s="98" t="s">
        <v>170</v>
      </c>
      <c r="F471" s="114">
        <v>0</v>
      </c>
      <c r="G471" s="95"/>
      <c r="H471" s="95"/>
      <c r="I471" s="95"/>
      <c r="J471" s="106"/>
      <c r="K471" s="106"/>
      <c r="L471" s="98">
        <v>0</v>
      </c>
      <c r="M471" s="106"/>
      <c r="N471" s="95"/>
      <c r="O471" s="98" t="s">
        <v>174</v>
      </c>
      <c r="P471" s="97" t="s">
        <v>631</v>
      </c>
      <c r="Q471" s="91"/>
      <c r="R471" t="str">
        <f t="shared" si="7"/>
        <v>IT project management♦Manage IT project♦Implementation COT♦L1♦SP</v>
      </c>
    </row>
    <row r="472" spans="1:18" ht="30">
      <c r="A472" s="97" t="s">
        <v>44</v>
      </c>
      <c r="B472" s="98" t="s">
        <v>410</v>
      </c>
      <c r="C472" s="98" t="s">
        <v>30</v>
      </c>
      <c r="D472" s="98" t="s">
        <v>19</v>
      </c>
      <c r="E472" s="98" t="s">
        <v>170</v>
      </c>
      <c r="F472" s="114">
        <v>0</v>
      </c>
      <c r="G472" s="95"/>
      <c r="H472" s="95"/>
      <c r="I472" s="95"/>
      <c r="J472" s="106"/>
      <c r="K472" s="106"/>
      <c r="L472" s="98">
        <v>0</v>
      </c>
      <c r="M472" s="106"/>
      <c r="N472" s="95"/>
      <c r="O472" s="98" t="s">
        <v>174</v>
      </c>
      <c r="P472" s="97" t="s">
        <v>631</v>
      </c>
      <c r="Q472" s="91"/>
      <c r="R472" t="str">
        <f t="shared" si="7"/>
        <v>IT project management♦Manage IT project♦Implementation LUS♦L1♦SP</v>
      </c>
    </row>
    <row r="473" spans="1:18">
      <c r="A473" s="94" t="s">
        <v>44</v>
      </c>
      <c r="B473" s="92" t="s">
        <v>411</v>
      </c>
      <c r="C473" s="92" t="s">
        <v>18</v>
      </c>
      <c r="D473" s="92" t="s">
        <v>33</v>
      </c>
      <c r="E473" s="92" t="s">
        <v>170</v>
      </c>
      <c r="F473" s="115">
        <v>1</v>
      </c>
      <c r="G473" s="91"/>
      <c r="H473" s="91"/>
      <c r="I473" s="91"/>
      <c r="J473" s="107">
        <v>45852</v>
      </c>
      <c r="K473" s="107">
        <v>45852</v>
      </c>
      <c r="L473" s="92">
        <v>1</v>
      </c>
      <c r="M473" s="107">
        <v>45918</v>
      </c>
      <c r="N473" s="91"/>
      <c r="O473" s="92" t="s">
        <v>174</v>
      </c>
      <c r="P473" s="91"/>
      <c r="Q473" s="91"/>
      <c r="R473" t="str">
        <f t="shared" si="7"/>
        <v>IT project management♦Initiate IT project♦Total♦L2♦SP</v>
      </c>
    </row>
    <row r="474" spans="1:18" ht="30">
      <c r="A474" s="97" t="s">
        <v>44</v>
      </c>
      <c r="B474" s="97" t="s">
        <v>412</v>
      </c>
      <c r="C474" s="97" t="s">
        <v>22</v>
      </c>
      <c r="D474" s="97" t="s">
        <v>33</v>
      </c>
      <c r="E474" s="97" t="s">
        <v>170</v>
      </c>
      <c r="F474" s="116">
        <v>1</v>
      </c>
      <c r="G474" s="97" t="s">
        <v>46</v>
      </c>
      <c r="H474" s="97" t="s">
        <v>47</v>
      </c>
      <c r="I474" s="97" t="s">
        <v>48</v>
      </c>
      <c r="J474" s="108">
        <v>45972</v>
      </c>
      <c r="K474" s="108">
        <v>46001</v>
      </c>
      <c r="L474" s="97">
        <v>22</v>
      </c>
      <c r="M474" s="108">
        <v>46050</v>
      </c>
      <c r="N474" s="97" t="s">
        <v>108</v>
      </c>
      <c r="O474" s="97" t="s">
        <v>174</v>
      </c>
      <c r="P474" s="91"/>
      <c r="Q474" s="91"/>
      <c r="R474" t="str">
        <f t="shared" si="7"/>
        <v>IT project management♦Initiate IT project♦Elaboration♦L2♦SP</v>
      </c>
    </row>
    <row r="475" spans="1:18" ht="30">
      <c r="A475" s="97" t="s">
        <v>44</v>
      </c>
      <c r="B475" s="97" t="s">
        <v>412</v>
      </c>
      <c r="C475" s="97" t="s">
        <v>28</v>
      </c>
      <c r="D475" s="97" t="s">
        <v>33</v>
      </c>
      <c r="E475" s="97" t="s">
        <v>170</v>
      </c>
      <c r="F475" s="116">
        <v>0</v>
      </c>
      <c r="G475" s="91"/>
      <c r="H475" s="91"/>
      <c r="I475" s="91"/>
      <c r="J475" s="108"/>
      <c r="K475" s="108"/>
      <c r="L475" s="97">
        <v>0</v>
      </c>
      <c r="M475" s="108"/>
      <c r="N475" s="91"/>
      <c r="O475" s="97" t="s">
        <v>174</v>
      </c>
      <c r="P475" s="97" t="s">
        <v>631</v>
      </c>
      <c r="Q475" s="91"/>
      <c r="R475" t="str">
        <f t="shared" si="7"/>
        <v>IT project management♦Initiate IT project♦Implementation LIS♦L2♦SP</v>
      </c>
    </row>
    <row r="476" spans="1:18" ht="30">
      <c r="A476" s="97" t="s">
        <v>44</v>
      </c>
      <c r="B476" s="97" t="s">
        <v>412</v>
      </c>
      <c r="C476" s="97" t="s">
        <v>29</v>
      </c>
      <c r="D476" s="97" t="s">
        <v>33</v>
      </c>
      <c r="E476" s="97" t="s">
        <v>170</v>
      </c>
      <c r="F476" s="116">
        <v>0</v>
      </c>
      <c r="G476" s="91"/>
      <c r="H476" s="91"/>
      <c r="I476" s="91"/>
      <c r="J476" s="108"/>
      <c r="K476" s="108"/>
      <c r="L476" s="97">
        <v>0</v>
      </c>
      <c r="M476" s="108"/>
      <c r="N476" s="91"/>
      <c r="O476" s="97" t="s">
        <v>174</v>
      </c>
      <c r="P476" s="97" t="s">
        <v>631</v>
      </c>
      <c r="Q476" s="91"/>
      <c r="R476" t="str">
        <f t="shared" si="7"/>
        <v>IT project management♦Initiate IT project♦Implementation COT♦L2♦SP</v>
      </c>
    </row>
    <row r="477" spans="1:18" ht="30">
      <c r="A477" s="97" t="s">
        <v>44</v>
      </c>
      <c r="B477" s="97" t="s">
        <v>412</v>
      </c>
      <c r="C477" s="97" t="s">
        <v>30</v>
      </c>
      <c r="D477" s="97" t="s">
        <v>33</v>
      </c>
      <c r="E477" s="97" t="s">
        <v>170</v>
      </c>
      <c r="F477" s="116">
        <v>0</v>
      </c>
      <c r="G477" s="91"/>
      <c r="H477" s="91"/>
      <c r="I477" s="91"/>
      <c r="J477" s="108"/>
      <c r="K477" s="108"/>
      <c r="L477" s="97">
        <v>0</v>
      </c>
      <c r="M477" s="108"/>
      <c r="N477" s="91"/>
      <c r="O477" s="97" t="s">
        <v>174</v>
      </c>
      <c r="P477" s="97" t="s">
        <v>631</v>
      </c>
      <c r="Q477" s="91"/>
      <c r="R477" t="str">
        <f t="shared" si="7"/>
        <v>IT project management♦Initiate IT project♦Implementation LUS♦L2♦SP</v>
      </c>
    </row>
    <row r="478" spans="1:18">
      <c r="A478" s="94" t="s">
        <v>44</v>
      </c>
      <c r="B478" s="92" t="s">
        <v>560</v>
      </c>
      <c r="C478" s="92" t="s">
        <v>18</v>
      </c>
      <c r="D478" s="92" t="s">
        <v>33</v>
      </c>
      <c r="E478" s="92" t="s">
        <v>170</v>
      </c>
      <c r="F478" s="115">
        <v>1</v>
      </c>
      <c r="G478" s="91"/>
      <c r="H478" s="91"/>
      <c r="I478" s="91"/>
      <c r="J478" s="107">
        <v>45852</v>
      </c>
      <c r="K478" s="107">
        <v>45852</v>
      </c>
      <c r="L478" s="92">
        <v>1</v>
      </c>
      <c r="M478" s="107">
        <v>45918</v>
      </c>
      <c r="N478" s="91"/>
      <c r="O478" s="92" t="s">
        <v>174</v>
      </c>
      <c r="P478" s="91"/>
      <c r="Q478" s="91"/>
      <c r="R478" t="str">
        <f t="shared" si="7"/>
        <v>IT project management♦Plan IT project♦Total♦L2♦SP</v>
      </c>
    </row>
    <row r="479" spans="1:18" ht="30">
      <c r="A479" s="97" t="s">
        <v>44</v>
      </c>
      <c r="B479" s="97" t="s">
        <v>414</v>
      </c>
      <c r="C479" s="97" t="s">
        <v>22</v>
      </c>
      <c r="D479" s="97" t="s">
        <v>33</v>
      </c>
      <c r="E479" s="97" t="s">
        <v>170</v>
      </c>
      <c r="F479" s="116">
        <v>1</v>
      </c>
      <c r="G479" s="97" t="s">
        <v>46</v>
      </c>
      <c r="H479" s="97" t="s">
        <v>47</v>
      </c>
      <c r="I479" s="97" t="s">
        <v>48</v>
      </c>
      <c r="J479" s="108">
        <v>45972</v>
      </c>
      <c r="K479" s="108">
        <v>46001</v>
      </c>
      <c r="L479" s="97">
        <v>22</v>
      </c>
      <c r="M479" s="108">
        <v>46050</v>
      </c>
      <c r="N479" s="97" t="s">
        <v>108</v>
      </c>
      <c r="O479" s="97" t="s">
        <v>174</v>
      </c>
      <c r="P479" s="91"/>
      <c r="Q479" s="91"/>
      <c r="R479" t="str">
        <f t="shared" si="7"/>
        <v>IT project management♦Plan IT project♦Elaboration♦L2♦SP</v>
      </c>
    </row>
    <row r="480" spans="1:18" ht="30">
      <c r="A480" s="97" t="s">
        <v>44</v>
      </c>
      <c r="B480" s="97" t="s">
        <v>414</v>
      </c>
      <c r="C480" s="97" t="s">
        <v>28</v>
      </c>
      <c r="D480" s="97" t="s">
        <v>33</v>
      </c>
      <c r="E480" s="97" t="s">
        <v>170</v>
      </c>
      <c r="F480" s="116">
        <v>0</v>
      </c>
      <c r="G480" s="91"/>
      <c r="H480" s="91"/>
      <c r="I480" s="91"/>
      <c r="J480" s="108"/>
      <c r="K480" s="108"/>
      <c r="L480" s="97">
        <v>0</v>
      </c>
      <c r="M480" s="108"/>
      <c r="N480" s="91"/>
      <c r="O480" s="97" t="s">
        <v>174</v>
      </c>
      <c r="P480" s="97" t="s">
        <v>631</v>
      </c>
      <c r="Q480" s="91"/>
      <c r="R480" t="str">
        <f t="shared" si="7"/>
        <v>IT project management♦Plan IT project♦Implementation LIS♦L2♦SP</v>
      </c>
    </row>
    <row r="481" spans="1:18" ht="30">
      <c r="A481" s="97" t="s">
        <v>44</v>
      </c>
      <c r="B481" s="97" t="s">
        <v>414</v>
      </c>
      <c r="C481" s="97" t="s">
        <v>29</v>
      </c>
      <c r="D481" s="97" t="s">
        <v>33</v>
      </c>
      <c r="E481" s="97" t="s">
        <v>170</v>
      </c>
      <c r="F481" s="116">
        <v>0</v>
      </c>
      <c r="G481" s="91"/>
      <c r="H481" s="91"/>
      <c r="I481" s="91"/>
      <c r="J481" s="108"/>
      <c r="K481" s="108"/>
      <c r="L481" s="97">
        <v>0</v>
      </c>
      <c r="M481" s="108"/>
      <c r="N481" s="91"/>
      <c r="O481" s="97" t="s">
        <v>174</v>
      </c>
      <c r="P481" s="97" t="s">
        <v>631</v>
      </c>
      <c r="Q481" s="91"/>
      <c r="R481" t="str">
        <f t="shared" si="7"/>
        <v>IT project management♦Plan IT project♦Implementation COT♦L2♦SP</v>
      </c>
    </row>
    <row r="482" spans="1:18" ht="30">
      <c r="A482" s="97" t="s">
        <v>44</v>
      </c>
      <c r="B482" s="97" t="s">
        <v>414</v>
      </c>
      <c r="C482" s="97" t="s">
        <v>30</v>
      </c>
      <c r="D482" s="97" t="s">
        <v>33</v>
      </c>
      <c r="E482" s="97" t="s">
        <v>170</v>
      </c>
      <c r="F482" s="116">
        <v>0</v>
      </c>
      <c r="G482" s="91"/>
      <c r="H482" s="91"/>
      <c r="I482" s="91"/>
      <c r="J482" s="108"/>
      <c r="K482" s="108"/>
      <c r="L482" s="97">
        <v>0</v>
      </c>
      <c r="M482" s="108"/>
      <c r="N482" s="91"/>
      <c r="O482" s="97" t="s">
        <v>174</v>
      </c>
      <c r="P482" s="97" t="s">
        <v>631</v>
      </c>
      <c r="Q482" s="91"/>
      <c r="R482" t="str">
        <f t="shared" si="7"/>
        <v>IT project management♦Plan IT project♦Implementation LUS♦L2♦SP</v>
      </c>
    </row>
    <row r="483" spans="1:18">
      <c r="A483" s="94" t="s">
        <v>44</v>
      </c>
      <c r="B483" s="92" t="s">
        <v>562</v>
      </c>
      <c r="C483" s="92" t="s">
        <v>18</v>
      </c>
      <c r="D483" s="92" t="s">
        <v>33</v>
      </c>
      <c r="E483" s="92" t="s">
        <v>170</v>
      </c>
      <c r="F483" s="115">
        <v>1</v>
      </c>
      <c r="G483" s="91"/>
      <c r="H483" s="91"/>
      <c r="I483" s="91"/>
      <c r="J483" s="107">
        <v>45852</v>
      </c>
      <c r="K483" s="107">
        <v>45852</v>
      </c>
      <c r="L483" s="92">
        <v>1</v>
      </c>
      <c r="M483" s="107">
        <v>45918</v>
      </c>
      <c r="N483" s="91"/>
      <c r="O483" s="92" t="s">
        <v>174</v>
      </c>
      <c r="P483" s="91"/>
      <c r="Q483" s="91"/>
      <c r="R483" t="str">
        <f t="shared" si="7"/>
        <v>IT project management♦Steer and execute IT project♦Total♦L2♦SP</v>
      </c>
    </row>
    <row r="484" spans="1:18" ht="30">
      <c r="A484" s="97" t="s">
        <v>44</v>
      </c>
      <c r="B484" s="97" t="s">
        <v>632</v>
      </c>
      <c r="C484" s="97" t="s">
        <v>22</v>
      </c>
      <c r="D484" s="97" t="s">
        <v>33</v>
      </c>
      <c r="E484" s="97" t="s">
        <v>170</v>
      </c>
      <c r="F484" s="116">
        <v>1</v>
      </c>
      <c r="G484" s="97" t="s">
        <v>46</v>
      </c>
      <c r="H484" s="97" t="s">
        <v>47</v>
      </c>
      <c r="I484" s="97" t="s">
        <v>48</v>
      </c>
      <c r="J484" s="108">
        <v>45972</v>
      </c>
      <c r="K484" s="108">
        <v>46001</v>
      </c>
      <c r="L484" s="97">
        <v>22</v>
      </c>
      <c r="M484" s="108">
        <v>46050</v>
      </c>
      <c r="N484" s="97" t="s">
        <v>108</v>
      </c>
      <c r="O484" s="97" t="s">
        <v>174</v>
      </c>
      <c r="P484" s="91"/>
      <c r="Q484" s="91"/>
      <c r="R484" t="str">
        <f t="shared" si="7"/>
        <v>IT project management♦Steer and execute IT project♦Elaboration♦L2♦SP</v>
      </c>
    </row>
    <row r="485" spans="1:18" ht="30">
      <c r="A485" s="97" t="s">
        <v>44</v>
      </c>
      <c r="B485" s="97" t="s">
        <v>632</v>
      </c>
      <c r="C485" s="97" t="s">
        <v>28</v>
      </c>
      <c r="D485" s="97" t="s">
        <v>33</v>
      </c>
      <c r="E485" s="97" t="s">
        <v>170</v>
      </c>
      <c r="F485" s="116">
        <v>0</v>
      </c>
      <c r="G485" s="91"/>
      <c r="H485" s="91"/>
      <c r="I485" s="91"/>
      <c r="J485" s="108"/>
      <c r="K485" s="108"/>
      <c r="L485" s="97">
        <v>0</v>
      </c>
      <c r="M485" s="108"/>
      <c r="N485" s="91"/>
      <c r="O485" s="97" t="s">
        <v>174</v>
      </c>
      <c r="P485" s="97" t="s">
        <v>631</v>
      </c>
      <c r="Q485" s="91"/>
      <c r="R485" t="str">
        <f t="shared" si="7"/>
        <v>IT project management♦Steer and execute IT project♦Implementation LIS♦L2♦SP</v>
      </c>
    </row>
    <row r="486" spans="1:18" ht="30">
      <c r="A486" s="97" t="s">
        <v>44</v>
      </c>
      <c r="B486" s="97" t="s">
        <v>632</v>
      </c>
      <c r="C486" s="97" t="s">
        <v>29</v>
      </c>
      <c r="D486" s="97" t="s">
        <v>33</v>
      </c>
      <c r="E486" s="97" t="s">
        <v>170</v>
      </c>
      <c r="F486" s="116">
        <v>0</v>
      </c>
      <c r="G486" s="91"/>
      <c r="H486" s="91"/>
      <c r="I486" s="91"/>
      <c r="J486" s="108"/>
      <c r="K486" s="108"/>
      <c r="L486" s="97">
        <v>0</v>
      </c>
      <c r="M486" s="108"/>
      <c r="N486" s="91"/>
      <c r="O486" s="97" t="s">
        <v>174</v>
      </c>
      <c r="P486" s="97" t="s">
        <v>631</v>
      </c>
      <c r="Q486" s="91"/>
      <c r="R486" t="str">
        <f t="shared" si="7"/>
        <v>IT project management♦Steer and execute IT project♦Implementation COT♦L2♦SP</v>
      </c>
    </row>
    <row r="487" spans="1:18" ht="30">
      <c r="A487" s="97" t="s">
        <v>44</v>
      </c>
      <c r="B487" s="97" t="s">
        <v>632</v>
      </c>
      <c r="C487" s="97" t="s">
        <v>30</v>
      </c>
      <c r="D487" s="97" t="s">
        <v>33</v>
      </c>
      <c r="E487" s="97" t="s">
        <v>170</v>
      </c>
      <c r="F487" s="116">
        <v>0</v>
      </c>
      <c r="G487" s="91"/>
      <c r="H487" s="91"/>
      <c r="I487" s="91"/>
      <c r="J487" s="108"/>
      <c r="K487" s="108"/>
      <c r="L487" s="97">
        <v>0</v>
      </c>
      <c r="M487" s="108"/>
      <c r="N487" s="91"/>
      <c r="O487" s="97" t="s">
        <v>174</v>
      </c>
      <c r="P487" s="97" t="s">
        <v>631</v>
      </c>
      <c r="Q487" s="91"/>
      <c r="R487" t="str">
        <f t="shared" si="7"/>
        <v>IT project management♦Steer and execute IT project♦Implementation LUS♦L2♦SP</v>
      </c>
    </row>
    <row r="488" spans="1:18">
      <c r="A488" s="94" t="s">
        <v>44</v>
      </c>
      <c r="B488" s="92" t="s">
        <v>417</v>
      </c>
      <c r="C488" s="92" t="s">
        <v>18</v>
      </c>
      <c r="D488" s="92" t="s">
        <v>33</v>
      </c>
      <c r="E488" s="92" t="s">
        <v>170</v>
      </c>
      <c r="F488" s="115">
        <v>1</v>
      </c>
      <c r="G488" s="91"/>
      <c r="H488" s="91"/>
      <c r="I488" s="91"/>
      <c r="J488" s="107">
        <v>45852</v>
      </c>
      <c r="K488" s="107">
        <v>45852</v>
      </c>
      <c r="L488" s="92">
        <v>1</v>
      </c>
      <c r="M488" s="107">
        <v>45918</v>
      </c>
      <c r="N488" s="91"/>
      <c r="O488" s="92" t="s">
        <v>174</v>
      </c>
      <c r="P488" s="91"/>
      <c r="Q488" s="91"/>
      <c r="R488" t="str">
        <f t="shared" si="7"/>
        <v>IT project management♦Close IT project♦Total♦L2♦SP</v>
      </c>
    </row>
    <row r="489" spans="1:18" ht="30">
      <c r="A489" s="97" t="s">
        <v>44</v>
      </c>
      <c r="B489" s="97" t="s">
        <v>418</v>
      </c>
      <c r="C489" s="97" t="s">
        <v>22</v>
      </c>
      <c r="D489" s="97" t="s">
        <v>33</v>
      </c>
      <c r="E489" s="97" t="s">
        <v>170</v>
      </c>
      <c r="F489" s="116">
        <v>1</v>
      </c>
      <c r="G489" s="97" t="s">
        <v>46</v>
      </c>
      <c r="H489" s="97" t="s">
        <v>47</v>
      </c>
      <c r="I489" s="97" t="s">
        <v>48</v>
      </c>
      <c r="J489" s="108">
        <v>45972</v>
      </c>
      <c r="K489" s="108">
        <v>46001</v>
      </c>
      <c r="L489" s="97">
        <v>22</v>
      </c>
      <c r="M489" s="108">
        <v>46050</v>
      </c>
      <c r="N489" s="97" t="s">
        <v>108</v>
      </c>
      <c r="O489" s="97" t="s">
        <v>174</v>
      </c>
      <c r="P489" s="91"/>
      <c r="Q489" s="91"/>
      <c r="R489" t="str">
        <f t="shared" si="7"/>
        <v>IT project management♦Close IT project♦Elaboration♦L2♦SP</v>
      </c>
    </row>
    <row r="490" spans="1:18" ht="30">
      <c r="A490" s="97" t="s">
        <v>44</v>
      </c>
      <c r="B490" s="97" t="s">
        <v>418</v>
      </c>
      <c r="C490" s="97" t="s">
        <v>28</v>
      </c>
      <c r="D490" s="97" t="s">
        <v>33</v>
      </c>
      <c r="E490" s="97" t="s">
        <v>170</v>
      </c>
      <c r="F490" s="116">
        <v>0</v>
      </c>
      <c r="G490" s="91"/>
      <c r="H490" s="91"/>
      <c r="I490" s="91"/>
      <c r="J490" s="108"/>
      <c r="K490" s="108"/>
      <c r="L490" s="97">
        <v>0</v>
      </c>
      <c r="M490" s="108"/>
      <c r="N490" s="91"/>
      <c r="O490" s="97" t="s">
        <v>174</v>
      </c>
      <c r="P490" s="97" t="s">
        <v>631</v>
      </c>
      <c r="Q490" s="91"/>
      <c r="R490" t="str">
        <f t="shared" si="7"/>
        <v>IT project management♦Close IT project♦Implementation LIS♦L2♦SP</v>
      </c>
    </row>
    <row r="491" spans="1:18" ht="30">
      <c r="A491" s="97" t="s">
        <v>44</v>
      </c>
      <c r="B491" s="97" t="s">
        <v>418</v>
      </c>
      <c r="C491" s="97" t="s">
        <v>29</v>
      </c>
      <c r="D491" s="97" t="s">
        <v>33</v>
      </c>
      <c r="E491" s="97" t="s">
        <v>170</v>
      </c>
      <c r="F491" s="116">
        <v>0</v>
      </c>
      <c r="G491" s="91"/>
      <c r="H491" s="91"/>
      <c r="I491" s="91"/>
      <c r="J491" s="108"/>
      <c r="K491" s="108"/>
      <c r="L491" s="97">
        <v>0</v>
      </c>
      <c r="M491" s="108"/>
      <c r="N491" s="91"/>
      <c r="O491" s="97" t="s">
        <v>174</v>
      </c>
      <c r="P491" s="97" t="s">
        <v>631</v>
      </c>
      <c r="Q491" s="91"/>
      <c r="R491" t="str">
        <f t="shared" si="7"/>
        <v>IT project management♦Close IT project♦Implementation COT♦L2♦SP</v>
      </c>
    </row>
    <row r="492" spans="1:18" ht="30">
      <c r="A492" s="97" t="s">
        <v>44</v>
      </c>
      <c r="B492" s="97" t="s">
        <v>418</v>
      </c>
      <c r="C492" s="97" t="s">
        <v>30</v>
      </c>
      <c r="D492" s="97" t="s">
        <v>33</v>
      </c>
      <c r="E492" s="97" t="s">
        <v>170</v>
      </c>
      <c r="F492" s="116">
        <v>0</v>
      </c>
      <c r="G492" s="91"/>
      <c r="H492" s="91"/>
      <c r="I492" s="91"/>
      <c r="J492" s="108"/>
      <c r="K492" s="108"/>
      <c r="L492" s="97">
        <v>0</v>
      </c>
      <c r="M492" s="108"/>
      <c r="N492" s="91"/>
      <c r="O492" s="97" t="s">
        <v>174</v>
      </c>
      <c r="P492" s="97" t="s">
        <v>631</v>
      </c>
      <c r="Q492" s="91"/>
      <c r="R492" t="str">
        <f t="shared" si="7"/>
        <v>IT project management♦Close IT project♦Implementation LUS♦L2♦SP</v>
      </c>
    </row>
    <row r="493" spans="1:18">
      <c r="A493" s="94" t="s">
        <v>44</v>
      </c>
      <c r="B493" s="92" t="s">
        <v>564</v>
      </c>
      <c r="C493" s="92" t="s">
        <v>18</v>
      </c>
      <c r="D493" s="92" t="s">
        <v>33</v>
      </c>
      <c r="E493" s="92" t="s">
        <v>170</v>
      </c>
      <c r="F493" s="115">
        <v>1</v>
      </c>
      <c r="G493" s="91"/>
      <c r="H493" s="91"/>
      <c r="I493" s="91"/>
      <c r="J493" s="107">
        <v>45852</v>
      </c>
      <c r="K493" s="107">
        <v>45852</v>
      </c>
      <c r="L493" s="92">
        <v>1</v>
      </c>
      <c r="M493" s="107">
        <v>45918</v>
      </c>
      <c r="N493" s="91"/>
      <c r="O493" s="92" t="s">
        <v>174</v>
      </c>
      <c r="P493" s="91"/>
      <c r="Q493" s="91"/>
      <c r="R493" t="str">
        <f t="shared" si="7"/>
        <v>IT project management♦Manage IT project change request♦Total♦L2♦SP</v>
      </c>
    </row>
    <row r="494" spans="1:18" ht="30">
      <c r="A494" s="97" t="s">
        <v>44</v>
      </c>
      <c r="B494" s="97" t="s">
        <v>420</v>
      </c>
      <c r="C494" s="97" t="s">
        <v>22</v>
      </c>
      <c r="D494" s="97" t="s">
        <v>33</v>
      </c>
      <c r="E494" s="97" t="s">
        <v>170</v>
      </c>
      <c r="F494" s="116">
        <v>1</v>
      </c>
      <c r="G494" s="97" t="s">
        <v>46</v>
      </c>
      <c r="H494" s="97" t="s">
        <v>47</v>
      </c>
      <c r="I494" s="97" t="s">
        <v>48</v>
      </c>
      <c r="J494" s="108">
        <v>45972</v>
      </c>
      <c r="K494" s="108">
        <v>46001</v>
      </c>
      <c r="L494" s="97">
        <v>22</v>
      </c>
      <c r="M494" s="108">
        <v>46050</v>
      </c>
      <c r="N494" s="97" t="s">
        <v>108</v>
      </c>
      <c r="O494" s="97" t="s">
        <v>174</v>
      </c>
      <c r="P494" s="91"/>
      <c r="Q494" s="91"/>
      <c r="R494" t="str">
        <f t="shared" si="7"/>
        <v>IT project management♦Manage IT project change request♦Elaboration♦L2♦SP</v>
      </c>
    </row>
    <row r="495" spans="1:18" ht="30">
      <c r="A495" s="97" t="s">
        <v>44</v>
      </c>
      <c r="B495" s="97" t="s">
        <v>420</v>
      </c>
      <c r="C495" s="97" t="s">
        <v>28</v>
      </c>
      <c r="D495" s="97" t="s">
        <v>33</v>
      </c>
      <c r="E495" s="97" t="s">
        <v>170</v>
      </c>
      <c r="F495" s="116">
        <v>0</v>
      </c>
      <c r="G495" s="91"/>
      <c r="H495" s="91"/>
      <c r="I495" s="91"/>
      <c r="J495" s="108"/>
      <c r="K495" s="108"/>
      <c r="L495" s="97">
        <v>0</v>
      </c>
      <c r="M495" s="108"/>
      <c r="N495" s="91"/>
      <c r="O495" s="97" t="s">
        <v>174</v>
      </c>
      <c r="P495" s="97" t="s">
        <v>631</v>
      </c>
      <c r="Q495" s="91"/>
      <c r="R495" t="str">
        <f t="shared" si="7"/>
        <v>IT project management♦Manage IT project change request♦Implementation LIS♦L2♦SP</v>
      </c>
    </row>
    <row r="496" spans="1:18" ht="30">
      <c r="A496" s="97" t="s">
        <v>44</v>
      </c>
      <c r="B496" s="97" t="s">
        <v>420</v>
      </c>
      <c r="C496" s="97" t="s">
        <v>29</v>
      </c>
      <c r="D496" s="97" t="s">
        <v>33</v>
      </c>
      <c r="E496" s="97" t="s">
        <v>170</v>
      </c>
      <c r="F496" s="116">
        <v>0</v>
      </c>
      <c r="G496" s="91"/>
      <c r="H496" s="91"/>
      <c r="I496" s="91"/>
      <c r="J496" s="108"/>
      <c r="K496" s="108"/>
      <c r="L496" s="97">
        <v>0</v>
      </c>
      <c r="M496" s="108"/>
      <c r="N496" s="91"/>
      <c r="O496" s="97" t="s">
        <v>174</v>
      </c>
      <c r="P496" s="97" t="s">
        <v>631</v>
      </c>
      <c r="Q496" s="91"/>
      <c r="R496" t="str">
        <f t="shared" si="7"/>
        <v>IT project management♦Manage IT project change request♦Implementation COT♦L2♦SP</v>
      </c>
    </row>
    <row r="497" spans="1:18" ht="30">
      <c r="A497" s="97" t="s">
        <v>44</v>
      </c>
      <c r="B497" s="97" t="s">
        <v>420</v>
      </c>
      <c r="C497" s="97" t="s">
        <v>30</v>
      </c>
      <c r="D497" s="97" t="s">
        <v>33</v>
      </c>
      <c r="E497" s="97" t="s">
        <v>170</v>
      </c>
      <c r="F497" s="116">
        <v>0</v>
      </c>
      <c r="G497" s="91"/>
      <c r="H497" s="91"/>
      <c r="I497" s="91"/>
      <c r="J497" s="108"/>
      <c r="K497" s="108"/>
      <c r="L497" s="97">
        <v>0</v>
      </c>
      <c r="M497" s="108"/>
      <c r="N497" s="91"/>
      <c r="O497" s="97" t="s">
        <v>174</v>
      </c>
      <c r="P497" s="97" t="s">
        <v>631</v>
      </c>
      <c r="Q497" s="91"/>
      <c r="R497" t="str">
        <f t="shared" si="7"/>
        <v>IT project management♦Manage IT project change request♦Implementation LUS♦L2♦SP</v>
      </c>
    </row>
    <row r="498" spans="1:18" ht="30">
      <c r="A498" s="94" t="s">
        <v>44</v>
      </c>
      <c r="B498" s="92" t="s">
        <v>421</v>
      </c>
      <c r="C498" s="92" t="s">
        <v>18</v>
      </c>
      <c r="D498" s="92" t="s">
        <v>33</v>
      </c>
      <c r="E498" s="92" t="s">
        <v>170</v>
      </c>
      <c r="F498" s="115">
        <v>1</v>
      </c>
      <c r="G498" s="91"/>
      <c r="H498" s="91"/>
      <c r="I498" s="91"/>
      <c r="J498" s="107">
        <v>45852</v>
      </c>
      <c r="K498" s="107">
        <v>45852</v>
      </c>
      <c r="L498" s="92">
        <v>1</v>
      </c>
      <c r="M498" s="107"/>
      <c r="N498" s="91"/>
      <c r="O498" s="92" t="s">
        <v>174</v>
      </c>
      <c r="P498" s="91"/>
      <c r="Q498" s="91"/>
      <c r="R498" t="str">
        <f t="shared" si="7"/>
        <v>IT project management♦Assign personnel resources to IT project♦Total♦L2♦SP</v>
      </c>
    </row>
    <row r="499" spans="1:18" ht="30">
      <c r="A499" s="97" t="s">
        <v>44</v>
      </c>
      <c r="B499" s="97" t="s">
        <v>422</v>
      </c>
      <c r="C499" s="97" t="s">
        <v>22</v>
      </c>
      <c r="D499" s="97" t="s">
        <v>33</v>
      </c>
      <c r="E499" s="97" t="s">
        <v>170</v>
      </c>
      <c r="F499" s="116">
        <v>1</v>
      </c>
      <c r="G499" s="97" t="s">
        <v>46</v>
      </c>
      <c r="H499" s="97" t="s">
        <v>47</v>
      </c>
      <c r="I499" s="97" t="s">
        <v>48</v>
      </c>
      <c r="J499" s="108">
        <v>45972</v>
      </c>
      <c r="K499" s="108">
        <v>46001</v>
      </c>
      <c r="L499" s="97">
        <v>22</v>
      </c>
      <c r="M499" s="108">
        <v>46050</v>
      </c>
      <c r="N499" s="97" t="s">
        <v>108</v>
      </c>
      <c r="O499" s="97" t="s">
        <v>174</v>
      </c>
      <c r="P499" s="91"/>
      <c r="Q499" s="91"/>
      <c r="R499" t="str">
        <f t="shared" si="7"/>
        <v>IT project management♦Ressourcemanagement for IT projects♦Elaboration♦L2♦SP</v>
      </c>
    </row>
    <row r="500" spans="1:18" ht="30">
      <c r="A500" s="97" t="s">
        <v>44</v>
      </c>
      <c r="B500" s="97" t="s">
        <v>422</v>
      </c>
      <c r="C500" s="97" t="s">
        <v>28</v>
      </c>
      <c r="D500" s="97" t="s">
        <v>33</v>
      </c>
      <c r="E500" s="97" t="s">
        <v>170</v>
      </c>
      <c r="F500" s="116">
        <v>0</v>
      </c>
      <c r="G500" s="91"/>
      <c r="H500" s="91"/>
      <c r="I500" s="91"/>
      <c r="J500" s="108"/>
      <c r="K500" s="108"/>
      <c r="L500" s="97">
        <v>0</v>
      </c>
      <c r="M500" s="108"/>
      <c r="N500" s="91"/>
      <c r="O500" s="97" t="s">
        <v>174</v>
      </c>
      <c r="P500" s="97" t="s">
        <v>631</v>
      </c>
      <c r="Q500" s="91"/>
      <c r="R500" t="str">
        <f t="shared" si="7"/>
        <v>IT project management♦Ressourcemanagement for IT projects♦Implementation LIS♦L2♦SP</v>
      </c>
    </row>
    <row r="501" spans="1:18" ht="30">
      <c r="A501" s="97" t="s">
        <v>44</v>
      </c>
      <c r="B501" s="97" t="s">
        <v>422</v>
      </c>
      <c r="C501" s="97" t="s">
        <v>29</v>
      </c>
      <c r="D501" s="97" t="s">
        <v>33</v>
      </c>
      <c r="E501" s="97" t="s">
        <v>170</v>
      </c>
      <c r="F501" s="116">
        <v>0</v>
      </c>
      <c r="G501" s="91"/>
      <c r="H501" s="91"/>
      <c r="I501" s="91"/>
      <c r="J501" s="108"/>
      <c r="K501" s="108"/>
      <c r="L501" s="97">
        <v>0</v>
      </c>
      <c r="M501" s="108"/>
      <c r="N501" s="91"/>
      <c r="O501" s="97" t="s">
        <v>174</v>
      </c>
      <c r="P501" s="97" t="s">
        <v>631</v>
      </c>
      <c r="Q501" s="91"/>
      <c r="R501" t="str">
        <f t="shared" si="7"/>
        <v>IT project management♦Ressourcemanagement for IT projects♦Implementation COT♦L2♦SP</v>
      </c>
    </row>
    <row r="502" spans="1:18" ht="30">
      <c r="A502" s="97" t="s">
        <v>44</v>
      </c>
      <c r="B502" s="97" t="s">
        <v>422</v>
      </c>
      <c r="C502" s="97" t="s">
        <v>30</v>
      </c>
      <c r="D502" s="97" t="s">
        <v>33</v>
      </c>
      <c r="E502" s="97" t="s">
        <v>170</v>
      </c>
      <c r="F502" s="116">
        <v>0</v>
      </c>
      <c r="G502" s="91"/>
      <c r="H502" s="91"/>
      <c r="I502" s="91"/>
      <c r="J502" s="108"/>
      <c r="K502" s="108"/>
      <c r="L502" s="97">
        <v>0</v>
      </c>
      <c r="M502" s="108"/>
      <c r="N502" s="91"/>
      <c r="O502" s="97" t="s">
        <v>174</v>
      </c>
      <c r="P502" s="97" t="s">
        <v>631</v>
      </c>
      <c r="Q502" s="91"/>
      <c r="R502" t="str">
        <f t="shared" si="7"/>
        <v>IT project management♦Ressourcemanagement for IT projects♦Implementation LUS♦L2♦SP</v>
      </c>
    </row>
    <row r="503" spans="1:18" ht="30">
      <c r="A503" s="94" t="s">
        <v>39</v>
      </c>
      <c r="B503" s="96" t="s">
        <v>566</v>
      </c>
      <c r="C503" s="96" t="s">
        <v>18</v>
      </c>
      <c r="D503" s="96" t="s">
        <v>19</v>
      </c>
      <c r="E503" s="96" t="s">
        <v>170</v>
      </c>
      <c r="F503" s="113">
        <v>0</v>
      </c>
      <c r="G503" s="95"/>
      <c r="H503" s="95"/>
      <c r="I503" s="95"/>
      <c r="J503" s="105">
        <v>46132</v>
      </c>
      <c r="K503" s="105">
        <v>46295</v>
      </c>
      <c r="L503" s="96">
        <v>118</v>
      </c>
      <c r="M503" s="105"/>
      <c r="N503" s="95"/>
      <c r="O503" s="96" t="s">
        <v>424</v>
      </c>
      <c r="P503" s="91"/>
      <c r="Q503" s="91"/>
      <c r="R503" t="str">
        <f t="shared" si="7"/>
        <v>ITSM♦Manage IT sourcing and procurement♦Total♦L1♦SP</v>
      </c>
    </row>
    <row r="504" spans="1:18" ht="45">
      <c r="A504" s="97" t="s">
        <v>39</v>
      </c>
      <c r="B504" s="98" t="s">
        <v>425</v>
      </c>
      <c r="C504" s="98" t="s">
        <v>22</v>
      </c>
      <c r="D504" s="98" t="s">
        <v>19</v>
      </c>
      <c r="E504" s="98" t="s">
        <v>170</v>
      </c>
      <c r="F504" s="114">
        <v>0</v>
      </c>
      <c r="G504" s="98" t="s">
        <v>568</v>
      </c>
      <c r="H504" s="98" t="s">
        <v>633</v>
      </c>
      <c r="I504" s="98" t="s">
        <v>97</v>
      </c>
      <c r="J504" s="106">
        <v>46132</v>
      </c>
      <c r="K504" s="106">
        <v>46203</v>
      </c>
      <c r="L504" s="98">
        <v>52</v>
      </c>
      <c r="M504" s="106"/>
      <c r="N504" s="98" t="s">
        <v>27</v>
      </c>
      <c r="O504" s="98" t="s">
        <v>424</v>
      </c>
      <c r="P504" s="103" t="s">
        <v>615</v>
      </c>
      <c r="Q504" s="91"/>
      <c r="R504" t="str">
        <f t="shared" si="7"/>
        <v>ITSM♦Manage IT sourcing and procurement♦Elaboration♦L1♦SP</v>
      </c>
    </row>
    <row r="505" spans="1:18" ht="30">
      <c r="A505" s="97" t="s">
        <v>39</v>
      </c>
      <c r="B505" s="98" t="s">
        <v>425</v>
      </c>
      <c r="C505" s="98" t="s">
        <v>28</v>
      </c>
      <c r="D505" s="98" t="s">
        <v>19</v>
      </c>
      <c r="E505" s="98" t="s">
        <v>170</v>
      </c>
      <c r="F505" s="114">
        <v>0</v>
      </c>
      <c r="G505" s="95"/>
      <c r="H505" s="95"/>
      <c r="I505" s="95"/>
      <c r="J505" s="106">
        <v>46216</v>
      </c>
      <c r="K505" s="106">
        <v>46295</v>
      </c>
      <c r="L505" s="98">
        <v>58</v>
      </c>
      <c r="M505" s="106"/>
      <c r="N505" s="98" t="s">
        <v>27</v>
      </c>
      <c r="O505" s="98" t="s">
        <v>424</v>
      </c>
      <c r="P505" s="103" t="s">
        <v>615</v>
      </c>
      <c r="Q505" s="91"/>
      <c r="R505" t="str">
        <f t="shared" si="7"/>
        <v>ITSM♦Manage IT sourcing and procurement♦Implementation LIS♦L1♦SP</v>
      </c>
    </row>
    <row r="506" spans="1:18" ht="30">
      <c r="A506" s="97" t="s">
        <v>39</v>
      </c>
      <c r="B506" s="98" t="s">
        <v>425</v>
      </c>
      <c r="C506" s="98" t="s">
        <v>29</v>
      </c>
      <c r="D506" s="98" t="s">
        <v>19</v>
      </c>
      <c r="E506" s="98" t="s">
        <v>170</v>
      </c>
      <c r="F506" s="114">
        <v>0</v>
      </c>
      <c r="G506" s="95"/>
      <c r="H506" s="95"/>
      <c r="I506" s="95"/>
      <c r="J506" s="106"/>
      <c r="K506" s="106"/>
      <c r="L506" s="98">
        <v>0</v>
      </c>
      <c r="M506" s="106"/>
      <c r="N506" s="95"/>
      <c r="O506" s="98" t="s">
        <v>424</v>
      </c>
      <c r="P506" s="102"/>
      <c r="Q506" s="91"/>
      <c r="R506" t="str">
        <f t="shared" si="7"/>
        <v>ITSM♦Manage IT sourcing and procurement♦Implementation COT♦L1♦SP</v>
      </c>
    </row>
    <row r="507" spans="1:18" ht="30">
      <c r="A507" s="97" t="s">
        <v>39</v>
      </c>
      <c r="B507" s="98" t="s">
        <v>425</v>
      </c>
      <c r="C507" s="98" t="s">
        <v>30</v>
      </c>
      <c r="D507" s="98" t="s">
        <v>19</v>
      </c>
      <c r="E507" s="98" t="s">
        <v>170</v>
      </c>
      <c r="F507" s="114">
        <v>0</v>
      </c>
      <c r="G507" s="95"/>
      <c r="H507" s="95"/>
      <c r="I507" s="95"/>
      <c r="J507" s="106"/>
      <c r="K507" s="106"/>
      <c r="L507" s="98">
        <v>0</v>
      </c>
      <c r="M507" s="106"/>
      <c r="N507" s="95"/>
      <c r="O507" s="98" t="s">
        <v>424</v>
      </c>
      <c r="P507" s="102"/>
      <c r="Q507" s="91"/>
      <c r="R507" t="str">
        <f t="shared" si="7"/>
        <v>ITSM♦Manage IT sourcing and procurement♦Implementation LUS♦L1♦SP</v>
      </c>
    </row>
    <row r="508" spans="1:18" ht="30">
      <c r="A508" s="99" t="s">
        <v>184</v>
      </c>
      <c r="B508" s="96" t="s">
        <v>426</v>
      </c>
      <c r="C508" s="96" t="s">
        <v>18</v>
      </c>
      <c r="D508" s="96" t="s">
        <v>19</v>
      </c>
      <c r="E508" s="96" t="s">
        <v>170</v>
      </c>
      <c r="F508" s="113">
        <v>0.15</v>
      </c>
      <c r="G508" s="95"/>
      <c r="H508" s="95"/>
      <c r="I508" s="95"/>
      <c r="J508" s="105">
        <v>45931</v>
      </c>
      <c r="K508" s="105">
        <v>46568</v>
      </c>
      <c r="L508" s="96">
        <v>456</v>
      </c>
      <c r="M508" s="105"/>
      <c r="N508" s="95"/>
      <c r="O508" s="96" t="s">
        <v>185</v>
      </c>
      <c r="P508" s="91"/>
      <c r="Q508" s="91"/>
      <c r="R508" t="str">
        <f t="shared" si="7"/>
        <v>HR initiatives for IT♦Provide and develop IT workforce♦Total♦L1♦SP</v>
      </c>
    </row>
    <row r="509" spans="1:18" ht="45">
      <c r="A509" s="97" t="s">
        <v>184</v>
      </c>
      <c r="B509" s="98" t="s">
        <v>427</v>
      </c>
      <c r="C509" s="98" t="s">
        <v>22</v>
      </c>
      <c r="D509" s="98" t="s">
        <v>19</v>
      </c>
      <c r="E509" s="98" t="s">
        <v>170</v>
      </c>
      <c r="F509" s="114">
        <v>1</v>
      </c>
      <c r="G509" s="97" t="s">
        <v>570</v>
      </c>
      <c r="H509" s="98" t="s">
        <v>571</v>
      </c>
      <c r="I509" s="98" t="s">
        <v>48</v>
      </c>
      <c r="J509" s="106">
        <v>45931</v>
      </c>
      <c r="K509" s="106">
        <v>45931</v>
      </c>
      <c r="L509" s="98">
        <v>1</v>
      </c>
      <c r="M509" s="106"/>
      <c r="N509" s="98" t="s">
        <v>108</v>
      </c>
      <c r="O509" s="98" t="s">
        <v>185</v>
      </c>
      <c r="P509" s="91"/>
      <c r="Q509" s="91"/>
      <c r="R509" t="str">
        <f t="shared" si="7"/>
        <v>HR initiatives for IT♦Provide and develop IT workforce♦Elaboration♦L1♦SP</v>
      </c>
    </row>
    <row r="510" spans="1:18" ht="30">
      <c r="A510" s="97" t="s">
        <v>184</v>
      </c>
      <c r="B510" s="98" t="s">
        <v>427</v>
      </c>
      <c r="C510" s="98" t="s">
        <v>28</v>
      </c>
      <c r="D510" s="98" t="s">
        <v>19</v>
      </c>
      <c r="E510" s="98" t="s">
        <v>170</v>
      </c>
      <c r="F510" s="114">
        <v>0</v>
      </c>
      <c r="G510" s="95"/>
      <c r="H510" s="95"/>
      <c r="I510" s="95"/>
      <c r="J510" s="106"/>
      <c r="K510" s="106"/>
      <c r="L510" s="98">
        <v>0</v>
      </c>
      <c r="M510" s="106"/>
      <c r="N510" s="95"/>
      <c r="O510" s="98" t="s">
        <v>185</v>
      </c>
      <c r="P510" s="91"/>
      <c r="Q510" s="91"/>
      <c r="R510" t="str">
        <f t="shared" si="7"/>
        <v>HR initiatives for IT♦Provide and develop IT workforce♦Implementation LIS♦L1♦SP</v>
      </c>
    </row>
    <row r="511" spans="1:18" ht="30">
      <c r="A511" s="97" t="s">
        <v>184</v>
      </c>
      <c r="B511" s="98" t="s">
        <v>427</v>
      </c>
      <c r="C511" s="98" t="s">
        <v>29</v>
      </c>
      <c r="D511" s="98" t="s">
        <v>19</v>
      </c>
      <c r="E511" s="98" t="s">
        <v>170</v>
      </c>
      <c r="F511" s="114">
        <v>0</v>
      </c>
      <c r="G511" s="95"/>
      <c r="H511" s="95"/>
      <c r="I511" s="95"/>
      <c r="J511" s="106"/>
      <c r="K511" s="106"/>
      <c r="L511" s="98">
        <v>0</v>
      </c>
      <c r="M511" s="106"/>
      <c r="N511" s="95"/>
      <c r="O511" s="98" t="s">
        <v>185</v>
      </c>
      <c r="P511" s="91"/>
      <c r="Q511" s="91"/>
      <c r="R511" t="str">
        <f t="shared" si="7"/>
        <v>HR initiatives for IT♦Provide and develop IT workforce♦Implementation COT♦L1♦SP</v>
      </c>
    </row>
    <row r="512" spans="1:18" ht="30">
      <c r="A512" s="97" t="s">
        <v>184</v>
      </c>
      <c r="B512" s="98" t="s">
        <v>427</v>
      </c>
      <c r="C512" s="98" t="s">
        <v>30</v>
      </c>
      <c r="D512" s="98" t="s">
        <v>19</v>
      </c>
      <c r="E512" s="98" t="s">
        <v>170</v>
      </c>
      <c r="F512" s="114">
        <v>0</v>
      </c>
      <c r="G512" s="95"/>
      <c r="H512" s="95"/>
      <c r="I512" s="95"/>
      <c r="J512" s="106"/>
      <c r="K512" s="106"/>
      <c r="L512" s="98">
        <v>0</v>
      </c>
      <c r="M512" s="106"/>
      <c r="N512" s="95"/>
      <c r="O512" s="98" t="s">
        <v>185</v>
      </c>
      <c r="P512" s="91"/>
      <c r="Q512" s="91"/>
      <c r="R512" t="str">
        <f t="shared" si="7"/>
        <v>HR initiatives for IT♦Provide and develop IT workforce♦Implementation LUS♦L1♦SP</v>
      </c>
    </row>
    <row r="513" spans="1:18" ht="30">
      <c r="A513" s="91"/>
      <c r="B513" s="92" t="s">
        <v>572</v>
      </c>
      <c r="C513" s="92" t="s">
        <v>18</v>
      </c>
      <c r="D513" s="92" t="s">
        <v>33</v>
      </c>
      <c r="E513" s="92" t="s">
        <v>170</v>
      </c>
      <c r="F513" s="115">
        <v>0</v>
      </c>
      <c r="G513" s="91"/>
      <c r="H513" s="91"/>
      <c r="I513" s="91"/>
      <c r="J513" s="107">
        <v>45931</v>
      </c>
      <c r="K513" s="107">
        <v>46387</v>
      </c>
      <c r="L513" s="92">
        <v>327</v>
      </c>
      <c r="M513" s="107"/>
      <c r="N513" s="91"/>
      <c r="O513" s="92" t="s">
        <v>185</v>
      </c>
      <c r="P513" s="91"/>
      <c r="Q513" s="91"/>
      <c r="R513" t="str">
        <f t="shared" si="7"/>
        <v>♦Manage HR4IT strategy, governane and framework♦Total♦L2♦SP</v>
      </c>
    </row>
    <row r="514" spans="1:18" ht="45">
      <c r="A514" s="97" t="s">
        <v>184</v>
      </c>
      <c r="B514" s="98" t="s">
        <v>573</v>
      </c>
      <c r="C514" s="98" t="s">
        <v>22</v>
      </c>
      <c r="D514" s="98" t="s">
        <v>33</v>
      </c>
      <c r="E514" s="98" t="s">
        <v>170</v>
      </c>
      <c r="F514" s="114">
        <v>1</v>
      </c>
      <c r="G514" s="97" t="s">
        <v>570</v>
      </c>
      <c r="H514" s="98" t="s">
        <v>571</v>
      </c>
      <c r="I514" s="98" t="s">
        <v>48</v>
      </c>
      <c r="J514" s="106">
        <v>45931</v>
      </c>
      <c r="K514" s="106">
        <v>45931</v>
      </c>
      <c r="L514" s="98">
        <v>1</v>
      </c>
      <c r="M514" s="106"/>
      <c r="N514" s="98" t="s">
        <v>108</v>
      </c>
      <c r="O514" s="98" t="s">
        <v>185</v>
      </c>
      <c r="P514" s="91"/>
      <c r="Q514" s="91"/>
      <c r="R514" t="str">
        <f t="shared" ref="R514:R577" si="8">TRIM(A514)&amp;"♦"&amp;TRIM(B514)&amp;"♦"&amp;TRIM(C514)&amp;"♦"&amp;TRIM(D514)&amp;"♦"&amp;TRIM(E514)</f>
        <v>HR initiatives for IT♦Manage HR4IT strategy, governane and framework♦Elaboration♦L2♦SP</v>
      </c>
    </row>
    <row r="515" spans="1:18" ht="30">
      <c r="A515" s="97" t="s">
        <v>184</v>
      </c>
      <c r="B515" s="98" t="s">
        <v>573</v>
      </c>
      <c r="C515" s="98" t="s">
        <v>28</v>
      </c>
      <c r="D515" s="98" t="s">
        <v>33</v>
      </c>
      <c r="E515" s="98" t="s">
        <v>170</v>
      </c>
      <c r="F515" s="114">
        <v>0</v>
      </c>
      <c r="G515" s="95"/>
      <c r="H515" s="95"/>
      <c r="I515" s="95"/>
      <c r="J515" s="106"/>
      <c r="K515" s="106"/>
      <c r="L515" s="98">
        <v>0</v>
      </c>
      <c r="M515" s="106"/>
      <c r="N515" s="95"/>
      <c r="O515" s="98" t="s">
        <v>185</v>
      </c>
      <c r="P515" s="91"/>
      <c r="Q515" s="91"/>
      <c r="R515" t="str">
        <f t="shared" si="8"/>
        <v>HR initiatives for IT♦Manage HR4IT strategy, governane and framework♦Implementation LIS♦L2♦SP</v>
      </c>
    </row>
    <row r="516" spans="1:18" ht="30">
      <c r="A516" s="97" t="s">
        <v>184</v>
      </c>
      <c r="B516" s="98" t="s">
        <v>573</v>
      </c>
      <c r="C516" s="98" t="s">
        <v>29</v>
      </c>
      <c r="D516" s="98" t="s">
        <v>33</v>
      </c>
      <c r="E516" s="98" t="s">
        <v>170</v>
      </c>
      <c r="F516" s="114">
        <v>0</v>
      </c>
      <c r="G516" s="95"/>
      <c r="H516" s="95"/>
      <c r="I516" s="95"/>
      <c r="J516" s="106"/>
      <c r="K516" s="106"/>
      <c r="L516" s="98">
        <v>0</v>
      </c>
      <c r="M516" s="106"/>
      <c r="N516" s="95"/>
      <c r="O516" s="98" t="s">
        <v>185</v>
      </c>
      <c r="P516" s="91"/>
      <c r="Q516" s="91"/>
      <c r="R516" t="str">
        <f t="shared" si="8"/>
        <v>HR initiatives for IT♦Manage HR4IT strategy, governane and framework♦Implementation COT♦L2♦SP</v>
      </c>
    </row>
    <row r="517" spans="1:18" ht="30">
      <c r="A517" s="97" t="s">
        <v>184</v>
      </c>
      <c r="B517" s="98" t="s">
        <v>573</v>
      </c>
      <c r="C517" s="98" t="s">
        <v>30</v>
      </c>
      <c r="D517" s="98" t="s">
        <v>33</v>
      </c>
      <c r="E517" s="98" t="s">
        <v>170</v>
      </c>
      <c r="F517" s="114">
        <v>0</v>
      </c>
      <c r="G517" s="95"/>
      <c r="H517" s="95"/>
      <c r="I517" s="95"/>
      <c r="J517" s="106"/>
      <c r="K517" s="106"/>
      <c r="L517" s="98">
        <v>0</v>
      </c>
      <c r="M517" s="106"/>
      <c r="N517" s="95"/>
      <c r="O517" s="98" t="s">
        <v>185</v>
      </c>
      <c r="P517" s="91"/>
      <c r="Q517" s="91"/>
      <c r="R517" t="str">
        <f t="shared" si="8"/>
        <v>HR initiatives for IT♦Manage HR4IT strategy, governane and framework♦Implementation LUS♦L2♦SP</v>
      </c>
    </row>
    <row r="518" spans="1:18" ht="30">
      <c r="A518" s="94" t="s">
        <v>184</v>
      </c>
      <c r="B518" s="92" t="s">
        <v>429</v>
      </c>
      <c r="C518" s="92" t="s">
        <v>18</v>
      </c>
      <c r="D518" s="92" t="s">
        <v>58</v>
      </c>
      <c r="E518" s="92" t="s">
        <v>170</v>
      </c>
      <c r="F518" s="115">
        <v>0</v>
      </c>
      <c r="G518" s="91"/>
      <c r="H518" s="91"/>
      <c r="I518" s="91"/>
      <c r="J518" s="107">
        <v>45946</v>
      </c>
      <c r="K518" s="107">
        <v>46387</v>
      </c>
      <c r="L518" s="92">
        <v>316</v>
      </c>
      <c r="M518" s="107"/>
      <c r="N518" s="91"/>
      <c r="O518" s="92" t="s">
        <v>185</v>
      </c>
      <c r="P518" s="91"/>
      <c r="Q518" s="91"/>
      <c r="R518" t="str">
        <f t="shared" si="8"/>
        <v>HR initiatives for IT♦Plan IT workforce♦Total♦L3♦SP</v>
      </c>
    </row>
    <row r="519" spans="1:18" ht="45">
      <c r="A519" s="97" t="s">
        <v>184</v>
      </c>
      <c r="B519" s="97" t="s">
        <v>574</v>
      </c>
      <c r="C519" s="97" t="s">
        <v>22</v>
      </c>
      <c r="D519" s="97" t="s">
        <v>58</v>
      </c>
      <c r="E519" s="97" t="s">
        <v>170</v>
      </c>
      <c r="F519" s="116">
        <v>0</v>
      </c>
      <c r="G519" s="97" t="s">
        <v>570</v>
      </c>
      <c r="H519" s="98" t="s">
        <v>571</v>
      </c>
      <c r="I519" s="97" t="s">
        <v>48</v>
      </c>
      <c r="J519" s="107">
        <v>45946</v>
      </c>
      <c r="K519" s="107">
        <v>46022</v>
      </c>
      <c r="L519" s="97">
        <v>55</v>
      </c>
      <c r="M519" s="108"/>
      <c r="N519" s="97" t="s">
        <v>108</v>
      </c>
      <c r="O519" s="97" t="s">
        <v>185</v>
      </c>
      <c r="P519" s="97" t="s">
        <v>634</v>
      </c>
      <c r="Q519" s="91"/>
      <c r="R519" t="str">
        <f t="shared" si="8"/>
        <v>HR initiatives for IT♦Plan IT workforce♦Elaboration♦L3♦SP</v>
      </c>
    </row>
    <row r="520" spans="1:18" ht="30">
      <c r="A520" s="97" t="s">
        <v>184</v>
      </c>
      <c r="B520" s="97" t="s">
        <v>574</v>
      </c>
      <c r="C520" s="97" t="s">
        <v>28</v>
      </c>
      <c r="D520" s="97" t="s">
        <v>58</v>
      </c>
      <c r="E520" s="97" t="s">
        <v>170</v>
      </c>
      <c r="F520" s="116">
        <v>0</v>
      </c>
      <c r="G520" s="91"/>
      <c r="H520" s="91"/>
      <c r="I520" s="91"/>
      <c r="J520" s="108">
        <v>46023</v>
      </c>
      <c r="K520" s="108">
        <v>46387</v>
      </c>
      <c r="L520" s="97">
        <v>261</v>
      </c>
      <c r="M520" s="108"/>
      <c r="N520" s="97" t="s">
        <v>28</v>
      </c>
      <c r="O520" s="97" t="s">
        <v>185</v>
      </c>
      <c r="P520" s="91"/>
      <c r="Q520" s="91"/>
      <c r="R520" t="str">
        <f t="shared" si="8"/>
        <v>HR initiatives for IT♦Plan IT workforce♦Implementation LIS♦L3♦SP</v>
      </c>
    </row>
    <row r="521" spans="1:18" ht="30">
      <c r="A521" s="97" t="s">
        <v>184</v>
      </c>
      <c r="B521" s="97" t="s">
        <v>574</v>
      </c>
      <c r="C521" s="97" t="s">
        <v>29</v>
      </c>
      <c r="D521" s="97" t="s">
        <v>58</v>
      </c>
      <c r="E521" s="97" t="s">
        <v>170</v>
      </c>
      <c r="F521" s="116">
        <v>0</v>
      </c>
      <c r="G521" s="91"/>
      <c r="H521" s="91"/>
      <c r="I521" s="91"/>
      <c r="J521" s="107"/>
      <c r="K521" s="107"/>
      <c r="L521" s="97">
        <v>0</v>
      </c>
      <c r="M521" s="108"/>
      <c r="N521" s="91"/>
      <c r="O521" s="97" t="s">
        <v>185</v>
      </c>
      <c r="P521" s="91"/>
      <c r="Q521" s="91"/>
      <c r="R521" t="str">
        <f t="shared" si="8"/>
        <v>HR initiatives for IT♦Plan IT workforce♦Implementation COT♦L3♦SP</v>
      </c>
    </row>
    <row r="522" spans="1:18" ht="30">
      <c r="A522" s="97" t="s">
        <v>184</v>
      </c>
      <c r="B522" s="97" t="s">
        <v>574</v>
      </c>
      <c r="C522" s="97" t="s">
        <v>30</v>
      </c>
      <c r="D522" s="97" t="s">
        <v>58</v>
      </c>
      <c r="E522" s="97" t="s">
        <v>170</v>
      </c>
      <c r="F522" s="116">
        <v>0</v>
      </c>
      <c r="G522" s="91"/>
      <c r="H522" s="91"/>
      <c r="I522" s="91"/>
      <c r="J522" s="108"/>
      <c r="K522" s="108"/>
      <c r="L522" s="97">
        <v>0</v>
      </c>
      <c r="M522" s="108"/>
      <c r="N522" s="91"/>
      <c r="O522" s="97" t="s">
        <v>185</v>
      </c>
      <c r="P522" s="91"/>
      <c r="Q522" s="91"/>
      <c r="R522" t="str">
        <f t="shared" si="8"/>
        <v>HR initiatives for IT♦Plan IT workforce♦Implementation LUS♦L3♦SP</v>
      </c>
    </row>
    <row r="523" spans="1:18" ht="30">
      <c r="A523" s="94" t="s">
        <v>184</v>
      </c>
      <c r="B523" s="92" t="s">
        <v>439</v>
      </c>
      <c r="C523" s="92" t="s">
        <v>18</v>
      </c>
      <c r="D523" s="92" t="s">
        <v>58</v>
      </c>
      <c r="E523" s="92" t="s">
        <v>170</v>
      </c>
      <c r="F523" s="115">
        <v>0</v>
      </c>
      <c r="G523" s="91"/>
      <c r="H523" s="91"/>
      <c r="I523" s="91"/>
      <c r="J523" s="107">
        <v>45946</v>
      </c>
      <c r="K523" s="107">
        <v>46173</v>
      </c>
      <c r="L523" s="92">
        <v>162</v>
      </c>
      <c r="M523" s="107"/>
      <c r="N523" s="91"/>
      <c r="O523" s="92" t="s">
        <v>185</v>
      </c>
      <c r="P523" s="91"/>
      <c r="Q523" s="91"/>
      <c r="R523" t="str">
        <f t="shared" si="8"/>
        <v>HR initiatives for IT♦Implement and maintain IT job architecture♦Total♦L3♦SP</v>
      </c>
    </row>
    <row r="524" spans="1:18" ht="45">
      <c r="A524" s="97" t="s">
        <v>184</v>
      </c>
      <c r="B524" s="97" t="s">
        <v>575</v>
      </c>
      <c r="C524" s="97" t="s">
        <v>22</v>
      </c>
      <c r="D524" s="97" t="s">
        <v>58</v>
      </c>
      <c r="E524" s="97" t="s">
        <v>170</v>
      </c>
      <c r="F524" s="116">
        <v>0</v>
      </c>
      <c r="G524" s="97" t="s">
        <v>570</v>
      </c>
      <c r="H524" s="97" t="s">
        <v>571</v>
      </c>
      <c r="I524" s="97" t="s">
        <v>48</v>
      </c>
      <c r="J524" s="107">
        <v>45946</v>
      </c>
      <c r="K524" s="107">
        <v>46173</v>
      </c>
      <c r="L524" s="97">
        <v>162</v>
      </c>
      <c r="M524" s="108"/>
      <c r="N524" s="97" t="s">
        <v>26</v>
      </c>
      <c r="O524" s="97" t="s">
        <v>185</v>
      </c>
      <c r="P524" s="97" t="s">
        <v>634</v>
      </c>
      <c r="Q524" s="91"/>
      <c r="R524" t="str">
        <f t="shared" si="8"/>
        <v>HR initiatives for IT♦Implement and maintain IT job architecture♦Elaboration♦L3♦SP</v>
      </c>
    </row>
    <row r="525" spans="1:18" ht="30">
      <c r="A525" s="97" t="s">
        <v>184</v>
      </c>
      <c r="B525" s="97" t="s">
        <v>575</v>
      </c>
      <c r="C525" s="97" t="s">
        <v>28</v>
      </c>
      <c r="D525" s="97" t="s">
        <v>58</v>
      </c>
      <c r="E525" s="97" t="s">
        <v>170</v>
      </c>
      <c r="F525" s="116">
        <v>0</v>
      </c>
      <c r="G525" s="91"/>
      <c r="H525" s="91"/>
      <c r="I525" s="91"/>
      <c r="J525" s="108"/>
      <c r="K525" s="108"/>
      <c r="L525" s="97">
        <v>0</v>
      </c>
      <c r="M525" s="108"/>
      <c r="N525" s="91"/>
      <c r="O525" s="97" t="s">
        <v>185</v>
      </c>
      <c r="P525" s="91"/>
      <c r="Q525" s="91"/>
      <c r="R525" t="str">
        <f t="shared" si="8"/>
        <v>HR initiatives for IT♦Implement and maintain IT job architecture♦Implementation LIS♦L3♦SP</v>
      </c>
    </row>
    <row r="526" spans="1:18" ht="30">
      <c r="A526" s="97" t="s">
        <v>184</v>
      </c>
      <c r="B526" s="97" t="s">
        <v>575</v>
      </c>
      <c r="C526" s="97" t="s">
        <v>29</v>
      </c>
      <c r="D526" s="97" t="s">
        <v>58</v>
      </c>
      <c r="E526" s="97" t="s">
        <v>170</v>
      </c>
      <c r="F526" s="116">
        <v>0</v>
      </c>
      <c r="G526" s="91"/>
      <c r="H526" s="91"/>
      <c r="I526" s="91"/>
      <c r="J526" s="107"/>
      <c r="K526" s="107"/>
      <c r="L526" s="97">
        <v>0</v>
      </c>
      <c r="M526" s="108"/>
      <c r="N526" s="91"/>
      <c r="O526" s="97" t="s">
        <v>185</v>
      </c>
      <c r="P526" s="91"/>
      <c r="Q526" s="91"/>
      <c r="R526" t="str">
        <f t="shared" si="8"/>
        <v>HR initiatives for IT♦Implement and maintain IT job architecture♦Implementation COT♦L3♦SP</v>
      </c>
    </row>
    <row r="527" spans="1:18" ht="30">
      <c r="A527" s="97" t="s">
        <v>184</v>
      </c>
      <c r="B527" s="97" t="s">
        <v>575</v>
      </c>
      <c r="C527" s="97" t="s">
        <v>30</v>
      </c>
      <c r="D527" s="97" t="s">
        <v>58</v>
      </c>
      <c r="E527" s="97" t="s">
        <v>170</v>
      </c>
      <c r="F527" s="116">
        <v>0</v>
      </c>
      <c r="G527" s="91"/>
      <c r="H527" s="91"/>
      <c r="I527" s="91"/>
      <c r="J527" s="108"/>
      <c r="K527" s="108"/>
      <c r="L527" s="97">
        <v>0</v>
      </c>
      <c r="M527" s="108"/>
      <c r="N527" s="91"/>
      <c r="O527" s="97" t="s">
        <v>185</v>
      </c>
      <c r="P527" s="91"/>
      <c r="Q527" s="91"/>
      <c r="R527" t="str">
        <f t="shared" si="8"/>
        <v>HR initiatives for IT♦Implement and maintain IT job architecture♦Implementation LUS♦L3♦SP</v>
      </c>
    </row>
    <row r="528" spans="1:18" ht="30">
      <c r="A528" s="92" t="s">
        <v>184</v>
      </c>
      <c r="B528" s="92" t="s">
        <v>576</v>
      </c>
      <c r="C528" s="91"/>
      <c r="D528" s="92" t="s">
        <v>58</v>
      </c>
      <c r="E528" s="92" t="s">
        <v>170</v>
      </c>
      <c r="F528" s="115">
        <v>0</v>
      </c>
      <c r="G528" s="91"/>
      <c r="H528" s="91"/>
      <c r="I528" s="91"/>
      <c r="J528" s="107">
        <v>45931</v>
      </c>
      <c r="K528" s="107">
        <v>46203</v>
      </c>
      <c r="L528" s="92">
        <v>195</v>
      </c>
      <c r="M528" s="107"/>
      <c r="N528" s="91"/>
      <c r="O528" s="97" t="s">
        <v>185</v>
      </c>
      <c r="P528" s="91"/>
      <c r="Q528" s="91"/>
      <c r="R528" t="str">
        <f t="shared" si="8"/>
        <v>HR initiatives for IT♦Manage HR4IT service demand♦♦L3♦SP</v>
      </c>
    </row>
    <row r="529" spans="1:18" ht="45">
      <c r="A529" s="97" t="s">
        <v>184</v>
      </c>
      <c r="B529" s="97" t="s">
        <v>577</v>
      </c>
      <c r="C529" s="97" t="s">
        <v>22</v>
      </c>
      <c r="D529" s="97" t="s">
        <v>58</v>
      </c>
      <c r="E529" s="97" t="s">
        <v>170</v>
      </c>
      <c r="F529" s="116">
        <v>0</v>
      </c>
      <c r="G529" s="97" t="s">
        <v>570</v>
      </c>
      <c r="H529" s="97" t="s">
        <v>571</v>
      </c>
      <c r="I529" s="97" t="s">
        <v>48</v>
      </c>
      <c r="J529" s="107">
        <v>45931</v>
      </c>
      <c r="K529" s="107">
        <v>46173</v>
      </c>
      <c r="L529" s="97">
        <v>173</v>
      </c>
      <c r="M529" s="108"/>
      <c r="N529" s="97" t="s">
        <v>26</v>
      </c>
      <c r="O529" s="97" t="s">
        <v>185</v>
      </c>
      <c r="P529" s="91"/>
      <c r="Q529" s="91"/>
      <c r="R529" t="str">
        <f t="shared" si="8"/>
        <v>HR initiatives for IT♦Manage HR4IT service demand♦Elaboration♦L3♦SP</v>
      </c>
    </row>
    <row r="530" spans="1:18" ht="30">
      <c r="A530" s="97" t="s">
        <v>184</v>
      </c>
      <c r="B530" s="97" t="s">
        <v>577</v>
      </c>
      <c r="C530" s="97" t="s">
        <v>28</v>
      </c>
      <c r="D530" s="97" t="s">
        <v>58</v>
      </c>
      <c r="E530" s="97" t="s">
        <v>170</v>
      </c>
      <c r="F530" s="116">
        <v>0</v>
      </c>
      <c r="G530" s="91"/>
      <c r="H530" s="91"/>
      <c r="I530" s="91"/>
      <c r="J530" s="108">
        <v>46174</v>
      </c>
      <c r="K530" s="108">
        <v>46203</v>
      </c>
      <c r="L530" s="97">
        <v>22</v>
      </c>
      <c r="M530" s="108"/>
      <c r="N530" s="97" t="s">
        <v>27</v>
      </c>
      <c r="O530" s="97" t="s">
        <v>185</v>
      </c>
      <c r="P530" s="91"/>
      <c r="Q530" s="91"/>
      <c r="R530" t="str">
        <f t="shared" si="8"/>
        <v>HR initiatives for IT♦Manage HR4IT service demand♦Implementation LIS♦L3♦SP</v>
      </c>
    </row>
    <row r="531" spans="1:18" ht="30">
      <c r="A531" s="97" t="s">
        <v>184</v>
      </c>
      <c r="B531" s="97" t="s">
        <v>577</v>
      </c>
      <c r="C531" s="97" t="s">
        <v>29</v>
      </c>
      <c r="D531" s="97" t="s">
        <v>58</v>
      </c>
      <c r="E531" s="97" t="s">
        <v>170</v>
      </c>
      <c r="F531" s="116">
        <v>0</v>
      </c>
      <c r="G531" s="91"/>
      <c r="H531" s="91"/>
      <c r="I531" s="91"/>
      <c r="J531" s="108">
        <v>46174</v>
      </c>
      <c r="K531" s="108">
        <v>46203</v>
      </c>
      <c r="L531" s="97">
        <v>22</v>
      </c>
      <c r="M531" s="108"/>
      <c r="N531" s="97" t="s">
        <v>27</v>
      </c>
      <c r="O531" s="97" t="s">
        <v>185</v>
      </c>
      <c r="P531" s="91"/>
      <c r="Q531" s="91"/>
      <c r="R531" t="str">
        <f t="shared" si="8"/>
        <v>HR initiatives for IT♦Manage HR4IT service demand♦Implementation COT♦L3♦SP</v>
      </c>
    </row>
    <row r="532" spans="1:18" ht="30">
      <c r="A532" s="97" t="s">
        <v>184</v>
      </c>
      <c r="B532" s="97" t="s">
        <v>577</v>
      </c>
      <c r="C532" s="97" t="s">
        <v>30</v>
      </c>
      <c r="D532" s="97" t="s">
        <v>58</v>
      </c>
      <c r="E532" s="97" t="s">
        <v>170</v>
      </c>
      <c r="F532" s="116">
        <v>0</v>
      </c>
      <c r="G532" s="91"/>
      <c r="H532" s="91"/>
      <c r="I532" s="91"/>
      <c r="J532" s="108">
        <v>46174</v>
      </c>
      <c r="K532" s="108">
        <v>46203</v>
      </c>
      <c r="L532" s="97">
        <v>22</v>
      </c>
      <c r="M532" s="108"/>
      <c r="N532" s="97" t="s">
        <v>27</v>
      </c>
      <c r="O532" s="97" t="s">
        <v>185</v>
      </c>
      <c r="P532" s="91"/>
      <c r="Q532" s="91"/>
      <c r="R532" t="str">
        <f t="shared" si="8"/>
        <v>HR initiatives for IT♦Manage HR4IT service demand♦Implementation LUS♦L3♦SP</v>
      </c>
    </row>
    <row r="533" spans="1:18" ht="30">
      <c r="A533" s="94" t="s">
        <v>184</v>
      </c>
      <c r="B533" s="92" t="s">
        <v>578</v>
      </c>
      <c r="C533" s="92" t="s">
        <v>18</v>
      </c>
      <c r="D533" s="92" t="s">
        <v>33</v>
      </c>
      <c r="E533" s="92" t="s">
        <v>170</v>
      </c>
      <c r="F533" s="115">
        <v>0.18</v>
      </c>
      <c r="G533" s="91"/>
      <c r="H533" s="91"/>
      <c r="I533" s="91"/>
      <c r="J533" s="107">
        <v>45931</v>
      </c>
      <c r="K533" s="107">
        <v>46387</v>
      </c>
      <c r="L533" s="92">
        <v>327</v>
      </c>
      <c r="M533" s="107"/>
      <c r="N533" s="91"/>
      <c r="O533" s="92" t="s">
        <v>185</v>
      </c>
      <c r="P533" s="91"/>
      <c r="Q533" s="91"/>
      <c r="R533" t="str">
        <f t="shared" si="8"/>
        <v>HR initiatives for IT♦Attract and hire employees♦Total♦L2♦SP</v>
      </c>
    </row>
    <row r="534" spans="1:18" ht="45">
      <c r="A534" s="97" t="s">
        <v>184</v>
      </c>
      <c r="B534" s="97" t="s">
        <v>579</v>
      </c>
      <c r="C534" s="97" t="s">
        <v>22</v>
      </c>
      <c r="D534" s="97" t="s">
        <v>33</v>
      </c>
      <c r="E534" s="97" t="s">
        <v>170</v>
      </c>
      <c r="F534" s="116">
        <v>0.5</v>
      </c>
      <c r="G534" s="97" t="s">
        <v>570</v>
      </c>
      <c r="H534" s="97" t="s">
        <v>189</v>
      </c>
      <c r="I534" s="97" t="s">
        <v>25</v>
      </c>
      <c r="J534" s="107">
        <v>46029</v>
      </c>
      <c r="K534" s="107">
        <v>46097</v>
      </c>
      <c r="L534" s="97">
        <v>49</v>
      </c>
      <c r="M534" s="108"/>
      <c r="N534" s="97" t="s">
        <v>108</v>
      </c>
      <c r="O534" s="97" t="s">
        <v>185</v>
      </c>
      <c r="P534" s="91"/>
      <c r="Q534" s="91"/>
      <c r="R534" t="str">
        <f t="shared" si="8"/>
        <v>HR initiatives for IT♦Attract and hire employees♦Elaboration♦L2♦SP</v>
      </c>
    </row>
    <row r="535" spans="1:18" ht="30">
      <c r="A535" s="97" t="s">
        <v>184</v>
      </c>
      <c r="B535" s="97" t="s">
        <v>579</v>
      </c>
      <c r="C535" s="97" t="s">
        <v>28</v>
      </c>
      <c r="D535" s="97" t="s">
        <v>33</v>
      </c>
      <c r="E535" s="97" t="s">
        <v>170</v>
      </c>
      <c r="F535" s="116">
        <v>0</v>
      </c>
      <c r="G535" s="91"/>
      <c r="H535" s="91"/>
      <c r="I535" s="91"/>
      <c r="J535" s="108">
        <v>46113</v>
      </c>
      <c r="K535" s="108">
        <v>46188</v>
      </c>
      <c r="L535" s="97">
        <v>54</v>
      </c>
      <c r="M535" s="108"/>
      <c r="N535" s="97" t="s">
        <v>28</v>
      </c>
      <c r="O535" s="97" t="s">
        <v>185</v>
      </c>
      <c r="P535" s="91"/>
      <c r="Q535" s="91"/>
      <c r="R535" t="str">
        <f t="shared" si="8"/>
        <v>HR initiatives for IT♦Attract and hire employees♦Implementation LIS♦L2♦SP</v>
      </c>
    </row>
    <row r="536" spans="1:18" ht="30">
      <c r="A536" s="97" t="s">
        <v>184</v>
      </c>
      <c r="B536" s="97" t="s">
        <v>579</v>
      </c>
      <c r="C536" s="97" t="s">
        <v>29</v>
      </c>
      <c r="D536" s="97" t="s">
        <v>33</v>
      </c>
      <c r="E536" s="97" t="s">
        <v>170</v>
      </c>
      <c r="F536" s="116">
        <v>0</v>
      </c>
      <c r="G536" s="91"/>
      <c r="H536" s="91"/>
      <c r="I536" s="91"/>
      <c r="J536" s="108">
        <v>46113</v>
      </c>
      <c r="K536" s="108">
        <v>46188</v>
      </c>
      <c r="L536" s="97">
        <v>54</v>
      </c>
      <c r="M536" s="108"/>
      <c r="N536" s="97" t="s">
        <v>29</v>
      </c>
      <c r="O536" s="97" t="s">
        <v>185</v>
      </c>
      <c r="P536" s="91"/>
      <c r="Q536" s="91"/>
      <c r="R536" t="str">
        <f t="shared" si="8"/>
        <v>HR initiatives for IT♦Attract and hire employees♦Implementation COT♦L2♦SP</v>
      </c>
    </row>
    <row r="537" spans="1:18" ht="30">
      <c r="A537" s="97" t="s">
        <v>184</v>
      </c>
      <c r="B537" s="97" t="s">
        <v>579</v>
      </c>
      <c r="C537" s="97" t="s">
        <v>30</v>
      </c>
      <c r="D537" s="97" t="s">
        <v>33</v>
      </c>
      <c r="E537" s="97" t="s">
        <v>170</v>
      </c>
      <c r="F537" s="116">
        <v>0</v>
      </c>
      <c r="G537" s="91"/>
      <c r="H537" s="91"/>
      <c r="I537" s="91"/>
      <c r="J537" s="108"/>
      <c r="K537" s="108"/>
      <c r="L537" s="97">
        <v>0</v>
      </c>
      <c r="M537" s="108"/>
      <c r="N537" s="91"/>
      <c r="O537" s="97" t="s">
        <v>185</v>
      </c>
      <c r="P537" s="91"/>
      <c r="Q537" s="91"/>
      <c r="R537" t="str">
        <f t="shared" si="8"/>
        <v>HR initiatives for IT♦Attract and hire employees♦Implementation LUS♦L2♦SP</v>
      </c>
    </row>
    <row r="538" spans="1:18" ht="30">
      <c r="A538" s="92" t="s">
        <v>184</v>
      </c>
      <c r="B538" s="92" t="s">
        <v>580</v>
      </c>
      <c r="C538" s="91"/>
      <c r="D538" s="92" t="s">
        <v>58</v>
      </c>
      <c r="E538" s="92" t="s">
        <v>170</v>
      </c>
      <c r="F538" s="115">
        <v>0</v>
      </c>
      <c r="G538" s="91"/>
      <c r="H538" s="91"/>
      <c r="I538" s="91"/>
      <c r="J538" s="107">
        <v>45931</v>
      </c>
      <c r="K538" s="107">
        <v>46387</v>
      </c>
      <c r="L538" s="92">
        <v>327</v>
      </c>
      <c r="M538" s="107"/>
      <c r="N538" s="91"/>
      <c r="O538" s="97" t="s">
        <v>185</v>
      </c>
      <c r="P538" s="91"/>
      <c r="Q538" s="91"/>
      <c r="R538" t="str">
        <f t="shared" si="8"/>
        <v>HR initiatives for IT♦Perform active sourcing♦♦L3♦SP</v>
      </c>
    </row>
    <row r="539" spans="1:18" ht="45">
      <c r="A539" s="97" t="s">
        <v>184</v>
      </c>
      <c r="B539" s="97" t="s">
        <v>581</v>
      </c>
      <c r="C539" s="97" t="s">
        <v>22</v>
      </c>
      <c r="D539" s="97" t="s">
        <v>58</v>
      </c>
      <c r="E539" s="97" t="s">
        <v>170</v>
      </c>
      <c r="F539" s="116">
        <v>0</v>
      </c>
      <c r="G539" s="97" t="s">
        <v>570</v>
      </c>
      <c r="H539" s="97" t="s">
        <v>189</v>
      </c>
      <c r="I539" s="97" t="s">
        <v>25</v>
      </c>
      <c r="J539" s="108">
        <v>45931</v>
      </c>
      <c r="K539" s="108">
        <v>46142</v>
      </c>
      <c r="L539" s="97">
        <v>152</v>
      </c>
      <c r="M539" s="108"/>
      <c r="N539" s="97" t="s">
        <v>26</v>
      </c>
      <c r="O539" s="97" t="s">
        <v>185</v>
      </c>
      <c r="P539" s="91"/>
      <c r="Q539" s="91"/>
      <c r="R539" t="str">
        <f t="shared" si="8"/>
        <v>HR initiatives for IT♦Perform active sourcing♦Elaboration♦L3♦SP</v>
      </c>
    </row>
    <row r="540" spans="1:18" ht="30">
      <c r="A540" s="97" t="s">
        <v>184</v>
      </c>
      <c r="B540" s="97" t="s">
        <v>581</v>
      </c>
      <c r="C540" s="97" t="s">
        <v>28</v>
      </c>
      <c r="D540" s="97" t="s">
        <v>58</v>
      </c>
      <c r="E540" s="97" t="s">
        <v>170</v>
      </c>
      <c r="F540" s="116">
        <v>0</v>
      </c>
      <c r="G540" s="91"/>
      <c r="H540" s="91"/>
      <c r="I540" s="91"/>
      <c r="J540" s="108">
        <v>46082</v>
      </c>
      <c r="K540" s="108">
        <v>46387</v>
      </c>
      <c r="L540" s="97">
        <v>219</v>
      </c>
      <c r="M540" s="108"/>
      <c r="N540" s="97" t="s">
        <v>28</v>
      </c>
      <c r="O540" s="97" t="s">
        <v>185</v>
      </c>
      <c r="P540" s="91"/>
      <c r="Q540" s="91"/>
      <c r="R540" t="str">
        <f t="shared" si="8"/>
        <v>HR initiatives for IT♦Perform active sourcing♦Implementation LIS♦L3♦SP</v>
      </c>
    </row>
    <row r="541" spans="1:18" ht="30">
      <c r="A541" s="97" t="s">
        <v>184</v>
      </c>
      <c r="B541" s="97" t="s">
        <v>581</v>
      </c>
      <c r="C541" s="97" t="s">
        <v>29</v>
      </c>
      <c r="D541" s="97" t="s">
        <v>58</v>
      </c>
      <c r="E541" s="97" t="s">
        <v>170</v>
      </c>
      <c r="F541" s="116">
        <v>0</v>
      </c>
      <c r="G541" s="91"/>
      <c r="H541" s="91"/>
      <c r="I541" s="91"/>
      <c r="J541" s="108"/>
      <c r="K541" s="108"/>
      <c r="L541" s="97">
        <v>0</v>
      </c>
      <c r="M541" s="108"/>
      <c r="N541" s="91"/>
      <c r="O541" s="97" t="s">
        <v>185</v>
      </c>
      <c r="P541" s="91"/>
      <c r="Q541" s="91"/>
      <c r="R541" t="str">
        <f t="shared" si="8"/>
        <v>HR initiatives for IT♦Perform active sourcing♦Implementation COT♦L3♦SP</v>
      </c>
    </row>
    <row r="542" spans="1:18" ht="30">
      <c r="A542" s="97" t="s">
        <v>184</v>
      </c>
      <c r="B542" s="97" t="s">
        <v>581</v>
      </c>
      <c r="C542" s="97" t="s">
        <v>30</v>
      </c>
      <c r="D542" s="97" t="s">
        <v>58</v>
      </c>
      <c r="E542" s="97" t="s">
        <v>170</v>
      </c>
      <c r="F542" s="116">
        <v>0</v>
      </c>
      <c r="G542" s="91"/>
      <c r="H542" s="91"/>
      <c r="I542" s="91"/>
      <c r="J542" s="108"/>
      <c r="K542" s="108"/>
      <c r="L542" s="97">
        <v>0</v>
      </c>
      <c r="M542" s="108"/>
      <c r="N542" s="91"/>
      <c r="O542" s="97" t="s">
        <v>185</v>
      </c>
      <c r="P542" s="91"/>
      <c r="Q542" s="91"/>
      <c r="R542" t="str">
        <f t="shared" si="8"/>
        <v>HR initiatives for IT♦Perform active sourcing♦Implementation LUS♦L3♦SP</v>
      </c>
    </row>
    <row r="543" spans="1:18" ht="30">
      <c r="A543" s="92" t="s">
        <v>184</v>
      </c>
      <c r="B543" s="92" t="s">
        <v>582</v>
      </c>
      <c r="C543" s="91"/>
      <c r="D543" s="92" t="s">
        <v>58</v>
      </c>
      <c r="E543" s="92" t="s">
        <v>170</v>
      </c>
      <c r="F543" s="115">
        <v>0.25</v>
      </c>
      <c r="G543" s="91"/>
      <c r="H543" s="91"/>
      <c r="I543" s="91"/>
      <c r="J543" s="107">
        <v>45931</v>
      </c>
      <c r="K543" s="107">
        <v>46387</v>
      </c>
      <c r="L543" s="92">
        <v>327</v>
      </c>
      <c r="M543" s="107"/>
      <c r="N543" s="91"/>
      <c r="O543" s="97" t="s">
        <v>185</v>
      </c>
      <c r="P543" s="91"/>
      <c r="Q543" s="91"/>
      <c r="R543" t="str">
        <f t="shared" si="8"/>
        <v>HR initiatives for IT♦Recruit employees and managers♦♦L3♦SP</v>
      </c>
    </row>
    <row r="544" spans="1:18" ht="45">
      <c r="A544" s="97" t="s">
        <v>184</v>
      </c>
      <c r="B544" s="97" t="s">
        <v>583</v>
      </c>
      <c r="C544" s="97" t="s">
        <v>22</v>
      </c>
      <c r="D544" s="97" t="s">
        <v>58</v>
      </c>
      <c r="E544" s="97" t="s">
        <v>170</v>
      </c>
      <c r="F544" s="116">
        <v>0.25</v>
      </c>
      <c r="G544" s="97" t="s">
        <v>570</v>
      </c>
      <c r="H544" s="97" t="s">
        <v>189</v>
      </c>
      <c r="I544" s="97" t="s">
        <v>25</v>
      </c>
      <c r="J544" s="108">
        <v>45931</v>
      </c>
      <c r="K544" s="108">
        <v>46142</v>
      </c>
      <c r="L544" s="97">
        <v>152</v>
      </c>
      <c r="M544" s="108"/>
      <c r="N544" s="97" t="s">
        <v>26</v>
      </c>
      <c r="O544" s="97" t="s">
        <v>185</v>
      </c>
      <c r="P544" s="91"/>
      <c r="Q544" s="91"/>
      <c r="R544" t="str">
        <f t="shared" si="8"/>
        <v>HR initiatives for IT♦Recruit employees and managers♦Elaboration♦L3♦SP</v>
      </c>
    </row>
    <row r="545" spans="1:18" ht="30">
      <c r="A545" s="97" t="s">
        <v>184</v>
      </c>
      <c r="B545" s="97" t="s">
        <v>583</v>
      </c>
      <c r="C545" s="97" t="s">
        <v>28</v>
      </c>
      <c r="D545" s="97" t="s">
        <v>58</v>
      </c>
      <c r="E545" s="97" t="s">
        <v>170</v>
      </c>
      <c r="F545" s="116">
        <v>0</v>
      </c>
      <c r="G545" s="91"/>
      <c r="H545" s="91"/>
      <c r="I545" s="91"/>
      <c r="J545" s="108">
        <v>46082</v>
      </c>
      <c r="K545" s="108">
        <v>46387</v>
      </c>
      <c r="L545" s="97">
        <v>219</v>
      </c>
      <c r="M545" s="108"/>
      <c r="N545" s="97" t="s">
        <v>28</v>
      </c>
      <c r="O545" s="97" t="s">
        <v>185</v>
      </c>
      <c r="P545" s="91"/>
      <c r="Q545" s="91"/>
      <c r="R545" t="str">
        <f t="shared" si="8"/>
        <v>HR initiatives for IT♦Recruit employees and managers♦Implementation LIS♦L3♦SP</v>
      </c>
    </row>
    <row r="546" spans="1:18" ht="30">
      <c r="A546" s="97" t="s">
        <v>184</v>
      </c>
      <c r="B546" s="97" t="s">
        <v>583</v>
      </c>
      <c r="C546" s="97" t="s">
        <v>29</v>
      </c>
      <c r="D546" s="97" t="s">
        <v>58</v>
      </c>
      <c r="E546" s="97" t="s">
        <v>170</v>
      </c>
      <c r="F546" s="116">
        <v>0</v>
      </c>
      <c r="G546" s="91"/>
      <c r="H546" s="91"/>
      <c r="I546" s="91"/>
      <c r="J546" s="108"/>
      <c r="K546" s="108"/>
      <c r="L546" s="97">
        <v>0</v>
      </c>
      <c r="M546" s="108"/>
      <c r="N546" s="91"/>
      <c r="O546" s="97" t="s">
        <v>185</v>
      </c>
      <c r="P546" s="91"/>
      <c r="Q546" s="91"/>
      <c r="R546" t="str">
        <f t="shared" si="8"/>
        <v>HR initiatives for IT♦Recruit employees and managers♦Implementation COT♦L3♦SP</v>
      </c>
    </row>
    <row r="547" spans="1:18" ht="30">
      <c r="A547" s="97" t="s">
        <v>184</v>
      </c>
      <c r="B547" s="97" t="s">
        <v>583</v>
      </c>
      <c r="C547" s="97" t="s">
        <v>30</v>
      </c>
      <c r="D547" s="97" t="s">
        <v>58</v>
      </c>
      <c r="E547" s="97" t="s">
        <v>170</v>
      </c>
      <c r="F547" s="116">
        <v>0</v>
      </c>
      <c r="G547" s="91"/>
      <c r="H547" s="91"/>
      <c r="I547" s="91"/>
      <c r="J547" s="108"/>
      <c r="K547" s="108"/>
      <c r="L547" s="97">
        <v>0</v>
      </c>
      <c r="M547" s="108"/>
      <c r="N547" s="91"/>
      <c r="O547" s="97" t="s">
        <v>185</v>
      </c>
      <c r="P547" s="91"/>
      <c r="Q547" s="91"/>
      <c r="R547" t="str">
        <f t="shared" si="8"/>
        <v>HR initiatives for IT♦Recruit employees and managers♦Implementation LUS♦L3♦SP</v>
      </c>
    </row>
    <row r="548" spans="1:18" ht="30">
      <c r="A548" s="94" t="s">
        <v>184</v>
      </c>
      <c r="B548" s="92" t="s">
        <v>584</v>
      </c>
      <c r="C548" s="92" t="s">
        <v>18</v>
      </c>
      <c r="D548" s="92" t="s">
        <v>33</v>
      </c>
      <c r="E548" s="92" t="s">
        <v>170</v>
      </c>
      <c r="F548" s="115">
        <v>0.33</v>
      </c>
      <c r="G548" s="91"/>
      <c r="H548" s="91"/>
      <c r="I548" s="91"/>
      <c r="J548" s="107">
        <v>45946</v>
      </c>
      <c r="K548" s="107">
        <v>46142</v>
      </c>
      <c r="L548" s="92">
        <v>141</v>
      </c>
      <c r="M548" s="107"/>
      <c r="N548" s="91"/>
      <c r="O548" s="92" t="s">
        <v>185</v>
      </c>
      <c r="P548" s="91"/>
      <c r="Q548" s="91"/>
      <c r="R548" t="str">
        <f t="shared" si="8"/>
        <v>HR initiatives for IT♦Perform onboarding♦Total♦L2♦SP</v>
      </c>
    </row>
    <row r="549" spans="1:18" ht="45">
      <c r="A549" s="97" t="s">
        <v>184</v>
      </c>
      <c r="B549" s="97" t="s">
        <v>585</v>
      </c>
      <c r="C549" s="97" t="s">
        <v>22</v>
      </c>
      <c r="D549" s="97" t="s">
        <v>33</v>
      </c>
      <c r="E549" s="97" t="s">
        <v>170</v>
      </c>
      <c r="F549" s="116">
        <v>0.25</v>
      </c>
      <c r="G549" s="97" t="s">
        <v>570</v>
      </c>
      <c r="H549" s="91"/>
      <c r="I549" s="97" t="s">
        <v>25</v>
      </c>
      <c r="J549" s="108">
        <v>45946</v>
      </c>
      <c r="K549" s="108">
        <v>46142</v>
      </c>
      <c r="L549" s="97">
        <v>141</v>
      </c>
      <c r="M549" s="108"/>
      <c r="N549" s="97" t="s">
        <v>26</v>
      </c>
      <c r="O549" s="97" t="s">
        <v>185</v>
      </c>
      <c r="P549" s="91"/>
      <c r="Q549" s="91"/>
      <c r="R549" t="str">
        <f t="shared" si="8"/>
        <v>HR initiatives for IT♦Perform onboarding♦Elaboration♦L2♦SP</v>
      </c>
    </row>
    <row r="550" spans="1:18" ht="30">
      <c r="A550" s="97" t="s">
        <v>184</v>
      </c>
      <c r="B550" s="97" t="s">
        <v>585</v>
      </c>
      <c r="C550" s="97" t="s">
        <v>28</v>
      </c>
      <c r="D550" s="97" t="s">
        <v>33</v>
      </c>
      <c r="E550" s="97" t="s">
        <v>170</v>
      </c>
      <c r="F550" s="116">
        <v>0</v>
      </c>
      <c r="G550" s="91"/>
      <c r="H550" s="91"/>
      <c r="I550" s="91"/>
      <c r="J550" s="108"/>
      <c r="K550" s="108"/>
      <c r="L550" s="97">
        <v>0</v>
      </c>
      <c r="M550" s="108"/>
      <c r="N550" s="91"/>
      <c r="O550" s="97" t="s">
        <v>185</v>
      </c>
      <c r="P550" s="91"/>
      <c r="Q550" s="91"/>
      <c r="R550" t="str">
        <f t="shared" si="8"/>
        <v>HR initiatives for IT♦Perform onboarding♦Implementation LIS♦L2♦SP</v>
      </c>
    </row>
    <row r="551" spans="1:18" ht="30">
      <c r="A551" s="97" t="s">
        <v>184</v>
      </c>
      <c r="B551" s="97" t="s">
        <v>585</v>
      </c>
      <c r="C551" s="97" t="s">
        <v>29</v>
      </c>
      <c r="D551" s="97" t="s">
        <v>33</v>
      </c>
      <c r="E551" s="97" t="s">
        <v>170</v>
      </c>
      <c r="F551" s="116">
        <v>0</v>
      </c>
      <c r="G551" s="91"/>
      <c r="H551" s="91"/>
      <c r="I551" s="91"/>
      <c r="J551" s="108"/>
      <c r="K551" s="108"/>
      <c r="L551" s="97">
        <v>0</v>
      </c>
      <c r="M551" s="108"/>
      <c r="N551" s="91"/>
      <c r="O551" s="97" t="s">
        <v>185</v>
      </c>
      <c r="P551" s="91"/>
      <c r="Q551" s="91"/>
      <c r="R551" t="str">
        <f t="shared" si="8"/>
        <v>HR initiatives for IT♦Perform onboarding♦Implementation COT♦L2♦SP</v>
      </c>
    </row>
    <row r="552" spans="1:18" ht="30">
      <c r="A552" s="97" t="s">
        <v>184</v>
      </c>
      <c r="B552" s="97" t="s">
        <v>585</v>
      </c>
      <c r="C552" s="97" t="s">
        <v>30</v>
      </c>
      <c r="D552" s="97" t="s">
        <v>33</v>
      </c>
      <c r="E552" s="97" t="s">
        <v>170</v>
      </c>
      <c r="F552" s="116">
        <v>0</v>
      </c>
      <c r="G552" s="91"/>
      <c r="H552" s="91"/>
      <c r="I552" s="91"/>
      <c r="J552" s="108"/>
      <c r="K552" s="108"/>
      <c r="L552" s="97">
        <v>0</v>
      </c>
      <c r="M552" s="108"/>
      <c r="N552" s="91"/>
      <c r="O552" s="97" t="s">
        <v>185</v>
      </c>
      <c r="P552" s="91"/>
      <c r="Q552" s="91"/>
      <c r="R552" t="str">
        <f t="shared" si="8"/>
        <v>HR initiatives for IT♦Perform onboarding♦Implementation LUS♦L2♦SP</v>
      </c>
    </row>
    <row r="553" spans="1:18" ht="30">
      <c r="A553" s="94" t="s">
        <v>184</v>
      </c>
      <c r="B553" s="92" t="s">
        <v>586</v>
      </c>
      <c r="C553" s="92" t="s">
        <v>18</v>
      </c>
      <c r="D553" s="92" t="s">
        <v>58</v>
      </c>
      <c r="E553" s="92" t="s">
        <v>170</v>
      </c>
      <c r="F553" s="115">
        <v>0.25</v>
      </c>
      <c r="G553" s="91"/>
      <c r="H553" s="91"/>
      <c r="I553" s="91"/>
      <c r="J553" s="107">
        <v>45946</v>
      </c>
      <c r="K553" s="107">
        <v>46142</v>
      </c>
      <c r="L553" s="92">
        <v>141</v>
      </c>
      <c r="M553" s="107"/>
      <c r="N553" s="91"/>
      <c r="O553" s="92" t="s">
        <v>185</v>
      </c>
      <c r="P553" s="91"/>
      <c r="Q553" s="91"/>
      <c r="R553" t="str">
        <f t="shared" si="8"/>
        <v>HR initiatives for IT♦Pre-board new IT employee and manager♦Total♦L3♦SP</v>
      </c>
    </row>
    <row r="554" spans="1:18" ht="45">
      <c r="A554" s="97" t="s">
        <v>184</v>
      </c>
      <c r="B554" s="97" t="s">
        <v>587</v>
      </c>
      <c r="C554" s="97" t="s">
        <v>22</v>
      </c>
      <c r="D554" s="97" t="s">
        <v>58</v>
      </c>
      <c r="E554" s="97" t="s">
        <v>170</v>
      </c>
      <c r="F554" s="116">
        <v>0.25</v>
      </c>
      <c r="G554" s="97" t="s">
        <v>570</v>
      </c>
      <c r="H554" s="91"/>
      <c r="I554" s="97" t="s">
        <v>25</v>
      </c>
      <c r="J554" s="108">
        <v>45946</v>
      </c>
      <c r="K554" s="108">
        <v>46142</v>
      </c>
      <c r="L554" s="97">
        <v>141</v>
      </c>
      <c r="M554" s="108"/>
      <c r="N554" s="97" t="s">
        <v>26</v>
      </c>
      <c r="O554" s="97" t="s">
        <v>185</v>
      </c>
      <c r="P554" s="91"/>
      <c r="Q554" s="91"/>
      <c r="R554" t="str">
        <f t="shared" si="8"/>
        <v>HR initiatives for IT♦Pre-board new IT employee and manager♦Elaboration♦L3♦SP</v>
      </c>
    </row>
    <row r="555" spans="1:18" ht="30">
      <c r="A555" s="97" t="s">
        <v>184</v>
      </c>
      <c r="B555" s="97" t="s">
        <v>587</v>
      </c>
      <c r="C555" s="97" t="s">
        <v>28</v>
      </c>
      <c r="D555" s="97" t="s">
        <v>58</v>
      </c>
      <c r="E555" s="97" t="s">
        <v>170</v>
      </c>
      <c r="F555" s="116">
        <v>0</v>
      </c>
      <c r="G555" s="91"/>
      <c r="H555" s="91"/>
      <c r="I555" s="91"/>
      <c r="J555" s="108"/>
      <c r="K555" s="108"/>
      <c r="L555" s="97">
        <v>0</v>
      </c>
      <c r="M555" s="108"/>
      <c r="N555" s="91"/>
      <c r="O555" s="97" t="s">
        <v>185</v>
      </c>
      <c r="P555" s="91"/>
      <c r="Q555" s="91"/>
      <c r="R555" t="str">
        <f t="shared" si="8"/>
        <v>HR initiatives for IT♦Pre-board new IT employee and manager♦Implementation LIS♦L3♦SP</v>
      </c>
    </row>
    <row r="556" spans="1:18" ht="30">
      <c r="A556" s="97" t="s">
        <v>184</v>
      </c>
      <c r="B556" s="97" t="s">
        <v>587</v>
      </c>
      <c r="C556" s="97" t="s">
        <v>29</v>
      </c>
      <c r="D556" s="97" t="s">
        <v>58</v>
      </c>
      <c r="E556" s="97" t="s">
        <v>170</v>
      </c>
      <c r="F556" s="116">
        <v>0</v>
      </c>
      <c r="G556" s="91"/>
      <c r="H556" s="91"/>
      <c r="I556" s="91"/>
      <c r="J556" s="108"/>
      <c r="K556" s="108"/>
      <c r="L556" s="97">
        <v>0</v>
      </c>
      <c r="M556" s="108"/>
      <c r="N556" s="91"/>
      <c r="O556" s="97" t="s">
        <v>185</v>
      </c>
      <c r="P556" s="91"/>
      <c r="Q556" s="91"/>
      <c r="R556" t="str">
        <f t="shared" si="8"/>
        <v>HR initiatives for IT♦Pre-board new IT employee and manager♦Implementation COT♦L3♦SP</v>
      </c>
    </row>
    <row r="557" spans="1:18" ht="30">
      <c r="A557" s="97" t="s">
        <v>184</v>
      </c>
      <c r="B557" s="97" t="s">
        <v>587</v>
      </c>
      <c r="C557" s="97" t="s">
        <v>30</v>
      </c>
      <c r="D557" s="97" t="s">
        <v>58</v>
      </c>
      <c r="E557" s="97" t="s">
        <v>170</v>
      </c>
      <c r="F557" s="116">
        <v>0</v>
      </c>
      <c r="G557" s="91"/>
      <c r="H557" s="91"/>
      <c r="I557" s="91"/>
      <c r="J557" s="108"/>
      <c r="K557" s="108"/>
      <c r="L557" s="97">
        <v>0</v>
      </c>
      <c r="M557" s="108"/>
      <c r="N557" s="91"/>
      <c r="O557" s="97" t="s">
        <v>185</v>
      </c>
      <c r="P557" s="91"/>
      <c r="Q557" s="91"/>
      <c r="R557" t="str">
        <f t="shared" si="8"/>
        <v>HR initiatives for IT♦Pre-board new IT employee and manager♦Implementation LUS♦L3♦SP</v>
      </c>
    </row>
    <row r="558" spans="1:18" ht="30">
      <c r="A558" s="94" t="s">
        <v>184</v>
      </c>
      <c r="B558" s="92" t="s">
        <v>588</v>
      </c>
      <c r="C558" s="92" t="s">
        <v>18</v>
      </c>
      <c r="D558" s="92" t="s">
        <v>58</v>
      </c>
      <c r="E558" s="92" t="s">
        <v>170</v>
      </c>
      <c r="F558" s="115">
        <v>0.5</v>
      </c>
      <c r="G558" s="91"/>
      <c r="H558" s="91"/>
      <c r="I558" s="91"/>
      <c r="J558" s="107">
        <v>45946</v>
      </c>
      <c r="K558" s="107">
        <v>46142</v>
      </c>
      <c r="L558" s="92">
        <v>141</v>
      </c>
      <c r="M558" s="107"/>
      <c r="N558" s="91"/>
      <c r="O558" s="92" t="s">
        <v>185</v>
      </c>
      <c r="P558" s="91"/>
      <c r="Q558" s="91"/>
      <c r="R558" t="str">
        <f t="shared" si="8"/>
        <v>HR initiatives for IT♦Onboard new IT employee and manager♦Total♦L3♦SP</v>
      </c>
    </row>
    <row r="559" spans="1:18" ht="45">
      <c r="A559" s="97" t="s">
        <v>184</v>
      </c>
      <c r="B559" s="97" t="s">
        <v>589</v>
      </c>
      <c r="C559" s="97" t="s">
        <v>22</v>
      </c>
      <c r="D559" s="97" t="s">
        <v>58</v>
      </c>
      <c r="E559" s="97" t="s">
        <v>170</v>
      </c>
      <c r="F559" s="116">
        <v>0.5</v>
      </c>
      <c r="G559" s="97" t="s">
        <v>570</v>
      </c>
      <c r="H559" s="91"/>
      <c r="I559" s="97" t="s">
        <v>25</v>
      </c>
      <c r="J559" s="108">
        <v>45946</v>
      </c>
      <c r="K559" s="108">
        <v>46142</v>
      </c>
      <c r="L559" s="97">
        <v>141</v>
      </c>
      <c r="M559" s="108"/>
      <c r="N559" s="97" t="s">
        <v>26</v>
      </c>
      <c r="O559" s="97" t="s">
        <v>185</v>
      </c>
      <c r="P559" s="91"/>
      <c r="Q559" s="91"/>
      <c r="R559" t="str">
        <f t="shared" si="8"/>
        <v>HR initiatives for IT♦Onboard new IT employee and manager♦Elaboration♦L3♦SP</v>
      </c>
    </row>
    <row r="560" spans="1:18" ht="30">
      <c r="A560" s="97" t="s">
        <v>184</v>
      </c>
      <c r="B560" s="97" t="s">
        <v>589</v>
      </c>
      <c r="C560" s="97" t="s">
        <v>28</v>
      </c>
      <c r="D560" s="97" t="s">
        <v>58</v>
      </c>
      <c r="E560" s="97" t="s">
        <v>170</v>
      </c>
      <c r="F560" s="116">
        <v>0</v>
      </c>
      <c r="G560" s="91"/>
      <c r="H560" s="91"/>
      <c r="I560" s="91"/>
      <c r="J560" s="108"/>
      <c r="K560" s="108"/>
      <c r="L560" s="97">
        <v>0</v>
      </c>
      <c r="M560" s="108"/>
      <c r="N560" s="91"/>
      <c r="O560" s="97" t="s">
        <v>185</v>
      </c>
      <c r="P560" s="91"/>
      <c r="Q560" s="91"/>
      <c r="R560" t="str">
        <f t="shared" si="8"/>
        <v>HR initiatives for IT♦Onboard new IT employee and manager♦Implementation LIS♦L3♦SP</v>
      </c>
    </row>
    <row r="561" spans="1:18" ht="30">
      <c r="A561" s="97" t="s">
        <v>184</v>
      </c>
      <c r="B561" s="97" t="s">
        <v>589</v>
      </c>
      <c r="C561" s="97" t="s">
        <v>29</v>
      </c>
      <c r="D561" s="97" t="s">
        <v>58</v>
      </c>
      <c r="E561" s="97" t="s">
        <v>170</v>
      </c>
      <c r="F561" s="116">
        <v>0</v>
      </c>
      <c r="G561" s="91"/>
      <c r="H561" s="91"/>
      <c r="I561" s="91"/>
      <c r="J561" s="107"/>
      <c r="K561" s="107"/>
      <c r="L561" s="97">
        <v>0</v>
      </c>
      <c r="M561" s="108"/>
      <c r="N561" s="91"/>
      <c r="O561" s="97" t="s">
        <v>185</v>
      </c>
      <c r="P561" s="91"/>
      <c r="Q561" s="91"/>
      <c r="R561" t="str">
        <f t="shared" si="8"/>
        <v>HR initiatives for IT♦Onboard new IT employee and manager♦Implementation COT♦L3♦SP</v>
      </c>
    </row>
    <row r="562" spans="1:18" ht="30">
      <c r="A562" s="97" t="s">
        <v>184</v>
      </c>
      <c r="B562" s="97" t="s">
        <v>589</v>
      </c>
      <c r="C562" s="97" t="s">
        <v>30</v>
      </c>
      <c r="D562" s="97" t="s">
        <v>58</v>
      </c>
      <c r="E562" s="97" t="s">
        <v>170</v>
      </c>
      <c r="F562" s="116">
        <v>0</v>
      </c>
      <c r="G562" s="91"/>
      <c r="H562" s="91"/>
      <c r="I562" s="91"/>
      <c r="J562" s="108"/>
      <c r="K562" s="108"/>
      <c r="L562" s="97">
        <v>0</v>
      </c>
      <c r="M562" s="108"/>
      <c r="N562" s="91"/>
      <c r="O562" s="97" t="s">
        <v>185</v>
      </c>
      <c r="P562" s="91"/>
      <c r="Q562" s="91"/>
      <c r="R562" t="str">
        <f t="shared" si="8"/>
        <v>HR initiatives for IT♦Onboard new IT employee and manager♦Implementation LUS♦L3♦SP</v>
      </c>
    </row>
    <row r="563" spans="1:18" ht="30">
      <c r="A563" s="94" t="s">
        <v>184</v>
      </c>
      <c r="B563" s="92" t="s">
        <v>590</v>
      </c>
      <c r="C563" s="92" t="s">
        <v>18</v>
      </c>
      <c r="D563" s="92" t="s">
        <v>33</v>
      </c>
      <c r="E563" s="92" t="s">
        <v>170</v>
      </c>
      <c r="F563" s="115">
        <v>0.11</v>
      </c>
      <c r="G563" s="91"/>
      <c r="H563" s="91"/>
      <c r="I563" s="91"/>
      <c r="J563" s="107">
        <v>45931</v>
      </c>
      <c r="K563" s="107">
        <v>46568</v>
      </c>
      <c r="L563" s="92">
        <v>456</v>
      </c>
      <c r="M563" s="107"/>
      <c r="N563" s="91"/>
      <c r="O563" s="92" t="s">
        <v>185</v>
      </c>
      <c r="P563" s="91"/>
      <c r="Q563" s="91"/>
      <c r="R563" t="str">
        <f t="shared" si="8"/>
        <v>HR initiatives for IT♦Perform, learn and grow♦Total♦L2♦SP</v>
      </c>
    </row>
    <row r="564" spans="1:18" ht="45">
      <c r="A564" s="97" t="s">
        <v>184</v>
      </c>
      <c r="B564" s="97" t="s">
        <v>591</v>
      </c>
      <c r="C564" s="97" t="s">
        <v>22</v>
      </c>
      <c r="D564" s="97" t="s">
        <v>33</v>
      </c>
      <c r="E564" s="97" t="s">
        <v>170</v>
      </c>
      <c r="F564" s="116">
        <v>0.25</v>
      </c>
      <c r="G564" s="97" t="s">
        <v>570</v>
      </c>
      <c r="H564" s="97" t="s">
        <v>186</v>
      </c>
      <c r="I564" s="97" t="s">
        <v>25</v>
      </c>
      <c r="J564" s="107">
        <v>45931</v>
      </c>
      <c r="K564" s="107"/>
      <c r="L564" s="97">
        <v>0</v>
      </c>
      <c r="M564" s="108"/>
      <c r="N564" s="91"/>
      <c r="O564" s="97" t="s">
        <v>185</v>
      </c>
      <c r="P564" s="91"/>
      <c r="Q564" s="91"/>
      <c r="R564" t="str">
        <f t="shared" si="8"/>
        <v>HR initiatives for IT♦Perform, learn and grow♦Elaboration♦L2♦SP</v>
      </c>
    </row>
    <row r="565" spans="1:18" ht="30">
      <c r="A565" s="97" t="s">
        <v>184</v>
      </c>
      <c r="B565" s="97" t="s">
        <v>591</v>
      </c>
      <c r="C565" s="97" t="s">
        <v>28</v>
      </c>
      <c r="D565" s="97" t="s">
        <v>33</v>
      </c>
      <c r="E565" s="97" t="s">
        <v>170</v>
      </c>
      <c r="F565" s="116">
        <v>0</v>
      </c>
      <c r="G565" s="91"/>
      <c r="H565" s="91"/>
      <c r="I565" s="91"/>
      <c r="J565" s="108"/>
      <c r="K565" s="108"/>
      <c r="L565" s="97">
        <v>0</v>
      </c>
      <c r="M565" s="108"/>
      <c r="N565" s="91"/>
      <c r="O565" s="97" t="s">
        <v>185</v>
      </c>
      <c r="P565" s="91"/>
      <c r="Q565" s="91"/>
      <c r="R565" t="str">
        <f t="shared" si="8"/>
        <v>HR initiatives for IT♦Perform, learn and grow♦Implementation LIS♦L2♦SP</v>
      </c>
    </row>
    <row r="566" spans="1:18" ht="30">
      <c r="A566" s="97" t="s">
        <v>184</v>
      </c>
      <c r="B566" s="97" t="s">
        <v>591</v>
      </c>
      <c r="C566" s="97" t="s">
        <v>29</v>
      </c>
      <c r="D566" s="97" t="s">
        <v>33</v>
      </c>
      <c r="E566" s="97" t="s">
        <v>170</v>
      </c>
      <c r="F566" s="116">
        <v>0</v>
      </c>
      <c r="G566" s="91"/>
      <c r="H566" s="91"/>
      <c r="I566" s="91"/>
      <c r="J566" s="107"/>
      <c r="K566" s="107"/>
      <c r="L566" s="97">
        <v>0</v>
      </c>
      <c r="M566" s="108"/>
      <c r="N566" s="91"/>
      <c r="O566" s="97" t="s">
        <v>185</v>
      </c>
      <c r="P566" s="91"/>
      <c r="Q566" s="91"/>
      <c r="R566" t="str">
        <f t="shared" si="8"/>
        <v>HR initiatives for IT♦Perform, learn and grow♦Implementation COT♦L2♦SP</v>
      </c>
    </row>
    <row r="567" spans="1:18" ht="30">
      <c r="A567" s="97" t="s">
        <v>184</v>
      </c>
      <c r="B567" s="97" t="s">
        <v>591</v>
      </c>
      <c r="C567" s="97" t="s">
        <v>30</v>
      </c>
      <c r="D567" s="97" t="s">
        <v>33</v>
      </c>
      <c r="E567" s="97" t="s">
        <v>170</v>
      </c>
      <c r="F567" s="116">
        <v>0</v>
      </c>
      <c r="G567" s="91"/>
      <c r="H567" s="91"/>
      <c r="I567" s="91"/>
      <c r="J567" s="108"/>
      <c r="K567" s="108"/>
      <c r="L567" s="97">
        <v>0</v>
      </c>
      <c r="M567" s="108"/>
      <c r="N567" s="91"/>
      <c r="O567" s="97" t="s">
        <v>185</v>
      </c>
      <c r="P567" s="91"/>
      <c r="Q567" s="91"/>
      <c r="R567" t="str">
        <f t="shared" si="8"/>
        <v>HR initiatives for IT♦Perform, learn and grow♦Implementation LUS♦L2♦SP</v>
      </c>
    </row>
    <row r="568" spans="1:18" ht="45">
      <c r="A568" s="92" t="s">
        <v>184</v>
      </c>
      <c r="B568" s="92" t="s">
        <v>592</v>
      </c>
      <c r="C568" s="91"/>
      <c r="D568" s="92" t="s">
        <v>58</v>
      </c>
      <c r="E568" s="92" t="s">
        <v>170</v>
      </c>
      <c r="F568" s="115">
        <v>0.5</v>
      </c>
      <c r="G568" s="91"/>
      <c r="H568" s="91"/>
      <c r="I568" s="91"/>
      <c r="J568" s="107">
        <v>45931</v>
      </c>
      <c r="K568" s="107">
        <v>46142</v>
      </c>
      <c r="L568" s="92">
        <v>152</v>
      </c>
      <c r="M568" s="107"/>
      <c r="N568" s="91"/>
      <c r="O568" s="97" t="s">
        <v>185</v>
      </c>
      <c r="P568" s="91"/>
      <c r="Q568" s="91"/>
      <c r="R568" t="str">
        <f t="shared" si="8"/>
        <v>HR initiatives for IT♦Create, approve and publish trainings for IT workforce within IT Training Catalogue♦♦L3♦SP</v>
      </c>
    </row>
    <row r="569" spans="1:18" ht="45">
      <c r="A569" s="97" t="s">
        <v>184</v>
      </c>
      <c r="B569" s="97" t="s">
        <v>593</v>
      </c>
      <c r="C569" s="97" t="s">
        <v>22</v>
      </c>
      <c r="D569" s="97" t="s">
        <v>58</v>
      </c>
      <c r="E569" s="97" t="s">
        <v>170</v>
      </c>
      <c r="F569" s="116">
        <v>0.5</v>
      </c>
      <c r="G569" s="97" t="s">
        <v>570</v>
      </c>
      <c r="H569" s="97" t="s">
        <v>186</v>
      </c>
      <c r="I569" s="97" t="s">
        <v>25</v>
      </c>
      <c r="J569" s="107">
        <v>45931</v>
      </c>
      <c r="K569" s="107">
        <v>46142</v>
      </c>
      <c r="L569" s="97">
        <v>152</v>
      </c>
      <c r="M569" s="108"/>
      <c r="N569" s="97" t="s">
        <v>26</v>
      </c>
      <c r="O569" s="97" t="s">
        <v>185</v>
      </c>
      <c r="P569" s="91"/>
      <c r="Q569" s="91"/>
      <c r="R569" t="str">
        <f t="shared" si="8"/>
        <v>HR initiatives for IT♦Create, approve and publish trainings for IT workforce within IT Training Catalogue♦Elaboration♦L3♦SP</v>
      </c>
    </row>
    <row r="570" spans="1:18" ht="45">
      <c r="A570" s="97" t="s">
        <v>184</v>
      </c>
      <c r="B570" s="97" t="s">
        <v>593</v>
      </c>
      <c r="C570" s="97" t="s">
        <v>28</v>
      </c>
      <c r="D570" s="97" t="s">
        <v>58</v>
      </c>
      <c r="E570" s="97" t="s">
        <v>170</v>
      </c>
      <c r="F570" s="116">
        <v>0</v>
      </c>
      <c r="G570" s="91"/>
      <c r="H570" s="91"/>
      <c r="I570" s="91"/>
      <c r="J570" s="108"/>
      <c r="K570" s="108"/>
      <c r="L570" s="97">
        <v>0</v>
      </c>
      <c r="M570" s="108"/>
      <c r="N570" s="91"/>
      <c r="O570" s="97" t="s">
        <v>185</v>
      </c>
      <c r="P570" s="91"/>
      <c r="Q570" s="91"/>
      <c r="R570" t="str">
        <f t="shared" si="8"/>
        <v>HR initiatives for IT♦Create, approve and publish trainings for IT workforce within IT Training Catalogue♦Implementation LIS♦L3♦SP</v>
      </c>
    </row>
    <row r="571" spans="1:18" ht="45">
      <c r="A571" s="97" t="s">
        <v>184</v>
      </c>
      <c r="B571" s="97" t="s">
        <v>593</v>
      </c>
      <c r="C571" s="97" t="s">
        <v>29</v>
      </c>
      <c r="D571" s="97" t="s">
        <v>58</v>
      </c>
      <c r="E571" s="97" t="s">
        <v>170</v>
      </c>
      <c r="F571" s="116">
        <v>0</v>
      </c>
      <c r="G571" s="91"/>
      <c r="H571" s="91"/>
      <c r="I571" s="91"/>
      <c r="J571" s="107"/>
      <c r="K571" s="107"/>
      <c r="L571" s="97">
        <v>0</v>
      </c>
      <c r="M571" s="108"/>
      <c r="N571" s="91"/>
      <c r="O571" s="97" t="s">
        <v>185</v>
      </c>
      <c r="P571" s="91"/>
      <c r="Q571" s="91"/>
      <c r="R571" t="str">
        <f t="shared" si="8"/>
        <v>HR initiatives for IT♦Create, approve and publish trainings for IT workforce within IT Training Catalogue♦Implementation COT♦L3♦SP</v>
      </c>
    </row>
    <row r="572" spans="1:18" ht="45">
      <c r="A572" s="97" t="s">
        <v>184</v>
      </c>
      <c r="B572" s="97" t="s">
        <v>593</v>
      </c>
      <c r="C572" s="97" t="s">
        <v>30</v>
      </c>
      <c r="D572" s="97" t="s">
        <v>58</v>
      </c>
      <c r="E572" s="97" t="s">
        <v>170</v>
      </c>
      <c r="F572" s="116">
        <v>0</v>
      </c>
      <c r="G572" s="91"/>
      <c r="H572" s="91"/>
      <c r="I572" s="91"/>
      <c r="J572" s="108"/>
      <c r="K572" s="108"/>
      <c r="L572" s="97">
        <v>0</v>
      </c>
      <c r="M572" s="108"/>
      <c r="N572" s="91"/>
      <c r="O572" s="97" t="s">
        <v>185</v>
      </c>
      <c r="P572" s="91"/>
      <c r="Q572" s="91"/>
      <c r="R572" t="str">
        <f t="shared" si="8"/>
        <v>HR initiatives for IT♦Create, approve and publish trainings for IT workforce within IT Training Catalogue♦Implementation LUS♦L3♦SP</v>
      </c>
    </row>
    <row r="573" spans="1:18" ht="30">
      <c r="A573" s="94" t="s">
        <v>184</v>
      </c>
      <c r="B573" s="92" t="s">
        <v>594</v>
      </c>
      <c r="C573" s="92" t="s">
        <v>18</v>
      </c>
      <c r="D573" s="92" t="s">
        <v>58</v>
      </c>
      <c r="E573" s="92" t="s">
        <v>170</v>
      </c>
      <c r="F573" s="115">
        <v>0</v>
      </c>
      <c r="G573" s="91"/>
      <c r="H573" s="91"/>
      <c r="I573" s="91"/>
      <c r="J573" s="107">
        <v>46113</v>
      </c>
      <c r="K573" s="107">
        <v>46388</v>
      </c>
      <c r="L573" s="92">
        <v>198</v>
      </c>
      <c r="M573" s="107"/>
      <c r="N573" s="91"/>
      <c r="O573" s="92" t="s">
        <v>185</v>
      </c>
      <c r="P573" s="91"/>
      <c r="Q573" s="91"/>
      <c r="R573" t="str">
        <f t="shared" si="8"/>
        <v>HR initiatives for IT♦Mapping and evaluate IT career level♦Total♦L3♦SP</v>
      </c>
    </row>
    <row r="574" spans="1:18" ht="45">
      <c r="A574" s="97" t="s">
        <v>184</v>
      </c>
      <c r="B574" s="97" t="s">
        <v>595</v>
      </c>
      <c r="C574" s="97" t="s">
        <v>22</v>
      </c>
      <c r="D574" s="97" t="s">
        <v>58</v>
      </c>
      <c r="E574" s="97" t="s">
        <v>170</v>
      </c>
      <c r="F574" s="116">
        <v>0</v>
      </c>
      <c r="G574" s="97" t="s">
        <v>570</v>
      </c>
      <c r="H574" s="97" t="s">
        <v>186</v>
      </c>
      <c r="I574" s="97" t="s">
        <v>25</v>
      </c>
      <c r="J574" s="108">
        <v>46113</v>
      </c>
      <c r="K574" s="108">
        <v>46388</v>
      </c>
      <c r="L574" s="97">
        <v>198</v>
      </c>
      <c r="M574" s="108"/>
      <c r="N574" s="97" t="s">
        <v>26</v>
      </c>
      <c r="O574" s="97" t="s">
        <v>185</v>
      </c>
      <c r="P574" s="91"/>
      <c r="Q574" s="91"/>
      <c r="R574" t="str">
        <f t="shared" si="8"/>
        <v>HR initiatives for IT♦Mapping and evaluate IT career level♦Elaboration♦L3♦SP</v>
      </c>
    </row>
    <row r="575" spans="1:18" ht="30">
      <c r="A575" s="97" t="s">
        <v>184</v>
      </c>
      <c r="B575" s="97" t="s">
        <v>595</v>
      </c>
      <c r="C575" s="97" t="s">
        <v>28</v>
      </c>
      <c r="D575" s="97" t="s">
        <v>58</v>
      </c>
      <c r="E575" s="97" t="s">
        <v>170</v>
      </c>
      <c r="F575" s="116">
        <v>0</v>
      </c>
      <c r="G575" s="91"/>
      <c r="H575" s="91"/>
      <c r="I575" s="91"/>
      <c r="J575" s="107"/>
      <c r="K575" s="107"/>
      <c r="L575" s="97">
        <v>0</v>
      </c>
      <c r="M575" s="108"/>
      <c r="N575" s="91"/>
      <c r="O575" s="97" t="s">
        <v>185</v>
      </c>
      <c r="P575" s="91"/>
      <c r="Q575" s="91"/>
      <c r="R575" t="str">
        <f t="shared" si="8"/>
        <v>HR initiatives for IT♦Mapping and evaluate IT career level♦Implementation LIS♦L3♦SP</v>
      </c>
    </row>
    <row r="576" spans="1:18" ht="30">
      <c r="A576" s="97" t="s">
        <v>184</v>
      </c>
      <c r="B576" s="97" t="s">
        <v>595</v>
      </c>
      <c r="C576" s="97" t="s">
        <v>29</v>
      </c>
      <c r="D576" s="97" t="s">
        <v>58</v>
      </c>
      <c r="E576" s="97" t="s">
        <v>170</v>
      </c>
      <c r="F576" s="116">
        <v>0</v>
      </c>
      <c r="G576" s="91"/>
      <c r="H576" s="91"/>
      <c r="I576" s="91"/>
      <c r="J576" s="107"/>
      <c r="K576" s="108"/>
      <c r="L576" s="97">
        <v>0</v>
      </c>
      <c r="M576" s="108"/>
      <c r="N576" s="91"/>
      <c r="O576" s="97" t="s">
        <v>185</v>
      </c>
      <c r="P576" s="91"/>
      <c r="Q576" s="91"/>
      <c r="R576" t="str">
        <f t="shared" si="8"/>
        <v>HR initiatives for IT♦Mapping and evaluate IT career level♦Implementation COT♦L3♦SP</v>
      </c>
    </row>
    <row r="577" spans="1:18" ht="30">
      <c r="A577" s="97" t="s">
        <v>184</v>
      </c>
      <c r="B577" s="97" t="s">
        <v>595</v>
      </c>
      <c r="C577" s="97" t="s">
        <v>30</v>
      </c>
      <c r="D577" s="97" t="s">
        <v>58</v>
      </c>
      <c r="E577" s="97" t="s">
        <v>170</v>
      </c>
      <c r="F577" s="116">
        <v>0</v>
      </c>
      <c r="G577" s="91"/>
      <c r="H577" s="91"/>
      <c r="I577" s="91"/>
      <c r="J577" s="107"/>
      <c r="K577" s="107"/>
      <c r="L577" s="97">
        <v>0</v>
      </c>
      <c r="M577" s="108"/>
      <c r="N577" s="91"/>
      <c r="O577" s="97" t="s">
        <v>185</v>
      </c>
      <c r="P577" s="91"/>
      <c r="Q577" s="91"/>
      <c r="R577" t="str">
        <f t="shared" si="8"/>
        <v>HR initiatives for IT♦Mapping and evaluate IT career level♦Implementation LUS♦L3♦SP</v>
      </c>
    </row>
    <row r="578" spans="1:18" ht="30">
      <c r="A578" s="94" t="s">
        <v>184</v>
      </c>
      <c r="B578" s="92" t="s">
        <v>596</v>
      </c>
      <c r="C578" s="92" t="s">
        <v>18</v>
      </c>
      <c r="D578" s="92" t="s">
        <v>58</v>
      </c>
      <c r="E578" s="92" t="s">
        <v>170</v>
      </c>
      <c r="F578" s="115">
        <v>0</v>
      </c>
      <c r="G578" s="91"/>
      <c r="H578" s="91"/>
      <c r="I578" s="91"/>
      <c r="J578" s="107">
        <v>45946</v>
      </c>
      <c r="K578" s="107">
        <v>45946</v>
      </c>
      <c r="L578" s="92">
        <v>0</v>
      </c>
      <c r="M578" s="107"/>
      <c r="N578" s="91"/>
      <c r="O578" s="92" t="s">
        <v>185</v>
      </c>
      <c r="P578" s="91"/>
      <c r="Q578" s="91"/>
      <c r="R578" t="str">
        <f t="shared" ref="R578:R612" si="9">TRIM(A578)&amp;"♦"&amp;TRIM(B578)&amp;"♦"&amp;TRIM(C578)&amp;"♦"&amp;TRIM(D578)&amp;"♦"&amp;TRIM(E578)</f>
        <v>HR initiatives for IT♦Manage IT development programme♦Total♦L3♦SP</v>
      </c>
    </row>
    <row r="579" spans="1:18" ht="45">
      <c r="A579" s="97" t="s">
        <v>184</v>
      </c>
      <c r="B579" s="97" t="s">
        <v>597</v>
      </c>
      <c r="C579" s="97" t="s">
        <v>22</v>
      </c>
      <c r="D579" s="97" t="s">
        <v>58</v>
      </c>
      <c r="E579" s="97" t="s">
        <v>170</v>
      </c>
      <c r="F579" s="116">
        <v>0</v>
      </c>
      <c r="G579" s="97" t="s">
        <v>570</v>
      </c>
      <c r="H579" s="97" t="s">
        <v>186</v>
      </c>
      <c r="I579" s="97" t="s">
        <v>25</v>
      </c>
      <c r="J579" s="107"/>
      <c r="K579" s="107"/>
      <c r="L579" s="97">
        <v>0</v>
      </c>
      <c r="M579" s="108"/>
      <c r="N579" s="91"/>
      <c r="O579" s="97" t="s">
        <v>185</v>
      </c>
      <c r="P579" s="91"/>
      <c r="Q579" s="91"/>
      <c r="R579" t="str">
        <f t="shared" si="9"/>
        <v>HR initiatives for IT♦Manage IT development programme♦Elaboration♦L3♦SP</v>
      </c>
    </row>
    <row r="580" spans="1:18" ht="30">
      <c r="A580" s="97" t="s">
        <v>184</v>
      </c>
      <c r="B580" s="97" t="s">
        <v>597</v>
      </c>
      <c r="C580" s="97" t="s">
        <v>28</v>
      </c>
      <c r="D580" s="97" t="s">
        <v>58</v>
      </c>
      <c r="E580" s="97" t="s">
        <v>170</v>
      </c>
      <c r="F580" s="116">
        <v>0</v>
      </c>
      <c r="G580" s="91"/>
      <c r="H580" s="91"/>
      <c r="I580" s="91"/>
      <c r="J580" s="108"/>
      <c r="K580" s="108"/>
      <c r="L580" s="97">
        <v>0</v>
      </c>
      <c r="M580" s="108"/>
      <c r="N580" s="91"/>
      <c r="O580" s="97" t="s">
        <v>185</v>
      </c>
      <c r="P580" s="91"/>
      <c r="Q580" s="91"/>
      <c r="R580" t="str">
        <f t="shared" si="9"/>
        <v>HR initiatives for IT♦Manage IT development programme♦Implementation LIS♦L3♦SP</v>
      </c>
    </row>
    <row r="581" spans="1:18" ht="30">
      <c r="A581" s="97" t="s">
        <v>184</v>
      </c>
      <c r="B581" s="97" t="s">
        <v>597</v>
      </c>
      <c r="C581" s="97" t="s">
        <v>29</v>
      </c>
      <c r="D581" s="97" t="s">
        <v>58</v>
      </c>
      <c r="E581" s="97" t="s">
        <v>170</v>
      </c>
      <c r="F581" s="116">
        <v>0</v>
      </c>
      <c r="G581" s="91"/>
      <c r="H581" s="91"/>
      <c r="I581" s="91"/>
      <c r="J581" s="107"/>
      <c r="K581" s="107"/>
      <c r="L581" s="97">
        <v>0</v>
      </c>
      <c r="M581" s="108"/>
      <c r="N581" s="91"/>
      <c r="O581" s="97" t="s">
        <v>185</v>
      </c>
      <c r="P581" s="91"/>
      <c r="Q581" s="91"/>
      <c r="R581" t="str">
        <f t="shared" si="9"/>
        <v>HR initiatives for IT♦Manage IT development programme♦Implementation COT♦L3♦SP</v>
      </c>
    </row>
    <row r="582" spans="1:18" ht="30">
      <c r="A582" s="97" t="s">
        <v>184</v>
      </c>
      <c r="B582" s="97" t="s">
        <v>597</v>
      </c>
      <c r="C582" s="97" t="s">
        <v>30</v>
      </c>
      <c r="D582" s="97" t="s">
        <v>58</v>
      </c>
      <c r="E582" s="97" t="s">
        <v>170</v>
      </c>
      <c r="F582" s="116">
        <v>0</v>
      </c>
      <c r="G582" s="91"/>
      <c r="H582" s="91"/>
      <c r="I582" s="91"/>
      <c r="J582" s="108"/>
      <c r="K582" s="108"/>
      <c r="L582" s="97">
        <v>0</v>
      </c>
      <c r="M582" s="108"/>
      <c r="N582" s="91"/>
      <c r="O582" s="97" t="s">
        <v>185</v>
      </c>
      <c r="P582" s="91"/>
      <c r="Q582" s="91"/>
      <c r="R582" t="str">
        <f t="shared" si="9"/>
        <v>HR initiatives for IT♦Manage IT development programme♦Implementation LUS♦L3♦SP</v>
      </c>
    </row>
    <row r="583" spans="1:18" ht="30">
      <c r="A583" s="94" t="s">
        <v>184</v>
      </c>
      <c r="B583" s="92" t="s">
        <v>445</v>
      </c>
      <c r="C583" s="92" t="s">
        <v>18</v>
      </c>
      <c r="D583" s="92" t="s">
        <v>58</v>
      </c>
      <c r="E583" s="92" t="s">
        <v>170</v>
      </c>
      <c r="F583" s="115">
        <v>0</v>
      </c>
      <c r="G583" s="91"/>
      <c r="H583" s="91"/>
      <c r="I583" s="91"/>
      <c r="J583" s="107">
        <v>46023</v>
      </c>
      <c r="K583" s="107">
        <v>46568</v>
      </c>
      <c r="L583" s="92">
        <v>390</v>
      </c>
      <c r="M583" s="107"/>
      <c r="N583" s="91"/>
      <c r="O583" s="92" t="s">
        <v>185</v>
      </c>
      <c r="P583" s="91"/>
      <c r="Q583" s="91"/>
      <c r="R583" t="str">
        <f t="shared" si="9"/>
        <v>HR initiatives for IT♦Manage IT skills♦Total♦L3♦SP</v>
      </c>
    </row>
    <row r="584" spans="1:18" ht="45">
      <c r="A584" s="97" t="s">
        <v>184</v>
      </c>
      <c r="B584" s="97" t="s">
        <v>598</v>
      </c>
      <c r="C584" s="97" t="s">
        <v>22</v>
      </c>
      <c r="D584" s="97" t="s">
        <v>58</v>
      </c>
      <c r="E584" s="97" t="s">
        <v>170</v>
      </c>
      <c r="F584" s="116">
        <v>0</v>
      </c>
      <c r="G584" s="97" t="s">
        <v>570</v>
      </c>
      <c r="H584" s="97" t="s">
        <v>186</v>
      </c>
      <c r="I584" s="97" t="s">
        <v>25</v>
      </c>
      <c r="J584" s="107">
        <v>46023</v>
      </c>
      <c r="K584" s="107">
        <v>46387</v>
      </c>
      <c r="L584" s="97">
        <v>261</v>
      </c>
      <c r="M584" s="108"/>
      <c r="N584" s="97" t="s">
        <v>26</v>
      </c>
      <c r="O584" s="97" t="s">
        <v>185</v>
      </c>
      <c r="P584" s="97" t="s">
        <v>634</v>
      </c>
      <c r="Q584" s="91"/>
      <c r="R584" t="str">
        <f t="shared" si="9"/>
        <v>HR initiatives for IT♦Manage IT skills♦Elaboration♦L3♦SP</v>
      </c>
    </row>
    <row r="585" spans="1:18" ht="30">
      <c r="A585" s="97" t="s">
        <v>184</v>
      </c>
      <c r="B585" s="97" t="s">
        <v>598</v>
      </c>
      <c r="C585" s="97" t="s">
        <v>28</v>
      </c>
      <c r="D585" s="97" t="s">
        <v>58</v>
      </c>
      <c r="E585" s="97" t="s">
        <v>170</v>
      </c>
      <c r="F585" s="116">
        <v>0</v>
      </c>
      <c r="G585" s="91"/>
      <c r="H585" s="91"/>
      <c r="I585" s="91"/>
      <c r="J585" s="108">
        <v>46388</v>
      </c>
      <c r="K585" s="108">
        <v>46568</v>
      </c>
      <c r="L585" s="97">
        <v>129</v>
      </c>
      <c r="M585" s="108"/>
      <c r="N585" s="97" t="s">
        <v>27</v>
      </c>
      <c r="O585" s="97" t="s">
        <v>185</v>
      </c>
      <c r="P585" s="91"/>
      <c r="Q585" s="91"/>
      <c r="R585" t="str">
        <f t="shared" si="9"/>
        <v>HR initiatives for IT♦Manage IT skills♦Implementation LIS♦L3♦SP</v>
      </c>
    </row>
    <row r="586" spans="1:18" ht="30">
      <c r="A586" s="97" t="s">
        <v>184</v>
      </c>
      <c r="B586" s="97" t="s">
        <v>598</v>
      </c>
      <c r="C586" s="97" t="s">
        <v>29</v>
      </c>
      <c r="D586" s="97" t="s">
        <v>58</v>
      </c>
      <c r="E586" s="97" t="s">
        <v>170</v>
      </c>
      <c r="F586" s="116">
        <v>0</v>
      </c>
      <c r="G586" s="91"/>
      <c r="H586" s="91"/>
      <c r="I586" s="91"/>
      <c r="J586" s="108">
        <v>46388</v>
      </c>
      <c r="K586" s="108">
        <v>46568</v>
      </c>
      <c r="L586" s="97">
        <v>129</v>
      </c>
      <c r="M586" s="108"/>
      <c r="N586" s="97" t="s">
        <v>27</v>
      </c>
      <c r="O586" s="97" t="s">
        <v>185</v>
      </c>
      <c r="P586" s="91"/>
      <c r="Q586" s="91"/>
      <c r="R586" t="str">
        <f t="shared" si="9"/>
        <v>HR initiatives for IT♦Manage IT skills♦Implementation COT♦L3♦SP</v>
      </c>
    </row>
    <row r="587" spans="1:18" ht="30">
      <c r="A587" s="97" t="s">
        <v>184</v>
      </c>
      <c r="B587" s="97" t="s">
        <v>598</v>
      </c>
      <c r="C587" s="97" t="s">
        <v>30</v>
      </c>
      <c r="D587" s="97" t="s">
        <v>58</v>
      </c>
      <c r="E587" s="97" t="s">
        <v>170</v>
      </c>
      <c r="F587" s="116">
        <v>0</v>
      </c>
      <c r="G587" s="91"/>
      <c r="H587" s="91"/>
      <c r="I587" s="91"/>
      <c r="J587" s="108">
        <v>46388</v>
      </c>
      <c r="K587" s="108">
        <v>46568</v>
      </c>
      <c r="L587" s="97">
        <v>129</v>
      </c>
      <c r="M587" s="108"/>
      <c r="N587" s="97" t="s">
        <v>27</v>
      </c>
      <c r="O587" s="97" t="s">
        <v>185</v>
      </c>
      <c r="P587" s="91"/>
      <c r="Q587" s="91"/>
      <c r="R587" t="str">
        <f t="shared" si="9"/>
        <v>HR initiatives for IT♦Manage IT skills♦Implementation LUS♦L3♦SP</v>
      </c>
    </row>
    <row r="588" spans="1:18" ht="30">
      <c r="A588" s="94" t="s">
        <v>184</v>
      </c>
      <c r="B588" s="92" t="s">
        <v>599</v>
      </c>
      <c r="C588" s="92" t="s">
        <v>18</v>
      </c>
      <c r="D588" s="92" t="s">
        <v>58</v>
      </c>
      <c r="E588" s="92" t="s">
        <v>170</v>
      </c>
      <c r="F588" s="115">
        <v>0</v>
      </c>
      <c r="G588" s="91"/>
      <c r="H588" s="91"/>
      <c r="I588" s="91"/>
      <c r="J588" s="107">
        <v>45946</v>
      </c>
      <c r="K588" s="107">
        <v>45946</v>
      </c>
      <c r="L588" s="92">
        <v>0</v>
      </c>
      <c r="M588" s="107"/>
      <c r="N588" s="91"/>
      <c r="O588" s="92" t="s">
        <v>185</v>
      </c>
      <c r="P588" s="91"/>
      <c r="Q588" s="91"/>
      <c r="R588" t="str">
        <f t="shared" si="9"/>
        <v>HR initiatives for IT♦Manage IT talent pool and identify potential♦Total♦L3♦SP</v>
      </c>
    </row>
    <row r="589" spans="1:18" ht="45">
      <c r="A589" s="97" t="s">
        <v>184</v>
      </c>
      <c r="B589" s="97" t="s">
        <v>600</v>
      </c>
      <c r="C589" s="97" t="s">
        <v>22</v>
      </c>
      <c r="D589" s="97" t="s">
        <v>58</v>
      </c>
      <c r="E589" s="97" t="s">
        <v>170</v>
      </c>
      <c r="F589" s="116">
        <v>0</v>
      </c>
      <c r="G589" s="97" t="s">
        <v>570</v>
      </c>
      <c r="H589" s="97" t="s">
        <v>186</v>
      </c>
      <c r="I589" s="97" t="s">
        <v>25</v>
      </c>
      <c r="J589" s="107"/>
      <c r="K589" s="107"/>
      <c r="L589" s="97">
        <v>0</v>
      </c>
      <c r="M589" s="108"/>
      <c r="N589" s="91"/>
      <c r="O589" s="97" t="s">
        <v>185</v>
      </c>
      <c r="P589" s="97" t="s">
        <v>634</v>
      </c>
      <c r="Q589" s="91"/>
      <c r="R589" t="str">
        <f t="shared" si="9"/>
        <v>HR initiatives for IT♦Manage IT global orientation programme♦Elaboration♦L3♦SP</v>
      </c>
    </row>
    <row r="590" spans="1:18" ht="30">
      <c r="A590" s="97" t="s">
        <v>184</v>
      </c>
      <c r="B590" s="97" t="s">
        <v>600</v>
      </c>
      <c r="C590" s="97" t="s">
        <v>28</v>
      </c>
      <c r="D590" s="97" t="s">
        <v>58</v>
      </c>
      <c r="E590" s="97" t="s">
        <v>170</v>
      </c>
      <c r="F590" s="116">
        <v>0</v>
      </c>
      <c r="G590" s="91"/>
      <c r="H590" s="91"/>
      <c r="I590" s="91"/>
      <c r="J590" s="108"/>
      <c r="K590" s="108"/>
      <c r="L590" s="97">
        <v>0</v>
      </c>
      <c r="M590" s="108"/>
      <c r="N590" s="91"/>
      <c r="O590" s="97" t="s">
        <v>185</v>
      </c>
      <c r="P590" s="91"/>
      <c r="Q590" s="91"/>
      <c r="R590" t="str">
        <f t="shared" si="9"/>
        <v>HR initiatives for IT♦Manage IT global orientation programme♦Implementation LIS♦L3♦SP</v>
      </c>
    </row>
    <row r="591" spans="1:18" ht="30">
      <c r="A591" s="97" t="s">
        <v>184</v>
      </c>
      <c r="B591" s="97" t="s">
        <v>600</v>
      </c>
      <c r="C591" s="97" t="s">
        <v>29</v>
      </c>
      <c r="D591" s="97" t="s">
        <v>58</v>
      </c>
      <c r="E591" s="97" t="s">
        <v>170</v>
      </c>
      <c r="F591" s="116">
        <v>0</v>
      </c>
      <c r="G591" s="91"/>
      <c r="H591" s="91"/>
      <c r="I591" s="91"/>
      <c r="J591" s="107"/>
      <c r="K591" s="107"/>
      <c r="L591" s="97">
        <v>0</v>
      </c>
      <c r="M591" s="108"/>
      <c r="N591" s="91"/>
      <c r="O591" s="97" t="s">
        <v>185</v>
      </c>
      <c r="P591" s="91"/>
      <c r="Q591" s="91"/>
      <c r="R591" t="str">
        <f t="shared" si="9"/>
        <v>HR initiatives for IT♦Manage IT global orientation programme♦Implementation COT♦L3♦SP</v>
      </c>
    </row>
    <row r="592" spans="1:18" ht="30">
      <c r="A592" s="97" t="s">
        <v>184</v>
      </c>
      <c r="B592" s="97" t="s">
        <v>600</v>
      </c>
      <c r="C592" s="97" t="s">
        <v>30</v>
      </c>
      <c r="D592" s="97" t="s">
        <v>58</v>
      </c>
      <c r="E592" s="97" t="s">
        <v>170</v>
      </c>
      <c r="F592" s="116">
        <v>0</v>
      </c>
      <c r="G592" s="91"/>
      <c r="H592" s="91"/>
      <c r="I592" s="91"/>
      <c r="J592" s="108"/>
      <c r="K592" s="108"/>
      <c r="L592" s="97">
        <v>0</v>
      </c>
      <c r="M592" s="108"/>
      <c r="N592" s="91"/>
      <c r="O592" s="97" t="s">
        <v>185</v>
      </c>
      <c r="P592" s="91"/>
      <c r="Q592" s="91"/>
      <c r="R592" t="str">
        <f t="shared" si="9"/>
        <v>HR initiatives for IT♦Manage IT global orientation programme♦Implementation LUS♦L3♦SP</v>
      </c>
    </row>
    <row r="593" spans="1:18" ht="30">
      <c r="A593" s="94" t="s">
        <v>184</v>
      </c>
      <c r="B593" s="92" t="s">
        <v>601</v>
      </c>
      <c r="C593" s="92" t="s">
        <v>18</v>
      </c>
      <c r="D593" s="92" t="s">
        <v>58</v>
      </c>
      <c r="E593" s="92" t="s">
        <v>170</v>
      </c>
      <c r="F593" s="115">
        <v>0</v>
      </c>
      <c r="G593" s="91"/>
      <c r="H593" s="91"/>
      <c r="I593" s="91"/>
      <c r="J593" s="107">
        <v>46037</v>
      </c>
      <c r="K593" s="107">
        <v>46204</v>
      </c>
      <c r="L593" s="92">
        <v>120</v>
      </c>
      <c r="M593" s="107"/>
      <c r="N593" s="91"/>
      <c r="O593" s="92" t="s">
        <v>185</v>
      </c>
      <c r="P593" s="91"/>
      <c r="Q593" s="91"/>
      <c r="R593" t="str">
        <f t="shared" si="9"/>
        <v>HR initiatives for IT♦Manage IT global orientation programme incl. job shadowing♦Total♦L3♦SP</v>
      </c>
    </row>
    <row r="594" spans="1:18" ht="45">
      <c r="A594" s="97" t="s">
        <v>184</v>
      </c>
      <c r="B594" s="97" t="s">
        <v>602</v>
      </c>
      <c r="C594" s="97" t="s">
        <v>22</v>
      </c>
      <c r="D594" s="97" t="s">
        <v>58</v>
      </c>
      <c r="E594" s="97" t="s">
        <v>170</v>
      </c>
      <c r="F594" s="116">
        <v>0</v>
      </c>
      <c r="G594" s="97" t="s">
        <v>570</v>
      </c>
      <c r="H594" s="97" t="s">
        <v>186</v>
      </c>
      <c r="I594" s="97" t="s">
        <v>25</v>
      </c>
      <c r="J594" s="107">
        <v>46037</v>
      </c>
      <c r="K594" s="107">
        <v>46112</v>
      </c>
      <c r="L594" s="97">
        <v>54</v>
      </c>
      <c r="M594" s="108"/>
      <c r="N594" s="97" t="s">
        <v>108</v>
      </c>
      <c r="O594" s="97" t="s">
        <v>185</v>
      </c>
      <c r="P594" s="91"/>
      <c r="Q594" s="91"/>
      <c r="R594" t="str">
        <f t="shared" si="9"/>
        <v>HR initiatives for IT♦Manage IT global orientation programme incl. job shadowing♦Elaboration♦L3♦SP</v>
      </c>
    </row>
    <row r="595" spans="1:18" ht="30">
      <c r="A595" s="97" t="s">
        <v>184</v>
      </c>
      <c r="B595" s="97" t="s">
        <v>602</v>
      </c>
      <c r="C595" s="97" t="s">
        <v>28</v>
      </c>
      <c r="D595" s="97" t="s">
        <v>58</v>
      </c>
      <c r="E595" s="97" t="s">
        <v>170</v>
      </c>
      <c r="F595" s="116">
        <v>0</v>
      </c>
      <c r="G595" s="91"/>
      <c r="H595" s="91"/>
      <c r="I595" s="91"/>
      <c r="J595" s="108">
        <v>46113</v>
      </c>
      <c r="K595" s="108">
        <v>46204</v>
      </c>
      <c r="L595" s="97">
        <v>66</v>
      </c>
      <c r="M595" s="108"/>
      <c r="N595" s="97" t="s">
        <v>28</v>
      </c>
      <c r="O595" s="97" t="s">
        <v>185</v>
      </c>
      <c r="P595" s="91"/>
      <c r="Q595" s="91"/>
      <c r="R595" t="str">
        <f t="shared" si="9"/>
        <v>HR initiatives for IT♦Manage IT global orientation programme incl. job shadowing♦Implementation LIS♦L3♦SP</v>
      </c>
    </row>
    <row r="596" spans="1:18" ht="30">
      <c r="A596" s="97" t="s">
        <v>184</v>
      </c>
      <c r="B596" s="97" t="s">
        <v>602</v>
      </c>
      <c r="C596" s="97" t="s">
        <v>29</v>
      </c>
      <c r="D596" s="97" t="s">
        <v>58</v>
      </c>
      <c r="E596" s="97" t="s">
        <v>170</v>
      </c>
      <c r="F596" s="116">
        <v>0</v>
      </c>
      <c r="G596" s="91"/>
      <c r="H596" s="91"/>
      <c r="I596" s="91"/>
      <c r="J596" s="108">
        <v>46113</v>
      </c>
      <c r="K596" s="108">
        <v>46204</v>
      </c>
      <c r="L596" s="97">
        <v>66</v>
      </c>
      <c r="M596" s="108"/>
      <c r="N596" s="97" t="s">
        <v>29</v>
      </c>
      <c r="O596" s="97" t="s">
        <v>185</v>
      </c>
      <c r="P596" s="91"/>
      <c r="Q596" s="91"/>
      <c r="R596" t="str">
        <f t="shared" si="9"/>
        <v>HR initiatives for IT♦Manage IT global orientation programme incl. job shadowing♦Implementation COT♦L3♦SP</v>
      </c>
    </row>
    <row r="597" spans="1:18" ht="30">
      <c r="A597" s="97" t="s">
        <v>184</v>
      </c>
      <c r="B597" s="97" t="s">
        <v>602</v>
      </c>
      <c r="C597" s="97" t="s">
        <v>30</v>
      </c>
      <c r="D597" s="97" t="s">
        <v>58</v>
      </c>
      <c r="E597" s="97" t="s">
        <v>170</v>
      </c>
      <c r="F597" s="116">
        <v>0</v>
      </c>
      <c r="G597" s="91"/>
      <c r="H597" s="91"/>
      <c r="I597" s="91"/>
      <c r="J597" s="108">
        <v>46113</v>
      </c>
      <c r="K597" s="108">
        <v>46204</v>
      </c>
      <c r="L597" s="97">
        <v>66</v>
      </c>
      <c r="M597" s="108"/>
      <c r="N597" s="97" t="s">
        <v>30</v>
      </c>
      <c r="O597" s="97" t="s">
        <v>185</v>
      </c>
      <c r="P597" s="91"/>
      <c r="Q597" s="91"/>
      <c r="R597" t="str">
        <f t="shared" si="9"/>
        <v>HR initiatives for IT♦Manage IT global orientation programme incl. job shadowing♦Implementation LUS♦L3♦SP</v>
      </c>
    </row>
    <row r="598" spans="1:18" ht="45">
      <c r="A598" s="94" t="s">
        <v>39</v>
      </c>
      <c r="B598" s="96" t="s">
        <v>603</v>
      </c>
      <c r="C598" s="96" t="s">
        <v>18</v>
      </c>
      <c r="D598" s="96" t="s">
        <v>19</v>
      </c>
      <c r="E598" s="96" t="s">
        <v>170</v>
      </c>
      <c r="F598" s="113">
        <v>0</v>
      </c>
      <c r="G598" s="95"/>
      <c r="H598" s="95"/>
      <c r="I598" s="95"/>
      <c r="J598" s="105">
        <v>46127</v>
      </c>
      <c r="K598" s="105">
        <v>46203</v>
      </c>
      <c r="L598" s="96">
        <v>55</v>
      </c>
      <c r="M598" s="105"/>
      <c r="N598" s="95"/>
      <c r="O598" s="96" t="s">
        <v>451</v>
      </c>
      <c r="P598" s="91"/>
      <c r="Q598" s="91"/>
      <c r="R598" t="str">
        <f t="shared" si="9"/>
        <v>ITSM♦Ensure performance and conformance of IT services♦Total♦L1♦SP</v>
      </c>
    </row>
    <row r="599" spans="1:18" ht="45">
      <c r="A599" s="97" t="s">
        <v>39</v>
      </c>
      <c r="B599" s="98" t="s">
        <v>452</v>
      </c>
      <c r="C599" s="98" t="s">
        <v>22</v>
      </c>
      <c r="D599" s="98" t="s">
        <v>19</v>
      </c>
      <c r="E599" s="98" t="s">
        <v>170</v>
      </c>
      <c r="F599" s="114">
        <v>0</v>
      </c>
      <c r="G599" s="98" t="s">
        <v>147</v>
      </c>
      <c r="H599" s="98" t="s">
        <v>229</v>
      </c>
      <c r="I599" s="98" t="s">
        <v>139</v>
      </c>
      <c r="J599" s="106">
        <v>46127</v>
      </c>
      <c r="K599" s="106">
        <v>46203</v>
      </c>
      <c r="L599" s="98">
        <v>55</v>
      </c>
      <c r="M599" s="106"/>
      <c r="N599" s="98" t="s">
        <v>27</v>
      </c>
      <c r="O599" s="98" t="s">
        <v>451</v>
      </c>
      <c r="P599" s="103" t="s">
        <v>615</v>
      </c>
      <c r="Q599" s="91"/>
      <c r="R599" t="str">
        <f t="shared" si="9"/>
        <v>ITSM♦Ensure performance and conformance of IT services♦Elaboration♦L1♦SP</v>
      </c>
    </row>
    <row r="600" spans="1:18" ht="45">
      <c r="A600" s="97" t="s">
        <v>39</v>
      </c>
      <c r="B600" s="98" t="s">
        <v>452</v>
      </c>
      <c r="C600" s="98" t="s">
        <v>28</v>
      </c>
      <c r="D600" s="98" t="s">
        <v>19</v>
      </c>
      <c r="E600" s="98" t="s">
        <v>170</v>
      </c>
      <c r="F600" s="114">
        <v>0</v>
      </c>
      <c r="G600" s="95"/>
      <c r="H600" s="95"/>
      <c r="I600" s="95"/>
      <c r="J600" s="106"/>
      <c r="K600" s="106"/>
      <c r="L600" s="98">
        <v>0</v>
      </c>
      <c r="M600" s="106"/>
      <c r="N600" s="95"/>
      <c r="O600" s="98" t="s">
        <v>451</v>
      </c>
      <c r="P600" s="103" t="s">
        <v>615</v>
      </c>
      <c r="Q600" s="91"/>
      <c r="R600" t="str">
        <f t="shared" si="9"/>
        <v>ITSM♦Ensure performance and conformance of IT services♦Implementation LIS♦L1♦SP</v>
      </c>
    </row>
    <row r="601" spans="1:18" ht="45">
      <c r="A601" s="97" t="s">
        <v>39</v>
      </c>
      <c r="B601" s="98" t="s">
        <v>452</v>
      </c>
      <c r="C601" s="98" t="s">
        <v>29</v>
      </c>
      <c r="D601" s="98" t="s">
        <v>19</v>
      </c>
      <c r="E601" s="98" t="s">
        <v>170</v>
      </c>
      <c r="F601" s="114">
        <v>0</v>
      </c>
      <c r="G601" s="95"/>
      <c r="H601" s="95"/>
      <c r="I601" s="95"/>
      <c r="J601" s="106"/>
      <c r="K601" s="106"/>
      <c r="L601" s="98">
        <v>0</v>
      </c>
      <c r="M601" s="106"/>
      <c r="N601" s="95"/>
      <c r="O601" s="98" t="s">
        <v>451</v>
      </c>
      <c r="P601" s="102"/>
      <c r="Q601" s="91"/>
      <c r="R601" t="str">
        <f t="shared" si="9"/>
        <v>ITSM♦Ensure performance and conformance of IT services♦Implementation COT♦L1♦SP</v>
      </c>
    </row>
    <row r="602" spans="1:18" ht="45">
      <c r="A602" s="97" t="s">
        <v>39</v>
      </c>
      <c r="B602" s="98" t="s">
        <v>452</v>
      </c>
      <c r="C602" s="98" t="s">
        <v>30</v>
      </c>
      <c r="D602" s="98" t="s">
        <v>19</v>
      </c>
      <c r="E602" s="98" t="s">
        <v>170</v>
      </c>
      <c r="F602" s="114">
        <v>0</v>
      </c>
      <c r="G602" s="95"/>
      <c r="H602" s="95"/>
      <c r="I602" s="95"/>
      <c r="J602" s="106"/>
      <c r="K602" s="106"/>
      <c r="L602" s="98">
        <v>0</v>
      </c>
      <c r="M602" s="106"/>
      <c r="N602" s="95"/>
      <c r="O602" s="98" t="s">
        <v>451</v>
      </c>
      <c r="P602" s="102"/>
      <c r="Q602" s="91"/>
      <c r="R602" t="str">
        <f t="shared" si="9"/>
        <v>ITSM♦Ensure performance and conformance of IT services♦Implementation LUS♦L1♦SP</v>
      </c>
    </row>
    <row r="603" spans="1:18">
      <c r="A603" s="94" t="s">
        <v>39</v>
      </c>
      <c r="B603" s="96" t="s">
        <v>605</v>
      </c>
      <c r="C603" s="96" t="s">
        <v>18</v>
      </c>
      <c r="D603" s="96" t="s">
        <v>19</v>
      </c>
      <c r="E603" s="96" t="s">
        <v>170</v>
      </c>
      <c r="F603" s="113">
        <v>1</v>
      </c>
      <c r="G603" s="95"/>
      <c r="H603" s="95"/>
      <c r="I603" s="95"/>
      <c r="J603" s="105">
        <v>46042</v>
      </c>
      <c r="K603" s="105">
        <v>46203</v>
      </c>
      <c r="L603" s="96">
        <v>116</v>
      </c>
      <c r="M603" s="105">
        <v>46100</v>
      </c>
      <c r="N603" s="95"/>
      <c r="O603" s="96" t="s">
        <v>454</v>
      </c>
      <c r="P603" s="91"/>
      <c r="Q603" s="91"/>
      <c r="R603" t="str">
        <f t="shared" si="9"/>
        <v>ITSM♦Manage IT knowledge♦Total♦L1♦SP</v>
      </c>
    </row>
    <row r="604" spans="1:18" ht="30">
      <c r="A604" s="97" t="s">
        <v>39</v>
      </c>
      <c r="B604" s="98" t="s">
        <v>455</v>
      </c>
      <c r="C604" s="98" t="s">
        <v>22</v>
      </c>
      <c r="D604" s="98" t="s">
        <v>19</v>
      </c>
      <c r="E604" s="98" t="s">
        <v>170</v>
      </c>
      <c r="F604" s="114">
        <v>1</v>
      </c>
      <c r="G604" s="98" t="s">
        <v>147</v>
      </c>
      <c r="H604" s="98" t="s">
        <v>395</v>
      </c>
      <c r="I604" s="98" t="s">
        <v>139</v>
      </c>
      <c r="J604" s="106">
        <v>46042</v>
      </c>
      <c r="K604" s="106">
        <v>46078</v>
      </c>
      <c r="L604" s="98">
        <v>27</v>
      </c>
      <c r="M604" s="106"/>
      <c r="N604" s="98" t="s">
        <v>108</v>
      </c>
      <c r="O604" s="98" t="s">
        <v>454</v>
      </c>
      <c r="P604" s="97" t="s">
        <v>627</v>
      </c>
      <c r="Q604" s="91"/>
      <c r="R604" t="str">
        <f t="shared" si="9"/>
        <v>ITSM♦Manage IT knowledge♦Elaboration♦L1♦SP</v>
      </c>
    </row>
    <row r="605" spans="1:18">
      <c r="A605" s="97" t="s">
        <v>39</v>
      </c>
      <c r="B605" s="98" t="s">
        <v>455</v>
      </c>
      <c r="C605" s="98" t="s">
        <v>28</v>
      </c>
      <c r="D605" s="98" t="s">
        <v>19</v>
      </c>
      <c r="E605" s="98" t="s">
        <v>170</v>
      </c>
      <c r="F605" s="114">
        <v>0</v>
      </c>
      <c r="G605" s="95"/>
      <c r="H605" s="95"/>
      <c r="I605" s="95"/>
      <c r="J605" s="106">
        <v>46127</v>
      </c>
      <c r="K605" s="106">
        <v>46203</v>
      </c>
      <c r="L605" s="98">
        <v>55</v>
      </c>
      <c r="M605" s="106"/>
      <c r="N605" s="98" t="s">
        <v>27</v>
      </c>
      <c r="O605" s="98" t="s">
        <v>454</v>
      </c>
      <c r="P605" s="91"/>
      <c r="Q605" s="91"/>
      <c r="R605" t="str">
        <f t="shared" si="9"/>
        <v>ITSM♦Manage IT knowledge♦Implementation LIS♦L1♦SP</v>
      </c>
    </row>
    <row r="606" spans="1:18">
      <c r="A606" s="97" t="s">
        <v>39</v>
      </c>
      <c r="B606" s="98" t="s">
        <v>455</v>
      </c>
      <c r="C606" s="98" t="s">
        <v>29</v>
      </c>
      <c r="D606" s="98" t="s">
        <v>19</v>
      </c>
      <c r="E606" s="98" t="s">
        <v>170</v>
      </c>
      <c r="F606" s="114">
        <v>0</v>
      </c>
      <c r="G606" s="95"/>
      <c r="H606" s="95"/>
      <c r="I606" s="95"/>
      <c r="J606" s="106"/>
      <c r="K606" s="106"/>
      <c r="L606" s="98">
        <v>0</v>
      </c>
      <c r="M606" s="106"/>
      <c r="N606" s="95"/>
      <c r="O606" s="98" t="s">
        <v>454</v>
      </c>
      <c r="P606" s="91"/>
      <c r="Q606" s="91"/>
      <c r="R606" t="str">
        <f t="shared" si="9"/>
        <v>ITSM♦Manage IT knowledge♦Implementation COT♦L1♦SP</v>
      </c>
    </row>
    <row r="607" spans="1:18">
      <c r="A607" s="97" t="s">
        <v>39</v>
      </c>
      <c r="B607" s="98" t="s">
        <v>455</v>
      </c>
      <c r="C607" s="98" t="s">
        <v>30</v>
      </c>
      <c r="D607" s="98" t="s">
        <v>19</v>
      </c>
      <c r="E607" s="98" t="s">
        <v>170</v>
      </c>
      <c r="F607" s="114">
        <v>0</v>
      </c>
      <c r="G607" s="95"/>
      <c r="H607" s="95"/>
      <c r="I607" s="95"/>
      <c r="J607" s="106"/>
      <c r="K607" s="106"/>
      <c r="L607" s="98">
        <v>0</v>
      </c>
      <c r="M607" s="106"/>
      <c r="N607" s="95"/>
      <c r="O607" s="98" t="s">
        <v>454</v>
      </c>
      <c r="P607" s="91"/>
      <c r="Q607" s="91"/>
      <c r="R607" t="str">
        <f t="shared" si="9"/>
        <v>ITSM♦Manage IT knowledge♦Implementation LUS♦L1♦SP</v>
      </c>
    </row>
    <row r="608" spans="1:18">
      <c r="A608" s="94" t="s">
        <v>39</v>
      </c>
      <c r="B608" s="96" t="s">
        <v>607</v>
      </c>
      <c r="C608" s="96" t="s">
        <v>18</v>
      </c>
      <c r="D608" s="96" t="s">
        <v>19</v>
      </c>
      <c r="E608" s="96" t="s">
        <v>170</v>
      </c>
      <c r="F608" s="113">
        <v>0.25</v>
      </c>
      <c r="G608" s="95"/>
      <c r="H608" s="95"/>
      <c r="I608" s="95"/>
      <c r="J608" s="105">
        <v>45946</v>
      </c>
      <c r="K608" s="105">
        <v>46022</v>
      </c>
      <c r="L608" s="96">
        <v>55</v>
      </c>
      <c r="M608" s="105"/>
      <c r="N608" s="95"/>
      <c r="O608" s="96" t="s">
        <v>457</v>
      </c>
      <c r="P608" s="91"/>
      <c r="Q608" s="91"/>
      <c r="R608" t="str">
        <f t="shared" si="9"/>
        <v>ITSM♦Leverage IT innovation♦Total♦L1♦SP</v>
      </c>
    </row>
    <row r="609" spans="1:18" ht="45">
      <c r="A609" s="97" t="s">
        <v>39</v>
      </c>
      <c r="B609" s="98" t="s">
        <v>635</v>
      </c>
      <c r="C609" s="98" t="s">
        <v>22</v>
      </c>
      <c r="D609" s="98" t="s">
        <v>19</v>
      </c>
      <c r="E609" s="98" t="s">
        <v>170</v>
      </c>
      <c r="F609" s="114">
        <v>0.25</v>
      </c>
      <c r="G609" s="98" t="s">
        <v>500</v>
      </c>
      <c r="H609" s="98" t="s">
        <v>609</v>
      </c>
      <c r="I609" s="98" t="s">
        <v>139</v>
      </c>
      <c r="J609" s="106">
        <v>45946</v>
      </c>
      <c r="K609" s="106"/>
      <c r="L609" s="98">
        <v>0</v>
      </c>
      <c r="M609" s="106"/>
      <c r="N609" s="95"/>
      <c r="O609" s="98" t="s">
        <v>457</v>
      </c>
      <c r="P609" s="103" t="s">
        <v>615</v>
      </c>
      <c r="Q609" s="91"/>
      <c r="R609" t="str">
        <f t="shared" si="9"/>
        <v>ITSM♦Leverage IT innovation♦Elaboration♦L1♦SP</v>
      </c>
    </row>
    <row r="610" spans="1:18">
      <c r="A610" s="97" t="s">
        <v>39</v>
      </c>
      <c r="B610" s="98" t="s">
        <v>635</v>
      </c>
      <c r="C610" s="98" t="s">
        <v>28</v>
      </c>
      <c r="D610" s="98" t="s">
        <v>19</v>
      </c>
      <c r="E610" s="98" t="s">
        <v>170</v>
      </c>
      <c r="F610" s="114">
        <v>0</v>
      </c>
      <c r="G610" s="95"/>
      <c r="H610" s="95"/>
      <c r="I610" s="95"/>
      <c r="J610" s="106"/>
      <c r="K610" s="106"/>
      <c r="L610" s="98">
        <v>0</v>
      </c>
      <c r="M610" s="106"/>
      <c r="N610" s="95"/>
      <c r="O610" s="98" t="s">
        <v>457</v>
      </c>
      <c r="P610" s="103" t="s">
        <v>615</v>
      </c>
      <c r="Q610" s="91"/>
      <c r="R610" t="str">
        <f t="shared" si="9"/>
        <v>ITSM♦Leverage IT innovation♦Implementation LIS♦L1♦SP</v>
      </c>
    </row>
    <row r="611" spans="1:18">
      <c r="A611" s="97" t="s">
        <v>39</v>
      </c>
      <c r="B611" s="98" t="s">
        <v>635</v>
      </c>
      <c r="C611" s="98" t="s">
        <v>29</v>
      </c>
      <c r="D611" s="98" t="s">
        <v>19</v>
      </c>
      <c r="E611" s="98" t="s">
        <v>170</v>
      </c>
      <c r="F611" s="114">
        <v>0</v>
      </c>
      <c r="G611" s="95"/>
      <c r="H611" s="95"/>
      <c r="I611" s="95"/>
      <c r="J611" s="106"/>
      <c r="K611" s="106"/>
      <c r="L611" s="98">
        <v>0</v>
      </c>
      <c r="M611" s="106"/>
      <c r="N611" s="95"/>
      <c r="O611" s="98" t="s">
        <v>457</v>
      </c>
      <c r="P611" s="102"/>
      <c r="Q611" s="91"/>
      <c r="R611" t="str">
        <f t="shared" si="9"/>
        <v>ITSM♦Leverage IT innovation♦Implementation COT♦L1♦SP</v>
      </c>
    </row>
    <row r="612" spans="1:18">
      <c r="A612" s="97" t="s">
        <v>39</v>
      </c>
      <c r="B612" s="98" t="s">
        <v>635</v>
      </c>
      <c r="C612" s="98" t="s">
        <v>30</v>
      </c>
      <c r="D612" s="98" t="s">
        <v>19</v>
      </c>
      <c r="E612" s="98" t="s">
        <v>170</v>
      </c>
      <c r="F612" s="114">
        <v>0</v>
      </c>
      <c r="G612" s="95"/>
      <c r="H612" s="95"/>
      <c r="I612" s="95"/>
      <c r="J612" s="106"/>
      <c r="K612" s="106"/>
      <c r="L612" s="98">
        <v>0</v>
      </c>
      <c r="M612" s="106"/>
      <c r="N612" s="95"/>
      <c r="O612" s="98" t="s">
        <v>457</v>
      </c>
      <c r="P612" s="102"/>
      <c r="Q612" s="91"/>
      <c r="R612" t="str">
        <f t="shared" si="9"/>
        <v>ITSM♦Leverage IT innovation♦Implementation LUS♦L1♦SP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A23A0-A37C-4BAC-AC39-34AE522FBCC6}">
  <dimension ref="A1:E520"/>
  <sheetViews>
    <sheetView workbookViewId="0">
      <selection sqref="A1:E1"/>
    </sheetView>
  </sheetViews>
  <sheetFormatPr defaultColWidth="8.85546875" defaultRowHeight="15"/>
  <cols>
    <col min="1" max="1" width="23.42578125" customWidth="1"/>
    <col min="2" max="2" width="21.7109375" customWidth="1"/>
    <col min="3" max="3" width="21.85546875" customWidth="1"/>
    <col min="4" max="4" width="21.28515625" customWidth="1"/>
    <col min="5" max="5" width="25" customWidth="1"/>
  </cols>
  <sheetData>
    <row r="1" spans="1:5">
      <c r="A1" s="38" t="s">
        <v>204</v>
      </c>
      <c r="B1" s="38" t="s">
        <v>22</v>
      </c>
      <c r="C1" s="38" t="s">
        <v>28</v>
      </c>
      <c r="D1" s="38" t="s">
        <v>30</v>
      </c>
      <c r="E1" s="38" t="s">
        <v>29</v>
      </c>
    </row>
    <row r="2" spans="1:5">
      <c r="A2" s="5">
        <v>45870</v>
      </c>
      <c r="B2" cm="1">
        <f t="array" ref="B2">SUMPRODUCT((task_table_13_4_26!$C$2:$C$596=$B$1)*(A2&gt;task_table_13_4_26!$J$2:$J$596)*(A2&lt;task_table_13_4_26!$K$2:$K$596))</f>
        <v>0</v>
      </c>
      <c r="C2" cm="1">
        <f t="array" ref="C2">SUMPRODUCT((task_table_13_4_26!$C$2:$C$596=$C$1)*(A2&gt;task_table_13_4_26!$J$2:$J$596)*(A2&lt;task_table_13_4_26!$K$2:$K$596))</f>
        <v>1</v>
      </c>
      <c r="D2" cm="1">
        <f t="array" ref="D2">SUMPRODUCT((task_table_13_4_26!$C$2:$C$596=$D$1)*(A2&gt;task_table_13_4_26!$J$2:$J$596)*(A2&lt;task_table_13_4_26!$K$2:$K$596))</f>
        <v>0</v>
      </c>
      <c r="E2" cm="1">
        <f t="array" ref="E2">SUMPRODUCT((task_table_13_4_26!$C$2:$C$596=$E$1)*(A2&gt;task_table_13_4_26!$J$2:$J$596)*(A2&lt;task_table_13_4_26!$K$2:$K$596))</f>
        <v>0</v>
      </c>
    </row>
    <row r="3" spans="1:5">
      <c r="A3" s="5">
        <v>45871</v>
      </c>
      <c r="B3" cm="1">
        <f t="array" ref="B3">SUMPRODUCT((task_table_13_4_26!$C$2:$C$596=$B$1)*(A3&gt;task_table_13_4_26!$J$2:$J$596)*(A3&lt;task_table_13_4_26!$K$2:$K$596))</f>
        <v>1</v>
      </c>
      <c r="C3" cm="1">
        <f t="array" ref="C3">SUMPRODUCT((task_table_13_4_26!$C$2:$C$596=$C$1)*(A3&gt;task_table_13_4_26!$J$2:$J$596)*(A3&lt;task_table_13_4_26!$K$2:$K$596))</f>
        <v>1</v>
      </c>
      <c r="D3" cm="1">
        <f t="array" ref="D3">SUMPRODUCT((task_table_13_4_26!$C$2:$C$596=$D$1)*(A3&gt;task_table_13_4_26!$J$2:$J$596)*(A3&lt;task_table_13_4_26!$K$2:$K$596))</f>
        <v>0</v>
      </c>
      <c r="E3" cm="1">
        <f t="array" ref="E3">SUMPRODUCT((task_table_13_4_26!$C$2:$C$596=$E$1)*(A3&gt;task_table_13_4_26!$J$2:$J$596)*(A3&lt;task_table_13_4_26!$K$2:$K$596))</f>
        <v>0</v>
      </c>
    </row>
    <row r="4" spans="1:5">
      <c r="A4" s="5">
        <v>45872</v>
      </c>
      <c r="B4" cm="1">
        <f t="array" ref="B4">SUMPRODUCT((task_table_13_4_26!$C$2:$C$596=$B$1)*(A4&gt;task_table_13_4_26!$J$2:$J$596)*(A4&lt;task_table_13_4_26!$K$2:$K$596))</f>
        <v>1</v>
      </c>
      <c r="C4" cm="1">
        <f t="array" ref="C4">SUMPRODUCT((task_table_13_4_26!$C$2:$C$596=$C$1)*(A4&gt;task_table_13_4_26!$J$2:$J$596)*(A4&lt;task_table_13_4_26!$K$2:$K$596))</f>
        <v>1</v>
      </c>
      <c r="D4" cm="1">
        <f t="array" ref="D4">SUMPRODUCT((task_table_13_4_26!$C$2:$C$596=$D$1)*(A4&gt;task_table_13_4_26!$J$2:$J$596)*(A4&lt;task_table_13_4_26!$K$2:$K$596))</f>
        <v>0</v>
      </c>
      <c r="E4" cm="1">
        <f t="array" ref="E4">SUMPRODUCT((task_table_13_4_26!$C$2:$C$596=$E$1)*(A4&gt;task_table_13_4_26!$J$2:$J$596)*(A4&lt;task_table_13_4_26!$K$2:$K$596))</f>
        <v>0</v>
      </c>
    </row>
    <row r="5" spans="1:5">
      <c r="A5" s="5">
        <v>45873</v>
      </c>
      <c r="B5" cm="1">
        <f t="array" ref="B5">SUMPRODUCT((task_table_13_4_26!$C$2:$C$596=$B$1)*(A5&gt;task_table_13_4_26!$J$2:$J$596)*(A5&lt;task_table_13_4_26!$K$2:$K$596))</f>
        <v>1</v>
      </c>
      <c r="C5" cm="1">
        <f t="array" ref="C5">SUMPRODUCT((task_table_13_4_26!$C$2:$C$596=$C$1)*(A5&gt;task_table_13_4_26!$J$2:$J$596)*(A5&lt;task_table_13_4_26!$K$2:$K$596))</f>
        <v>1</v>
      </c>
      <c r="D5" cm="1">
        <f t="array" ref="D5">SUMPRODUCT((task_table_13_4_26!$C$2:$C$596=$D$1)*(A5&gt;task_table_13_4_26!$J$2:$J$596)*(A5&lt;task_table_13_4_26!$K$2:$K$596))</f>
        <v>0</v>
      </c>
      <c r="E5" cm="1">
        <f t="array" ref="E5">SUMPRODUCT((task_table_13_4_26!$C$2:$C$596=$E$1)*(A5&gt;task_table_13_4_26!$J$2:$J$596)*(A5&lt;task_table_13_4_26!$K$2:$K$596))</f>
        <v>0</v>
      </c>
    </row>
    <row r="6" spans="1:5">
      <c r="A6" s="5">
        <v>45874</v>
      </c>
      <c r="B6" cm="1">
        <f t="array" ref="B6">SUMPRODUCT((task_table_13_4_26!$C$2:$C$596=$B$1)*(A6&gt;task_table_13_4_26!$J$2:$J$596)*(A6&lt;task_table_13_4_26!$K$2:$K$596))</f>
        <v>2</v>
      </c>
      <c r="C6" cm="1">
        <f t="array" ref="C6">SUMPRODUCT((task_table_13_4_26!$C$2:$C$596=$C$1)*(A6&gt;task_table_13_4_26!$J$2:$J$596)*(A6&lt;task_table_13_4_26!$K$2:$K$596))</f>
        <v>1</v>
      </c>
      <c r="D6" cm="1">
        <f t="array" ref="D6">SUMPRODUCT((task_table_13_4_26!$C$2:$C$596=$D$1)*(A6&gt;task_table_13_4_26!$J$2:$J$596)*(A6&lt;task_table_13_4_26!$K$2:$K$596))</f>
        <v>0</v>
      </c>
      <c r="E6" cm="1">
        <f t="array" ref="E6">SUMPRODUCT((task_table_13_4_26!$C$2:$C$596=$E$1)*(A6&gt;task_table_13_4_26!$J$2:$J$596)*(A6&lt;task_table_13_4_26!$K$2:$K$596))</f>
        <v>0</v>
      </c>
    </row>
    <row r="7" spans="1:5">
      <c r="A7" s="5">
        <v>45875</v>
      </c>
      <c r="B7" cm="1">
        <f t="array" ref="B7">SUMPRODUCT((task_table_13_4_26!$C$2:$C$596=$B$1)*(A7&gt;task_table_13_4_26!$J$2:$J$596)*(A7&lt;task_table_13_4_26!$K$2:$K$596))</f>
        <v>2</v>
      </c>
      <c r="C7" cm="1">
        <f t="array" ref="C7">SUMPRODUCT((task_table_13_4_26!$C$2:$C$596=$C$1)*(A7&gt;task_table_13_4_26!$J$2:$J$596)*(A7&lt;task_table_13_4_26!$K$2:$K$596))</f>
        <v>1</v>
      </c>
      <c r="D7" cm="1">
        <f t="array" ref="D7">SUMPRODUCT((task_table_13_4_26!$C$2:$C$596=$D$1)*(A7&gt;task_table_13_4_26!$J$2:$J$596)*(A7&lt;task_table_13_4_26!$K$2:$K$596))</f>
        <v>0</v>
      </c>
      <c r="E7" cm="1">
        <f t="array" ref="E7">SUMPRODUCT((task_table_13_4_26!$C$2:$C$596=$E$1)*(A7&gt;task_table_13_4_26!$J$2:$J$596)*(A7&lt;task_table_13_4_26!$K$2:$K$596))</f>
        <v>0</v>
      </c>
    </row>
    <row r="8" spans="1:5">
      <c r="A8" s="5">
        <v>45876</v>
      </c>
      <c r="B8" cm="1">
        <f t="array" ref="B8">SUMPRODUCT((task_table_13_4_26!$C$2:$C$596=$B$1)*(A8&gt;task_table_13_4_26!$J$2:$J$596)*(A8&lt;task_table_13_4_26!$K$2:$K$596))</f>
        <v>2</v>
      </c>
      <c r="C8" cm="1">
        <f t="array" ref="C8">SUMPRODUCT((task_table_13_4_26!$C$2:$C$596=$C$1)*(A8&gt;task_table_13_4_26!$J$2:$J$596)*(A8&lt;task_table_13_4_26!$K$2:$K$596))</f>
        <v>1</v>
      </c>
      <c r="D8" cm="1">
        <f t="array" ref="D8">SUMPRODUCT((task_table_13_4_26!$C$2:$C$596=$D$1)*(A8&gt;task_table_13_4_26!$J$2:$J$596)*(A8&lt;task_table_13_4_26!$K$2:$K$596))</f>
        <v>0</v>
      </c>
      <c r="E8" cm="1">
        <f t="array" ref="E8">SUMPRODUCT((task_table_13_4_26!$C$2:$C$596=$E$1)*(A8&gt;task_table_13_4_26!$J$2:$J$596)*(A8&lt;task_table_13_4_26!$K$2:$K$596))</f>
        <v>0</v>
      </c>
    </row>
    <row r="9" spans="1:5">
      <c r="A9" s="5">
        <v>45877</v>
      </c>
      <c r="B9" cm="1">
        <f t="array" ref="B9">SUMPRODUCT((task_table_13_4_26!$C$2:$C$596=$B$1)*(A9&gt;task_table_13_4_26!$J$2:$J$596)*(A9&lt;task_table_13_4_26!$K$2:$K$596))</f>
        <v>2</v>
      </c>
      <c r="C9" cm="1">
        <f t="array" ref="C9">SUMPRODUCT((task_table_13_4_26!$C$2:$C$596=$C$1)*(A9&gt;task_table_13_4_26!$J$2:$J$596)*(A9&lt;task_table_13_4_26!$K$2:$K$596))</f>
        <v>1</v>
      </c>
      <c r="D9" cm="1">
        <f t="array" ref="D9">SUMPRODUCT((task_table_13_4_26!$C$2:$C$596=$D$1)*(A9&gt;task_table_13_4_26!$J$2:$J$596)*(A9&lt;task_table_13_4_26!$K$2:$K$596))</f>
        <v>0</v>
      </c>
      <c r="E9" cm="1">
        <f t="array" ref="E9">SUMPRODUCT((task_table_13_4_26!$C$2:$C$596=$E$1)*(A9&gt;task_table_13_4_26!$J$2:$J$596)*(A9&lt;task_table_13_4_26!$K$2:$K$596))</f>
        <v>0</v>
      </c>
    </row>
    <row r="10" spans="1:5">
      <c r="A10" s="5">
        <v>45878</v>
      </c>
      <c r="B10" cm="1">
        <f t="array" ref="B10">SUMPRODUCT((task_table_13_4_26!$C$2:$C$596=$B$1)*(A10&gt;task_table_13_4_26!$J$2:$J$596)*(A10&lt;task_table_13_4_26!$K$2:$K$596))</f>
        <v>2</v>
      </c>
      <c r="C10" cm="1">
        <f t="array" ref="C10">SUMPRODUCT((task_table_13_4_26!$C$2:$C$596=$C$1)*(A10&gt;task_table_13_4_26!$J$2:$J$596)*(A10&lt;task_table_13_4_26!$K$2:$K$596))</f>
        <v>1</v>
      </c>
      <c r="D10" cm="1">
        <f t="array" ref="D10">SUMPRODUCT((task_table_13_4_26!$C$2:$C$596=$D$1)*(A10&gt;task_table_13_4_26!$J$2:$J$596)*(A10&lt;task_table_13_4_26!$K$2:$K$596))</f>
        <v>0</v>
      </c>
      <c r="E10" cm="1">
        <f t="array" ref="E10">SUMPRODUCT((task_table_13_4_26!$C$2:$C$596=$E$1)*(A10&gt;task_table_13_4_26!$J$2:$J$596)*(A10&lt;task_table_13_4_26!$K$2:$K$596))</f>
        <v>0</v>
      </c>
    </row>
    <row r="11" spans="1:5">
      <c r="A11" s="5">
        <v>45879</v>
      </c>
      <c r="B11" cm="1">
        <f t="array" ref="B11">SUMPRODUCT((task_table_13_4_26!$C$2:$C$596=$B$1)*(A11&gt;task_table_13_4_26!$J$2:$J$596)*(A11&lt;task_table_13_4_26!$K$2:$K$596))</f>
        <v>2</v>
      </c>
      <c r="C11" cm="1">
        <f t="array" ref="C11">SUMPRODUCT((task_table_13_4_26!$C$2:$C$596=$C$1)*(A11&gt;task_table_13_4_26!$J$2:$J$596)*(A11&lt;task_table_13_4_26!$K$2:$K$596))</f>
        <v>1</v>
      </c>
      <c r="D11" cm="1">
        <f t="array" ref="D11">SUMPRODUCT((task_table_13_4_26!$C$2:$C$596=$D$1)*(A11&gt;task_table_13_4_26!$J$2:$J$596)*(A11&lt;task_table_13_4_26!$K$2:$K$596))</f>
        <v>0</v>
      </c>
      <c r="E11" cm="1">
        <f t="array" ref="E11">SUMPRODUCT((task_table_13_4_26!$C$2:$C$596=$E$1)*(A11&gt;task_table_13_4_26!$J$2:$J$596)*(A11&lt;task_table_13_4_26!$K$2:$K$596))</f>
        <v>0</v>
      </c>
    </row>
    <row r="12" spans="1:5">
      <c r="A12" s="5">
        <v>45880</v>
      </c>
      <c r="B12" cm="1">
        <f t="array" ref="B12">SUMPRODUCT((task_table_13_4_26!$C$2:$C$596=$B$1)*(A12&gt;task_table_13_4_26!$J$2:$J$596)*(A12&lt;task_table_13_4_26!$K$2:$K$596))</f>
        <v>2</v>
      </c>
      <c r="C12" cm="1">
        <f t="array" ref="C12">SUMPRODUCT((task_table_13_4_26!$C$2:$C$596=$C$1)*(A12&gt;task_table_13_4_26!$J$2:$J$596)*(A12&lt;task_table_13_4_26!$K$2:$K$596))</f>
        <v>1</v>
      </c>
      <c r="D12" cm="1">
        <f t="array" ref="D12">SUMPRODUCT((task_table_13_4_26!$C$2:$C$596=$D$1)*(A12&gt;task_table_13_4_26!$J$2:$J$596)*(A12&lt;task_table_13_4_26!$K$2:$K$596))</f>
        <v>0</v>
      </c>
      <c r="E12" cm="1">
        <f t="array" ref="E12">SUMPRODUCT((task_table_13_4_26!$C$2:$C$596=$E$1)*(A12&gt;task_table_13_4_26!$J$2:$J$596)*(A12&lt;task_table_13_4_26!$K$2:$K$596))</f>
        <v>0</v>
      </c>
    </row>
    <row r="13" spans="1:5">
      <c r="A13" s="5">
        <v>45881</v>
      </c>
      <c r="B13" cm="1">
        <f t="array" ref="B13">SUMPRODUCT((task_table_13_4_26!$C$2:$C$596=$B$1)*(A13&gt;task_table_13_4_26!$J$2:$J$596)*(A13&lt;task_table_13_4_26!$K$2:$K$596))</f>
        <v>2</v>
      </c>
      <c r="C13" cm="1">
        <f t="array" ref="C13">SUMPRODUCT((task_table_13_4_26!$C$2:$C$596=$C$1)*(A13&gt;task_table_13_4_26!$J$2:$J$596)*(A13&lt;task_table_13_4_26!$K$2:$K$596))</f>
        <v>1</v>
      </c>
      <c r="D13" cm="1">
        <f t="array" ref="D13">SUMPRODUCT((task_table_13_4_26!$C$2:$C$596=$D$1)*(A13&gt;task_table_13_4_26!$J$2:$J$596)*(A13&lt;task_table_13_4_26!$K$2:$K$596))</f>
        <v>0</v>
      </c>
      <c r="E13" cm="1">
        <f t="array" ref="E13">SUMPRODUCT((task_table_13_4_26!$C$2:$C$596=$E$1)*(A13&gt;task_table_13_4_26!$J$2:$J$596)*(A13&lt;task_table_13_4_26!$K$2:$K$596))</f>
        <v>0</v>
      </c>
    </row>
    <row r="14" spans="1:5">
      <c r="A14" s="5">
        <v>45882</v>
      </c>
      <c r="B14" cm="1">
        <f t="array" ref="B14">SUMPRODUCT((task_table_13_4_26!$C$2:$C$596=$B$1)*(A14&gt;task_table_13_4_26!$J$2:$J$596)*(A14&lt;task_table_13_4_26!$K$2:$K$596))</f>
        <v>2</v>
      </c>
      <c r="C14" cm="1">
        <f t="array" ref="C14">SUMPRODUCT((task_table_13_4_26!$C$2:$C$596=$C$1)*(A14&gt;task_table_13_4_26!$J$2:$J$596)*(A14&lt;task_table_13_4_26!$K$2:$K$596))</f>
        <v>1</v>
      </c>
      <c r="D14" cm="1">
        <f t="array" ref="D14">SUMPRODUCT((task_table_13_4_26!$C$2:$C$596=$D$1)*(A14&gt;task_table_13_4_26!$J$2:$J$596)*(A14&lt;task_table_13_4_26!$K$2:$K$596))</f>
        <v>0</v>
      </c>
      <c r="E14" cm="1">
        <f t="array" ref="E14">SUMPRODUCT((task_table_13_4_26!$C$2:$C$596=$E$1)*(A14&gt;task_table_13_4_26!$J$2:$J$596)*(A14&lt;task_table_13_4_26!$K$2:$K$596))</f>
        <v>0</v>
      </c>
    </row>
    <row r="15" spans="1:5">
      <c r="A15" s="5">
        <v>45883</v>
      </c>
      <c r="B15" cm="1">
        <f t="array" ref="B15">SUMPRODUCT((task_table_13_4_26!$C$2:$C$596=$B$1)*(A15&gt;task_table_13_4_26!$J$2:$J$596)*(A15&lt;task_table_13_4_26!$K$2:$K$596))</f>
        <v>2</v>
      </c>
      <c r="C15" cm="1">
        <f t="array" ref="C15">SUMPRODUCT((task_table_13_4_26!$C$2:$C$596=$C$1)*(A15&gt;task_table_13_4_26!$J$2:$J$596)*(A15&lt;task_table_13_4_26!$K$2:$K$596))</f>
        <v>1</v>
      </c>
      <c r="D15" cm="1">
        <f t="array" ref="D15">SUMPRODUCT((task_table_13_4_26!$C$2:$C$596=$D$1)*(A15&gt;task_table_13_4_26!$J$2:$J$596)*(A15&lt;task_table_13_4_26!$K$2:$K$596))</f>
        <v>0</v>
      </c>
      <c r="E15" cm="1">
        <f t="array" ref="E15">SUMPRODUCT((task_table_13_4_26!$C$2:$C$596=$E$1)*(A15&gt;task_table_13_4_26!$J$2:$J$596)*(A15&lt;task_table_13_4_26!$K$2:$K$596))</f>
        <v>0</v>
      </c>
    </row>
    <row r="16" spans="1:5">
      <c r="A16" s="5">
        <v>45884</v>
      </c>
      <c r="B16" cm="1">
        <f t="array" ref="B16">SUMPRODUCT((task_table_13_4_26!$C$2:$C$596=$B$1)*(A16&gt;task_table_13_4_26!$J$2:$J$596)*(A16&lt;task_table_13_4_26!$K$2:$K$596))</f>
        <v>2</v>
      </c>
      <c r="C16" cm="1">
        <f t="array" ref="C16">SUMPRODUCT((task_table_13_4_26!$C$2:$C$596=$C$1)*(A16&gt;task_table_13_4_26!$J$2:$J$596)*(A16&lt;task_table_13_4_26!$K$2:$K$596))</f>
        <v>0</v>
      </c>
      <c r="D16" cm="1">
        <f t="array" ref="D16">SUMPRODUCT((task_table_13_4_26!$C$2:$C$596=$D$1)*(A16&gt;task_table_13_4_26!$J$2:$J$596)*(A16&lt;task_table_13_4_26!$K$2:$K$596))</f>
        <v>0</v>
      </c>
      <c r="E16" cm="1">
        <f t="array" ref="E16">SUMPRODUCT((task_table_13_4_26!$C$2:$C$596=$E$1)*(A16&gt;task_table_13_4_26!$J$2:$J$596)*(A16&lt;task_table_13_4_26!$K$2:$K$596))</f>
        <v>0</v>
      </c>
    </row>
    <row r="17" spans="1:5">
      <c r="A17" s="5">
        <v>45885</v>
      </c>
      <c r="B17" cm="1">
        <f t="array" ref="B17">SUMPRODUCT((task_table_13_4_26!$C$2:$C$596=$B$1)*(A17&gt;task_table_13_4_26!$J$2:$J$596)*(A17&lt;task_table_13_4_26!$K$2:$K$596))</f>
        <v>2</v>
      </c>
      <c r="C17" cm="1">
        <f t="array" ref="C17">SUMPRODUCT((task_table_13_4_26!$C$2:$C$596=$C$1)*(A17&gt;task_table_13_4_26!$J$2:$J$596)*(A17&lt;task_table_13_4_26!$K$2:$K$596))</f>
        <v>0</v>
      </c>
      <c r="D17" cm="1">
        <f t="array" ref="D17">SUMPRODUCT((task_table_13_4_26!$C$2:$C$596=$D$1)*(A17&gt;task_table_13_4_26!$J$2:$J$596)*(A17&lt;task_table_13_4_26!$K$2:$K$596))</f>
        <v>0</v>
      </c>
      <c r="E17" cm="1">
        <f t="array" ref="E17">SUMPRODUCT((task_table_13_4_26!$C$2:$C$596=$E$1)*(A17&gt;task_table_13_4_26!$J$2:$J$596)*(A17&lt;task_table_13_4_26!$K$2:$K$596))</f>
        <v>0</v>
      </c>
    </row>
    <row r="18" spans="1:5">
      <c r="A18" s="5">
        <v>45886</v>
      </c>
      <c r="B18" cm="1">
        <f t="array" ref="B18">SUMPRODUCT((task_table_13_4_26!$C$2:$C$596=$B$1)*(A18&gt;task_table_13_4_26!$J$2:$J$596)*(A18&lt;task_table_13_4_26!$K$2:$K$596))</f>
        <v>2</v>
      </c>
      <c r="C18" cm="1">
        <f t="array" ref="C18">SUMPRODUCT((task_table_13_4_26!$C$2:$C$596=$C$1)*(A18&gt;task_table_13_4_26!$J$2:$J$596)*(A18&lt;task_table_13_4_26!$K$2:$K$596))</f>
        <v>0</v>
      </c>
      <c r="D18" cm="1">
        <f t="array" ref="D18">SUMPRODUCT((task_table_13_4_26!$C$2:$C$596=$D$1)*(A18&gt;task_table_13_4_26!$J$2:$J$596)*(A18&lt;task_table_13_4_26!$K$2:$K$596))</f>
        <v>0</v>
      </c>
      <c r="E18" cm="1">
        <f t="array" ref="E18">SUMPRODUCT((task_table_13_4_26!$C$2:$C$596=$E$1)*(A18&gt;task_table_13_4_26!$J$2:$J$596)*(A18&lt;task_table_13_4_26!$K$2:$K$596))</f>
        <v>0</v>
      </c>
    </row>
    <row r="19" spans="1:5">
      <c r="A19" s="5">
        <v>45887</v>
      </c>
      <c r="B19" cm="1">
        <f t="array" ref="B19">SUMPRODUCT((task_table_13_4_26!$C$2:$C$596=$B$1)*(A19&gt;task_table_13_4_26!$J$2:$J$596)*(A19&lt;task_table_13_4_26!$K$2:$K$596))</f>
        <v>2</v>
      </c>
      <c r="C19" cm="1">
        <f t="array" ref="C19">SUMPRODUCT((task_table_13_4_26!$C$2:$C$596=$C$1)*(A19&gt;task_table_13_4_26!$J$2:$J$596)*(A19&lt;task_table_13_4_26!$K$2:$K$596))</f>
        <v>0</v>
      </c>
      <c r="D19" cm="1">
        <f t="array" ref="D19">SUMPRODUCT((task_table_13_4_26!$C$2:$C$596=$D$1)*(A19&gt;task_table_13_4_26!$J$2:$J$596)*(A19&lt;task_table_13_4_26!$K$2:$K$596))</f>
        <v>0</v>
      </c>
      <c r="E19" cm="1">
        <f t="array" ref="E19">SUMPRODUCT((task_table_13_4_26!$C$2:$C$596=$E$1)*(A19&gt;task_table_13_4_26!$J$2:$J$596)*(A19&lt;task_table_13_4_26!$K$2:$K$596))</f>
        <v>0</v>
      </c>
    </row>
    <row r="20" spans="1:5">
      <c r="A20" s="5">
        <v>45888</v>
      </c>
      <c r="B20" cm="1">
        <f t="array" ref="B20">SUMPRODUCT((task_table_13_4_26!$C$2:$C$596=$B$1)*(A20&gt;task_table_13_4_26!$J$2:$J$596)*(A20&lt;task_table_13_4_26!$K$2:$K$596))</f>
        <v>2</v>
      </c>
      <c r="C20" cm="1">
        <f t="array" ref="C20">SUMPRODUCT((task_table_13_4_26!$C$2:$C$596=$C$1)*(A20&gt;task_table_13_4_26!$J$2:$J$596)*(A20&lt;task_table_13_4_26!$K$2:$K$596))</f>
        <v>0</v>
      </c>
      <c r="D20" cm="1">
        <f t="array" ref="D20">SUMPRODUCT((task_table_13_4_26!$C$2:$C$596=$D$1)*(A20&gt;task_table_13_4_26!$J$2:$J$596)*(A20&lt;task_table_13_4_26!$K$2:$K$596))</f>
        <v>0</v>
      </c>
      <c r="E20" cm="1">
        <f t="array" ref="E20">SUMPRODUCT((task_table_13_4_26!$C$2:$C$596=$E$1)*(A20&gt;task_table_13_4_26!$J$2:$J$596)*(A20&lt;task_table_13_4_26!$K$2:$K$596))</f>
        <v>0</v>
      </c>
    </row>
    <row r="21" spans="1:5">
      <c r="A21" s="5">
        <v>45889</v>
      </c>
      <c r="B21" cm="1">
        <f t="array" ref="B21">SUMPRODUCT((task_table_13_4_26!$C$2:$C$596=$B$1)*(A21&gt;task_table_13_4_26!$J$2:$J$596)*(A21&lt;task_table_13_4_26!$K$2:$K$596))</f>
        <v>2</v>
      </c>
      <c r="C21" cm="1">
        <f t="array" ref="C21">SUMPRODUCT((task_table_13_4_26!$C$2:$C$596=$C$1)*(A21&gt;task_table_13_4_26!$J$2:$J$596)*(A21&lt;task_table_13_4_26!$K$2:$K$596))</f>
        <v>0</v>
      </c>
      <c r="D21" cm="1">
        <f t="array" ref="D21">SUMPRODUCT((task_table_13_4_26!$C$2:$C$596=$D$1)*(A21&gt;task_table_13_4_26!$J$2:$J$596)*(A21&lt;task_table_13_4_26!$K$2:$K$596))</f>
        <v>0</v>
      </c>
      <c r="E21" cm="1">
        <f t="array" ref="E21">SUMPRODUCT((task_table_13_4_26!$C$2:$C$596=$E$1)*(A21&gt;task_table_13_4_26!$J$2:$J$596)*(A21&lt;task_table_13_4_26!$K$2:$K$596))</f>
        <v>0</v>
      </c>
    </row>
    <row r="22" spans="1:5">
      <c r="A22" s="5">
        <v>45890</v>
      </c>
      <c r="B22" cm="1">
        <f t="array" ref="B22">SUMPRODUCT((task_table_13_4_26!$C$2:$C$596=$B$1)*(A22&gt;task_table_13_4_26!$J$2:$J$596)*(A22&lt;task_table_13_4_26!$K$2:$K$596))</f>
        <v>2</v>
      </c>
      <c r="C22" cm="1">
        <f t="array" ref="C22">SUMPRODUCT((task_table_13_4_26!$C$2:$C$596=$C$1)*(A22&gt;task_table_13_4_26!$J$2:$J$596)*(A22&lt;task_table_13_4_26!$K$2:$K$596))</f>
        <v>0</v>
      </c>
      <c r="D22" cm="1">
        <f t="array" ref="D22">SUMPRODUCT((task_table_13_4_26!$C$2:$C$596=$D$1)*(A22&gt;task_table_13_4_26!$J$2:$J$596)*(A22&lt;task_table_13_4_26!$K$2:$K$596))</f>
        <v>0</v>
      </c>
      <c r="E22" cm="1">
        <f t="array" ref="E22">SUMPRODUCT((task_table_13_4_26!$C$2:$C$596=$E$1)*(A22&gt;task_table_13_4_26!$J$2:$J$596)*(A22&lt;task_table_13_4_26!$K$2:$K$596))</f>
        <v>0</v>
      </c>
    </row>
    <row r="23" spans="1:5">
      <c r="A23" s="5">
        <v>45891</v>
      </c>
      <c r="B23" cm="1">
        <f t="array" ref="B23">SUMPRODUCT((task_table_13_4_26!$C$2:$C$596=$B$1)*(A23&gt;task_table_13_4_26!$J$2:$J$596)*(A23&lt;task_table_13_4_26!$K$2:$K$596))</f>
        <v>2</v>
      </c>
      <c r="C23" cm="1">
        <f t="array" ref="C23">SUMPRODUCT((task_table_13_4_26!$C$2:$C$596=$C$1)*(A23&gt;task_table_13_4_26!$J$2:$J$596)*(A23&lt;task_table_13_4_26!$K$2:$K$596))</f>
        <v>0</v>
      </c>
      <c r="D23" cm="1">
        <f t="array" ref="D23">SUMPRODUCT((task_table_13_4_26!$C$2:$C$596=$D$1)*(A23&gt;task_table_13_4_26!$J$2:$J$596)*(A23&lt;task_table_13_4_26!$K$2:$K$596))</f>
        <v>0</v>
      </c>
      <c r="E23" cm="1">
        <f t="array" ref="E23">SUMPRODUCT((task_table_13_4_26!$C$2:$C$596=$E$1)*(A23&gt;task_table_13_4_26!$J$2:$J$596)*(A23&lt;task_table_13_4_26!$K$2:$K$596))</f>
        <v>0</v>
      </c>
    </row>
    <row r="24" spans="1:5">
      <c r="A24" s="5">
        <v>45892</v>
      </c>
      <c r="B24" cm="1">
        <f t="array" ref="B24">SUMPRODUCT((task_table_13_4_26!$C$2:$C$596=$B$1)*(A24&gt;task_table_13_4_26!$J$2:$J$596)*(A24&lt;task_table_13_4_26!$K$2:$K$596))</f>
        <v>2</v>
      </c>
      <c r="C24" cm="1">
        <f t="array" ref="C24">SUMPRODUCT((task_table_13_4_26!$C$2:$C$596=$C$1)*(A24&gt;task_table_13_4_26!$J$2:$J$596)*(A24&lt;task_table_13_4_26!$K$2:$K$596))</f>
        <v>0</v>
      </c>
      <c r="D24" cm="1">
        <f t="array" ref="D24">SUMPRODUCT((task_table_13_4_26!$C$2:$C$596=$D$1)*(A24&gt;task_table_13_4_26!$J$2:$J$596)*(A24&lt;task_table_13_4_26!$K$2:$K$596))</f>
        <v>0</v>
      </c>
      <c r="E24" cm="1">
        <f t="array" ref="E24">SUMPRODUCT((task_table_13_4_26!$C$2:$C$596=$E$1)*(A24&gt;task_table_13_4_26!$J$2:$J$596)*(A24&lt;task_table_13_4_26!$K$2:$K$596))</f>
        <v>0</v>
      </c>
    </row>
    <row r="25" spans="1:5">
      <c r="A25" s="5">
        <v>45893</v>
      </c>
      <c r="B25" cm="1">
        <f t="array" ref="B25">SUMPRODUCT((task_table_13_4_26!$C$2:$C$596=$B$1)*(A25&gt;task_table_13_4_26!$J$2:$J$596)*(A25&lt;task_table_13_4_26!$K$2:$K$596))</f>
        <v>2</v>
      </c>
      <c r="C25" cm="1">
        <f t="array" ref="C25">SUMPRODUCT((task_table_13_4_26!$C$2:$C$596=$C$1)*(A25&gt;task_table_13_4_26!$J$2:$J$596)*(A25&lt;task_table_13_4_26!$K$2:$K$596))</f>
        <v>0</v>
      </c>
      <c r="D25" cm="1">
        <f t="array" ref="D25">SUMPRODUCT((task_table_13_4_26!$C$2:$C$596=$D$1)*(A25&gt;task_table_13_4_26!$J$2:$J$596)*(A25&lt;task_table_13_4_26!$K$2:$K$596))</f>
        <v>0</v>
      </c>
      <c r="E25" cm="1">
        <f t="array" ref="E25">SUMPRODUCT((task_table_13_4_26!$C$2:$C$596=$E$1)*(A25&gt;task_table_13_4_26!$J$2:$J$596)*(A25&lt;task_table_13_4_26!$K$2:$K$596))</f>
        <v>0</v>
      </c>
    </row>
    <row r="26" spans="1:5">
      <c r="A26" s="5">
        <v>45894</v>
      </c>
      <c r="B26" cm="1">
        <f t="array" ref="B26">SUMPRODUCT((task_table_13_4_26!$C$2:$C$596=$B$1)*(A26&gt;task_table_13_4_26!$J$2:$J$596)*(A26&lt;task_table_13_4_26!$K$2:$K$596))</f>
        <v>2</v>
      </c>
      <c r="C26" cm="1">
        <f t="array" ref="C26">SUMPRODUCT((task_table_13_4_26!$C$2:$C$596=$C$1)*(A26&gt;task_table_13_4_26!$J$2:$J$596)*(A26&lt;task_table_13_4_26!$K$2:$K$596))</f>
        <v>0</v>
      </c>
      <c r="D26" cm="1">
        <f t="array" ref="D26">SUMPRODUCT((task_table_13_4_26!$C$2:$C$596=$D$1)*(A26&gt;task_table_13_4_26!$J$2:$J$596)*(A26&lt;task_table_13_4_26!$K$2:$K$596))</f>
        <v>0</v>
      </c>
      <c r="E26" cm="1">
        <f t="array" ref="E26">SUMPRODUCT((task_table_13_4_26!$C$2:$C$596=$E$1)*(A26&gt;task_table_13_4_26!$J$2:$J$596)*(A26&lt;task_table_13_4_26!$K$2:$K$596))</f>
        <v>0</v>
      </c>
    </row>
    <row r="27" spans="1:5">
      <c r="A27" s="5">
        <v>45895</v>
      </c>
      <c r="B27" cm="1">
        <f t="array" ref="B27">SUMPRODUCT((task_table_13_4_26!$C$2:$C$596=$B$1)*(A27&gt;task_table_13_4_26!$J$2:$J$596)*(A27&lt;task_table_13_4_26!$K$2:$K$596))</f>
        <v>2</v>
      </c>
      <c r="C27" cm="1">
        <f t="array" ref="C27">SUMPRODUCT((task_table_13_4_26!$C$2:$C$596=$C$1)*(A27&gt;task_table_13_4_26!$J$2:$J$596)*(A27&lt;task_table_13_4_26!$K$2:$K$596))</f>
        <v>0</v>
      </c>
      <c r="D27" cm="1">
        <f t="array" ref="D27">SUMPRODUCT((task_table_13_4_26!$C$2:$C$596=$D$1)*(A27&gt;task_table_13_4_26!$J$2:$J$596)*(A27&lt;task_table_13_4_26!$K$2:$K$596))</f>
        <v>0</v>
      </c>
      <c r="E27" cm="1">
        <f t="array" ref="E27">SUMPRODUCT((task_table_13_4_26!$C$2:$C$596=$E$1)*(A27&gt;task_table_13_4_26!$J$2:$J$596)*(A27&lt;task_table_13_4_26!$K$2:$K$596))</f>
        <v>0</v>
      </c>
    </row>
    <row r="28" spans="1:5">
      <c r="A28" s="5">
        <v>45896</v>
      </c>
      <c r="B28" cm="1">
        <f t="array" ref="B28">SUMPRODUCT((task_table_13_4_26!$C$2:$C$596=$B$1)*(A28&gt;task_table_13_4_26!$J$2:$J$596)*(A28&lt;task_table_13_4_26!$K$2:$K$596))</f>
        <v>2</v>
      </c>
      <c r="C28" cm="1">
        <f t="array" ref="C28">SUMPRODUCT((task_table_13_4_26!$C$2:$C$596=$C$1)*(A28&gt;task_table_13_4_26!$J$2:$J$596)*(A28&lt;task_table_13_4_26!$K$2:$K$596))</f>
        <v>0</v>
      </c>
      <c r="D28" cm="1">
        <f t="array" ref="D28">SUMPRODUCT((task_table_13_4_26!$C$2:$C$596=$D$1)*(A28&gt;task_table_13_4_26!$J$2:$J$596)*(A28&lt;task_table_13_4_26!$K$2:$K$596))</f>
        <v>0</v>
      </c>
      <c r="E28" cm="1">
        <f t="array" ref="E28">SUMPRODUCT((task_table_13_4_26!$C$2:$C$596=$E$1)*(A28&gt;task_table_13_4_26!$J$2:$J$596)*(A28&lt;task_table_13_4_26!$K$2:$K$596))</f>
        <v>0</v>
      </c>
    </row>
    <row r="29" spans="1:5">
      <c r="A29" s="5">
        <v>45897</v>
      </c>
      <c r="B29" cm="1">
        <f t="array" ref="B29">SUMPRODUCT((task_table_13_4_26!$C$2:$C$596=$B$1)*(A29&gt;task_table_13_4_26!$J$2:$J$596)*(A29&lt;task_table_13_4_26!$K$2:$K$596))</f>
        <v>2</v>
      </c>
      <c r="C29" cm="1">
        <f t="array" ref="C29">SUMPRODUCT((task_table_13_4_26!$C$2:$C$596=$C$1)*(A29&gt;task_table_13_4_26!$J$2:$J$596)*(A29&lt;task_table_13_4_26!$K$2:$K$596))</f>
        <v>0</v>
      </c>
      <c r="D29" cm="1">
        <f t="array" ref="D29">SUMPRODUCT((task_table_13_4_26!$C$2:$C$596=$D$1)*(A29&gt;task_table_13_4_26!$J$2:$J$596)*(A29&lt;task_table_13_4_26!$K$2:$K$596))</f>
        <v>0</v>
      </c>
      <c r="E29" cm="1">
        <f t="array" ref="E29">SUMPRODUCT((task_table_13_4_26!$C$2:$C$596=$E$1)*(A29&gt;task_table_13_4_26!$J$2:$J$596)*(A29&lt;task_table_13_4_26!$K$2:$K$596))</f>
        <v>0</v>
      </c>
    </row>
    <row r="30" spans="1:5">
      <c r="A30" s="5">
        <v>45898</v>
      </c>
      <c r="B30" cm="1">
        <f t="array" ref="B30">SUMPRODUCT((task_table_13_4_26!$C$2:$C$596=$B$1)*(A30&gt;task_table_13_4_26!$J$2:$J$596)*(A30&lt;task_table_13_4_26!$K$2:$K$596))</f>
        <v>2</v>
      </c>
      <c r="C30" cm="1">
        <f t="array" ref="C30">SUMPRODUCT((task_table_13_4_26!$C$2:$C$596=$C$1)*(A30&gt;task_table_13_4_26!$J$2:$J$596)*(A30&lt;task_table_13_4_26!$K$2:$K$596))</f>
        <v>0</v>
      </c>
      <c r="D30" cm="1">
        <f t="array" ref="D30">SUMPRODUCT((task_table_13_4_26!$C$2:$C$596=$D$1)*(A30&gt;task_table_13_4_26!$J$2:$J$596)*(A30&lt;task_table_13_4_26!$K$2:$K$596))</f>
        <v>0</v>
      </c>
      <c r="E30" cm="1">
        <f t="array" ref="E30">SUMPRODUCT((task_table_13_4_26!$C$2:$C$596=$E$1)*(A30&gt;task_table_13_4_26!$J$2:$J$596)*(A30&lt;task_table_13_4_26!$K$2:$K$596))</f>
        <v>0</v>
      </c>
    </row>
    <row r="31" spans="1:5">
      <c r="A31" s="5">
        <v>45899</v>
      </c>
      <c r="B31" cm="1">
        <f t="array" ref="B31">SUMPRODUCT((task_table_13_4_26!$C$2:$C$596=$B$1)*(A31&gt;task_table_13_4_26!$J$2:$J$596)*(A31&lt;task_table_13_4_26!$K$2:$K$596))</f>
        <v>1</v>
      </c>
      <c r="C31" cm="1">
        <f t="array" ref="C31">SUMPRODUCT((task_table_13_4_26!$C$2:$C$596=$C$1)*(A31&gt;task_table_13_4_26!$J$2:$J$596)*(A31&lt;task_table_13_4_26!$K$2:$K$596))</f>
        <v>0</v>
      </c>
      <c r="D31" cm="1">
        <f t="array" ref="D31">SUMPRODUCT((task_table_13_4_26!$C$2:$C$596=$D$1)*(A31&gt;task_table_13_4_26!$J$2:$J$596)*(A31&lt;task_table_13_4_26!$K$2:$K$596))</f>
        <v>0</v>
      </c>
      <c r="E31" cm="1">
        <f t="array" ref="E31">SUMPRODUCT((task_table_13_4_26!$C$2:$C$596=$E$1)*(A31&gt;task_table_13_4_26!$J$2:$J$596)*(A31&lt;task_table_13_4_26!$K$2:$K$596))</f>
        <v>0</v>
      </c>
    </row>
    <row r="32" spans="1:5">
      <c r="A32" s="5">
        <v>45900</v>
      </c>
      <c r="B32" cm="1">
        <f t="array" ref="B32">SUMPRODUCT((task_table_13_4_26!$C$2:$C$596=$B$1)*(A32&gt;task_table_13_4_26!$J$2:$J$596)*(A32&lt;task_table_13_4_26!$K$2:$K$596))</f>
        <v>1</v>
      </c>
      <c r="C32" cm="1">
        <f t="array" ref="C32">SUMPRODUCT((task_table_13_4_26!$C$2:$C$596=$C$1)*(A32&gt;task_table_13_4_26!$J$2:$J$596)*(A32&lt;task_table_13_4_26!$K$2:$K$596))</f>
        <v>0</v>
      </c>
      <c r="D32" cm="1">
        <f t="array" ref="D32">SUMPRODUCT((task_table_13_4_26!$C$2:$C$596=$D$1)*(A32&gt;task_table_13_4_26!$J$2:$J$596)*(A32&lt;task_table_13_4_26!$K$2:$K$596))</f>
        <v>0</v>
      </c>
      <c r="E32" cm="1">
        <f t="array" ref="E32">SUMPRODUCT((task_table_13_4_26!$C$2:$C$596=$E$1)*(A32&gt;task_table_13_4_26!$J$2:$J$596)*(A32&lt;task_table_13_4_26!$K$2:$K$596))</f>
        <v>0</v>
      </c>
    </row>
    <row r="33" spans="1:5">
      <c r="A33" s="5">
        <v>45901</v>
      </c>
      <c r="B33" cm="1">
        <f t="array" ref="B33">SUMPRODUCT((task_table_13_4_26!$C$2:$C$596=$B$1)*(A33&gt;task_table_13_4_26!$J$2:$J$596)*(A33&lt;task_table_13_4_26!$K$2:$K$596))</f>
        <v>1</v>
      </c>
      <c r="C33" cm="1">
        <f t="array" ref="C33">SUMPRODUCT((task_table_13_4_26!$C$2:$C$596=$C$1)*(A33&gt;task_table_13_4_26!$J$2:$J$596)*(A33&lt;task_table_13_4_26!$K$2:$K$596))</f>
        <v>0</v>
      </c>
      <c r="D33" cm="1">
        <f t="array" ref="D33">SUMPRODUCT((task_table_13_4_26!$C$2:$C$596=$D$1)*(A33&gt;task_table_13_4_26!$J$2:$J$596)*(A33&lt;task_table_13_4_26!$K$2:$K$596))</f>
        <v>0</v>
      </c>
      <c r="E33" cm="1">
        <f t="array" ref="E33">SUMPRODUCT((task_table_13_4_26!$C$2:$C$596=$E$1)*(A33&gt;task_table_13_4_26!$J$2:$J$596)*(A33&lt;task_table_13_4_26!$K$2:$K$596))</f>
        <v>0</v>
      </c>
    </row>
    <row r="34" spans="1:5">
      <c r="A34" s="5">
        <v>45902</v>
      </c>
      <c r="B34" cm="1">
        <f t="array" ref="B34">SUMPRODUCT((task_table_13_4_26!$C$2:$C$596=$B$1)*(A34&gt;task_table_13_4_26!$J$2:$J$596)*(A34&lt;task_table_13_4_26!$K$2:$K$596))</f>
        <v>1</v>
      </c>
      <c r="C34" cm="1">
        <f t="array" ref="C34">SUMPRODUCT((task_table_13_4_26!$C$2:$C$596=$C$1)*(A34&gt;task_table_13_4_26!$J$2:$J$596)*(A34&lt;task_table_13_4_26!$K$2:$K$596))</f>
        <v>0</v>
      </c>
      <c r="D34" cm="1">
        <f t="array" ref="D34">SUMPRODUCT((task_table_13_4_26!$C$2:$C$596=$D$1)*(A34&gt;task_table_13_4_26!$J$2:$J$596)*(A34&lt;task_table_13_4_26!$K$2:$K$596))</f>
        <v>0</v>
      </c>
      <c r="E34" cm="1">
        <f t="array" ref="E34">SUMPRODUCT((task_table_13_4_26!$C$2:$C$596=$E$1)*(A34&gt;task_table_13_4_26!$J$2:$J$596)*(A34&lt;task_table_13_4_26!$K$2:$K$596))</f>
        <v>0</v>
      </c>
    </row>
    <row r="35" spans="1:5">
      <c r="A35" s="5">
        <v>45903</v>
      </c>
      <c r="B35" cm="1">
        <f t="array" ref="B35">SUMPRODUCT((task_table_13_4_26!$C$2:$C$596=$B$1)*(A35&gt;task_table_13_4_26!$J$2:$J$596)*(A35&lt;task_table_13_4_26!$K$2:$K$596))</f>
        <v>1</v>
      </c>
      <c r="C35" cm="1">
        <f t="array" ref="C35">SUMPRODUCT((task_table_13_4_26!$C$2:$C$596=$C$1)*(A35&gt;task_table_13_4_26!$J$2:$J$596)*(A35&lt;task_table_13_4_26!$K$2:$K$596))</f>
        <v>0</v>
      </c>
      <c r="D35" cm="1">
        <f t="array" ref="D35">SUMPRODUCT((task_table_13_4_26!$C$2:$C$596=$D$1)*(A35&gt;task_table_13_4_26!$J$2:$J$596)*(A35&lt;task_table_13_4_26!$K$2:$K$596))</f>
        <v>0</v>
      </c>
      <c r="E35" cm="1">
        <f t="array" ref="E35">SUMPRODUCT((task_table_13_4_26!$C$2:$C$596=$E$1)*(A35&gt;task_table_13_4_26!$J$2:$J$596)*(A35&lt;task_table_13_4_26!$K$2:$K$596))</f>
        <v>0</v>
      </c>
    </row>
    <row r="36" spans="1:5">
      <c r="A36" s="5">
        <v>45904</v>
      </c>
      <c r="B36" cm="1">
        <f t="array" ref="B36">SUMPRODUCT((task_table_13_4_26!$C$2:$C$596=$B$1)*(A36&gt;task_table_13_4_26!$J$2:$J$596)*(A36&lt;task_table_13_4_26!$K$2:$K$596))</f>
        <v>1</v>
      </c>
      <c r="C36" cm="1">
        <f t="array" ref="C36">SUMPRODUCT((task_table_13_4_26!$C$2:$C$596=$C$1)*(A36&gt;task_table_13_4_26!$J$2:$J$596)*(A36&lt;task_table_13_4_26!$K$2:$K$596))</f>
        <v>0</v>
      </c>
      <c r="D36" cm="1">
        <f t="array" ref="D36">SUMPRODUCT((task_table_13_4_26!$C$2:$C$596=$D$1)*(A36&gt;task_table_13_4_26!$J$2:$J$596)*(A36&lt;task_table_13_4_26!$K$2:$K$596))</f>
        <v>0</v>
      </c>
      <c r="E36" cm="1">
        <f t="array" ref="E36">SUMPRODUCT((task_table_13_4_26!$C$2:$C$596=$E$1)*(A36&gt;task_table_13_4_26!$J$2:$J$596)*(A36&lt;task_table_13_4_26!$K$2:$K$596))</f>
        <v>0</v>
      </c>
    </row>
    <row r="37" spans="1:5">
      <c r="A37" s="5">
        <v>45905</v>
      </c>
      <c r="B37" cm="1">
        <f t="array" ref="B37">SUMPRODUCT((task_table_13_4_26!$C$2:$C$596=$B$1)*(A37&gt;task_table_13_4_26!$J$2:$J$596)*(A37&lt;task_table_13_4_26!$K$2:$K$596))</f>
        <v>1</v>
      </c>
      <c r="C37" cm="1">
        <f t="array" ref="C37">SUMPRODUCT((task_table_13_4_26!$C$2:$C$596=$C$1)*(A37&gt;task_table_13_4_26!$J$2:$J$596)*(A37&lt;task_table_13_4_26!$K$2:$K$596))</f>
        <v>0</v>
      </c>
      <c r="D37" cm="1">
        <f t="array" ref="D37">SUMPRODUCT((task_table_13_4_26!$C$2:$C$596=$D$1)*(A37&gt;task_table_13_4_26!$J$2:$J$596)*(A37&lt;task_table_13_4_26!$K$2:$K$596))</f>
        <v>0</v>
      </c>
      <c r="E37" cm="1">
        <f t="array" ref="E37">SUMPRODUCT((task_table_13_4_26!$C$2:$C$596=$E$1)*(A37&gt;task_table_13_4_26!$J$2:$J$596)*(A37&lt;task_table_13_4_26!$K$2:$K$596))</f>
        <v>0</v>
      </c>
    </row>
    <row r="38" spans="1:5">
      <c r="A38" s="5">
        <v>45906</v>
      </c>
      <c r="B38" cm="1">
        <f t="array" ref="B38">SUMPRODUCT((task_table_13_4_26!$C$2:$C$596=$B$1)*(A38&gt;task_table_13_4_26!$J$2:$J$596)*(A38&lt;task_table_13_4_26!$K$2:$K$596))</f>
        <v>1</v>
      </c>
      <c r="C38" cm="1">
        <f t="array" ref="C38">SUMPRODUCT((task_table_13_4_26!$C$2:$C$596=$C$1)*(A38&gt;task_table_13_4_26!$J$2:$J$596)*(A38&lt;task_table_13_4_26!$K$2:$K$596))</f>
        <v>0</v>
      </c>
      <c r="D38" cm="1">
        <f t="array" ref="D38">SUMPRODUCT((task_table_13_4_26!$C$2:$C$596=$D$1)*(A38&gt;task_table_13_4_26!$J$2:$J$596)*(A38&lt;task_table_13_4_26!$K$2:$K$596))</f>
        <v>0</v>
      </c>
      <c r="E38" cm="1">
        <f t="array" ref="E38">SUMPRODUCT((task_table_13_4_26!$C$2:$C$596=$E$1)*(A38&gt;task_table_13_4_26!$J$2:$J$596)*(A38&lt;task_table_13_4_26!$K$2:$K$596))</f>
        <v>0</v>
      </c>
    </row>
    <row r="39" spans="1:5">
      <c r="A39" s="5">
        <v>45907</v>
      </c>
      <c r="B39" cm="1">
        <f t="array" ref="B39">SUMPRODUCT((task_table_13_4_26!$C$2:$C$596=$B$1)*(A39&gt;task_table_13_4_26!$J$2:$J$596)*(A39&lt;task_table_13_4_26!$K$2:$K$596))</f>
        <v>1</v>
      </c>
      <c r="C39" cm="1">
        <f t="array" ref="C39">SUMPRODUCT((task_table_13_4_26!$C$2:$C$596=$C$1)*(A39&gt;task_table_13_4_26!$J$2:$J$596)*(A39&lt;task_table_13_4_26!$K$2:$K$596))</f>
        <v>0</v>
      </c>
      <c r="D39" cm="1">
        <f t="array" ref="D39">SUMPRODUCT((task_table_13_4_26!$C$2:$C$596=$D$1)*(A39&gt;task_table_13_4_26!$J$2:$J$596)*(A39&lt;task_table_13_4_26!$K$2:$K$596))</f>
        <v>0</v>
      </c>
      <c r="E39" cm="1">
        <f t="array" ref="E39">SUMPRODUCT((task_table_13_4_26!$C$2:$C$596=$E$1)*(A39&gt;task_table_13_4_26!$J$2:$J$596)*(A39&lt;task_table_13_4_26!$K$2:$K$596))</f>
        <v>0</v>
      </c>
    </row>
    <row r="40" spans="1:5">
      <c r="A40" s="5">
        <v>45908</v>
      </c>
      <c r="B40" cm="1">
        <f t="array" ref="B40">SUMPRODUCT((task_table_13_4_26!$C$2:$C$596=$B$1)*(A40&gt;task_table_13_4_26!$J$2:$J$596)*(A40&lt;task_table_13_4_26!$K$2:$K$596))</f>
        <v>1</v>
      </c>
      <c r="C40" cm="1">
        <f t="array" ref="C40">SUMPRODUCT((task_table_13_4_26!$C$2:$C$596=$C$1)*(A40&gt;task_table_13_4_26!$J$2:$J$596)*(A40&lt;task_table_13_4_26!$K$2:$K$596))</f>
        <v>0</v>
      </c>
      <c r="D40" cm="1">
        <f t="array" ref="D40">SUMPRODUCT((task_table_13_4_26!$C$2:$C$596=$D$1)*(A40&gt;task_table_13_4_26!$J$2:$J$596)*(A40&lt;task_table_13_4_26!$K$2:$K$596))</f>
        <v>0</v>
      </c>
      <c r="E40" cm="1">
        <f t="array" ref="E40">SUMPRODUCT((task_table_13_4_26!$C$2:$C$596=$E$1)*(A40&gt;task_table_13_4_26!$J$2:$J$596)*(A40&lt;task_table_13_4_26!$K$2:$K$596))</f>
        <v>0</v>
      </c>
    </row>
    <row r="41" spans="1:5">
      <c r="A41" s="5">
        <v>45909</v>
      </c>
      <c r="B41" cm="1">
        <f t="array" ref="B41">SUMPRODUCT((task_table_13_4_26!$C$2:$C$596=$B$1)*(A41&gt;task_table_13_4_26!$J$2:$J$596)*(A41&lt;task_table_13_4_26!$K$2:$K$596))</f>
        <v>1</v>
      </c>
      <c r="C41" cm="1">
        <f t="array" ref="C41">SUMPRODUCT((task_table_13_4_26!$C$2:$C$596=$C$1)*(A41&gt;task_table_13_4_26!$J$2:$J$596)*(A41&lt;task_table_13_4_26!$K$2:$K$596))</f>
        <v>0</v>
      </c>
      <c r="D41" cm="1">
        <f t="array" ref="D41">SUMPRODUCT((task_table_13_4_26!$C$2:$C$596=$D$1)*(A41&gt;task_table_13_4_26!$J$2:$J$596)*(A41&lt;task_table_13_4_26!$K$2:$K$596))</f>
        <v>0</v>
      </c>
      <c r="E41" cm="1">
        <f t="array" ref="E41">SUMPRODUCT((task_table_13_4_26!$C$2:$C$596=$E$1)*(A41&gt;task_table_13_4_26!$J$2:$J$596)*(A41&lt;task_table_13_4_26!$K$2:$K$596))</f>
        <v>0</v>
      </c>
    </row>
    <row r="42" spans="1:5">
      <c r="A42" s="5">
        <v>45910</v>
      </c>
      <c r="B42" cm="1">
        <f t="array" ref="B42">SUMPRODUCT((task_table_13_4_26!$C$2:$C$596=$B$1)*(A42&gt;task_table_13_4_26!$J$2:$J$596)*(A42&lt;task_table_13_4_26!$K$2:$K$596))</f>
        <v>1</v>
      </c>
      <c r="C42" cm="1">
        <f t="array" ref="C42">SUMPRODUCT((task_table_13_4_26!$C$2:$C$596=$C$1)*(A42&gt;task_table_13_4_26!$J$2:$J$596)*(A42&lt;task_table_13_4_26!$K$2:$K$596))</f>
        <v>0</v>
      </c>
      <c r="D42" cm="1">
        <f t="array" ref="D42">SUMPRODUCT((task_table_13_4_26!$C$2:$C$596=$D$1)*(A42&gt;task_table_13_4_26!$J$2:$J$596)*(A42&lt;task_table_13_4_26!$K$2:$K$596))</f>
        <v>0</v>
      </c>
      <c r="E42" cm="1">
        <f t="array" ref="E42">SUMPRODUCT((task_table_13_4_26!$C$2:$C$596=$E$1)*(A42&gt;task_table_13_4_26!$J$2:$J$596)*(A42&lt;task_table_13_4_26!$K$2:$K$596))</f>
        <v>0</v>
      </c>
    </row>
    <row r="43" spans="1:5">
      <c r="A43" s="5">
        <v>45911</v>
      </c>
      <c r="B43" cm="1">
        <f t="array" ref="B43">SUMPRODUCT((task_table_13_4_26!$C$2:$C$596=$B$1)*(A43&gt;task_table_13_4_26!$J$2:$J$596)*(A43&lt;task_table_13_4_26!$K$2:$K$596))</f>
        <v>1</v>
      </c>
      <c r="C43" cm="1">
        <f t="array" ref="C43">SUMPRODUCT((task_table_13_4_26!$C$2:$C$596=$C$1)*(A43&gt;task_table_13_4_26!$J$2:$J$596)*(A43&lt;task_table_13_4_26!$K$2:$K$596))</f>
        <v>0</v>
      </c>
      <c r="D43" cm="1">
        <f t="array" ref="D43">SUMPRODUCT((task_table_13_4_26!$C$2:$C$596=$D$1)*(A43&gt;task_table_13_4_26!$J$2:$J$596)*(A43&lt;task_table_13_4_26!$K$2:$K$596))</f>
        <v>0</v>
      </c>
      <c r="E43" cm="1">
        <f t="array" ref="E43">SUMPRODUCT((task_table_13_4_26!$C$2:$C$596=$E$1)*(A43&gt;task_table_13_4_26!$J$2:$J$596)*(A43&lt;task_table_13_4_26!$K$2:$K$596))</f>
        <v>0</v>
      </c>
    </row>
    <row r="44" spans="1:5">
      <c r="A44" s="5">
        <v>45912</v>
      </c>
      <c r="B44" cm="1">
        <f t="array" ref="B44">SUMPRODUCT((task_table_13_4_26!$C$2:$C$596=$B$1)*(A44&gt;task_table_13_4_26!$J$2:$J$596)*(A44&lt;task_table_13_4_26!$K$2:$K$596))</f>
        <v>1</v>
      </c>
      <c r="C44" cm="1">
        <f t="array" ref="C44">SUMPRODUCT((task_table_13_4_26!$C$2:$C$596=$C$1)*(A44&gt;task_table_13_4_26!$J$2:$J$596)*(A44&lt;task_table_13_4_26!$K$2:$K$596))</f>
        <v>0</v>
      </c>
      <c r="D44" cm="1">
        <f t="array" ref="D44">SUMPRODUCT((task_table_13_4_26!$C$2:$C$596=$D$1)*(A44&gt;task_table_13_4_26!$J$2:$J$596)*(A44&lt;task_table_13_4_26!$K$2:$K$596))</f>
        <v>0</v>
      </c>
      <c r="E44" cm="1">
        <f t="array" ref="E44">SUMPRODUCT((task_table_13_4_26!$C$2:$C$596=$E$1)*(A44&gt;task_table_13_4_26!$J$2:$J$596)*(A44&lt;task_table_13_4_26!$K$2:$K$596))</f>
        <v>0</v>
      </c>
    </row>
    <row r="45" spans="1:5">
      <c r="A45" s="5">
        <v>45913</v>
      </c>
      <c r="B45" cm="1">
        <f t="array" ref="B45">SUMPRODUCT((task_table_13_4_26!$C$2:$C$596=$B$1)*(A45&gt;task_table_13_4_26!$J$2:$J$596)*(A45&lt;task_table_13_4_26!$K$2:$K$596))</f>
        <v>1</v>
      </c>
      <c r="C45" cm="1">
        <f t="array" ref="C45">SUMPRODUCT((task_table_13_4_26!$C$2:$C$596=$C$1)*(A45&gt;task_table_13_4_26!$J$2:$J$596)*(A45&lt;task_table_13_4_26!$K$2:$K$596))</f>
        <v>0</v>
      </c>
      <c r="D45" cm="1">
        <f t="array" ref="D45">SUMPRODUCT((task_table_13_4_26!$C$2:$C$596=$D$1)*(A45&gt;task_table_13_4_26!$J$2:$J$596)*(A45&lt;task_table_13_4_26!$K$2:$K$596))</f>
        <v>0</v>
      </c>
      <c r="E45" cm="1">
        <f t="array" ref="E45">SUMPRODUCT((task_table_13_4_26!$C$2:$C$596=$E$1)*(A45&gt;task_table_13_4_26!$J$2:$J$596)*(A45&lt;task_table_13_4_26!$K$2:$K$596))</f>
        <v>0</v>
      </c>
    </row>
    <row r="46" spans="1:5">
      <c r="A46" s="5">
        <v>45914</v>
      </c>
      <c r="B46" cm="1">
        <f t="array" ref="B46">SUMPRODUCT((task_table_13_4_26!$C$2:$C$596=$B$1)*(A46&gt;task_table_13_4_26!$J$2:$J$596)*(A46&lt;task_table_13_4_26!$K$2:$K$596))</f>
        <v>1</v>
      </c>
      <c r="C46" cm="1">
        <f t="array" ref="C46">SUMPRODUCT((task_table_13_4_26!$C$2:$C$596=$C$1)*(A46&gt;task_table_13_4_26!$J$2:$J$596)*(A46&lt;task_table_13_4_26!$K$2:$K$596))</f>
        <v>0</v>
      </c>
      <c r="D46" cm="1">
        <f t="array" ref="D46">SUMPRODUCT((task_table_13_4_26!$C$2:$C$596=$D$1)*(A46&gt;task_table_13_4_26!$J$2:$J$596)*(A46&lt;task_table_13_4_26!$K$2:$K$596))</f>
        <v>0</v>
      </c>
      <c r="E46" cm="1">
        <f t="array" ref="E46">SUMPRODUCT((task_table_13_4_26!$C$2:$C$596=$E$1)*(A46&gt;task_table_13_4_26!$J$2:$J$596)*(A46&lt;task_table_13_4_26!$K$2:$K$596))</f>
        <v>0</v>
      </c>
    </row>
    <row r="47" spans="1:5">
      <c r="A47" s="5">
        <v>45915</v>
      </c>
      <c r="B47" cm="1">
        <f t="array" ref="B47">SUMPRODUCT((task_table_13_4_26!$C$2:$C$596=$B$1)*(A47&gt;task_table_13_4_26!$J$2:$J$596)*(A47&lt;task_table_13_4_26!$K$2:$K$596))</f>
        <v>1</v>
      </c>
      <c r="C47" cm="1">
        <f t="array" ref="C47">SUMPRODUCT((task_table_13_4_26!$C$2:$C$596=$C$1)*(A47&gt;task_table_13_4_26!$J$2:$J$596)*(A47&lt;task_table_13_4_26!$K$2:$K$596))</f>
        <v>0</v>
      </c>
      <c r="D47" cm="1">
        <f t="array" ref="D47">SUMPRODUCT((task_table_13_4_26!$C$2:$C$596=$D$1)*(A47&gt;task_table_13_4_26!$J$2:$J$596)*(A47&lt;task_table_13_4_26!$K$2:$K$596))</f>
        <v>0</v>
      </c>
      <c r="E47" cm="1">
        <f t="array" ref="E47">SUMPRODUCT((task_table_13_4_26!$C$2:$C$596=$E$1)*(A47&gt;task_table_13_4_26!$J$2:$J$596)*(A47&lt;task_table_13_4_26!$K$2:$K$596))</f>
        <v>0</v>
      </c>
    </row>
    <row r="48" spans="1:5">
      <c r="A48" s="5">
        <v>45916</v>
      </c>
      <c r="B48" cm="1">
        <f t="array" ref="B48">SUMPRODUCT((task_table_13_4_26!$C$2:$C$596=$B$1)*(A48&gt;task_table_13_4_26!$J$2:$J$596)*(A48&lt;task_table_13_4_26!$K$2:$K$596))</f>
        <v>1</v>
      </c>
      <c r="C48" cm="1">
        <f t="array" ref="C48">SUMPRODUCT((task_table_13_4_26!$C$2:$C$596=$C$1)*(A48&gt;task_table_13_4_26!$J$2:$J$596)*(A48&lt;task_table_13_4_26!$K$2:$K$596))</f>
        <v>0</v>
      </c>
      <c r="D48" cm="1">
        <f t="array" ref="D48">SUMPRODUCT((task_table_13_4_26!$C$2:$C$596=$D$1)*(A48&gt;task_table_13_4_26!$J$2:$J$596)*(A48&lt;task_table_13_4_26!$K$2:$K$596))</f>
        <v>0</v>
      </c>
      <c r="E48" cm="1">
        <f t="array" ref="E48">SUMPRODUCT((task_table_13_4_26!$C$2:$C$596=$E$1)*(A48&gt;task_table_13_4_26!$J$2:$J$596)*(A48&lt;task_table_13_4_26!$K$2:$K$596))</f>
        <v>0</v>
      </c>
    </row>
    <row r="49" spans="1:5">
      <c r="A49" s="5">
        <v>45917</v>
      </c>
      <c r="B49" cm="1">
        <f t="array" ref="B49">SUMPRODUCT((task_table_13_4_26!$C$2:$C$596=$B$1)*(A49&gt;task_table_13_4_26!$J$2:$J$596)*(A49&lt;task_table_13_4_26!$K$2:$K$596))</f>
        <v>1</v>
      </c>
      <c r="C49" cm="1">
        <f t="array" ref="C49">SUMPRODUCT((task_table_13_4_26!$C$2:$C$596=$C$1)*(A49&gt;task_table_13_4_26!$J$2:$J$596)*(A49&lt;task_table_13_4_26!$K$2:$K$596))</f>
        <v>0</v>
      </c>
      <c r="D49" cm="1">
        <f t="array" ref="D49">SUMPRODUCT((task_table_13_4_26!$C$2:$C$596=$D$1)*(A49&gt;task_table_13_4_26!$J$2:$J$596)*(A49&lt;task_table_13_4_26!$K$2:$K$596))</f>
        <v>0</v>
      </c>
      <c r="E49" cm="1">
        <f t="array" ref="E49">SUMPRODUCT((task_table_13_4_26!$C$2:$C$596=$E$1)*(A49&gt;task_table_13_4_26!$J$2:$J$596)*(A49&lt;task_table_13_4_26!$K$2:$K$596))</f>
        <v>0</v>
      </c>
    </row>
    <row r="50" spans="1:5">
      <c r="A50" s="5">
        <v>45918</v>
      </c>
      <c r="B50" cm="1">
        <f t="array" ref="B50">SUMPRODUCT((task_table_13_4_26!$C$2:$C$596=$B$1)*(A50&gt;task_table_13_4_26!$J$2:$J$596)*(A50&lt;task_table_13_4_26!$K$2:$K$596))</f>
        <v>1</v>
      </c>
      <c r="C50" cm="1">
        <f t="array" ref="C50">SUMPRODUCT((task_table_13_4_26!$C$2:$C$596=$C$1)*(A50&gt;task_table_13_4_26!$J$2:$J$596)*(A50&lt;task_table_13_4_26!$K$2:$K$596))</f>
        <v>0</v>
      </c>
      <c r="D50" cm="1">
        <f t="array" ref="D50">SUMPRODUCT((task_table_13_4_26!$C$2:$C$596=$D$1)*(A50&gt;task_table_13_4_26!$J$2:$J$596)*(A50&lt;task_table_13_4_26!$K$2:$K$596))</f>
        <v>0</v>
      </c>
      <c r="E50" cm="1">
        <f t="array" ref="E50">SUMPRODUCT((task_table_13_4_26!$C$2:$C$596=$E$1)*(A50&gt;task_table_13_4_26!$J$2:$J$596)*(A50&lt;task_table_13_4_26!$K$2:$K$596))</f>
        <v>0</v>
      </c>
    </row>
    <row r="51" spans="1:5">
      <c r="A51" s="5">
        <v>45919</v>
      </c>
      <c r="B51" cm="1">
        <f t="array" ref="B51">SUMPRODUCT((task_table_13_4_26!$C$2:$C$596=$B$1)*(A51&gt;task_table_13_4_26!$J$2:$J$596)*(A51&lt;task_table_13_4_26!$K$2:$K$596))</f>
        <v>1</v>
      </c>
      <c r="C51" cm="1">
        <f t="array" ref="C51">SUMPRODUCT((task_table_13_4_26!$C$2:$C$596=$C$1)*(A51&gt;task_table_13_4_26!$J$2:$J$596)*(A51&lt;task_table_13_4_26!$K$2:$K$596))</f>
        <v>0</v>
      </c>
      <c r="D51" cm="1">
        <f t="array" ref="D51">SUMPRODUCT((task_table_13_4_26!$C$2:$C$596=$D$1)*(A51&gt;task_table_13_4_26!$J$2:$J$596)*(A51&lt;task_table_13_4_26!$K$2:$K$596))</f>
        <v>0</v>
      </c>
      <c r="E51" cm="1">
        <f t="array" ref="E51">SUMPRODUCT((task_table_13_4_26!$C$2:$C$596=$E$1)*(A51&gt;task_table_13_4_26!$J$2:$J$596)*(A51&lt;task_table_13_4_26!$K$2:$K$596))</f>
        <v>0</v>
      </c>
    </row>
    <row r="52" spans="1:5">
      <c r="A52" s="5">
        <v>45920</v>
      </c>
      <c r="B52" cm="1">
        <f t="array" ref="B52">SUMPRODUCT((task_table_13_4_26!$C$2:$C$596=$B$1)*(A52&gt;task_table_13_4_26!$J$2:$J$596)*(A52&lt;task_table_13_4_26!$K$2:$K$596))</f>
        <v>1</v>
      </c>
      <c r="C52" cm="1">
        <f t="array" ref="C52">SUMPRODUCT((task_table_13_4_26!$C$2:$C$596=$C$1)*(A52&gt;task_table_13_4_26!$J$2:$J$596)*(A52&lt;task_table_13_4_26!$K$2:$K$596))</f>
        <v>0</v>
      </c>
      <c r="D52" cm="1">
        <f t="array" ref="D52">SUMPRODUCT((task_table_13_4_26!$C$2:$C$596=$D$1)*(A52&gt;task_table_13_4_26!$J$2:$J$596)*(A52&lt;task_table_13_4_26!$K$2:$K$596))</f>
        <v>0</v>
      </c>
      <c r="E52" cm="1">
        <f t="array" ref="E52">SUMPRODUCT((task_table_13_4_26!$C$2:$C$596=$E$1)*(A52&gt;task_table_13_4_26!$J$2:$J$596)*(A52&lt;task_table_13_4_26!$K$2:$K$596))</f>
        <v>0</v>
      </c>
    </row>
    <row r="53" spans="1:5">
      <c r="A53" s="5">
        <v>45921</v>
      </c>
      <c r="B53" cm="1">
        <f t="array" ref="B53">SUMPRODUCT((task_table_13_4_26!$C$2:$C$596=$B$1)*(A53&gt;task_table_13_4_26!$J$2:$J$596)*(A53&lt;task_table_13_4_26!$K$2:$K$596))</f>
        <v>1</v>
      </c>
      <c r="C53" cm="1">
        <f t="array" ref="C53">SUMPRODUCT((task_table_13_4_26!$C$2:$C$596=$C$1)*(A53&gt;task_table_13_4_26!$J$2:$J$596)*(A53&lt;task_table_13_4_26!$K$2:$K$596))</f>
        <v>0</v>
      </c>
      <c r="D53" cm="1">
        <f t="array" ref="D53">SUMPRODUCT((task_table_13_4_26!$C$2:$C$596=$D$1)*(A53&gt;task_table_13_4_26!$J$2:$J$596)*(A53&lt;task_table_13_4_26!$K$2:$K$596))</f>
        <v>0</v>
      </c>
      <c r="E53" cm="1">
        <f t="array" ref="E53">SUMPRODUCT((task_table_13_4_26!$C$2:$C$596=$E$1)*(A53&gt;task_table_13_4_26!$J$2:$J$596)*(A53&lt;task_table_13_4_26!$K$2:$K$596))</f>
        <v>0</v>
      </c>
    </row>
    <row r="54" spans="1:5">
      <c r="A54" s="5">
        <v>45922</v>
      </c>
      <c r="B54" cm="1">
        <f t="array" ref="B54">SUMPRODUCT((task_table_13_4_26!$C$2:$C$596=$B$1)*(A54&gt;task_table_13_4_26!$J$2:$J$596)*(A54&lt;task_table_13_4_26!$K$2:$K$596))</f>
        <v>1</v>
      </c>
      <c r="C54" cm="1">
        <f t="array" ref="C54">SUMPRODUCT((task_table_13_4_26!$C$2:$C$596=$C$1)*(A54&gt;task_table_13_4_26!$J$2:$J$596)*(A54&lt;task_table_13_4_26!$K$2:$K$596))</f>
        <v>0</v>
      </c>
      <c r="D54" cm="1">
        <f t="array" ref="D54">SUMPRODUCT((task_table_13_4_26!$C$2:$C$596=$D$1)*(A54&gt;task_table_13_4_26!$J$2:$J$596)*(A54&lt;task_table_13_4_26!$K$2:$K$596))</f>
        <v>0</v>
      </c>
      <c r="E54" cm="1">
        <f t="array" ref="E54">SUMPRODUCT((task_table_13_4_26!$C$2:$C$596=$E$1)*(A54&gt;task_table_13_4_26!$J$2:$J$596)*(A54&lt;task_table_13_4_26!$K$2:$K$596))</f>
        <v>0</v>
      </c>
    </row>
    <row r="55" spans="1:5">
      <c r="A55" s="5">
        <v>45923</v>
      </c>
      <c r="B55" cm="1">
        <f t="array" ref="B55">SUMPRODUCT((task_table_13_4_26!$C$2:$C$596=$B$1)*(A55&gt;task_table_13_4_26!$J$2:$J$596)*(A55&lt;task_table_13_4_26!$K$2:$K$596))</f>
        <v>1</v>
      </c>
      <c r="C55" cm="1">
        <f t="array" ref="C55">SUMPRODUCT((task_table_13_4_26!$C$2:$C$596=$C$1)*(A55&gt;task_table_13_4_26!$J$2:$J$596)*(A55&lt;task_table_13_4_26!$K$2:$K$596))</f>
        <v>0</v>
      </c>
      <c r="D55" cm="1">
        <f t="array" ref="D55">SUMPRODUCT((task_table_13_4_26!$C$2:$C$596=$D$1)*(A55&gt;task_table_13_4_26!$J$2:$J$596)*(A55&lt;task_table_13_4_26!$K$2:$K$596))</f>
        <v>0</v>
      </c>
      <c r="E55" cm="1">
        <f t="array" ref="E55">SUMPRODUCT((task_table_13_4_26!$C$2:$C$596=$E$1)*(A55&gt;task_table_13_4_26!$J$2:$J$596)*(A55&lt;task_table_13_4_26!$K$2:$K$596))</f>
        <v>0</v>
      </c>
    </row>
    <row r="56" spans="1:5">
      <c r="A56" s="5">
        <v>45924</v>
      </c>
      <c r="B56" cm="1">
        <f t="array" ref="B56">SUMPRODUCT((task_table_13_4_26!$C$2:$C$596=$B$1)*(A56&gt;task_table_13_4_26!$J$2:$J$596)*(A56&lt;task_table_13_4_26!$K$2:$K$596))</f>
        <v>1</v>
      </c>
      <c r="C56" cm="1">
        <f t="array" ref="C56">SUMPRODUCT((task_table_13_4_26!$C$2:$C$596=$C$1)*(A56&gt;task_table_13_4_26!$J$2:$J$596)*(A56&lt;task_table_13_4_26!$K$2:$K$596))</f>
        <v>0</v>
      </c>
      <c r="D56" cm="1">
        <f t="array" ref="D56">SUMPRODUCT((task_table_13_4_26!$C$2:$C$596=$D$1)*(A56&gt;task_table_13_4_26!$J$2:$J$596)*(A56&lt;task_table_13_4_26!$K$2:$K$596))</f>
        <v>0</v>
      </c>
      <c r="E56" cm="1">
        <f t="array" ref="E56">SUMPRODUCT((task_table_13_4_26!$C$2:$C$596=$E$1)*(A56&gt;task_table_13_4_26!$J$2:$J$596)*(A56&lt;task_table_13_4_26!$K$2:$K$596))</f>
        <v>0</v>
      </c>
    </row>
    <row r="57" spans="1:5">
      <c r="A57" s="5">
        <v>45925</v>
      </c>
      <c r="B57" cm="1">
        <f t="array" ref="B57">SUMPRODUCT((task_table_13_4_26!$C$2:$C$596=$B$1)*(A57&gt;task_table_13_4_26!$J$2:$J$596)*(A57&lt;task_table_13_4_26!$K$2:$K$596))</f>
        <v>1</v>
      </c>
      <c r="C57" cm="1">
        <f t="array" ref="C57">SUMPRODUCT((task_table_13_4_26!$C$2:$C$596=$C$1)*(A57&gt;task_table_13_4_26!$J$2:$J$596)*(A57&lt;task_table_13_4_26!$K$2:$K$596))</f>
        <v>0</v>
      </c>
      <c r="D57" cm="1">
        <f t="array" ref="D57">SUMPRODUCT((task_table_13_4_26!$C$2:$C$596=$D$1)*(A57&gt;task_table_13_4_26!$J$2:$J$596)*(A57&lt;task_table_13_4_26!$K$2:$K$596))</f>
        <v>0</v>
      </c>
      <c r="E57" cm="1">
        <f t="array" ref="E57">SUMPRODUCT((task_table_13_4_26!$C$2:$C$596=$E$1)*(A57&gt;task_table_13_4_26!$J$2:$J$596)*(A57&lt;task_table_13_4_26!$K$2:$K$596))</f>
        <v>0</v>
      </c>
    </row>
    <row r="58" spans="1:5">
      <c r="A58" s="5">
        <v>45926</v>
      </c>
      <c r="B58" cm="1">
        <f t="array" ref="B58">SUMPRODUCT((task_table_13_4_26!$C$2:$C$596=$B$1)*(A58&gt;task_table_13_4_26!$J$2:$J$596)*(A58&lt;task_table_13_4_26!$K$2:$K$596))</f>
        <v>1</v>
      </c>
      <c r="C58" cm="1">
        <f t="array" ref="C58">SUMPRODUCT((task_table_13_4_26!$C$2:$C$596=$C$1)*(A58&gt;task_table_13_4_26!$J$2:$J$596)*(A58&lt;task_table_13_4_26!$K$2:$K$596))</f>
        <v>0</v>
      </c>
      <c r="D58" cm="1">
        <f t="array" ref="D58">SUMPRODUCT((task_table_13_4_26!$C$2:$C$596=$D$1)*(A58&gt;task_table_13_4_26!$J$2:$J$596)*(A58&lt;task_table_13_4_26!$K$2:$K$596))</f>
        <v>0</v>
      </c>
      <c r="E58" cm="1">
        <f t="array" ref="E58">SUMPRODUCT((task_table_13_4_26!$C$2:$C$596=$E$1)*(A58&gt;task_table_13_4_26!$J$2:$J$596)*(A58&lt;task_table_13_4_26!$K$2:$K$596))</f>
        <v>0</v>
      </c>
    </row>
    <row r="59" spans="1:5">
      <c r="A59" s="5">
        <v>45927</v>
      </c>
      <c r="B59" cm="1">
        <f t="array" ref="B59">SUMPRODUCT((task_table_13_4_26!$C$2:$C$596=$B$1)*(A59&gt;task_table_13_4_26!$J$2:$J$596)*(A59&lt;task_table_13_4_26!$K$2:$K$596))</f>
        <v>1</v>
      </c>
      <c r="C59" cm="1">
        <f t="array" ref="C59">SUMPRODUCT((task_table_13_4_26!$C$2:$C$596=$C$1)*(A59&gt;task_table_13_4_26!$J$2:$J$596)*(A59&lt;task_table_13_4_26!$K$2:$K$596))</f>
        <v>0</v>
      </c>
      <c r="D59" cm="1">
        <f t="array" ref="D59">SUMPRODUCT((task_table_13_4_26!$C$2:$C$596=$D$1)*(A59&gt;task_table_13_4_26!$J$2:$J$596)*(A59&lt;task_table_13_4_26!$K$2:$K$596))</f>
        <v>0</v>
      </c>
      <c r="E59" cm="1">
        <f t="array" ref="E59">SUMPRODUCT((task_table_13_4_26!$C$2:$C$596=$E$1)*(A59&gt;task_table_13_4_26!$J$2:$J$596)*(A59&lt;task_table_13_4_26!$K$2:$K$596))</f>
        <v>0</v>
      </c>
    </row>
    <row r="60" spans="1:5">
      <c r="A60" s="5">
        <v>45928</v>
      </c>
      <c r="B60" cm="1">
        <f t="array" ref="B60">SUMPRODUCT((task_table_13_4_26!$C$2:$C$596=$B$1)*(A60&gt;task_table_13_4_26!$J$2:$J$596)*(A60&lt;task_table_13_4_26!$K$2:$K$596))</f>
        <v>1</v>
      </c>
      <c r="C60" cm="1">
        <f t="array" ref="C60">SUMPRODUCT((task_table_13_4_26!$C$2:$C$596=$C$1)*(A60&gt;task_table_13_4_26!$J$2:$J$596)*(A60&lt;task_table_13_4_26!$K$2:$K$596))</f>
        <v>0</v>
      </c>
      <c r="D60" cm="1">
        <f t="array" ref="D60">SUMPRODUCT((task_table_13_4_26!$C$2:$C$596=$D$1)*(A60&gt;task_table_13_4_26!$J$2:$J$596)*(A60&lt;task_table_13_4_26!$K$2:$K$596))</f>
        <v>0</v>
      </c>
      <c r="E60" cm="1">
        <f t="array" ref="E60">SUMPRODUCT((task_table_13_4_26!$C$2:$C$596=$E$1)*(A60&gt;task_table_13_4_26!$J$2:$J$596)*(A60&lt;task_table_13_4_26!$K$2:$K$596))</f>
        <v>0</v>
      </c>
    </row>
    <row r="61" spans="1:5">
      <c r="A61" s="5">
        <v>45929</v>
      </c>
      <c r="B61" cm="1">
        <f t="array" ref="B61">SUMPRODUCT((task_table_13_4_26!$C$2:$C$596=$B$1)*(A61&gt;task_table_13_4_26!$J$2:$J$596)*(A61&lt;task_table_13_4_26!$K$2:$K$596))</f>
        <v>1</v>
      </c>
      <c r="C61" cm="1">
        <f t="array" ref="C61">SUMPRODUCT((task_table_13_4_26!$C$2:$C$596=$C$1)*(A61&gt;task_table_13_4_26!$J$2:$J$596)*(A61&lt;task_table_13_4_26!$K$2:$K$596))</f>
        <v>0</v>
      </c>
      <c r="D61" cm="1">
        <f t="array" ref="D61">SUMPRODUCT((task_table_13_4_26!$C$2:$C$596=$D$1)*(A61&gt;task_table_13_4_26!$J$2:$J$596)*(A61&lt;task_table_13_4_26!$K$2:$K$596))</f>
        <v>0</v>
      </c>
      <c r="E61" cm="1">
        <f t="array" ref="E61">SUMPRODUCT((task_table_13_4_26!$C$2:$C$596=$E$1)*(A61&gt;task_table_13_4_26!$J$2:$J$596)*(A61&lt;task_table_13_4_26!$K$2:$K$596))</f>
        <v>0</v>
      </c>
    </row>
    <row r="62" spans="1:5">
      <c r="A62" s="5">
        <v>45930</v>
      </c>
      <c r="B62" cm="1">
        <f t="array" ref="B62">SUMPRODUCT((task_table_13_4_26!$C$2:$C$596=$B$1)*(A62&gt;task_table_13_4_26!$J$2:$J$596)*(A62&lt;task_table_13_4_26!$K$2:$K$596))</f>
        <v>1</v>
      </c>
      <c r="C62" cm="1">
        <f t="array" ref="C62">SUMPRODUCT((task_table_13_4_26!$C$2:$C$596=$C$1)*(A62&gt;task_table_13_4_26!$J$2:$J$596)*(A62&lt;task_table_13_4_26!$K$2:$K$596))</f>
        <v>0</v>
      </c>
      <c r="D62" cm="1">
        <f t="array" ref="D62">SUMPRODUCT((task_table_13_4_26!$C$2:$C$596=$D$1)*(A62&gt;task_table_13_4_26!$J$2:$J$596)*(A62&lt;task_table_13_4_26!$K$2:$K$596))</f>
        <v>0</v>
      </c>
      <c r="E62" cm="1">
        <f t="array" ref="E62">SUMPRODUCT((task_table_13_4_26!$C$2:$C$596=$E$1)*(A62&gt;task_table_13_4_26!$J$2:$J$596)*(A62&lt;task_table_13_4_26!$K$2:$K$596))</f>
        <v>0</v>
      </c>
    </row>
    <row r="63" spans="1:5">
      <c r="A63" s="5">
        <v>45931</v>
      </c>
      <c r="B63" cm="1">
        <f t="array" ref="B63">SUMPRODUCT((task_table_13_4_26!$C$2:$C$596=$B$1)*(A63&gt;task_table_13_4_26!$J$2:$J$596)*(A63&lt;task_table_13_4_26!$K$2:$K$596))</f>
        <v>1</v>
      </c>
      <c r="C63" cm="1">
        <f t="array" ref="C63">SUMPRODUCT((task_table_13_4_26!$C$2:$C$596=$C$1)*(A63&gt;task_table_13_4_26!$J$2:$J$596)*(A63&lt;task_table_13_4_26!$K$2:$K$596))</f>
        <v>0</v>
      </c>
      <c r="D63" cm="1">
        <f t="array" ref="D63">SUMPRODUCT((task_table_13_4_26!$C$2:$C$596=$D$1)*(A63&gt;task_table_13_4_26!$J$2:$J$596)*(A63&lt;task_table_13_4_26!$K$2:$K$596))</f>
        <v>0</v>
      </c>
      <c r="E63" cm="1">
        <f t="array" ref="E63">SUMPRODUCT((task_table_13_4_26!$C$2:$C$596=$E$1)*(A63&gt;task_table_13_4_26!$J$2:$J$596)*(A63&lt;task_table_13_4_26!$K$2:$K$596))</f>
        <v>0</v>
      </c>
    </row>
    <row r="64" spans="1:5">
      <c r="A64" s="5">
        <v>45932</v>
      </c>
      <c r="B64" cm="1">
        <f t="array" ref="B64">SUMPRODUCT((task_table_13_4_26!$C$2:$C$596=$B$1)*(A64&gt;task_table_13_4_26!$J$2:$J$596)*(A64&lt;task_table_13_4_26!$K$2:$K$596))</f>
        <v>14</v>
      </c>
      <c r="C64" cm="1">
        <f t="array" ref="C64">SUMPRODUCT((task_table_13_4_26!$C$2:$C$596=$C$1)*(A64&gt;task_table_13_4_26!$J$2:$J$596)*(A64&lt;task_table_13_4_26!$K$2:$K$596))</f>
        <v>0</v>
      </c>
      <c r="D64" cm="1">
        <f t="array" ref="D64">SUMPRODUCT((task_table_13_4_26!$C$2:$C$596=$D$1)*(A64&gt;task_table_13_4_26!$J$2:$J$596)*(A64&lt;task_table_13_4_26!$K$2:$K$596))</f>
        <v>0</v>
      </c>
      <c r="E64" cm="1">
        <f t="array" ref="E64">SUMPRODUCT((task_table_13_4_26!$C$2:$C$596=$E$1)*(A64&gt;task_table_13_4_26!$J$2:$J$596)*(A64&lt;task_table_13_4_26!$K$2:$K$596))</f>
        <v>0</v>
      </c>
    </row>
    <row r="65" spans="1:5">
      <c r="A65" s="5">
        <v>45933</v>
      </c>
      <c r="B65" cm="1">
        <f t="array" ref="B65">SUMPRODUCT((task_table_13_4_26!$C$2:$C$596=$B$1)*(A65&gt;task_table_13_4_26!$J$2:$J$596)*(A65&lt;task_table_13_4_26!$K$2:$K$596))</f>
        <v>14</v>
      </c>
      <c r="C65" cm="1">
        <f t="array" ref="C65">SUMPRODUCT((task_table_13_4_26!$C$2:$C$596=$C$1)*(A65&gt;task_table_13_4_26!$J$2:$J$596)*(A65&lt;task_table_13_4_26!$K$2:$K$596))</f>
        <v>0</v>
      </c>
      <c r="D65" cm="1">
        <f t="array" ref="D65">SUMPRODUCT((task_table_13_4_26!$C$2:$C$596=$D$1)*(A65&gt;task_table_13_4_26!$J$2:$J$596)*(A65&lt;task_table_13_4_26!$K$2:$K$596))</f>
        <v>0</v>
      </c>
      <c r="E65" cm="1">
        <f t="array" ref="E65">SUMPRODUCT((task_table_13_4_26!$C$2:$C$596=$E$1)*(A65&gt;task_table_13_4_26!$J$2:$J$596)*(A65&lt;task_table_13_4_26!$K$2:$K$596))</f>
        <v>0</v>
      </c>
    </row>
    <row r="66" spans="1:5">
      <c r="A66" s="5">
        <v>45934</v>
      </c>
      <c r="B66" cm="1">
        <f t="array" ref="B66">SUMPRODUCT((task_table_13_4_26!$C$2:$C$596=$B$1)*(A66&gt;task_table_13_4_26!$J$2:$J$596)*(A66&lt;task_table_13_4_26!$K$2:$K$596))</f>
        <v>14</v>
      </c>
      <c r="C66" cm="1">
        <f t="array" ref="C66">SUMPRODUCT((task_table_13_4_26!$C$2:$C$596=$C$1)*(A66&gt;task_table_13_4_26!$J$2:$J$596)*(A66&lt;task_table_13_4_26!$K$2:$K$596))</f>
        <v>0</v>
      </c>
      <c r="D66" cm="1">
        <f t="array" ref="D66">SUMPRODUCT((task_table_13_4_26!$C$2:$C$596=$D$1)*(A66&gt;task_table_13_4_26!$J$2:$J$596)*(A66&lt;task_table_13_4_26!$K$2:$K$596))</f>
        <v>0</v>
      </c>
      <c r="E66" cm="1">
        <f t="array" ref="E66">SUMPRODUCT((task_table_13_4_26!$C$2:$C$596=$E$1)*(A66&gt;task_table_13_4_26!$J$2:$J$596)*(A66&lt;task_table_13_4_26!$K$2:$K$596))</f>
        <v>0</v>
      </c>
    </row>
    <row r="67" spans="1:5">
      <c r="A67" s="5">
        <v>45935</v>
      </c>
      <c r="B67" cm="1">
        <f t="array" ref="B67">SUMPRODUCT((task_table_13_4_26!$C$2:$C$596=$B$1)*(A67&gt;task_table_13_4_26!$J$2:$J$596)*(A67&lt;task_table_13_4_26!$K$2:$K$596))</f>
        <v>14</v>
      </c>
      <c r="C67" cm="1">
        <f t="array" ref="C67">SUMPRODUCT((task_table_13_4_26!$C$2:$C$596=$C$1)*(A67&gt;task_table_13_4_26!$J$2:$J$596)*(A67&lt;task_table_13_4_26!$K$2:$K$596))</f>
        <v>0</v>
      </c>
      <c r="D67" cm="1">
        <f t="array" ref="D67">SUMPRODUCT((task_table_13_4_26!$C$2:$C$596=$D$1)*(A67&gt;task_table_13_4_26!$J$2:$J$596)*(A67&lt;task_table_13_4_26!$K$2:$K$596))</f>
        <v>0</v>
      </c>
      <c r="E67" cm="1">
        <f t="array" ref="E67">SUMPRODUCT((task_table_13_4_26!$C$2:$C$596=$E$1)*(A67&gt;task_table_13_4_26!$J$2:$J$596)*(A67&lt;task_table_13_4_26!$K$2:$K$596))</f>
        <v>0</v>
      </c>
    </row>
    <row r="68" spans="1:5">
      <c r="A68" s="5">
        <v>45936</v>
      </c>
      <c r="B68" cm="1">
        <f t="array" ref="B68">SUMPRODUCT((task_table_13_4_26!$C$2:$C$596=$B$1)*(A68&gt;task_table_13_4_26!$J$2:$J$596)*(A68&lt;task_table_13_4_26!$K$2:$K$596))</f>
        <v>14</v>
      </c>
      <c r="C68" cm="1">
        <f t="array" ref="C68">SUMPRODUCT((task_table_13_4_26!$C$2:$C$596=$C$1)*(A68&gt;task_table_13_4_26!$J$2:$J$596)*(A68&lt;task_table_13_4_26!$K$2:$K$596))</f>
        <v>0</v>
      </c>
      <c r="D68" cm="1">
        <f t="array" ref="D68">SUMPRODUCT((task_table_13_4_26!$C$2:$C$596=$D$1)*(A68&gt;task_table_13_4_26!$J$2:$J$596)*(A68&lt;task_table_13_4_26!$K$2:$K$596))</f>
        <v>0</v>
      </c>
      <c r="E68" cm="1">
        <f t="array" ref="E68">SUMPRODUCT((task_table_13_4_26!$C$2:$C$596=$E$1)*(A68&gt;task_table_13_4_26!$J$2:$J$596)*(A68&lt;task_table_13_4_26!$K$2:$K$596))</f>
        <v>0</v>
      </c>
    </row>
    <row r="69" spans="1:5">
      <c r="A69" s="5">
        <v>45937</v>
      </c>
      <c r="B69" cm="1">
        <f t="array" ref="B69">SUMPRODUCT((task_table_13_4_26!$C$2:$C$596=$B$1)*(A69&gt;task_table_13_4_26!$J$2:$J$596)*(A69&lt;task_table_13_4_26!$K$2:$K$596))</f>
        <v>14</v>
      </c>
      <c r="C69" cm="1">
        <f t="array" ref="C69">SUMPRODUCT((task_table_13_4_26!$C$2:$C$596=$C$1)*(A69&gt;task_table_13_4_26!$J$2:$J$596)*(A69&lt;task_table_13_4_26!$K$2:$K$596))</f>
        <v>0</v>
      </c>
      <c r="D69" cm="1">
        <f t="array" ref="D69">SUMPRODUCT((task_table_13_4_26!$C$2:$C$596=$D$1)*(A69&gt;task_table_13_4_26!$J$2:$J$596)*(A69&lt;task_table_13_4_26!$K$2:$K$596))</f>
        <v>0</v>
      </c>
      <c r="E69" cm="1">
        <f t="array" ref="E69">SUMPRODUCT((task_table_13_4_26!$C$2:$C$596=$E$1)*(A69&gt;task_table_13_4_26!$J$2:$J$596)*(A69&lt;task_table_13_4_26!$K$2:$K$596))</f>
        <v>0</v>
      </c>
    </row>
    <row r="70" spans="1:5">
      <c r="A70" s="5">
        <v>45938</v>
      </c>
      <c r="B70" cm="1">
        <f t="array" ref="B70">SUMPRODUCT((task_table_13_4_26!$C$2:$C$596=$B$1)*(A70&gt;task_table_13_4_26!$J$2:$J$596)*(A70&lt;task_table_13_4_26!$K$2:$K$596))</f>
        <v>14</v>
      </c>
      <c r="C70" cm="1">
        <f t="array" ref="C70">SUMPRODUCT((task_table_13_4_26!$C$2:$C$596=$C$1)*(A70&gt;task_table_13_4_26!$J$2:$J$596)*(A70&lt;task_table_13_4_26!$K$2:$K$596))</f>
        <v>0</v>
      </c>
      <c r="D70" cm="1">
        <f t="array" ref="D70">SUMPRODUCT((task_table_13_4_26!$C$2:$C$596=$D$1)*(A70&gt;task_table_13_4_26!$J$2:$J$596)*(A70&lt;task_table_13_4_26!$K$2:$K$596))</f>
        <v>0</v>
      </c>
      <c r="E70" cm="1">
        <f t="array" ref="E70">SUMPRODUCT((task_table_13_4_26!$C$2:$C$596=$E$1)*(A70&gt;task_table_13_4_26!$J$2:$J$596)*(A70&lt;task_table_13_4_26!$K$2:$K$596))</f>
        <v>0</v>
      </c>
    </row>
    <row r="71" spans="1:5">
      <c r="A71" s="5">
        <v>45939</v>
      </c>
      <c r="B71" cm="1">
        <f t="array" ref="B71">SUMPRODUCT((task_table_13_4_26!$C$2:$C$596=$B$1)*(A71&gt;task_table_13_4_26!$J$2:$J$596)*(A71&lt;task_table_13_4_26!$K$2:$K$596))</f>
        <v>14</v>
      </c>
      <c r="C71" cm="1">
        <f t="array" ref="C71">SUMPRODUCT((task_table_13_4_26!$C$2:$C$596=$C$1)*(A71&gt;task_table_13_4_26!$J$2:$J$596)*(A71&lt;task_table_13_4_26!$K$2:$K$596))</f>
        <v>0</v>
      </c>
      <c r="D71" cm="1">
        <f t="array" ref="D71">SUMPRODUCT((task_table_13_4_26!$C$2:$C$596=$D$1)*(A71&gt;task_table_13_4_26!$J$2:$J$596)*(A71&lt;task_table_13_4_26!$K$2:$K$596))</f>
        <v>0</v>
      </c>
      <c r="E71" cm="1">
        <f t="array" ref="E71">SUMPRODUCT((task_table_13_4_26!$C$2:$C$596=$E$1)*(A71&gt;task_table_13_4_26!$J$2:$J$596)*(A71&lt;task_table_13_4_26!$K$2:$K$596))</f>
        <v>0</v>
      </c>
    </row>
    <row r="72" spans="1:5">
      <c r="A72" s="5">
        <v>45940</v>
      </c>
      <c r="B72" cm="1">
        <f t="array" ref="B72">SUMPRODUCT((task_table_13_4_26!$C$2:$C$596=$B$1)*(A72&gt;task_table_13_4_26!$J$2:$J$596)*(A72&lt;task_table_13_4_26!$K$2:$K$596))</f>
        <v>14</v>
      </c>
      <c r="C72" cm="1">
        <f t="array" ref="C72">SUMPRODUCT((task_table_13_4_26!$C$2:$C$596=$C$1)*(A72&gt;task_table_13_4_26!$J$2:$J$596)*(A72&lt;task_table_13_4_26!$K$2:$K$596))</f>
        <v>0</v>
      </c>
      <c r="D72" cm="1">
        <f t="array" ref="D72">SUMPRODUCT((task_table_13_4_26!$C$2:$C$596=$D$1)*(A72&gt;task_table_13_4_26!$J$2:$J$596)*(A72&lt;task_table_13_4_26!$K$2:$K$596))</f>
        <v>0</v>
      </c>
      <c r="E72" cm="1">
        <f t="array" ref="E72">SUMPRODUCT((task_table_13_4_26!$C$2:$C$596=$E$1)*(A72&gt;task_table_13_4_26!$J$2:$J$596)*(A72&lt;task_table_13_4_26!$K$2:$K$596))</f>
        <v>0</v>
      </c>
    </row>
    <row r="73" spans="1:5">
      <c r="A73" s="5">
        <v>45941</v>
      </c>
      <c r="B73" cm="1">
        <f t="array" ref="B73">SUMPRODUCT((task_table_13_4_26!$C$2:$C$596=$B$1)*(A73&gt;task_table_13_4_26!$J$2:$J$596)*(A73&lt;task_table_13_4_26!$K$2:$K$596))</f>
        <v>14</v>
      </c>
      <c r="C73" cm="1">
        <f t="array" ref="C73">SUMPRODUCT((task_table_13_4_26!$C$2:$C$596=$C$1)*(A73&gt;task_table_13_4_26!$J$2:$J$596)*(A73&lt;task_table_13_4_26!$K$2:$K$596))</f>
        <v>0</v>
      </c>
      <c r="D73" cm="1">
        <f t="array" ref="D73">SUMPRODUCT((task_table_13_4_26!$C$2:$C$596=$D$1)*(A73&gt;task_table_13_4_26!$J$2:$J$596)*(A73&lt;task_table_13_4_26!$K$2:$K$596))</f>
        <v>0</v>
      </c>
      <c r="E73" cm="1">
        <f t="array" ref="E73">SUMPRODUCT((task_table_13_4_26!$C$2:$C$596=$E$1)*(A73&gt;task_table_13_4_26!$J$2:$J$596)*(A73&lt;task_table_13_4_26!$K$2:$K$596))</f>
        <v>0</v>
      </c>
    </row>
    <row r="74" spans="1:5">
      <c r="A74" s="5">
        <v>45942</v>
      </c>
      <c r="B74" cm="1">
        <f t="array" ref="B74">SUMPRODUCT((task_table_13_4_26!$C$2:$C$596=$B$1)*(A74&gt;task_table_13_4_26!$J$2:$J$596)*(A74&lt;task_table_13_4_26!$K$2:$K$596))</f>
        <v>14</v>
      </c>
      <c r="C74" cm="1">
        <f t="array" ref="C74">SUMPRODUCT((task_table_13_4_26!$C$2:$C$596=$C$1)*(A74&gt;task_table_13_4_26!$J$2:$J$596)*(A74&lt;task_table_13_4_26!$K$2:$K$596))</f>
        <v>0</v>
      </c>
      <c r="D74" cm="1">
        <f t="array" ref="D74">SUMPRODUCT((task_table_13_4_26!$C$2:$C$596=$D$1)*(A74&gt;task_table_13_4_26!$J$2:$J$596)*(A74&lt;task_table_13_4_26!$K$2:$K$596))</f>
        <v>0</v>
      </c>
      <c r="E74" cm="1">
        <f t="array" ref="E74">SUMPRODUCT((task_table_13_4_26!$C$2:$C$596=$E$1)*(A74&gt;task_table_13_4_26!$J$2:$J$596)*(A74&lt;task_table_13_4_26!$K$2:$K$596))</f>
        <v>0</v>
      </c>
    </row>
    <row r="75" spans="1:5">
      <c r="A75" s="5">
        <v>45943</v>
      </c>
      <c r="B75" cm="1">
        <f t="array" ref="B75">SUMPRODUCT((task_table_13_4_26!$C$2:$C$596=$B$1)*(A75&gt;task_table_13_4_26!$J$2:$J$596)*(A75&lt;task_table_13_4_26!$K$2:$K$596))</f>
        <v>14</v>
      </c>
      <c r="C75" cm="1">
        <f t="array" ref="C75">SUMPRODUCT((task_table_13_4_26!$C$2:$C$596=$C$1)*(A75&gt;task_table_13_4_26!$J$2:$J$596)*(A75&lt;task_table_13_4_26!$K$2:$K$596))</f>
        <v>0</v>
      </c>
      <c r="D75" cm="1">
        <f t="array" ref="D75">SUMPRODUCT((task_table_13_4_26!$C$2:$C$596=$D$1)*(A75&gt;task_table_13_4_26!$J$2:$J$596)*(A75&lt;task_table_13_4_26!$K$2:$K$596))</f>
        <v>0</v>
      </c>
      <c r="E75" cm="1">
        <f t="array" ref="E75">SUMPRODUCT((task_table_13_4_26!$C$2:$C$596=$E$1)*(A75&gt;task_table_13_4_26!$J$2:$J$596)*(A75&lt;task_table_13_4_26!$K$2:$K$596))</f>
        <v>0</v>
      </c>
    </row>
    <row r="76" spans="1:5">
      <c r="A76" s="5">
        <v>45944</v>
      </c>
      <c r="B76" cm="1">
        <f t="array" ref="B76">SUMPRODUCT((task_table_13_4_26!$C$2:$C$596=$B$1)*(A76&gt;task_table_13_4_26!$J$2:$J$596)*(A76&lt;task_table_13_4_26!$K$2:$K$596))</f>
        <v>14</v>
      </c>
      <c r="C76" cm="1">
        <f t="array" ref="C76">SUMPRODUCT((task_table_13_4_26!$C$2:$C$596=$C$1)*(A76&gt;task_table_13_4_26!$J$2:$J$596)*(A76&lt;task_table_13_4_26!$K$2:$K$596))</f>
        <v>0</v>
      </c>
      <c r="D76" cm="1">
        <f t="array" ref="D76">SUMPRODUCT((task_table_13_4_26!$C$2:$C$596=$D$1)*(A76&gt;task_table_13_4_26!$J$2:$J$596)*(A76&lt;task_table_13_4_26!$K$2:$K$596))</f>
        <v>0</v>
      </c>
      <c r="E76" cm="1">
        <f t="array" ref="E76">SUMPRODUCT((task_table_13_4_26!$C$2:$C$596=$E$1)*(A76&gt;task_table_13_4_26!$J$2:$J$596)*(A76&lt;task_table_13_4_26!$K$2:$K$596))</f>
        <v>0</v>
      </c>
    </row>
    <row r="77" spans="1:5">
      <c r="A77" s="5">
        <v>45945</v>
      </c>
      <c r="B77" cm="1">
        <f t="array" ref="B77">SUMPRODUCT((task_table_13_4_26!$C$2:$C$596=$B$1)*(A77&gt;task_table_13_4_26!$J$2:$J$596)*(A77&lt;task_table_13_4_26!$K$2:$K$596))</f>
        <v>13</v>
      </c>
      <c r="C77" cm="1">
        <f t="array" ref="C77">SUMPRODUCT((task_table_13_4_26!$C$2:$C$596=$C$1)*(A77&gt;task_table_13_4_26!$J$2:$J$596)*(A77&lt;task_table_13_4_26!$K$2:$K$596))</f>
        <v>0</v>
      </c>
      <c r="D77" cm="1">
        <f t="array" ref="D77">SUMPRODUCT((task_table_13_4_26!$C$2:$C$596=$D$1)*(A77&gt;task_table_13_4_26!$J$2:$J$596)*(A77&lt;task_table_13_4_26!$K$2:$K$596))</f>
        <v>0</v>
      </c>
      <c r="E77" cm="1">
        <f t="array" ref="E77">SUMPRODUCT((task_table_13_4_26!$C$2:$C$596=$E$1)*(A77&gt;task_table_13_4_26!$J$2:$J$596)*(A77&lt;task_table_13_4_26!$K$2:$K$596))</f>
        <v>0</v>
      </c>
    </row>
    <row r="78" spans="1:5">
      <c r="A78" s="5">
        <v>45946</v>
      </c>
      <c r="B78" cm="1">
        <f t="array" ref="B78">SUMPRODUCT((task_table_13_4_26!$C$2:$C$596=$B$1)*(A78&gt;task_table_13_4_26!$J$2:$J$596)*(A78&lt;task_table_13_4_26!$K$2:$K$596))</f>
        <v>14</v>
      </c>
      <c r="C78" cm="1">
        <f t="array" ref="C78">SUMPRODUCT((task_table_13_4_26!$C$2:$C$596=$C$1)*(A78&gt;task_table_13_4_26!$J$2:$J$596)*(A78&lt;task_table_13_4_26!$K$2:$K$596))</f>
        <v>0</v>
      </c>
      <c r="D78" cm="1">
        <f t="array" ref="D78">SUMPRODUCT((task_table_13_4_26!$C$2:$C$596=$D$1)*(A78&gt;task_table_13_4_26!$J$2:$J$596)*(A78&lt;task_table_13_4_26!$K$2:$K$596))</f>
        <v>0</v>
      </c>
      <c r="E78" cm="1">
        <f t="array" ref="E78">SUMPRODUCT((task_table_13_4_26!$C$2:$C$596=$E$1)*(A78&gt;task_table_13_4_26!$J$2:$J$596)*(A78&lt;task_table_13_4_26!$K$2:$K$596))</f>
        <v>0</v>
      </c>
    </row>
    <row r="79" spans="1:5">
      <c r="A79" s="5">
        <v>45947</v>
      </c>
      <c r="B79" cm="1">
        <f t="array" ref="B79">SUMPRODUCT((task_table_13_4_26!$C$2:$C$596=$B$1)*(A79&gt;task_table_13_4_26!$J$2:$J$596)*(A79&lt;task_table_13_4_26!$K$2:$K$596))</f>
        <v>21</v>
      </c>
      <c r="C79" cm="1">
        <f t="array" ref="C79">SUMPRODUCT((task_table_13_4_26!$C$2:$C$596=$C$1)*(A79&gt;task_table_13_4_26!$J$2:$J$596)*(A79&lt;task_table_13_4_26!$K$2:$K$596))</f>
        <v>0</v>
      </c>
      <c r="D79" cm="1">
        <f t="array" ref="D79">SUMPRODUCT((task_table_13_4_26!$C$2:$C$596=$D$1)*(A79&gt;task_table_13_4_26!$J$2:$J$596)*(A79&lt;task_table_13_4_26!$K$2:$K$596))</f>
        <v>0</v>
      </c>
      <c r="E79" cm="1">
        <f t="array" ref="E79">SUMPRODUCT((task_table_13_4_26!$C$2:$C$596=$E$1)*(A79&gt;task_table_13_4_26!$J$2:$J$596)*(A79&lt;task_table_13_4_26!$K$2:$K$596))</f>
        <v>2</v>
      </c>
    </row>
    <row r="80" spans="1:5">
      <c r="A80" s="5">
        <v>45948</v>
      </c>
      <c r="B80" cm="1">
        <f t="array" ref="B80">SUMPRODUCT((task_table_13_4_26!$C$2:$C$596=$B$1)*(A80&gt;task_table_13_4_26!$J$2:$J$596)*(A80&lt;task_table_13_4_26!$K$2:$K$596))</f>
        <v>21</v>
      </c>
      <c r="C80" cm="1">
        <f t="array" ref="C80">SUMPRODUCT((task_table_13_4_26!$C$2:$C$596=$C$1)*(A80&gt;task_table_13_4_26!$J$2:$J$596)*(A80&lt;task_table_13_4_26!$K$2:$K$596))</f>
        <v>0</v>
      </c>
      <c r="D80" cm="1">
        <f t="array" ref="D80">SUMPRODUCT((task_table_13_4_26!$C$2:$C$596=$D$1)*(A80&gt;task_table_13_4_26!$J$2:$J$596)*(A80&lt;task_table_13_4_26!$K$2:$K$596))</f>
        <v>0</v>
      </c>
      <c r="E80" cm="1">
        <f t="array" ref="E80">SUMPRODUCT((task_table_13_4_26!$C$2:$C$596=$E$1)*(A80&gt;task_table_13_4_26!$J$2:$J$596)*(A80&lt;task_table_13_4_26!$K$2:$K$596))</f>
        <v>2</v>
      </c>
    </row>
    <row r="81" spans="1:5">
      <c r="A81" s="5">
        <v>45949</v>
      </c>
      <c r="B81" cm="1">
        <f t="array" ref="B81">SUMPRODUCT((task_table_13_4_26!$C$2:$C$596=$B$1)*(A81&gt;task_table_13_4_26!$J$2:$J$596)*(A81&lt;task_table_13_4_26!$K$2:$K$596))</f>
        <v>21</v>
      </c>
      <c r="C81" cm="1">
        <f t="array" ref="C81">SUMPRODUCT((task_table_13_4_26!$C$2:$C$596=$C$1)*(A81&gt;task_table_13_4_26!$J$2:$J$596)*(A81&lt;task_table_13_4_26!$K$2:$K$596))</f>
        <v>0</v>
      </c>
      <c r="D81" cm="1">
        <f t="array" ref="D81">SUMPRODUCT((task_table_13_4_26!$C$2:$C$596=$D$1)*(A81&gt;task_table_13_4_26!$J$2:$J$596)*(A81&lt;task_table_13_4_26!$K$2:$K$596))</f>
        <v>0</v>
      </c>
      <c r="E81" cm="1">
        <f t="array" ref="E81">SUMPRODUCT((task_table_13_4_26!$C$2:$C$596=$E$1)*(A81&gt;task_table_13_4_26!$J$2:$J$596)*(A81&lt;task_table_13_4_26!$K$2:$K$596))</f>
        <v>2</v>
      </c>
    </row>
    <row r="82" spans="1:5">
      <c r="A82" s="5">
        <v>45950</v>
      </c>
      <c r="B82" cm="1">
        <f t="array" ref="B82">SUMPRODUCT((task_table_13_4_26!$C$2:$C$596=$B$1)*(A82&gt;task_table_13_4_26!$J$2:$J$596)*(A82&lt;task_table_13_4_26!$K$2:$K$596))</f>
        <v>22</v>
      </c>
      <c r="C82" cm="1">
        <f t="array" ref="C82">SUMPRODUCT((task_table_13_4_26!$C$2:$C$596=$C$1)*(A82&gt;task_table_13_4_26!$J$2:$J$596)*(A82&lt;task_table_13_4_26!$K$2:$K$596))</f>
        <v>0</v>
      </c>
      <c r="D82" cm="1">
        <f t="array" ref="D82">SUMPRODUCT((task_table_13_4_26!$C$2:$C$596=$D$1)*(A82&gt;task_table_13_4_26!$J$2:$J$596)*(A82&lt;task_table_13_4_26!$K$2:$K$596))</f>
        <v>0</v>
      </c>
      <c r="E82" cm="1">
        <f t="array" ref="E82">SUMPRODUCT((task_table_13_4_26!$C$2:$C$596=$E$1)*(A82&gt;task_table_13_4_26!$J$2:$J$596)*(A82&lt;task_table_13_4_26!$K$2:$K$596))</f>
        <v>2</v>
      </c>
    </row>
    <row r="83" spans="1:5">
      <c r="A83" s="5">
        <v>45951</v>
      </c>
      <c r="B83" cm="1">
        <f t="array" ref="B83">SUMPRODUCT((task_table_13_4_26!$C$2:$C$596=$B$1)*(A83&gt;task_table_13_4_26!$J$2:$J$596)*(A83&lt;task_table_13_4_26!$K$2:$K$596))</f>
        <v>22</v>
      </c>
      <c r="C83" cm="1">
        <f t="array" ref="C83">SUMPRODUCT((task_table_13_4_26!$C$2:$C$596=$C$1)*(A83&gt;task_table_13_4_26!$J$2:$J$596)*(A83&lt;task_table_13_4_26!$K$2:$K$596))</f>
        <v>0</v>
      </c>
      <c r="D83" cm="1">
        <f t="array" ref="D83">SUMPRODUCT((task_table_13_4_26!$C$2:$C$596=$D$1)*(A83&gt;task_table_13_4_26!$J$2:$J$596)*(A83&lt;task_table_13_4_26!$K$2:$K$596))</f>
        <v>0</v>
      </c>
      <c r="E83" cm="1">
        <f t="array" ref="E83">SUMPRODUCT((task_table_13_4_26!$C$2:$C$596=$E$1)*(A83&gt;task_table_13_4_26!$J$2:$J$596)*(A83&lt;task_table_13_4_26!$K$2:$K$596))</f>
        <v>2</v>
      </c>
    </row>
    <row r="84" spans="1:5">
      <c r="A84" s="5">
        <v>45952</v>
      </c>
      <c r="B84" cm="1">
        <f t="array" ref="B84">SUMPRODUCT((task_table_13_4_26!$C$2:$C$596=$B$1)*(A84&gt;task_table_13_4_26!$J$2:$J$596)*(A84&lt;task_table_13_4_26!$K$2:$K$596))</f>
        <v>22</v>
      </c>
      <c r="C84" cm="1">
        <f t="array" ref="C84">SUMPRODUCT((task_table_13_4_26!$C$2:$C$596=$C$1)*(A84&gt;task_table_13_4_26!$J$2:$J$596)*(A84&lt;task_table_13_4_26!$K$2:$K$596))</f>
        <v>0</v>
      </c>
      <c r="D84" cm="1">
        <f t="array" ref="D84">SUMPRODUCT((task_table_13_4_26!$C$2:$C$596=$D$1)*(A84&gt;task_table_13_4_26!$J$2:$J$596)*(A84&lt;task_table_13_4_26!$K$2:$K$596))</f>
        <v>0</v>
      </c>
      <c r="E84" cm="1">
        <f t="array" ref="E84">SUMPRODUCT((task_table_13_4_26!$C$2:$C$596=$E$1)*(A84&gt;task_table_13_4_26!$J$2:$J$596)*(A84&lt;task_table_13_4_26!$K$2:$K$596))</f>
        <v>2</v>
      </c>
    </row>
    <row r="85" spans="1:5">
      <c r="A85" s="5">
        <v>45953</v>
      </c>
      <c r="B85" cm="1">
        <f t="array" ref="B85">SUMPRODUCT((task_table_13_4_26!$C$2:$C$596=$B$1)*(A85&gt;task_table_13_4_26!$J$2:$J$596)*(A85&lt;task_table_13_4_26!$K$2:$K$596))</f>
        <v>22</v>
      </c>
      <c r="C85" cm="1">
        <f t="array" ref="C85">SUMPRODUCT((task_table_13_4_26!$C$2:$C$596=$C$1)*(A85&gt;task_table_13_4_26!$J$2:$J$596)*(A85&lt;task_table_13_4_26!$K$2:$K$596))</f>
        <v>0</v>
      </c>
      <c r="D85" cm="1">
        <f t="array" ref="D85">SUMPRODUCT((task_table_13_4_26!$C$2:$C$596=$D$1)*(A85&gt;task_table_13_4_26!$J$2:$J$596)*(A85&lt;task_table_13_4_26!$K$2:$K$596))</f>
        <v>0</v>
      </c>
      <c r="E85" cm="1">
        <f t="array" ref="E85">SUMPRODUCT((task_table_13_4_26!$C$2:$C$596=$E$1)*(A85&gt;task_table_13_4_26!$J$2:$J$596)*(A85&lt;task_table_13_4_26!$K$2:$K$596))</f>
        <v>2</v>
      </c>
    </row>
    <row r="86" spans="1:5">
      <c r="A86" s="5">
        <v>45954</v>
      </c>
      <c r="B86" cm="1">
        <f t="array" ref="B86">SUMPRODUCT((task_table_13_4_26!$C$2:$C$596=$B$1)*(A86&gt;task_table_13_4_26!$J$2:$J$596)*(A86&lt;task_table_13_4_26!$K$2:$K$596))</f>
        <v>22</v>
      </c>
      <c r="C86" cm="1">
        <f t="array" ref="C86">SUMPRODUCT((task_table_13_4_26!$C$2:$C$596=$C$1)*(A86&gt;task_table_13_4_26!$J$2:$J$596)*(A86&lt;task_table_13_4_26!$K$2:$K$596))</f>
        <v>0</v>
      </c>
      <c r="D86" cm="1">
        <f t="array" ref="D86">SUMPRODUCT((task_table_13_4_26!$C$2:$C$596=$D$1)*(A86&gt;task_table_13_4_26!$J$2:$J$596)*(A86&lt;task_table_13_4_26!$K$2:$K$596))</f>
        <v>0</v>
      </c>
      <c r="E86" cm="1">
        <f t="array" ref="E86">SUMPRODUCT((task_table_13_4_26!$C$2:$C$596=$E$1)*(A86&gt;task_table_13_4_26!$J$2:$J$596)*(A86&lt;task_table_13_4_26!$K$2:$K$596))</f>
        <v>2</v>
      </c>
    </row>
    <row r="87" spans="1:5">
      <c r="A87" s="5">
        <v>45955</v>
      </c>
      <c r="B87" cm="1">
        <f t="array" ref="B87">SUMPRODUCT((task_table_13_4_26!$C$2:$C$596=$B$1)*(A87&gt;task_table_13_4_26!$J$2:$J$596)*(A87&lt;task_table_13_4_26!$K$2:$K$596))</f>
        <v>22</v>
      </c>
      <c r="C87" cm="1">
        <f t="array" ref="C87">SUMPRODUCT((task_table_13_4_26!$C$2:$C$596=$C$1)*(A87&gt;task_table_13_4_26!$J$2:$J$596)*(A87&lt;task_table_13_4_26!$K$2:$K$596))</f>
        <v>0</v>
      </c>
      <c r="D87" cm="1">
        <f t="array" ref="D87">SUMPRODUCT((task_table_13_4_26!$C$2:$C$596=$D$1)*(A87&gt;task_table_13_4_26!$J$2:$J$596)*(A87&lt;task_table_13_4_26!$K$2:$K$596))</f>
        <v>0</v>
      </c>
      <c r="E87" cm="1">
        <f t="array" ref="E87">SUMPRODUCT((task_table_13_4_26!$C$2:$C$596=$E$1)*(A87&gt;task_table_13_4_26!$J$2:$J$596)*(A87&lt;task_table_13_4_26!$K$2:$K$596))</f>
        <v>2</v>
      </c>
    </row>
    <row r="88" spans="1:5">
      <c r="A88" s="5">
        <v>45956</v>
      </c>
      <c r="B88" cm="1">
        <f t="array" ref="B88">SUMPRODUCT((task_table_13_4_26!$C$2:$C$596=$B$1)*(A88&gt;task_table_13_4_26!$J$2:$J$596)*(A88&lt;task_table_13_4_26!$K$2:$K$596))</f>
        <v>22</v>
      </c>
      <c r="C88" cm="1">
        <f t="array" ref="C88">SUMPRODUCT((task_table_13_4_26!$C$2:$C$596=$C$1)*(A88&gt;task_table_13_4_26!$J$2:$J$596)*(A88&lt;task_table_13_4_26!$K$2:$K$596))</f>
        <v>0</v>
      </c>
      <c r="D88" cm="1">
        <f t="array" ref="D88">SUMPRODUCT((task_table_13_4_26!$C$2:$C$596=$D$1)*(A88&gt;task_table_13_4_26!$J$2:$J$596)*(A88&lt;task_table_13_4_26!$K$2:$K$596))</f>
        <v>0</v>
      </c>
      <c r="E88" cm="1">
        <f t="array" ref="E88">SUMPRODUCT((task_table_13_4_26!$C$2:$C$596=$E$1)*(A88&gt;task_table_13_4_26!$J$2:$J$596)*(A88&lt;task_table_13_4_26!$K$2:$K$596))</f>
        <v>2</v>
      </c>
    </row>
    <row r="89" spans="1:5">
      <c r="A89" s="5">
        <v>45957</v>
      </c>
      <c r="B89" cm="1">
        <f t="array" ref="B89">SUMPRODUCT((task_table_13_4_26!$C$2:$C$596=$B$1)*(A89&gt;task_table_13_4_26!$J$2:$J$596)*(A89&lt;task_table_13_4_26!$K$2:$K$596))</f>
        <v>22</v>
      </c>
      <c r="C89" cm="1">
        <f t="array" ref="C89">SUMPRODUCT((task_table_13_4_26!$C$2:$C$596=$C$1)*(A89&gt;task_table_13_4_26!$J$2:$J$596)*(A89&lt;task_table_13_4_26!$K$2:$K$596))</f>
        <v>0</v>
      </c>
      <c r="D89" cm="1">
        <f t="array" ref="D89">SUMPRODUCT((task_table_13_4_26!$C$2:$C$596=$D$1)*(A89&gt;task_table_13_4_26!$J$2:$J$596)*(A89&lt;task_table_13_4_26!$K$2:$K$596))</f>
        <v>0</v>
      </c>
      <c r="E89" cm="1">
        <f t="array" ref="E89">SUMPRODUCT((task_table_13_4_26!$C$2:$C$596=$E$1)*(A89&gt;task_table_13_4_26!$J$2:$J$596)*(A89&lt;task_table_13_4_26!$K$2:$K$596))</f>
        <v>2</v>
      </c>
    </row>
    <row r="90" spans="1:5">
      <c r="A90" s="5">
        <v>45958</v>
      </c>
      <c r="B90" cm="1">
        <f t="array" ref="B90">SUMPRODUCT((task_table_13_4_26!$C$2:$C$596=$B$1)*(A90&gt;task_table_13_4_26!$J$2:$J$596)*(A90&lt;task_table_13_4_26!$K$2:$K$596))</f>
        <v>22</v>
      </c>
      <c r="C90" cm="1">
        <f t="array" ref="C90">SUMPRODUCT((task_table_13_4_26!$C$2:$C$596=$C$1)*(A90&gt;task_table_13_4_26!$J$2:$J$596)*(A90&lt;task_table_13_4_26!$K$2:$K$596))</f>
        <v>0</v>
      </c>
      <c r="D90" cm="1">
        <f t="array" ref="D90">SUMPRODUCT((task_table_13_4_26!$C$2:$C$596=$D$1)*(A90&gt;task_table_13_4_26!$J$2:$J$596)*(A90&lt;task_table_13_4_26!$K$2:$K$596))</f>
        <v>0</v>
      </c>
      <c r="E90" cm="1">
        <f t="array" ref="E90">SUMPRODUCT((task_table_13_4_26!$C$2:$C$596=$E$1)*(A90&gt;task_table_13_4_26!$J$2:$J$596)*(A90&lt;task_table_13_4_26!$K$2:$K$596))</f>
        <v>2</v>
      </c>
    </row>
    <row r="91" spans="1:5">
      <c r="A91" s="5">
        <v>45959</v>
      </c>
      <c r="B91" cm="1">
        <f t="array" ref="B91">SUMPRODUCT((task_table_13_4_26!$C$2:$C$596=$B$1)*(A91&gt;task_table_13_4_26!$J$2:$J$596)*(A91&lt;task_table_13_4_26!$K$2:$K$596))</f>
        <v>22</v>
      </c>
      <c r="C91" cm="1">
        <f t="array" ref="C91">SUMPRODUCT((task_table_13_4_26!$C$2:$C$596=$C$1)*(A91&gt;task_table_13_4_26!$J$2:$J$596)*(A91&lt;task_table_13_4_26!$K$2:$K$596))</f>
        <v>0</v>
      </c>
      <c r="D91" cm="1">
        <f t="array" ref="D91">SUMPRODUCT((task_table_13_4_26!$C$2:$C$596=$D$1)*(A91&gt;task_table_13_4_26!$J$2:$J$596)*(A91&lt;task_table_13_4_26!$K$2:$K$596))</f>
        <v>0</v>
      </c>
      <c r="E91" cm="1">
        <f t="array" ref="E91">SUMPRODUCT((task_table_13_4_26!$C$2:$C$596=$E$1)*(A91&gt;task_table_13_4_26!$J$2:$J$596)*(A91&lt;task_table_13_4_26!$K$2:$K$596))</f>
        <v>2</v>
      </c>
    </row>
    <row r="92" spans="1:5">
      <c r="A92" s="5">
        <v>45960</v>
      </c>
      <c r="B92" cm="1">
        <f t="array" ref="B92">SUMPRODUCT((task_table_13_4_26!$C$2:$C$596=$B$1)*(A92&gt;task_table_13_4_26!$J$2:$J$596)*(A92&lt;task_table_13_4_26!$K$2:$K$596))</f>
        <v>22</v>
      </c>
      <c r="C92" cm="1">
        <f t="array" ref="C92">SUMPRODUCT((task_table_13_4_26!$C$2:$C$596=$C$1)*(A92&gt;task_table_13_4_26!$J$2:$J$596)*(A92&lt;task_table_13_4_26!$K$2:$K$596))</f>
        <v>0</v>
      </c>
      <c r="D92" cm="1">
        <f t="array" ref="D92">SUMPRODUCT((task_table_13_4_26!$C$2:$C$596=$D$1)*(A92&gt;task_table_13_4_26!$J$2:$J$596)*(A92&lt;task_table_13_4_26!$K$2:$K$596))</f>
        <v>0</v>
      </c>
      <c r="E92" cm="1">
        <f t="array" ref="E92">SUMPRODUCT((task_table_13_4_26!$C$2:$C$596=$E$1)*(A92&gt;task_table_13_4_26!$J$2:$J$596)*(A92&lt;task_table_13_4_26!$K$2:$K$596))</f>
        <v>2</v>
      </c>
    </row>
    <row r="93" spans="1:5">
      <c r="A93" s="5">
        <v>45961</v>
      </c>
      <c r="B93" cm="1">
        <f t="array" ref="B93">SUMPRODUCT((task_table_13_4_26!$C$2:$C$596=$B$1)*(A93&gt;task_table_13_4_26!$J$2:$J$596)*(A93&lt;task_table_13_4_26!$K$2:$K$596))</f>
        <v>21</v>
      </c>
      <c r="C93" cm="1">
        <f t="array" ref="C93">SUMPRODUCT((task_table_13_4_26!$C$2:$C$596=$C$1)*(A93&gt;task_table_13_4_26!$J$2:$J$596)*(A93&lt;task_table_13_4_26!$K$2:$K$596))</f>
        <v>0</v>
      </c>
      <c r="D93" cm="1">
        <f t="array" ref="D93">SUMPRODUCT((task_table_13_4_26!$C$2:$C$596=$D$1)*(A93&gt;task_table_13_4_26!$J$2:$J$596)*(A93&lt;task_table_13_4_26!$K$2:$K$596))</f>
        <v>0</v>
      </c>
      <c r="E93" cm="1">
        <f t="array" ref="E93">SUMPRODUCT((task_table_13_4_26!$C$2:$C$596=$E$1)*(A93&gt;task_table_13_4_26!$J$2:$J$596)*(A93&lt;task_table_13_4_26!$K$2:$K$596))</f>
        <v>2</v>
      </c>
    </row>
    <row r="94" spans="1:5">
      <c r="A94" s="5">
        <v>45962</v>
      </c>
      <c r="B94" cm="1">
        <f t="array" ref="B94">SUMPRODUCT((task_table_13_4_26!$C$2:$C$596=$B$1)*(A94&gt;task_table_13_4_26!$J$2:$J$596)*(A94&lt;task_table_13_4_26!$K$2:$K$596))</f>
        <v>21</v>
      </c>
      <c r="C94" cm="1">
        <f t="array" ref="C94">SUMPRODUCT((task_table_13_4_26!$C$2:$C$596=$C$1)*(A94&gt;task_table_13_4_26!$J$2:$J$596)*(A94&lt;task_table_13_4_26!$K$2:$K$596))</f>
        <v>0</v>
      </c>
      <c r="D94" cm="1">
        <f t="array" ref="D94">SUMPRODUCT((task_table_13_4_26!$C$2:$C$596=$D$1)*(A94&gt;task_table_13_4_26!$J$2:$J$596)*(A94&lt;task_table_13_4_26!$K$2:$K$596))</f>
        <v>0</v>
      </c>
      <c r="E94" cm="1">
        <f t="array" ref="E94">SUMPRODUCT((task_table_13_4_26!$C$2:$C$596=$E$1)*(A94&gt;task_table_13_4_26!$J$2:$J$596)*(A94&lt;task_table_13_4_26!$K$2:$K$596))</f>
        <v>2</v>
      </c>
    </row>
    <row r="95" spans="1:5">
      <c r="A95" s="5">
        <v>45963</v>
      </c>
      <c r="B95" cm="1">
        <f t="array" ref="B95">SUMPRODUCT((task_table_13_4_26!$C$2:$C$596=$B$1)*(A95&gt;task_table_13_4_26!$J$2:$J$596)*(A95&lt;task_table_13_4_26!$K$2:$K$596))</f>
        <v>21</v>
      </c>
      <c r="C95" cm="1">
        <f t="array" ref="C95">SUMPRODUCT((task_table_13_4_26!$C$2:$C$596=$C$1)*(A95&gt;task_table_13_4_26!$J$2:$J$596)*(A95&lt;task_table_13_4_26!$K$2:$K$596))</f>
        <v>4</v>
      </c>
      <c r="D95" cm="1">
        <f t="array" ref="D95">SUMPRODUCT((task_table_13_4_26!$C$2:$C$596=$D$1)*(A95&gt;task_table_13_4_26!$J$2:$J$596)*(A95&lt;task_table_13_4_26!$K$2:$K$596))</f>
        <v>0</v>
      </c>
      <c r="E95" cm="1">
        <f t="array" ref="E95">SUMPRODUCT((task_table_13_4_26!$C$2:$C$596=$E$1)*(A95&gt;task_table_13_4_26!$J$2:$J$596)*(A95&lt;task_table_13_4_26!$K$2:$K$596))</f>
        <v>2</v>
      </c>
    </row>
    <row r="96" spans="1:5">
      <c r="A96" s="5">
        <v>45964</v>
      </c>
      <c r="B96" cm="1">
        <f t="array" ref="B96">SUMPRODUCT((task_table_13_4_26!$C$2:$C$596=$B$1)*(A96&gt;task_table_13_4_26!$J$2:$J$596)*(A96&lt;task_table_13_4_26!$K$2:$K$596))</f>
        <v>21</v>
      </c>
      <c r="C96" cm="1">
        <f t="array" ref="C96">SUMPRODUCT((task_table_13_4_26!$C$2:$C$596=$C$1)*(A96&gt;task_table_13_4_26!$J$2:$J$596)*(A96&lt;task_table_13_4_26!$K$2:$K$596))</f>
        <v>4</v>
      </c>
      <c r="D96" cm="1">
        <f t="array" ref="D96">SUMPRODUCT((task_table_13_4_26!$C$2:$C$596=$D$1)*(A96&gt;task_table_13_4_26!$J$2:$J$596)*(A96&lt;task_table_13_4_26!$K$2:$K$596))</f>
        <v>0</v>
      </c>
      <c r="E96" cm="1">
        <f t="array" ref="E96">SUMPRODUCT((task_table_13_4_26!$C$2:$C$596=$E$1)*(A96&gt;task_table_13_4_26!$J$2:$J$596)*(A96&lt;task_table_13_4_26!$K$2:$K$596))</f>
        <v>2</v>
      </c>
    </row>
    <row r="97" spans="1:5">
      <c r="A97" s="5">
        <v>45965</v>
      </c>
      <c r="B97" cm="1">
        <f t="array" ref="B97">SUMPRODUCT((task_table_13_4_26!$C$2:$C$596=$B$1)*(A97&gt;task_table_13_4_26!$J$2:$J$596)*(A97&lt;task_table_13_4_26!$K$2:$K$596))</f>
        <v>21</v>
      </c>
      <c r="C97" cm="1">
        <f t="array" ref="C97">SUMPRODUCT((task_table_13_4_26!$C$2:$C$596=$C$1)*(A97&gt;task_table_13_4_26!$J$2:$J$596)*(A97&lt;task_table_13_4_26!$K$2:$K$596))</f>
        <v>4</v>
      </c>
      <c r="D97" cm="1">
        <f t="array" ref="D97">SUMPRODUCT((task_table_13_4_26!$C$2:$C$596=$D$1)*(A97&gt;task_table_13_4_26!$J$2:$J$596)*(A97&lt;task_table_13_4_26!$K$2:$K$596))</f>
        <v>0</v>
      </c>
      <c r="E97" cm="1">
        <f t="array" ref="E97">SUMPRODUCT((task_table_13_4_26!$C$2:$C$596=$E$1)*(A97&gt;task_table_13_4_26!$J$2:$J$596)*(A97&lt;task_table_13_4_26!$K$2:$K$596))</f>
        <v>6</v>
      </c>
    </row>
    <row r="98" spans="1:5">
      <c r="A98" s="5">
        <v>45966</v>
      </c>
      <c r="B98" cm="1">
        <f t="array" ref="B98">SUMPRODUCT((task_table_13_4_26!$C$2:$C$596=$B$1)*(A98&gt;task_table_13_4_26!$J$2:$J$596)*(A98&lt;task_table_13_4_26!$K$2:$K$596))</f>
        <v>21</v>
      </c>
      <c r="C98" cm="1">
        <f t="array" ref="C98">SUMPRODUCT((task_table_13_4_26!$C$2:$C$596=$C$1)*(A98&gt;task_table_13_4_26!$J$2:$J$596)*(A98&lt;task_table_13_4_26!$K$2:$K$596))</f>
        <v>4</v>
      </c>
      <c r="D98" cm="1">
        <f t="array" ref="D98">SUMPRODUCT((task_table_13_4_26!$C$2:$C$596=$D$1)*(A98&gt;task_table_13_4_26!$J$2:$J$596)*(A98&lt;task_table_13_4_26!$K$2:$K$596))</f>
        <v>0</v>
      </c>
      <c r="E98" cm="1">
        <f t="array" ref="E98">SUMPRODUCT((task_table_13_4_26!$C$2:$C$596=$E$1)*(A98&gt;task_table_13_4_26!$J$2:$J$596)*(A98&lt;task_table_13_4_26!$K$2:$K$596))</f>
        <v>6</v>
      </c>
    </row>
    <row r="99" spans="1:5">
      <c r="A99" s="5">
        <v>45967</v>
      </c>
      <c r="B99" cm="1">
        <f t="array" ref="B99">SUMPRODUCT((task_table_13_4_26!$C$2:$C$596=$B$1)*(A99&gt;task_table_13_4_26!$J$2:$J$596)*(A99&lt;task_table_13_4_26!$K$2:$K$596))</f>
        <v>21</v>
      </c>
      <c r="C99" cm="1">
        <f t="array" ref="C99">SUMPRODUCT((task_table_13_4_26!$C$2:$C$596=$C$1)*(A99&gt;task_table_13_4_26!$J$2:$J$596)*(A99&lt;task_table_13_4_26!$K$2:$K$596))</f>
        <v>4</v>
      </c>
      <c r="D99" cm="1">
        <f t="array" ref="D99">SUMPRODUCT((task_table_13_4_26!$C$2:$C$596=$D$1)*(A99&gt;task_table_13_4_26!$J$2:$J$596)*(A99&lt;task_table_13_4_26!$K$2:$K$596))</f>
        <v>0</v>
      </c>
      <c r="E99" cm="1">
        <f t="array" ref="E99">SUMPRODUCT((task_table_13_4_26!$C$2:$C$596=$E$1)*(A99&gt;task_table_13_4_26!$J$2:$J$596)*(A99&lt;task_table_13_4_26!$K$2:$K$596))</f>
        <v>6</v>
      </c>
    </row>
    <row r="100" spans="1:5">
      <c r="A100" s="5">
        <v>45968</v>
      </c>
      <c r="B100" cm="1">
        <f t="array" ref="B100">SUMPRODUCT((task_table_13_4_26!$C$2:$C$596=$B$1)*(A100&gt;task_table_13_4_26!$J$2:$J$596)*(A100&lt;task_table_13_4_26!$K$2:$K$596))</f>
        <v>21</v>
      </c>
      <c r="C100" cm="1">
        <f t="array" ref="C100">SUMPRODUCT((task_table_13_4_26!$C$2:$C$596=$C$1)*(A100&gt;task_table_13_4_26!$J$2:$J$596)*(A100&lt;task_table_13_4_26!$K$2:$K$596))</f>
        <v>4</v>
      </c>
      <c r="D100" cm="1">
        <f t="array" ref="D100">SUMPRODUCT((task_table_13_4_26!$C$2:$C$596=$D$1)*(A100&gt;task_table_13_4_26!$J$2:$J$596)*(A100&lt;task_table_13_4_26!$K$2:$K$596))</f>
        <v>0</v>
      </c>
      <c r="E100" cm="1">
        <f t="array" ref="E100">SUMPRODUCT((task_table_13_4_26!$C$2:$C$596=$E$1)*(A100&gt;task_table_13_4_26!$J$2:$J$596)*(A100&lt;task_table_13_4_26!$K$2:$K$596))</f>
        <v>6</v>
      </c>
    </row>
    <row r="101" spans="1:5">
      <c r="A101" s="5">
        <v>45969</v>
      </c>
      <c r="B101" cm="1">
        <f t="array" ref="B101">SUMPRODUCT((task_table_13_4_26!$C$2:$C$596=$B$1)*(A101&gt;task_table_13_4_26!$J$2:$J$596)*(A101&lt;task_table_13_4_26!$K$2:$K$596))</f>
        <v>21</v>
      </c>
      <c r="C101" cm="1">
        <f t="array" ref="C101">SUMPRODUCT((task_table_13_4_26!$C$2:$C$596=$C$1)*(A101&gt;task_table_13_4_26!$J$2:$J$596)*(A101&lt;task_table_13_4_26!$K$2:$K$596))</f>
        <v>4</v>
      </c>
      <c r="D101" cm="1">
        <f t="array" ref="D101">SUMPRODUCT((task_table_13_4_26!$C$2:$C$596=$D$1)*(A101&gt;task_table_13_4_26!$J$2:$J$596)*(A101&lt;task_table_13_4_26!$K$2:$K$596))</f>
        <v>0</v>
      </c>
      <c r="E101" cm="1">
        <f t="array" ref="E101">SUMPRODUCT((task_table_13_4_26!$C$2:$C$596=$E$1)*(A101&gt;task_table_13_4_26!$J$2:$J$596)*(A101&lt;task_table_13_4_26!$K$2:$K$596))</f>
        <v>6</v>
      </c>
    </row>
    <row r="102" spans="1:5">
      <c r="A102" s="5">
        <v>45970</v>
      </c>
      <c r="B102" cm="1">
        <f t="array" ref="B102">SUMPRODUCT((task_table_13_4_26!$C$2:$C$596=$B$1)*(A102&gt;task_table_13_4_26!$J$2:$J$596)*(A102&lt;task_table_13_4_26!$K$2:$K$596))</f>
        <v>21</v>
      </c>
      <c r="C102" cm="1">
        <f t="array" ref="C102">SUMPRODUCT((task_table_13_4_26!$C$2:$C$596=$C$1)*(A102&gt;task_table_13_4_26!$J$2:$J$596)*(A102&lt;task_table_13_4_26!$K$2:$K$596))</f>
        <v>4</v>
      </c>
      <c r="D102" cm="1">
        <f t="array" ref="D102">SUMPRODUCT((task_table_13_4_26!$C$2:$C$596=$D$1)*(A102&gt;task_table_13_4_26!$J$2:$J$596)*(A102&lt;task_table_13_4_26!$K$2:$K$596))</f>
        <v>0</v>
      </c>
      <c r="E102" cm="1">
        <f t="array" ref="E102">SUMPRODUCT((task_table_13_4_26!$C$2:$C$596=$E$1)*(A102&gt;task_table_13_4_26!$J$2:$J$596)*(A102&lt;task_table_13_4_26!$K$2:$K$596))</f>
        <v>6</v>
      </c>
    </row>
    <row r="103" spans="1:5">
      <c r="A103" s="5">
        <v>45971</v>
      </c>
      <c r="B103" cm="1">
        <f t="array" ref="B103">SUMPRODUCT((task_table_13_4_26!$C$2:$C$596=$B$1)*(A103&gt;task_table_13_4_26!$J$2:$J$596)*(A103&lt;task_table_13_4_26!$K$2:$K$596))</f>
        <v>21</v>
      </c>
      <c r="C103" cm="1">
        <f t="array" ref="C103">SUMPRODUCT((task_table_13_4_26!$C$2:$C$596=$C$1)*(A103&gt;task_table_13_4_26!$J$2:$J$596)*(A103&lt;task_table_13_4_26!$K$2:$K$596))</f>
        <v>4</v>
      </c>
      <c r="D103" cm="1">
        <f t="array" ref="D103">SUMPRODUCT((task_table_13_4_26!$C$2:$C$596=$D$1)*(A103&gt;task_table_13_4_26!$J$2:$J$596)*(A103&lt;task_table_13_4_26!$K$2:$K$596))</f>
        <v>0</v>
      </c>
      <c r="E103" cm="1">
        <f t="array" ref="E103">SUMPRODUCT((task_table_13_4_26!$C$2:$C$596=$E$1)*(A103&gt;task_table_13_4_26!$J$2:$J$596)*(A103&lt;task_table_13_4_26!$K$2:$K$596))</f>
        <v>6</v>
      </c>
    </row>
    <row r="104" spans="1:5">
      <c r="A104" s="5">
        <v>45972</v>
      </c>
      <c r="B104" cm="1">
        <f t="array" ref="B104">SUMPRODUCT((task_table_13_4_26!$C$2:$C$596=$B$1)*(A104&gt;task_table_13_4_26!$J$2:$J$596)*(A104&lt;task_table_13_4_26!$K$2:$K$596))</f>
        <v>22</v>
      </c>
      <c r="C104" cm="1">
        <f t="array" ref="C104">SUMPRODUCT((task_table_13_4_26!$C$2:$C$596=$C$1)*(A104&gt;task_table_13_4_26!$J$2:$J$596)*(A104&lt;task_table_13_4_26!$K$2:$K$596))</f>
        <v>4</v>
      </c>
      <c r="D104" cm="1">
        <f t="array" ref="D104">SUMPRODUCT((task_table_13_4_26!$C$2:$C$596=$D$1)*(A104&gt;task_table_13_4_26!$J$2:$J$596)*(A104&lt;task_table_13_4_26!$K$2:$K$596))</f>
        <v>0</v>
      </c>
      <c r="E104" cm="1">
        <f t="array" ref="E104">SUMPRODUCT((task_table_13_4_26!$C$2:$C$596=$E$1)*(A104&gt;task_table_13_4_26!$J$2:$J$596)*(A104&lt;task_table_13_4_26!$K$2:$K$596))</f>
        <v>6</v>
      </c>
    </row>
    <row r="105" spans="1:5">
      <c r="A105" s="5">
        <v>45973</v>
      </c>
      <c r="B105" cm="1">
        <f t="array" ref="B105">SUMPRODUCT((task_table_13_4_26!$C$2:$C$596=$B$1)*(A105&gt;task_table_13_4_26!$J$2:$J$596)*(A105&lt;task_table_13_4_26!$K$2:$K$596))</f>
        <v>30</v>
      </c>
      <c r="C105" cm="1">
        <f t="array" ref="C105">SUMPRODUCT((task_table_13_4_26!$C$2:$C$596=$C$1)*(A105&gt;task_table_13_4_26!$J$2:$J$596)*(A105&lt;task_table_13_4_26!$K$2:$K$596))</f>
        <v>4</v>
      </c>
      <c r="D105" cm="1">
        <f t="array" ref="D105">SUMPRODUCT((task_table_13_4_26!$C$2:$C$596=$D$1)*(A105&gt;task_table_13_4_26!$J$2:$J$596)*(A105&lt;task_table_13_4_26!$K$2:$K$596))</f>
        <v>0</v>
      </c>
      <c r="E105" cm="1">
        <f t="array" ref="E105">SUMPRODUCT((task_table_13_4_26!$C$2:$C$596=$E$1)*(A105&gt;task_table_13_4_26!$J$2:$J$596)*(A105&lt;task_table_13_4_26!$K$2:$K$596))</f>
        <v>6</v>
      </c>
    </row>
    <row r="106" spans="1:5">
      <c r="A106" s="5">
        <v>45974</v>
      </c>
      <c r="B106" cm="1">
        <f t="array" ref="B106">SUMPRODUCT((task_table_13_4_26!$C$2:$C$596=$B$1)*(A106&gt;task_table_13_4_26!$J$2:$J$596)*(A106&lt;task_table_13_4_26!$K$2:$K$596))</f>
        <v>30</v>
      </c>
      <c r="C106" cm="1">
        <f t="array" ref="C106">SUMPRODUCT((task_table_13_4_26!$C$2:$C$596=$C$1)*(A106&gt;task_table_13_4_26!$J$2:$J$596)*(A106&lt;task_table_13_4_26!$K$2:$K$596))</f>
        <v>4</v>
      </c>
      <c r="D106" cm="1">
        <f t="array" ref="D106">SUMPRODUCT((task_table_13_4_26!$C$2:$C$596=$D$1)*(A106&gt;task_table_13_4_26!$J$2:$J$596)*(A106&lt;task_table_13_4_26!$K$2:$K$596))</f>
        <v>0</v>
      </c>
      <c r="E106" cm="1">
        <f t="array" ref="E106">SUMPRODUCT((task_table_13_4_26!$C$2:$C$596=$E$1)*(A106&gt;task_table_13_4_26!$J$2:$J$596)*(A106&lt;task_table_13_4_26!$K$2:$K$596))</f>
        <v>6</v>
      </c>
    </row>
    <row r="107" spans="1:5">
      <c r="A107" s="5">
        <v>45975</v>
      </c>
      <c r="B107" cm="1">
        <f t="array" ref="B107">SUMPRODUCT((task_table_13_4_26!$C$2:$C$596=$B$1)*(A107&gt;task_table_13_4_26!$J$2:$J$596)*(A107&lt;task_table_13_4_26!$K$2:$K$596))</f>
        <v>30</v>
      </c>
      <c r="C107" cm="1">
        <f t="array" ref="C107">SUMPRODUCT((task_table_13_4_26!$C$2:$C$596=$C$1)*(A107&gt;task_table_13_4_26!$J$2:$J$596)*(A107&lt;task_table_13_4_26!$K$2:$K$596))</f>
        <v>4</v>
      </c>
      <c r="D107" cm="1">
        <f t="array" ref="D107">SUMPRODUCT((task_table_13_4_26!$C$2:$C$596=$D$1)*(A107&gt;task_table_13_4_26!$J$2:$J$596)*(A107&lt;task_table_13_4_26!$K$2:$K$596))</f>
        <v>0</v>
      </c>
      <c r="E107" cm="1">
        <f t="array" ref="E107">SUMPRODUCT((task_table_13_4_26!$C$2:$C$596=$E$1)*(A107&gt;task_table_13_4_26!$J$2:$J$596)*(A107&lt;task_table_13_4_26!$K$2:$K$596))</f>
        <v>6</v>
      </c>
    </row>
    <row r="108" spans="1:5">
      <c r="A108" s="5">
        <v>45976</v>
      </c>
      <c r="B108" cm="1">
        <f t="array" ref="B108">SUMPRODUCT((task_table_13_4_26!$C$2:$C$596=$B$1)*(A108&gt;task_table_13_4_26!$J$2:$J$596)*(A108&lt;task_table_13_4_26!$K$2:$K$596))</f>
        <v>30</v>
      </c>
      <c r="C108" cm="1">
        <f t="array" ref="C108">SUMPRODUCT((task_table_13_4_26!$C$2:$C$596=$C$1)*(A108&gt;task_table_13_4_26!$J$2:$J$596)*(A108&lt;task_table_13_4_26!$K$2:$K$596))</f>
        <v>4</v>
      </c>
      <c r="D108" cm="1">
        <f t="array" ref="D108">SUMPRODUCT((task_table_13_4_26!$C$2:$C$596=$D$1)*(A108&gt;task_table_13_4_26!$J$2:$J$596)*(A108&lt;task_table_13_4_26!$K$2:$K$596))</f>
        <v>0</v>
      </c>
      <c r="E108" cm="1">
        <f t="array" ref="E108">SUMPRODUCT((task_table_13_4_26!$C$2:$C$596=$E$1)*(A108&gt;task_table_13_4_26!$J$2:$J$596)*(A108&lt;task_table_13_4_26!$K$2:$K$596))</f>
        <v>6</v>
      </c>
    </row>
    <row r="109" spans="1:5">
      <c r="A109" s="5">
        <v>45977</v>
      </c>
      <c r="B109" cm="1">
        <f t="array" ref="B109">SUMPRODUCT((task_table_13_4_26!$C$2:$C$596=$B$1)*(A109&gt;task_table_13_4_26!$J$2:$J$596)*(A109&lt;task_table_13_4_26!$K$2:$K$596))</f>
        <v>30</v>
      </c>
      <c r="C109" cm="1">
        <f t="array" ref="C109">SUMPRODUCT((task_table_13_4_26!$C$2:$C$596=$C$1)*(A109&gt;task_table_13_4_26!$J$2:$J$596)*(A109&lt;task_table_13_4_26!$K$2:$K$596))</f>
        <v>4</v>
      </c>
      <c r="D109" cm="1">
        <f t="array" ref="D109">SUMPRODUCT((task_table_13_4_26!$C$2:$C$596=$D$1)*(A109&gt;task_table_13_4_26!$J$2:$J$596)*(A109&lt;task_table_13_4_26!$K$2:$K$596))</f>
        <v>0</v>
      </c>
      <c r="E109" cm="1">
        <f t="array" ref="E109">SUMPRODUCT((task_table_13_4_26!$C$2:$C$596=$E$1)*(A109&gt;task_table_13_4_26!$J$2:$J$596)*(A109&lt;task_table_13_4_26!$K$2:$K$596))</f>
        <v>6</v>
      </c>
    </row>
    <row r="110" spans="1:5">
      <c r="A110" s="5">
        <v>45978</v>
      </c>
      <c r="B110" cm="1">
        <f t="array" ref="B110">SUMPRODUCT((task_table_13_4_26!$C$2:$C$596=$B$1)*(A110&gt;task_table_13_4_26!$J$2:$J$596)*(A110&lt;task_table_13_4_26!$K$2:$K$596))</f>
        <v>30</v>
      </c>
      <c r="C110" cm="1">
        <f t="array" ref="C110">SUMPRODUCT((task_table_13_4_26!$C$2:$C$596=$C$1)*(A110&gt;task_table_13_4_26!$J$2:$J$596)*(A110&lt;task_table_13_4_26!$K$2:$K$596))</f>
        <v>4</v>
      </c>
      <c r="D110" cm="1">
        <f t="array" ref="D110">SUMPRODUCT((task_table_13_4_26!$C$2:$C$596=$D$1)*(A110&gt;task_table_13_4_26!$J$2:$J$596)*(A110&lt;task_table_13_4_26!$K$2:$K$596))</f>
        <v>0</v>
      </c>
      <c r="E110" cm="1">
        <f t="array" ref="E110">SUMPRODUCT((task_table_13_4_26!$C$2:$C$596=$E$1)*(A110&gt;task_table_13_4_26!$J$2:$J$596)*(A110&lt;task_table_13_4_26!$K$2:$K$596))</f>
        <v>6</v>
      </c>
    </row>
    <row r="111" spans="1:5">
      <c r="A111" s="5">
        <v>45979</v>
      </c>
      <c r="B111" cm="1">
        <f t="array" ref="B111">SUMPRODUCT((task_table_13_4_26!$C$2:$C$596=$B$1)*(A111&gt;task_table_13_4_26!$J$2:$J$596)*(A111&lt;task_table_13_4_26!$K$2:$K$596))</f>
        <v>30</v>
      </c>
      <c r="C111" cm="1">
        <f t="array" ref="C111">SUMPRODUCT((task_table_13_4_26!$C$2:$C$596=$C$1)*(A111&gt;task_table_13_4_26!$J$2:$J$596)*(A111&lt;task_table_13_4_26!$K$2:$K$596))</f>
        <v>4</v>
      </c>
      <c r="D111" cm="1">
        <f t="array" ref="D111">SUMPRODUCT((task_table_13_4_26!$C$2:$C$596=$D$1)*(A111&gt;task_table_13_4_26!$J$2:$J$596)*(A111&lt;task_table_13_4_26!$K$2:$K$596))</f>
        <v>0</v>
      </c>
      <c r="E111" cm="1">
        <f t="array" ref="E111">SUMPRODUCT((task_table_13_4_26!$C$2:$C$596=$E$1)*(A111&gt;task_table_13_4_26!$J$2:$J$596)*(A111&lt;task_table_13_4_26!$K$2:$K$596))</f>
        <v>6</v>
      </c>
    </row>
    <row r="112" spans="1:5">
      <c r="A112" s="5">
        <v>45980</v>
      </c>
      <c r="B112" cm="1">
        <f t="array" ref="B112">SUMPRODUCT((task_table_13_4_26!$C$2:$C$596=$B$1)*(A112&gt;task_table_13_4_26!$J$2:$J$596)*(A112&lt;task_table_13_4_26!$K$2:$K$596))</f>
        <v>30</v>
      </c>
      <c r="C112" cm="1">
        <f t="array" ref="C112">SUMPRODUCT((task_table_13_4_26!$C$2:$C$596=$C$1)*(A112&gt;task_table_13_4_26!$J$2:$J$596)*(A112&lt;task_table_13_4_26!$K$2:$K$596))</f>
        <v>4</v>
      </c>
      <c r="D112" cm="1">
        <f t="array" ref="D112">SUMPRODUCT((task_table_13_4_26!$C$2:$C$596=$D$1)*(A112&gt;task_table_13_4_26!$J$2:$J$596)*(A112&lt;task_table_13_4_26!$K$2:$K$596))</f>
        <v>0</v>
      </c>
      <c r="E112" cm="1">
        <f t="array" ref="E112">SUMPRODUCT((task_table_13_4_26!$C$2:$C$596=$E$1)*(A112&gt;task_table_13_4_26!$J$2:$J$596)*(A112&lt;task_table_13_4_26!$K$2:$K$596))</f>
        <v>6</v>
      </c>
    </row>
    <row r="113" spans="1:5">
      <c r="A113" s="5">
        <v>45981</v>
      </c>
      <c r="B113" cm="1">
        <f t="array" ref="B113">SUMPRODUCT((task_table_13_4_26!$C$2:$C$596=$B$1)*(A113&gt;task_table_13_4_26!$J$2:$J$596)*(A113&lt;task_table_13_4_26!$K$2:$K$596))</f>
        <v>30</v>
      </c>
      <c r="C113" cm="1">
        <f t="array" ref="C113">SUMPRODUCT((task_table_13_4_26!$C$2:$C$596=$C$1)*(A113&gt;task_table_13_4_26!$J$2:$J$596)*(A113&lt;task_table_13_4_26!$K$2:$K$596))</f>
        <v>4</v>
      </c>
      <c r="D113" cm="1">
        <f t="array" ref="D113">SUMPRODUCT((task_table_13_4_26!$C$2:$C$596=$D$1)*(A113&gt;task_table_13_4_26!$J$2:$J$596)*(A113&lt;task_table_13_4_26!$K$2:$K$596))</f>
        <v>0</v>
      </c>
      <c r="E113" cm="1">
        <f t="array" ref="E113">SUMPRODUCT((task_table_13_4_26!$C$2:$C$596=$E$1)*(A113&gt;task_table_13_4_26!$J$2:$J$596)*(A113&lt;task_table_13_4_26!$K$2:$K$596))</f>
        <v>6</v>
      </c>
    </row>
    <row r="114" spans="1:5">
      <c r="A114" s="5">
        <v>45982</v>
      </c>
      <c r="B114" cm="1">
        <f t="array" ref="B114">SUMPRODUCT((task_table_13_4_26!$C$2:$C$596=$B$1)*(A114&gt;task_table_13_4_26!$J$2:$J$596)*(A114&lt;task_table_13_4_26!$K$2:$K$596))</f>
        <v>30</v>
      </c>
      <c r="C114" cm="1">
        <f t="array" ref="C114">SUMPRODUCT((task_table_13_4_26!$C$2:$C$596=$C$1)*(A114&gt;task_table_13_4_26!$J$2:$J$596)*(A114&lt;task_table_13_4_26!$K$2:$K$596))</f>
        <v>4</v>
      </c>
      <c r="D114" cm="1">
        <f t="array" ref="D114">SUMPRODUCT((task_table_13_4_26!$C$2:$C$596=$D$1)*(A114&gt;task_table_13_4_26!$J$2:$J$596)*(A114&lt;task_table_13_4_26!$K$2:$K$596))</f>
        <v>0</v>
      </c>
      <c r="E114" cm="1">
        <f t="array" ref="E114">SUMPRODUCT((task_table_13_4_26!$C$2:$C$596=$E$1)*(A114&gt;task_table_13_4_26!$J$2:$J$596)*(A114&lt;task_table_13_4_26!$K$2:$K$596))</f>
        <v>6</v>
      </c>
    </row>
    <row r="115" spans="1:5">
      <c r="A115" s="5">
        <v>45983</v>
      </c>
      <c r="B115" cm="1">
        <f t="array" ref="B115">SUMPRODUCT((task_table_13_4_26!$C$2:$C$596=$B$1)*(A115&gt;task_table_13_4_26!$J$2:$J$596)*(A115&lt;task_table_13_4_26!$K$2:$K$596))</f>
        <v>30</v>
      </c>
      <c r="C115" cm="1">
        <f t="array" ref="C115">SUMPRODUCT((task_table_13_4_26!$C$2:$C$596=$C$1)*(A115&gt;task_table_13_4_26!$J$2:$J$596)*(A115&lt;task_table_13_4_26!$K$2:$K$596))</f>
        <v>4</v>
      </c>
      <c r="D115" cm="1">
        <f t="array" ref="D115">SUMPRODUCT((task_table_13_4_26!$C$2:$C$596=$D$1)*(A115&gt;task_table_13_4_26!$J$2:$J$596)*(A115&lt;task_table_13_4_26!$K$2:$K$596))</f>
        <v>0</v>
      </c>
      <c r="E115" cm="1">
        <f t="array" ref="E115">SUMPRODUCT((task_table_13_4_26!$C$2:$C$596=$E$1)*(A115&gt;task_table_13_4_26!$J$2:$J$596)*(A115&lt;task_table_13_4_26!$K$2:$K$596))</f>
        <v>6</v>
      </c>
    </row>
    <row r="116" spans="1:5">
      <c r="A116" s="5">
        <v>45984</v>
      </c>
      <c r="B116" cm="1">
        <f t="array" ref="B116">SUMPRODUCT((task_table_13_4_26!$C$2:$C$596=$B$1)*(A116&gt;task_table_13_4_26!$J$2:$J$596)*(A116&lt;task_table_13_4_26!$K$2:$K$596))</f>
        <v>30</v>
      </c>
      <c r="C116" cm="1">
        <f t="array" ref="C116">SUMPRODUCT((task_table_13_4_26!$C$2:$C$596=$C$1)*(A116&gt;task_table_13_4_26!$J$2:$J$596)*(A116&lt;task_table_13_4_26!$K$2:$K$596))</f>
        <v>4</v>
      </c>
      <c r="D116" cm="1">
        <f t="array" ref="D116">SUMPRODUCT((task_table_13_4_26!$C$2:$C$596=$D$1)*(A116&gt;task_table_13_4_26!$J$2:$J$596)*(A116&lt;task_table_13_4_26!$K$2:$K$596))</f>
        <v>0</v>
      </c>
      <c r="E116" cm="1">
        <f t="array" ref="E116">SUMPRODUCT((task_table_13_4_26!$C$2:$C$596=$E$1)*(A116&gt;task_table_13_4_26!$J$2:$J$596)*(A116&lt;task_table_13_4_26!$K$2:$K$596))</f>
        <v>6</v>
      </c>
    </row>
    <row r="117" spans="1:5">
      <c r="A117" s="5">
        <v>45985</v>
      </c>
      <c r="B117" cm="1">
        <f t="array" ref="B117">SUMPRODUCT((task_table_13_4_26!$C$2:$C$596=$B$1)*(A117&gt;task_table_13_4_26!$J$2:$J$596)*(A117&lt;task_table_13_4_26!$K$2:$K$596))</f>
        <v>30</v>
      </c>
      <c r="C117" cm="1">
        <f t="array" ref="C117">SUMPRODUCT((task_table_13_4_26!$C$2:$C$596=$C$1)*(A117&gt;task_table_13_4_26!$J$2:$J$596)*(A117&lt;task_table_13_4_26!$K$2:$K$596))</f>
        <v>4</v>
      </c>
      <c r="D117" cm="1">
        <f t="array" ref="D117">SUMPRODUCT((task_table_13_4_26!$C$2:$C$596=$D$1)*(A117&gt;task_table_13_4_26!$J$2:$J$596)*(A117&lt;task_table_13_4_26!$K$2:$K$596))</f>
        <v>0</v>
      </c>
      <c r="E117" cm="1">
        <f t="array" ref="E117">SUMPRODUCT((task_table_13_4_26!$C$2:$C$596=$E$1)*(A117&gt;task_table_13_4_26!$J$2:$J$596)*(A117&lt;task_table_13_4_26!$K$2:$K$596))</f>
        <v>6</v>
      </c>
    </row>
    <row r="118" spans="1:5">
      <c r="A118" s="5">
        <v>45986</v>
      </c>
      <c r="B118" cm="1">
        <f t="array" ref="B118">SUMPRODUCT((task_table_13_4_26!$C$2:$C$596=$B$1)*(A118&gt;task_table_13_4_26!$J$2:$J$596)*(A118&lt;task_table_13_4_26!$K$2:$K$596))</f>
        <v>30</v>
      </c>
      <c r="C118" cm="1">
        <f t="array" ref="C118">SUMPRODUCT((task_table_13_4_26!$C$2:$C$596=$C$1)*(A118&gt;task_table_13_4_26!$J$2:$J$596)*(A118&lt;task_table_13_4_26!$K$2:$K$596))</f>
        <v>4</v>
      </c>
      <c r="D118" cm="1">
        <f t="array" ref="D118">SUMPRODUCT((task_table_13_4_26!$C$2:$C$596=$D$1)*(A118&gt;task_table_13_4_26!$J$2:$J$596)*(A118&lt;task_table_13_4_26!$K$2:$K$596))</f>
        <v>0</v>
      </c>
      <c r="E118" cm="1">
        <f t="array" ref="E118">SUMPRODUCT((task_table_13_4_26!$C$2:$C$596=$E$1)*(A118&gt;task_table_13_4_26!$J$2:$J$596)*(A118&lt;task_table_13_4_26!$K$2:$K$596))</f>
        <v>6</v>
      </c>
    </row>
    <row r="119" spans="1:5">
      <c r="A119" s="5">
        <v>45987</v>
      </c>
      <c r="B119" cm="1">
        <f t="array" ref="B119">SUMPRODUCT((task_table_13_4_26!$C$2:$C$596=$B$1)*(A119&gt;task_table_13_4_26!$J$2:$J$596)*(A119&lt;task_table_13_4_26!$K$2:$K$596))</f>
        <v>30</v>
      </c>
      <c r="C119" cm="1">
        <f t="array" ref="C119">SUMPRODUCT((task_table_13_4_26!$C$2:$C$596=$C$1)*(A119&gt;task_table_13_4_26!$J$2:$J$596)*(A119&lt;task_table_13_4_26!$K$2:$K$596))</f>
        <v>4</v>
      </c>
      <c r="D119" cm="1">
        <f t="array" ref="D119">SUMPRODUCT((task_table_13_4_26!$C$2:$C$596=$D$1)*(A119&gt;task_table_13_4_26!$J$2:$J$596)*(A119&lt;task_table_13_4_26!$K$2:$K$596))</f>
        <v>0</v>
      </c>
      <c r="E119" cm="1">
        <f t="array" ref="E119">SUMPRODUCT((task_table_13_4_26!$C$2:$C$596=$E$1)*(A119&gt;task_table_13_4_26!$J$2:$J$596)*(A119&lt;task_table_13_4_26!$K$2:$K$596))</f>
        <v>6</v>
      </c>
    </row>
    <row r="120" spans="1:5">
      <c r="A120" s="5">
        <v>45988</v>
      </c>
      <c r="B120" cm="1">
        <f t="array" ref="B120">SUMPRODUCT((task_table_13_4_26!$C$2:$C$596=$B$1)*(A120&gt;task_table_13_4_26!$J$2:$J$596)*(A120&lt;task_table_13_4_26!$K$2:$K$596))</f>
        <v>30</v>
      </c>
      <c r="C120" cm="1">
        <f t="array" ref="C120">SUMPRODUCT((task_table_13_4_26!$C$2:$C$596=$C$1)*(A120&gt;task_table_13_4_26!$J$2:$J$596)*(A120&lt;task_table_13_4_26!$K$2:$K$596))</f>
        <v>4</v>
      </c>
      <c r="D120" cm="1">
        <f t="array" ref="D120">SUMPRODUCT((task_table_13_4_26!$C$2:$C$596=$D$1)*(A120&gt;task_table_13_4_26!$J$2:$J$596)*(A120&lt;task_table_13_4_26!$K$2:$K$596))</f>
        <v>0</v>
      </c>
      <c r="E120" cm="1">
        <f t="array" ref="E120">SUMPRODUCT((task_table_13_4_26!$C$2:$C$596=$E$1)*(A120&gt;task_table_13_4_26!$J$2:$J$596)*(A120&lt;task_table_13_4_26!$K$2:$K$596))</f>
        <v>6</v>
      </c>
    </row>
    <row r="121" spans="1:5">
      <c r="A121" s="5">
        <v>45989</v>
      </c>
      <c r="B121" cm="1">
        <f t="array" ref="B121">SUMPRODUCT((task_table_13_4_26!$C$2:$C$596=$B$1)*(A121&gt;task_table_13_4_26!$J$2:$J$596)*(A121&lt;task_table_13_4_26!$K$2:$K$596))</f>
        <v>30</v>
      </c>
      <c r="C121" cm="1">
        <f t="array" ref="C121">SUMPRODUCT((task_table_13_4_26!$C$2:$C$596=$C$1)*(A121&gt;task_table_13_4_26!$J$2:$J$596)*(A121&lt;task_table_13_4_26!$K$2:$K$596))</f>
        <v>4</v>
      </c>
      <c r="D121" cm="1">
        <f t="array" ref="D121">SUMPRODUCT((task_table_13_4_26!$C$2:$C$596=$D$1)*(A121&gt;task_table_13_4_26!$J$2:$J$596)*(A121&lt;task_table_13_4_26!$K$2:$K$596))</f>
        <v>0</v>
      </c>
      <c r="E121" cm="1">
        <f t="array" ref="E121">SUMPRODUCT((task_table_13_4_26!$C$2:$C$596=$E$1)*(A121&gt;task_table_13_4_26!$J$2:$J$596)*(A121&lt;task_table_13_4_26!$K$2:$K$596))</f>
        <v>6</v>
      </c>
    </row>
    <row r="122" spans="1:5">
      <c r="A122" s="5">
        <v>45990</v>
      </c>
      <c r="B122" cm="1">
        <f t="array" ref="B122">SUMPRODUCT((task_table_13_4_26!$C$2:$C$596=$B$1)*(A122&gt;task_table_13_4_26!$J$2:$J$596)*(A122&lt;task_table_13_4_26!$K$2:$K$596))</f>
        <v>30</v>
      </c>
      <c r="C122" cm="1">
        <f t="array" ref="C122">SUMPRODUCT((task_table_13_4_26!$C$2:$C$596=$C$1)*(A122&gt;task_table_13_4_26!$J$2:$J$596)*(A122&lt;task_table_13_4_26!$K$2:$K$596))</f>
        <v>4</v>
      </c>
      <c r="D122" cm="1">
        <f t="array" ref="D122">SUMPRODUCT((task_table_13_4_26!$C$2:$C$596=$D$1)*(A122&gt;task_table_13_4_26!$J$2:$J$596)*(A122&lt;task_table_13_4_26!$K$2:$K$596))</f>
        <v>0</v>
      </c>
      <c r="E122" cm="1">
        <f t="array" ref="E122">SUMPRODUCT((task_table_13_4_26!$C$2:$C$596=$E$1)*(A122&gt;task_table_13_4_26!$J$2:$J$596)*(A122&lt;task_table_13_4_26!$K$2:$K$596))</f>
        <v>6</v>
      </c>
    </row>
    <row r="123" spans="1:5">
      <c r="A123" s="5">
        <v>45991</v>
      </c>
      <c r="B123" cm="1">
        <f t="array" ref="B123">SUMPRODUCT((task_table_13_4_26!$C$2:$C$596=$B$1)*(A123&gt;task_table_13_4_26!$J$2:$J$596)*(A123&lt;task_table_13_4_26!$K$2:$K$596))</f>
        <v>30</v>
      </c>
      <c r="C123" cm="1">
        <f t="array" ref="C123">SUMPRODUCT((task_table_13_4_26!$C$2:$C$596=$C$1)*(A123&gt;task_table_13_4_26!$J$2:$J$596)*(A123&lt;task_table_13_4_26!$K$2:$K$596))</f>
        <v>4</v>
      </c>
      <c r="D123" cm="1">
        <f t="array" ref="D123">SUMPRODUCT((task_table_13_4_26!$C$2:$C$596=$D$1)*(A123&gt;task_table_13_4_26!$J$2:$J$596)*(A123&lt;task_table_13_4_26!$K$2:$K$596))</f>
        <v>0</v>
      </c>
      <c r="E123" cm="1">
        <f t="array" ref="E123">SUMPRODUCT((task_table_13_4_26!$C$2:$C$596=$E$1)*(A123&gt;task_table_13_4_26!$J$2:$J$596)*(A123&lt;task_table_13_4_26!$K$2:$K$596))</f>
        <v>6</v>
      </c>
    </row>
    <row r="124" spans="1:5">
      <c r="A124" s="5">
        <v>45992</v>
      </c>
      <c r="B124" cm="1">
        <f t="array" ref="B124">SUMPRODUCT((task_table_13_4_26!$C$2:$C$596=$B$1)*(A124&gt;task_table_13_4_26!$J$2:$J$596)*(A124&lt;task_table_13_4_26!$K$2:$K$596))</f>
        <v>30</v>
      </c>
      <c r="C124" cm="1">
        <f t="array" ref="C124">SUMPRODUCT((task_table_13_4_26!$C$2:$C$596=$C$1)*(A124&gt;task_table_13_4_26!$J$2:$J$596)*(A124&lt;task_table_13_4_26!$K$2:$K$596))</f>
        <v>4</v>
      </c>
      <c r="D124" cm="1">
        <f t="array" ref="D124">SUMPRODUCT((task_table_13_4_26!$C$2:$C$596=$D$1)*(A124&gt;task_table_13_4_26!$J$2:$J$596)*(A124&lt;task_table_13_4_26!$K$2:$K$596))</f>
        <v>0</v>
      </c>
      <c r="E124" cm="1">
        <f t="array" ref="E124">SUMPRODUCT((task_table_13_4_26!$C$2:$C$596=$E$1)*(A124&gt;task_table_13_4_26!$J$2:$J$596)*(A124&lt;task_table_13_4_26!$K$2:$K$596))</f>
        <v>6</v>
      </c>
    </row>
    <row r="125" spans="1:5">
      <c r="A125" s="5">
        <v>45993</v>
      </c>
      <c r="B125" cm="1">
        <f t="array" ref="B125">SUMPRODUCT((task_table_13_4_26!$C$2:$C$596=$B$1)*(A125&gt;task_table_13_4_26!$J$2:$J$596)*(A125&lt;task_table_13_4_26!$K$2:$K$596))</f>
        <v>30</v>
      </c>
      <c r="C125" cm="1">
        <f t="array" ref="C125">SUMPRODUCT((task_table_13_4_26!$C$2:$C$596=$C$1)*(A125&gt;task_table_13_4_26!$J$2:$J$596)*(A125&lt;task_table_13_4_26!$K$2:$K$596))</f>
        <v>4</v>
      </c>
      <c r="D125" cm="1">
        <f t="array" ref="D125">SUMPRODUCT((task_table_13_4_26!$C$2:$C$596=$D$1)*(A125&gt;task_table_13_4_26!$J$2:$J$596)*(A125&lt;task_table_13_4_26!$K$2:$K$596))</f>
        <v>0</v>
      </c>
      <c r="E125" cm="1">
        <f t="array" ref="E125">SUMPRODUCT((task_table_13_4_26!$C$2:$C$596=$E$1)*(A125&gt;task_table_13_4_26!$J$2:$J$596)*(A125&lt;task_table_13_4_26!$K$2:$K$596))</f>
        <v>6</v>
      </c>
    </row>
    <row r="126" spans="1:5">
      <c r="A126" s="5">
        <v>45994</v>
      </c>
      <c r="B126" cm="1">
        <f t="array" ref="B126">SUMPRODUCT((task_table_13_4_26!$C$2:$C$596=$B$1)*(A126&gt;task_table_13_4_26!$J$2:$J$596)*(A126&lt;task_table_13_4_26!$K$2:$K$596))</f>
        <v>30</v>
      </c>
      <c r="C126" cm="1">
        <f t="array" ref="C126">SUMPRODUCT((task_table_13_4_26!$C$2:$C$596=$C$1)*(A126&gt;task_table_13_4_26!$J$2:$J$596)*(A126&lt;task_table_13_4_26!$K$2:$K$596))</f>
        <v>4</v>
      </c>
      <c r="D126" cm="1">
        <f t="array" ref="D126">SUMPRODUCT((task_table_13_4_26!$C$2:$C$596=$D$1)*(A126&gt;task_table_13_4_26!$J$2:$J$596)*(A126&lt;task_table_13_4_26!$K$2:$K$596))</f>
        <v>0</v>
      </c>
      <c r="E126" cm="1">
        <f t="array" ref="E126">SUMPRODUCT((task_table_13_4_26!$C$2:$C$596=$E$1)*(A126&gt;task_table_13_4_26!$J$2:$J$596)*(A126&lt;task_table_13_4_26!$K$2:$K$596))</f>
        <v>6</v>
      </c>
    </row>
    <row r="127" spans="1:5">
      <c r="A127" s="5">
        <v>45995</v>
      </c>
      <c r="B127" cm="1">
        <f t="array" ref="B127">SUMPRODUCT((task_table_13_4_26!$C$2:$C$596=$B$1)*(A127&gt;task_table_13_4_26!$J$2:$J$596)*(A127&lt;task_table_13_4_26!$K$2:$K$596))</f>
        <v>30</v>
      </c>
      <c r="C127" cm="1">
        <f t="array" ref="C127">SUMPRODUCT((task_table_13_4_26!$C$2:$C$596=$C$1)*(A127&gt;task_table_13_4_26!$J$2:$J$596)*(A127&lt;task_table_13_4_26!$K$2:$K$596))</f>
        <v>4</v>
      </c>
      <c r="D127" cm="1">
        <f t="array" ref="D127">SUMPRODUCT((task_table_13_4_26!$C$2:$C$596=$D$1)*(A127&gt;task_table_13_4_26!$J$2:$J$596)*(A127&lt;task_table_13_4_26!$K$2:$K$596))</f>
        <v>0</v>
      </c>
      <c r="E127" cm="1">
        <f t="array" ref="E127">SUMPRODUCT((task_table_13_4_26!$C$2:$C$596=$E$1)*(A127&gt;task_table_13_4_26!$J$2:$J$596)*(A127&lt;task_table_13_4_26!$K$2:$K$596))</f>
        <v>6</v>
      </c>
    </row>
    <row r="128" spans="1:5">
      <c r="A128" s="5">
        <v>45996</v>
      </c>
      <c r="B128" cm="1">
        <f t="array" ref="B128">SUMPRODUCT((task_table_13_4_26!$C$2:$C$596=$B$1)*(A128&gt;task_table_13_4_26!$J$2:$J$596)*(A128&lt;task_table_13_4_26!$K$2:$K$596))</f>
        <v>30</v>
      </c>
      <c r="C128" cm="1">
        <f t="array" ref="C128">SUMPRODUCT((task_table_13_4_26!$C$2:$C$596=$C$1)*(A128&gt;task_table_13_4_26!$J$2:$J$596)*(A128&lt;task_table_13_4_26!$K$2:$K$596))</f>
        <v>4</v>
      </c>
      <c r="D128" cm="1">
        <f t="array" ref="D128">SUMPRODUCT((task_table_13_4_26!$C$2:$C$596=$D$1)*(A128&gt;task_table_13_4_26!$J$2:$J$596)*(A128&lt;task_table_13_4_26!$K$2:$K$596))</f>
        <v>0</v>
      </c>
      <c r="E128" cm="1">
        <f t="array" ref="E128">SUMPRODUCT((task_table_13_4_26!$C$2:$C$596=$E$1)*(A128&gt;task_table_13_4_26!$J$2:$J$596)*(A128&lt;task_table_13_4_26!$K$2:$K$596))</f>
        <v>6</v>
      </c>
    </row>
    <row r="129" spans="1:5">
      <c r="A129" s="5">
        <v>45997</v>
      </c>
      <c r="B129" cm="1">
        <f t="array" ref="B129">SUMPRODUCT((task_table_13_4_26!$C$2:$C$596=$B$1)*(A129&gt;task_table_13_4_26!$J$2:$J$596)*(A129&lt;task_table_13_4_26!$K$2:$K$596))</f>
        <v>30</v>
      </c>
      <c r="C129" cm="1">
        <f t="array" ref="C129">SUMPRODUCT((task_table_13_4_26!$C$2:$C$596=$C$1)*(A129&gt;task_table_13_4_26!$J$2:$J$596)*(A129&lt;task_table_13_4_26!$K$2:$K$596))</f>
        <v>4</v>
      </c>
      <c r="D129" cm="1">
        <f t="array" ref="D129">SUMPRODUCT((task_table_13_4_26!$C$2:$C$596=$D$1)*(A129&gt;task_table_13_4_26!$J$2:$J$596)*(A129&lt;task_table_13_4_26!$K$2:$K$596))</f>
        <v>0</v>
      </c>
      <c r="E129" cm="1">
        <f t="array" ref="E129">SUMPRODUCT((task_table_13_4_26!$C$2:$C$596=$E$1)*(A129&gt;task_table_13_4_26!$J$2:$J$596)*(A129&lt;task_table_13_4_26!$K$2:$K$596))</f>
        <v>6</v>
      </c>
    </row>
    <row r="130" spans="1:5">
      <c r="A130" s="5">
        <v>45998</v>
      </c>
      <c r="B130" cm="1">
        <f t="array" ref="B130">SUMPRODUCT((task_table_13_4_26!$C$2:$C$596=$B$1)*(A130&gt;task_table_13_4_26!$J$2:$J$596)*(A130&lt;task_table_13_4_26!$K$2:$K$596))</f>
        <v>30</v>
      </c>
      <c r="C130" cm="1">
        <f t="array" ref="C130">SUMPRODUCT((task_table_13_4_26!$C$2:$C$596=$C$1)*(A130&gt;task_table_13_4_26!$J$2:$J$596)*(A130&lt;task_table_13_4_26!$K$2:$K$596))</f>
        <v>4</v>
      </c>
      <c r="D130" cm="1">
        <f t="array" ref="D130">SUMPRODUCT((task_table_13_4_26!$C$2:$C$596=$D$1)*(A130&gt;task_table_13_4_26!$J$2:$J$596)*(A130&lt;task_table_13_4_26!$K$2:$K$596))</f>
        <v>0</v>
      </c>
      <c r="E130" cm="1">
        <f t="array" ref="E130">SUMPRODUCT((task_table_13_4_26!$C$2:$C$596=$E$1)*(A130&gt;task_table_13_4_26!$J$2:$J$596)*(A130&lt;task_table_13_4_26!$K$2:$K$596))</f>
        <v>6</v>
      </c>
    </row>
    <row r="131" spans="1:5">
      <c r="A131" s="5">
        <v>45999</v>
      </c>
      <c r="B131" cm="1">
        <f t="array" ref="B131">SUMPRODUCT((task_table_13_4_26!$C$2:$C$596=$B$1)*(A131&gt;task_table_13_4_26!$J$2:$J$596)*(A131&lt;task_table_13_4_26!$K$2:$K$596))</f>
        <v>30</v>
      </c>
      <c r="C131" cm="1">
        <f t="array" ref="C131">SUMPRODUCT((task_table_13_4_26!$C$2:$C$596=$C$1)*(A131&gt;task_table_13_4_26!$J$2:$J$596)*(A131&lt;task_table_13_4_26!$K$2:$K$596))</f>
        <v>4</v>
      </c>
      <c r="D131" cm="1">
        <f t="array" ref="D131">SUMPRODUCT((task_table_13_4_26!$C$2:$C$596=$D$1)*(A131&gt;task_table_13_4_26!$J$2:$J$596)*(A131&lt;task_table_13_4_26!$K$2:$K$596))</f>
        <v>0</v>
      </c>
      <c r="E131" cm="1">
        <f t="array" ref="E131">SUMPRODUCT((task_table_13_4_26!$C$2:$C$596=$E$1)*(A131&gt;task_table_13_4_26!$J$2:$J$596)*(A131&lt;task_table_13_4_26!$K$2:$K$596))</f>
        <v>6</v>
      </c>
    </row>
    <row r="132" spans="1:5">
      <c r="A132" s="5">
        <v>46000</v>
      </c>
      <c r="B132" cm="1">
        <f t="array" ref="B132">SUMPRODUCT((task_table_13_4_26!$C$2:$C$596=$B$1)*(A132&gt;task_table_13_4_26!$J$2:$J$596)*(A132&lt;task_table_13_4_26!$K$2:$K$596))</f>
        <v>30</v>
      </c>
      <c r="C132" cm="1">
        <f t="array" ref="C132">SUMPRODUCT((task_table_13_4_26!$C$2:$C$596=$C$1)*(A132&gt;task_table_13_4_26!$J$2:$J$596)*(A132&lt;task_table_13_4_26!$K$2:$K$596))</f>
        <v>4</v>
      </c>
      <c r="D132" cm="1">
        <f t="array" ref="D132">SUMPRODUCT((task_table_13_4_26!$C$2:$C$596=$D$1)*(A132&gt;task_table_13_4_26!$J$2:$J$596)*(A132&lt;task_table_13_4_26!$K$2:$K$596))</f>
        <v>0</v>
      </c>
      <c r="E132" cm="1">
        <f t="array" ref="E132">SUMPRODUCT((task_table_13_4_26!$C$2:$C$596=$E$1)*(A132&gt;task_table_13_4_26!$J$2:$J$596)*(A132&lt;task_table_13_4_26!$K$2:$K$596))</f>
        <v>6</v>
      </c>
    </row>
    <row r="133" spans="1:5">
      <c r="A133" s="5">
        <v>46001</v>
      </c>
      <c r="B133" cm="1">
        <f t="array" ref="B133">SUMPRODUCT((task_table_13_4_26!$C$2:$C$596=$B$1)*(A133&gt;task_table_13_4_26!$J$2:$J$596)*(A133&lt;task_table_13_4_26!$K$2:$K$596))</f>
        <v>22</v>
      </c>
      <c r="C133" cm="1">
        <f t="array" ref="C133">SUMPRODUCT((task_table_13_4_26!$C$2:$C$596=$C$1)*(A133&gt;task_table_13_4_26!$J$2:$J$596)*(A133&lt;task_table_13_4_26!$K$2:$K$596))</f>
        <v>4</v>
      </c>
      <c r="D133" cm="1">
        <f t="array" ref="D133">SUMPRODUCT((task_table_13_4_26!$C$2:$C$596=$D$1)*(A133&gt;task_table_13_4_26!$J$2:$J$596)*(A133&lt;task_table_13_4_26!$K$2:$K$596))</f>
        <v>0</v>
      </c>
      <c r="E133" cm="1">
        <f t="array" ref="E133">SUMPRODUCT((task_table_13_4_26!$C$2:$C$596=$E$1)*(A133&gt;task_table_13_4_26!$J$2:$J$596)*(A133&lt;task_table_13_4_26!$K$2:$K$596))</f>
        <v>6</v>
      </c>
    </row>
    <row r="134" spans="1:5">
      <c r="A134" s="5">
        <v>46002</v>
      </c>
      <c r="B134" cm="1">
        <f t="array" ref="B134">SUMPRODUCT((task_table_13_4_26!$C$2:$C$596=$B$1)*(A134&gt;task_table_13_4_26!$J$2:$J$596)*(A134&lt;task_table_13_4_26!$K$2:$K$596))</f>
        <v>22</v>
      </c>
      <c r="C134" cm="1">
        <f t="array" ref="C134">SUMPRODUCT((task_table_13_4_26!$C$2:$C$596=$C$1)*(A134&gt;task_table_13_4_26!$J$2:$J$596)*(A134&lt;task_table_13_4_26!$K$2:$K$596))</f>
        <v>4</v>
      </c>
      <c r="D134" cm="1">
        <f t="array" ref="D134">SUMPRODUCT((task_table_13_4_26!$C$2:$C$596=$D$1)*(A134&gt;task_table_13_4_26!$J$2:$J$596)*(A134&lt;task_table_13_4_26!$K$2:$K$596))</f>
        <v>0</v>
      </c>
      <c r="E134" cm="1">
        <f t="array" ref="E134">SUMPRODUCT((task_table_13_4_26!$C$2:$C$596=$E$1)*(A134&gt;task_table_13_4_26!$J$2:$J$596)*(A134&lt;task_table_13_4_26!$K$2:$K$596))</f>
        <v>6</v>
      </c>
    </row>
    <row r="135" spans="1:5">
      <c r="A135" s="5">
        <v>46003</v>
      </c>
      <c r="B135" cm="1">
        <f t="array" ref="B135">SUMPRODUCT((task_table_13_4_26!$C$2:$C$596=$B$1)*(A135&gt;task_table_13_4_26!$J$2:$J$596)*(A135&lt;task_table_13_4_26!$K$2:$K$596))</f>
        <v>22</v>
      </c>
      <c r="C135" cm="1">
        <f t="array" ref="C135">SUMPRODUCT((task_table_13_4_26!$C$2:$C$596=$C$1)*(A135&gt;task_table_13_4_26!$J$2:$J$596)*(A135&lt;task_table_13_4_26!$K$2:$K$596))</f>
        <v>4</v>
      </c>
      <c r="D135" cm="1">
        <f t="array" ref="D135">SUMPRODUCT((task_table_13_4_26!$C$2:$C$596=$D$1)*(A135&gt;task_table_13_4_26!$J$2:$J$596)*(A135&lt;task_table_13_4_26!$K$2:$K$596))</f>
        <v>0</v>
      </c>
      <c r="E135" cm="1">
        <f t="array" ref="E135">SUMPRODUCT((task_table_13_4_26!$C$2:$C$596=$E$1)*(A135&gt;task_table_13_4_26!$J$2:$J$596)*(A135&lt;task_table_13_4_26!$K$2:$K$596))</f>
        <v>6</v>
      </c>
    </row>
    <row r="136" spans="1:5">
      <c r="A136" s="5">
        <v>46004</v>
      </c>
      <c r="B136" cm="1">
        <f t="array" ref="B136">SUMPRODUCT((task_table_13_4_26!$C$2:$C$596=$B$1)*(A136&gt;task_table_13_4_26!$J$2:$J$596)*(A136&lt;task_table_13_4_26!$K$2:$K$596))</f>
        <v>22</v>
      </c>
      <c r="C136" cm="1">
        <f t="array" ref="C136">SUMPRODUCT((task_table_13_4_26!$C$2:$C$596=$C$1)*(A136&gt;task_table_13_4_26!$J$2:$J$596)*(A136&lt;task_table_13_4_26!$K$2:$K$596))</f>
        <v>4</v>
      </c>
      <c r="D136" cm="1">
        <f t="array" ref="D136">SUMPRODUCT((task_table_13_4_26!$C$2:$C$596=$D$1)*(A136&gt;task_table_13_4_26!$J$2:$J$596)*(A136&lt;task_table_13_4_26!$K$2:$K$596))</f>
        <v>0</v>
      </c>
      <c r="E136" cm="1">
        <f t="array" ref="E136">SUMPRODUCT((task_table_13_4_26!$C$2:$C$596=$E$1)*(A136&gt;task_table_13_4_26!$J$2:$J$596)*(A136&lt;task_table_13_4_26!$K$2:$K$596))</f>
        <v>6</v>
      </c>
    </row>
    <row r="137" spans="1:5">
      <c r="A137" s="5">
        <v>46005</v>
      </c>
      <c r="B137" cm="1">
        <f t="array" ref="B137">SUMPRODUCT((task_table_13_4_26!$C$2:$C$596=$B$1)*(A137&gt;task_table_13_4_26!$J$2:$J$596)*(A137&lt;task_table_13_4_26!$K$2:$K$596))</f>
        <v>22</v>
      </c>
      <c r="C137" cm="1">
        <f t="array" ref="C137">SUMPRODUCT((task_table_13_4_26!$C$2:$C$596=$C$1)*(A137&gt;task_table_13_4_26!$J$2:$J$596)*(A137&lt;task_table_13_4_26!$K$2:$K$596))</f>
        <v>4</v>
      </c>
      <c r="D137" cm="1">
        <f t="array" ref="D137">SUMPRODUCT((task_table_13_4_26!$C$2:$C$596=$D$1)*(A137&gt;task_table_13_4_26!$J$2:$J$596)*(A137&lt;task_table_13_4_26!$K$2:$K$596))</f>
        <v>0</v>
      </c>
      <c r="E137" cm="1">
        <f t="array" ref="E137">SUMPRODUCT((task_table_13_4_26!$C$2:$C$596=$E$1)*(A137&gt;task_table_13_4_26!$J$2:$J$596)*(A137&lt;task_table_13_4_26!$K$2:$K$596))</f>
        <v>6</v>
      </c>
    </row>
    <row r="138" spans="1:5">
      <c r="A138" s="5">
        <v>46006</v>
      </c>
      <c r="B138" cm="1">
        <f t="array" ref="B138">SUMPRODUCT((task_table_13_4_26!$C$2:$C$596=$B$1)*(A138&gt;task_table_13_4_26!$J$2:$J$596)*(A138&lt;task_table_13_4_26!$K$2:$K$596))</f>
        <v>22</v>
      </c>
      <c r="C138" cm="1">
        <f t="array" ref="C138">SUMPRODUCT((task_table_13_4_26!$C$2:$C$596=$C$1)*(A138&gt;task_table_13_4_26!$J$2:$J$596)*(A138&lt;task_table_13_4_26!$K$2:$K$596))</f>
        <v>4</v>
      </c>
      <c r="D138" cm="1">
        <f t="array" ref="D138">SUMPRODUCT((task_table_13_4_26!$C$2:$C$596=$D$1)*(A138&gt;task_table_13_4_26!$J$2:$J$596)*(A138&lt;task_table_13_4_26!$K$2:$K$596))</f>
        <v>0</v>
      </c>
      <c r="E138" cm="1">
        <f t="array" ref="E138">SUMPRODUCT((task_table_13_4_26!$C$2:$C$596=$E$1)*(A138&gt;task_table_13_4_26!$J$2:$J$596)*(A138&lt;task_table_13_4_26!$K$2:$K$596))</f>
        <v>6</v>
      </c>
    </row>
    <row r="139" spans="1:5">
      <c r="A139" s="5">
        <v>46007</v>
      </c>
      <c r="B139" cm="1">
        <f t="array" ref="B139">SUMPRODUCT((task_table_13_4_26!$C$2:$C$596=$B$1)*(A139&gt;task_table_13_4_26!$J$2:$J$596)*(A139&lt;task_table_13_4_26!$K$2:$K$596))</f>
        <v>22</v>
      </c>
      <c r="C139" cm="1">
        <f t="array" ref="C139">SUMPRODUCT((task_table_13_4_26!$C$2:$C$596=$C$1)*(A139&gt;task_table_13_4_26!$J$2:$J$596)*(A139&lt;task_table_13_4_26!$K$2:$K$596))</f>
        <v>4</v>
      </c>
      <c r="D139" cm="1">
        <f t="array" ref="D139">SUMPRODUCT((task_table_13_4_26!$C$2:$C$596=$D$1)*(A139&gt;task_table_13_4_26!$J$2:$J$596)*(A139&lt;task_table_13_4_26!$K$2:$K$596))</f>
        <v>0</v>
      </c>
      <c r="E139" cm="1">
        <f t="array" ref="E139">SUMPRODUCT((task_table_13_4_26!$C$2:$C$596=$E$1)*(A139&gt;task_table_13_4_26!$J$2:$J$596)*(A139&lt;task_table_13_4_26!$K$2:$K$596))</f>
        <v>6</v>
      </c>
    </row>
    <row r="140" spans="1:5">
      <c r="A140" s="5">
        <v>46008</v>
      </c>
      <c r="B140" cm="1">
        <f t="array" ref="B140">SUMPRODUCT((task_table_13_4_26!$C$2:$C$596=$B$1)*(A140&gt;task_table_13_4_26!$J$2:$J$596)*(A140&lt;task_table_13_4_26!$K$2:$K$596))</f>
        <v>22</v>
      </c>
      <c r="C140" cm="1">
        <f t="array" ref="C140">SUMPRODUCT((task_table_13_4_26!$C$2:$C$596=$C$1)*(A140&gt;task_table_13_4_26!$J$2:$J$596)*(A140&lt;task_table_13_4_26!$K$2:$K$596))</f>
        <v>4</v>
      </c>
      <c r="D140" cm="1">
        <f t="array" ref="D140">SUMPRODUCT((task_table_13_4_26!$C$2:$C$596=$D$1)*(A140&gt;task_table_13_4_26!$J$2:$J$596)*(A140&lt;task_table_13_4_26!$K$2:$K$596))</f>
        <v>0</v>
      </c>
      <c r="E140" cm="1">
        <f t="array" ref="E140">SUMPRODUCT((task_table_13_4_26!$C$2:$C$596=$E$1)*(A140&gt;task_table_13_4_26!$J$2:$J$596)*(A140&lt;task_table_13_4_26!$K$2:$K$596))</f>
        <v>6</v>
      </c>
    </row>
    <row r="141" spans="1:5">
      <c r="A141" s="5">
        <v>46009</v>
      </c>
      <c r="B141" cm="1">
        <f t="array" ref="B141">SUMPRODUCT((task_table_13_4_26!$C$2:$C$596=$B$1)*(A141&gt;task_table_13_4_26!$J$2:$J$596)*(A141&lt;task_table_13_4_26!$K$2:$K$596))</f>
        <v>22</v>
      </c>
      <c r="C141" cm="1">
        <f t="array" ref="C141">SUMPRODUCT((task_table_13_4_26!$C$2:$C$596=$C$1)*(A141&gt;task_table_13_4_26!$J$2:$J$596)*(A141&lt;task_table_13_4_26!$K$2:$K$596))</f>
        <v>4</v>
      </c>
      <c r="D141" cm="1">
        <f t="array" ref="D141">SUMPRODUCT((task_table_13_4_26!$C$2:$C$596=$D$1)*(A141&gt;task_table_13_4_26!$J$2:$J$596)*(A141&lt;task_table_13_4_26!$K$2:$K$596))</f>
        <v>0</v>
      </c>
      <c r="E141" cm="1">
        <f t="array" ref="E141">SUMPRODUCT((task_table_13_4_26!$C$2:$C$596=$E$1)*(A141&gt;task_table_13_4_26!$J$2:$J$596)*(A141&lt;task_table_13_4_26!$K$2:$K$596))</f>
        <v>6</v>
      </c>
    </row>
    <row r="142" spans="1:5">
      <c r="A142" s="5">
        <v>46010</v>
      </c>
      <c r="B142" cm="1">
        <f t="array" ref="B142">SUMPRODUCT((task_table_13_4_26!$C$2:$C$596=$B$1)*(A142&gt;task_table_13_4_26!$J$2:$J$596)*(A142&lt;task_table_13_4_26!$K$2:$K$596))</f>
        <v>22</v>
      </c>
      <c r="C142" cm="1">
        <f t="array" ref="C142">SUMPRODUCT((task_table_13_4_26!$C$2:$C$596=$C$1)*(A142&gt;task_table_13_4_26!$J$2:$J$596)*(A142&lt;task_table_13_4_26!$K$2:$K$596))</f>
        <v>4</v>
      </c>
      <c r="D142" cm="1">
        <f t="array" ref="D142">SUMPRODUCT((task_table_13_4_26!$C$2:$C$596=$D$1)*(A142&gt;task_table_13_4_26!$J$2:$J$596)*(A142&lt;task_table_13_4_26!$K$2:$K$596))</f>
        <v>0</v>
      </c>
      <c r="E142" cm="1">
        <f t="array" ref="E142">SUMPRODUCT((task_table_13_4_26!$C$2:$C$596=$E$1)*(A142&gt;task_table_13_4_26!$J$2:$J$596)*(A142&lt;task_table_13_4_26!$K$2:$K$596))</f>
        <v>6</v>
      </c>
    </row>
    <row r="143" spans="1:5">
      <c r="A143" s="5">
        <v>46011</v>
      </c>
      <c r="B143" cm="1">
        <f t="array" ref="B143">SUMPRODUCT((task_table_13_4_26!$C$2:$C$596=$B$1)*(A143&gt;task_table_13_4_26!$J$2:$J$596)*(A143&lt;task_table_13_4_26!$K$2:$K$596))</f>
        <v>22</v>
      </c>
      <c r="C143" cm="1">
        <f t="array" ref="C143">SUMPRODUCT((task_table_13_4_26!$C$2:$C$596=$C$1)*(A143&gt;task_table_13_4_26!$J$2:$J$596)*(A143&lt;task_table_13_4_26!$K$2:$K$596))</f>
        <v>4</v>
      </c>
      <c r="D143" cm="1">
        <f t="array" ref="D143">SUMPRODUCT((task_table_13_4_26!$C$2:$C$596=$D$1)*(A143&gt;task_table_13_4_26!$J$2:$J$596)*(A143&lt;task_table_13_4_26!$K$2:$K$596))</f>
        <v>0</v>
      </c>
      <c r="E143" cm="1">
        <f t="array" ref="E143">SUMPRODUCT((task_table_13_4_26!$C$2:$C$596=$E$1)*(A143&gt;task_table_13_4_26!$J$2:$J$596)*(A143&lt;task_table_13_4_26!$K$2:$K$596))</f>
        <v>6</v>
      </c>
    </row>
    <row r="144" spans="1:5">
      <c r="A144" s="5">
        <v>46012</v>
      </c>
      <c r="B144" cm="1">
        <f t="array" ref="B144">SUMPRODUCT((task_table_13_4_26!$C$2:$C$596=$B$1)*(A144&gt;task_table_13_4_26!$J$2:$J$596)*(A144&lt;task_table_13_4_26!$K$2:$K$596))</f>
        <v>22</v>
      </c>
      <c r="C144" cm="1">
        <f t="array" ref="C144">SUMPRODUCT((task_table_13_4_26!$C$2:$C$596=$C$1)*(A144&gt;task_table_13_4_26!$J$2:$J$596)*(A144&lt;task_table_13_4_26!$K$2:$K$596))</f>
        <v>4</v>
      </c>
      <c r="D144" cm="1">
        <f t="array" ref="D144">SUMPRODUCT((task_table_13_4_26!$C$2:$C$596=$D$1)*(A144&gt;task_table_13_4_26!$J$2:$J$596)*(A144&lt;task_table_13_4_26!$K$2:$K$596))</f>
        <v>0</v>
      </c>
      <c r="E144" cm="1">
        <f t="array" ref="E144">SUMPRODUCT((task_table_13_4_26!$C$2:$C$596=$E$1)*(A144&gt;task_table_13_4_26!$J$2:$J$596)*(A144&lt;task_table_13_4_26!$K$2:$K$596))</f>
        <v>6</v>
      </c>
    </row>
    <row r="145" spans="1:5">
      <c r="A145" s="5">
        <v>46013</v>
      </c>
      <c r="B145" cm="1">
        <f t="array" ref="B145">SUMPRODUCT((task_table_13_4_26!$C$2:$C$596=$B$1)*(A145&gt;task_table_13_4_26!$J$2:$J$596)*(A145&lt;task_table_13_4_26!$K$2:$K$596))</f>
        <v>22</v>
      </c>
      <c r="C145" cm="1">
        <f t="array" ref="C145">SUMPRODUCT((task_table_13_4_26!$C$2:$C$596=$C$1)*(A145&gt;task_table_13_4_26!$J$2:$J$596)*(A145&lt;task_table_13_4_26!$K$2:$K$596))</f>
        <v>4</v>
      </c>
      <c r="D145" cm="1">
        <f t="array" ref="D145">SUMPRODUCT((task_table_13_4_26!$C$2:$C$596=$D$1)*(A145&gt;task_table_13_4_26!$J$2:$J$596)*(A145&lt;task_table_13_4_26!$K$2:$K$596))</f>
        <v>0</v>
      </c>
      <c r="E145" cm="1">
        <f t="array" ref="E145">SUMPRODUCT((task_table_13_4_26!$C$2:$C$596=$E$1)*(A145&gt;task_table_13_4_26!$J$2:$J$596)*(A145&lt;task_table_13_4_26!$K$2:$K$596))</f>
        <v>6</v>
      </c>
    </row>
    <row r="146" spans="1:5">
      <c r="A146" s="5">
        <v>46014</v>
      </c>
      <c r="B146" cm="1">
        <f t="array" ref="B146">SUMPRODUCT((task_table_13_4_26!$C$2:$C$596=$B$1)*(A146&gt;task_table_13_4_26!$J$2:$J$596)*(A146&lt;task_table_13_4_26!$K$2:$K$596))</f>
        <v>21</v>
      </c>
      <c r="C146" cm="1">
        <f t="array" ref="C146">SUMPRODUCT((task_table_13_4_26!$C$2:$C$596=$C$1)*(A146&gt;task_table_13_4_26!$J$2:$J$596)*(A146&lt;task_table_13_4_26!$K$2:$K$596))</f>
        <v>4</v>
      </c>
      <c r="D146" cm="1">
        <f t="array" ref="D146">SUMPRODUCT((task_table_13_4_26!$C$2:$C$596=$D$1)*(A146&gt;task_table_13_4_26!$J$2:$J$596)*(A146&lt;task_table_13_4_26!$K$2:$K$596))</f>
        <v>0</v>
      </c>
      <c r="E146" cm="1">
        <f t="array" ref="E146">SUMPRODUCT((task_table_13_4_26!$C$2:$C$596=$E$1)*(A146&gt;task_table_13_4_26!$J$2:$J$596)*(A146&lt;task_table_13_4_26!$K$2:$K$596))</f>
        <v>6</v>
      </c>
    </row>
    <row r="147" spans="1:5">
      <c r="A147" s="5">
        <v>46015</v>
      </c>
      <c r="B147" cm="1">
        <f t="array" ref="B147">SUMPRODUCT((task_table_13_4_26!$C$2:$C$596=$B$1)*(A147&gt;task_table_13_4_26!$J$2:$J$596)*(A147&lt;task_table_13_4_26!$K$2:$K$596))</f>
        <v>21</v>
      </c>
      <c r="C147" cm="1">
        <f t="array" ref="C147">SUMPRODUCT((task_table_13_4_26!$C$2:$C$596=$C$1)*(A147&gt;task_table_13_4_26!$J$2:$J$596)*(A147&lt;task_table_13_4_26!$K$2:$K$596))</f>
        <v>4</v>
      </c>
      <c r="D147" cm="1">
        <f t="array" ref="D147">SUMPRODUCT((task_table_13_4_26!$C$2:$C$596=$D$1)*(A147&gt;task_table_13_4_26!$J$2:$J$596)*(A147&lt;task_table_13_4_26!$K$2:$K$596))</f>
        <v>0</v>
      </c>
      <c r="E147" cm="1">
        <f t="array" ref="E147">SUMPRODUCT((task_table_13_4_26!$C$2:$C$596=$E$1)*(A147&gt;task_table_13_4_26!$J$2:$J$596)*(A147&lt;task_table_13_4_26!$K$2:$K$596))</f>
        <v>6</v>
      </c>
    </row>
    <row r="148" spans="1:5">
      <c r="A148" s="5">
        <v>46016</v>
      </c>
      <c r="B148" cm="1">
        <f t="array" ref="B148">SUMPRODUCT((task_table_13_4_26!$C$2:$C$596=$B$1)*(A148&gt;task_table_13_4_26!$J$2:$J$596)*(A148&lt;task_table_13_4_26!$K$2:$K$596))</f>
        <v>21</v>
      </c>
      <c r="C148" cm="1">
        <f t="array" ref="C148">SUMPRODUCT((task_table_13_4_26!$C$2:$C$596=$C$1)*(A148&gt;task_table_13_4_26!$J$2:$J$596)*(A148&lt;task_table_13_4_26!$K$2:$K$596))</f>
        <v>4</v>
      </c>
      <c r="D148" cm="1">
        <f t="array" ref="D148">SUMPRODUCT((task_table_13_4_26!$C$2:$C$596=$D$1)*(A148&gt;task_table_13_4_26!$J$2:$J$596)*(A148&lt;task_table_13_4_26!$K$2:$K$596))</f>
        <v>0</v>
      </c>
      <c r="E148" cm="1">
        <f t="array" ref="E148">SUMPRODUCT((task_table_13_4_26!$C$2:$C$596=$E$1)*(A148&gt;task_table_13_4_26!$J$2:$J$596)*(A148&lt;task_table_13_4_26!$K$2:$K$596))</f>
        <v>6</v>
      </c>
    </row>
    <row r="149" spans="1:5">
      <c r="A149" s="5">
        <v>46017</v>
      </c>
      <c r="B149" cm="1">
        <f t="array" ref="B149">SUMPRODUCT((task_table_13_4_26!$C$2:$C$596=$B$1)*(A149&gt;task_table_13_4_26!$J$2:$J$596)*(A149&lt;task_table_13_4_26!$K$2:$K$596))</f>
        <v>21</v>
      </c>
      <c r="C149" cm="1">
        <f t="array" ref="C149">SUMPRODUCT((task_table_13_4_26!$C$2:$C$596=$C$1)*(A149&gt;task_table_13_4_26!$J$2:$J$596)*(A149&lt;task_table_13_4_26!$K$2:$K$596))</f>
        <v>4</v>
      </c>
      <c r="D149" cm="1">
        <f t="array" ref="D149">SUMPRODUCT((task_table_13_4_26!$C$2:$C$596=$D$1)*(A149&gt;task_table_13_4_26!$J$2:$J$596)*(A149&lt;task_table_13_4_26!$K$2:$K$596))</f>
        <v>0</v>
      </c>
      <c r="E149" cm="1">
        <f t="array" ref="E149">SUMPRODUCT((task_table_13_4_26!$C$2:$C$596=$E$1)*(A149&gt;task_table_13_4_26!$J$2:$J$596)*(A149&lt;task_table_13_4_26!$K$2:$K$596))</f>
        <v>6</v>
      </c>
    </row>
    <row r="150" spans="1:5">
      <c r="A150" s="5">
        <v>46018</v>
      </c>
      <c r="B150" cm="1">
        <f t="array" ref="B150">SUMPRODUCT((task_table_13_4_26!$C$2:$C$596=$B$1)*(A150&gt;task_table_13_4_26!$J$2:$J$596)*(A150&lt;task_table_13_4_26!$K$2:$K$596))</f>
        <v>21</v>
      </c>
      <c r="C150" cm="1">
        <f t="array" ref="C150">SUMPRODUCT((task_table_13_4_26!$C$2:$C$596=$C$1)*(A150&gt;task_table_13_4_26!$J$2:$J$596)*(A150&lt;task_table_13_4_26!$K$2:$K$596))</f>
        <v>4</v>
      </c>
      <c r="D150" cm="1">
        <f t="array" ref="D150">SUMPRODUCT((task_table_13_4_26!$C$2:$C$596=$D$1)*(A150&gt;task_table_13_4_26!$J$2:$J$596)*(A150&lt;task_table_13_4_26!$K$2:$K$596))</f>
        <v>0</v>
      </c>
      <c r="E150" cm="1">
        <f t="array" ref="E150">SUMPRODUCT((task_table_13_4_26!$C$2:$C$596=$E$1)*(A150&gt;task_table_13_4_26!$J$2:$J$596)*(A150&lt;task_table_13_4_26!$K$2:$K$596))</f>
        <v>6</v>
      </c>
    </row>
    <row r="151" spans="1:5">
      <c r="A151" s="5">
        <v>46019</v>
      </c>
      <c r="B151" cm="1">
        <f t="array" ref="B151">SUMPRODUCT((task_table_13_4_26!$C$2:$C$596=$B$1)*(A151&gt;task_table_13_4_26!$J$2:$J$596)*(A151&lt;task_table_13_4_26!$K$2:$K$596))</f>
        <v>21</v>
      </c>
      <c r="C151" cm="1">
        <f t="array" ref="C151">SUMPRODUCT((task_table_13_4_26!$C$2:$C$596=$C$1)*(A151&gt;task_table_13_4_26!$J$2:$J$596)*(A151&lt;task_table_13_4_26!$K$2:$K$596))</f>
        <v>4</v>
      </c>
      <c r="D151" cm="1">
        <f t="array" ref="D151">SUMPRODUCT((task_table_13_4_26!$C$2:$C$596=$D$1)*(A151&gt;task_table_13_4_26!$J$2:$J$596)*(A151&lt;task_table_13_4_26!$K$2:$K$596))</f>
        <v>0</v>
      </c>
      <c r="E151" cm="1">
        <f t="array" ref="E151">SUMPRODUCT((task_table_13_4_26!$C$2:$C$596=$E$1)*(A151&gt;task_table_13_4_26!$J$2:$J$596)*(A151&lt;task_table_13_4_26!$K$2:$K$596))</f>
        <v>6</v>
      </c>
    </row>
    <row r="152" spans="1:5">
      <c r="A152" s="5">
        <v>46020</v>
      </c>
      <c r="B152" cm="1">
        <f t="array" ref="B152">SUMPRODUCT((task_table_13_4_26!$C$2:$C$596=$B$1)*(A152&gt;task_table_13_4_26!$J$2:$J$596)*(A152&lt;task_table_13_4_26!$K$2:$K$596))</f>
        <v>21</v>
      </c>
      <c r="C152" cm="1">
        <f t="array" ref="C152">SUMPRODUCT((task_table_13_4_26!$C$2:$C$596=$C$1)*(A152&gt;task_table_13_4_26!$J$2:$J$596)*(A152&lt;task_table_13_4_26!$K$2:$K$596))</f>
        <v>4</v>
      </c>
      <c r="D152" cm="1">
        <f t="array" ref="D152">SUMPRODUCT((task_table_13_4_26!$C$2:$C$596=$D$1)*(A152&gt;task_table_13_4_26!$J$2:$J$596)*(A152&lt;task_table_13_4_26!$K$2:$K$596))</f>
        <v>0</v>
      </c>
      <c r="E152" cm="1">
        <f t="array" ref="E152">SUMPRODUCT((task_table_13_4_26!$C$2:$C$596=$E$1)*(A152&gt;task_table_13_4_26!$J$2:$J$596)*(A152&lt;task_table_13_4_26!$K$2:$K$596))</f>
        <v>6</v>
      </c>
    </row>
    <row r="153" spans="1:5">
      <c r="A153" s="5">
        <v>46021</v>
      </c>
      <c r="B153" cm="1">
        <f t="array" ref="B153">SUMPRODUCT((task_table_13_4_26!$C$2:$C$596=$B$1)*(A153&gt;task_table_13_4_26!$J$2:$J$596)*(A153&lt;task_table_13_4_26!$K$2:$K$596))</f>
        <v>21</v>
      </c>
      <c r="C153" cm="1">
        <f t="array" ref="C153">SUMPRODUCT((task_table_13_4_26!$C$2:$C$596=$C$1)*(A153&gt;task_table_13_4_26!$J$2:$J$596)*(A153&lt;task_table_13_4_26!$K$2:$K$596))</f>
        <v>4</v>
      </c>
      <c r="D153" cm="1">
        <f t="array" ref="D153">SUMPRODUCT((task_table_13_4_26!$C$2:$C$596=$D$1)*(A153&gt;task_table_13_4_26!$J$2:$J$596)*(A153&lt;task_table_13_4_26!$K$2:$K$596))</f>
        <v>0</v>
      </c>
      <c r="E153" cm="1">
        <f t="array" ref="E153">SUMPRODUCT((task_table_13_4_26!$C$2:$C$596=$E$1)*(A153&gt;task_table_13_4_26!$J$2:$J$596)*(A153&lt;task_table_13_4_26!$K$2:$K$596))</f>
        <v>6</v>
      </c>
    </row>
    <row r="154" spans="1:5">
      <c r="A154" s="5">
        <v>46022</v>
      </c>
      <c r="B154" cm="1">
        <f t="array" ref="B154">SUMPRODUCT((task_table_13_4_26!$C$2:$C$596=$B$1)*(A154&gt;task_table_13_4_26!$J$2:$J$596)*(A154&lt;task_table_13_4_26!$K$2:$K$596))</f>
        <v>20</v>
      </c>
      <c r="C154" cm="1">
        <f t="array" ref="C154">SUMPRODUCT((task_table_13_4_26!$C$2:$C$596=$C$1)*(A154&gt;task_table_13_4_26!$J$2:$J$596)*(A154&lt;task_table_13_4_26!$K$2:$K$596))</f>
        <v>4</v>
      </c>
      <c r="D154" cm="1">
        <f t="array" ref="D154">SUMPRODUCT((task_table_13_4_26!$C$2:$C$596=$D$1)*(A154&gt;task_table_13_4_26!$J$2:$J$596)*(A154&lt;task_table_13_4_26!$K$2:$K$596))</f>
        <v>0</v>
      </c>
      <c r="E154" cm="1">
        <f t="array" ref="E154">SUMPRODUCT((task_table_13_4_26!$C$2:$C$596=$E$1)*(A154&gt;task_table_13_4_26!$J$2:$J$596)*(A154&lt;task_table_13_4_26!$K$2:$K$596))</f>
        <v>5</v>
      </c>
    </row>
    <row r="155" spans="1:5">
      <c r="A155" s="5">
        <v>46023</v>
      </c>
      <c r="B155" cm="1">
        <f t="array" ref="B155">SUMPRODUCT((task_table_13_4_26!$C$2:$C$596=$B$1)*(A155&gt;task_table_13_4_26!$J$2:$J$596)*(A155&lt;task_table_13_4_26!$K$2:$K$596))</f>
        <v>20</v>
      </c>
      <c r="C155" cm="1">
        <f t="array" ref="C155">SUMPRODUCT((task_table_13_4_26!$C$2:$C$596=$C$1)*(A155&gt;task_table_13_4_26!$J$2:$J$596)*(A155&lt;task_table_13_4_26!$K$2:$K$596))</f>
        <v>4</v>
      </c>
      <c r="D155" cm="1">
        <f t="array" ref="D155">SUMPRODUCT((task_table_13_4_26!$C$2:$C$596=$D$1)*(A155&gt;task_table_13_4_26!$J$2:$J$596)*(A155&lt;task_table_13_4_26!$K$2:$K$596))</f>
        <v>0</v>
      </c>
      <c r="E155" cm="1">
        <f t="array" ref="E155">SUMPRODUCT((task_table_13_4_26!$C$2:$C$596=$E$1)*(A155&gt;task_table_13_4_26!$J$2:$J$596)*(A155&lt;task_table_13_4_26!$K$2:$K$596))</f>
        <v>5</v>
      </c>
    </row>
    <row r="156" spans="1:5">
      <c r="A156" s="5">
        <v>46024</v>
      </c>
      <c r="B156" cm="1">
        <f t="array" ref="B156">SUMPRODUCT((task_table_13_4_26!$C$2:$C$596=$B$1)*(A156&gt;task_table_13_4_26!$J$2:$J$596)*(A156&lt;task_table_13_4_26!$K$2:$K$596))</f>
        <v>21</v>
      </c>
      <c r="C156" cm="1">
        <f t="array" ref="C156">SUMPRODUCT((task_table_13_4_26!$C$2:$C$596=$C$1)*(A156&gt;task_table_13_4_26!$J$2:$J$596)*(A156&lt;task_table_13_4_26!$K$2:$K$596))</f>
        <v>5</v>
      </c>
      <c r="D156" cm="1">
        <f t="array" ref="D156">SUMPRODUCT((task_table_13_4_26!$C$2:$C$596=$D$1)*(A156&gt;task_table_13_4_26!$J$2:$J$596)*(A156&lt;task_table_13_4_26!$K$2:$K$596))</f>
        <v>0</v>
      </c>
      <c r="E156" cm="1">
        <f t="array" ref="E156">SUMPRODUCT((task_table_13_4_26!$C$2:$C$596=$E$1)*(A156&gt;task_table_13_4_26!$J$2:$J$596)*(A156&lt;task_table_13_4_26!$K$2:$K$596))</f>
        <v>5</v>
      </c>
    </row>
    <row r="157" spans="1:5">
      <c r="A157" s="5">
        <v>46025</v>
      </c>
      <c r="B157" cm="1">
        <f t="array" ref="B157">SUMPRODUCT((task_table_13_4_26!$C$2:$C$596=$B$1)*(A157&gt;task_table_13_4_26!$J$2:$J$596)*(A157&lt;task_table_13_4_26!$K$2:$K$596))</f>
        <v>21</v>
      </c>
      <c r="C157" cm="1">
        <f t="array" ref="C157">SUMPRODUCT((task_table_13_4_26!$C$2:$C$596=$C$1)*(A157&gt;task_table_13_4_26!$J$2:$J$596)*(A157&lt;task_table_13_4_26!$K$2:$K$596))</f>
        <v>5</v>
      </c>
      <c r="D157" cm="1">
        <f t="array" ref="D157">SUMPRODUCT((task_table_13_4_26!$C$2:$C$596=$D$1)*(A157&gt;task_table_13_4_26!$J$2:$J$596)*(A157&lt;task_table_13_4_26!$K$2:$K$596))</f>
        <v>0</v>
      </c>
      <c r="E157" cm="1">
        <f t="array" ref="E157">SUMPRODUCT((task_table_13_4_26!$C$2:$C$596=$E$1)*(A157&gt;task_table_13_4_26!$J$2:$J$596)*(A157&lt;task_table_13_4_26!$K$2:$K$596))</f>
        <v>5</v>
      </c>
    </row>
    <row r="158" spans="1:5">
      <c r="A158" s="5">
        <v>46026</v>
      </c>
      <c r="B158" cm="1">
        <f t="array" ref="B158">SUMPRODUCT((task_table_13_4_26!$C$2:$C$596=$B$1)*(A158&gt;task_table_13_4_26!$J$2:$J$596)*(A158&lt;task_table_13_4_26!$K$2:$K$596))</f>
        <v>21</v>
      </c>
      <c r="C158" cm="1">
        <f t="array" ref="C158">SUMPRODUCT((task_table_13_4_26!$C$2:$C$596=$C$1)*(A158&gt;task_table_13_4_26!$J$2:$J$596)*(A158&lt;task_table_13_4_26!$K$2:$K$596))</f>
        <v>5</v>
      </c>
      <c r="D158" cm="1">
        <f t="array" ref="D158">SUMPRODUCT((task_table_13_4_26!$C$2:$C$596=$D$1)*(A158&gt;task_table_13_4_26!$J$2:$J$596)*(A158&lt;task_table_13_4_26!$K$2:$K$596))</f>
        <v>0</v>
      </c>
      <c r="E158" cm="1">
        <f t="array" ref="E158">SUMPRODUCT((task_table_13_4_26!$C$2:$C$596=$E$1)*(A158&gt;task_table_13_4_26!$J$2:$J$596)*(A158&lt;task_table_13_4_26!$K$2:$K$596))</f>
        <v>5</v>
      </c>
    </row>
    <row r="159" spans="1:5">
      <c r="A159" s="5">
        <v>46027</v>
      </c>
      <c r="B159" cm="1">
        <f t="array" ref="B159">SUMPRODUCT((task_table_13_4_26!$C$2:$C$596=$B$1)*(A159&gt;task_table_13_4_26!$J$2:$J$596)*(A159&lt;task_table_13_4_26!$K$2:$K$596))</f>
        <v>21</v>
      </c>
      <c r="C159" cm="1">
        <f t="array" ref="C159">SUMPRODUCT((task_table_13_4_26!$C$2:$C$596=$C$1)*(A159&gt;task_table_13_4_26!$J$2:$J$596)*(A159&lt;task_table_13_4_26!$K$2:$K$596))</f>
        <v>5</v>
      </c>
      <c r="D159" cm="1">
        <f t="array" ref="D159">SUMPRODUCT((task_table_13_4_26!$C$2:$C$596=$D$1)*(A159&gt;task_table_13_4_26!$J$2:$J$596)*(A159&lt;task_table_13_4_26!$K$2:$K$596))</f>
        <v>0</v>
      </c>
      <c r="E159" cm="1">
        <f t="array" ref="E159">SUMPRODUCT((task_table_13_4_26!$C$2:$C$596=$E$1)*(A159&gt;task_table_13_4_26!$J$2:$J$596)*(A159&lt;task_table_13_4_26!$K$2:$K$596))</f>
        <v>5</v>
      </c>
    </row>
    <row r="160" spans="1:5">
      <c r="A160" s="5">
        <v>46028</v>
      </c>
      <c r="B160" cm="1">
        <f t="array" ref="B160">SUMPRODUCT((task_table_13_4_26!$C$2:$C$596=$B$1)*(A160&gt;task_table_13_4_26!$J$2:$J$596)*(A160&lt;task_table_13_4_26!$K$2:$K$596))</f>
        <v>21</v>
      </c>
      <c r="C160" cm="1">
        <f t="array" ref="C160">SUMPRODUCT((task_table_13_4_26!$C$2:$C$596=$C$1)*(A160&gt;task_table_13_4_26!$J$2:$J$596)*(A160&lt;task_table_13_4_26!$K$2:$K$596))</f>
        <v>5</v>
      </c>
      <c r="D160" cm="1">
        <f t="array" ref="D160">SUMPRODUCT((task_table_13_4_26!$C$2:$C$596=$D$1)*(A160&gt;task_table_13_4_26!$J$2:$J$596)*(A160&lt;task_table_13_4_26!$K$2:$K$596))</f>
        <v>0</v>
      </c>
      <c r="E160" cm="1">
        <f t="array" ref="E160">SUMPRODUCT((task_table_13_4_26!$C$2:$C$596=$E$1)*(A160&gt;task_table_13_4_26!$J$2:$J$596)*(A160&lt;task_table_13_4_26!$K$2:$K$596))</f>
        <v>5</v>
      </c>
    </row>
    <row r="161" spans="1:5">
      <c r="A161" s="5">
        <v>46029</v>
      </c>
      <c r="B161" cm="1">
        <f t="array" ref="B161">SUMPRODUCT((task_table_13_4_26!$C$2:$C$596=$B$1)*(A161&gt;task_table_13_4_26!$J$2:$J$596)*(A161&lt;task_table_13_4_26!$K$2:$K$596))</f>
        <v>21</v>
      </c>
      <c r="C161" cm="1">
        <f t="array" ref="C161">SUMPRODUCT((task_table_13_4_26!$C$2:$C$596=$C$1)*(A161&gt;task_table_13_4_26!$J$2:$J$596)*(A161&lt;task_table_13_4_26!$K$2:$K$596))</f>
        <v>5</v>
      </c>
      <c r="D161" cm="1">
        <f t="array" ref="D161">SUMPRODUCT((task_table_13_4_26!$C$2:$C$596=$D$1)*(A161&gt;task_table_13_4_26!$J$2:$J$596)*(A161&lt;task_table_13_4_26!$K$2:$K$596))</f>
        <v>0</v>
      </c>
      <c r="E161" cm="1">
        <f t="array" ref="E161">SUMPRODUCT((task_table_13_4_26!$C$2:$C$596=$E$1)*(A161&gt;task_table_13_4_26!$J$2:$J$596)*(A161&lt;task_table_13_4_26!$K$2:$K$596))</f>
        <v>5</v>
      </c>
    </row>
    <row r="162" spans="1:5">
      <c r="A162" s="5">
        <v>46030</v>
      </c>
      <c r="B162" cm="1">
        <f t="array" ref="B162">SUMPRODUCT((task_table_13_4_26!$C$2:$C$596=$B$1)*(A162&gt;task_table_13_4_26!$J$2:$J$596)*(A162&lt;task_table_13_4_26!$K$2:$K$596))</f>
        <v>22</v>
      </c>
      <c r="C162" cm="1">
        <f t="array" ref="C162">SUMPRODUCT((task_table_13_4_26!$C$2:$C$596=$C$1)*(A162&gt;task_table_13_4_26!$J$2:$J$596)*(A162&lt;task_table_13_4_26!$K$2:$K$596))</f>
        <v>6</v>
      </c>
      <c r="D162" cm="1">
        <f t="array" ref="D162">SUMPRODUCT((task_table_13_4_26!$C$2:$C$596=$D$1)*(A162&gt;task_table_13_4_26!$J$2:$J$596)*(A162&lt;task_table_13_4_26!$K$2:$K$596))</f>
        <v>0</v>
      </c>
      <c r="E162" cm="1">
        <f t="array" ref="E162">SUMPRODUCT((task_table_13_4_26!$C$2:$C$596=$E$1)*(A162&gt;task_table_13_4_26!$J$2:$J$596)*(A162&lt;task_table_13_4_26!$K$2:$K$596))</f>
        <v>5</v>
      </c>
    </row>
    <row r="163" spans="1:5">
      <c r="A163" s="5">
        <v>46031</v>
      </c>
      <c r="B163" cm="1">
        <f t="array" ref="B163">SUMPRODUCT((task_table_13_4_26!$C$2:$C$596=$B$1)*(A163&gt;task_table_13_4_26!$J$2:$J$596)*(A163&lt;task_table_13_4_26!$K$2:$K$596))</f>
        <v>22</v>
      </c>
      <c r="C163" cm="1">
        <f t="array" ref="C163">SUMPRODUCT((task_table_13_4_26!$C$2:$C$596=$C$1)*(A163&gt;task_table_13_4_26!$J$2:$J$596)*(A163&lt;task_table_13_4_26!$K$2:$K$596))</f>
        <v>6</v>
      </c>
      <c r="D163" cm="1">
        <f t="array" ref="D163">SUMPRODUCT((task_table_13_4_26!$C$2:$C$596=$D$1)*(A163&gt;task_table_13_4_26!$J$2:$J$596)*(A163&lt;task_table_13_4_26!$K$2:$K$596))</f>
        <v>0</v>
      </c>
      <c r="E163" cm="1">
        <f t="array" ref="E163">SUMPRODUCT((task_table_13_4_26!$C$2:$C$596=$E$1)*(A163&gt;task_table_13_4_26!$J$2:$J$596)*(A163&lt;task_table_13_4_26!$K$2:$K$596))</f>
        <v>5</v>
      </c>
    </row>
    <row r="164" spans="1:5">
      <c r="A164" s="5">
        <v>46032</v>
      </c>
      <c r="B164" cm="1">
        <f t="array" ref="B164">SUMPRODUCT((task_table_13_4_26!$C$2:$C$596=$B$1)*(A164&gt;task_table_13_4_26!$J$2:$J$596)*(A164&lt;task_table_13_4_26!$K$2:$K$596))</f>
        <v>22</v>
      </c>
      <c r="C164" cm="1">
        <f t="array" ref="C164">SUMPRODUCT((task_table_13_4_26!$C$2:$C$596=$C$1)*(A164&gt;task_table_13_4_26!$J$2:$J$596)*(A164&lt;task_table_13_4_26!$K$2:$K$596))</f>
        <v>6</v>
      </c>
      <c r="D164" cm="1">
        <f t="array" ref="D164">SUMPRODUCT((task_table_13_4_26!$C$2:$C$596=$D$1)*(A164&gt;task_table_13_4_26!$J$2:$J$596)*(A164&lt;task_table_13_4_26!$K$2:$K$596))</f>
        <v>0</v>
      </c>
      <c r="E164" cm="1">
        <f t="array" ref="E164">SUMPRODUCT((task_table_13_4_26!$C$2:$C$596=$E$1)*(A164&gt;task_table_13_4_26!$J$2:$J$596)*(A164&lt;task_table_13_4_26!$K$2:$K$596))</f>
        <v>5</v>
      </c>
    </row>
    <row r="165" spans="1:5">
      <c r="A165" s="5">
        <v>46033</v>
      </c>
      <c r="B165" cm="1">
        <f t="array" ref="B165">SUMPRODUCT((task_table_13_4_26!$C$2:$C$596=$B$1)*(A165&gt;task_table_13_4_26!$J$2:$J$596)*(A165&lt;task_table_13_4_26!$K$2:$K$596))</f>
        <v>22</v>
      </c>
      <c r="C165" cm="1">
        <f t="array" ref="C165">SUMPRODUCT((task_table_13_4_26!$C$2:$C$596=$C$1)*(A165&gt;task_table_13_4_26!$J$2:$J$596)*(A165&lt;task_table_13_4_26!$K$2:$K$596))</f>
        <v>6</v>
      </c>
      <c r="D165" cm="1">
        <f t="array" ref="D165">SUMPRODUCT((task_table_13_4_26!$C$2:$C$596=$D$1)*(A165&gt;task_table_13_4_26!$J$2:$J$596)*(A165&lt;task_table_13_4_26!$K$2:$K$596))</f>
        <v>0</v>
      </c>
      <c r="E165" cm="1">
        <f t="array" ref="E165">SUMPRODUCT((task_table_13_4_26!$C$2:$C$596=$E$1)*(A165&gt;task_table_13_4_26!$J$2:$J$596)*(A165&lt;task_table_13_4_26!$K$2:$K$596))</f>
        <v>5</v>
      </c>
    </row>
    <row r="166" spans="1:5">
      <c r="A166" s="5">
        <v>46034</v>
      </c>
      <c r="B166" cm="1">
        <f t="array" ref="B166">SUMPRODUCT((task_table_13_4_26!$C$2:$C$596=$B$1)*(A166&gt;task_table_13_4_26!$J$2:$J$596)*(A166&lt;task_table_13_4_26!$K$2:$K$596))</f>
        <v>22</v>
      </c>
      <c r="C166" cm="1">
        <f t="array" ref="C166">SUMPRODUCT((task_table_13_4_26!$C$2:$C$596=$C$1)*(A166&gt;task_table_13_4_26!$J$2:$J$596)*(A166&lt;task_table_13_4_26!$K$2:$K$596))</f>
        <v>6</v>
      </c>
      <c r="D166" cm="1">
        <f t="array" ref="D166">SUMPRODUCT((task_table_13_4_26!$C$2:$C$596=$D$1)*(A166&gt;task_table_13_4_26!$J$2:$J$596)*(A166&lt;task_table_13_4_26!$K$2:$K$596))</f>
        <v>0</v>
      </c>
      <c r="E166" cm="1">
        <f t="array" ref="E166">SUMPRODUCT((task_table_13_4_26!$C$2:$C$596=$E$1)*(A166&gt;task_table_13_4_26!$J$2:$J$596)*(A166&lt;task_table_13_4_26!$K$2:$K$596))</f>
        <v>5</v>
      </c>
    </row>
    <row r="167" spans="1:5">
      <c r="A167" s="5">
        <v>46035</v>
      </c>
      <c r="B167" cm="1">
        <f t="array" ref="B167">SUMPRODUCT((task_table_13_4_26!$C$2:$C$596=$B$1)*(A167&gt;task_table_13_4_26!$J$2:$J$596)*(A167&lt;task_table_13_4_26!$K$2:$K$596))</f>
        <v>30</v>
      </c>
      <c r="C167" cm="1">
        <f t="array" ref="C167">SUMPRODUCT((task_table_13_4_26!$C$2:$C$596=$C$1)*(A167&gt;task_table_13_4_26!$J$2:$J$596)*(A167&lt;task_table_13_4_26!$K$2:$K$596))</f>
        <v>6</v>
      </c>
      <c r="D167" cm="1">
        <f t="array" ref="D167">SUMPRODUCT((task_table_13_4_26!$C$2:$C$596=$D$1)*(A167&gt;task_table_13_4_26!$J$2:$J$596)*(A167&lt;task_table_13_4_26!$K$2:$K$596))</f>
        <v>0</v>
      </c>
      <c r="E167" cm="1">
        <f t="array" ref="E167">SUMPRODUCT((task_table_13_4_26!$C$2:$C$596=$E$1)*(A167&gt;task_table_13_4_26!$J$2:$J$596)*(A167&lt;task_table_13_4_26!$K$2:$K$596))</f>
        <v>5</v>
      </c>
    </row>
    <row r="168" spans="1:5">
      <c r="A168" s="5">
        <v>46036</v>
      </c>
      <c r="B168" cm="1">
        <f t="array" ref="B168">SUMPRODUCT((task_table_13_4_26!$C$2:$C$596=$B$1)*(A168&gt;task_table_13_4_26!$J$2:$J$596)*(A168&lt;task_table_13_4_26!$K$2:$K$596))</f>
        <v>32</v>
      </c>
      <c r="C168" cm="1">
        <f t="array" ref="C168">SUMPRODUCT((task_table_13_4_26!$C$2:$C$596=$C$1)*(A168&gt;task_table_13_4_26!$J$2:$J$596)*(A168&lt;task_table_13_4_26!$K$2:$K$596))</f>
        <v>6</v>
      </c>
      <c r="D168" cm="1">
        <f t="array" ref="D168">SUMPRODUCT((task_table_13_4_26!$C$2:$C$596=$D$1)*(A168&gt;task_table_13_4_26!$J$2:$J$596)*(A168&lt;task_table_13_4_26!$K$2:$K$596))</f>
        <v>0</v>
      </c>
      <c r="E168" cm="1">
        <f t="array" ref="E168">SUMPRODUCT((task_table_13_4_26!$C$2:$C$596=$E$1)*(A168&gt;task_table_13_4_26!$J$2:$J$596)*(A168&lt;task_table_13_4_26!$K$2:$K$596))</f>
        <v>5</v>
      </c>
    </row>
    <row r="169" spans="1:5">
      <c r="A169" s="5">
        <v>46037</v>
      </c>
      <c r="B169" cm="1">
        <f t="array" ref="B169">SUMPRODUCT((task_table_13_4_26!$C$2:$C$596=$B$1)*(A169&gt;task_table_13_4_26!$J$2:$J$596)*(A169&lt;task_table_13_4_26!$K$2:$K$596))</f>
        <v>33</v>
      </c>
      <c r="C169" cm="1">
        <f t="array" ref="C169">SUMPRODUCT((task_table_13_4_26!$C$2:$C$596=$C$1)*(A169&gt;task_table_13_4_26!$J$2:$J$596)*(A169&lt;task_table_13_4_26!$K$2:$K$596))</f>
        <v>6</v>
      </c>
      <c r="D169" cm="1">
        <f t="array" ref="D169">SUMPRODUCT((task_table_13_4_26!$C$2:$C$596=$D$1)*(A169&gt;task_table_13_4_26!$J$2:$J$596)*(A169&lt;task_table_13_4_26!$K$2:$K$596))</f>
        <v>0</v>
      </c>
      <c r="E169" cm="1">
        <f t="array" ref="E169">SUMPRODUCT((task_table_13_4_26!$C$2:$C$596=$E$1)*(A169&gt;task_table_13_4_26!$J$2:$J$596)*(A169&lt;task_table_13_4_26!$K$2:$K$596))</f>
        <v>5</v>
      </c>
    </row>
    <row r="170" spans="1:5">
      <c r="A170" s="5">
        <v>46038</v>
      </c>
      <c r="B170" cm="1">
        <f t="array" ref="B170">SUMPRODUCT((task_table_13_4_26!$C$2:$C$596=$B$1)*(A170&gt;task_table_13_4_26!$J$2:$J$596)*(A170&lt;task_table_13_4_26!$K$2:$K$596))</f>
        <v>34</v>
      </c>
      <c r="C170" cm="1">
        <f t="array" ref="C170">SUMPRODUCT((task_table_13_4_26!$C$2:$C$596=$C$1)*(A170&gt;task_table_13_4_26!$J$2:$J$596)*(A170&lt;task_table_13_4_26!$K$2:$K$596))</f>
        <v>6</v>
      </c>
      <c r="D170" cm="1">
        <f t="array" ref="D170">SUMPRODUCT((task_table_13_4_26!$C$2:$C$596=$D$1)*(A170&gt;task_table_13_4_26!$J$2:$J$596)*(A170&lt;task_table_13_4_26!$K$2:$K$596))</f>
        <v>0</v>
      </c>
      <c r="E170" cm="1">
        <f t="array" ref="E170">SUMPRODUCT((task_table_13_4_26!$C$2:$C$596=$E$1)*(A170&gt;task_table_13_4_26!$J$2:$J$596)*(A170&lt;task_table_13_4_26!$K$2:$K$596))</f>
        <v>5</v>
      </c>
    </row>
    <row r="171" spans="1:5">
      <c r="A171" s="5">
        <v>46039</v>
      </c>
      <c r="B171" cm="1">
        <f t="array" ref="B171">SUMPRODUCT((task_table_13_4_26!$C$2:$C$596=$B$1)*(A171&gt;task_table_13_4_26!$J$2:$J$596)*(A171&lt;task_table_13_4_26!$K$2:$K$596))</f>
        <v>34</v>
      </c>
      <c r="C171" cm="1">
        <f t="array" ref="C171">SUMPRODUCT((task_table_13_4_26!$C$2:$C$596=$C$1)*(A171&gt;task_table_13_4_26!$J$2:$J$596)*(A171&lt;task_table_13_4_26!$K$2:$K$596))</f>
        <v>5</v>
      </c>
      <c r="D171" cm="1">
        <f t="array" ref="D171">SUMPRODUCT((task_table_13_4_26!$C$2:$C$596=$D$1)*(A171&gt;task_table_13_4_26!$J$2:$J$596)*(A171&lt;task_table_13_4_26!$K$2:$K$596))</f>
        <v>0</v>
      </c>
      <c r="E171" cm="1">
        <f t="array" ref="E171">SUMPRODUCT((task_table_13_4_26!$C$2:$C$596=$E$1)*(A171&gt;task_table_13_4_26!$J$2:$J$596)*(A171&lt;task_table_13_4_26!$K$2:$K$596))</f>
        <v>5</v>
      </c>
    </row>
    <row r="172" spans="1:5">
      <c r="A172" s="5">
        <v>46040</v>
      </c>
      <c r="B172" cm="1">
        <f t="array" ref="B172">SUMPRODUCT((task_table_13_4_26!$C$2:$C$596=$B$1)*(A172&gt;task_table_13_4_26!$J$2:$J$596)*(A172&lt;task_table_13_4_26!$K$2:$K$596))</f>
        <v>34</v>
      </c>
      <c r="C172" cm="1">
        <f t="array" ref="C172">SUMPRODUCT((task_table_13_4_26!$C$2:$C$596=$C$1)*(A172&gt;task_table_13_4_26!$J$2:$J$596)*(A172&lt;task_table_13_4_26!$K$2:$K$596))</f>
        <v>5</v>
      </c>
      <c r="D172" cm="1">
        <f t="array" ref="D172">SUMPRODUCT((task_table_13_4_26!$C$2:$C$596=$D$1)*(A172&gt;task_table_13_4_26!$J$2:$J$596)*(A172&lt;task_table_13_4_26!$K$2:$K$596))</f>
        <v>0</v>
      </c>
      <c r="E172" cm="1">
        <f t="array" ref="E172">SUMPRODUCT((task_table_13_4_26!$C$2:$C$596=$E$1)*(A172&gt;task_table_13_4_26!$J$2:$J$596)*(A172&lt;task_table_13_4_26!$K$2:$K$596))</f>
        <v>5</v>
      </c>
    </row>
    <row r="173" spans="1:5">
      <c r="A173" s="5">
        <v>46041</v>
      </c>
      <c r="B173" cm="1">
        <f t="array" ref="B173">SUMPRODUCT((task_table_13_4_26!$C$2:$C$596=$B$1)*(A173&gt;task_table_13_4_26!$J$2:$J$596)*(A173&lt;task_table_13_4_26!$K$2:$K$596))</f>
        <v>34</v>
      </c>
      <c r="C173" cm="1">
        <f t="array" ref="C173">SUMPRODUCT((task_table_13_4_26!$C$2:$C$596=$C$1)*(A173&gt;task_table_13_4_26!$J$2:$J$596)*(A173&lt;task_table_13_4_26!$K$2:$K$596))</f>
        <v>5</v>
      </c>
      <c r="D173" cm="1">
        <f t="array" ref="D173">SUMPRODUCT((task_table_13_4_26!$C$2:$C$596=$D$1)*(A173&gt;task_table_13_4_26!$J$2:$J$596)*(A173&lt;task_table_13_4_26!$K$2:$K$596))</f>
        <v>0</v>
      </c>
      <c r="E173" cm="1">
        <f t="array" ref="E173">SUMPRODUCT((task_table_13_4_26!$C$2:$C$596=$E$1)*(A173&gt;task_table_13_4_26!$J$2:$J$596)*(A173&lt;task_table_13_4_26!$K$2:$K$596))</f>
        <v>5</v>
      </c>
    </row>
    <row r="174" spans="1:5">
      <c r="A174" s="5">
        <v>46042</v>
      </c>
      <c r="B174" cm="1">
        <f t="array" ref="B174">SUMPRODUCT((task_table_13_4_26!$C$2:$C$596=$B$1)*(A174&gt;task_table_13_4_26!$J$2:$J$596)*(A174&lt;task_table_13_4_26!$K$2:$K$596))</f>
        <v>34</v>
      </c>
      <c r="C174" cm="1">
        <f t="array" ref="C174">SUMPRODUCT((task_table_13_4_26!$C$2:$C$596=$C$1)*(A174&gt;task_table_13_4_26!$J$2:$J$596)*(A174&lt;task_table_13_4_26!$K$2:$K$596))</f>
        <v>5</v>
      </c>
      <c r="D174" cm="1">
        <f t="array" ref="D174">SUMPRODUCT((task_table_13_4_26!$C$2:$C$596=$D$1)*(A174&gt;task_table_13_4_26!$J$2:$J$596)*(A174&lt;task_table_13_4_26!$K$2:$K$596))</f>
        <v>0</v>
      </c>
      <c r="E174" cm="1">
        <f t="array" ref="E174">SUMPRODUCT((task_table_13_4_26!$C$2:$C$596=$E$1)*(A174&gt;task_table_13_4_26!$J$2:$J$596)*(A174&lt;task_table_13_4_26!$K$2:$K$596))</f>
        <v>5</v>
      </c>
    </row>
    <row r="175" spans="1:5">
      <c r="A175" s="5">
        <v>46043</v>
      </c>
      <c r="B175" cm="1">
        <f t="array" ref="B175">SUMPRODUCT((task_table_13_4_26!$C$2:$C$596=$B$1)*(A175&gt;task_table_13_4_26!$J$2:$J$596)*(A175&lt;task_table_13_4_26!$K$2:$K$596))</f>
        <v>34</v>
      </c>
      <c r="C175" cm="1">
        <f t="array" ref="C175">SUMPRODUCT((task_table_13_4_26!$C$2:$C$596=$C$1)*(A175&gt;task_table_13_4_26!$J$2:$J$596)*(A175&lt;task_table_13_4_26!$K$2:$K$596))</f>
        <v>5</v>
      </c>
      <c r="D175" cm="1">
        <f t="array" ref="D175">SUMPRODUCT((task_table_13_4_26!$C$2:$C$596=$D$1)*(A175&gt;task_table_13_4_26!$J$2:$J$596)*(A175&lt;task_table_13_4_26!$K$2:$K$596))</f>
        <v>0</v>
      </c>
      <c r="E175" cm="1">
        <f t="array" ref="E175">SUMPRODUCT((task_table_13_4_26!$C$2:$C$596=$E$1)*(A175&gt;task_table_13_4_26!$J$2:$J$596)*(A175&lt;task_table_13_4_26!$K$2:$K$596))</f>
        <v>5</v>
      </c>
    </row>
    <row r="176" spans="1:5">
      <c r="A176" s="5">
        <v>46044</v>
      </c>
      <c r="B176" cm="1">
        <f t="array" ref="B176">SUMPRODUCT((task_table_13_4_26!$C$2:$C$596=$B$1)*(A176&gt;task_table_13_4_26!$J$2:$J$596)*(A176&lt;task_table_13_4_26!$K$2:$K$596))</f>
        <v>34</v>
      </c>
      <c r="C176" cm="1">
        <f t="array" ref="C176">SUMPRODUCT((task_table_13_4_26!$C$2:$C$596=$C$1)*(A176&gt;task_table_13_4_26!$J$2:$J$596)*(A176&lt;task_table_13_4_26!$K$2:$K$596))</f>
        <v>5</v>
      </c>
      <c r="D176" cm="1">
        <f t="array" ref="D176">SUMPRODUCT((task_table_13_4_26!$C$2:$C$596=$D$1)*(A176&gt;task_table_13_4_26!$J$2:$J$596)*(A176&lt;task_table_13_4_26!$K$2:$K$596))</f>
        <v>0</v>
      </c>
      <c r="E176" cm="1">
        <f t="array" ref="E176">SUMPRODUCT((task_table_13_4_26!$C$2:$C$596=$E$1)*(A176&gt;task_table_13_4_26!$J$2:$J$596)*(A176&lt;task_table_13_4_26!$K$2:$K$596))</f>
        <v>5</v>
      </c>
    </row>
    <row r="177" spans="1:5">
      <c r="A177" s="5">
        <v>46045</v>
      </c>
      <c r="B177" cm="1">
        <f t="array" ref="B177">SUMPRODUCT((task_table_13_4_26!$C$2:$C$596=$B$1)*(A177&gt;task_table_13_4_26!$J$2:$J$596)*(A177&lt;task_table_13_4_26!$K$2:$K$596))</f>
        <v>34</v>
      </c>
      <c r="C177" cm="1">
        <f t="array" ref="C177">SUMPRODUCT((task_table_13_4_26!$C$2:$C$596=$C$1)*(A177&gt;task_table_13_4_26!$J$2:$J$596)*(A177&lt;task_table_13_4_26!$K$2:$K$596))</f>
        <v>5</v>
      </c>
      <c r="D177" cm="1">
        <f t="array" ref="D177">SUMPRODUCT((task_table_13_4_26!$C$2:$C$596=$D$1)*(A177&gt;task_table_13_4_26!$J$2:$J$596)*(A177&lt;task_table_13_4_26!$K$2:$K$596))</f>
        <v>0</v>
      </c>
      <c r="E177" cm="1">
        <f t="array" ref="E177">SUMPRODUCT((task_table_13_4_26!$C$2:$C$596=$E$1)*(A177&gt;task_table_13_4_26!$J$2:$J$596)*(A177&lt;task_table_13_4_26!$K$2:$K$596))</f>
        <v>5</v>
      </c>
    </row>
    <row r="178" spans="1:5">
      <c r="A178" s="5">
        <v>46046</v>
      </c>
      <c r="B178" cm="1">
        <f t="array" ref="B178">SUMPRODUCT((task_table_13_4_26!$C$2:$C$596=$B$1)*(A178&gt;task_table_13_4_26!$J$2:$J$596)*(A178&lt;task_table_13_4_26!$K$2:$K$596))</f>
        <v>34</v>
      </c>
      <c r="C178" cm="1">
        <f t="array" ref="C178">SUMPRODUCT((task_table_13_4_26!$C$2:$C$596=$C$1)*(A178&gt;task_table_13_4_26!$J$2:$J$596)*(A178&lt;task_table_13_4_26!$K$2:$K$596))</f>
        <v>5</v>
      </c>
      <c r="D178" cm="1">
        <f t="array" ref="D178">SUMPRODUCT((task_table_13_4_26!$C$2:$C$596=$D$1)*(A178&gt;task_table_13_4_26!$J$2:$J$596)*(A178&lt;task_table_13_4_26!$K$2:$K$596))</f>
        <v>0</v>
      </c>
      <c r="E178" cm="1">
        <f t="array" ref="E178">SUMPRODUCT((task_table_13_4_26!$C$2:$C$596=$E$1)*(A178&gt;task_table_13_4_26!$J$2:$J$596)*(A178&lt;task_table_13_4_26!$K$2:$K$596))</f>
        <v>5</v>
      </c>
    </row>
    <row r="179" spans="1:5">
      <c r="A179" s="5">
        <v>46047</v>
      </c>
      <c r="B179" cm="1">
        <f t="array" ref="B179">SUMPRODUCT((task_table_13_4_26!$C$2:$C$596=$B$1)*(A179&gt;task_table_13_4_26!$J$2:$J$596)*(A179&lt;task_table_13_4_26!$K$2:$K$596))</f>
        <v>34</v>
      </c>
      <c r="C179" cm="1">
        <f t="array" ref="C179">SUMPRODUCT((task_table_13_4_26!$C$2:$C$596=$C$1)*(A179&gt;task_table_13_4_26!$J$2:$J$596)*(A179&lt;task_table_13_4_26!$K$2:$K$596))</f>
        <v>5</v>
      </c>
      <c r="D179" cm="1">
        <f t="array" ref="D179">SUMPRODUCT((task_table_13_4_26!$C$2:$C$596=$D$1)*(A179&gt;task_table_13_4_26!$J$2:$J$596)*(A179&lt;task_table_13_4_26!$K$2:$K$596))</f>
        <v>0</v>
      </c>
      <c r="E179" cm="1">
        <f t="array" ref="E179">SUMPRODUCT((task_table_13_4_26!$C$2:$C$596=$E$1)*(A179&gt;task_table_13_4_26!$J$2:$J$596)*(A179&lt;task_table_13_4_26!$K$2:$K$596))</f>
        <v>5</v>
      </c>
    </row>
    <row r="180" spans="1:5">
      <c r="A180" s="5">
        <v>46048</v>
      </c>
      <c r="B180" cm="1">
        <f t="array" ref="B180">SUMPRODUCT((task_table_13_4_26!$C$2:$C$596=$B$1)*(A180&gt;task_table_13_4_26!$J$2:$J$596)*(A180&lt;task_table_13_4_26!$K$2:$K$596))</f>
        <v>34</v>
      </c>
      <c r="C180" cm="1">
        <f t="array" ref="C180">SUMPRODUCT((task_table_13_4_26!$C$2:$C$596=$C$1)*(A180&gt;task_table_13_4_26!$J$2:$J$596)*(A180&lt;task_table_13_4_26!$K$2:$K$596))</f>
        <v>5</v>
      </c>
      <c r="D180" cm="1">
        <f t="array" ref="D180">SUMPRODUCT((task_table_13_4_26!$C$2:$C$596=$D$1)*(A180&gt;task_table_13_4_26!$J$2:$J$596)*(A180&lt;task_table_13_4_26!$K$2:$K$596))</f>
        <v>0</v>
      </c>
      <c r="E180" cm="1">
        <f t="array" ref="E180">SUMPRODUCT((task_table_13_4_26!$C$2:$C$596=$E$1)*(A180&gt;task_table_13_4_26!$J$2:$J$596)*(A180&lt;task_table_13_4_26!$K$2:$K$596))</f>
        <v>5</v>
      </c>
    </row>
    <row r="181" spans="1:5">
      <c r="A181" s="5">
        <v>46049</v>
      </c>
      <c r="B181" cm="1">
        <f t="array" ref="B181">SUMPRODUCT((task_table_13_4_26!$C$2:$C$596=$B$1)*(A181&gt;task_table_13_4_26!$J$2:$J$596)*(A181&lt;task_table_13_4_26!$K$2:$K$596))</f>
        <v>34</v>
      </c>
      <c r="C181" cm="1">
        <f t="array" ref="C181">SUMPRODUCT((task_table_13_4_26!$C$2:$C$596=$C$1)*(A181&gt;task_table_13_4_26!$J$2:$J$596)*(A181&lt;task_table_13_4_26!$K$2:$K$596))</f>
        <v>5</v>
      </c>
      <c r="D181" cm="1">
        <f t="array" ref="D181">SUMPRODUCT((task_table_13_4_26!$C$2:$C$596=$D$1)*(A181&gt;task_table_13_4_26!$J$2:$J$596)*(A181&lt;task_table_13_4_26!$K$2:$K$596))</f>
        <v>0</v>
      </c>
      <c r="E181" cm="1">
        <f t="array" ref="E181">SUMPRODUCT((task_table_13_4_26!$C$2:$C$596=$E$1)*(A181&gt;task_table_13_4_26!$J$2:$J$596)*(A181&lt;task_table_13_4_26!$K$2:$K$596))</f>
        <v>5</v>
      </c>
    </row>
    <row r="182" spans="1:5">
      <c r="A182" s="5">
        <v>46050</v>
      </c>
      <c r="B182" cm="1">
        <f t="array" ref="B182">SUMPRODUCT((task_table_13_4_26!$C$2:$C$596=$B$1)*(A182&gt;task_table_13_4_26!$J$2:$J$596)*(A182&lt;task_table_13_4_26!$K$2:$K$596))</f>
        <v>34</v>
      </c>
      <c r="C182" cm="1">
        <f t="array" ref="C182">SUMPRODUCT((task_table_13_4_26!$C$2:$C$596=$C$1)*(A182&gt;task_table_13_4_26!$J$2:$J$596)*(A182&lt;task_table_13_4_26!$K$2:$K$596))</f>
        <v>5</v>
      </c>
      <c r="D182" cm="1">
        <f t="array" ref="D182">SUMPRODUCT((task_table_13_4_26!$C$2:$C$596=$D$1)*(A182&gt;task_table_13_4_26!$J$2:$J$596)*(A182&lt;task_table_13_4_26!$K$2:$K$596))</f>
        <v>0</v>
      </c>
      <c r="E182" cm="1">
        <f t="array" ref="E182">SUMPRODUCT((task_table_13_4_26!$C$2:$C$596=$E$1)*(A182&gt;task_table_13_4_26!$J$2:$J$596)*(A182&lt;task_table_13_4_26!$K$2:$K$596))</f>
        <v>5</v>
      </c>
    </row>
    <row r="183" spans="1:5">
      <c r="A183" s="5">
        <v>46051</v>
      </c>
      <c r="B183" cm="1">
        <f t="array" ref="B183">SUMPRODUCT((task_table_13_4_26!$C$2:$C$596=$B$1)*(A183&gt;task_table_13_4_26!$J$2:$J$596)*(A183&lt;task_table_13_4_26!$K$2:$K$596))</f>
        <v>33</v>
      </c>
      <c r="C183" cm="1">
        <f t="array" ref="C183">SUMPRODUCT((task_table_13_4_26!$C$2:$C$596=$C$1)*(A183&gt;task_table_13_4_26!$J$2:$J$596)*(A183&lt;task_table_13_4_26!$K$2:$K$596))</f>
        <v>5</v>
      </c>
      <c r="D183" cm="1">
        <f t="array" ref="D183">SUMPRODUCT((task_table_13_4_26!$C$2:$C$596=$D$1)*(A183&gt;task_table_13_4_26!$J$2:$J$596)*(A183&lt;task_table_13_4_26!$K$2:$K$596))</f>
        <v>0</v>
      </c>
      <c r="E183" cm="1">
        <f t="array" ref="E183">SUMPRODUCT((task_table_13_4_26!$C$2:$C$596=$E$1)*(A183&gt;task_table_13_4_26!$J$2:$J$596)*(A183&lt;task_table_13_4_26!$K$2:$K$596))</f>
        <v>5</v>
      </c>
    </row>
    <row r="184" spans="1:5">
      <c r="A184" s="5">
        <v>46052</v>
      </c>
      <c r="B184" cm="1">
        <f t="array" ref="B184">SUMPRODUCT((task_table_13_4_26!$C$2:$C$596=$B$1)*(A184&gt;task_table_13_4_26!$J$2:$J$596)*(A184&lt;task_table_13_4_26!$K$2:$K$596))</f>
        <v>32</v>
      </c>
      <c r="C184" cm="1">
        <f t="array" ref="C184">SUMPRODUCT((task_table_13_4_26!$C$2:$C$596=$C$1)*(A184&gt;task_table_13_4_26!$J$2:$J$596)*(A184&lt;task_table_13_4_26!$K$2:$K$596))</f>
        <v>5</v>
      </c>
      <c r="D184" cm="1">
        <f t="array" ref="D184">SUMPRODUCT((task_table_13_4_26!$C$2:$C$596=$D$1)*(A184&gt;task_table_13_4_26!$J$2:$J$596)*(A184&lt;task_table_13_4_26!$K$2:$K$596))</f>
        <v>0</v>
      </c>
      <c r="E184" cm="1">
        <f t="array" ref="E184">SUMPRODUCT((task_table_13_4_26!$C$2:$C$596=$E$1)*(A184&gt;task_table_13_4_26!$J$2:$J$596)*(A184&lt;task_table_13_4_26!$K$2:$K$596))</f>
        <v>5</v>
      </c>
    </row>
    <row r="185" spans="1:5">
      <c r="A185" s="5">
        <v>46053</v>
      </c>
      <c r="B185" cm="1">
        <f t="array" ref="B185">SUMPRODUCT((task_table_13_4_26!$C$2:$C$596=$B$1)*(A185&gt;task_table_13_4_26!$J$2:$J$596)*(A185&lt;task_table_13_4_26!$K$2:$K$596))</f>
        <v>32</v>
      </c>
      <c r="C185" cm="1">
        <f t="array" ref="C185">SUMPRODUCT((task_table_13_4_26!$C$2:$C$596=$C$1)*(A185&gt;task_table_13_4_26!$J$2:$J$596)*(A185&lt;task_table_13_4_26!$K$2:$K$596))</f>
        <v>5</v>
      </c>
      <c r="D185" cm="1">
        <f t="array" ref="D185">SUMPRODUCT((task_table_13_4_26!$C$2:$C$596=$D$1)*(A185&gt;task_table_13_4_26!$J$2:$J$596)*(A185&lt;task_table_13_4_26!$K$2:$K$596))</f>
        <v>0</v>
      </c>
      <c r="E185" cm="1">
        <f t="array" ref="E185">SUMPRODUCT((task_table_13_4_26!$C$2:$C$596=$E$1)*(A185&gt;task_table_13_4_26!$J$2:$J$596)*(A185&lt;task_table_13_4_26!$K$2:$K$596))</f>
        <v>5</v>
      </c>
    </row>
    <row r="186" spans="1:5">
      <c r="A186" s="5">
        <v>46054</v>
      </c>
      <c r="B186" cm="1">
        <f t="array" ref="B186">SUMPRODUCT((task_table_13_4_26!$C$2:$C$596=$B$1)*(A186&gt;task_table_13_4_26!$J$2:$J$596)*(A186&lt;task_table_13_4_26!$K$2:$K$596))</f>
        <v>32</v>
      </c>
      <c r="C186" cm="1">
        <f t="array" ref="C186">SUMPRODUCT((task_table_13_4_26!$C$2:$C$596=$C$1)*(A186&gt;task_table_13_4_26!$J$2:$J$596)*(A186&lt;task_table_13_4_26!$K$2:$K$596))</f>
        <v>5</v>
      </c>
      <c r="D186" cm="1">
        <f t="array" ref="D186">SUMPRODUCT((task_table_13_4_26!$C$2:$C$596=$D$1)*(A186&gt;task_table_13_4_26!$J$2:$J$596)*(A186&lt;task_table_13_4_26!$K$2:$K$596))</f>
        <v>0</v>
      </c>
      <c r="E186" cm="1">
        <f t="array" ref="E186">SUMPRODUCT((task_table_13_4_26!$C$2:$C$596=$E$1)*(A186&gt;task_table_13_4_26!$J$2:$J$596)*(A186&lt;task_table_13_4_26!$K$2:$K$596))</f>
        <v>5</v>
      </c>
    </row>
    <row r="187" spans="1:5">
      <c r="A187" s="5">
        <v>46055</v>
      </c>
      <c r="B187" cm="1">
        <f t="array" ref="B187">SUMPRODUCT((task_table_13_4_26!$C$2:$C$596=$B$1)*(A187&gt;task_table_13_4_26!$J$2:$J$596)*(A187&lt;task_table_13_4_26!$K$2:$K$596))</f>
        <v>32</v>
      </c>
      <c r="C187" cm="1">
        <f t="array" ref="C187">SUMPRODUCT((task_table_13_4_26!$C$2:$C$596=$C$1)*(A187&gt;task_table_13_4_26!$J$2:$J$596)*(A187&lt;task_table_13_4_26!$K$2:$K$596))</f>
        <v>6</v>
      </c>
      <c r="D187" cm="1">
        <f t="array" ref="D187">SUMPRODUCT((task_table_13_4_26!$C$2:$C$596=$D$1)*(A187&gt;task_table_13_4_26!$J$2:$J$596)*(A187&lt;task_table_13_4_26!$K$2:$K$596))</f>
        <v>0</v>
      </c>
      <c r="E187" cm="1">
        <f t="array" ref="E187">SUMPRODUCT((task_table_13_4_26!$C$2:$C$596=$E$1)*(A187&gt;task_table_13_4_26!$J$2:$J$596)*(A187&lt;task_table_13_4_26!$K$2:$K$596))</f>
        <v>5</v>
      </c>
    </row>
    <row r="188" spans="1:5">
      <c r="A188" s="5">
        <v>46056</v>
      </c>
      <c r="B188" cm="1">
        <f t="array" ref="B188">SUMPRODUCT((task_table_13_4_26!$C$2:$C$596=$B$1)*(A188&gt;task_table_13_4_26!$J$2:$J$596)*(A188&lt;task_table_13_4_26!$K$2:$K$596))</f>
        <v>34</v>
      </c>
      <c r="C188" cm="1">
        <f t="array" ref="C188">SUMPRODUCT((task_table_13_4_26!$C$2:$C$596=$C$1)*(A188&gt;task_table_13_4_26!$J$2:$J$596)*(A188&lt;task_table_13_4_26!$K$2:$K$596))</f>
        <v>6</v>
      </c>
      <c r="D188" cm="1">
        <f t="array" ref="D188">SUMPRODUCT((task_table_13_4_26!$C$2:$C$596=$D$1)*(A188&gt;task_table_13_4_26!$J$2:$J$596)*(A188&lt;task_table_13_4_26!$K$2:$K$596))</f>
        <v>0</v>
      </c>
      <c r="E188" cm="1">
        <f t="array" ref="E188">SUMPRODUCT((task_table_13_4_26!$C$2:$C$596=$E$1)*(A188&gt;task_table_13_4_26!$J$2:$J$596)*(A188&lt;task_table_13_4_26!$K$2:$K$596))</f>
        <v>5</v>
      </c>
    </row>
    <row r="189" spans="1:5">
      <c r="A189" s="5">
        <v>46057</v>
      </c>
      <c r="B189" cm="1">
        <f t="array" ref="B189">SUMPRODUCT((task_table_13_4_26!$C$2:$C$596=$B$1)*(A189&gt;task_table_13_4_26!$J$2:$J$596)*(A189&lt;task_table_13_4_26!$K$2:$K$596))</f>
        <v>34</v>
      </c>
      <c r="C189" cm="1">
        <f t="array" ref="C189">SUMPRODUCT((task_table_13_4_26!$C$2:$C$596=$C$1)*(A189&gt;task_table_13_4_26!$J$2:$J$596)*(A189&lt;task_table_13_4_26!$K$2:$K$596))</f>
        <v>6</v>
      </c>
      <c r="D189" cm="1">
        <f t="array" ref="D189">SUMPRODUCT((task_table_13_4_26!$C$2:$C$596=$D$1)*(A189&gt;task_table_13_4_26!$J$2:$J$596)*(A189&lt;task_table_13_4_26!$K$2:$K$596))</f>
        <v>0</v>
      </c>
      <c r="E189" cm="1">
        <f t="array" ref="E189">SUMPRODUCT((task_table_13_4_26!$C$2:$C$596=$E$1)*(A189&gt;task_table_13_4_26!$J$2:$J$596)*(A189&lt;task_table_13_4_26!$K$2:$K$596))</f>
        <v>5</v>
      </c>
    </row>
    <row r="190" spans="1:5">
      <c r="A190" s="5">
        <v>46058</v>
      </c>
      <c r="B190" cm="1">
        <f t="array" ref="B190">SUMPRODUCT((task_table_13_4_26!$C$2:$C$596=$B$1)*(A190&gt;task_table_13_4_26!$J$2:$J$596)*(A190&lt;task_table_13_4_26!$K$2:$K$596))</f>
        <v>34</v>
      </c>
      <c r="C190" cm="1">
        <f t="array" ref="C190">SUMPRODUCT((task_table_13_4_26!$C$2:$C$596=$C$1)*(A190&gt;task_table_13_4_26!$J$2:$J$596)*(A190&lt;task_table_13_4_26!$K$2:$K$596))</f>
        <v>6</v>
      </c>
      <c r="D190" cm="1">
        <f t="array" ref="D190">SUMPRODUCT((task_table_13_4_26!$C$2:$C$596=$D$1)*(A190&gt;task_table_13_4_26!$J$2:$J$596)*(A190&lt;task_table_13_4_26!$K$2:$K$596))</f>
        <v>0</v>
      </c>
      <c r="E190" cm="1">
        <f t="array" ref="E190">SUMPRODUCT((task_table_13_4_26!$C$2:$C$596=$E$1)*(A190&gt;task_table_13_4_26!$J$2:$J$596)*(A190&lt;task_table_13_4_26!$K$2:$K$596))</f>
        <v>5</v>
      </c>
    </row>
    <row r="191" spans="1:5">
      <c r="A191" s="5">
        <v>46059</v>
      </c>
      <c r="B191" cm="1">
        <f t="array" ref="B191">SUMPRODUCT((task_table_13_4_26!$C$2:$C$596=$B$1)*(A191&gt;task_table_13_4_26!$J$2:$J$596)*(A191&lt;task_table_13_4_26!$K$2:$K$596))</f>
        <v>35</v>
      </c>
      <c r="C191" cm="1">
        <f t="array" ref="C191">SUMPRODUCT((task_table_13_4_26!$C$2:$C$596=$C$1)*(A191&gt;task_table_13_4_26!$J$2:$J$596)*(A191&lt;task_table_13_4_26!$K$2:$K$596))</f>
        <v>6</v>
      </c>
      <c r="D191" cm="1">
        <f t="array" ref="D191">SUMPRODUCT((task_table_13_4_26!$C$2:$C$596=$D$1)*(A191&gt;task_table_13_4_26!$J$2:$J$596)*(A191&lt;task_table_13_4_26!$K$2:$K$596))</f>
        <v>0</v>
      </c>
      <c r="E191" cm="1">
        <f t="array" ref="E191">SUMPRODUCT((task_table_13_4_26!$C$2:$C$596=$E$1)*(A191&gt;task_table_13_4_26!$J$2:$J$596)*(A191&lt;task_table_13_4_26!$K$2:$K$596))</f>
        <v>5</v>
      </c>
    </row>
    <row r="192" spans="1:5">
      <c r="A192" s="5">
        <v>46060</v>
      </c>
      <c r="B192" cm="1">
        <f t="array" ref="B192">SUMPRODUCT((task_table_13_4_26!$C$2:$C$596=$B$1)*(A192&gt;task_table_13_4_26!$J$2:$J$596)*(A192&lt;task_table_13_4_26!$K$2:$K$596))</f>
        <v>35</v>
      </c>
      <c r="C192" cm="1">
        <f t="array" ref="C192">SUMPRODUCT((task_table_13_4_26!$C$2:$C$596=$C$1)*(A192&gt;task_table_13_4_26!$J$2:$J$596)*(A192&lt;task_table_13_4_26!$K$2:$K$596))</f>
        <v>6</v>
      </c>
      <c r="D192" cm="1">
        <f t="array" ref="D192">SUMPRODUCT((task_table_13_4_26!$C$2:$C$596=$D$1)*(A192&gt;task_table_13_4_26!$J$2:$J$596)*(A192&lt;task_table_13_4_26!$K$2:$K$596))</f>
        <v>0</v>
      </c>
      <c r="E192" cm="1">
        <f t="array" ref="E192">SUMPRODUCT((task_table_13_4_26!$C$2:$C$596=$E$1)*(A192&gt;task_table_13_4_26!$J$2:$J$596)*(A192&lt;task_table_13_4_26!$K$2:$K$596))</f>
        <v>5</v>
      </c>
    </row>
    <row r="193" spans="1:5">
      <c r="A193" s="5">
        <v>46061</v>
      </c>
      <c r="B193" cm="1">
        <f t="array" ref="B193">SUMPRODUCT((task_table_13_4_26!$C$2:$C$596=$B$1)*(A193&gt;task_table_13_4_26!$J$2:$J$596)*(A193&lt;task_table_13_4_26!$K$2:$K$596))</f>
        <v>35</v>
      </c>
      <c r="C193" cm="1">
        <f t="array" ref="C193">SUMPRODUCT((task_table_13_4_26!$C$2:$C$596=$C$1)*(A193&gt;task_table_13_4_26!$J$2:$J$596)*(A193&lt;task_table_13_4_26!$K$2:$K$596))</f>
        <v>6</v>
      </c>
      <c r="D193" cm="1">
        <f t="array" ref="D193">SUMPRODUCT((task_table_13_4_26!$C$2:$C$596=$D$1)*(A193&gt;task_table_13_4_26!$J$2:$J$596)*(A193&lt;task_table_13_4_26!$K$2:$K$596))</f>
        <v>0</v>
      </c>
      <c r="E193" cm="1">
        <f t="array" ref="E193">SUMPRODUCT((task_table_13_4_26!$C$2:$C$596=$E$1)*(A193&gt;task_table_13_4_26!$J$2:$J$596)*(A193&lt;task_table_13_4_26!$K$2:$K$596))</f>
        <v>5</v>
      </c>
    </row>
    <row r="194" spans="1:5">
      <c r="A194" s="5">
        <v>46062</v>
      </c>
      <c r="B194" cm="1">
        <f t="array" ref="B194">SUMPRODUCT((task_table_13_4_26!$C$2:$C$596=$B$1)*(A194&gt;task_table_13_4_26!$J$2:$J$596)*(A194&lt;task_table_13_4_26!$K$2:$K$596))</f>
        <v>35</v>
      </c>
      <c r="C194" cm="1">
        <f t="array" ref="C194">SUMPRODUCT((task_table_13_4_26!$C$2:$C$596=$C$1)*(A194&gt;task_table_13_4_26!$J$2:$J$596)*(A194&lt;task_table_13_4_26!$K$2:$K$596))</f>
        <v>6</v>
      </c>
      <c r="D194" cm="1">
        <f t="array" ref="D194">SUMPRODUCT((task_table_13_4_26!$C$2:$C$596=$D$1)*(A194&gt;task_table_13_4_26!$J$2:$J$596)*(A194&lt;task_table_13_4_26!$K$2:$K$596))</f>
        <v>0</v>
      </c>
      <c r="E194" cm="1">
        <f t="array" ref="E194">SUMPRODUCT((task_table_13_4_26!$C$2:$C$596=$E$1)*(A194&gt;task_table_13_4_26!$J$2:$J$596)*(A194&lt;task_table_13_4_26!$K$2:$K$596))</f>
        <v>5</v>
      </c>
    </row>
    <row r="195" spans="1:5">
      <c r="A195" s="5">
        <v>46063</v>
      </c>
      <c r="B195" cm="1">
        <f t="array" ref="B195">SUMPRODUCT((task_table_13_4_26!$C$2:$C$596=$B$1)*(A195&gt;task_table_13_4_26!$J$2:$J$596)*(A195&lt;task_table_13_4_26!$K$2:$K$596))</f>
        <v>35</v>
      </c>
      <c r="C195" cm="1">
        <f t="array" ref="C195">SUMPRODUCT((task_table_13_4_26!$C$2:$C$596=$C$1)*(A195&gt;task_table_13_4_26!$J$2:$J$596)*(A195&lt;task_table_13_4_26!$K$2:$K$596))</f>
        <v>6</v>
      </c>
      <c r="D195" cm="1">
        <f t="array" ref="D195">SUMPRODUCT((task_table_13_4_26!$C$2:$C$596=$D$1)*(A195&gt;task_table_13_4_26!$J$2:$J$596)*(A195&lt;task_table_13_4_26!$K$2:$K$596))</f>
        <v>0</v>
      </c>
      <c r="E195" cm="1">
        <f t="array" ref="E195">SUMPRODUCT((task_table_13_4_26!$C$2:$C$596=$E$1)*(A195&gt;task_table_13_4_26!$J$2:$J$596)*(A195&lt;task_table_13_4_26!$K$2:$K$596))</f>
        <v>5</v>
      </c>
    </row>
    <row r="196" spans="1:5">
      <c r="A196" s="5">
        <v>46064</v>
      </c>
      <c r="B196" cm="1">
        <f t="array" ref="B196">SUMPRODUCT((task_table_13_4_26!$C$2:$C$596=$B$1)*(A196&gt;task_table_13_4_26!$J$2:$J$596)*(A196&lt;task_table_13_4_26!$K$2:$K$596))</f>
        <v>35</v>
      </c>
      <c r="C196" cm="1">
        <f t="array" ref="C196">SUMPRODUCT((task_table_13_4_26!$C$2:$C$596=$C$1)*(A196&gt;task_table_13_4_26!$J$2:$J$596)*(A196&lt;task_table_13_4_26!$K$2:$K$596))</f>
        <v>6</v>
      </c>
      <c r="D196" cm="1">
        <f t="array" ref="D196">SUMPRODUCT((task_table_13_4_26!$C$2:$C$596=$D$1)*(A196&gt;task_table_13_4_26!$J$2:$J$596)*(A196&lt;task_table_13_4_26!$K$2:$K$596))</f>
        <v>0</v>
      </c>
      <c r="E196" cm="1">
        <f t="array" ref="E196">SUMPRODUCT((task_table_13_4_26!$C$2:$C$596=$E$1)*(A196&gt;task_table_13_4_26!$J$2:$J$596)*(A196&lt;task_table_13_4_26!$K$2:$K$596))</f>
        <v>5</v>
      </c>
    </row>
    <row r="197" spans="1:5">
      <c r="A197" s="5">
        <v>46065</v>
      </c>
      <c r="B197" cm="1">
        <f t="array" ref="B197">SUMPRODUCT((task_table_13_4_26!$C$2:$C$596=$B$1)*(A197&gt;task_table_13_4_26!$J$2:$J$596)*(A197&lt;task_table_13_4_26!$K$2:$K$596))</f>
        <v>35</v>
      </c>
      <c r="C197" cm="1">
        <f t="array" ref="C197">SUMPRODUCT((task_table_13_4_26!$C$2:$C$596=$C$1)*(A197&gt;task_table_13_4_26!$J$2:$J$596)*(A197&lt;task_table_13_4_26!$K$2:$K$596))</f>
        <v>6</v>
      </c>
      <c r="D197" cm="1">
        <f t="array" ref="D197">SUMPRODUCT((task_table_13_4_26!$C$2:$C$596=$D$1)*(A197&gt;task_table_13_4_26!$J$2:$J$596)*(A197&lt;task_table_13_4_26!$K$2:$K$596))</f>
        <v>0</v>
      </c>
      <c r="E197" cm="1">
        <f t="array" ref="E197">SUMPRODUCT((task_table_13_4_26!$C$2:$C$596=$E$1)*(A197&gt;task_table_13_4_26!$J$2:$J$596)*(A197&lt;task_table_13_4_26!$K$2:$K$596))</f>
        <v>5</v>
      </c>
    </row>
    <row r="198" spans="1:5">
      <c r="A198" s="5">
        <v>46066</v>
      </c>
      <c r="B198" cm="1">
        <f t="array" ref="B198">SUMPRODUCT((task_table_13_4_26!$C$2:$C$596=$B$1)*(A198&gt;task_table_13_4_26!$J$2:$J$596)*(A198&lt;task_table_13_4_26!$K$2:$K$596))</f>
        <v>35</v>
      </c>
      <c r="C198" cm="1">
        <f t="array" ref="C198">SUMPRODUCT((task_table_13_4_26!$C$2:$C$596=$C$1)*(A198&gt;task_table_13_4_26!$J$2:$J$596)*(A198&lt;task_table_13_4_26!$K$2:$K$596))</f>
        <v>6</v>
      </c>
      <c r="D198" cm="1">
        <f t="array" ref="D198">SUMPRODUCT((task_table_13_4_26!$C$2:$C$596=$D$1)*(A198&gt;task_table_13_4_26!$J$2:$J$596)*(A198&lt;task_table_13_4_26!$K$2:$K$596))</f>
        <v>0</v>
      </c>
      <c r="E198" cm="1">
        <f t="array" ref="E198">SUMPRODUCT((task_table_13_4_26!$C$2:$C$596=$E$1)*(A198&gt;task_table_13_4_26!$J$2:$J$596)*(A198&lt;task_table_13_4_26!$K$2:$K$596))</f>
        <v>5</v>
      </c>
    </row>
    <row r="199" spans="1:5">
      <c r="A199" s="5">
        <v>46067</v>
      </c>
      <c r="B199" cm="1">
        <f t="array" ref="B199">SUMPRODUCT((task_table_13_4_26!$C$2:$C$596=$B$1)*(A199&gt;task_table_13_4_26!$J$2:$J$596)*(A199&lt;task_table_13_4_26!$K$2:$K$596))</f>
        <v>35</v>
      </c>
      <c r="C199" cm="1">
        <f t="array" ref="C199">SUMPRODUCT((task_table_13_4_26!$C$2:$C$596=$C$1)*(A199&gt;task_table_13_4_26!$J$2:$J$596)*(A199&lt;task_table_13_4_26!$K$2:$K$596))</f>
        <v>6</v>
      </c>
      <c r="D199" cm="1">
        <f t="array" ref="D199">SUMPRODUCT((task_table_13_4_26!$C$2:$C$596=$D$1)*(A199&gt;task_table_13_4_26!$J$2:$J$596)*(A199&lt;task_table_13_4_26!$K$2:$K$596))</f>
        <v>0</v>
      </c>
      <c r="E199" cm="1">
        <f t="array" ref="E199">SUMPRODUCT((task_table_13_4_26!$C$2:$C$596=$E$1)*(A199&gt;task_table_13_4_26!$J$2:$J$596)*(A199&lt;task_table_13_4_26!$K$2:$K$596))</f>
        <v>5</v>
      </c>
    </row>
    <row r="200" spans="1:5">
      <c r="A200" s="5">
        <v>46068</v>
      </c>
      <c r="B200" cm="1">
        <f t="array" ref="B200">SUMPRODUCT((task_table_13_4_26!$C$2:$C$596=$B$1)*(A200&gt;task_table_13_4_26!$J$2:$J$596)*(A200&lt;task_table_13_4_26!$K$2:$K$596))</f>
        <v>35</v>
      </c>
      <c r="C200" cm="1">
        <f t="array" ref="C200">SUMPRODUCT((task_table_13_4_26!$C$2:$C$596=$C$1)*(A200&gt;task_table_13_4_26!$J$2:$J$596)*(A200&lt;task_table_13_4_26!$K$2:$K$596))</f>
        <v>6</v>
      </c>
      <c r="D200" cm="1">
        <f t="array" ref="D200">SUMPRODUCT((task_table_13_4_26!$C$2:$C$596=$D$1)*(A200&gt;task_table_13_4_26!$J$2:$J$596)*(A200&lt;task_table_13_4_26!$K$2:$K$596))</f>
        <v>0</v>
      </c>
      <c r="E200" cm="1">
        <f t="array" ref="E200">SUMPRODUCT((task_table_13_4_26!$C$2:$C$596=$E$1)*(A200&gt;task_table_13_4_26!$J$2:$J$596)*(A200&lt;task_table_13_4_26!$K$2:$K$596))</f>
        <v>5</v>
      </c>
    </row>
    <row r="201" spans="1:5">
      <c r="A201" s="5">
        <v>46069</v>
      </c>
      <c r="B201" cm="1">
        <f t="array" ref="B201">SUMPRODUCT((task_table_13_4_26!$C$2:$C$596=$B$1)*(A201&gt;task_table_13_4_26!$J$2:$J$596)*(A201&lt;task_table_13_4_26!$K$2:$K$596))</f>
        <v>35</v>
      </c>
      <c r="C201" cm="1">
        <f t="array" ref="C201">SUMPRODUCT((task_table_13_4_26!$C$2:$C$596=$C$1)*(A201&gt;task_table_13_4_26!$J$2:$J$596)*(A201&lt;task_table_13_4_26!$K$2:$K$596))</f>
        <v>6</v>
      </c>
      <c r="D201" cm="1">
        <f t="array" ref="D201">SUMPRODUCT((task_table_13_4_26!$C$2:$C$596=$D$1)*(A201&gt;task_table_13_4_26!$J$2:$J$596)*(A201&lt;task_table_13_4_26!$K$2:$K$596))</f>
        <v>0</v>
      </c>
      <c r="E201" cm="1">
        <f t="array" ref="E201">SUMPRODUCT((task_table_13_4_26!$C$2:$C$596=$E$1)*(A201&gt;task_table_13_4_26!$J$2:$J$596)*(A201&lt;task_table_13_4_26!$K$2:$K$596))</f>
        <v>5</v>
      </c>
    </row>
    <row r="202" spans="1:5">
      <c r="A202" s="5">
        <v>46070</v>
      </c>
      <c r="B202" cm="1">
        <f t="array" ref="B202">SUMPRODUCT((task_table_13_4_26!$C$2:$C$596=$B$1)*(A202&gt;task_table_13_4_26!$J$2:$J$596)*(A202&lt;task_table_13_4_26!$K$2:$K$596))</f>
        <v>37</v>
      </c>
      <c r="C202" cm="1">
        <f t="array" ref="C202">SUMPRODUCT((task_table_13_4_26!$C$2:$C$596=$C$1)*(A202&gt;task_table_13_4_26!$J$2:$J$596)*(A202&lt;task_table_13_4_26!$K$2:$K$596))</f>
        <v>7</v>
      </c>
      <c r="D202" cm="1">
        <f t="array" ref="D202">SUMPRODUCT((task_table_13_4_26!$C$2:$C$596=$D$1)*(A202&gt;task_table_13_4_26!$J$2:$J$596)*(A202&lt;task_table_13_4_26!$K$2:$K$596))</f>
        <v>0</v>
      </c>
      <c r="E202" cm="1">
        <f t="array" ref="E202">SUMPRODUCT((task_table_13_4_26!$C$2:$C$596=$E$1)*(A202&gt;task_table_13_4_26!$J$2:$J$596)*(A202&lt;task_table_13_4_26!$K$2:$K$596))</f>
        <v>5</v>
      </c>
    </row>
    <row r="203" spans="1:5">
      <c r="A203" s="5">
        <v>46071</v>
      </c>
      <c r="B203" cm="1">
        <f t="array" ref="B203">SUMPRODUCT((task_table_13_4_26!$C$2:$C$596=$B$1)*(A203&gt;task_table_13_4_26!$J$2:$J$596)*(A203&lt;task_table_13_4_26!$K$2:$K$596))</f>
        <v>37</v>
      </c>
      <c r="C203" cm="1">
        <f t="array" ref="C203">SUMPRODUCT((task_table_13_4_26!$C$2:$C$596=$C$1)*(A203&gt;task_table_13_4_26!$J$2:$J$596)*(A203&lt;task_table_13_4_26!$K$2:$K$596))</f>
        <v>7</v>
      </c>
      <c r="D203" cm="1">
        <f t="array" ref="D203">SUMPRODUCT((task_table_13_4_26!$C$2:$C$596=$D$1)*(A203&gt;task_table_13_4_26!$J$2:$J$596)*(A203&lt;task_table_13_4_26!$K$2:$K$596))</f>
        <v>0</v>
      </c>
      <c r="E203" cm="1">
        <f t="array" ref="E203">SUMPRODUCT((task_table_13_4_26!$C$2:$C$596=$E$1)*(A203&gt;task_table_13_4_26!$J$2:$J$596)*(A203&lt;task_table_13_4_26!$K$2:$K$596))</f>
        <v>5</v>
      </c>
    </row>
    <row r="204" spans="1:5">
      <c r="A204" s="5">
        <v>46072</v>
      </c>
      <c r="B204" cm="1">
        <f t="array" ref="B204">SUMPRODUCT((task_table_13_4_26!$C$2:$C$596=$B$1)*(A204&gt;task_table_13_4_26!$J$2:$J$596)*(A204&lt;task_table_13_4_26!$K$2:$K$596))</f>
        <v>37</v>
      </c>
      <c r="C204" cm="1">
        <f t="array" ref="C204">SUMPRODUCT((task_table_13_4_26!$C$2:$C$596=$C$1)*(A204&gt;task_table_13_4_26!$J$2:$J$596)*(A204&lt;task_table_13_4_26!$K$2:$K$596))</f>
        <v>7</v>
      </c>
      <c r="D204" cm="1">
        <f t="array" ref="D204">SUMPRODUCT((task_table_13_4_26!$C$2:$C$596=$D$1)*(A204&gt;task_table_13_4_26!$J$2:$J$596)*(A204&lt;task_table_13_4_26!$K$2:$K$596))</f>
        <v>0</v>
      </c>
      <c r="E204" cm="1">
        <f t="array" ref="E204">SUMPRODUCT((task_table_13_4_26!$C$2:$C$596=$E$1)*(A204&gt;task_table_13_4_26!$J$2:$J$596)*(A204&lt;task_table_13_4_26!$K$2:$K$596))</f>
        <v>5</v>
      </c>
    </row>
    <row r="205" spans="1:5">
      <c r="A205" s="5">
        <v>46073</v>
      </c>
      <c r="B205" cm="1">
        <f t="array" ref="B205">SUMPRODUCT((task_table_13_4_26!$C$2:$C$596=$B$1)*(A205&gt;task_table_13_4_26!$J$2:$J$596)*(A205&lt;task_table_13_4_26!$K$2:$K$596))</f>
        <v>37</v>
      </c>
      <c r="C205" cm="1">
        <f t="array" ref="C205">SUMPRODUCT((task_table_13_4_26!$C$2:$C$596=$C$1)*(A205&gt;task_table_13_4_26!$J$2:$J$596)*(A205&lt;task_table_13_4_26!$K$2:$K$596))</f>
        <v>7</v>
      </c>
      <c r="D205" cm="1">
        <f t="array" ref="D205">SUMPRODUCT((task_table_13_4_26!$C$2:$C$596=$D$1)*(A205&gt;task_table_13_4_26!$J$2:$J$596)*(A205&lt;task_table_13_4_26!$K$2:$K$596))</f>
        <v>0</v>
      </c>
      <c r="E205" cm="1">
        <f t="array" ref="E205">SUMPRODUCT((task_table_13_4_26!$C$2:$C$596=$E$1)*(A205&gt;task_table_13_4_26!$J$2:$J$596)*(A205&lt;task_table_13_4_26!$K$2:$K$596))</f>
        <v>5</v>
      </c>
    </row>
    <row r="206" spans="1:5">
      <c r="A206" s="5">
        <v>46074</v>
      </c>
      <c r="B206" cm="1">
        <f t="array" ref="B206">SUMPRODUCT((task_table_13_4_26!$C$2:$C$596=$B$1)*(A206&gt;task_table_13_4_26!$J$2:$J$596)*(A206&lt;task_table_13_4_26!$K$2:$K$596))</f>
        <v>38</v>
      </c>
      <c r="C206" cm="1">
        <f t="array" ref="C206">SUMPRODUCT((task_table_13_4_26!$C$2:$C$596=$C$1)*(A206&gt;task_table_13_4_26!$J$2:$J$596)*(A206&lt;task_table_13_4_26!$K$2:$K$596))</f>
        <v>7</v>
      </c>
      <c r="D206" cm="1">
        <f t="array" ref="D206">SUMPRODUCT((task_table_13_4_26!$C$2:$C$596=$D$1)*(A206&gt;task_table_13_4_26!$J$2:$J$596)*(A206&lt;task_table_13_4_26!$K$2:$K$596))</f>
        <v>0</v>
      </c>
      <c r="E206" cm="1">
        <f t="array" ref="E206">SUMPRODUCT((task_table_13_4_26!$C$2:$C$596=$E$1)*(A206&gt;task_table_13_4_26!$J$2:$J$596)*(A206&lt;task_table_13_4_26!$K$2:$K$596))</f>
        <v>5</v>
      </c>
    </row>
    <row r="207" spans="1:5">
      <c r="A207" s="5">
        <v>46075</v>
      </c>
      <c r="B207" cm="1">
        <f t="array" ref="B207">SUMPRODUCT((task_table_13_4_26!$C$2:$C$596=$B$1)*(A207&gt;task_table_13_4_26!$J$2:$J$596)*(A207&lt;task_table_13_4_26!$K$2:$K$596))</f>
        <v>38</v>
      </c>
      <c r="C207" cm="1">
        <f t="array" ref="C207">SUMPRODUCT((task_table_13_4_26!$C$2:$C$596=$C$1)*(A207&gt;task_table_13_4_26!$J$2:$J$596)*(A207&lt;task_table_13_4_26!$K$2:$K$596))</f>
        <v>7</v>
      </c>
      <c r="D207" cm="1">
        <f t="array" ref="D207">SUMPRODUCT((task_table_13_4_26!$C$2:$C$596=$D$1)*(A207&gt;task_table_13_4_26!$J$2:$J$596)*(A207&lt;task_table_13_4_26!$K$2:$K$596))</f>
        <v>0</v>
      </c>
      <c r="E207" cm="1">
        <f t="array" ref="E207">SUMPRODUCT((task_table_13_4_26!$C$2:$C$596=$E$1)*(A207&gt;task_table_13_4_26!$J$2:$J$596)*(A207&lt;task_table_13_4_26!$K$2:$K$596))</f>
        <v>5</v>
      </c>
    </row>
    <row r="208" spans="1:5">
      <c r="A208" s="5">
        <v>46076</v>
      </c>
      <c r="B208" cm="1">
        <f t="array" ref="B208">SUMPRODUCT((task_table_13_4_26!$C$2:$C$596=$B$1)*(A208&gt;task_table_13_4_26!$J$2:$J$596)*(A208&lt;task_table_13_4_26!$K$2:$K$596))</f>
        <v>38</v>
      </c>
      <c r="C208" cm="1">
        <f t="array" ref="C208">SUMPRODUCT((task_table_13_4_26!$C$2:$C$596=$C$1)*(A208&gt;task_table_13_4_26!$J$2:$J$596)*(A208&lt;task_table_13_4_26!$K$2:$K$596))</f>
        <v>7</v>
      </c>
      <c r="D208" cm="1">
        <f t="array" ref="D208">SUMPRODUCT((task_table_13_4_26!$C$2:$C$596=$D$1)*(A208&gt;task_table_13_4_26!$J$2:$J$596)*(A208&lt;task_table_13_4_26!$K$2:$K$596))</f>
        <v>0</v>
      </c>
      <c r="E208" cm="1">
        <f t="array" ref="E208">SUMPRODUCT((task_table_13_4_26!$C$2:$C$596=$E$1)*(A208&gt;task_table_13_4_26!$J$2:$J$596)*(A208&lt;task_table_13_4_26!$K$2:$K$596))</f>
        <v>5</v>
      </c>
    </row>
    <row r="209" spans="1:5">
      <c r="A209" s="5">
        <v>46077</v>
      </c>
      <c r="B209" cm="1">
        <f t="array" ref="B209">SUMPRODUCT((task_table_13_4_26!$C$2:$C$596=$B$1)*(A209&gt;task_table_13_4_26!$J$2:$J$596)*(A209&lt;task_table_13_4_26!$K$2:$K$596))</f>
        <v>38</v>
      </c>
      <c r="C209" cm="1">
        <f t="array" ref="C209">SUMPRODUCT((task_table_13_4_26!$C$2:$C$596=$C$1)*(A209&gt;task_table_13_4_26!$J$2:$J$596)*(A209&lt;task_table_13_4_26!$K$2:$K$596))</f>
        <v>7</v>
      </c>
      <c r="D209" cm="1">
        <f t="array" ref="D209">SUMPRODUCT((task_table_13_4_26!$C$2:$C$596=$D$1)*(A209&gt;task_table_13_4_26!$J$2:$J$596)*(A209&lt;task_table_13_4_26!$K$2:$K$596))</f>
        <v>0</v>
      </c>
      <c r="E209" cm="1">
        <f t="array" ref="E209">SUMPRODUCT((task_table_13_4_26!$C$2:$C$596=$E$1)*(A209&gt;task_table_13_4_26!$J$2:$J$596)*(A209&lt;task_table_13_4_26!$K$2:$K$596))</f>
        <v>5</v>
      </c>
    </row>
    <row r="210" spans="1:5">
      <c r="A210" s="5">
        <v>46078</v>
      </c>
      <c r="B210" cm="1">
        <f t="array" ref="B210">SUMPRODUCT((task_table_13_4_26!$C$2:$C$596=$B$1)*(A210&gt;task_table_13_4_26!$J$2:$J$596)*(A210&lt;task_table_13_4_26!$K$2:$K$596))</f>
        <v>38</v>
      </c>
      <c r="C210" cm="1">
        <f t="array" ref="C210">SUMPRODUCT((task_table_13_4_26!$C$2:$C$596=$C$1)*(A210&gt;task_table_13_4_26!$J$2:$J$596)*(A210&lt;task_table_13_4_26!$K$2:$K$596))</f>
        <v>7</v>
      </c>
      <c r="D210" cm="1">
        <f t="array" ref="D210">SUMPRODUCT((task_table_13_4_26!$C$2:$C$596=$D$1)*(A210&gt;task_table_13_4_26!$J$2:$J$596)*(A210&lt;task_table_13_4_26!$K$2:$K$596))</f>
        <v>0</v>
      </c>
      <c r="E210" cm="1">
        <f t="array" ref="E210">SUMPRODUCT((task_table_13_4_26!$C$2:$C$596=$E$1)*(A210&gt;task_table_13_4_26!$J$2:$J$596)*(A210&lt;task_table_13_4_26!$K$2:$K$596))</f>
        <v>5</v>
      </c>
    </row>
    <row r="211" spans="1:5">
      <c r="A211" s="5">
        <v>46079</v>
      </c>
      <c r="B211" cm="1">
        <f t="array" ref="B211">SUMPRODUCT((task_table_13_4_26!$C$2:$C$596=$B$1)*(A211&gt;task_table_13_4_26!$J$2:$J$596)*(A211&lt;task_table_13_4_26!$K$2:$K$596))</f>
        <v>38</v>
      </c>
      <c r="C211" cm="1">
        <f t="array" ref="C211">SUMPRODUCT((task_table_13_4_26!$C$2:$C$596=$C$1)*(A211&gt;task_table_13_4_26!$J$2:$J$596)*(A211&lt;task_table_13_4_26!$K$2:$K$596))</f>
        <v>7</v>
      </c>
      <c r="D211" cm="1">
        <f t="array" ref="D211">SUMPRODUCT((task_table_13_4_26!$C$2:$C$596=$D$1)*(A211&gt;task_table_13_4_26!$J$2:$J$596)*(A211&lt;task_table_13_4_26!$K$2:$K$596))</f>
        <v>0</v>
      </c>
      <c r="E211" cm="1">
        <f t="array" ref="E211">SUMPRODUCT((task_table_13_4_26!$C$2:$C$596=$E$1)*(A211&gt;task_table_13_4_26!$J$2:$J$596)*(A211&lt;task_table_13_4_26!$K$2:$K$596))</f>
        <v>5</v>
      </c>
    </row>
    <row r="212" spans="1:5">
      <c r="A212" s="5">
        <v>46080</v>
      </c>
      <c r="B212" cm="1">
        <f t="array" ref="B212">SUMPRODUCT((task_table_13_4_26!$C$2:$C$596=$B$1)*(A212&gt;task_table_13_4_26!$J$2:$J$596)*(A212&lt;task_table_13_4_26!$K$2:$K$596))</f>
        <v>38</v>
      </c>
      <c r="C212" cm="1">
        <f t="array" ref="C212">SUMPRODUCT((task_table_13_4_26!$C$2:$C$596=$C$1)*(A212&gt;task_table_13_4_26!$J$2:$J$596)*(A212&lt;task_table_13_4_26!$K$2:$K$596))</f>
        <v>7</v>
      </c>
      <c r="D212" cm="1">
        <f t="array" ref="D212">SUMPRODUCT((task_table_13_4_26!$C$2:$C$596=$D$1)*(A212&gt;task_table_13_4_26!$J$2:$J$596)*(A212&lt;task_table_13_4_26!$K$2:$K$596))</f>
        <v>0</v>
      </c>
      <c r="E212" cm="1">
        <f t="array" ref="E212">SUMPRODUCT((task_table_13_4_26!$C$2:$C$596=$E$1)*(A212&gt;task_table_13_4_26!$J$2:$J$596)*(A212&lt;task_table_13_4_26!$K$2:$K$596))</f>
        <v>5</v>
      </c>
    </row>
    <row r="213" spans="1:5">
      <c r="A213" s="5">
        <v>46081</v>
      </c>
      <c r="B213" cm="1">
        <f t="array" ref="B213">SUMPRODUCT((task_table_13_4_26!$C$2:$C$596=$B$1)*(A213&gt;task_table_13_4_26!$J$2:$J$596)*(A213&lt;task_table_13_4_26!$K$2:$K$596))</f>
        <v>38</v>
      </c>
      <c r="C213" cm="1">
        <f t="array" ref="C213">SUMPRODUCT((task_table_13_4_26!$C$2:$C$596=$C$1)*(A213&gt;task_table_13_4_26!$J$2:$J$596)*(A213&lt;task_table_13_4_26!$K$2:$K$596))</f>
        <v>3</v>
      </c>
      <c r="D213" cm="1">
        <f t="array" ref="D213">SUMPRODUCT((task_table_13_4_26!$C$2:$C$596=$D$1)*(A213&gt;task_table_13_4_26!$J$2:$J$596)*(A213&lt;task_table_13_4_26!$K$2:$K$596))</f>
        <v>0</v>
      </c>
      <c r="E213" cm="1">
        <f t="array" ref="E213">SUMPRODUCT((task_table_13_4_26!$C$2:$C$596=$E$1)*(A213&gt;task_table_13_4_26!$J$2:$J$596)*(A213&lt;task_table_13_4_26!$K$2:$K$596))</f>
        <v>5</v>
      </c>
    </row>
    <row r="214" spans="1:5">
      <c r="A214" s="5">
        <v>46082</v>
      </c>
      <c r="B214" cm="1">
        <f t="array" ref="B214">SUMPRODUCT((task_table_13_4_26!$C$2:$C$596=$B$1)*(A214&gt;task_table_13_4_26!$J$2:$J$596)*(A214&lt;task_table_13_4_26!$K$2:$K$596))</f>
        <v>38</v>
      </c>
      <c r="C214" cm="1">
        <f t="array" ref="C214">SUMPRODUCT((task_table_13_4_26!$C$2:$C$596=$C$1)*(A214&gt;task_table_13_4_26!$J$2:$J$596)*(A214&lt;task_table_13_4_26!$K$2:$K$596))</f>
        <v>3</v>
      </c>
      <c r="D214" cm="1">
        <f t="array" ref="D214">SUMPRODUCT((task_table_13_4_26!$C$2:$C$596=$D$1)*(A214&gt;task_table_13_4_26!$J$2:$J$596)*(A214&lt;task_table_13_4_26!$K$2:$K$596))</f>
        <v>0</v>
      </c>
      <c r="E214" cm="1">
        <f t="array" ref="E214">SUMPRODUCT((task_table_13_4_26!$C$2:$C$596=$E$1)*(A214&gt;task_table_13_4_26!$J$2:$J$596)*(A214&lt;task_table_13_4_26!$K$2:$K$596))</f>
        <v>5</v>
      </c>
    </row>
    <row r="215" spans="1:5">
      <c r="A215" s="5">
        <v>46083</v>
      </c>
      <c r="B215" cm="1">
        <f t="array" ref="B215">SUMPRODUCT((task_table_13_4_26!$C$2:$C$596=$B$1)*(A215&gt;task_table_13_4_26!$J$2:$J$596)*(A215&lt;task_table_13_4_26!$K$2:$K$596))</f>
        <v>38</v>
      </c>
      <c r="C215" cm="1">
        <f t="array" ref="C215">SUMPRODUCT((task_table_13_4_26!$C$2:$C$596=$C$1)*(A215&gt;task_table_13_4_26!$J$2:$J$596)*(A215&lt;task_table_13_4_26!$K$2:$K$596))</f>
        <v>5</v>
      </c>
      <c r="D215" cm="1">
        <f t="array" ref="D215">SUMPRODUCT((task_table_13_4_26!$C$2:$C$596=$D$1)*(A215&gt;task_table_13_4_26!$J$2:$J$596)*(A215&lt;task_table_13_4_26!$K$2:$K$596))</f>
        <v>0</v>
      </c>
      <c r="E215" cm="1">
        <f t="array" ref="E215">SUMPRODUCT((task_table_13_4_26!$C$2:$C$596=$E$1)*(A215&gt;task_table_13_4_26!$J$2:$J$596)*(A215&lt;task_table_13_4_26!$K$2:$K$596))</f>
        <v>5</v>
      </c>
    </row>
    <row r="216" spans="1:5">
      <c r="A216" s="5">
        <v>46084</v>
      </c>
      <c r="B216" cm="1">
        <f t="array" ref="B216">SUMPRODUCT((task_table_13_4_26!$C$2:$C$596=$B$1)*(A216&gt;task_table_13_4_26!$J$2:$J$596)*(A216&lt;task_table_13_4_26!$K$2:$K$596))</f>
        <v>38</v>
      </c>
      <c r="C216" cm="1">
        <f t="array" ref="C216">SUMPRODUCT((task_table_13_4_26!$C$2:$C$596=$C$1)*(A216&gt;task_table_13_4_26!$J$2:$J$596)*(A216&lt;task_table_13_4_26!$K$2:$K$596))</f>
        <v>5</v>
      </c>
      <c r="D216" cm="1">
        <f t="array" ref="D216">SUMPRODUCT((task_table_13_4_26!$C$2:$C$596=$D$1)*(A216&gt;task_table_13_4_26!$J$2:$J$596)*(A216&lt;task_table_13_4_26!$K$2:$K$596))</f>
        <v>0</v>
      </c>
      <c r="E216" cm="1">
        <f t="array" ref="E216">SUMPRODUCT((task_table_13_4_26!$C$2:$C$596=$E$1)*(A216&gt;task_table_13_4_26!$J$2:$J$596)*(A216&lt;task_table_13_4_26!$K$2:$K$596))</f>
        <v>5</v>
      </c>
    </row>
    <row r="217" spans="1:5">
      <c r="A217" s="5">
        <v>46085</v>
      </c>
      <c r="B217" cm="1">
        <f t="array" ref="B217">SUMPRODUCT((task_table_13_4_26!$C$2:$C$596=$B$1)*(A217&gt;task_table_13_4_26!$J$2:$J$596)*(A217&lt;task_table_13_4_26!$K$2:$K$596))</f>
        <v>38</v>
      </c>
      <c r="C217" cm="1">
        <f t="array" ref="C217">SUMPRODUCT((task_table_13_4_26!$C$2:$C$596=$C$1)*(A217&gt;task_table_13_4_26!$J$2:$J$596)*(A217&lt;task_table_13_4_26!$K$2:$K$596))</f>
        <v>5</v>
      </c>
      <c r="D217" cm="1">
        <f t="array" ref="D217">SUMPRODUCT((task_table_13_4_26!$C$2:$C$596=$D$1)*(A217&gt;task_table_13_4_26!$J$2:$J$596)*(A217&lt;task_table_13_4_26!$K$2:$K$596))</f>
        <v>0</v>
      </c>
      <c r="E217" cm="1">
        <f t="array" ref="E217">SUMPRODUCT((task_table_13_4_26!$C$2:$C$596=$E$1)*(A217&gt;task_table_13_4_26!$J$2:$J$596)*(A217&lt;task_table_13_4_26!$K$2:$K$596))</f>
        <v>5</v>
      </c>
    </row>
    <row r="218" spans="1:5">
      <c r="A218" s="5">
        <v>46086</v>
      </c>
      <c r="B218" cm="1">
        <f t="array" ref="B218">SUMPRODUCT((task_table_13_4_26!$C$2:$C$596=$B$1)*(A218&gt;task_table_13_4_26!$J$2:$J$596)*(A218&lt;task_table_13_4_26!$K$2:$K$596))</f>
        <v>38</v>
      </c>
      <c r="C218" cm="1">
        <f t="array" ref="C218">SUMPRODUCT((task_table_13_4_26!$C$2:$C$596=$C$1)*(A218&gt;task_table_13_4_26!$J$2:$J$596)*(A218&lt;task_table_13_4_26!$K$2:$K$596))</f>
        <v>5</v>
      </c>
      <c r="D218" cm="1">
        <f t="array" ref="D218">SUMPRODUCT((task_table_13_4_26!$C$2:$C$596=$D$1)*(A218&gt;task_table_13_4_26!$J$2:$J$596)*(A218&lt;task_table_13_4_26!$K$2:$K$596))</f>
        <v>0</v>
      </c>
      <c r="E218" cm="1">
        <f t="array" ref="E218">SUMPRODUCT((task_table_13_4_26!$C$2:$C$596=$E$1)*(A218&gt;task_table_13_4_26!$J$2:$J$596)*(A218&lt;task_table_13_4_26!$K$2:$K$596))</f>
        <v>5</v>
      </c>
    </row>
    <row r="219" spans="1:5">
      <c r="A219" s="5">
        <v>46087</v>
      </c>
      <c r="B219" cm="1">
        <f t="array" ref="B219">SUMPRODUCT((task_table_13_4_26!$C$2:$C$596=$B$1)*(A219&gt;task_table_13_4_26!$J$2:$J$596)*(A219&lt;task_table_13_4_26!$K$2:$K$596))</f>
        <v>38</v>
      </c>
      <c r="C219" cm="1">
        <f t="array" ref="C219">SUMPRODUCT((task_table_13_4_26!$C$2:$C$596=$C$1)*(A219&gt;task_table_13_4_26!$J$2:$J$596)*(A219&lt;task_table_13_4_26!$K$2:$K$596))</f>
        <v>5</v>
      </c>
      <c r="D219" cm="1">
        <f t="array" ref="D219">SUMPRODUCT((task_table_13_4_26!$C$2:$C$596=$D$1)*(A219&gt;task_table_13_4_26!$J$2:$J$596)*(A219&lt;task_table_13_4_26!$K$2:$K$596))</f>
        <v>0</v>
      </c>
      <c r="E219" cm="1">
        <f t="array" ref="E219">SUMPRODUCT((task_table_13_4_26!$C$2:$C$596=$E$1)*(A219&gt;task_table_13_4_26!$J$2:$J$596)*(A219&lt;task_table_13_4_26!$K$2:$K$596))</f>
        <v>5</v>
      </c>
    </row>
    <row r="220" spans="1:5">
      <c r="A220" s="5">
        <v>46088</v>
      </c>
      <c r="B220" cm="1">
        <f t="array" ref="B220">SUMPRODUCT((task_table_13_4_26!$C$2:$C$596=$B$1)*(A220&gt;task_table_13_4_26!$J$2:$J$596)*(A220&lt;task_table_13_4_26!$K$2:$K$596))</f>
        <v>38</v>
      </c>
      <c r="C220" cm="1">
        <f t="array" ref="C220">SUMPRODUCT((task_table_13_4_26!$C$2:$C$596=$C$1)*(A220&gt;task_table_13_4_26!$J$2:$J$596)*(A220&lt;task_table_13_4_26!$K$2:$K$596))</f>
        <v>5</v>
      </c>
      <c r="D220" cm="1">
        <f t="array" ref="D220">SUMPRODUCT((task_table_13_4_26!$C$2:$C$596=$D$1)*(A220&gt;task_table_13_4_26!$J$2:$J$596)*(A220&lt;task_table_13_4_26!$K$2:$K$596))</f>
        <v>0</v>
      </c>
      <c r="E220" cm="1">
        <f t="array" ref="E220">SUMPRODUCT((task_table_13_4_26!$C$2:$C$596=$E$1)*(A220&gt;task_table_13_4_26!$J$2:$J$596)*(A220&lt;task_table_13_4_26!$K$2:$K$596))</f>
        <v>5</v>
      </c>
    </row>
    <row r="221" spans="1:5">
      <c r="A221" s="5">
        <v>46089</v>
      </c>
      <c r="B221" cm="1">
        <f t="array" ref="B221">SUMPRODUCT((task_table_13_4_26!$C$2:$C$596=$B$1)*(A221&gt;task_table_13_4_26!$J$2:$J$596)*(A221&lt;task_table_13_4_26!$K$2:$K$596))</f>
        <v>38</v>
      </c>
      <c r="C221" cm="1">
        <f t="array" ref="C221">SUMPRODUCT((task_table_13_4_26!$C$2:$C$596=$C$1)*(A221&gt;task_table_13_4_26!$J$2:$J$596)*(A221&lt;task_table_13_4_26!$K$2:$K$596))</f>
        <v>5</v>
      </c>
      <c r="D221" cm="1">
        <f t="array" ref="D221">SUMPRODUCT((task_table_13_4_26!$C$2:$C$596=$D$1)*(A221&gt;task_table_13_4_26!$J$2:$J$596)*(A221&lt;task_table_13_4_26!$K$2:$K$596))</f>
        <v>0</v>
      </c>
      <c r="E221" cm="1">
        <f t="array" ref="E221">SUMPRODUCT((task_table_13_4_26!$C$2:$C$596=$E$1)*(A221&gt;task_table_13_4_26!$J$2:$J$596)*(A221&lt;task_table_13_4_26!$K$2:$K$596))</f>
        <v>5</v>
      </c>
    </row>
    <row r="222" spans="1:5">
      <c r="A222" s="5">
        <v>46090</v>
      </c>
      <c r="B222" cm="1">
        <f t="array" ref="B222">SUMPRODUCT((task_table_13_4_26!$C$2:$C$596=$B$1)*(A222&gt;task_table_13_4_26!$J$2:$J$596)*(A222&lt;task_table_13_4_26!$K$2:$K$596))</f>
        <v>38</v>
      </c>
      <c r="C222" cm="1">
        <f t="array" ref="C222">SUMPRODUCT((task_table_13_4_26!$C$2:$C$596=$C$1)*(A222&gt;task_table_13_4_26!$J$2:$J$596)*(A222&lt;task_table_13_4_26!$K$2:$K$596))</f>
        <v>5</v>
      </c>
      <c r="D222" cm="1">
        <f t="array" ref="D222">SUMPRODUCT((task_table_13_4_26!$C$2:$C$596=$D$1)*(A222&gt;task_table_13_4_26!$J$2:$J$596)*(A222&lt;task_table_13_4_26!$K$2:$K$596))</f>
        <v>0</v>
      </c>
      <c r="E222" cm="1">
        <f t="array" ref="E222">SUMPRODUCT((task_table_13_4_26!$C$2:$C$596=$E$1)*(A222&gt;task_table_13_4_26!$J$2:$J$596)*(A222&lt;task_table_13_4_26!$K$2:$K$596))</f>
        <v>5</v>
      </c>
    </row>
    <row r="223" spans="1:5">
      <c r="A223" s="5">
        <v>46091</v>
      </c>
      <c r="B223" cm="1">
        <f t="array" ref="B223">SUMPRODUCT((task_table_13_4_26!$C$2:$C$596=$B$1)*(A223&gt;task_table_13_4_26!$J$2:$J$596)*(A223&lt;task_table_13_4_26!$K$2:$K$596))</f>
        <v>38</v>
      </c>
      <c r="C223" cm="1">
        <f t="array" ref="C223">SUMPRODUCT((task_table_13_4_26!$C$2:$C$596=$C$1)*(A223&gt;task_table_13_4_26!$J$2:$J$596)*(A223&lt;task_table_13_4_26!$K$2:$K$596))</f>
        <v>5</v>
      </c>
      <c r="D223" cm="1">
        <f t="array" ref="D223">SUMPRODUCT((task_table_13_4_26!$C$2:$C$596=$D$1)*(A223&gt;task_table_13_4_26!$J$2:$J$596)*(A223&lt;task_table_13_4_26!$K$2:$K$596))</f>
        <v>0</v>
      </c>
      <c r="E223" cm="1">
        <f t="array" ref="E223">SUMPRODUCT((task_table_13_4_26!$C$2:$C$596=$E$1)*(A223&gt;task_table_13_4_26!$J$2:$J$596)*(A223&lt;task_table_13_4_26!$K$2:$K$596))</f>
        <v>5</v>
      </c>
    </row>
    <row r="224" spans="1:5">
      <c r="A224" s="5">
        <v>46092</v>
      </c>
      <c r="B224" cm="1">
        <f t="array" ref="B224">SUMPRODUCT((task_table_13_4_26!$C$2:$C$596=$B$1)*(A224&gt;task_table_13_4_26!$J$2:$J$596)*(A224&lt;task_table_13_4_26!$K$2:$K$596))</f>
        <v>38</v>
      </c>
      <c r="C224" cm="1">
        <f t="array" ref="C224">SUMPRODUCT((task_table_13_4_26!$C$2:$C$596=$C$1)*(A224&gt;task_table_13_4_26!$J$2:$J$596)*(A224&lt;task_table_13_4_26!$K$2:$K$596))</f>
        <v>5</v>
      </c>
      <c r="D224" cm="1">
        <f t="array" ref="D224">SUMPRODUCT((task_table_13_4_26!$C$2:$C$596=$D$1)*(A224&gt;task_table_13_4_26!$J$2:$J$596)*(A224&lt;task_table_13_4_26!$K$2:$K$596))</f>
        <v>0</v>
      </c>
      <c r="E224" cm="1">
        <f t="array" ref="E224">SUMPRODUCT((task_table_13_4_26!$C$2:$C$596=$E$1)*(A224&gt;task_table_13_4_26!$J$2:$J$596)*(A224&lt;task_table_13_4_26!$K$2:$K$596))</f>
        <v>5</v>
      </c>
    </row>
    <row r="225" spans="1:5">
      <c r="A225" s="5">
        <v>46093</v>
      </c>
      <c r="B225" cm="1">
        <f t="array" ref="B225">SUMPRODUCT((task_table_13_4_26!$C$2:$C$596=$B$1)*(A225&gt;task_table_13_4_26!$J$2:$J$596)*(A225&lt;task_table_13_4_26!$K$2:$K$596))</f>
        <v>38</v>
      </c>
      <c r="C225" cm="1">
        <f t="array" ref="C225">SUMPRODUCT((task_table_13_4_26!$C$2:$C$596=$C$1)*(A225&gt;task_table_13_4_26!$J$2:$J$596)*(A225&lt;task_table_13_4_26!$K$2:$K$596))</f>
        <v>5</v>
      </c>
      <c r="D225" cm="1">
        <f t="array" ref="D225">SUMPRODUCT((task_table_13_4_26!$C$2:$C$596=$D$1)*(A225&gt;task_table_13_4_26!$J$2:$J$596)*(A225&lt;task_table_13_4_26!$K$2:$K$596))</f>
        <v>0</v>
      </c>
      <c r="E225" cm="1">
        <f t="array" ref="E225">SUMPRODUCT((task_table_13_4_26!$C$2:$C$596=$E$1)*(A225&gt;task_table_13_4_26!$J$2:$J$596)*(A225&lt;task_table_13_4_26!$K$2:$K$596))</f>
        <v>5</v>
      </c>
    </row>
    <row r="226" spans="1:5">
      <c r="A226" s="5">
        <v>46094</v>
      </c>
      <c r="B226" cm="1">
        <f t="array" ref="B226">SUMPRODUCT((task_table_13_4_26!$C$2:$C$596=$B$1)*(A226&gt;task_table_13_4_26!$J$2:$J$596)*(A226&lt;task_table_13_4_26!$K$2:$K$596))</f>
        <v>38</v>
      </c>
      <c r="C226" cm="1">
        <f t="array" ref="C226">SUMPRODUCT((task_table_13_4_26!$C$2:$C$596=$C$1)*(A226&gt;task_table_13_4_26!$J$2:$J$596)*(A226&lt;task_table_13_4_26!$K$2:$K$596))</f>
        <v>5</v>
      </c>
      <c r="D226" cm="1">
        <f t="array" ref="D226">SUMPRODUCT((task_table_13_4_26!$C$2:$C$596=$D$1)*(A226&gt;task_table_13_4_26!$J$2:$J$596)*(A226&lt;task_table_13_4_26!$K$2:$K$596))</f>
        <v>0</v>
      </c>
      <c r="E226" cm="1">
        <f t="array" ref="E226">SUMPRODUCT((task_table_13_4_26!$C$2:$C$596=$E$1)*(A226&gt;task_table_13_4_26!$J$2:$J$596)*(A226&lt;task_table_13_4_26!$K$2:$K$596))</f>
        <v>5</v>
      </c>
    </row>
    <row r="227" spans="1:5">
      <c r="A227" s="5">
        <v>46095</v>
      </c>
      <c r="B227" cm="1">
        <f t="array" ref="B227">SUMPRODUCT((task_table_13_4_26!$C$2:$C$596=$B$1)*(A227&gt;task_table_13_4_26!$J$2:$J$596)*(A227&lt;task_table_13_4_26!$K$2:$K$596))</f>
        <v>38</v>
      </c>
      <c r="C227" cm="1">
        <f t="array" ref="C227">SUMPRODUCT((task_table_13_4_26!$C$2:$C$596=$C$1)*(A227&gt;task_table_13_4_26!$J$2:$J$596)*(A227&lt;task_table_13_4_26!$K$2:$K$596))</f>
        <v>5</v>
      </c>
      <c r="D227" cm="1">
        <f t="array" ref="D227">SUMPRODUCT((task_table_13_4_26!$C$2:$C$596=$D$1)*(A227&gt;task_table_13_4_26!$J$2:$J$596)*(A227&lt;task_table_13_4_26!$K$2:$K$596))</f>
        <v>0</v>
      </c>
      <c r="E227" cm="1">
        <f t="array" ref="E227">SUMPRODUCT((task_table_13_4_26!$C$2:$C$596=$E$1)*(A227&gt;task_table_13_4_26!$J$2:$J$596)*(A227&lt;task_table_13_4_26!$K$2:$K$596))</f>
        <v>5</v>
      </c>
    </row>
    <row r="228" spans="1:5">
      <c r="A228" s="5">
        <v>46096</v>
      </c>
      <c r="B228" cm="1">
        <f t="array" ref="B228">SUMPRODUCT((task_table_13_4_26!$C$2:$C$596=$B$1)*(A228&gt;task_table_13_4_26!$J$2:$J$596)*(A228&lt;task_table_13_4_26!$K$2:$K$596))</f>
        <v>38</v>
      </c>
      <c r="C228" cm="1">
        <f t="array" ref="C228">SUMPRODUCT((task_table_13_4_26!$C$2:$C$596=$C$1)*(A228&gt;task_table_13_4_26!$J$2:$J$596)*(A228&lt;task_table_13_4_26!$K$2:$K$596))</f>
        <v>5</v>
      </c>
      <c r="D228" cm="1">
        <f t="array" ref="D228">SUMPRODUCT((task_table_13_4_26!$C$2:$C$596=$D$1)*(A228&gt;task_table_13_4_26!$J$2:$J$596)*(A228&lt;task_table_13_4_26!$K$2:$K$596))</f>
        <v>0</v>
      </c>
      <c r="E228" cm="1">
        <f t="array" ref="E228">SUMPRODUCT((task_table_13_4_26!$C$2:$C$596=$E$1)*(A228&gt;task_table_13_4_26!$J$2:$J$596)*(A228&lt;task_table_13_4_26!$K$2:$K$596))</f>
        <v>5</v>
      </c>
    </row>
    <row r="229" spans="1:5">
      <c r="A229" s="5">
        <v>46097</v>
      </c>
      <c r="B229" cm="1">
        <f t="array" ref="B229">SUMPRODUCT((task_table_13_4_26!$C$2:$C$596=$B$1)*(A229&gt;task_table_13_4_26!$J$2:$J$596)*(A229&lt;task_table_13_4_26!$K$2:$K$596))</f>
        <v>37</v>
      </c>
      <c r="C229" cm="1">
        <f t="array" ref="C229">SUMPRODUCT((task_table_13_4_26!$C$2:$C$596=$C$1)*(A229&gt;task_table_13_4_26!$J$2:$J$596)*(A229&lt;task_table_13_4_26!$K$2:$K$596))</f>
        <v>5</v>
      </c>
      <c r="D229" cm="1">
        <f t="array" ref="D229">SUMPRODUCT((task_table_13_4_26!$C$2:$C$596=$D$1)*(A229&gt;task_table_13_4_26!$J$2:$J$596)*(A229&lt;task_table_13_4_26!$K$2:$K$596))</f>
        <v>0</v>
      </c>
      <c r="E229" cm="1">
        <f t="array" ref="E229">SUMPRODUCT((task_table_13_4_26!$C$2:$C$596=$E$1)*(A229&gt;task_table_13_4_26!$J$2:$J$596)*(A229&lt;task_table_13_4_26!$K$2:$K$596))</f>
        <v>5</v>
      </c>
    </row>
    <row r="230" spans="1:5">
      <c r="A230" s="5">
        <v>46098</v>
      </c>
      <c r="B230" cm="1">
        <f t="array" ref="B230">SUMPRODUCT((task_table_13_4_26!$C$2:$C$596=$B$1)*(A230&gt;task_table_13_4_26!$J$2:$J$596)*(A230&lt;task_table_13_4_26!$K$2:$K$596))</f>
        <v>38</v>
      </c>
      <c r="C230" cm="1">
        <f t="array" ref="C230">SUMPRODUCT((task_table_13_4_26!$C$2:$C$596=$C$1)*(A230&gt;task_table_13_4_26!$J$2:$J$596)*(A230&lt;task_table_13_4_26!$K$2:$K$596))</f>
        <v>5</v>
      </c>
      <c r="D230" cm="1">
        <f t="array" ref="D230">SUMPRODUCT((task_table_13_4_26!$C$2:$C$596=$D$1)*(A230&gt;task_table_13_4_26!$J$2:$J$596)*(A230&lt;task_table_13_4_26!$K$2:$K$596))</f>
        <v>0</v>
      </c>
      <c r="E230" cm="1">
        <f t="array" ref="E230">SUMPRODUCT((task_table_13_4_26!$C$2:$C$596=$E$1)*(A230&gt;task_table_13_4_26!$J$2:$J$596)*(A230&lt;task_table_13_4_26!$K$2:$K$596))</f>
        <v>5</v>
      </c>
    </row>
    <row r="231" spans="1:5">
      <c r="A231" s="5">
        <v>46099</v>
      </c>
      <c r="B231" cm="1">
        <f t="array" ref="B231">SUMPRODUCT((task_table_13_4_26!$C$2:$C$596=$B$1)*(A231&gt;task_table_13_4_26!$J$2:$J$596)*(A231&lt;task_table_13_4_26!$K$2:$K$596))</f>
        <v>37</v>
      </c>
      <c r="C231" cm="1">
        <f t="array" ref="C231">SUMPRODUCT((task_table_13_4_26!$C$2:$C$596=$C$1)*(A231&gt;task_table_13_4_26!$J$2:$J$596)*(A231&lt;task_table_13_4_26!$K$2:$K$596))</f>
        <v>5</v>
      </c>
      <c r="D231" cm="1">
        <f t="array" ref="D231">SUMPRODUCT((task_table_13_4_26!$C$2:$C$596=$D$1)*(A231&gt;task_table_13_4_26!$J$2:$J$596)*(A231&lt;task_table_13_4_26!$K$2:$K$596))</f>
        <v>0</v>
      </c>
      <c r="E231" cm="1">
        <f t="array" ref="E231">SUMPRODUCT((task_table_13_4_26!$C$2:$C$596=$E$1)*(A231&gt;task_table_13_4_26!$J$2:$J$596)*(A231&lt;task_table_13_4_26!$K$2:$K$596))</f>
        <v>5</v>
      </c>
    </row>
    <row r="232" spans="1:5">
      <c r="A232" s="5">
        <v>46100</v>
      </c>
      <c r="B232" cm="1">
        <f t="array" ref="B232">SUMPRODUCT((task_table_13_4_26!$C$2:$C$596=$B$1)*(A232&gt;task_table_13_4_26!$J$2:$J$596)*(A232&lt;task_table_13_4_26!$K$2:$K$596))</f>
        <v>34</v>
      </c>
      <c r="C232" cm="1">
        <f t="array" ref="C232">SUMPRODUCT((task_table_13_4_26!$C$2:$C$596=$C$1)*(A232&gt;task_table_13_4_26!$J$2:$J$596)*(A232&lt;task_table_13_4_26!$K$2:$K$596))</f>
        <v>5</v>
      </c>
      <c r="D232" cm="1">
        <f t="array" ref="D232">SUMPRODUCT((task_table_13_4_26!$C$2:$C$596=$D$1)*(A232&gt;task_table_13_4_26!$J$2:$J$596)*(A232&lt;task_table_13_4_26!$K$2:$K$596))</f>
        <v>0</v>
      </c>
      <c r="E232" cm="1">
        <f t="array" ref="E232">SUMPRODUCT((task_table_13_4_26!$C$2:$C$596=$E$1)*(A232&gt;task_table_13_4_26!$J$2:$J$596)*(A232&lt;task_table_13_4_26!$K$2:$K$596))</f>
        <v>5</v>
      </c>
    </row>
    <row r="233" spans="1:5">
      <c r="A233" s="5">
        <v>46101</v>
      </c>
      <c r="B233" cm="1">
        <f t="array" ref="B233">SUMPRODUCT((task_table_13_4_26!$C$2:$C$596=$B$1)*(A233&gt;task_table_13_4_26!$J$2:$J$596)*(A233&lt;task_table_13_4_26!$K$2:$K$596))</f>
        <v>34</v>
      </c>
      <c r="C233" cm="1">
        <f t="array" ref="C233">SUMPRODUCT((task_table_13_4_26!$C$2:$C$596=$C$1)*(A233&gt;task_table_13_4_26!$J$2:$J$596)*(A233&lt;task_table_13_4_26!$K$2:$K$596))</f>
        <v>5</v>
      </c>
      <c r="D233" cm="1">
        <f t="array" ref="D233">SUMPRODUCT((task_table_13_4_26!$C$2:$C$596=$D$1)*(A233&gt;task_table_13_4_26!$J$2:$J$596)*(A233&lt;task_table_13_4_26!$K$2:$K$596))</f>
        <v>0</v>
      </c>
      <c r="E233" cm="1">
        <f t="array" ref="E233">SUMPRODUCT((task_table_13_4_26!$C$2:$C$596=$E$1)*(A233&gt;task_table_13_4_26!$J$2:$J$596)*(A233&lt;task_table_13_4_26!$K$2:$K$596))</f>
        <v>5</v>
      </c>
    </row>
    <row r="234" spans="1:5">
      <c r="A234" s="5">
        <v>46102</v>
      </c>
      <c r="B234" cm="1">
        <f t="array" ref="B234">SUMPRODUCT((task_table_13_4_26!$C$2:$C$596=$B$1)*(A234&gt;task_table_13_4_26!$J$2:$J$596)*(A234&lt;task_table_13_4_26!$K$2:$K$596))</f>
        <v>34</v>
      </c>
      <c r="C234" cm="1">
        <f t="array" ref="C234">SUMPRODUCT((task_table_13_4_26!$C$2:$C$596=$C$1)*(A234&gt;task_table_13_4_26!$J$2:$J$596)*(A234&lt;task_table_13_4_26!$K$2:$K$596))</f>
        <v>5</v>
      </c>
      <c r="D234" cm="1">
        <f t="array" ref="D234">SUMPRODUCT((task_table_13_4_26!$C$2:$C$596=$D$1)*(A234&gt;task_table_13_4_26!$J$2:$J$596)*(A234&lt;task_table_13_4_26!$K$2:$K$596))</f>
        <v>0</v>
      </c>
      <c r="E234" cm="1">
        <f t="array" ref="E234">SUMPRODUCT((task_table_13_4_26!$C$2:$C$596=$E$1)*(A234&gt;task_table_13_4_26!$J$2:$J$596)*(A234&lt;task_table_13_4_26!$K$2:$K$596))</f>
        <v>5</v>
      </c>
    </row>
    <row r="235" spans="1:5">
      <c r="A235" s="5">
        <v>46103</v>
      </c>
      <c r="B235" cm="1">
        <f t="array" ref="B235">SUMPRODUCT((task_table_13_4_26!$C$2:$C$596=$B$1)*(A235&gt;task_table_13_4_26!$J$2:$J$596)*(A235&lt;task_table_13_4_26!$K$2:$K$596))</f>
        <v>34</v>
      </c>
      <c r="C235" cm="1">
        <f t="array" ref="C235">SUMPRODUCT((task_table_13_4_26!$C$2:$C$596=$C$1)*(A235&gt;task_table_13_4_26!$J$2:$J$596)*(A235&lt;task_table_13_4_26!$K$2:$K$596))</f>
        <v>5</v>
      </c>
      <c r="D235" cm="1">
        <f t="array" ref="D235">SUMPRODUCT((task_table_13_4_26!$C$2:$C$596=$D$1)*(A235&gt;task_table_13_4_26!$J$2:$J$596)*(A235&lt;task_table_13_4_26!$K$2:$K$596))</f>
        <v>0</v>
      </c>
      <c r="E235" cm="1">
        <f t="array" ref="E235">SUMPRODUCT((task_table_13_4_26!$C$2:$C$596=$E$1)*(A235&gt;task_table_13_4_26!$J$2:$J$596)*(A235&lt;task_table_13_4_26!$K$2:$K$596))</f>
        <v>5</v>
      </c>
    </row>
    <row r="236" spans="1:5">
      <c r="A236" s="5">
        <v>46104</v>
      </c>
      <c r="B236" cm="1">
        <f t="array" ref="B236">SUMPRODUCT((task_table_13_4_26!$C$2:$C$596=$B$1)*(A236&gt;task_table_13_4_26!$J$2:$J$596)*(A236&lt;task_table_13_4_26!$K$2:$K$596))</f>
        <v>34</v>
      </c>
      <c r="C236" cm="1">
        <f t="array" ref="C236">SUMPRODUCT((task_table_13_4_26!$C$2:$C$596=$C$1)*(A236&gt;task_table_13_4_26!$J$2:$J$596)*(A236&lt;task_table_13_4_26!$K$2:$K$596))</f>
        <v>5</v>
      </c>
      <c r="D236" cm="1">
        <f t="array" ref="D236">SUMPRODUCT((task_table_13_4_26!$C$2:$C$596=$D$1)*(A236&gt;task_table_13_4_26!$J$2:$J$596)*(A236&lt;task_table_13_4_26!$K$2:$K$596))</f>
        <v>0</v>
      </c>
      <c r="E236" cm="1">
        <f t="array" ref="E236">SUMPRODUCT((task_table_13_4_26!$C$2:$C$596=$E$1)*(A236&gt;task_table_13_4_26!$J$2:$J$596)*(A236&lt;task_table_13_4_26!$K$2:$K$596))</f>
        <v>5</v>
      </c>
    </row>
    <row r="237" spans="1:5">
      <c r="A237" s="5">
        <v>46105</v>
      </c>
      <c r="B237" cm="1">
        <f t="array" ref="B237">SUMPRODUCT((task_table_13_4_26!$C$2:$C$596=$B$1)*(A237&gt;task_table_13_4_26!$J$2:$J$596)*(A237&lt;task_table_13_4_26!$K$2:$K$596))</f>
        <v>34</v>
      </c>
      <c r="C237" cm="1">
        <f t="array" ref="C237">SUMPRODUCT((task_table_13_4_26!$C$2:$C$596=$C$1)*(A237&gt;task_table_13_4_26!$J$2:$J$596)*(A237&lt;task_table_13_4_26!$K$2:$K$596))</f>
        <v>5</v>
      </c>
      <c r="D237" cm="1">
        <f t="array" ref="D237">SUMPRODUCT((task_table_13_4_26!$C$2:$C$596=$D$1)*(A237&gt;task_table_13_4_26!$J$2:$J$596)*(A237&lt;task_table_13_4_26!$K$2:$K$596))</f>
        <v>0</v>
      </c>
      <c r="E237" cm="1">
        <f t="array" ref="E237">SUMPRODUCT((task_table_13_4_26!$C$2:$C$596=$E$1)*(A237&gt;task_table_13_4_26!$J$2:$J$596)*(A237&lt;task_table_13_4_26!$K$2:$K$596))</f>
        <v>5</v>
      </c>
    </row>
    <row r="238" spans="1:5">
      <c r="A238" s="5">
        <v>46106</v>
      </c>
      <c r="B238" cm="1">
        <f t="array" ref="B238">SUMPRODUCT((task_table_13_4_26!$C$2:$C$596=$B$1)*(A238&gt;task_table_13_4_26!$J$2:$J$596)*(A238&lt;task_table_13_4_26!$K$2:$K$596))</f>
        <v>34</v>
      </c>
      <c r="C238" cm="1">
        <f t="array" ref="C238">SUMPRODUCT((task_table_13_4_26!$C$2:$C$596=$C$1)*(A238&gt;task_table_13_4_26!$J$2:$J$596)*(A238&lt;task_table_13_4_26!$K$2:$K$596))</f>
        <v>5</v>
      </c>
      <c r="D238" cm="1">
        <f t="array" ref="D238">SUMPRODUCT((task_table_13_4_26!$C$2:$C$596=$D$1)*(A238&gt;task_table_13_4_26!$J$2:$J$596)*(A238&lt;task_table_13_4_26!$K$2:$K$596))</f>
        <v>0</v>
      </c>
      <c r="E238" cm="1">
        <f t="array" ref="E238">SUMPRODUCT((task_table_13_4_26!$C$2:$C$596=$E$1)*(A238&gt;task_table_13_4_26!$J$2:$J$596)*(A238&lt;task_table_13_4_26!$K$2:$K$596))</f>
        <v>5</v>
      </c>
    </row>
    <row r="239" spans="1:5">
      <c r="A239" s="5">
        <v>46107</v>
      </c>
      <c r="B239" cm="1">
        <f t="array" ref="B239">SUMPRODUCT((task_table_13_4_26!$C$2:$C$596=$B$1)*(A239&gt;task_table_13_4_26!$J$2:$J$596)*(A239&lt;task_table_13_4_26!$K$2:$K$596))</f>
        <v>34</v>
      </c>
      <c r="C239" cm="1">
        <f t="array" ref="C239">SUMPRODUCT((task_table_13_4_26!$C$2:$C$596=$C$1)*(A239&gt;task_table_13_4_26!$J$2:$J$596)*(A239&lt;task_table_13_4_26!$K$2:$K$596))</f>
        <v>5</v>
      </c>
      <c r="D239" cm="1">
        <f t="array" ref="D239">SUMPRODUCT((task_table_13_4_26!$C$2:$C$596=$D$1)*(A239&gt;task_table_13_4_26!$J$2:$J$596)*(A239&lt;task_table_13_4_26!$K$2:$K$596))</f>
        <v>0</v>
      </c>
      <c r="E239" cm="1">
        <f t="array" ref="E239">SUMPRODUCT((task_table_13_4_26!$C$2:$C$596=$E$1)*(A239&gt;task_table_13_4_26!$J$2:$J$596)*(A239&lt;task_table_13_4_26!$K$2:$K$596))</f>
        <v>5</v>
      </c>
    </row>
    <row r="240" spans="1:5">
      <c r="A240" s="5">
        <v>46108</v>
      </c>
      <c r="B240" cm="1">
        <f t="array" ref="B240">SUMPRODUCT((task_table_13_4_26!$C$2:$C$596=$B$1)*(A240&gt;task_table_13_4_26!$J$2:$J$596)*(A240&lt;task_table_13_4_26!$K$2:$K$596))</f>
        <v>34</v>
      </c>
      <c r="C240" cm="1">
        <f t="array" ref="C240">SUMPRODUCT((task_table_13_4_26!$C$2:$C$596=$C$1)*(A240&gt;task_table_13_4_26!$J$2:$J$596)*(A240&lt;task_table_13_4_26!$K$2:$K$596))</f>
        <v>5</v>
      </c>
      <c r="D240" cm="1">
        <f t="array" ref="D240">SUMPRODUCT((task_table_13_4_26!$C$2:$C$596=$D$1)*(A240&gt;task_table_13_4_26!$J$2:$J$596)*(A240&lt;task_table_13_4_26!$K$2:$K$596))</f>
        <v>0</v>
      </c>
      <c r="E240" cm="1">
        <f t="array" ref="E240">SUMPRODUCT((task_table_13_4_26!$C$2:$C$596=$E$1)*(A240&gt;task_table_13_4_26!$J$2:$J$596)*(A240&lt;task_table_13_4_26!$K$2:$K$596))</f>
        <v>5</v>
      </c>
    </row>
    <row r="241" spans="1:5">
      <c r="A241" s="5">
        <v>46109</v>
      </c>
      <c r="B241" cm="1">
        <f t="array" ref="B241">SUMPRODUCT((task_table_13_4_26!$C$2:$C$596=$B$1)*(A241&gt;task_table_13_4_26!$J$2:$J$596)*(A241&lt;task_table_13_4_26!$K$2:$K$596))</f>
        <v>34</v>
      </c>
      <c r="C241" cm="1">
        <f t="array" ref="C241">SUMPRODUCT((task_table_13_4_26!$C$2:$C$596=$C$1)*(A241&gt;task_table_13_4_26!$J$2:$J$596)*(A241&lt;task_table_13_4_26!$K$2:$K$596))</f>
        <v>5</v>
      </c>
      <c r="D241" cm="1">
        <f t="array" ref="D241">SUMPRODUCT((task_table_13_4_26!$C$2:$C$596=$D$1)*(A241&gt;task_table_13_4_26!$J$2:$J$596)*(A241&lt;task_table_13_4_26!$K$2:$K$596))</f>
        <v>0</v>
      </c>
      <c r="E241" cm="1">
        <f t="array" ref="E241">SUMPRODUCT((task_table_13_4_26!$C$2:$C$596=$E$1)*(A241&gt;task_table_13_4_26!$J$2:$J$596)*(A241&lt;task_table_13_4_26!$K$2:$K$596))</f>
        <v>5</v>
      </c>
    </row>
    <row r="242" spans="1:5">
      <c r="A242" s="5">
        <v>46110</v>
      </c>
      <c r="B242" cm="1">
        <f t="array" ref="B242">SUMPRODUCT((task_table_13_4_26!$C$2:$C$596=$B$1)*(A242&gt;task_table_13_4_26!$J$2:$J$596)*(A242&lt;task_table_13_4_26!$K$2:$K$596))</f>
        <v>34</v>
      </c>
      <c r="C242" cm="1">
        <f t="array" ref="C242">SUMPRODUCT((task_table_13_4_26!$C$2:$C$596=$C$1)*(A242&gt;task_table_13_4_26!$J$2:$J$596)*(A242&lt;task_table_13_4_26!$K$2:$K$596))</f>
        <v>5</v>
      </c>
      <c r="D242" cm="1">
        <f t="array" ref="D242">SUMPRODUCT((task_table_13_4_26!$C$2:$C$596=$D$1)*(A242&gt;task_table_13_4_26!$J$2:$J$596)*(A242&lt;task_table_13_4_26!$K$2:$K$596))</f>
        <v>0</v>
      </c>
      <c r="E242" cm="1">
        <f t="array" ref="E242">SUMPRODUCT((task_table_13_4_26!$C$2:$C$596=$E$1)*(A242&gt;task_table_13_4_26!$J$2:$J$596)*(A242&lt;task_table_13_4_26!$K$2:$K$596))</f>
        <v>5</v>
      </c>
    </row>
    <row r="243" spans="1:5">
      <c r="A243" s="5">
        <v>46111</v>
      </c>
      <c r="B243" cm="1">
        <f t="array" ref="B243">SUMPRODUCT((task_table_13_4_26!$C$2:$C$596=$B$1)*(A243&gt;task_table_13_4_26!$J$2:$J$596)*(A243&lt;task_table_13_4_26!$K$2:$K$596))</f>
        <v>33</v>
      </c>
      <c r="C243" cm="1">
        <f t="array" ref="C243">SUMPRODUCT((task_table_13_4_26!$C$2:$C$596=$C$1)*(A243&gt;task_table_13_4_26!$J$2:$J$596)*(A243&lt;task_table_13_4_26!$K$2:$K$596))</f>
        <v>5</v>
      </c>
      <c r="D243" cm="1">
        <f t="array" ref="D243">SUMPRODUCT((task_table_13_4_26!$C$2:$C$596=$D$1)*(A243&gt;task_table_13_4_26!$J$2:$J$596)*(A243&lt;task_table_13_4_26!$K$2:$K$596))</f>
        <v>0</v>
      </c>
      <c r="E243" cm="1">
        <f t="array" ref="E243">SUMPRODUCT((task_table_13_4_26!$C$2:$C$596=$E$1)*(A243&gt;task_table_13_4_26!$J$2:$J$596)*(A243&lt;task_table_13_4_26!$K$2:$K$596))</f>
        <v>5</v>
      </c>
    </row>
    <row r="244" spans="1:5">
      <c r="A244" s="5">
        <v>46112</v>
      </c>
      <c r="B244" cm="1">
        <f t="array" ref="B244">SUMPRODUCT((task_table_13_4_26!$C$2:$C$596=$B$1)*(A244&gt;task_table_13_4_26!$J$2:$J$596)*(A244&lt;task_table_13_4_26!$K$2:$K$596))</f>
        <v>32</v>
      </c>
      <c r="C244" cm="1">
        <f t="array" ref="C244">SUMPRODUCT((task_table_13_4_26!$C$2:$C$596=$C$1)*(A244&gt;task_table_13_4_26!$J$2:$J$596)*(A244&lt;task_table_13_4_26!$K$2:$K$596))</f>
        <v>5</v>
      </c>
      <c r="D244" cm="1">
        <f t="array" ref="D244">SUMPRODUCT((task_table_13_4_26!$C$2:$C$596=$D$1)*(A244&gt;task_table_13_4_26!$J$2:$J$596)*(A244&lt;task_table_13_4_26!$K$2:$K$596))</f>
        <v>0</v>
      </c>
      <c r="E244" cm="1">
        <f t="array" ref="E244">SUMPRODUCT((task_table_13_4_26!$C$2:$C$596=$E$1)*(A244&gt;task_table_13_4_26!$J$2:$J$596)*(A244&lt;task_table_13_4_26!$K$2:$K$596))</f>
        <v>1</v>
      </c>
    </row>
    <row r="245" spans="1:5">
      <c r="A245" s="5">
        <v>46113</v>
      </c>
      <c r="B245" cm="1">
        <f t="array" ref="B245">SUMPRODUCT((task_table_13_4_26!$C$2:$C$596=$B$1)*(A245&gt;task_table_13_4_26!$J$2:$J$596)*(A245&lt;task_table_13_4_26!$K$2:$K$596))</f>
        <v>32</v>
      </c>
      <c r="C245" cm="1">
        <f t="array" ref="C245">SUMPRODUCT((task_table_13_4_26!$C$2:$C$596=$C$1)*(A245&gt;task_table_13_4_26!$J$2:$J$596)*(A245&lt;task_table_13_4_26!$K$2:$K$596))</f>
        <v>5</v>
      </c>
      <c r="D245" cm="1">
        <f t="array" ref="D245">SUMPRODUCT((task_table_13_4_26!$C$2:$C$596=$D$1)*(A245&gt;task_table_13_4_26!$J$2:$J$596)*(A245&lt;task_table_13_4_26!$K$2:$K$596))</f>
        <v>0</v>
      </c>
      <c r="E245" cm="1">
        <f t="array" ref="E245">SUMPRODUCT((task_table_13_4_26!$C$2:$C$596=$E$1)*(A245&gt;task_table_13_4_26!$J$2:$J$596)*(A245&lt;task_table_13_4_26!$K$2:$K$596))</f>
        <v>1</v>
      </c>
    </row>
    <row r="246" spans="1:5">
      <c r="A246" s="5">
        <v>46114</v>
      </c>
      <c r="B246" cm="1">
        <f t="array" ref="B246">SUMPRODUCT((task_table_13_4_26!$C$2:$C$596=$B$1)*(A246&gt;task_table_13_4_26!$J$2:$J$596)*(A246&lt;task_table_13_4_26!$K$2:$K$596))</f>
        <v>37</v>
      </c>
      <c r="C246" cm="1">
        <f t="array" ref="C246">SUMPRODUCT((task_table_13_4_26!$C$2:$C$596=$C$1)*(A246&gt;task_table_13_4_26!$J$2:$J$596)*(A246&lt;task_table_13_4_26!$K$2:$K$596))</f>
        <v>10</v>
      </c>
      <c r="D246" cm="1">
        <f t="array" ref="D246">SUMPRODUCT((task_table_13_4_26!$C$2:$C$596=$D$1)*(A246&gt;task_table_13_4_26!$J$2:$J$596)*(A246&lt;task_table_13_4_26!$K$2:$K$596))</f>
        <v>0</v>
      </c>
      <c r="E246" cm="1">
        <f t="array" ref="E246">SUMPRODUCT((task_table_13_4_26!$C$2:$C$596=$E$1)*(A246&gt;task_table_13_4_26!$J$2:$J$596)*(A246&lt;task_table_13_4_26!$K$2:$K$596))</f>
        <v>3</v>
      </c>
    </row>
    <row r="247" spans="1:5">
      <c r="A247" s="5">
        <v>46115</v>
      </c>
      <c r="B247" cm="1">
        <f t="array" ref="B247">SUMPRODUCT((task_table_13_4_26!$C$2:$C$596=$B$1)*(A247&gt;task_table_13_4_26!$J$2:$J$596)*(A247&lt;task_table_13_4_26!$K$2:$K$596))</f>
        <v>37</v>
      </c>
      <c r="C247" cm="1">
        <f t="array" ref="C247">SUMPRODUCT((task_table_13_4_26!$C$2:$C$596=$C$1)*(A247&gt;task_table_13_4_26!$J$2:$J$596)*(A247&lt;task_table_13_4_26!$K$2:$K$596))</f>
        <v>10</v>
      </c>
      <c r="D247" cm="1">
        <f t="array" ref="D247">SUMPRODUCT((task_table_13_4_26!$C$2:$C$596=$D$1)*(A247&gt;task_table_13_4_26!$J$2:$J$596)*(A247&lt;task_table_13_4_26!$K$2:$K$596))</f>
        <v>0</v>
      </c>
      <c r="E247" cm="1">
        <f t="array" ref="E247">SUMPRODUCT((task_table_13_4_26!$C$2:$C$596=$E$1)*(A247&gt;task_table_13_4_26!$J$2:$J$596)*(A247&lt;task_table_13_4_26!$K$2:$K$596))</f>
        <v>3</v>
      </c>
    </row>
    <row r="248" spans="1:5">
      <c r="A248" s="5">
        <v>46116</v>
      </c>
      <c r="B248" cm="1">
        <f t="array" ref="B248">SUMPRODUCT((task_table_13_4_26!$C$2:$C$596=$B$1)*(A248&gt;task_table_13_4_26!$J$2:$J$596)*(A248&lt;task_table_13_4_26!$K$2:$K$596))</f>
        <v>37</v>
      </c>
      <c r="C248" cm="1">
        <f t="array" ref="C248">SUMPRODUCT((task_table_13_4_26!$C$2:$C$596=$C$1)*(A248&gt;task_table_13_4_26!$J$2:$J$596)*(A248&lt;task_table_13_4_26!$K$2:$K$596))</f>
        <v>10</v>
      </c>
      <c r="D248" cm="1">
        <f t="array" ref="D248">SUMPRODUCT((task_table_13_4_26!$C$2:$C$596=$D$1)*(A248&gt;task_table_13_4_26!$J$2:$J$596)*(A248&lt;task_table_13_4_26!$K$2:$K$596))</f>
        <v>0</v>
      </c>
      <c r="E248" cm="1">
        <f t="array" ref="E248">SUMPRODUCT((task_table_13_4_26!$C$2:$C$596=$E$1)*(A248&gt;task_table_13_4_26!$J$2:$J$596)*(A248&lt;task_table_13_4_26!$K$2:$K$596))</f>
        <v>3</v>
      </c>
    </row>
    <row r="249" spans="1:5">
      <c r="A249" s="5">
        <v>46117</v>
      </c>
      <c r="B249" cm="1">
        <f t="array" ref="B249">SUMPRODUCT((task_table_13_4_26!$C$2:$C$596=$B$1)*(A249&gt;task_table_13_4_26!$J$2:$J$596)*(A249&lt;task_table_13_4_26!$K$2:$K$596))</f>
        <v>37</v>
      </c>
      <c r="C249" cm="1">
        <f t="array" ref="C249">SUMPRODUCT((task_table_13_4_26!$C$2:$C$596=$C$1)*(A249&gt;task_table_13_4_26!$J$2:$J$596)*(A249&lt;task_table_13_4_26!$K$2:$K$596))</f>
        <v>10</v>
      </c>
      <c r="D249" cm="1">
        <f t="array" ref="D249">SUMPRODUCT((task_table_13_4_26!$C$2:$C$596=$D$1)*(A249&gt;task_table_13_4_26!$J$2:$J$596)*(A249&lt;task_table_13_4_26!$K$2:$K$596))</f>
        <v>0</v>
      </c>
      <c r="E249" cm="1">
        <f t="array" ref="E249">SUMPRODUCT((task_table_13_4_26!$C$2:$C$596=$E$1)*(A249&gt;task_table_13_4_26!$J$2:$J$596)*(A249&lt;task_table_13_4_26!$K$2:$K$596))</f>
        <v>3</v>
      </c>
    </row>
    <row r="250" spans="1:5">
      <c r="A250" s="5">
        <v>46118</v>
      </c>
      <c r="B250" cm="1">
        <f t="array" ref="B250">SUMPRODUCT((task_table_13_4_26!$C$2:$C$596=$B$1)*(A250&gt;task_table_13_4_26!$J$2:$J$596)*(A250&lt;task_table_13_4_26!$K$2:$K$596))</f>
        <v>37</v>
      </c>
      <c r="C250" cm="1">
        <f t="array" ref="C250">SUMPRODUCT((task_table_13_4_26!$C$2:$C$596=$C$1)*(A250&gt;task_table_13_4_26!$J$2:$J$596)*(A250&lt;task_table_13_4_26!$K$2:$K$596))</f>
        <v>10</v>
      </c>
      <c r="D250" cm="1">
        <f t="array" ref="D250">SUMPRODUCT((task_table_13_4_26!$C$2:$C$596=$D$1)*(A250&gt;task_table_13_4_26!$J$2:$J$596)*(A250&lt;task_table_13_4_26!$K$2:$K$596))</f>
        <v>0</v>
      </c>
      <c r="E250" cm="1">
        <f t="array" ref="E250">SUMPRODUCT((task_table_13_4_26!$C$2:$C$596=$E$1)*(A250&gt;task_table_13_4_26!$J$2:$J$596)*(A250&lt;task_table_13_4_26!$K$2:$K$596))</f>
        <v>3</v>
      </c>
    </row>
    <row r="251" spans="1:5">
      <c r="A251" s="5">
        <v>46119</v>
      </c>
      <c r="B251" cm="1">
        <f t="array" ref="B251">SUMPRODUCT((task_table_13_4_26!$C$2:$C$596=$B$1)*(A251&gt;task_table_13_4_26!$J$2:$J$596)*(A251&lt;task_table_13_4_26!$K$2:$K$596))</f>
        <v>37</v>
      </c>
      <c r="C251" cm="1">
        <f t="array" ref="C251">SUMPRODUCT((task_table_13_4_26!$C$2:$C$596=$C$1)*(A251&gt;task_table_13_4_26!$J$2:$J$596)*(A251&lt;task_table_13_4_26!$K$2:$K$596))</f>
        <v>10</v>
      </c>
      <c r="D251" cm="1">
        <f t="array" ref="D251">SUMPRODUCT((task_table_13_4_26!$C$2:$C$596=$D$1)*(A251&gt;task_table_13_4_26!$J$2:$J$596)*(A251&lt;task_table_13_4_26!$K$2:$K$596))</f>
        <v>0</v>
      </c>
      <c r="E251" cm="1">
        <f t="array" ref="E251">SUMPRODUCT((task_table_13_4_26!$C$2:$C$596=$E$1)*(A251&gt;task_table_13_4_26!$J$2:$J$596)*(A251&lt;task_table_13_4_26!$K$2:$K$596))</f>
        <v>3</v>
      </c>
    </row>
    <row r="252" spans="1:5">
      <c r="A252" s="5">
        <v>46120</v>
      </c>
      <c r="B252" cm="1">
        <f t="array" ref="B252">SUMPRODUCT((task_table_13_4_26!$C$2:$C$596=$B$1)*(A252&gt;task_table_13_4_26!$J$2:$J$596)*(A252&lt;task_table_13_4_26!$K$2:$K$596))</f>
        <v>37</v>
      </c>
      <c r="C252" cm="1">
        <f t="array" ref="C252">SUMPRODUCT((task_table_13_4_26!$C$2:$C$596=$C$1)*(A252&gt;task_table_13_4_26!$J$2:$J$596)*(A252&lt;task_table_13_4_26!$K$2:$K$596))</f>
        <v>10</v>
      </c>
      <c r="D252" cm="1">
        <f t="array" ref="D252">SUMPRODUCT((task_table_13_4_26!$C$2:$C$596=$D$1)*(A252&gt;task_table_13_4_26!$J$2:$J$596)*(A252&lt;task_table_13_4_26!$K$2:$K$596))</f>
        <v>0</v>
      </c>
      <c r="E252" cm="1">
        <f t="array" ref="E252">SUMPRODUCT((task_table_13_4_26!$C$2:$C$596=$E$1)*(A252&gt;task_table_13_4_26!$J$2:$J$596)*(A252&lt;task_table_13_4_26!$K$2:$K$596))</f>
        <v>3</v>
      </c>
    </row>
    <row r="253" spans="1:5">
      <c r="A253" s="5">
        <v>46121</v>
      </c>
      <c r="B253" cm="1">
        <f t="array" ref="B253">SUMPRODUCT((task_table_13_4_26!$C$2:$C$596=$B$1)*(A253&gt;task_table_13_4_26!$J$2:$J$596)*(A253&lt;task_table_13_4_26!$K$2:$K$596))</f>
        <v>37</v>
      </c>
      <c r="C253" cm="1">
        <f t="array" ref="C253">SUMPRODUCT((task_table_13_4_26!$C$2:$C$596=$C$1)*(A253&gt;task_table_13_4_26!$J$2:$J$596)*(A253&lt;task_table_13_4_26!$K$2:$K$596))</f>
        <v>10</v>
      </c>
      <c r="D253" cm="1">
        <f t="array" ref="D253">SUMPRODUCT((task_table_13_4_26!$C$2:$C$596=$D$1)*(A253&gt;task_table_13_4_26!$J$2:$J$596)*(A253&lt;task_table_13_4_26!$K$2:$K$596))</f>
        <v>0</v>
      </c>
      <c r="E253" cm="1">
        <f t="array" ref="E253">SUMPRODUCT((task_table_13_4_26!$C$2:$C$596=$E$1)*(A253&gt;task_table_13_4_26!$J$2:$J$596)*(A253&lt;task_table_13_4_26!$K$2:$K$596))</f>
        <v>3</v>
      </c>
    </row>
    <row r="254" spans="1:5">
      <c r="A254" s="5">
        <v>46122</v>
      </c>
      <c r="B254" cm="1">
        <f t="array" ref="B254">SUMPRODUCT((task_table_13_4_26!$C$2:$C$596=$B$1)*(A254&gt;task_table_13_4_26!$J$2:$J$596)*(A254&lt;task_table_13_4_26!$K$2:$K$596))</f>
        <v>37</v>
      </c>
      <c r="C254" cm="1">
        <f t="array" ref="C254">SUMPRODUCT((task_table_13_4_26!$C$2:$C$596=$C$1)*(A254&gt;task_table_13_4_26!$J$2:$J$596)*(A254&lt;task_table_13_4_26!$K$2:$K$596))</f>
        <v>10</v>
      </c>
      <c r="D254" cm="1">
        <f t="array" ref="D254">SUMPRODUCT((task_table_13_4_26!$C$2:$C$596=$D$1)*(A254&gt;task_table_13_4_26!$J$2:$J$596)*(A254&lt;task_table_13_4_26!$K$2:$K$596))</f>
        <v>0</v>
      </c>
      <c r="E254" cm="1">
        <f t="array" ref="E254">SUMPRODUCT((task_table_13_4_26!$C$2:$C$596=$E$1)*(A254&gt;task_table_13_4_26!$J$2:$J$596)*(A254&lt;task_table_13_4_26!$K$2:$K$596))</f>
        <v>3</v>
      </c>
    </row>
    <row r="255" spans="1:5">
      <c r="A255" s="5">
        <v>46123</v>
      </c>
      <c r="B255" cm="1">
        <f t="array" ref="B255">SUMPRODUCT((task_table_13_4_26!$C$2:$C$596=$B$1)*(A255&gt;task_table_13_4_26!$J$2:$J$596)*(A255&lt;task_table_13_4_26!$K$2:$K$596))</f>
        <v>37</v>
      </c>
      <c r="C255" cm="1">
        <f t="array" ref="C255">SUMPRODUCT((task_table_13_4_26!$C$2:$C$596=$C$1)*(A255&gt;task_table_13_4_26!$J$2:$J$596)*(A255&lt;task_table_13_4_26!$K$2:$K$596))</f>
        <v>10</v>
      </c>
      <c r="D255" cm="1">
        <f t="array" ref="D255">SUMPRODUCT((task_table_13_4_26!$C$2:$C$596=$D$1)*(A255&gt;task_table_13_4_26!$J$2:$J$596)*(A255&lt;task_table_13_4_26!$K$2:$K$596))</f>
        <v>0</v>
      </c>
      <c r="E255" cm="1">
        <f t="array" ref="E255">SUMPRODUCT((task_table_13_4_26!$C$2:$C$596=$E$1)*(A255&gt;task_table_13_4_26!$J$2:$J$596)*(A255&lt;task_table_13_4_26!$K$2:$K$596))</f>
        <v>3</v>
      </c>
    </row>
    <row r="256" spans="1:5">
      <c r="A256" s="5">
        <v>46124</v>
      </c>
      <c r="B256" cm="1">
        <f t="array" ref="B256">SUMPRODUCT((task_table_13_4_26!$C$2:$C$596=$B$1)*(A256&gt;task_table_13_4_26!$J$2:$J$596)*(A256&lt;task_table_13_4_26!$K$2:$K$596))</f>
        <v>37</v>
      </c>
      <c r="C256" cm="1">
        <f t="array" ref="C256">SUMPRODUCT((task_table_13_4_26!$C$2:$C$596=$C$1)*(A256&gt;task_table_13_4_26!$J$2:$J$596)*(A256&lt;task_table_13_4_26!$K$2:$K$596))</f>
        <v>10</v>
      </c>
      <c r="D256" cm="1">
        <f t="array" ref="D256">SUMPRODUCT((task_table_13_4_26!$C$2:$C$596=$D$1)*(A256&gt;task_table_13_4_26!$J$2:$J$596)*(A256&lt;task_table_13_4_26!$K$2:$K$596))</f>
        <v>0</v>
      </c>
      <c r="E256" cm="1">
        <f t="array" ref="E256">SUMPRODUCT((task_table_13_4_26!$C$2:$C$596=$E$1)*(A256&gt;task_table_13_4_26!$J$2:$J$596)*(A256&lt;task_table_13_4_26!$K$2:$K$596))</f>
        <v>3</v>
      </c>
    </row>
    <row r="257" spans="1:5">
      <c r="A257" s="5">
        <v>46125</v>
      </c>
      <c r="B257" cm="1">
        <f t="array" ref="B257">SUMPRODUCT((task_table_13_4_26!$C$2:$C$596=$B$1)*(A257&gt;task_table_13_4_26!$J$2:$J$596)*(A257&lt;task_table_13_4_26!$K$2:$K$596))</f>
        <v>37</v>
      </c>
      <c r="C257" cm="1">
        <f t="array" ref="C257">SUMPRODUCT((task_table_13_4_26!$C$2:$C$596=$C$1)*(A257&gt;task_table_13_4_26!$J$2:$J$596)*(A257&lt;task_table_13_4_26!$K$2:$K$596))</f>
        <v>10</v>
      </c>
      <c r="D257" cm="1">
        <f t="array" ref="D257">SUMPRODUCT((task_table_13_4_26!$C$2:$C$596=$D$1)*(A257&gt;task_table_13_4_26!$J$2:$J$596)*(A257&lt;task_table_13_4_26!$K$2:$K$596))</f>
        <v>0</v>
      </c>
      <c r="E257" cm="1">
        <f t="array" ref="E257">SUMPRODUCT((task_table_13_4_26!$C$2:$C$596=$E$1)*(A257&gt;task_table_13_4_26!$J$2:$J$596)*(A257&lt;task_table_13_4_26!$K$2:$K$596))</f>
        <v>3</v>
      </c>
    </row>
    <row r="258" spans="1:5">
      <c r="A258" s="5">
        <v>46126</v>
      </c>
      <c r="B258" cm="1">
        <f t="array" ref="B258">SUMPRODUCT((task_table_13_4_26!$C$2:$C$596=$B$1)*(A258&gt;task_table_13_4_26!$J$2:$J$596)*(A258&lt;task_table_13_4_26!$K$2:$K$596))</f>
        <v>37</v>
      </c>
      <c r="C258" cm="1">
        <f t="array" ref="C258">SUMPRODUCT((task_table_13_4_26!$C$2:$C$596=$C$1)*(A258&gt;task_table_13_4_26!$J$2:$J$596)*(A258&lt;task_table_13_4_26!$K$2:$K$596))</f>
        <v>10</v>
      </c>
      <c r="D258" cm="1">
        <f t="array" ref="D258">SUMPRODUCT((task_table_13_4_26!$C$2:$C$596=$D$1)*(A258&gt;task_table_13_4_26!$J$2:$J$596)*(A258&lt;task_table_13_4_26!$K$2:$K$596))</f>
        <v>0</v>
      </c>
      <c r="E258" cm="1">
        <f t="array" ref="E258">SUMPRODUCT((task_table_13_4_26!$C$2:$C$596=$E$1)*(A258&gt;task_table_13_4_26!$J$2:$J$596)*(A258&lt;task_table_13_4_26!$K$2:$K$596))</f>
        <v>3</v>
      </c>
    </row>
    <row r="259" spans="1:5">
      <c r="A259" s="5">
        <v>46127</v>
      </c>
      <c r="B259" cm="1">
        <f t="array" ref="B259">SUMPRODUCT((task_table_13_4_26!$C$2:$C$596=$B$1)*(A259&gt;task_table_13_4_26!$J$2:$J$596)*(A259&lt;task_table_13_4_26!$K$2:$K$596))</f>
        <v>37</v>
      </c>
      <c r="C259" cm="1">
        <f t="array" ref="C259">SUMPRODUCT((task_table_13_4_26!$C$2:$C$596=$C$1)*(A259&gt;task_table_13_4_26!$J$2:$J$596)*(A259&lt;task_table_13_4_26!$K$2:$K$596))</f>
        <v>10</v>
      </c>
      <c r="D259" cm="1">
        <f t="array" ref="D259">SUMPRODUCT((task_table_13_4_26!$C$2:$C$596=$D$1)*(A259&gt;task_table_13_4_26!$J$2:$J$596)*(A259&lt;task_table_13_4_26!$K$2:$K$596))</f>
        <v>0</v>
      </c>
      <c r="E259" cm="1">
        <f t="array" ref="E259">SUMPRODUCT((task_table_13_4_26!$C$2:$C$596=$E$1)*(A259&gt;task_table_13_4_26!$J$2:$J$596)*(A259&lt;task_table_13_4_26!$K$2:$K$596))</f>
        <v>3</v>
      </c>
    </row>
    <row r="260" spans="1:5">
      <c r="A260" s="5">
        <v>46128</v>
      </c>
      <c r="B260" cm="1">
        <f t="array" ref="B260">SUMPRODUCT((task_table_13_4_26!$C$2:$C$596=$B$1)*(A260&gt;task_table_13_4_26!$J$2:$J$596)*(A260&lt;task_table_13_4_26!$K$2:$K$596))</f>
        <v>39</v>
      </c>
      <c r="C260" cm="1">
        <f t="array" ref="C260">SUMPRODUCT((task_table_13_4_26!$C$2:$C$596=$C$1)*(A260&gt;task_table_13_4_26!$J$2:$J$596)*(A260&lt;task_table_13_4_26!$K$2:$K$596))</f>
        <v>13</v>
      </c>
      <c r="D260" cm="1">
        <f t="array" ref="D260">SUMPRODUCT((task_table_13_4_26!$C$2:$C$596=$D$1)*(A260&gt;task_table_13_4_26!$J$2:$J$596)*(A260&lt;task_table_13_4_26!$K$2:$K$596))</f>
        <v>0</v>
      </c>
      <c r="E260" cm="1">
        <f t="array" ref="E260">SUMPRODUCT((task_table_13_4_26!$C$2:$C$596=$E$1)*(A260&gt;task_table_13_4_26!$J$2:$J$596)*(A260&lt;task_table_13_4_26!$K$2:$K$596))</f>
        <v>3</v>
      </c>
    </row>
    <row r="261" spans="1:5">
      <c r="A261" s="5">
        <v>46129</v>
      </c>
      <c r="B261" cm="1">
        <f t="array" ref="B261">SUMPRODUCT((task_table_13_4_26!$C$2:$C$596=$B$1)*(A261&gt;task_table_13_4_26!$J$2:$J$596)*(A261&lt;task_table_13_4_26!$K$2:$K$596))</f>
        <v>39</v>
      </c>
      <c r="C261" cm="1">
        <f t="array" ref="C261">SUMPRODUCT((task_table_13_4_26!$C$2:$C$596=$C$1)*(A261&gt;task_table_13_4_26!$J$2:$J$596)*(A261&lt;task_table_13_4_26!$K$2:$K$596))</f>
        <v>13</v>
      </c>
      <c r="D261" cm="1">
        <f t="array" ref="D261">SUMPRODUCT((task_table_13_4_26!$C$2:$C$596=$D$1)*(A261&gt;task_table_13_4_26!$J$2:$J$596)*(A261&lt;task_table_13_4_26!$K$2:$K$596))</f>
        <v>0</v>
      </c>
      <c r="E261" cm="1">
        <f t="array" ref="E261">SUMPRODUCT((task_table_13_4_26!$C$2:$C$596=$E$1)*(A261&gt;task_table_13_4_26!$J$2:$J$596)*(A261&lt;task_table_13_4_26!$K$2:$K$596))</f>
        <v>3</v>
      </c>
    </row>
    <row r="262" spans="1:5">
      <c r="A262" s="5">
        <v>46130</v>
      </c>
      <c r="B262" cm="1">
        <f t="array" ref="B262">SUMPRODUCT((task_table_13_4_26!$C$2:$C$596=$B$1)*(A262&gt;task_table_13_4_26!$J$2:$J$596)*(A262&lt;task_table_13_4_26!$K$2:$K$596))</f>
        <v>39</v>
      </c>
      <c r="C262" cm="1">
        <f t="array" ref="C262">SUMPRODUCT((task_table_13_4_26!$C$2:$C$596=$C$1)*(A262&gt;task_table_13_4_26!$J$2:$J$596)*(A262&lt;task_table_13_4_26!$K$2:$K$596))</f>
        <v>13</v>
      </c>
      <c r="D262" cm="1">
        <f t="array" ref="D262">SUMPRODUCT((task_table_13_4_26!$C$2:$C$596=$D$1)*(A262&gt;task_table_13_4_26!$J$2:$J$596)*(A262&lt;task_table_13_4_26!$K$2:$K$596))</f>
        <v>0</v>
      </c>
      <c r="E262" cm="1">
        <f t="array" ref="E262">SUMPRODUCT((task_table_13_4_26!$C$2:$C$596=$E$1)*(A262&gt;task_table_13_4_26!$J$2:$J$596)*(A262&lt;task_table_13_4_26!$K$2:$K$596))</f>
        <v>3</v>
      </c>
    </row>
    <row r="263" spans="1:5">
      <c r="A263" s="5">
        <v>46131</v>
      </c>
      <c r="B263" cm="1">
        <f t="array" ref="B263">SUMPRODUCT((task_table_13_4_26!$C$2:$C$596=$B$1)*(A263&gt;task_table_13_4_26!$J$2:$J$596)*(A263&lt;task_table_13_4_26!$K$2:$K$596))</f>
        <v>39</v>
      </c>
      <c r="C263" cm="1">
        <f t="array" ref="C263">SUMPRODUCT((task_table_13_4_26!$C$2:$C$596=$C$1)*(A263&gt;task_table_13_4_26!$J$2:$J$596)*(A263&lt;task_table_13_4_26!$K$2:$K$596))</f>
        <v>13</v>
      </c>
      <c r="D263" cm="1">
        <f t="array" ref="D263">SUMPRODUCT((task_table_13_4_26!$C$2:$C$596=$D$1)*(A263&gt;task_table_13_4_26!$J$2:$J$596)*(A263&lt;task_table_13_4_26!$K$2:$K$596))</f>
        <v>0</v>
      </c>
      <c r="E263" cm="1">
        <f t="array" ref="E263">SUMPRODUCT((task_table_13_4_26!$C$2:$C$596=$E$1)*(A263&gt;task_table_13_4_26!$J$2:$J$596)*(A263&lt;task_table_13_4_26!$K$2:$K$596))</f>
        <v>3</v>
      </c>
    </row>
    <row r="264" spans="1:5">
      <c r="A264" s="5">
        <v>46132</v>
      </c>
      <c r="B264" cm="1">
        <f t="array" ref="B264">SUMPRODUCT((task_table_13_4_26!$C$2:$C$596=$B$1)*(A264&gt;task_table_13_4_26!$J$2:$J$596)*(A264&lt;task_table_13_4_26!$K$2:$K$596))</f>
        <v>39</v>
      </c>
      <c r="C264" cm="1">
        <f t="array" ref="C264">SUMPRODUCT((task_table_13_4_26!$C$2:$C$596=$C$1)*(A264&gt;task_table_13_4_26!$J$2:$J$596)*(A264&lt;task_table_13_4_26!$K$2:$K$596))</f>
        <v>13</v>
      </c>
      <c r="D264" cm="1">
        <f t="array" ref="D264">SUMPRODUCT((task_table_13_4_26!$C$2:$C$596=$D$1)*(A264&gt;task_table_13_4_26!$J$2:$J$596)*(A264&lt;task_table_13_4_26!$K$2:$K$596))</f>
        <v>0</v>
      </c>
      <c r="E264" cm="1">
        <f t="array" ref="E264">SUMPRODUCT((task_table_13_4_26!$C$2:$C$596=$E$1)*(A264&gt;task_table_13_4_26!$J$2:$J$596)*(A264&lt;task_table_13_4_26!$K$2:$K$596))</f>
        <v>3</v>
      </c>
    </row>
    <row r="265" spans="1:5">
      <c r="A265" s="5">
        <v>46133</v>
      </c>
      <c r="B265" cm="1">
        <f t="array" ref="B265">SUMPRODUCT((task_table_13_4_26!$C$2:$C$596=$B$1)*(A265&gt;task_table_13_4_26!$J$2:$J$596)*(A265&lt;task_table_13_4_26!$K$2:$K$596))</f>
        <v>39</v>
      </c>
      <c r="C265" cm="1">
        <f t="array" ref="C265">SUMPRODUCT((task_table_13_4_26!$C$2:$C$596=$C$1)*(A265&gt;task_table_13_4_26!$J$2:$J$596)*(A265&lt;task_table_13_4_26!$K$2:$K$596))</f>
        <v>13</v>
      </c>
      <c r="D265" cm="1">
        <f t="array" ref="D265">SUMPRODUCT((task_table_13_4_26!$C$2:$C$596=$D$1)*(A265&gt;task_table_13_4_26!$J$2:$J$596)*(A265&lt;task_table_13_4_26!$K$2:$K$596))</f>
        <v>0</v>
      </c>
      <c r="E265" cm="1">
        <f t="array" ref="E265">SUMPRODUCT((task_table_13_4_26!$C$2:$C$596=$E$1)*(A265&gt;task_table_13_4_26!$J$2:$J$596)*(A265&lt;task_table_13_4_26!$K$2:$K$596))</f>
        <v>3</v>
      </c>
    </row>
    <row r="266" spans="1:5">
      <c r="A266" s="5">
        <v>46134</v>
      </c>
      <c r="B266" cm="1">
        <f t="array" ref="B266">SUMPRODUCT((task_table_13_4_26!$C$2:$C$596=$B$1)*(A266&gt;task_table_13_4_26!$J$2:$J$596)*(A266&lt;task_table_13_4_26!$K$2:$K$596))</f>
        <v>39</v>
      </c>
      <c r="C266" cm="1">
        <f t="array" ref="C266">SUMPRODUCT((task_table_13_4_26!$C$2:$C$596=$C$1)*(A266&gt;task_table_13_4_26!$J$2:$J$596)*(A266&lt;task_table_13_4_26!$K$2:$K$596))</f>
        <v>13</v>
      </c>
      <c r="D266" cm="1">
        <f t="array" ref="D266">SUMPRODUCT((task_table_13_4_26!$C$2:$C$596=$D$1)*(A266&gt;task_table_13_4_26!$J$2:$J$596)*(A266&lt;task_table_13_4_26!$K$2:$K$596))</f>
        <v>0</v>
      </c>
      <c r="E266" cm="1">
        <f t="array" ref="E266">SUMPRODUCT((task_table_13_4_26!$C$2:$C$596=$E$1)*(A266&gt;task_table_13_4_26!$J$2:$J$596)*(A266&lt;task_table_13_4_26!$K$2:$K$596))</f>
        <v>3</v>
      </c>
    </row>
    <row r="267" spans="1:5">
      <c r="A267" s="5">
        <v>46135</v>
      </c>
      <c r="B267" cm="1">
        <f t="array" ref="B267">SUMPRODUCT((task_table_13_4_26!$C$2:$C$596=$B$1)*(A267&gt;task_table_13_4_26!$J$2:$J$596)*(A267&lt;task_table_13_4_26!$K$2:$K$596))</f>
        <v>39</v>
      </c>
      <c r="C267" cm="1">
        <f t="array" ref="C267">SUMPRODUCT((task_table_13_4_26!$C$2:$C$596=$C$1)*(A267&gt;task_table_13_4_26!$J$2:$J$596)*(A267&lt;task_table_13_4_26!$K$2:$K$596))</f>
        <v>14</v>
      </c>
      <c r="D267" cm="1">
        <f t="array" ref="D267">SUMPRODUCT((task_table_13_4_26!$C$2:$C$596=$D$1)*(A267&gt;task_table_13_4_26!$J$2:$J$596)*(A267&lt;task_table_13_4_26!$K$2:$K$596))</f>
        <v>0</v>
      </c>
      <c r="E267" cm="1">
        <f t="array" ref="E267">SUMPRODUCT((task_table_13_4_26!$C$2:$C$596=$E$1)*(A267&gt;task_table_13_4_26!$J$2:$J$596)*(A267&lt;task_table_13_4_26!$K$2:$K$596))</f>
        <v>3</v>
      </c>
    </row>
    <row r="268" spans="1:5">
      <c r="A268" s="5">
        <v>46136</v>
      </c>
      <c r="B268" cm="1">
        <f t="array" ref="B268">SUMPRODUCT((task_table_13_4_26!$C$2:$C$596=$B$1)*(A268&gt;task_table_13_4_26!$J$2:$J$596)*(A268&lt;task_table_13_4_26!$K$2:$K$596))</f>
        <v>39</v>
      </c>
      <c r="C268" cm="1">
        <f t="array" ref="C268">SUMPRODUCT((task_table_13_4_26!$C$2:$C$596=$C$1)*(A268&gt;task_table_13_4_26!$J$2:$J$596)*(A268&lt;task_table_13_4_26!$K$2:$K$596))</f>
        <v>14</v>
      </c>
      <c r="D268" cm="1">
        <f t="array" ref="D268">SUMPRODUCT((task_table_13_4_26!$C$2:$C$596=$D$1)*(A268&gt;task_table_13_4_26!$J$2:$J$596)*(A268&lt;task_table_13_4_26!$K$2:$K$596))</f>
        <v>0</v>
      </c>
      <c r="E268" cm="1">
        <f t="array" ref="E268">SUMPRODUCT((task_table_13_4_26!$C$2:$C$596=$E$1)*(A268&gt;task_table_13_4_26!$J$2:$J$596)*(A268&lt;task_table_13_4_26!$K$2:$K$596))</f>
        <v>3</v>
      </c>
    </row>
    <row r="269" spans="1:5">
      <c r="A269" s="5">
        <v>46137</v>
      </c>
      <c r="B269" cm="1">
        <f t="array" ref="B269">SUMPRODUCT((task_table_13_4_26!$C$2:$C$596=$B$1)*(A269&gt;task_table_13_4_26!$J$2:$J$596)*(A269&lt;task_table_13_4_26!$K$2:$K$596))</f>
        <v>39</v>
      </c>
      <c r="C269" cm="1">
        <f t="array" ref="C269">SUMPRODUCT((task_table_13_4_26!$C$2:$C$596=$C$1)*(A269&gt;task_table_13_4_26!$J$2:$J$596)*(A269&lt;task_table_13_4_26!$K$2:$K$596))</f>
        <v>14</v>
      </c>
      <c r="D269" cm="1">
        <f t="array" ref="D269">SUMPRODUCT((task_table_13_4_26!$C$2:$C$596=$D$1)*(A269&gt;task_table_13_4_26!$J$2:$J$596)*(A269&lt;task_table_13_4_26!$K$2:$K$596))</f>
        <v>0</v>
      </c>
      <c r="E269" cm="1">
        <f t="array" ref="E269">SUMPRODUCT((task_table_13_4_26!$C$2:$C$596=$E$1)*(A269&gt;task_table_13_4_26!$J$2:$J$596)*(A269&lt;task_table_13_4_26!$K$2:$K$596))</f>
        <v>3</v>
      </c>
    </row>
    <row r="270" spans="1:5">
      <c r="A270" s="5">
        <v>46138</v>
      </c>
      <c r="B270" cm="1">
        <f t="array" ref="B270">SUMPRODUCT((task_table_13_4_26!$C$2:$C$596=$B$1)*(A270&gt;task_table_13_4_26!$J$2:$J$596)*(A270&lt;task_table_13_4_26!$K$2:$K$596))</f>
        <v>39</v>
      </c>
      <c r="C270" cm="1">
        <f t="array" ref="C270">SUMPRODUCT((task_table_13_4_26!$C$2:$C$596=$C$1)*(A270&gt;task_table_13_4_26!$J$2:$J$596)*(A270&lt;task_table_13_4_26!$K$2:$K$596))</f>
        <v>14</v>
      </c>
      <c r="D270" cm="1">
        <f t="array" ref="D270">SUMPRODUCT((task_table_13_4_26!$C$2:$C$596=$D$1)*(A270&gt;task_table_13_4_26!$J$2:$J$596)*(A270&lt;task_table_13_4_26!$K$2:$K$596))</f>
        <v>0</v>
      </c>
      <c r="E270" cm="1">
        <f t="array" ref="E270">SUMPRODUCT((task_table_13_4_26!$C$2:$C$596=$E$1)*(A270&gt;task_table_13_4_26!$J$2:$J$596)*(A270&lt;task_table_13_4_26!$K$2:$K$596))</f>
        <v>3</v>
      </c>
    </row>
    <row r="271" spans="1:5">
      <c r="A271" s="5">
        <v>46139</v>
      </c>
      <c r="B271" cm="1">
        <f t="array" ref="B271">SUMPRODUCT((task_table_13_4_26!$C$2:$C$596=$B$1)*(A271&gt;task_table_13_4_26!$J$2:$J$596)*(A271&lt;task_table_13_4_26!$K$2:$K$596))</f>
        <v>39</v>
      </c>
      <c r="C271" cm="1">
        <f t="array" ref="C271">SUMPRODUCT((task_table_13_4_26!$C$2:$C$596=$C$1)*(A271&gt;task_table_13_4_26!$J$2:$J$596)*(A271&lt;task_table_13_4_26!$K$2:$K$596))</f>
        <v>14</v>
      </c>
      <c r="D271" cm="1">
        <f t="array" ref="D271">SUMPRODUCT((task_table_13_4_26!$C$2:$C$596=$D$1)*(A271&gt;task_table_13_4_26!$J$2:$J$596)*(A271&lt;task_table_13_4_26!$K$2:$K$596))</f>
        <v>0</v>
      </c>
      <c r="E271" cm="1">
        <f t="array" ref="E271">SUMPRODUCT((task_table_13_4_26!$C$2:$C$596=$E$1)*(A271&gt;task_table_13_4_26!$J$2:$J$596)*(A271&lt;task_table_13_4_26!$K$2:$K$596))</f>
        <v>3</v>
      </c>
    </row>
    <row r="272" spans="1:5">
      <c r="A272" s="5">
        <v>46140</v>
      </c>
      <c r="B272" cm="1">
        <f t="array" ref="B272">SUMPRODUCT((task_table_13_4_26!$C$2:$C$596=$B$1)*(A272&gt;task_table_13_4_26!$J$2:$J$596)*(A272&lt;task_table_13_4_26!$K$2:$K$596))</f>
        <v>39</v>
      </c>
      <c r="C272" cm="1">
        <f t="array" ref="C272">SUMPRODUCT((task_table_13_4_26!$C$2:$C$596=$C$1)*(A272&gt;task_table_13_4_26!$J$2:$J$596)*(A272&lt;task_table_13_4_26!$K$2:$K$596))</f>
        <v>14</v>
      </c>
      <c r="D272" cm="1">
        <f t="array" ref="D272">SUMPRODUCT((task_table_13_4_26!$C$2:$C$596=$D$1)*(A272&gt;task_table_13_4_26!$J$2:$J$596)*(A272&lt;task_table_13_4_26!$K$2:$K$596))</f>
        <v>0</v>
      </c>
      <c r="E272" cm="1">
        <f t="array" ref="E272">SUMPRODUCT((task_table_13_4_26!$C$2:$C$596=$E$1)*(A272&gt;task_table_13_4_26!$J$2:$J$596)*(A272&lt;task_table_13_4_26!$K$2:$K$596))</f>
        <v>3</v>
      </c>
    </row>
    <row r="273" spans="1:5">
      <c r="A273" s="5">
        <v>46141</v>
      </c>
      <c r="B273" cm="1">
        <f t="array" ref="B273">SUMPRODUCT((task_table_13_4_26!$C$2:$C$596=$B$1)*(A273&gt;task_table_13_4_26!$J$2:$J$596)*(A273&lt;task_table_13_4_26!$K$2:$K$596))</f>
        <v>39</v>
      </c>
      <c r="C273" cm="1">
        <f t="array" ref="C273">SUMPRODUCT((task_table_13_4_26!$C$2:$C$596=$C$1)*(A273&gt;task_table_13_4_26!$J$2:$J$596)*(A273&lt;task_table_13_4_26!$K$2:$K$596))</f>
        <v>14</v>
      </c>
      <c r="D273" cm="1">
        <f t="array" ref="D273">SUMPRODUCT((task_table_13_4_26!$C$2:$C$596=$D$1)*(A273&gt;task_table_13_4_26!$J$2:$J$596)*(A273&lt;task_table_13_4_26!$K$2:$K$596))</f>
        <v>0</v>
      </c>
      <c r="E273" cm="1">
        <f t="array" ref="E273">SUMPRODUCT((task_table_13_4_26!$C$2:$C$596=$E$1)*(A273&gt;task_table_13_4_26!$J$2:$J$596)*(A273&lt;task_table_13_4_26!$K$2:$K$596))</f>
        <v>3</v>
      </c>
    </row>
    <row r="274" spans="1:5">
      <c r="A274" s="5">
        <v>46142</v>
      </c>
      <c r="B274" cm="1">
        <f t="array" ref="B274">SUMPRODUCT((task_table_13_4_26!$C$2:$C$596=$B$1)*(A274&gt;task_table_13_4_26!$J$2:$J$596)*(A274&lt;task_table_13_4_26!$K$2:$K$596))</f>
        <v>30</v>
      </c>
      <c r="C274" cm="1">
        <f t="array" ref="C274">SUMPRODUCT((task_table_13_4_26!$C$2:$C$596=$C$1)*(A274&gt;task_table_13_4_26!$J$2:$J$596)*(A274&lt;task_table_13_4_26!$K$2:$K$596))</f>
        <v>13</v>
      </c>
      <c r="D274" cm="1">
        <f t="array" ref="D274">SUMPRODUCT((task_table_13_4_26!$C$2:$C$596=$D$1)*(A274&gt;task_table_13_4_26!$J$2:$J$596)*(A274&lt;task_table_13_4_26!$K$2:$K$596))</f>
        <v>0</v>
      </c>
      <c r="E274" cm="1">
        <f t="array" ref="E274">SUMPRODUCT((task_table_13_4_26!$C$2:$C$596=$E$1)*(A274&gt;task_table_13_4_26!$J$2:$J$596)*(A274&lt;task_table_13_4_26!$K$2:$K$596))</f>
        <v>2</v>
      </c>
    </row>
    <row r="275" spans="1:5">
      <c r="A275" s="5">
        <v>46143</v>
      </c>
      <c r="B275" cm="1">
        <f t="array" ref="B275">SUMPRODUCT((task_table_13_4_26!$C$2:$C$596=$B$1)*(A275&gt;task_table_13_4_26!$J$2:$J$596)*(A275&lt;task_table_13_4_26!$K$2:$K$596))</f>
        <v>30</v>
      </c>
      <c r="C275" cm="1">
        <f t="array" ref="C275">SUMPRODUCT((task_table_13_4_26!$C$2:$C$596=$C$1)*(A275&gt;task_table_13_4_26!$J$2:$J$596)*(A275&lt;task_table_13_4_26!$K$2:$K$596))</f>
        <v>13</v>
      </c>
      <c r="D275" cm="1">
        <f t="array" ref="D275">SUMPRODUCT((task_table_13_4_26!$C$2:$C$596=$D$1)*(A275&gt;task_table_13_4_26!$J$2:$J$596)*(A275&lt;task_table_13_4_26!$K$2:$K$596))</f>
        <v>0</v>
      </c>
      <c r="E275" cm="1">
        <f t="array" ref="E275">SUMPRODUCT((task_table_13_4_26!$C$2:$C$596=$E$1)*(A275&gt;task_table_13_4_26!$J$2:$J$596)*(A275&lt;task_table_13_4_26!$K$2:$K$596))</f>
        <v>2</v>
      </c>
    </row>
    <row r="276" spans="1:5">
      <c r="A276" s="5">
        <v>46144</v>
      </c>
      <c r="B276" cm="1">
        <f t="array" ref="B276">SUMPRODUCT((task_table_13_4_26!$C$2:$C$596=$B$1)*(A276&gt;task_table_13_4_26!$J$2:$J$596)*(A276&lt;task_table_13_4_26!$K$2:$K$596))</f>
        <v>30</v>
      </c>
      <c r="C276" cm="1">
        <f t="array" ref="C276">SUMPRODUCT((task_table_13_4_26!$C$2:$C$596=$C$1)*(A276&gt;task_table_13_4_26!$J$2:$J$596)*(A276&lt;task_table_13_4_26!$K$2:$K$596))</f>
        <v>14</v>
      </c>
      <c r="D276" cm="1">
        <f t="array" ref="D276">SUMPRODUCT((task_table_13_4_26!$C$2:$C$596=$D$1)*(A276&gt;task_table_13_4_26!$J$2:$J$596)*(A276&lt;task_table_13_4_26!$K$2:$K$596))</f>
        <v>0</v>
      </c>
      <c r="E276" cm="1">
        <f t="array" ref="E276">SUMPRODUCT((task_table_13_4_26!$C$2:$C$596=$E$1)*(A276&gt;task_table_13_4_26!$J$2:$J$596)*(A276&lt;task_table_13_4_26!$K$2:$K$596))</f>
        <v>2</v>
      </c>
    </row>
    <row r="277" spans="1:5">
      <c r="A277" s="5">
        <v>46145</v>
      </c>
      <c r="B277" cm="1">
        <f t="array" ref="B277">SUMPRODUCT((task_table_13_4_26!$C$2:$C$596=$B$1)*(A277&gt;task_table_13_4_26!$J$2:$J$596)*(A277&lt;task_table_13_4_26!$K$2:$K$596))</f>
        <v>30</v>
      </c>
      <c r="C277" cm="1">
        <f t="array" ref="C277">SUMPRODUCT((task_table_13_4_26!$C$2:$C$596=$C$1)*(A277&gt;task_table_13_4_26!$J$2:$J$596)*(A277&lt;task_table_13_4_26!$K$2:$K$596))</f>
        <v>14</v>
      </c>
      <c r="D277" cm="1">
        <f t="array" ref="D277">SUMPRODUCT((task_table_13_4_26!$C$2:$C$596=$D$1)*(A277&gt;task_table_13_4_26!$J$2:$J$596)*(A277&lt;task_table_13_4_26!$K$2:$K$596))</f>
        <v>0</v>
      </c>
      <c r="E277" cm="1">
        <f t="array" ref="E277">SUMPRODUCT((task_table_13_4_26!$C$2:$C$596=$E$1)*(A277&gt;task_table_13_4_26!$J$2:$J$596)*(A277&lt;task_table_13_4_26!$K$2:$K$596))</f>
        <v>2</v>
      </c>
    </row>
    <row r="278" spans="1:5">
      <c r="A278" s="5">
        <v>46146</v>
      </c>
      <c r="B278" cm="1">
        <f t="array" ref="B278">SUMPRODUCT((task_table_13_4_26!$C$2:$C$596=$B$1)*(A278&gt;task_table_13_4_26!$J$2:$J$596)*(A278&lt;task_table_13_4_26!$K$2:$K$596))</f>
        <v>30</v>
      </c>
      <c r="C278" cm="1">
        <f t="array" ref="C278">SUMPRODUCT((task_table_13_4_26!$C$2:$C$596=$C$1)*(A278&gt;task_table_13_4_26!$J$2:$J$596)*(A278&lt;task_table_13_4_26!$K$2:$K$596))</f>
        <v>14</v>
      </c>
      <c r="D278" cm="1">
        <f t="array" ref="D278">SUMPRODUCT((task_table_13_4_26!$C$2:$C$596=$D$1)*(A278&gt;task_table_13_4_26!$J$2:$J$596)*(A278&lt;task_table_13_4_26!$K$2:$K$596))</f>
        <v>0</v>
      </c>
      <c r="E278" cm="1">
        <f t="array" ref="E278">SUMPRODUCT((task_table_13_4_26!$C$2:$C$596=$E$1)*(A278&gt;task_table_13_4_26!$J$2:$J$596)*(A278&lt;task_table_13_4_26!$K$2:$K$596))</f>
        <v>2</v>
      </c>
    </row>
    <row r="279" spans="1:5">
      <c r="A279" s="5">
        <v>46147</v>
      </c>
      <c r="B279" cm="1">
        <f t="array" ref="B279">SUMPRODUCT((task_table_13_4_26!$C$2:$C$596=$B$1)*(A279&gt;task_table_13_4_26!$J$2:$J$596)*(A279&lt;task_table_13_4_26!$K$2:$K$596))</f>
        <v>30</v>
      </c>
      <c r="C279" cm="1">
        <f t="array" ref="C279">SUMPRODUCT((task_table_13_4_26!$C$2:$C$596=$C$1)*(A279&gt;task_table_13_4_26!$J$2:$J$596)*(A279&lt;task_table_13_4_26!$K$2:$K$596))</f>
        <v>14</v>
      </c>
      <c r="D279" cm="1">
        <f t="array" ref="D279">SUMPRODUCT((task_table_13_4_26!$C$2:$C$596=$D$1)*(A279&gt;task_table_13_4_26!$J$2:$J$596)*(A279&lt;task_table_13_4_26!$K$2:$K$596))</f>
        <v>0</v>
      </c>
      <c r="E279" cm="1">
        <f t="array" ref="E279">SUMPRODUCT((task_table_13_4_26!$C$2:$C$596=$E$1)*(A279&gt;task_table_13_4_26!$J$2:$J$596)*(A279&lt;task_table_13_4_26!$K$2:$K$596))</f>
        <v>2</v>
      </c>
    </row>
    <row r="280" spans="1:5">
      <c r="A280" s="5">
        <v>46148</v>
      </c>
      <c r="B280" cm="1">
        <f t="array" ref="B280">SUMPRODUCT((task_table_13_4_26!$C$2:$C$596=$B$1)*(A280&gt;task_table_13_4_26!$J$2:$J$596)*(A280&lt;task_table_13_4_26!$K$2:$K$596))</f>
        <v>30</v>
      </c>
      <c r="C280" cm="1">
        <f t="array" ref="C280">SUMPRODUCT((task_table_13_4_26!$C$2:$C$596=$C$1)*(A280&gt;task_table_13_4_26!$J$2:$J$596)*(A280&lt;task_table_13_4_26!$K$2:$K$596))</f>
        <v>14</v>
      </c>
      <c r="D280" cm="1">
        <f t="array" ref="D280">SUMPRODUCT((task_table_13_4_26!$C$2:$C$596=$D$1)*(A280&gt;task_table_13_4_26!$J$2:$J$596)*(A280&lt;task_table_13_4_26!$K$2:$K$596))</f>
        <v>0</v>
      </c>
      <c r="E280" cm="1">
        <f t="array" ref="E280">SUMPRODUCT((task_table_13_4_26!$C$2:$C$596=$E$1)*(A280&gt;task_table_13_4_26!$J$2:$J$596)*(A280&lt;task_table_13_4_26!$K$2:$K$596))</f>
        <v>2</v>
      </c>
    </row>
    <row r="281" spans="1:5">
      <c r="A281" s="5">
        <v>46149</v>
      </c>
      <c r="B281" cm="1">
        <f t="array" ref="B281">SUMPRODUCT((task_table_13_4_26!$C$2:$C$596=$B$1)*(A281&gt;task_table_13_4_26!$J$2:$J$596)*(A281&lt;task_table_13_4_26!$K$2:$K$596))</f>
        <v>30</v>
      </c>
      <c r="C281" cm="1">
        <f t="array" ref="C281">SUMPRODUCT((task_table_13_4_26!$C$2:$C$596=$C$1)*(A281&gt;task_table_13_4_26!$J$2:$J$596)*(A281&lt;task_table_13_4_26!$K$2:$K$596))</f>
        <v>14</v>
      </c>
      <c r="D281" cm="1">
        <f t="array" ref="D281">SUMPRODUCT((task_table_13_4_26!$C$2:$C$596=$D$1)*(A281&gt;task_table_13_4_26!$J$2:$J$596)*(A281&lt;task_table_13_4_26!$K$2:$K$596))</f>
        <v>0</v>
      </c>
      <c r="E281" cm="1">
        <f t="array" ref="E281">SUMPRODUCT((task_table_13_4_26!$C$2:$C$596=$E$1)*(A281&gt;task_table_13_4_26!$J$2:$J$596)*(A281&lt;task_table_13_4_26!$K$2:$K$596))</f>
        <v>2</v>
      </c>
    </row>
    <row r="282" spans="1:5">
      <c r="A282" s="5">
        <v>46150</v>
      </c>
      <c r="B282" cm="1">
        <f t="array" ref="B282">SUMPRODUCT((task_table_13_4_26!$C$2:$C$596=$B$1)*(A282&gt;task_table_13_4_26!$J$2:$J$596)*(A282&lt;task_table_13_4_26!$K$2:$K$596))</f>
        <v>29</v>
      </c>
      <c r="C282" cm="1">
        <f t="array" ref="C282">SUMPRODUCT((task_table_13_4_26!$C$2:$C$596=$C$1)*(A282&gt;task_table_13_4_26!$J$2:$J$596)*(A282&lt;task_table_13_4_26!$K$2:$K$596))</f>
        <v>14</v>
      </c>
      <c r="D282" cm="1">
        <f t="array" ref="D282">SUMPRODUCT((task_table_13_4_26!$C$2:$C$596=$D$1)*(A282&gt;task_table_13_4_26!$J$2:$J$596)*(A282&lt;task_table_13_4_26!$K$2:$K$596))</f>
        <v>0</v>
      </c>
      <c r="E282" cm="1">
        <f t="array" ref="E282">SUMPRODUCT((task_table_13_4_26!$C$2:$C$596=$E$1)*(A282&gt;task_table_13_4_26!$J$2:$J$596)*(A282&lt;task_table_13_4_26!$K$2:$K$596))</f>
        <v>2</v>
      </c>
    </row>
    <row r="283" spans="1:5">
      <c r="A283" s="5">
        <v>46151</v>
      </c>
      <c r="B283" cm="1">
        <f t="array" ref="B283">SUMPRODUCT((task_table_13_4_26!$C$2:$C$596=$B$1)*(A283&gt;task_table_13_4_26!$J$2:$J$596)*(A283&lt;task_table_13_4_26!$K$2:$K$596))</f>
        <v>29</v>
      </c>
      <c r="C283" cm="1">
        <f t="array" ref="C283">SUMPRODUCT((task_table_13_4_26!$C$2:$C$596=$C$1)*(A283&gt;task_table_13_4_26!$J$2:$J$596)*(A283&lt;task_table_13_4_26!$K$2:$K$596))</f>
        <v>14</v>
      </c>
      <c r="D283" cm="1">
        <f t="array" ref="D283">SUMPRODUCT((task_table_13_4_26!$C$2:$C$596=$D$1)*(A283&gt;task_table_13_4_26!$J$2:$J$596)*(A283&lt;task_table_13_4_26!$K$2:$K$596))</f>
        <v>0</v>
      </c>
      <c r="E283" cm="1">
        <f t="array" ref="E283">SUMPRODUCT((task_table_13_4_26!$C$2:$C$596=$E$1)*(A283&gt;task_table_13_4_26!$J$2:$J$596)*(A283&lt;task_table_13_4_26!$K$2:$K$596))</f>
        <v>2</v>
      </c>
    </row>
    <row r="284" spans="1:5">
      <c r="A284" s="5">
        <v>46152</v>
      </c>
      <c r="B284" cm="1">
        <f t="array" ref="B284">SUMPRODUCT((task_table_13_4_26!$C$2:$C$596=$B$1)*(A284&gt;task_table_13_4_26!$J$2:$J$596)*(A284&lt;task_table_13_4_26!$K$2:$K$596))</f>
        <v>29</v>
      </c>
      <c r="C284" cm="1">
        <f t="array" ref="C284">SUMPRODUCT((task_table_13_4_26!$C$2:$C$596=$C$1)*(A284&gt;task_table_13_4_26!$J$2:$J$596)*(A284&lt;task_table_13_4_26!$K$2:$K$596))</f>
        <v>14</v>
      </c>
      <c r="D284" cm="1">
        <f t="array" ref="D284">SUMPRODUCT((task_table_13_4_26!$C$2:$C$596=$D$1)*(A284&gt;task_table_13_4_26!$J$2:$J$596)*(A284&lt;task_table_13_4_26!$K$2:$K$596))</f>
        <v>0</v>
      </c>
      <c r="E284" cm="1">
        <f t="array" ref="E284">SUMPRODUCT((task_table_13_4_26!$C$2:$C$596=$E$1)*(A284&gt;task_table_13_4_26!$J$2:$J$596)*(A284&lt;task_table_13_4_26!$K$2:$K$596))</f>
        <v>2</v>
      </c>
    </row>
    <row r="285" spans="1:5">
      <c r="A285" s="5">
        <v>46153</v>
      </c>
      <c r="B285" cm="1">
        <f t="array" ref="B285">SUMPRODUCT((task_table_13_4_26!$C$2:$C$596=$B$1)*(A285&gt;task_table_13_4_26!$J$2:$J$596)*(A285&lt;task_table_13_4_26!$K$2:$K$596))</f>
        <v>29</v>
      </c>
      <c r="C285" cm="1">
        <f t="array" ref="C285">SUMPRODUCT((task_table_13_4_26!$C$2:$C$596=$C$1)*(A285&gt;task_table_13_4_26!$J$2:$J$596)*(A285&lt;task_table_13_4_26!$K$2:$K$596))</f>
        <v>14</v>
      </c>
      <c r="D285" cm="1">
        <f t="array" ref="D285">SUMPRODUCT((task_table_13_4_26!$C$2:$C$596=$D$1)*(A285&gt;task_table_13_4_26!$J$2:$J$596)*(A285&lt;task_table_13_4_26!$K$2:$K$596))</f>
        <v>0</v>
      </c>
      <c r="E285" cm="1">
        <f t="array" ref="E285">SUMPRODUCT((task_table_13_4_26!$C$2:$C$596=$E$1)*(A285&gt;task_table_13_4_26!$J$2:$J$596)*(A285&lt;task_table_13_4_26!$K$2:$K$596))</f>
        <v>2</v>
      </c>
    </row>
    <row r="286" spans="1:5">
      <c r="A286" s="5">
        <v>46154</v>
      </c>
      <c r="B286" cm="1">
        <f t="array" ref="B286">SUMPRODUCT((task_table_13_4_26!$C$2:$C$596=$B$1)*(A286&gt;task_table_13_4_26!$J$2:$J$596)*(A286&lt;task_table_13_4_26!$K$2:$K$596))</f>
        <v>29</v>
      </c>
      <c r="C286" cm="1">
        <f t="array" ref="C286">SUMPRODUCT((task_table_13_4_26!$C$2:$C$596=$C$1)*(A286&gt;task_table_13_4_26!$J$2:$J$596)*(A286&lt;task_table_13_4_26!$K$2:$K$596))</f>
        <v>14</v>
      </c>
      <c r="D286" cm="1">
        <f t="array" ref="D286">SUMPRODUCT((task_table_13_4_26!$C$2:$C$596=$D$1)*(A286&gt;task_table_13_4_26!$J$2:$J$596)*(A286&lt;task_table_13_4_26!$K$2:$K$596))</f>
        <v>0</v>
      </c>
      <c r="E286" cm="1">
        <f t="array" ref="E286">SUMPRODUCT((task_table_13_4_26!$C$2:$C$596=$E$1)*(A286&gt;task_table_13_4_26!$J$2:$J$596)*(A286&lt;task_table_13_4_26!$K$2:$K$596))</f>
        <v>2</v>
      </c>
    </row>
    <row r="287" spans="1:5">
      <c r="A287" s="5">
        <v>46155</v>
      </c>
      <c r="B287" cm="1">
        <f t="array" ref="B287">SUMPRODUCT((task_table_13_4_26!$C$2:$C$596=$B$1)*(A287&gt;task_table_13_4_26!$J$2:$J$596)*(A287&lt;task_table_13_4_26!$K$2:$K$596))</f>
        <v>29</v>
      </c>
      <c r="C287" cm="1">
        <f t="array" ref="C287">SUMPRODUCT((task_table_13_4_26!$C$2:$C$596=$C$1)*(A287&gt;task_table_13_4_26!$J$2:$J$596)*(A287&lt;task_table_13_4_26!$K$2:$K$596))</f>
        <v>14</v>
      </c>
      <c r="D287" cm="1">
        <f t="array" ref="D287">SUMPRODUCT((task_table_13_4_26!$C$2:$C$596=$D$1)*(A287&gt;task_table_13_4_26!$J$2:$J$596)*(A287&lt;task_table_13_4_26!$K$2:$K$596))</f>
        <v>0</v>
      </c>
      <c r="E287" cm="1">
        <f t="array" ref="E287">SUMPRODUCT((task_table_13_4_26!$C$2:$C$596=$E$1)*(A287&gt;task_table_13_4_26!$J$2:$J$596)*(A287&lt;task_table_13_4_26!$K$2:$K$596))</f>
        <v>2</v>
      </c>
    </row>
    <row r="288" spans="1:5">
      <c r="A288" s="5">
        <v>46156</v>
      </c>
      <c r="B288" cm="1">
        <f t="array" ref="B288">SUMPRODUCT((task_table_13_4_26!$C$2:$C$596=$B$1)*(A288&gt;task_table_13_4_26!$J$2:$J$596)*(A288&lt;task_table_13_4_26!$K$2:$K$596))</f>
        <v>29</v>
      </c>
      <c r="C288" cm="1">
        <f t="array" ref="C288">SUMPRODUCT((task_table_13_4_26!$C$2:$C$596=$C$1)*(A288&gt;task_table_13_4_26!$J$2:$J$596)*(A288&lt;task_table_13_4_26!$K$2:$K$596))</f>
        <v>14</v>
      </c>
      <c r="D288" cm="1">
        <f t="array" ref="D288">SUMPRODUCT((task_table_13_4_26!$C$2:$C$596=$D$1)*(A288&gt;task_table_13_4_26!$J$2:$J$596)*(A288&lt;task_table_13_4_26!$K$2:$K$596))</f>
        <v>0</v>
      </c>
      <c r="E288" cm="1">
        <f t="array" ref="E288">SUMPRODUCT((task_table_13_4_26!$C$2:$C$596=$E$1)*(A288&gt;task_table_13_4_26!$J$2:$J$596)*(A288&lt;task_table_13_4_26!$K$2:$K$596))</f>
        <v>2</v>
      </c>
    </row>
    <row r="289" spans="1:5">
      <c r="A289" s="5">
        <v>46157</v>
      </c>
      <c r="B289" cm="1">
        <f t="array" ref="B289">SUMPRODUCT((task_table_13_4_26!$C$2:$C$596=$B$1)*(A289&gt;task_table_13_4_26!$J$2:$J$596)*(A289&lt;task_table_13_4_26!$K$2:$K$596))</f>
        <v>27</v>
      </c>
      <c r="C289" cm="1">
        <f t="array" ref="C289">SUMPRODUCT((task_table_13_4_26!$C$2:$C$596=$C$1)*(A289&gt;task_table_13_4_26!$J$2:$J$596)*(A289&lt;task_table_13_4_26!$K$2:$K$596))</f>
        <v>15</v>
      </c>
      <c r="D289" cm="1">
        <f t="array" ref="D289">SUMPRODUCT((task_table_13_4_26!$C$2:$C$596=$D$1)*(A289&gt;task_table_13_4_26!$J$2:$J$596)*(A289&lt;task_table_13_4_26!$K$2:$K$596))</f>
        <v>0</v>
      </c>
      <c r="E289" cm="1">
        <f t="array" ref="E289">SUMPRODUCT((task_table_13_4_26!$C$2:$C$596=$E$1)*(A289&gt;task_table_13_4_26!$J$2:$J$596)*(A289&lt;task_table_13_4_26!$K$2:$K$596))</f>
        <v>2</v>
      </c>
    </row>
    <row r="290" spans="1:5">
      <c r="A290" s="5">
        <v>46158</v>
      </c>
      <c r="B290" cm="1">
        <f t="array" ref="B290">SUMPRODUCT((task_table_13_4_26!$C$2:$C$596=$B$1)*(A290&gt;task_table_13_4_26!$J$2:$J$596)*(A290&lt;task_table_13_4_26!$K$2:$K$596))</f>
        <v>27</v>
      </c>
      <c r="C290" cm="1">
        <f t="array" ref="C290">SUMPRODUCT((task_table_13_4_26!$C$2:$C$596=$C$1)*(A290&gt;task_table_13_4_26!$J$2:$J$596)*(A290&lt;task_table_13_4_26!$K$2:$K$596))</f>
        <v>15</v>
      </c>
      <c r="D290" cm="1">
        <f t="array" ref="D290">SUMPRODUCT((task_table_13_4_26!$C$2:$C$596=$D$1)*(A290&gt;task_table_13_4_26!$J$2:$J$596)*(A290&lt;task_table_13_4_26!$K$2:$K$596))</f>
        <v>0</v>
      </c>
      <c r="E290" cm="1">
        <f t="array" ref="E290">SUMPRODUCT((task_table_13_4_26!$C$2:$C$596=$E$1)*(A290&gt;task_table_13_4_26!$J$2:$J$596)*(A290&lt;task_table_13_4_26!$K$2:$K$596))</f>
        <v>2</v>
      </c>
    </row>
    <row r="291" spans="1:5">
      <c r="A291" s="5">
        <v>46159</v>
      </c>
      <c r="B291" cm="1">
        <f t="array" ref="B291">SUMPRODUCT((task_table_13_4_26!$C$2:$C$596=$B$1)*(A291&gt;task_table_13_4_26!$J$2:$J$596)*(A291&lt;task_table_13_4_26!$K$2:$K$596))</f>
        <v>27</v>
      </c>
      <c r="C291" cm="1">
        <f t="array" ref="C291">SUMPRODUCT((task_table_13_4_26!$C$2:$C$596=$C$1)*(A291&gt;task_table_13_4_26!$J$2:$J$596)*(A291&lt;task_table_13_4_26!$K$2:$K$596))</f>
        <v>15</v>
      </c>
      <c r="D291" cm="1">
        <f t="array" ref="D291">SUMPRODUCT((task_table_13_4_26!$C$2:$C$596=$D$1)*(A291&gt;task_table_13_4_26!$J$2:$J$596)*(A291&lt;task_table_13_4_26!$K$2:$K$596))</f>
        <v>0</v>
      </c>
      <c r="E291" cm="1">
        <f t="array" ref="E291">SUMPRODUCT((task_table_13_4_26!$C$2:$C$596=$E$1)*(A291&gt;task_table_13_4_26!$J$2:$J$596)*(A291&lt;task_table_13_4_26!$K$2:$K$596))</f>
        <v>2</v>
      </c>
    </row>
    <row r="292" spans="1:5">
      <c r="A292" s="5">
        <v>46160</v>
      </c>
      <c r="B292" cm="1">
        <f t="array" ref="B292">SUMPRODUCT((task_table_13_4_26!$C$2:$C$596=$B$1)*(A292&gt;task_table_13_4_26!$J$2:$J$596)*(A292&lt;task_table_13_4_26!$K$2:$K$596))</f>
        <v>27</v>
      </c>
      <c r="C292" cm="1">
        <f t="array" ref="C292">SUMPRODUCT((task_table_13_4_26!$C$2:$C$596=$C$1)*(A292&gt;task_table_13_4_26!$J$2:$J$596)*(A292&lt;task_table_13_4_26!$K$2:$K$596))</f>
        <v>15</v>
      </c>
      <c r="D292" cm="1">
        <f t="array" ref="D292">SUMPRODUCT((task_table_13_4_26!$C$2:$C$596=$D$1)*(A292&gt;task_table_13_4_26!$J$2:$J$596)*(A292&lt;task_table_13_4_26!$K$2:$K$596))</f>
        <v>0</v>
      </c>
      <c r="E292" cm="1">
        <f t="array" ref="E292">SUMPRODUCT((task_table_13_4_26!$C$2:$C$596=$E$1)*(A292&gt;task_table_13_4_26!$J$2:$J$596)*(A292&lt;task_table_13_4_26!$K$2:$K$596))</f>
        <v>2</v>
      </c>
    </row>
    <row r="293" spans="1:5">
      <c r="A293" s="5">
        <v>46161</v>
      </c>
      <c r="B293" cm="1">
        <f t="array" ref="B293">SUMPRODUCT((task_table_13_4_26!$C$2:$C$596=$B$1)*(A293&gt;task_table_13_4_26!$J$2:$J$596)*(A293&lt;task_table_13_4_26!$K$2:$K$596))</f>
        <v>27</v>
      </c>
      <c r="C293" cm="1">
        <f t="array" ref="C293">SUMPRODUCT((task_table_13_4_26!$C$2:$C$596=$C$1)*(A293&gt;task_table_13_4_26!$J$2:$J$596)*(A293&lt;task_table_13_4_26!$K$2:$K$596))</f>
        <v>16</v>
      </c>
      <c r="D293" cm="1">
        <f t="array" ref="D293">SUMPRODUCT((task_table_13_4_26!$C$2:$C$596=$D$1)*(A293&gt;task_table_13_4_26!$J$2:$J$596)*(A293&lt;task_table_13_4_26!$K$2:$K$596))</f>
        <v>0</v>
      </c>
      <c r="E293" cm="1">
        <f t="array" ref="E293">SUMPRODUCT((task_table_13_4_26!$C$2:$C$596=$E$1)*(A293&gt;task_table_13_4_26!$J$2:$J$596)*(A293&lt;task_table_13_4_26!$K$2:$K$596))</f>
        <v>2</v>
      </c>
    </row>
    <row r="294" spans="1:5">
      <c r="A294" s="5">
        <v>46162</v>
      </c>
      <c r="B294" cm="1">
        <f t="array" ref="B294">SUMPRODUCT((task_table_13_4_26!$C$2:$C$596=$B$1)*(A294&gt;task_table_13_4_26!$J$2:$J$596)*(A294&lt;task_table_13_4_26!$K$2:$K$596))</f>
        <v>26</v>
      </c>
      <c r="C294" cm="1">
        <f t="array" ref="C294">SUMPRODUCT((task_table_13_4_26!$C$2:$C$596=$C$1)*(A294&gt;task_table_13_4_26!$J$2:$J$596)*(A294&lt;task_table_13_4_26!$K$2:$K$596))</f>
        <v>16</v>
      </c>
      <c r="D294" cm="1">
        <f t="array" ref="D294">SUMPRODUCT((task_table_13_4_26!$C$2:$C$596=$D$1)*(A294&gt;task_table_13_4_26!$J$2:$J$596)*(A294&lt;task_table_13_4_26!$K$2:$K$596))</f>
        <v>0</v>
      </c>
      <c r="E294" cm="1">
        <f t="array" ref="E294">SUMPRODUCT((task_table_13_4_26!$C$2:$C$596=$E$1)*(A294&gt;task_table_13_4_26!$J$2:$J$596)*(A294&lt;task_table_13_4_26!$K$2:$K$596))</f>
        <v>2</v>
      </c>
    </row>
    <row r="295" spans="1:5">
      <c r="A295" s="5">
        <v>46163</v>
      </c>
      <c r="B295" cm="1">
        <f t="array" ref="B295">SUMPRODUCT((task_table_13_4_26!$C$2:$C$596=$B$1)*(A295&gt;task_table_13_4_26!$J$2:$J$596)*(A295&lt;task_table_13_4_26!$K$2:$K$596))</f>
        <v>25</v>
      </c>
      <c r="C295" cm="1">
        <f t="array" ref="C295">SUMPRODUCT((task_table_13_4_26!$C$2:$C$596=$C$1)*(A295&gt;task_table_13_4_26!$J$2:$J$596)*(A295&lt;task_table_13_4_26!$K$2:$K$596))</f>
        <v>16</v>
      </c>
      <c r="D295" cm="1">
        <f t="array" ref="D295">SUMPRODUCT((task_table_13_4_26!$C$2:$C$596=$D$1)*(A295&gt;task_table_13_4_26!$J$2:$J$596)*(A295&lt;task_table_13_4_26!$K$2:$K$596))</f>
        <v>0</v>
      </c>
      <c r="E295" cm="1">
        <f t="array" ref="E295">SUMPRODUCT((task_table_13_4_26!$C$2:$C$596=$E$1)*(A295&gt;task_table_13_4_26!$J$2:$J$596)*(A295&lt;task_table_13_4_26!$K$2:$K$596))</f>
        <v>2</v>
      </c>
    </row>
    <row r="296" spans="1:5">
      <c r="A296" s="5">
        <v>46164</v>
      </c>
      <c r="B296" cm="1">
        <f t="array" ref="B296">SUMPRODUCT((task_table_13_4_26!$C$2:$C$596=$B$1)*(A296&gt;task_table_13_4_26!$J$2:$J$596)*(A296&lt;task_table_13_4_26!$K$2:$K$596))</f>
        <v>25</v>
      </c>
      <c r="C296" cm="1">
        <f t="array" ref="C296">SUMPRODUCT((task_table_13_4_26!$C$2:$C$596=$C$1)*(A296&gt;task_table_13_4_26!$J$2:$J$596)*(A296&lt;task_table_13_4_26!$K$2:$K$596))</f>
        <v>16</v>
      </c>
      <c r="D296" cm="1">
        <f t="array" ref="D296">SUMPRODUCT((task_table_13_4_26!$C$2:$C$596=$D$1)*(A296&gt;task_table_13_4_26!$J$2:$J$596)*(A296&lt;task_table_13_4_26!$K$2:$K$596))</f>
        <v>0</v>
      </c>
      <c r="E296" cm="1">
        <f t="array" ref="E296">SUMPRODUCT((task_table_13_4_26!$C$2:$C$596=$E$1)*(A296&gt;task_table_13_4_26!$J$2:$J$596)*(A296&lt;task_table_13_4_26!$K$2:$K$596))</f>
        <v>2</v>
      </c>
    </row>
    <row r="297" spans="1:5">
      <c r="A297" s="5">
        <v>46165</v>
      </c>
      <c r="B297" cm="1">
        <f t="array" ref="B297">SUMPRODUCT((task_table_13_4_26!$C$2:$C$596=$B$1)*(A297&gt;task_table_13_4_26!$J$2:$J$596)*(A297&lt;task_table_13_4_26!$K$2:$K$596))</f>
        <v>25</v>
      </c>
      <c r="C297" cm="1">
        <f t="array" ref="C297">SUMPRODUCT((task_table_13_4_26!$C$2:$C$596=$C$1)*(A297&gt;task_table_13_4_26!$J$2:$J$596)*(A297&lt;task_table_13_4_26!$K$2:$K$596))</f>
        <v>16</v>
      </c>
      <c r="D297" cm="1">
        <f t="array" ref="D297">SUMPRODUCT((task_table_13_4_26!$C$2:$C$596=$D$1)*(A297&gt;task_table_13_4_26!$J$2:$J$596)*(A297&lt;task_table_13_4_26!$K$2:$K$596))</f>
        <v>0</v>
      </c>
      <c r="E297" cm="1">
        <f t="array" ref="E297">SUMPRODUCT((task_table_13_4_26!$C$2:$C$596=$E$1)*(A297&gt;task_table_13_4_26!$J$2:$J$596)*(A297&lt;task_table_13_4_26!$K$2:$K$596))</f>
        <v>2</v>
      </c>
    </row>
    <row r="298" spans="1:5">
      <c r="A298" s="5">
        <v>46166</v>
      </c>
      <c r="B298" cm="1">
        <f t="array" ref="B298">SUMPRODUCT((task_table_13_4_26!$C$2:$C$596=$B$1)*(A298&gt;task_table_13_4_26!$J$2:$J$596)*(A298&lt;task_table_13_4_26!$K$2:$K$596))</f>
        <v>25</v>
      </c>
      <c r="C298" cm="1">
        <f t="array" ref="C298">SUMPRODUCT((task_table_13_4_26!$C$2:$C$596=$C$1)*(A298&gt;task_table_13_4_26!$J$2:$J$596)*(A298&lt;task_table_13_4_26!$K$2:$K$596))</f>
        <v>16</v>
      </c>
      <c r="D298" cm="1">
        <f t="array" ref="D298">SUMPRODUCT((task_table_13_4_26!$C$2:$C$596=$D$1)*(A298&gt;task_table_13_4_26!$J$2:$J$596)*(A298&lt;task_table_13_4_26!$K$2:$K$596))</f>
        <v>0</v>
      </c>
      <c r="E298" cm="1">
        <f t="array" ref="E298">SUMPRODUCT((task_table_13_4_26!$C$2:$C$596=$E$1)*(A298&gt;task_table_13_4_26!$J$2:$J$596)*(A298&lt;task_table_13_4_26!$K$2:$K$596))</f>
        <v>2</v>
      </c>
    </row>
    <row r="299" spans="1:5">
      <c r="A299" s="5">
        <v>46167</v>
      </c>
      <c r="B299" cm="1">
        <f t="array" ref="B299">SUMPRODUCT((task_table_13_4_26!$C$2:$C$596=$B$1)*(A299&gt;task_table_13_4_26!$J$2:$J$596)*(A299&lt;task_table_13_4_26!$K$2:$K$596))</f>
        <v>25</v>
      </c>
      <c r="C299" cm="1">
        <f t="array" ref="C299">SUMPRODUCT((task_table_13_4_26!$C$2:$C$596=$C$1)*(A299&gt;task_table_13_4_26!$J$2:$J$596)*(A299&lt;task_table_13_4_26!$K$2:$K$596))</f>
        <v>16</v>
      </c>
      <c r="D299" cm="1">
        <f t="array" ref="D299">SUMPRODUCT((task_table_13_4_26!$C$2:$C$596=$D$1)*(A299&gt;task_table_13_4_26!$J$2:$J$596)*(A299&lt;task_table_13_4_26!$K$2:$K$596))</f>
        <v>0</v>
      </c>
      <c r="E299" cm="1">
        <f t="array" ref="E299">SUMPRODUCT((task_table_13_4_26!$C$2:$C$596=$E$1)*(A299&gt;task_table_13_4_26!$J$2:$J$596)*(A299&lt;task_table_13_4_26!$K$2:$K$596))</f>
        <v>2</v>
      </c>
    </row>
    <row r="300" spans="1:5">
      <c r="A300" s="5">
        <v>46168</v>
      </c>
      <c r="B300" cm="1">
        <f t="array" ref="B300">SUMPRODUCT((task_table_13_4_26!$C$2:$C$596=$B$1)*(A300&gt;task_table_13_4_26!$J$2:$J$596)*(A300&lt;task_table_13_4_26!$K$2:$K$596))</f>
        <v>25</v>
      </c>
      <c r="C300" cm="1">
        <f t="array" ref="C300">SUMPRODUCT((task_table_13_4_26!$C$2:$C$596=$C$1)*(A300&gt;task_table_13_4_26!$J$2:$J$596)*(A300&lt;task_table_13_4_26!$K$2:$K$596))</f>
        <v>17</v>
      </c>
      <c r="D300" cm="1">
        <f t="array" ref="D300">SUMPRODUCT((task_table_13_4_26!$C$2:$C$596=$D$1)*(A300&gt;task_table_13_4_26!$J$2:$J$596)*(A300&lt;task_table_13_4_26!$K$2:$K$596))</f>
        <v>0</v>
      </c>
      <c r="E300" cm="1">
        <f t="array" ref="E300">SUMPRODUCT((task_table_13_4_26!$C$2:$C$596=$E$1)*(A300&gt;task_table_13_4_26!$J$2:$J$596)*(A300&lt;task_table_13_4_26!$K$2:$K$596))</f>
        <v>2</v>
      </c>
    </row>
    <row r="301" spans="1:5">
      <c r="A301" s="5">
        <v>46169</v>
      </c>
      <c r="B301" cm="1">
        <f t="array" ref="B301">SUMPRODUCT((task_table_13_4_26!$C$2:$C$596=$B$1)*(A301&gt;task_table_13_4_26!$J$2:$J$596)*(A301&lt;task_table_13_4_26!$K$2:$K$596))</f>
        <v>25</v>
      </c>
      <c r="C301" cm="1">
        <f t="array" ref="C301">SUMPRODUCT((task_table_13_4_26!$C$2:$C$596=$C$1)*(A301&gt;task_table_13_4_26!$J$2:$J$596)*(A301&lt;task_table_13_4_26!$K$2:$K$596))</f>
        <v>17</v>
      </c>
      <c r="D301" cm="1">
        <f t="array" ref="D301">SUMPRODUCT((task_table_13_4_26!$C$2:$C$596=$D$1)*(A301&gt;task_table_13_4_26!$J$2:$J$596)*(A301&lt;task_table_13_4_26!$K$2:$K$596))</f>
        <v>0</v>
      </c>
      <c r="E301" cm="1">
        <f t="array" ref="E301">SUMPRODUCT((task_table_13_4_26!$C$2:$C$596=$E$1)*(A301&gt;task_table_13_4_26!$J$2:$J$596)*(A301&lt;task_table_13_4_26!$K$2:$K$596))</f>
        <v>2</v>
      </c>
    </row>
    <row r="302" spans="1:5">
      <c r="A302" s="5">
        <v>46170</v>
      </c>
      <c r="B302" cm="1">
        <f t="array" ref="B302">SUMPRODUCT((task_table_13_4_26!$C$2:$C$596=$B$1)*(A302&gt;task_table_13_4_26!$J$2:$J$596)*(A302&lt;task_table_13_4_26!$K$2:$K$596))</f>
        <v>25</v>
      </c>
      <c r="C302" cm="1">
        <f t="array" ref="C302">SUMPRODUCT((task_table_13_4_26!$C$2:$C$596=$C$1)*(A302&gt;task_table_13_4_26!$J$2:$J$596)*(A302&lt;task_table_13_4_26!$K$2:$K$596))</f>
        <v>17</v>
      </c>
      <c r="D302" cm="1">
        <f t="array" ref="D302">SUMPRODUCT((task_table_13_4_26!$C$2:$C$596=$D$1)*(A302&gt;task_table_13_4_26!$J$2:$J$596)*(A302&lt;task_table_13_4_26!$K$2:$K$596))</f>
        <v>0</v>
      </c>
      <c r="E302" cm="1">
        <f t="array" ref="E302">SUMPRODUCT((task_table_13_4_26!$C$2:$C$596=$E$1)*(A302&gt;task_table_13_4_26!$J$2:$J$596)*(A302&lt;task_table_13_4_26!$K$2:$K$596))</f>
        <v>2</v>
      </c>
    </row>
    <row r="303" spans="1:5">
      <c r="A303" s="5">
        <v>46171</v>
      </c>
      <c r="B303" cm="1">
        <f t="array" ref="B303">SUMPRODUCT((task_table_13_4_26!$C$2:$C$596=$B$1)*(A303&gt;task_table_13_4_26!$J$2:$J$596)*(A303&lt;task_table_13_4_26!$K$2:$K$596))</f>
        <v>25</v>
      </c>
      <c r="C303" cm="1">
        <f t="array" ref="C303">SUMPRODUCT((task_table_13_4_26!$C$2:$C$596=$C$1)*(A303&gt;task_table_13_4_26!$J$2:$J$596)*(A303&lt;task_table_13_4_26!$K$2:$K$596))</f>
        <v>17</v>
      </c>
      <c r="D303" cm="1">
        <f t="array" ref="D303">SUMPRODUCT((task_table_13_4_26!$C$2:$C$596=$D$1)*(A303&gt;task_table_13_4_26!$J$2:$J$596)*(A303&lt;task_table_13_4_26!$K$2:$K$596))</f>
        <v>0</v>
      </c>
      <c r="E303" cm="1">
        <f t="array" ref="E303">SUMPRODUCT((task_table_13_4_26!$C$2:$C$596=$E$1)*(A303&gt;task_table_13_4_26!$J$2:$J$596)*(A303&lt;task_table_13_4_26!$K$2:$K$596))</f>
        <v>2</v>
      </c>
    </row>
    <row r="304" spans="1:5">
      <c r="A304" s="5">
        <v>46172</v>
      </c>
      <c r="B304" cm="1">
        <f t="array" ref="B304">SUMPRODUCT((task_table_13_4_26!$C$2:$C$596=$B$1)*(A304&gt;task_table_13_4_26!$J$2:$J$596)*(A304&lt;task_table_13_4_26!$K$2:$K$596))</f>
        <v>25</v>
      </c>
      <c r="C304" cm="1">
        <f t="array" ref="C304">SUMPRODUCT((task_table_13_4_26!$C$2:$C$596=$C$1)*(A304&gt;task_table_13_4_26!$J$2:$J$596)*(A304&lt;task_table_13_4_26!$K$2:$K$596))</f>
        <v>17</v>
      </c>
      <c r="D304" cm="1">
        <f t="array" ref="D304">SUMPRODUCT((task_table_13_4_26!$C$2:$C$596=$D$1)*(A304&gt;task_table_13_4_26!$J$2:$J$596)*(A304&lt;task_table_13_4_26!$K$2:$K$596))</f>
        <v>0</v>
      </c>
      <c r="E304" cm="1">
        <f t="array" ref="E304">SUMPRODUCT((task_table_13_4_26!$C$2:$C$596=$E$1)*(A304&gt;task_table_13_4_26!$J$2:$J$596)*(A304&lt;task_table_13_4_26!$K$2:$K$596))</f>
        <v>2</v>
      </c>
    </row>
    <row r="305" spans="1:5">
      <c r="A305" s="5">
        <v>46173</v>
      </c>
      <c r="B305" cm="1">
        <f t="array" ref="B305">SUMPRODUCT((task_table_13_4_26!$C$2:$C$596=$B$1)*(A305&gt;task_table_13_4_26!$J$2:$J$596)*(A305&lt;task_table_13_4_26!$K$2:$K$596))</f>
        <v>18</v>
      </c>
      <c r="C305" cm="1">
        <f t="array" ref="C305">SUMPRODUCT((task_table_13_4_26!$C$2:$C$596=$C$1)*(A305&gt;task_table_13_4_26!$J$2:$J$596)*(A305&lt;task_table_13_4_26!$K$2:$K$596))</f>
        <v>16</v>
      </c>
      <c r="D305" cm="1">
        <f t="array" ref="D305">SUMPRODUCT((task_table_13_4_26!$C$2:$C$596=$D$1)*(A305&gt;task_table_13_4_26!$J$2:$J$596)*(A305&lt;task_table_13_4_26!$K$2:$K$596))</f>
        <v>0</v>
      </c>
      <c r="E305" cm="1">
        <f t="array" ref="E305">SUMPRODUCT((task_table_13_4_26!$C$2:$C$596=$E$1)*(A305&gt;task_table_13_4_26!$J$2:$J$596)*(A305&lt;task_table_13_4_26!$K$2:$K$596))</f>
        <v>2</v>
      </c>
    </row>
    <row r="306" spans="1:5">
      <c r="A306" s="5">
        <v>46174</v>
      </c>
      <c r="B306" cm="1">
        <f t="array" ref="B306">SUMPRODUCT((task_table_13_4_26!$C$2:$C$596=$B$1)*(A306&gt;task_table_13_4_26!$J$2:$J$596)*(A306&lt;task_table_13_4_26!$K$2:$K$596))</f>
        <v>18</v>
      </c>
      <c r="C306" cm="1">
        <f t="array" ref="C306">SUMPRODUCT((task_table_13_4_26!$C$2:$C$596=$C$1)*(A306&gt;task_table_13_4_26!$J$2:$J$596)*(A306&lt;task_table_13_4_26!$K$2:$K$596))</f>
        <v>16</v>
      </c>
      <c r="D306" cm="1">
        <f t="array" ref="D306">SUMPRODUCT((task_table_13_4_26!$C$2:$C$596=$D$1)*(A306&gt;task_table_13_4_26!$J$2:$J$596)*(A306&lt;task_table_13_4_26!$K$2:$K$596))</f>
        <v>0</v>
      </c>
      <c r="E306" cm="1">
        <f t="array" ref="E306">SUMPRODUCT((task_table_13_4_26!$C$2:$C$596=$E$1)*(A306&gt;task_table_13_4_26!$J$2:$J$596)*(A306&lt;task_table_13_4_26!$K$2:$K$596))</f>
        <v>2</v>
      </c>
    </row>
    <row r="307" spans="1:5">
      <c r="A307" s="5">
        <v>46175</v>
      </c>
      <c r="B307" cm="1">
        <f t="array" ref="B307">SUMPRODUCT((task_table_13_4_26!$C$2:$C$596=$B$1)*(A307&gt;task_table_13_4_26!$J$2:$J$596)*(A307&lt;task_table_13_4_26!$K$2:$K$596))</f>
        <v>18</v>
      </c>
      <c r="C307" cm="1">
        <f t="array" ref="C307">SUMPRODUCT((task_table_13_4_26!$C$2:$C$596=$C$1)*(A307&gt;task_table_13_4_26!$J$2:$J$596)*(A307&lt;task_table_13_4_26!$K$2:$K$596))</f>
        <v>17</v>
      </c>
      <c r="D307" cm="1">
        <f t="array" ref="D307">SUMPRODUCT((task_table_13_4_26!$C$2:$C$596=$D$1)*(A307&gt;task_table_13_4_26!$J$2:$J$596)*(A307&lt;task_table_13_4_26!$K$2:$K$596))</f>
        <v>1</v>
      </c>
      <c r="E307" cm="1">
        <f t="array" ref="E307">SUMPRODUCT((task_table_13_4_26!$C$2:$C$596=$E$1)*(A307&gt;task_table_13_4_26!$J$2:$J$596)*(A307&lt;task_table_13_4_26!$K$2:$K$596))</f>
        <v>3</v>
      </c>
    </row>
    <row r="308" spans="1:5">
      <c r="A308" s="5">
        <v>46176</v>
      </c>
      <c r="B308" cm="1">
        <f t="array" ref="B308">SUMPRODUCT((task_table_13_4_26!$C$2:$C$596=$B$1)*(A308&gt;task_table_13_4_26!$J$2:$J$596)*(A308&lt;task_table_13_4_26!$K$2:$K$596))</f>
        <v>18</v>
      </c>
      <c r="C308" cm="1">
        <f t="array" ref="C308">SUMPRODUCT((task_table_13_4_26!$C$2:$C$596=$C$1)*(A308&gt;task_table_13_4_26!$J$2:$J$596)*(A308&lt;task_table_13_4_26!$K$2:$K$596))</f>
        <v>17</v>
      </c>
      <c r="D308" cm="1">
        <f t="array" ref="D308">SUMPRODUCT((task_table_13_4_26!$C$2:$C$596=$D$1)*(A308&gt;task_table_13_4_26!$J$2:$J$596)*(A308&lt;task_table_13_4_26!$K$2:$K$596))</f>
        <v>1</v>
      </c>
      <c r="E308" cm="1">
        <f t="array" ref="E308">SUMPRODUCT((task_table_13_4_26!$C$2:$C$596=$E$1)*(A308&gt;task_table_13_4_26!$J$2:$J$596)*(A308&lt;task_table_13_4_26!$K$2:$K$596))</f>
        <v>3</v>
      </c>
    </row>
    <row r="309" spans="1:5">
      <c r="A309" s="5">
        <v>46177</v>
      </c>
      <c r="B309" cm="1">
        <f t="array" ref="B309">SUMPRODUCT((task_table_13_4_26!$C$2:$C$596=$B$1)*(A309&gt;task_table_13_4_26!$J$2:$J$596)*(A309&lt;task_table_13_4_26!$K$2:$K$596))</f>
        <v>18</v>
      </c>
      <c r="C309" cm="1">
        <f t="array" ref="C309">SUMPRODUCT((task_table_13_4_26!$C$2:$C$596=$C$1)*(A309&gt;task_table_13_4_26!$J$2:$J$596)*(A309&lt;task_table_13_4_26!$K$2:$K$596))</f>
        <v>17</v>
      </c>
      <c r="D309" cm="1">
        <f t="array" ref="D309">SUMPRODUCT((task_table_13_4_26!$C$2:$C$596=$D$1)*(A309&gt;task_table_13_4_26!$J$2:$J$596)*(A309&lt;task_table_13_4_26!$K$2:$K$596))</f>
        <v>1</v>
      </c>
      <c r="E309" cm="1">
        <f t="array" ref="E309">SUMPRODUCT((task_table_13_4_26!$C$2:$C$596=$E$1)*(A309&gt;task_table_13_4_26!$J$2:$J$596)*(A309&lt;task_table_13_4_26!$K$2:$K$596))</f>
        <v>3</v>
      </c>
    </row>
    <row r="310" spans="1:5">
      <c r="A310" s="5">
        <v>46178</v>
      </c>
      <c r="B310" cm="1">
        <f t="array" ref="B310">SUMPRODUCT((task_table_13_4_26!$C$2:$C$596=$B$1)*(A310&gt;task_table_13_4_26!$J$2:$J$596)*(A310&lt;task_table_13_4_26!$K$2:$K$596))</f>
        <v>18</v>
      </c>
      <c r="C310" cm="1">
        <f t="array" ref="C310">SUMPRODUCT((task_table_13_4_26!$C$2:$C$596=$C$1)*(A310&gt;task_table_13_4_26!$J$2:$J$596)*(A310&lt;task_table_13_4_26!$K$2:$K$596))</f>
        <v>17</v>
      </c>
      <c r="D310" cm="1">
        <f t="array" ref="D310">SUMPRODUCT((task_table_13_4_26!$C$2:$C$596=$D$1)*(A310&gt;task_table_13_4_26!$J$2:$J$596)*(A310&lt;task_table_13_4_26!$K$2:$K$596))</f>
        <v>1</v>
      </c>
      <c r="E310" cm="1">
        <f t="array" ref="E310">SUMPRODUCT((task_table_13_4_26!$C$2:$C$596=$E$1)*(A310&gt;task_table_13_4_26!$J$2:$J$596)*(A310&lt;task_table_13_4_26!$K$2:$K$596))</f>
        <v>3</v>
      </c>
    </row>
    <row r="311" spans="1:5">
      <c r="A311" s="5">
        <v>46179</v>
      </c>
      <c r="B311" cm="1">
        <f t="array" ref="B311">SUMPRODUCT((task_table_13_4_26!$C$2:$C$596=$B$1)*(A311&gt;task_table_13_4_26!$J$2:$J$596)*(A311&lt;task_table_13_4_26!$K$2:$K$596))</f>
        <v>18</v>
      </c>
      <c r="C311" cm="1">
        <f t="array" ref="C311">SUMPRODUCT((task_table_13_4_26!$C$2:$C$596=$C$1)*(A311&gt;task_table_13_4_26!$J$2:$J$596)*(A311&lt;task_table_13_4_26!$K$2:$K$596))</f>
        <v>17</v>
      </c>
      <c r="D311" cm="1">
        <f t="array" ref="D311">SUMPRODUCT((task_table_13_4_26!$C$2:$C$596=$D$1)*(A311&gt;task_table_13_4_26!$J$2:$J$596)*(A311&lt;task_table_13_4_26!$K$2:$K$596))</f>
        <v>1</v>
      </c>
      <c r="E311" cm="1">
        <f t="array" ref="E311">SUMPRODUCT((task_table_13_4_26!$C$2:$C$596=$E$1)*(A311&gt;task_table_13_4_26!$J$2:$J$596)*(A311&lt;task_table_13_4_26!$K$2:$K$596))</f>
        <v>3</v>
      </c>
    </row>
    <row r="312" spans="1:5">
      <c r="A312" s="5">
        <v>46180</v>
      </c>
      <c r="B312" cm="1">
        <f t="array" ref="B312">SUMPRODUCT((task_table_13_4_26!$C$2:$C$596=$B$1)*(A312&gt;task_table_13_4_26!$J$2:$J$596)*(A312&lt;task_table_13_4_26!$K$2:$K$596))</f>
        <v>18</v>
      </c>
      <c r="C312" cm="1">
        <f t="array" ref="C312">SUMPRODUCT((task_table_13_4_26!$C$2:$C$596=$C$1)*(A312&gt;task_table_13_4_26!$J$2:$J$596)*(A312&lt;task_table_13_4_26!$K$2:$K$596))</f>
        <v>17</v>
      </c>
      <c r="D312" cm="1">
        <f t="array" ref="D312">SUMPRODUCT((task_table_13_4_26!$C$2:$C$596=$D$1)*(A312&gt;task_table_13_4_26!$J$2:$J$596)*(A312&lt;task_table_13_4_26!$K$2:$K$596))</f>
        <v>1</v>
      </c>
      <c r="E312" cm="1">
        <f t="array" ref="E312">SUMPRODUCT((task_table_13_4_26!$C$2:$C$596=$E$1)*(A312&gt;task_table_13_4_26!$J$2:$J$596)*(A312&lt;task_table_13_4_26!$K$2:$K$596))</f>
        <v>3</v>
      </c>
    </row>
    <row r="313" spans="1:5">
      <c r="A313" s="5">
        <v>46181</v>
      </c>
      <c r="B313" cm="1">
        <f t="array" ref="B313">SUMPRODUCT((task_table_13_4_26!$C$2:$C$596=$B$1)*(A313&gt;task_table_13_4_26!$J$2:$J$596)*(A313&lt;task_table_13_4_26!$K$2:$K$596))</f>
        <v>18</v>
      </c>
      <c r="C313" cm="1">
        <f t="array" ref="C313">SUMPRODUCT((task_table_13_4_26!$C$2:$C$596=$C$1)*(A313&gt;task_table_13_4_26!$J$2:$J$596)*(A313&lt;task_table_13_4_26!$K$2:$K$596))</f>
        <v>17</v>
      </c>
      <c r="D313" cm="1">
        <f t="array" ref="D313">SUMPRODUCT((task_table_13_4_26!$C$2:$C$596=$D$1)*(A313&gt;task_table_13_4_26!$J$2:$J$596)*(A313&lt;task_table_13_4_26!$K$2:$K$596))</f>
        <v>1</v>
      </c>
      <c r="E313" cm="1">
        <f t="array" ref="E313">SUMPRODUCT((task_table_13_4_26!$C$2:$C$596=$E$1)*(A313&gt;task_table_13_4_26!$J$2:$J$596)*(A313&lt;task_table_13_4_26!$K$2:$K$596))</f>
        <v>3</v>
      </c>
    </row>
    <row r="314" spans="1:5">
      <c r="A314" s="5">
        <v>46182</v>
      </c>
      <c r="B314" cm="1">
        <f t="array" ref="B314">SUMPRODUCT((task_table_13_4_26!$C$2:$C$596=$B$1)*(A314&gt;task_table_13_4_26!$J$2:$J$596)*(A314&lt;task_table_13_4_26!$K$2:$K$596))</f>
        <v>18</v>
      </c>
      <c r="C314" cm="1">
        <f t="array" ref="C314">SUMPRODUCT((task_table_13_4_26!$C$2:$C$596=$C$1)*(A314&gt;task_table_13_4_26!$J$2:$J$596)*(A314&lt;task_table_13_4_26!$K$2:$K$596))</f>
        <v>17</v>
      </c>
      <c r="D314" cm="1">
        <f t="array" ref="D314">SUMPRODUCT((task_table_13_4_26!$C$2:$C$596=$D$1)*(A314&gt;task_table_13_4_26!$J$2:$J$596)*(A314&lt;task_table_13_4_26!$K$2:$K$596))</f>
        <v>1</v>
      </c>
      <c r="E314" cm="1">
        <f t="array" ref="E314">SUMPRODUCT((task_table_13_4_26!$C$2:$C$596=$E$1)*(A314&gt;task_table_13_4_26!$J$2:$J$596)*(A314&lt;task_table_13_4_26!$K$2:$K$596))</f>
        <v>3</v>
      </c>
    </row>
    <row r="315" spans="1:5">
      <c r="A315" s="5">
        <v>46183</v>
      </c>
      <c r="B315" cm="1">
        <f t="array" ref="B315">SUMPRODUCT((task_table_13_4_26!$C$2:$C$596=$B$1)*(A315&gt;task_table_13_4_26!$J$2:$J$596)*(A315&lt;task_table_13_4_26!$K$2:$K$596))</f>
        <v>18</v>
      </c>
      <c r="C315" cm="1">
        <f t="array" ref="C315">SUMPRODUCT((task_table_13_4_26!$C$2:$C$596=$C$1)*(A315&gt;task_table_13_4_26!$J$2:$J$596)*(A315&lt;task_table_13_4_26!$K$2:$K$596))</f>
        <v>17</v>
      </c>
      <c r="D315" cm="1">
        <f t="array" ref="D315">SUMPRODUCT((task_table_13_4_26!$C$2:$C$596=$D$1)*(A315&gt;task_table_13_4_26!$J$2:$J$596)*(A315&lt;task_table_13_4_26!$K$2:$K$596))</f>
        <v>1</v>
      </c>
      <c r="E315" cm="1">
        <f t="array" ref="E315">SUMPRODUCT((task_table_13_4_26!$C$2:$C$596=$E$1)*(A315&gt;task_table_13_4_26!$J$2:$J$596)*(A315&lt;task_table_13_4_26!$K$2:$K$596))</f>
        <v>3</v>
      </c>
    </row>
    <row r="316" spans="1:5">
      <c r="A316" s="5">
        <v>46184</v>
      </c>
      <c r="B316" cm="1">
        <f t="array" ref="B316">SUMPRODUCT((task_table_13_4_26!$C$2:$C$596=$B$1)*(A316&gt;task_table_13_4_26!$J$2:$J$596)*(A316&lt;task_table_13_4_26!$K$2:$K$596))</f>
        <v>18</v>
      </c>
      <c r="C316" cm="1">
        <f t="array" ref="C316">SUMPRODUCT((task_table_13_4_26!$C$2:$C$596=$C$1)*(A316&gt;task_table_13_4_26!$J$2:$J$596)*(A316&lt;task_table_13_4_26!$K$2:$K$596))</f>
        <v>17</v>
      </c>
      <c r="D316" cm="1">
        <f t="array" ref="D316">SUMPRODUCT((task_table_13_4_26!$C$2:$C$596=$D$1)*(A316&gt;task_table_13_4_26!$J$2:$J$596)*(A316&lt;task_table_13_4_26!$K$2:$K$596))</f>
        <v>1</v>
      </c>
      <c r="E316" cm="1">
        <f t="array" ref="E316">SUMPRODUCT((task_table_13_4_26!$C$2:$C$596=$E$1)*(A316&gt;task_table_13_4_26!$J$2:$J$596)*(A316&lt;task_table_13_4_26!$K$2:$K$596))</f>
        <v>3</v>
      </c>
    </row>
    <row r="317" spans="1:5">
      <c r="A317" s="5">
        <v>46185</v>
      </c>
      <c r="B317" cm="1">
        <f t="array" ref="B317">SUMPRODUCT((task_table_13_4_26!$C$2:$C$596=$B$1)*(A317&gt;task_table_13_4_26!$J$2:$J$596)*(A317&lt;task_table_13_4_26!$K$2:$K$596))</f>
        <v>18</v>
      </c>
      <c r="C317" cm="1">
        <f t="array" ref="C317">SUMPRODUCT((task_table_13_4_26!$C$2:$C$596=$C$1)*(A317&gt;task_table_13_4_26!$J$2:$J$596)*(A317&lt;task_table_13_4_26!$K$2:$K$596))</f>
        <v>17</v>
      </c>
      <c r="D317" cm="1">
        <f t="array" ref="D317">SUMPRODUCT((task_table_13_4_26!$C$2:$C$596=$D$1)*(A317&gt;task_table_13_4_26!$J$2:$J$596)*(A317&lt;task_table_13_4_26!$K$2:$K$596))</f>
        <v>1</v>
      </c>
      <c r="E317" cm="1">
        <f t="array" ref="E317">SUMPRODUCT((task_table_13_4_26!$C$2:$C$596=$E$1)*(A317&gt;task_table_13_4_26!$J$2:$J$596)*(A317&lt;task_table_13_4_26!$K$2:$K$596))</f>
        <v>3</v>
      </c>
    </row>
    <row r="318" spans="1:5">
      <c r="A318" s="5">
        <v>46186</v>
      </c>
      <c r="B318" cm="1">
        <f t="array" ref="B318">SUMPRODUCT((task_table_13_4_26!$C$2:$C$596=$B$1)*(A318&gt;task_table_13_4_26!$J$2:$J$596)*(A318&lt;task_table_13_4_26!$K$2:$K$596))</f>
        <v>18</v>
      </c>
      <c r="C318" cm="1">
        <f t="array" ref="C318">SUMPRODUCT((task_table_13_4_26!$C$2:$C$596=$C$1)*(A318&gt;task_table_13_4_26!$J$2:$J$596)*(A318&lt;task_table_13_4_26!$K$2:$K$596))</f>
        <v>17</v>
      </c>
      <c r="D318" cm="1">
        <f t="array" ref="D318">SUMPRODUCT((task_table_13_4_26!$C$2:$C$596=$D$1)*(A318&gt;task_table_13_4_26!$J$2:$J$596)*(A318&lt;task_table_13_4_26!$K$2:$K$596))</f>
        <v>1</v>
      </c>
      <c r="E318" cm="1">
        <f t="array" ref="E318">SUMPRODUCT((task_table_13_4_26!$C$2:$C$596=$E$1)*(A318&gt;task_table_13_4_26!$J$2:$J$596)*(A318&lt;task_table_13_4_26!$K$2:$K$596))</f>
        <v>3</v>
      </c>
    </row>
    <row r="319" spans="1:5">
      <c r="A319" s="5">
        <v>46187</v>
      </c>
      <c r="B319" cm="1">
        <f t="array" ref="B319">SUMPRODUCT((task_table_13_4_26!$C$2:$C$596=$B$1)*(A319&gt;task_table_13_4_26!$J$2:$J$596)*(A319&lt;task_table_13_4_26!$K$2:$K$596))</f>
        <v>18</v>
      </c>
      <c r="C319" cm="1">
        <f t="array" ref="C319">SUMPRODUCT((task_table_13_4_26!$C$2:$C$596=$C$1)*(A319&gt;task_table_13_4_26!$J$2:$J$596)*(A319&lt;task_table_13_4_26!$K$2:$K$596))</f>
        <v>17</v>
      </c>
      <c r="D319" cm="1">
        <f t="array" ref="D319">SUMPRODUCT((task_table_13_4_26!$C$2:$C$596=$D$1)*(A319&gt;task_table_13_4_26!$J$2:$J$596)*(A319&lt;task_table_13_4_26!$K$2:$K$596))</f>
        <v>1</v>
      </c>
      <c r="E319" cm="1">
        <f t="array" ref="E319">SUMPRODUCT((task_table_13_4_26!$C$2:$C$596=$E$1)*(A319&gt;task_table_13_4_26!$J$2:$J$596)*(A319&lt;task_table_13_4_26!$K$2:$K$596))</f>
        <v>3</v>
      </c>
    </row>
    <row r="320" spans="1:5">
      <c r="A320" s="5">
        <v>46188</v>
      </c>
      <c r="B320" cm="1">
        <f t="array" ref="B320">SUMPRODUCT((task_table_13_4_26!$C$2:$C$596=$B$1)*(A320&gt;task_table_13_4_26!$J$2:$J$596)*(A320&lt;task_table_13_4_26!$K$2:$K$596))</f>
        <v>14</v>
      </c>
      <c r="C320" cm="1">
        <f t="array" ref="C320">SUMPRODUCT((task_table_13_4_26!$C$2:$C$596=$C$1)*(A320&gt;task_table_13_4_26!$J$2:$J$596)*(A320&lt;task_table_13_4_26!$K$2:$K$596))</f>
        <v>13</v>
      </c>
      <c r="D320" cm="1">
        <f t="array" ref="D320">SUMPRODUCT((task_table_13_4_26!$C$2:$C$596=$D$1)*(A320&gt;task_table_13_4_26!$J$2:$J$596)*(A320&lt;task_table_13_4_26!$K$2:$K$596))</f>
        <v>1</v>
      </c>
      <c r="E320" cm="1">
        <f t="array" ref="E320">SUMPRODUCT((task_table_13_4_26!$C$2:$C$596=$E$1)*(A320&gt;task_table_13_4_26!$J$2:$J$596)*(A320&lt;task_table_13_4_26!$K$2:$K$596))</f>
        <v>2</v>
      </c>
    </row>
    <row r="321" spans="1:5">
      <c r="A321" s="5">
        <v>46189</v>
      </c>
      <c r="B321" cm="1">
        <f t="array" ref="B321">SUMPRODUCT((task_table_13_4_26!$C$2:$C$596=$B$1)*(A321&gt;task_table_13_4_26!$J$2:$J$596)*(A321&lt;task_table_13_4_26!$K$2:$K$596))</f>
        <v>14</v>
      </c>
      <c r="C321" cm="1">
        <f t="array" ref="C321">SUMPRODUCT((task_table_13_4_26!$C$2:$C$596=$C$1)*(A321&gt;task_table_13_4_26!$J$2:$J$596)*(A321&lt;task_table_13_4_26!$K$2:$K$596))</f>
        <v>14</v>
      </c>
      <c r="D321" cm="1">
        <f t="array" ref="D321">SUMPRODUCT((task_table_13_4_26!$C$2:$C$596=$D$1)*(A321&gt;task_table_13_4_26!$J$2:$J$596)*(A321&lt;task_table_13_4_26!$K$2:$K$596))</f>
        <v>1</v>
      </c>
      <c r="E321" cm="1">
        <f t="array" ref="E321">SUMPRODUCT((task_table_13_4_26!$C$2:$C$596=$E$1)*(A321&gt;task_table_13_4_26!$J$2:$J$596)*(A321&lt;task_table_13_4_26!$K$2:$K$596))</f>
        <v>2</v>
      </c>
    </row>
    <row r="322" spans="1:5">
      <c r="A322" s="5">
        <v>46190</v>
      </c>
      <c r="B322" cm="1">
        <f t="array" ref="B322">SUMPRODUCT((task_table_13_4_26!$C$2:$C$596=$B$1)*(A322&gt;task_table_13_4_26!$J$2:$J$596)*(A322&lt;task_table_13_4_26!$K$2:$K$596))</f>
        <v>12</v>
      </c>
      <c r="C322" cm="1">
        <f t="array" ref="C322">SUMPRODUCT((task_table_13_4_26!$C$2:$C$596=$C$1)*(A322&gt;task_table_13_4_26!$J$2:$J$596)*(A322&lt;task_table_13_4_26!$K$2:$K$596))</f>
        <v>14</v>
      </c>
      <c r="D322" cm="1">
        <f t="array" ref="D322">SUMPRODUCT((task_table_13_4_26!$C$2:$C$596=$D$1)*(A322&gt;task_table_13_4_26!$J$2:$J$596)*(A322&lt;task_table_13_4_26!$K$2:$K$596))</f>
        <v>1</v>
      </c>
      <c r="E322" cm="1">
        <f t="array" ref="E322">SUMPRODUCT((task_table_13_4_26!$C$2:$C$596=$E$1)*(A322&gt;task_table_13_4_26!$J$2:$J$596)*(A322&lt;task_table_13_4_26!$K$2:$K$596))</f>
        <v>2</v>
      </c>
    </row>
    <row r="323" spans="1:5">
      <c r="A323" s="5">
        <v>46191</v>
      </c>
      <c r="B323" cm="1">
        <f t="array" ref="B323">SUMPRODUCT((task_table_13_4_26!$C$2:$C$596=$B$1)*(A323&gt;task_table_13_4_26!$J$2:$J$596)*(A323&lt;task_table_13_4_26!$K$2:$K$596))</f>
        <v>12</v>
      </c>
      <c r="C323" cm="1">
        <f t="array" ref="C323">SUMPRODUCT((task_table_13_4_26!$C$2:$C$596=$C$1)*(A323&gt;task_table_13_4_26!$J$2:$J$596)*(A323&lt;task_table_13_4_26!$K$2:$K$596))</f>
        <v>14</v>
      </c>
      <c r="D323" cm="1">
        <f t="array" ref="D323">SUMPRODUCT((task_table_13_4_26!$C$2:$C$596=$D$1)*(A323&gt;task_table_13_4_26!$J$2:$J$596)*(A323&lt;task_table_13_4_26!$K$2:$K$596))</f>
        <v>1</v>
      </c>
      <c r="E323" cm="1">
        <f t="array" ref="E323">SUMPRODUCT((task_table_13_4_26!$C$2:$C$596=$E$1)*(A323&gt;task_table_13_4_26!$J$2:$J$596)*(A323&lt;task_table_13_4_26!$K$2:$K$596))</f>
        <v>2</v>
      </c>
    </row>
    <row r="324" spans="1:5">
      <c r="A324" s="5">
        <v>46192</v>
      </c>
      <c r="B324" cm="1">
        <f t="array" ref="B324">SUMPRODUCT((task_table_13_4_26!$C$2:$C$596=$B$1)*(A324&gt;task_table_13_4_26!$J$2:$J$596)*(A324&lt;task_table_13_4_26!$K$2:$K$596))</f>
        <v>12</v>
      </c>
      <c r="C324" cm="1">
        <f t="array" ref="C324">SUMPRODUCT((task_table_13_4_26!$C$2:$C$596=$C$1)*(A324&gt;task_table_13_4_26!$J$2:$J$596)*(A324&lt;task_table_13_4_26!$K$2:$K$596))</f>
        <v>14</v>
      </c>
      <c r="D324" cm="1">
        <f t="array" ref="D324">SUMPRODUCT((task_table_13_4_26!$C$2:$C$596=$D$1)*(A324&gt;task_table_13_4_26!$J$2:$J$596)*(A324&lt;task_table_13_4_26!$K$2:$K$596))</f>
        <v>1</v>
      </c>
      <c r="E324" cm="1">
        <f t="array" ref="E324">SUMPRODUCT((task_table_13_4_26!$C$2:$C$596=$E$1)*(A324&gt;task_table_13_4_26!$J$2:$J$596)*(A324&lt;task_table_13_4_26!$K$2:$K$596))</f>
        <v>2</v>
      </c>
    </row>
    <row r="325" spans="1:5">
      <c r="A325" s="5">
        <v>46193</v>
      </c>
      <c r="B325" cm="1">
        <f t="array" ref="B325">SUMPRODUCT((task_table_13_4_26!$C$2:$C$596=$B$1)*(A325&gt;task_table_13_4_26!$J$2:$J$596)*(A325&lt;task_table_13_4_26!$K$2:$K$596))</f>
        <v>12</v>
      </c>
      <c r="C325" cm="1">
        <f t="array" ref="C325">SUMPRODUCT((task_table_13_4_26!$C$2:$C$596=$C$1)*(A325&gt;task_table_13_4_26!$J$2:$J$596)*(A325&lt;task_table_13_4_26!$K$2:$K$596))</f>
        <v>14</v>
      </c>
      <c r="D325" cm="1">
        <f t="array" ref="D325">SUMPRODUCT((task_table_13_4_26!$C$2:$C$596=$D$1)*(A325&gt;task_table_13_4_26!$J$2:$J$596)*(A325&lt;task_table_13_4_26!$K$2:$K$596))</f>
        <v>1</v>
      </c>
      <c r="E325" cm="1">
        <f t="array" ref="E325">SUMPRODUCT((task_table_13_4_26!$C$2:$C$596=$E$1)*(A325&gt;task_table_13_4_26!$J$2:$J$596)*(A325&lt;task_table_13_4_26!$K$2:$K$596))</f>
        <v>2</v>
      </c>
    </row>
    <row r="326" spans="1:5">
      <c r="A326" s="5">
        <v>46194</v>
      </c>
      <c r="B326" cm="1">
        <f t="array" ref="B326">SUMPRODUCT((task_table_13_4_26!$C$2:$C$596=$B$1)*(A326&gt;task_table_13_4_26!$J$2:$J$596)*(A326&lt;task_table_13_4_26!$K$2:$K$596))</f>
        <v>12</v>
      </c>
      <c r="C326" cm="1">
        <f t="array" ref="C326">SUMPRODUCT((task_table_13_4_26!$C$2:$C$596=$C$1)*(A326&gt;task_table_13_4_26!$J$2:$J$596)*(A326&lt;task_table_13_4_26!$K$2:$K$596))</f>
        <v>14</v>
      </c>
      <c r="D326" cm="1">
        <f t="array" ref="D326">SUMPRODUCT((task_table_13_4_26!$C$2:$C$596=$D$1)*(A326&gt;task_table_13_4_26!$J$2:$J$596)*(A326&lt;task_table_13_4_26!$K$2:$K$596))</f>
        <v>1</v>
      </c>
      <c r="E326" cm="1">
        <f t="array" ref="E326">SUMPRODUCT((task_table_13_4_26!$C$2:$C$596=$E$1)*(A326&gt;task_table_13_4_26!$J$2:$J$596)*(A326&lt;task_table_13_4_26!$K$2:$K$596))</f>
        <v>2</v>
      </c>
    </row>
    <row r="327" spans="1:5">
      <c r="A327" s="5">
        <v>46195</v>
      </c>
      <c r="B327" cm="1">
        <f t="array" ref="B327">SUMPRODUCT((task_table_13_4_26!$C$2:$C$596=$B$1)*(A327&gt;task_table_13_4_26!$J$2:$J$596)*(A327&lt;task_table_13_4_26!$K$2:$K$596))</f>
        <v>12</v>
      </c>
      <c r="C327" cm="1">
        <f t="array" ref="C327">SUMPRODUCT((task_table_13_4_26!$C$2:$C$596=$C$1)*(A327&gt;task_table_13_4_26!$J$2:$J$596)*(A327&lt;task_table_13_4_26!$K$2:$K$596))</f>
        <v>13</v>
      </c>
      <c r="D327" cm="1">
        <f t="array" ref="D327">SUMPRODUCT((task_table_13_4_26!$C$2:$C$596=$D$1)*(A327&gt;task_table_13_4_26!$J$2:$J$596)*(A327&lt;task_table_13_4_26!$K$2:$K$596))</f>
        <v>1</v>
      </c>
      <c r="E327" cm="1">
        <f t="array" ref="E327">SUMPRODUCT((task_table_13_4_26!$C$2:$C$596=$E$1)*(A327&gt;task_table_13_4_26!$J$2:$J$596)*(A327&lt;task_table_13_4_26!$K$2:$K$596))</f>
        <v>2</v>
      </c>
    </row>
    <row r="328" spans="1:5">
      <c r="A328" s="5">
        <v>46196</v>
      </c>
      <c r="B328" cm="1">
        <f t="array" ref="B328">SUMPRODUCT((task_table_13_4_26!$C$2:$C$596=$B$1)*(A328&gt;task_table_13_4_26!$J$2:$J$596)*(A328&lt;task_table_13_4_26!$K$2:$K$596))</f>
        <v>12</v>
      </c>
      <c r="C328" cm="1">
        <f t="array" ref="C328">SUMPRODUCT((task_table_13_4_26!$C$2:$C$596=$C$1)*(A328&gt;task_table_13_4_26!$J$2:$J$596)*(A328&lt;task_table_13_4_26!$K$2:$K$596))</f>
        <v>13</v>
      </c>
      <c r="D328" cm="1">
        <f t="array" ref="D328">SUMPRODUCT((task_table_13_4_26!$C$2:$C$596=$D$1)*(A328&gt;task_table_13_4_26!$J$2:$J$596)*(A328&lt;task_table_13_4_26!$K$2:$K$596))</f>
        <v>1</v>
      </c>
      <c r="E328" cm="1">
        <f t="array" ref="E328">SUMPRODUCT((task_table_13_4_26!$C$2:$C$596=$E$1)*(A328&gt;task_table_13_4_26!$J$2:$J$596)*(A328&lt;task_table_13_4_26!$K$2:$K$596))</f>
        <v>2</v>
      </c>
    </row>
    <row r="329" spans="1:5">
      <c r="A329" s="5">
        <v>46197</v>
      </c>
      <c r="B329" cm="1">
        <f t="array" ref="B329">SUMPRODUCT((task_table_13_4_26!$C$2:$C$596=$B$1)*(A329&gt;task_table_13_4_26!$J$2:$J$596)*(A329&lt;task_table_13_4_26!$K$2:$K$596))</f>
        <v>12</v>
      </c>
      <c r="C329" cm="1">
        <f t="array" ref="C329">SUMPRODUCT((task_table_13_4_26!$C$2:$C$596=$C$1)*(A329&gt;task_table_13_4_26!$J$2:$J$596)*(A329&lt;task_table_13_4_26!$K$2:$K$596))</f>
        <v>13</v>
      </c>
      <c r="D329" cm="1">
        <f t="array" ref="D329">SUMPRODUCT((task_table_13_4_26!$C$2:$C$596=$D$1)*(A329&gt;task_table_13_4_26!$J$2:$J$596)*(A329&lt;task_table_13_4_26!$K$2:$K$596))</f>
        <v>1</v>
      </c>
      <c r="E329" cm="1">
        <f t="array" ref="E329">SUMPRODUCT((task_table_13_4_26!$C$2:$C$596=$E$1)*(A329&gt;task_table_13_4_26!$J$2:$J$596)*(A329&lt;task_table_13_4_26!$K$2:$K$596))</f>
        <v>2</v>
      </c>
    </row>
    <row r="330" spans="1:5">
      <c r="A330" s="5">
        <v>46198</v>
      </c>
      <c r="B330" cm="1">
        <f t="array" ref="B330">SUMPRODUCT((task_table_13_4_26!$C$2:$C$596=$B$1)*(A330&gt;task_table_13_4_26!$J$2:$J$596)*(A330&lt;task_table_13_4_26!$K$2:$K$596))</f>
        <v>12</v>
      </c>
      <c r="C330" cm="1">
        <f t="array" ref="C330">SUMPRODUCT((task_table_13_4_26!$C$2:$C$596=$C$1)*(A330&gt;task_table_13_4_26!$J$2:$J$596)*(A330&lt;task_table_13_4_26!$K$2:$K$596))</f>
        <v>13</v>
      </c>
      <c r="D330" cm="1">
        <f t="array" ref="D330">SUMPRODUCT((task_table_13_4_26!$C$2:$C$596=$D$1)*(A330&gt;task_table_13_4_26!$J$2:$J$596)*(A330&lt;task_table_13_4_26!$K$2:$K$596))</f>
        <v>1</v>
      </c>
      <c r="E330" cm="1">
        <f t="array" ref="E330">SUMPRODUCT((task_table_13_4_26!$C$2:$C$596=$E$1)*(A330&gt;task_table_13_4_26!$J$2:$J$596)*(A330&lt;task_table_13_4_26!$K$2:$K$596))</f>
        <v>2</v>
      </c>
    </row>
    <row r="331" spans="1:5">
      <c r="A331" s="5">
        <v>46199</v>
      </c>
      <c r="B331" cm="1">
        <f t="array" ref="B331">SUMPRODUCT((task_table_13_4_26!$C$2:$C$596=$B$1)*(A331&gt;task_table_13_4_26!$J$2:$J$596)*(A331&lt;task_table_13_4_26!$K$2:$K$596))</f>
        <v>12</v>
      </c>
      <c r="C331" cm="1">
        <f t="array" ref="C331">SUMPRODUCT((task_table_13_4_26!$C$2:$C$596=$C$1)*(A331&gt;task_table_13_4_26!$J$2:$J$596)*(A331&lt;task_table_13_4_26!$K$2:$K$596))</f>
        <v>13</v>
      </c>
      <c r="D331" cm="1">
        <f t="array" ref="D331">SUMPRODUCT((task_table_13_4_26!$C$2:$C$596=$D$1)*(A331&gt;task_table_13_4_26!$J$2:$J$596)*(A331&lt;task_table_13_4_26!$K$2:$K$596))</f>
        <v>1</v>
      </c>
      <c r="E331" cm="1">
        <f t="array" ref="E331">SUMPRODUCT((task_table_13_4_26!$C$2:$C$596=$E$1)*(A331&gt;task_table_13_4_26!$J$2:$J$596)*(A331&lt;task_table_13_4_26!$K$2:$K$596))</f>
        <v>2</v>
      </c>
    </row>
    <row r="332" spans="1:5">
      <c r="A332" s="5">
        <v>46200</v>
      </c>
      <c r="B332" cm="1">
        <f t="array" ref="B332">SUMPRODUCT((task_table_13_4_26!$C$2:$C$596=$B$1)*(A332&gt;task_table_13_4_26!$J$2:$J$596)*(A332&lt;task_table_13_4_26!$K$2:$K$596))</f>
        <v>12</v>
      </c>
      <c r="C332" cm="1">
        <f t="array" ref="C332">SUMPRODUCT((task_table_13_4_26!$C$2:$C$596=$C$1)*(A332&gt;task_table_13_4_26!$J$2:$J$596)*(A332&lt;task_table_13_4_26!$K$2:$K$596))</f>
        <v>13</v>
      </c>
      <c r="D332" cm="1">
        <f t="array" ref="D332">SUMPRODUCT((task_table_13_4_26!$C$2:$C$596=$D$1)*(A332&gt;task_table_13_4_26!$J$2:$J$596)*(A332&lt;task_table_13_4_26!$K$2:$K$596))</f>
        <v>1</v>
      </c>
      <c r="E332" cm="1">
        <f t="array" ref="E332">SUMPRODUCT((task_table_13_4_26!$C$2:$C$596=$E$1)*(A332&gt;task_table_13_4_26!$J$2:$J$596)*(A332&lt;task_table_13_4_26!$K$2:$K$596))</f>
        <v>2</v>
      </c>
    </row>
    <row r="333" spans="1:5">
      <c r="A333" s="5">
        <v>46201</v>
      </c>
      <c r="B333" cm="1">
        <f t="array" ref="B333">SUMPRODUCT((task_table_13_4_26!$C$2:$C$596=$B$1)*(A333&gt;task_table_13_4_26!$J$2:$J$596)*(A333&lt;task_table_13_4_26!$K$2:$K$596))</f>
        <v>12</v>
      </c>
      <c r="C333" cm="1">
        <f t="array" ref="C333">SUMPRODUCT((task_table_13_4_26!$C$2:$C$596=$C$1)*(A333&gt;task_table_13_4_26!$J$2:$J$596)*(A333&lt;task_table_13_4_26!$K$2:$K$596))</f>
        <v>13</v>
      </c>
      <c r="D333" cm="1">
        <f t="array" ref="D333">SUMPRODUCT((task_table_13_4_26!$C$2:$C$596=$D$1)*(A333&gt;task_table_13_4_26!$J$2:$J$596)*(A333&lt;task_table_13_4_26!$K$2:$K$596))</f>
        <v>1</v>
      </c>
      <c r="E333" cm="1">
        <f t="array" ref="E333">SUMPRODUCT((task_table_13_4_26!$C$2:$C$596=$E$1)*(A333&gt;task_table_13_4_26!$J$2:$J$596)*(A333&lt;task_table_13_4_26!$K$2:$K$596))</f>
        <v>2</v>
      </c>
    </row>
    <row r="334" spans="1:5">
      <c r="A334" s="5">
        <v>46202</v>
      </c>
      <c r="B334" cm="1">
        <f t="array" ref="B334">SUMPRODUCT((task_table_13_4_26!$C$2:$C$596=$B$1)*(A334&gt;task_table_13_4_26!$J$2:$J$596)*(A334&lt;task_table_13_4_26!$K$2:$K$596))</f>
        <v>12</v>
      </c>
      <c r="C334" cm="1">
        <f t="array" ref="C334">SUMPRODUCT((task_table_13_4_26!$C$2:$C$596=$C$1)*(A334&gt;task_table_13_4_26!$J$2:$J$596)*(A334&lt;task_table_13_4_26!$K$2:$K$596))</f>
        <v>13</v>
      </c>
      <c r="D334" cm="1">
        <f t="array" ref="D334">SUMPRODUCT((task_table_13_4_26!$C$2:$C$596=$D$1)*(A334&gt;task_table_13_4_26!$J$2:$J$596)*(A334&lt;task_table_13_4_26!$K$2:$K$596))</f>
        <v>1</v>
      </c>
      <c r="E334" cm="1">
        <f t="array" ref="E334">SUMPRODUCT((task_table_13_4_26!$C$2:$C$596=$E$1)*(A334&gt;task_table_13_4_26!$J$2:$J$596)*(A334&lt;task_table_13_4_26!$K$2:$K$596))</f>
        <v>2</v>
      </c>
    </row>
    <row r="335" spans="1:5">
      <c r="A335" s="5">
        <v>46203</v>
      </c>
      <c r="B335" cm="1">
        <f t="array" ref="B335">SUMPRODUCT((task_table_13_4_26!$C$2:$C$596=$B$1)*(A335&gt;task_table_13_4_26!$J$2:$J$596)*(A335&lt;task_table_13_4_26!$K$2:$K$596))</f>
        <v>9</v>
      </c>
      <c r="C335" cm="1">
        <f t="array" ref="C335">SUMPRODUCT((task_table_13_4_26!$C$2:$C$596=$C$1)*(A335&gt;task_table_13_4_26!$J$2:$J$596)*(A335&lt;task_table_13_4_26!$K$2:$K$596))</f>
        <v>9</v>
      </c>
      <c r="D335" cm="1">
        <f t="array" ref="D335">SUMPRODUCT((task_table_13_4_26!$C$2:$C$596=$D$1)*(A335&gt;task_table_13_4_26!$J$2:$J$596)*(A335&lt;task_table_13_4_26!$K$2:$K$596))</f>
        <v>0</v>
      </c>
      <c r="E335" cm="1">
        <f t="array" ref="E335">SUMPRODUCT((task_table_13_4_26!$C$2:$C$596=$E$1)*(A335&gt;task_table_13_4_26!$J$2:$J$596)*(A335&lt;task_table_13_4_26!$K$2:$K$596))</f>
        <v>1</v>
      </c>
    </row>
    <row r="336" spans="1:5">
      <c r="A336" s="5">
        <v>46204</v>
      </c>
      <c r="B336" cm="1">
        <f t="array" ref="B336">SUMPRODUCT((task_table_13_4_26!$C$2:$C$596=$B$1)*(A336&gt;task_table_13_4_26!$J$2:$J$596)*(A336&lt;task_table_13_4_26!$K$2:$K$596))</f>
        <v>9</v>
      </c>
      <c r="C336" cm="1">
        <f t="array" ref="C336">SUMPRODUCT((task_table_13_4_26!$C$2:$C$596=$C$1)*(A336&gt;task_table_13_4_26!$J$2:$J$596)*(A336&lt;task_table_13_4_26!$K$2:$K$596))</f>
        <v>8</v>
      </c>
      <c r="D336" cm="1">
        <f t="array" ref="D336">SUMPRODUCT((task_table_13_4_26!$C$2:$C$596=$D$1)*(A336&gt;task_table_13_4_26!$J$2:$J$596)*(A336&lt;task_table_13_4_26!$K$2:$K$596))</f>
        <v>0</v>
      </c>
      <c r="E336" cm="1">
        <f t="array" ref="E336">SUMPRODUCT((task_table_13_4_26!$C$2:$C$596=$E$1)*(A336&gt;task_table_13_4_26!$J$2:$J$596)*(A336&lt;task_table_13_4_26!$K$2:$K$596))</f>
        <v>0</v>
      </c>
    </row>
    <row r="337" spans="1:5">
      <c r="A337" s="5">
        <v>46205</v>
      </c>
      <c r="B337" cm="1">
        <f t="array" ref="B337">SUMPRODUCT((task_table_13_4_26!$C$2:$C$596=$B$1)*(A337&gt;task_table_13_4_26!$J$2:$J$596)*(A337&lt;task_table_13_4_26!$K$2:$K$596))</f>
        <v>9</v>
      </c>
      <c r="C337" cm="1">
        <f t="array" ref="C337">SUMPRODUCT((task_table_13_4_26!$C$2:$C$596=$C$1)*(A337&gt;task_table_13_4_26!$J$2:$J$596)*(A337&lt;task_table_13_4_26!$K$2:$K$596))</f>
        <v>8</v>
      </c>
      <c r="D337" cm="1">
        <f t="array" ref="D337">SUMPRODUCT((task_table_13_4_26!$C$2:$C$596=$D$1)*(A337&gt;task_table_13_4_26!$J$2:$J$596)*(A337&lt;task_table_13_4_26!$K$2:$K$596))</f>
        <v>0</v>
      </c>
      <c r="E337" cm="1">
        <f t="array" ref="E337">SUMPRODUCT((task_table_13_4_26!$C$2:$C$596=$E$1)*(A337&gt;task_table_13_4_26!$J$2:$J$596)*(A337&lt;task_table_13_4_26!$K$2:$K$596))</f>
        <v>0</v>
      </c>
    </row>
    <row r="338" spans="1:5">
      <c r="A338" s="5">
        <v>46206</v>
      </c>
      <c r="B338" cm="1">
        <f t="array" ref="B338">SUMPRODUCT((task_table_13_4_26!$C$2:$C$596=$B$1)*(A338&gt;task_table_13_4_26!$J$2:$J$596)*(A338&lt;task_table_13_4_26!$K$2:$K$596))</f>
        <v>9</v>
      </c>
      <c r="C338" cm="1">
        <f t="array" ref="C338">SUMPRODUCT((task_table_13_4_26!$C$2:$C$596=$C$1)*(A338&gt;task_table_13_4_26!$J$2:$J$596)*(A338&lt;task_table_13_4_26!$K$2:$K$596))</f>
        <v>8</v>
      </c>
      <c r="D338" cm="1">
        <f t="array" ref="D338">SUMPRODUCT((task_table_13_4_26!$C$2:$C$596=$D$1)*(A338&gt;task_table_13_4_26!$J$2:$J$596)*(A338&lt;task_table_13_4_26!$K$2:$K$596))</f>
        <v>0</v>
      </c>
      <c r="E338" cm="1">
        <f t="array" ref="E338">SUMPRODUCT((task_table_13_4_26!$C$2:$C$596=$E$1)*(A338&gt;task_table_13_4_26!$J$2:$J$596)*(A338&lt;task_table_13_4_26!$K$2:$K$596))</f>
        <v>0</v>
      </c>
    </row>
    <row r="339" spans="1:5">
      <c r="A339" s="5">
        <v>46207</v>
      </c>
      <c r="B339" cm="1">
        <f t="array" ref="B339">SUMPRODUCT((task_table_13_4_26!$C$2:$C$596=$B$1)*(A339&gt;task_table_13_4_26!$J$2:$J$596)*(A339&lt;task_table_13_4_26!$K$2:$K$596))</f>
        <v>9</v>
      </c>
      <c r="C339" cm="1">
        <f t="array" ref="C339">SUMPRODUCT((task_table_13_4_26!$C$2:$C$596=$C$1)*(A339&gt;task_table_13_4_26!$J$2:$J$596)*(A339&lt;task_table_13_4_26!$K$2:$K$596))</f>
        <v>8</v>
      </c>
      <c r="D339" cm="1">
        <f t="array" ref="D339">SUMPRODUCT((task_table_13_4_26!$C$2:$C$596=$D$1)*(A339&gt;task_table_13_4_26!$J$2:$J$596)*(A339&lt;task_table_13_4_26!$K$2:$K$596))</f>
        <v>0</v>
      </c>
      <c r="E339" cm="1">
        <f t="array" ref="E339">SUMPRODUCT((task_table_13_4_26!$C$2:$C$596=$E$1)*(A339&gt;task_table_13_4_26!$J$2:$J$596)*(A339&lt;task_table_13_4_26!$K$2:$K$596))</f>
        <v>0</v>
      </c>
    </row>
    <row r="340" spans="1:5">
      <c r="A340" s="5">
        <v>46208</v>
      </c>
      <c r="B340" cm="1">
        <f t="array" ref="B340">SUMPRODUCT((task_table_13_4_26!$C$2:$C$596=$B$1)*(A340&gt;task_table_13_4_26!$J$2:$J$596)*(A340&lt;task_table_13_4_26!$K$2:$K$596))</f>
        <v>9</v>
      </c>
      <c r="C340" cm="1">
        <f t="array" ref="C340">SUMPRODUCT((task_table_13_4_26!$C$2:$C$596=$C$1)*(A340&gt;task_table_13_4_26!$J$2:$J$596)*(A340&lt;task_table_13_4_26!$K$2:$K$596))</f>
        <v>8</v>
      </c>
      <c r="D340" cm="1">
        <f t="array" ref="D340">SUMPRODUCT((task_table_13_4_26!$C$2:$C$596=$D$1)*(A340&gt;task_table_13_4_26!$J$2:$J$596)*(A340&lt;task_table_13_4_26!$K$2:$K$596))</f>
        <v>0</v>
      </c>
      <c r="E340" cm="1">
        <f t="array" ref="E340">SUMPRODUCT((task_table_13_4_26!$C$2:$C$596=$E$1)*(A340&gt;task_table_13_4_26!$J$2:$J$596)*(A340&lt;task_table_13_4_26!$K$2:$K$596))</f>
        <v>0</v>
      </c>
    </row>
    <row r="341" spans="1:5">
      <c r="A341" s="5">
        <v>46209</v>
      </c>
      <c r="B341" cm="1">
        <f t="array" ref="B341">SUMPRODUCT((task_table_13_4_26!$C$2:$C$596=$B$1)*(A341&gt;task_table_13_4_26!$J$2:$J$596)*(A341&lt;task_table_13_4_26!$K$2:$K$596))</f>
        <v>9</v>
      </c>
      <c r="C341" cm="1">
        <f t="array" ref="C341">SUMPRODUCT((task_table_13_4_26!$C$2:$C$596=$C$1)*(A341&gt;task_table_13_4_26!$J$2:$J$596)*(A341&lt;task_table_13_4_26!$K$2:$K$596))</f>
        <v>8</v>
      </c>
      <c r="D341" cm="1">
        <f t="array" ref="D341">SUMPRODUCT((task_table_13_4_26!$C$2:$C$596=$D$1)*(A341&gt;task_table_13_4_26!$J$2:$J$596)*(A341&lt;task_table_13_4_26!$K$2:$K$596))</f>
        <v>0</v>
      </c>
      <c r="E341" cm="1">
        <f t="array" ref="E341">SUMPRODUCT((task_table_13_4_26!$C$2:$C$596=$E$1)*(A341&gt;task_table_13_4_26!$J$2:$J$596)*(A341&lt;task_table_13_4_26!$K$2:$K$596))</f>
        <v>0</v>
      </c>
    </row>
    <row r="342" spans="1:5">
      <c r="A342" s="5">
        <v>46210</v>
      </c>
      <c r="B342" cm="1">
        <f t="array" ref="B342">SUMPRODUCT((task_table_13_4_26!$C$2:$C$596=$B$1)*(A342&gt;task_table_13_4_26!$J$2:$J$596)*(A342&lt;task_table_13_4_26!$K$2:$K$596))</f>
        <v>9</v>
      </c>
      <c r="C342" cm="1">
        <f t="array" ref="C342">SUMPRODUCT((task_table_13_4_26!$C$2:$C$596=$C$1)*(A342&gt;task_table_13_4_26!$J$2:$J$596)*(A342&lt;task_table_13_4_26!$K$2:$K$596))</f>
        <v>8</v>
      </c>
      <c r="D342" cm="1">
        <f t="array" ref="D342">SUMPRODUCT((task_table_13_4_26!$C$2:$C$596=$D$1)*(A342&gt;task_table_13_4_26!$J$2:$J$596)*(A342&lt;task_table_13_4_26!$K$2:$K$596))</f>
        <v>0</v>
      </c>
      <c r="E342" cm="1">
        <f t="array" ref="E342">SUMPRODUCT((task_table_13_4_26!$C$2:$C$596=$E$1)*(A342&gt;task_table_13_4_26!$J$2:$J$596)*(A342&lt;task_table_13_4_26!$K$2:$K$596))</f>
        <v>0</v>
      </c>
    </row>
    <row r="343" spans="1:5">
      <c r="A343" s="5">
        <v>46211</v>
      </c>
      <c r="B343" cm="1">
        <f t="array" ref="B343">SUMPRODUCT((task_table_13_4_26!$C$2:$C$596=$B$1)*(A343&gt;task_table_13_4_26!$J$2:$J$596)*(A343&lt;task_table_13_4_26!$K$2:$K$596))</f>
        <v>9</v>
      </c>
      <c r="C343" cm="1">
        <f t="array" ref="C343">SUMPRODUCT((task_table_13_4_26!$C$2:$C$596=$C$1)*(A343&gt;task_table_13_4_26!$J$2:$J$596)*(A343&lt;task_table_13_4_26!$K$2:$K$596))</f>
        <v>8</v>
      </c>
      <c r="D343" cm="1">
        <f t="array" ref="D343">SUMPRODUCT((task_table_13_4_26!$C$2:$C$596=$D$1)*(A343&gt;task_table_13_4_26!$J$2:$J$596)*(A343&lt;task_table_13_4_26!$K$2:$K$596))</f>
        <v>0</v>
      </c>
      <c r="E343" cm="1">
        <f t="array" ref="E343">SUMPRODUCT((task_table_13_4_26!$C$2:$C$596=$E$1)*(A343&gt;task_table_13_4_26!$J$2:$J$596)*(A343&lt;task_table_13_4_26!$K$2:$K$596))</f>
        <v>0</v>
      </c>
    </row>
    <row r="344" spans="1:5">
      <c r="A344" s="5">
        <v>46212</v>
      </c>
      <c r="B344" cm="1">
        <f t="array" ref="B344">SUMPRODUCT((task_table_13_4_26!$C$2:$C$596=$B$1)*(A344&gt;task_table_13_4_26!$J$2:$J$596)*(A344&lt;task_table_13_4_26!$K$2:$K$596))</f>
        <v>9</v>
      </c>
      <c r="C344" cm="1">
        <f t="array" ref="C344">SUMPRODUCT((task_table_13_4_26!$C$2:$C$596=$C$1)*(A344&gt;task_table_13_4_26!$J$2:$J$596)*(A344&lt;task_table_13_4_26!$K$2:$K$596))</f>
        <v>8</v>
      </c>
      <c r="D344" cm="1">
        <f t="array" ref="D344">SUMPRODUCT((task_table_13_4_26!$C$2:$C$596=$D$1)*(A344&gt;task_table_13_4_26!$J$2:$J$596)*(A344&lt;task_table_13_4_26!$K$2:$K$596))</f>
        <v>0</v>
      </c>
      <c r="E344" cm="1">
        <f t="array" ref="E344">SUMPRODUCT((task_table_13_4_26!$C$2:$C$596=$E$1)*(A344&gt;task_table_13_4_26!$J$2:$J$596)*(A344&lt;task_table_13_4_26!$K$2:$K$596))</f>
        <v>0</v>
      </c>
    </row>
    <row r="345" spans="1:5">
      <c r="A345" s="5">
        <v>46213</v>
      </c>
      <c r="B345" cm="1">
        <f t="array" ref="B345">SUMPRODUCT((task_table_13_4_26!$C$2:$C$596=$B$1)*(A345&gt;task_table_13_4_26!$J$2:$J$596)*(A345&lt;task_table_13_4_26!$K$2:$K$596))</f>
        <v>9</v>
      </c>
      <c r="C345" cm="1">
        <f t="array" ref="C345">SUMPRODUCT((task_table_13_4_26!$C$2:$C$596=$C$1)*(A345&gt;task_table_13_4_26!$J$2:$J$596)*(A345&lt;task_table_13_4_26!$K$2:$K$596))</f>
        <v>8</v>
      </c>
      <c r="D345" cm="1">
        <f t="array" ref="D345">SUMPRODUCT((task_table_13_4_26!$C$2:$C$596=$D$1)*(A345&gt;task_table_13_4_26!$J$2:$J$596)*(A345&lt;task_table_13_4_26!$K$2:$K$596))</f>
        <v>0</v>
      </c>
      <c r="E345" cm="1">
        <f t="array" ref="E345">SUMPRODUCT((task_table_13_4_26!$C$2:$C$596=$E$1)*(A345&gt;task_table_13_4_26!$J$2:$J$596)*(A345&lt;task_table_13_4_26!$K$2:$K$596))</f>
        <v>0</v>
      </c>
    </row>
    <row r="346" spans="1:5">
      <c r="A346" s="5">
        <v>46214</v>
      </c>
      <c r="B346" cm="1">
        <f t="array" ref="B346">SUMPRODUCT((task_table_13_4_26!$C$2:$C$596=$B$1)*(A346&gt;task_table_13_4_26!$J$2:$J$596)*(A346&lt;task_table_13_4_26!$K$2:$K$596))</f>
        <v>9</v>
      </c>
      <c r="C346" cm="1">
        <f t="array" ref="C346">SUMPRODUCT((task_table_13_4_26!$C$2:$C$596=$C$1)*(A346&gt;task_table_13_4_26!$J$2:$J$596)*(A346&lt;task_table_13_4_26!$K$2:$K$596))</f>
        <v>8</v>
      </c>
      <c r="D346" cm="1">
        <f t="array" ref="D346">SUMPRODUCT((task_table_13_4_26!$C$2:$C$596=$D$1)*(A346&gt;task_table_13_4_26!$J$2:$J$596)*(A346&lt;task_table_13_4_26!$K$2:$K$596))</f>
        <v>0</v>
      </c>
      <c r="E346" cm="1">
        <f t="array" ref="E346">SUMPRODUCT((task_table_13_4_26!$C$2:$C$596=$E$1)*(A346&gt;task_table_13_4_26!$J$2:$J$596)*(A346&lt;task_table_13_4_26!$K$2:$K$596))</f>
        <v>0</v>
      </c>
    </row>
    <row r="347" spans="1:5">
      <c r="A347" s="5">
        <v>46215</v>
      </c>
      <c r="B347" cm="1">
        <f t="array" ref="B347">SUMPRODUCT((task_table_13_4_26!$C$2:$C$596=$B$1)*(A347&gt;task_table_13_4_26!$J$2:$J$596)*(A347&lt;task_table_13_4_26!$K$2:$K$596))</f>
        <v>9</v>
      </c>
      <c r="C347" cm="1">
        <f t="array" ref="C347">SUMPRODUCT((task_table_13_4_26!$C$2:$C$596=$C$1)*(A347&gt;task_table_13_4_26!$J$2:$J$596)*(A347&lt;task_table_13_4_26!$K$2:$K$596))</f>
        <v>8</v>
      </c>
      <c r="D347" cm="1">
        <f t="array" ref="D347">SUMPRODUCT((task_table_13_4_26!$C$2:$C$596=$D$1)*(A347&gt;task_table_13_4_26!$J$2:$J$596)*(A347&lt;task_table_13_4_26!$K$2:$K$596))</f>
        <v>0</v>
      </c>
      <c r="E347" cm="1">
        <f t="array" ref="E347">SUMPRODUCT((task_table_13_4_26!$C$2:$C$596=$E$1)*(A347&gt;task_table_13_4_26!$J$2:$J$596)*(A347&lt;task_table_13_4_26!$K$2:$K$596))</f>
        <v>0</v>
      </c>
    </row>
    <row r="348" spans="1:5">
      <c r="A348" s="5">
        <v>46216</v>
      </c>
      <c r="B348" cm="1">
        <f t="array" ref="B348">SUMPRODUCT((task_table_13_4_26!$C$2:$C$596=$B$1)*(A348&gt;task_table_13_4_26!$J$2:$J$596)*(A348&lt;task_table_13_4_26!$K$2:$K$596))</f>
        <v>9</v>
      </c>
      <c r="C348" cm="1">
        <f t="array" ref="C348">SUMPRODUCT((task_table_13_4_26!$C$2:$C$596=$C$1)*(A348&gt;task_table_13_4_26!$J$2:$J$596)*(A348&lt;task_table_13_4_26!$K$2:$K$596))</f>
        <v>8</v>
      </c>
      <c r="D348" cm="1">
        <f t="array" ref="D348">SUMPRODUCT((task_table_13_4_26!$C$2:$C$596=$D$1)*(A348&gt;task_table_13_4_26!$J$2:$J$596)*(A348&lt;task_table_13_4_26!$K$2:$K$596))</f>
        <v>0</v>
      </c>
      <c r="E348" cm="1">
        <f t="array" ref="E348">SUMPRODUCT((task_table_13_4_26!$C$2:$C$596=$E$1)*(A348&gt;task_table_13_4_26!$J$2:$J$596)*(A348&lt;task_table_13_4_26!$K$2:$K$596))</f>
        <v>0</v>
      </c>
    </row>
    <row r="349" spans="1:5">
      <c r="A349" s="5">
        <v>46217</v>
      </c>
      <c r="B349" cm="1">
        <f t="array" ref="B349">SUMPRODUCT((task_table_13_4_26!$C$2:$C$596=$B$1)*(A349&gt;task_table_13_4_26!$J$2:$J$596)*(A349&lt;task_table_13_4_26!$K$2:$K$596))</f>
        <v>9</v>
      </c>
      <c r="C349" cm="1">
        <f t="array" ref="C349">SUMPRODUCT((task_table_13_4_26!$C$2:$C$596=$C$1)*(A349&gt;task_table_13_4_26!$J$2:$J$596)*(A349&lt;task_table_13_4_26!$K$2:$K$596))</f>
        <v>9</v>
      </c>
      <c r="D349" cm="1">
        <f t="array" ref="D349">SUMPRODUCT((task_table_13_4_26!$C$2:$C$596=$D$1)*(A349&gt;task_table_13_4_26!$J$2:$J$596)*(A349&lt;task_table_13_4_26!$K$2:$K$596))</f>
        <v>0</v>
      </c>
      <c r="E349" cm="1">
        <f t="array" ref="E349">SUMPRODUCT((task_table_13_4_26!$C$2:$C$596=$E$1)*(A349&gt;task_table_13_4_26!$J$2:$J$596)*(A349&lt;task_table_13_4_26!$K$2:$K$596))</f>
        <v>0</v>
      </c>
    </row>
    <row r="350" spans="1:5">
      <c r="A350" s="5">
        <v>46218</v>
      </c>
      <c r="B350" cm="1">
        <f t="array" ref="B350">SUMPRODUCT((task_table_13_4_26!$C$2:$C$596=$B$1)*(A350&gt;task_table_13_4_26!$J$2:$J$596)*(A350&lt;task_table_13_4_26!$K$2:$K$596))</f>
        <v>9</v>
      </c>
      <c r="C350" cm="1">
        <f t="array" ref="C350">SUMPRODUCT((task_table_13_4_26!$C$2:$C$596=$C$1)*(A350&gt;task_table_13_4_26!$J$2:$J$596)*(A350&lt;task_table_13_4_26!$K$2:$K$596))</f>
        <v>9</v>
      </c>
      <c r="D350" cm="1">
        <f t="array" ref="D350">SUMPRODUCT((task_table_13_4_26!$C$2:$C$596=$D$1)*(A350&gt;task_table_13_4_26!$J$2:$J$596)*(A350&lt;task_table_13_4_26!$K$2:$K$596))</f>
        <v>0</v>
      </c>
      <c r="E350" cm="1">
        <f t="array" ref="E350">SUMPRODUCT((task_table_13_4_26!$C$2:$C$596=$E$1)*(A350&gt;task_table_13_4_26!$J$2:$J$596)*(A350&lt;task_table_13_4_26!$K$2:$K$596))</f>
        <v>0</v>
      </c>
    </row>
    <row r="351" spans="1:5">
      <c r="A351" s="5">
        <v>46219</v>
      </c>
      <c r="B351" cm="1">
        <f t="array" ref="B351">SUMPRODUCT((task_table_13_4_26!$C$2:$C$596=$B$1)*(A351&gt;task_table_13_4_26!$J$2:$J$596)*(A351&lt;task_table_13_4_26!$K$2:$K$596))</f>
        <v>9</v>
      </c>
      <c r="C351" cm="1">
        <f t="array" ref="C351">SUMPRODUCT((task_table_13_4_26!$C$2:$C$596=$C$1)*(A351&gt;task_table_13_4_26!$J$2:$J$596)*(A351&lt;task_table_13_4_26!$K$2:$K$596))</f>
        <v>11</v>
      </c>
      <c r="D351" cm="1">
        <f t="array" ref="D351">SUMPRODUCT((task_table_13_4_26!$C$2:$C$596=$D$1)*(A351&gt;task_table_13_4_26!$J$2:$J$596)*(A351&lt;task_table_13_4_26!$K$2:$K$596))</f>
        <v>0</v>
      </c>
      <c r="E351" cm="1">
        <f t="array" ref="E351">SUMPRODUCT((task_table_13_4_26!$C$2:$C$596=$E$1)*(A351&gt;task_table_13_4_26!$J$2:$J$596)*(A351&lt;task_table_13_4_26!$K$2:$K$596))</f>
        <v>0</v>
      </c>
    </row>
    <row r="352" spans="1:5">
      <c r="A352" s="5">
        <v>46220</v>
      </c>
      <c r="B352" cm="1">
        <f t="array" ref="B352">SUMPRODUCT((task_table_13_4_26!$C$2:$C$596=$B$1)*(A352&gt;task_table_13_4_26!$J$2:$J$596)*(A352&lt;task_table_13_4_26!$K$2:$K$596))</f>
        <v>9</v>
      </c>
      <c r="C352" cm="1">
        <f t="array" ref="C352">SUMPRODUCT((task_table_13_4_26!$C$2:$C$596=$C$1)*(A352&gt;task_table_13_4_26!$J$2:$J$596)*(A352&lt;task_table_13_4_26!$K$2:$K$596))</f>
        <v>11</v>
      </c>
      <c r="D352" cm="1">
        <f t="array" ref="D352">SUMPRODUCT((task_table_13_4_26!$C$2:$C$596=$D$1)*(A352&gt;task_table_13_4_26!$J$2:$J$596)*(A352&lt;task_table_13_4_26!$K$2:$K$596))</f>
        <v>0</v>
      </c>
      <c r="E352" cm="1">
        <f t="array" ref="E352">SUMPRODUCT((task_table_13_4_26!$C$2:$C$596=$E$1)*(A352&gt;task_table_13_4_26!$J$2:$J$596)*(A352&lt;task_table_13_4_26!$K$2:$K$596))</f>
        <v>0</v>
      </c>
    </row>
    <row r="353" spans="1:5">
      <c r="A353" s="5">
        <v>46221</v>
      </c>
      <c r="B353" cm="1">
        <f t="array" ref="B353">SUMPRODUCT((task_table_13_4_26!$C$2:$C$596=$B$1)*(A353&gt;task_table_13_4_26!$J$2:$J$596)*(A353&lt;task_table_13_4_26!$K$2:$K$596))</f>
        <v>9</v>
      </c>
      <c r="C353" cm="1">
        <f t="array" ref="C353">SUMPRODUCT((task_table_13_4_26!$C$2:$C$596=$C$1)*(A353&gt;task_table_13_4_26!$J$2:$J$596)*(A353&lt;task_table_13_4_26!$K$2:$K$596))</f>
        <v>11</v>
      </c>
      <c r="D353" cm="1">
        <f t="array" ref="D353">SUMPRODUCT((task_table_13_4_26!$C$2:$C$596=$D$1)*(A353&gt;task_table_13_4_26!$J$2:$J$596)*(A353&lt;task_table_13_4_26!$K$2:$K$596))</f>
        <v>0</v>
      </c>
      <c r="E353" cm="1">
        <f t="array" ref="E353">SUMPRODUCT((task_table_13_4_26!$C$2:$C$596=$E$1)*(A353&gt;task_table_13_4_26!$J$2:$J$596)*(A353&lt;task_table_13_4_26!$K$2:$K$596))</f>
        <v>0</v>
      </c>
    </row>
    <row r="354" spans="1:5">
      <c r="A354" s="5">
        <v>46222</v>
      </c>
      <c r="B354" cm="1">
        <f t="array" ref="B354">SUMPRODUCT((task_table_13_4_26!$C$2:$C$596=$B$1)*(A354&gt;task_table_13_4_26!$J$2:$J$596)*(A354&lt;task_table_13_4_26!$K$2:$K$596))</f>
        <v>9</v>
      </c>
      <c r="C354" cm="1">
        <f t="array" ref="C354">SUMPRODUCT((task_table_13_4_26!$C$2:$C$596=$C$1)*(A354&gt;task_table_13_4_26!$J$2:$J$596)*(A354&lt;task_table_13_4_26!$K$2:$K$596))</f>
        <v>11</v>
      </c>
      <c r="D354" cm="1">
        <f t="array" ref="D354">SUMPRODUCT((task_table_13_4_26!$C$2:$C$596=$D$1)*(A354&gt;task_table_13_4_26!$J$2:$J$596)*(A354&lt;task_table_13_4_26!$K$2:$K$596))</f>
        <v>0</v>
      </c>
      <c r="E354" cm="1">
        <f t="array" ref="E354">SUMPRODUCT((task_table_13_4_26!$C$2:$C$596=$E$1)*(A354&gt;task_table_13_4_26!$J$2:$J$596)*(A354&lt;task_table_13_4_26!$K$2:$K$596))</f>
        <v>0</v>
      </c>
    </row>
    <row r="355" spans="1:5">
      <c r="A355" s="5">
        <v>46223</v>
      </c>
      <c r="B355" cm="1">
        <f t="array" ref="B355">SUMPRODUCT((task_table_13_4_26!$C$2:$C$596=$B$1)*(A355&gt;task_table_13_4_26!$J$2:$J$596)*(A355&lt;task_table_13_4_26!$K$2:$K$596))</f>
        <v>9</v>
      </c>
      <c r="C355" cm="1">
        <f t="array" ref="C355">SUMPRODUCT((task_table_13_4_26!$C$2:$C$596=$C$1)*(A355&gt;task_table_13_4_26!$J$2:$J$596)*(A355&lt;task_table_13_4_26!$K$2:$K$596))</f>
        <v>11</v>
      </c>
      <c r="D355" cm="1">
        <f t="array" ref="D355">SUMPRODUCT((task_table_13_4_26!$C$2:$C$596=$D$1)*(A355&gt;task_table_13_4_26!$J$2:$J$596)*(A355&lt;task_table_13_4_26!$K$2:$K$596))</f>
        <v>0</v>
      </c>
      <c r="E355" cm="1">
        <f t="array" ref="E355">SUMPRODUCT((task_table_13_4_26!$C$2:$C$596=$E$1)*(A355&gt;task_table_13_4_26!$J$2:$J$596)*(A355&lt;task_table_13_4_26!$K$2:$K$596))</f>
        <v>0</v>
      </c>
    </row>
    <row r="356" spans="1:5">
      <c r="A356" s="5">
        <v>46224</v>
      </c>
      <c r="B356" cm="1">
        <f t="array" ref="B356">SUMPRODUCT((task_table_13_4_26!$C$2:$C$596=$B$1)*(A356&gt;task_table_13_4_26!$J$2:$J$596)*(A356&lt;task_table_13_4_26!$K$2:$K$596))</f>
        <v>9</v>
      </c>
      <c r="C356" cm="1">
        <f t="array" ref="C356">SUMPRODUCT((task_table_13_4_26!$C$2:$C$596=$C$1)*(A356&gt;task_table_13_4_26!$J$2:$J$596)*(A356&lt;task_table_13_4_26!$K$2:$K$596))</f>
        <v>11</v>
      </c>
      <c r="D356" cm="1">
        <f t="array" ref="D356">SUMPRODUCT((task_table_13_4_26!$C$2:$C$596=$D$1)*(A356&gt;task_table_13_4_26!$J$2:$J$596)*(A356&lt;task_table_13_4_26!$K$2:$K$596))</f>
        <v>0</v>
      </c>
      <c r="E356" cm="1">
        <f t="array" ref="E356">SUMPRODUCT((task_table_13_4_26!$C$2:$C$596=$E$1)*(A356&gt;task_table_13_4_26!$J$2:$J$596)*(A356&lt;task_table_13_4_26!$K$2:$K$596))</f>
        <v>0</v>
      </c>
    </row>
    <row r="357" spans="1:5">
      <c r="A357" s="5">
        <v>46225</v>
      </c>
      <c r="B357" cm="1">
        <f t="array" ref="B357">SUMPRODUCT((task_table_13_4_26!$C$2:$C$596=$B$1)*(A357&gt;task_table_13_4_26!$J$2:$J$596)*(A357&lt;task_table_13_4_26!$K$2:$K$596))</f>
        <v>9</v>
      </c>
      <c r="C357" cm="1">
        <f t="array" ref="C357">SUMPRODUCT((task_table_13_4_26!$C$2:$C$596=$C$1)*(A357&gt;task_table_13_4_26!$J$2:$J$596)*(A357&lt;task_table_13_4_26!$K$2:$K$596))</f>
        <v>11</v>
      </c>
      <c r="D357" cm="1">
        <f t="array" ref="D357">SUMPRODUCT((task_table_13_4_26!$C$2:$C$596=$D$1)*(A357&gt;task_table_13_4_26!$J$2:$J$596)*(A357&lt;task_table_13_4_26!$K$2:$K$596))</f>
        <v>0</v>
      </c>
      <c r="E357" cm="1">
        <f t="array" ref="E357">SUMPRODUCT((task_table_13_4_26!$C$2:$C$596=$E$1)*(A357&gt;task_table_13_4_26!$J$2:$J$596)*(A357&lt;task_table_13_4_26!$K$2:$K$596))</f>
        <v>0</v>
      </c>
    </row>
    <row r="358" spans="1:5">
      <c r="A358" s="5">
        <v>46226</v>
      </c>
      <c r="B358" cm="1">
        <f t="array" ref="B358">SUMPRODUCT((task_table_13_4_26!$C$2:$C$596=$B$1)*(A358&gt;task_table_13_4_26!$J$2:$J$596)*(A358&lt;task_table_13_4_26!$K$2:$K$596))</f>
        <v>9</v>
      </c>
      <c r="C358" cm="1">
        <f t="array" ref="C358">SUMPRODUCT((task_table_13_4_26!$C$2:$C$596=$C$1)*(A358&gt;task_table_13_4_26!$J$2:$J$596)*(A358&lt;task_table_13_4_26!$K$2:$K$596))</f>
        <v>11</v>
      </c>
      <c r="D358" cm="1">
        <f t="array" ref="D358">SUMPRODUCT((task_table_13_4_26!$C$2:$C$596=$D$1)*(A358&gt;task_table_13_4_26!$J$2:$J$596)*(A358&lt;task_table_13_4_26!$K$2:$K$596))</f>
        <v>0</v>
      </c>
      <c r="E358" cm="1">
        <f t="array" ref="E358">SUMPRODUCT((task_table_13_4_26!$C$2:$C$596=$E$1)*(A358&gt;task_table_13_4_26!$J$2:$J$596)*(A358&lt;task_table_13_4_26!$K$2:$K$596))</f>
        <v>0</v>
      </c>
    </row>
    <row r="359" spans="1:5">
      <c r="A359" s="5">
        <v>46227</v>
      </c>
      <c r="B359" cm="1">
        <f t="array" ref="B359">SUMPRODUCT((task_table_13_4_26!$C$2:$C$596=$B$1)*(A359&gt;task_table_13_4_26!$J$2:$J$596)*(A359&lt;task_table_13_4_26!$K$2:$K$596))</f>
        <v>9</v>
      </c>
      <c r="C359" cm="1">
        <f t="array" ref="C359">SUMPRODUCT((task_table_13_4_26!$C$2:$C$596=$C$1)*(A359&gt;task_table_13_4_26!$J$2:$J$596)*(A359&lt;task_table_13_4_26!$K$2:$K$596))</f>
        <v>11</v>
      </c>
      <c r="D359" cm="1">
        <f t="array" ref="D359">SUMPRODUCT((task_table_13_4_26!$C$2:$C$596=$D$1)*(A359&gt;task_table_13_4_26!$J$2:$J$596)*(A359&lt;task_table_13_4_26!$K$2:$K$596))</f>
        <v>0</v>
      </c>
      <c r="E359" cm="1">
        <f t="array" ref="E359">SUMPRODUCT((task_table_13_4_26!$C$2:$C$596=$E$1)*(A359&gt;task_table_13_4_26!$J$2:$J$596)*(A359&lt;task_table_13_4_26!$K$2:$K$596))</f>
        <v>0</v>
      </c>
    </row>
    <row r="360" spans="1:5">
      <c r="A360" s="5">
        <v>46228</v>
      </c>
      <c r="B360" cm="1">
        <f t="array" ref="B360">SUMPRODUCT((task_table_13_4_26!$C$2:$C$596=$B$1)*(A360&gt;task_table_13_4_26!$J$2:$J$596)*(A360&lt;task_table_13_4_26!$K$2:$K$596))</f>
        <v>9</v>
      </c>
      <c r="C360" cm="1">
        <f t="array" ref="C360">SUMPRODUCT((task_table_13_4_26!$C$2:$C$596=$C$1)*(A360&gt;task_table_13_4_26!$J$2:$J$596)*(A360&lt;task_table_13_4_26!$K$2:$K$596))</f>
        <v>11</v>
      </c>
      <c r="D360" cm="1">
        <f t="array" ref="D360">SUMPRODUCT((task_table_13_4_26!$C$2:$C$596=$D$1)*(A360&gt;task_table_13_4_26!$J$2:$J$596)*(A360&lt;task_table_13_4_26!$K$2:$K$596))</f>
        <v>0</v>
      </c>
      <c r="E360" cm="1">
        <f t="array" ref="E360">SUMPRODUCT((task_table_13_4_26!$C$2:$C$596=$E$1)*(A360&gt;task_table_13_4_26!$J$2:$J$596)*(A360&lt;task_table_13_4_26!$K$2:$K$596))</f>
        <v>0</v>
      </c>
    </row>
    <row r="361" spans="1:5">
      <c r="A361" s="5">
        <v>46229</v>
      </c>
      <c r="B361" cm="1">
        <f t="array" ref="B361">SUMPRODUCT((task_table_13_4_26!$C$2:$C$596=$B$1)*(A361&gt;task_table_13_4_26!$J$2:$J$596)*(A361&lt;task_table_13_4_26!$K$2:$K$596))</f>
        <v>9</v>
      </c>
      <c r="C361" cm="1">
        <f t="array" ref="C361">SUMPRODUCT((task_table_13_4_26!$C$2:$C$596=$C$1)*(A361&gt;task_table_13_4_26!$J$2:$J$596)*(A361&lt;task_table_13_4_26!$K$2:$K$596))</f>
        <v>11</v>
      </c>
      <c r="D361" cm="1">
        <f t="array" ref="D361">SUMPRODUCT((task_table_13_4_26!$C$2:$C$596=$D$1)*(A361&gt;task_table_13_4_26!$J$2:$J$596)*(A361&lt;task_table_13_4_26!$K$2:$K$596))</f>
        <v>0</v>
      </c>
      <c r="E361" cm="1">
        <f t="array" ref="E361">SUMPRODUCT((task_table_13_4_26!$C$2:$C$596=$E$1)*(A361&gt;task_table_13_4_26!$J$2:$J$596)*(A361&lt;task_table_13_4_26!$K$2:$K$596))</f>
        <v>0</v>
      </c>
    </row>
    <row r="362" spans="1:5">
      <c r="A362" s="5">
        <v>46230</v>
      </c>
      <c r="B362" cm="1">
        <f t="array" ref="B362">SUMPRODUCT((task_table_13_4_26!$C$2:$C$596=$B$1)*(A362&gt;task_table_13_4_26!$J$2:$J$596)*(A362&lt;task_table_13_4_26!$K$2:$K$596))</f>
        <v>9</v>
      </c>
      <c r="C362" cm="1">
        <f t="array" ref="C362">SUMPRODUCT((task_table_13_4_26!$C$2:$C$596=$C$1)*(A362&gt;task_table_13_4_26!$J$2:$J$596)*(A362&lt;task_table_13_4_26!$K$2:$K$596))</f>
        <v>11</v>
      </c>
      <c r="D362" cm="1">
        <f t="array" ref="D362">SUMPRODUCT((task_table_13_4_26!$C$2:$C$596=$D$1)*(A362&gt;task_table_13_4_26!$J$2:$J$596)*(A362&lt;task_table_13_4_26!$K$2:$K$596))</f>
        <v>0</v>
      </c>
      <c r="E362" cm="1">
        <f t="array" ref="E362">SUMPRODUCT((task_table_13_4_26!$C$2:$C$596=$E$1)*(A362&gt;task_table_13_4_26!$J$2:$J$596)*(A362&lt;task_table_13_4_26!$K$2:$K$596))</f>
        <v>0</v>
      </c>
    </row>
    <row r="363" spans="1:5">
      <c r="A363" s="5">
        <v>46231</v>
      </c>
      <c r="B363" cm="1">
        <f t="array" ref="B363">SUMPRODUCT((task_table_13_4_26!$C$2:$C$596=$B$1)*(A363&gt;task_table_13_4_26!$J$2:$J$596)*(A363&lt;task_table_13_4_26!$K$2:$K$596))</f>
        <v>9</v>
      </c>
      <c r="C363" cm="1">
        <f t="array" ref="C363">SUMPRODUCT((task_table_13_4_26!$C$2:$C$596=$C$1)*(A363&gt;task_table_13_4_26!$J$2:$J$596)*(A363&lt;task_table_13_4_26!$K$2:$K$596))</f>
        <v>11</v>
      </c>
      <c r="D363" cm="1">
        <f t="array" ref="D363">SUMPRODUCT((task_table_13_4_26!$C$2:$C$596=$D$1)*(A363&gt;task_table_13_4_26!$J$2:$J$596)*(A363&lt;task_table_13_4_26!$K$2:$K$596))</f>
        <v>0</v>
      </c>
      <c r="E363" cm="1">
        <f t="array" ref="E363">SUMPRODUCT((task_table_13_4_26!$C$2:$C$596=$E$1)*(A363&gt;task_table_13_4_26!$J$2:$J$596)*(A363&lt;task_table_13_4_26!$K$2:$K$596))</f>
        <v>0</v>
      </c>
    </row>
    <row r="364" spans="1:5">
      <c r="A364" s="5">
        <v>46232</v>
      </c>
      <c r="B364" cm="1">
        <f t="array" ref="B364">SUMPRODUCT((task_table_13_4_26!$C$2:$C$596=$B$1)*(A364&gt;task_table_13_4_26!$J$2:$J$596)*(A364&lt;task_table_13_4_26!$K$2:$K$596))</f>
        <v>9</v>
      </c>
      <c r="C364" cm="1">
        <f t="array" ref="C364">SUMPRODUCT((task_table_13_4_26!$C$2:$C$596=$C$1)*(A364&gt;task_table_13_4_26!$J$2:$J$596)*(A364&lt;task_table_13_4_26!$K$2:$K$596))</f>
        <v>10</v>
      </c>
      <c r="D364" cm="1">
        <f t="array" ref="D364">SUMPRODUCT((task_table_13_4_26!$C$2:$C$596=$D$1)*(A364&gt;task_table_13_4_26!$J$2:$J$596)*(A364&lt;task_table_13_4_26!$K$2:$K$596))</f>
        <v>0</v>
      </c>
      <c r="E364" cm="1">
        <f t="array" ref="E364">SUMPRODUCT((task_table_13_4_26!$C$2:$C$596=$E$1)*(A364&gt;task_table_13_4_26!$J$2:$J$596)*(A364&lt;task_table_13_4_26!$K$2:$K$596))</f>
        <v>0</v>
      </c>
    </row>
    <row r="365" spans="1:5">
      <c r="A365" s="5">
        <v>46233</v>
      </c>
      <c r="B365" cm="1">
        <f t="array" ref="B365">SUMPRODUCT((task_table_13_4_26!$C$2:$C$596=$B$1)*(A365&gt;task_table_13_4_26!$J$2:$J$596)*(A365&lt;task_table_13_4_26!$K$2:$K$596))</f>
        <v>9</v>
      </c>
      <c r="C365" cm="1">
        <f t="array" ref="C365">SUMPRODUCT((task_table_13_4_26!$C$2:$C$596=$C$1)*(A365&gt;task_table_13_4_26!$J$2:$J$596)*(A365&lt;task_table_13_4_26!$K$2:$K$596))</f>
        <v>10</v>
      </c>
      <c r="D365" cm="1">
        <f t="array" ref="D365">SUMPRODUCT((task_table_13_4_26!$C$2:$C$596=$D$1)*(A365&gt;task_table_13_4_26!$J$2:$J$596)*(A365&lt;task_table_13_4_26!$K$2:$K$596))</f>
        <v>0</v>
      </c>
      <c r="E365" cm="1">
        <f t="array" ref="E365">SUMPRODUCT((task_table_13_4_26!$C$2:$C$596=$E$1)*(A365&gt;task_table_13_4_26!$J$2:$J$596)*(A365&lt;task_table_13_4_26!$K$2:$K$596))</f>
        <v>0</v>
      </c>
    </row>
    <row r="366" spans="1:5">
      <c r="A366" s="5">
        <v>46234</v>
      </c>
      <c r="B366" cm="1">
        <f t="array" ref="B366">SUMPRODUCT((task_table_13_4_26!$C$2:$C$596=$B$1)*(A366&gt;task_table_13_4_26!$J$2:$J$596)*(A366&lt;task_table_13_4_26!$K$2:$K$596))</f>
        <v>9</v>
      </c>
      <c r="C366" cm="1">
        <f t="array" ref="C366">SUMPRODUCT((task_table_13_4_26!$C$2:$C$596=$C$1)*(A366&gt;task_table_13_4_26!$J$2:$J$596)*(A366&lt;task_table_13_4_26!$K$2:$K$596))</f>
        <v>9</v>
      </c>
      <c r="D366" cm="1">
        <f t="array" ref="D366">SUMPRODUCT((task_table_13_4_26!$C$2:$C$596=$D$1)*(A366&gt;task_table_13_4_26!$J$2:$J$596)*(A366&lt;task_table_13_4_26!$K$2:$K$596))</f>
        <v>0</v>
      </c>
      <c r="E366" cm="1">
        <f t="array" ref="E366">SUMPRODUCT((task_table_13_4_26!$C$2:$C$596=$E$1)*(A366&gt;task_table_13_4_26!$J$2:$J$596)*(A366&lt;task_table_13_4_26!$K$2:$K$596))</f>
        <v>0</v>
      </c>
    </row>
    <row r="367" spans="1:5">
      <c r="A367" s="5">
        <v>46235</v>
      </c>
      <c r="B367" cm="1">
        <f t="array" ref="B367">SUMPRODUCT((task_table_13_4_26!$C$2:$C$596=$B$1)*(A367&gt;task_table_13_4_26!$J$2:$J$596)*(A367&lt;task_table_13_4_26!$K$2:$K$596))</f>
        <v>9</v>
      </c>
      <c r="C367" cm="1">
        <f t="array" ref="C367">SUMPRODUCT((task_table_13_4_26!$C$2:$C$596=$C$1)*(A367&gt;task_table_13_4_26!$J$2:$J$596)*(A367&lt;task_table_13_4_26!$K$2:$K$596))</f>
        <v>9</v>
      </c>
      <c r="D367" cm="1">
        <f t="array" ref="D367">SUMPRODUCT((task_table_13_4_26!$C$2:$C$596=$D$1)*(A367&gt;task_table_13_4_26!$J$2:$J$596)*(A367&lt;task_table_13_4_26!$K$2:$K$596))</f>
        <v>0</v>
      </c>
      <c r="E367" cm="1">
        <f t="array" ref="E367">SUMPRODUCT((task_table_13_4_26!$C$2:$C$596=$E$1)*(A367&gt;task_table_13_4_26!$J$2:$J$596)*(A367&lt;task_table_13_4_26!$K$2:$K$596))</f>
        <v>0</v>
      </c>
    </row>
    <row r="368" spans="1:5">
      <c r="A368" s="5">
        <v>46236</v>
      </c>
      <c r="B368" cm="1">
        <f t="array" ref="B368">SUMPRODUCT((task_table_13_4_26!$C$2:$C$596=$B$1)*(A368&gt;task_table_13_4_26!$J$2:$J$596)*(A368&lt;task_table_13_4_26!$K$2:$K$596))</f>
        <v>9</v>
      </c>
      <c r="C368" cm="1">
        <f t="array" ref="C368">SUMPRODUCT((task_table_13_4_26!$C$2:$C$596=$C$1)*(A368&gt;task_table_13_4_26!$J$2:$J$596)*(A368&lt;task_table_13_4_26!$K$2:$K$596))</f>
        <v>9</v>
      </c>
      <c r="D368" cm="1">
        <f t="array" ref="D368">SUMPRODUCT((task_table_13_4_26!$C$2:$C$596=$D$1)*(A368&gt;task_table_13_4_26!$J$2:$J$596)*(A368&lt;task_table_13_4_26!$K$2:$K$596))</f>
        <v>0</v>
      </c>
      <c r="E368" cm="1">
        <f t="array" ref="E368">SUMPRODUCT((task_table_13_4_26!$C$2:$C$596=$E$1)*(A368&gt;task_table_13_4_26!$J$2:$J$596)*(A368&lt;task_table_13_4_26!$K$2:$K$596))</f>
        <v>0</v>
      </c>
    </row>
    <row r="369" spans="1:5">
      <c r="A369" s="5">
        <v>46237</v>
      </c>
      <c r="B369" cm="1">
        <f t="array" ref="B369">SUMPRODUCT((task_table_13_4_26!$C$2:$C$596=$B$1)*(A369&gt;task_table_13_4_26!$J$2:$J$596)*(A369&lt;task_table_13_4_26!$K$2:$K$596))</f>
        <v>9</v>
      </c>
      <c r="C369" cm="1">
        <f t="array" ref="C369">SUMPRODUCT((task_table_13_4_26!$C$2:$C$596=$C$1)*(A369&gt;task_table_13_4_26!$J$2:$J$596)*(A369&lt;task_table_13_4_26!$K$2:$K$596))</f>
        <v>9</v>
      </c>
      <c r="D369" cm="1">
        <f t="array" ref="D369">SUMPRODUCT((task_table_13_4_26!$C$2:$C$596=$D$1)*(A369&gt;task_table_13_4_26!$J$2:$J$596)*(A369&lt;task_table_13_4_26!$K$2:$K$596))</f>
        <v>0</v>
      </c>
      <c r="E369" cm="1">
        <f t="array" ref="E369">SUMPRODUCT((task_table_13_4_26!$C$2:$C$596=$E$1)*(A369&gt;task_table_13_4_26!$J$2:$J$596)*(A369&lt;task_table_13_4_26!$K$2:$K$596))</f>
        <v>0</v>
      </c>
    </row>
    <row r="370" spans="1:5">
      <c r="A370" s="5">
        <v>46238</v>
      </c>
      <c r="B370" cm="1">
        <f t="array" ref="B370">SUMPRODUCT((task_table_13_4_26!$C$2:$C$596=$B$1)*(A370&gt;task_table_13_4_26!$J$2:$J$596)*(A370&lt;task_table_13_4_26!$K$2:$K$596))</f>
        <v>9</v>
      </c>
      <c r="C370" cm="1">
        <f t="array" ref="C370">SUMPRODUCT((task_table_13_4_26!$C$2:$C$596=$C$1)*(A370&gt;task_table_13_4_26!$J$2:$J$596)*(A370&lt;task_table_13_4_26!$K$2:$K$596))</f>
        <v>9</v>
      </c>
      <c r="D370" cm="1">
        <f t="array" ref="D370">SUMPRODUCT((task_table_13_4_26!$C$2:$C$596=$D$1)*(A370&gt;task_table_13_4_26!$J$2:$J$596)*(A370&lt;task_table_13_4_26!$K$2:$K$596))</f>
        <v>0</v>
      </c>
      <c r="E370" cm="1">
        <f t="array" ref="E370">SUMPRODUCT((task_table_13_4_26!$C$2:$C$596=$E$1)*(A370&gt;task_table_13_4_26!$J$2:$J$596)*(A370&lt;task_table_13_4_26!$K$2:$K$596))</f>
        <v>0</v>
      </c>
    </row>
    <row r="371" spans="1:5">
      <c r="A371" s="5">
        <v>46239</v>
      </c>
      <c r="B371" cm="1">
        <f t="array" ref="B371">SUMPRODUCT((task_table_13_4_26!$C$2:$C$596=$B$1)*(A371&gt;task_table_13_4_26!$J$2:$J$596)*(A371&lt;task_table_13_4_26!$K$2:$K$596))</f>
        <v>9</v>
      </c>
      <c r="C371" cm="1">
        <f t="array" ref="C371">SUMPRODUCT((task_table_13_4_26!$C$2:$C$596=$C$1)*(A371&gt;task_table_13_4_26!$J$2:$J$596)*(A371&lt;task_table_13_4_26!$K$2:$K$596))</f>
        <v>9</v>
      </c>
      <c r="D371" cm="1">
        <f t="array" ref="D371">SUMPRODUCT((task_table_13_4_26!$C$2:$C$596=$D$1)*(A371&gt;task_table_13_4_26!$J$2:$J$596)*(A371&lt;task_table_13_4_26!$K$2:$K$596))</f>
        <v>0</v>
      </c>
      <c r="E371" cm="1">
        <f t="array" ref="E371">SUMPRODUCT((task_table_13_4_26!$C$2:$C$596=$E$1)*(A371&gt;task_table_13_4_26!$J$2:$J$596)*(A371&lt;task_table_13_4_26!$K$2:$K$596))</f>
        <v>0</v>
      </c>
    </row>
    <row r="372" spans="1:5">
      <c r="A372" s="5">
        <v>46240</v>
      </c>
      <c r="B372" cm="1">
        <f t="array" ref="B372">SUMPRODUCT((task_table_13_4_26!$C$2:$C$596=$B$1)*(A372&gt;task_table_13_4_26!$J$2:$J$596)*(A372&lt;task_table_13_4_26!$K$2:$K$596))</f>
        <v>9</v>
      </c>
      <c r="C372" cm="1">
        <f t="array" ref="C372">SUMPRODUCT((task_table_13_4_26!$C$2:$C$596=$C$1)*(A372&gt;task_table_13_4_26!$J$2:$J$596)*(A372&lt;task_table_13_4_26!$K$2:$K$596))</f>
        <v>9</v>
      </c>
      <c r="D372" cm="1">
        <f t="array" ref="D372">SUMPRODUCT((task_table_13_4_26!$C$2:$C$596=$D$1)*(A372&gt;task_table_13_4_26!$J$2:$J$596)*(A372&lt;task_table_13_4_26!$K$2:$K$596))</f>
        <v>0</v>
      </c>
      <c r="E372" cm="1">
        <f t="array" ref="E372">SUMPRODUCT((task_table_13_4_26!$C$2:$C$596=$E$1)*(A372&gt;task_table_13_4_26!$J$2:$J$596)*(A372&lt;task_table_13_4_26!$K$2:$K$596))</f>
        <v>0</v>
      </c>
    </row>
    <row r="373" spans="1:5">
      <c r="A373" s="5">
        <v>46241</v>
      </c>
      <c r="B373" cm="1">
        <f t="array" ref="B373">SUMPRODUCT((task_table_13_4_26!$C$2:$C$596=$B$1)*(A373&gt;task_table_13_4_26!$J$2:$J$596)*(A373&lt;task_table_13_4_26!$K$2:$K$596))</f>
        <v>9</v>
      </c>
      <c r="C373" cm="1">
        <f t="array" ref="C373">SUMPRODUCT((task_table_13_4_26!$C$2:$C$596=$C$1)*(A373&gt;task_table_13_4_26!$J$2:$J$596)*(A373&lt;task_table_13_4_26!$K$2:$K$596))</f>
        <v>9</v>
      </c>
      <c r="D373" cm="1">
        <f t="array" ref="D373">SUMPRODUCT((task_table_13_4_26!$C$2:$C$596=$D$1)*(A373&gt;task_table_13_4_26!$J$2:$J$596)*(A373&lt;task_table_13_4_26!$K$2:$K$596))</f>
        <v>0</v>
      </c>
      <c r="E373" cm="1">
        <f t="array" ref="E373">SUMPRODUCT((task_table_13_4_26!$C$2:$C$596=$E$1)*(A373&gt;task_table_13_4_26!$J$2:$J$596)*(A373&lt;task_table_13_4_26!$K$2:$K$596))</f>
        <v>0</v>
      </c>
    </row>
    <row r="374" spans="1:5">
      <c r="A374" s="5">
        <v>46242</v>
      </c>
      <c r="B374" cm="1">
        <f t="array" ref="B374">SUMPRODUCT((task_table_13_4_26!$C$2:$C$596=$B$1)*(A374&gt;task_table_13_4_26!$J$2:$J$596)*(A374&lt;task_table_13_4_26!$K$2:$K$596))</f>
        <v>9</v>
      </c>
      <c r="C374" cm="1">
        <f t="array" ref="C374">SUMPRODUCT((task_table_13_4_26!$C$2:$C$596=$C$1)*(A374&gt;task_table_13_4_26!$J$2:$J$596)*(A374&lt;task_table_13_4_26!$K$2:$K$596))</f>
        <v>9</v>
      </c>
      <c r="D374" cm="1">
        <f t="array" ref="D374">SUMPRODUCT((task_table_13_4_26!$C$2:$C$596=$D$1)*(A374&gt;task_table_13_4_26!$J$2:$J$596)*(A374&lt;task_table_13_4_26!$K$2:$K$596))</f>
        <v>0</v>
      </c>
      <c r="E374" cm="1">
        <f t="array" ref="E374">SUMPRODUCT((task_table_13_4_26!$C$2:$C$596=$E$1)*(A374&gt;task_table_13_4_26!$J$2:$J$596)*(A374&lt;task_table_13_4_26!$K$2:$K$596))</f>
        <v>0</v>
      </c>
    </row>
    <row r="375" spans="1:5">
      <c r="A375" s="5">
        <v>46243</v>
      </c>
      <c r="B375" cm="1">
        <f t="array" ref="B375">SUMPRODUCT((task_table_13_4_26!$C$2:$C$596=$B$1)*(A375&gt;task_table_13_4_26!$J$2:$J$596)*(A375&lt;task_table_13_4_26!$K$2:$K$596))</f>
        <v>9</v>
      </c>
      <c r="C375" cm="1">
        <f t="array" ref="C375">SUMPRODUCT((task_table_13_4_26!$C$2:$C$596=$C$1)*(A375&gt;task_table_13_4_26!$J$2:$J$596)*(A375&lt;task_table_13_4_26!$K$2:$K$596))</f>
        <v>9</v>
      </c>
      <c r="D375" cm="1">
        <f t="array" ref="D375">SUMPRODUCT((task_table_13_4_26!$C$2:$C$596=$D$1)*(A375&gt;task_table_13_4_26!$J$2:$J$596)*(A375&lt;task_table_13_4_26!$K$2:$K$596))</f>
        <v>0</v>
      </c>
      <c r="E375" cm="1">
        <f t="array" ref="E375">SUMPRODUCT((task_table_13_4_26!$C$2:$C$596=$E$1)*(A375&gt;task_table_13_4_26!$J$2:$J$596)*(A375&lt;task_table_13_4_26!$K$2:$K$596))</f>
        <v>0</v>
      </c>
    </row>
    <row r="376" spans="1:5">
      <c r="A376" s="5">
        <v>46244</v>
      </c>
      <c r="B376" cm="1">
        <f t="array" ref="B376">SUMPRODUCT((task_table_13_4_26!$C$2:$C$596=$B$1)*(A376&gt;task_table_13_4_26!$J$2:$J$596)*(A376&lt;task_table_13_4_26!$K$2:$K$596))</f>
        <v>9</v>
      </c>
      <c r="C376" cm="1">
        <f t="array" ref="C376">SUMPRODUCT((task_table_13_4_26!$C$2:$C$596=$C$1)*(A376&gt;task_table_13_4_26!$J$2:$J$596)*(A376&lt;task_table_13_4_26!$K$2:$K$596))</f>
        <v>9</v>
      </c>
      <c r="D376" cm="1">
        <f t="array" ref="D376">SUMPRODUCT((task_table_13_4_26!$C$2:$C$596=$D$1)*(A376&gt;task_table_13_4_26!$J$2:$J$596)*(A376&lt;task_table_13_4_26!$K$2:$K$596))</f>
        <v>0</v>
      </c>
      <c r="E376" cm="1">
        <f t="array" ref="E376">SUMPRODUCT((task_table_13_4_26!$C$2:$C$596=$E$1)*(A376&gt;task_table_13_4_26!$J$2:$J$596)*(A376&lt;task_table_13_4_26!$K$2:$K$596))</f>
        <v>0</v>
      </c>
    </row>
    <row r="377" spans="1:5">
      <c r="A377" s="5">
        <v>46245</v>
      </c>
      <c r="B377" cm="1">
        <f t="array" ref="B377">SUMPRODUCT((task_table_13_4_26!$C$2:$C$596=$B$1)*(A377&gt;task_table_13_4_26!$J$2:$J$596)*(A377&lt;task_table_13_4_26!$K$2:$K$596))</f>
        <v>9</v>
      </c>
      <c r="C377" cm="1">
        <f t="array" ref="C377">SUMPRODUCT((task_table_13_4_26!$C$2:$C$596=$C$1)*(A377&gt;task_table_13_4_26!$J$2:$J$596)*(A377&lt;task_table_13_4_26!$K$2:$K$596))</f>
        <v>9</v>
      </c>
      <c r="D377" cm="1">
        <f t="array" ref="D377">SUMPRODUCT((task_table_13_4_26!$C$2:$C$596=$D$1)*(A377&gt;task_table_13_4_26!$J$2:$J$596)*(A377&lt;task_table_13_4_26!$K$2:$K$596))</f>
        <v>0</v>
      </c>
      <c r="E377" cm="1">
        <f t="array" ref="E377">SUMPRODUCT((task_table_13_4_26!$C$2:$C$596=$E$1)*(A377&gt;task_table_13_4_26!$J$2:$J$596)*(A377&lt;task_table_13_4_26!$K$2:$K$596))</f>
        <v>0</v>
      </c>
    </row>
    <row r="378" spans="1:5">
      <c r="A378" s="5">
        <v>46246</v>
      </c>
      <c r="B378" cm="1">
        <f t="array" ref="B378">SUMPRODUCT((task_table_13_4_26!$C$2:$C$596=$B$1)*(A378&gt;task_table_13_4_26!$J$2:$J$596)*(A378&lt;task_table_13_4_26!$K$2:$K$596))</f>
        <v>9</v>
      </c>
      <c r="C378" cm="1">
        <f t="array" ref="C378">SUMPRODUCT((task_table_13_4_26!$C$2:$C$596=$C$1)*(A378&gt;task_table_13_4_26!$J$2:$J$596)*(A378&lt;task_table_13_4_26!$K$2:$K$596))</f>
        <v>9</v>
      </c>
      <c r="D378" cm="1">
        <f t="array" ref="D378">SUMPRODUCT((task_table_13_4_26!$C$2:$C$596=$D$1)*(A378&gt;task_table_13_4_26!$J$2:$J$596)*(A378&lt;task_table_13_4_26!$K$2:$K$596))</f>
        <v>0</v>
      </c>
      <c r="E378" cm="1">
        <f t="array" ref="E378">SUMPRODUCT((task_table_13_4_26!$C$2:$C$596=$E$1)*(A378&gt;task_table_13_4_26!$J$2:$J$596)*(A378&lt;task_table_13_4_26!$K$2:$K$596))</f>
        <v>0</v>
      </c>
    </row>
    <row r="379" spans="1:5">
      <c r="A379" s="5">
        <v>46247</v>
      </c>
      <c r="B379" cm="1">
        <f t="array" ref="B379">SUMPRODUCT((task_table_13_4_26!$C$2:$C$596=$B$1)*(A379&gt;task_table_13_4_26!$J$2:$J$596)*(A379&lt;task_table_13_4_26!$K$2:$K$596))</f>
        <v>9</v>
      </c>
      <c r="C379" cm="1">
        <f t="array" ref="C379">SUMPRODUCT((task_table_13_4_26!$C$2:$C$596=$C$1)*(A379&gt;task_table_13_4_26!$J$2:$J$596)*(A379&lt;task_table_13_4_26!$K$2:$K$596))</f>
        <v>9</v>
      </c>
      <c r="D379" cm="1">
        <f t="array" ref="D379">SUMPRODUCT((task_table_13_4_26!$C$2:$C$596=$D$1)*(A379&gt;task_table_13_4_26!$J$2:$J$596)*(A379&lt;task_table_13_4_26!$K$2:$K$596))</f>
        <v>0</v>
      </c>
      <c r="E379" cm="1">
        <f t="array" ref="E379">SUMPRODUCT((task_table_13_4_26!$C$2:$C$596=$E$1)*(A379&gt;task_table_13_4_26!$J$2:$J$596)*(A379&lt;task_table_13_4_26!$K$2:$K$596))</f>
        <v>0</v>
      </c>
    </row>
    <row r="380" spans="1:5">
      <c r="A380" s="5">
        <v>46248</v>
      </c>
      <c r="B380" cm="1">
        <f t="array" ref="B380">SUMPRODUCT((task_table_13_4_26!$C$2:$C$596=$B$1)*(A380&gt;task_table_13_4_26!$J$2:$J$596)*(A380&lt;task_table_13_4_26!$K$2:$K$596))</f>
        <v>9</v>
      </c>
      <c r="C380" cm="1">
        <f t="array" ref="C380">SUMPRODUCT((task_table_13_4_26!$C$2:$C$596=$C$1)*(A380&gt;task_table_13_4_26!$J$2:$J$596)*(A380&lt;task_table_13_4_26!$K$2:$K$596))</f>
        <v>8</v>
      </c>
      <c r="D380" cm="1">
        <f t="array" ref="D380">SUMPRODUCT((task_table_13_4_26!$C$2:$C$596=$D$1)*(A380&gt;task_table_13_4_26!$J$2:$J$596)*(A380&lt;task_table_13_4_26!$K$2:$K$596))</f>
        <v>0</v>
      </c>
      <c r="E380" cm="1">
        <f t="array" ref="E380">SUMPRODUCT((task_table_13_4_26!$C$2:$C$596=$E$1)*(A380&gt;task_table_13_4_26!$J$2:$J$596)*(A380&lt;task_table_13_4_26!$K$2:$K$596))</f>
        <v>0</v>
      </c>
    </row>
    <row r="381" spans="1:5">
      <c r="A381" s="5">
        <v>46249</v>
      </c>
      <c r="B381" cm="1">
        <f t="array" ref="B381">SUMPRODUCT((task_table_13_4_26!$C$2:$C$596=$B$1)*(A381&gt;task_table_13_4_26!$J$2:$J$596)*(A381&lt;task_table_13_4_26!$K$2:$K$596))</f>
        <v>9</v>
      </c>
      <c r="C381" cm="1">
        <f t="array" ref="C381">SUMPRODUCT((task_table_13_4_26!$C$2:$C$596=$C$1)*(A381&gt;task_table_13_4_26!$J$2:$J$596)*(A381&lt;task_table_13_4_26!$K$2:$K$596))</f>
        <v>8</v>
      </c>
      <c r="D381" cm="1">
        <f t="array" ref="D381">SUMPRODUCT((task_table_13_4_26!$C$2:$C$596=$D$1)*(A381&gt;task_table_13_4_26!$J$2:$J$596)*(A381&lt;task_table_13_4_26!$K$2:$K$596))</f>
        <v>0</v>
      </c>
      <c r="E381" cm="1">
        <f t="array" ref="E381">SUMPRODUCT((task_table_13_4_26!$C$2:$C$596=$E$1)*(A381&gt;task_table_13_4_26!$J$2:$J$596)*(A381&lt;task_table_13_4_26!$K$2:$K$596))</f>
        <v>0</v>
      </c>
    </row>
    <row r="382" spans="1:5">
      <c r="A382" s="5">
        <v>46250</v>
      </c>
      <c r="B382" cm="1">
        <f t="array" ref="B382">SUMPRODUCT((task_table_13_4_26!$C$2:$C$596=$B$1)*(A382&gt;task_table_13_4_26!$J$2:$J$596)*(A382&lt;task_table_13_4_26!$K$2:$K$596))</f>
        <v>9</v>
      </c>
      <c r="C382" cm="1">
        <f t="array" ref="C382">SUMPRODUCT((task_table_13_4_26!$C$2:$C$596=$C$1)*(A382&gt;task_table_13_4_26!$J$2:$J$596)*(A382&lt;task_table_13_4_26!$K$2:$K$596))</f>
        <v>8</v>
      </c>
      <c r="D382" cm="1">
        <f t="array" ref="D382">SUMPRODUCT((task_table_13_4_26!$C$2:$C$596=$D$1)*(A382&gt;task_table_13_4_26!$J$2:$J$596)*(A382&lt;task_table_13_4_26!$K$2:$K$596))</f>
        <v>0</v>
      </c>
      <c r="E382" cm="1">
        <f t="array" ref="E382">SUMPRODUCT((task_table_13_4_26!$C$2:$C$596=$E$1)*(A382&gt;task_table_13_4_26!$J$2:$J$596)*(A382&lt;task_table_13_4_26!$K$2:$K$596))</f>
        <v>0</v>
      </c>
    </row>
    <row r="383" spans="1:5">
      <c r="A383" s="5">
        <v>46251</v>
      </c>
      <c r="B383" cm="1">
        <f t="array" ref="B383">SUMPRODUCT((task_table_13_4_26!$C$2:$C$596=$B$1)*(A383&gt;task_table_13_4_26!$J$2:$J$596)*(A383&lt;task_table_13_4_26!$K$2:$K$596))</f>
        <v>9</v>
      </c>
      <c r="C383" cm="1">
        <f t="array" ref="C383">SUMPRODUCT((task_table_13_4_26!$C$2:$C$596=$C$1)*(A383&gt;task_table_13_4_26!$J$2:$J$596)*(A383&lt;task_table_13_4_26!$K$2:$K$596))</f>
        <v>8</v>
      </c>
      <c r="D383" cm="1">
        <f t="array" ref="D383">SUMPRODUCT((task_table_13_4_26!$C$2:$C$596=$D$1)*(A383&gt;task_table_13_4_26!$J$2:$J$596)*(A383&lt;task_table_13_4_26!$K$2:$K$596))</f>
        <v>0</v>
      </c>
      <c r="E383" cm="1">
        <f t="array" ref="E383">SUMPRODUCT((task_table_13_4_26!$C$2:$C$596=$E$1)*(A383&gt;task_table_13_4_26!$J$2:$J$596)*(A383&lt;task_table_13_4_26!$K$2:$K$596))</f>
        <v>0</v>
      </c>
    </row>
    <row r="384" spans="1:5">
      <c r="A384" s="5">
        <v>46252</v>
      </c>
      <c r="B384" cm="1">
        <f t="array" ref="B384">SUMPRODUCT((task_table_13_4_26!$C$2:$C$596=$B$1)*(A384&gt;task_table_13_4_26!$J$2:$J$596)*(A384&lt;task_table_13_4_26!$K$2:$K$596))</f>
        <v>9</v>
      </c>
      <c r="C384" cm="1">
        <f t="array" ref="C384">SUMPRODUCT((task_table_13_4_26!$C$2:$C$596=$C$1)*(A384&gt;task_table_13_4_26!$J$2:$J$596)*(A384&lt;task_table_13_4_26!$K$2:$K$596))</f>
        <v>8</v>
      </c>
      <c r="D384" cm="1">
        <f t="array" ref="D384">SUMPRODUCT((task_table_13_4_26!$C$2:$C$596=$D$1)*(A384&gt;task_table_13_4_26!$J$2:$J$596)*(A384&lt;task_table_13_4_26!$K$2:$K$596))</f>
        <v>0</v>
      </c>
      <c r="E384" cm="1">
        <f t="array" ref="E384">SUMPRODUCT((task_table_13_4_26!$C$2:$C$596=$E$1)*(A384&gt;task_table_13_4_26!$J$2:$J$596)*(A384&lt;task_table_13_4_26!$K$2:$K$596))</f>
        <v>0</v>
      </c>
    </row>
    <row r="385" spans="1:5">
      <c r="A385" s="5">
        <v>46253</v>
      </c>
      <c r="B385" cm="1">
        <f t="array" ref="B385">SUMPRODUCT((task_table_13_4_26!$C$2:$C$596=$B$1)*(A385&gt;task_table_13_4_26!$J$2:$J$596)*(A385&lt;task_table_13_4_26!$K$2:$K$596))</f>
        <v>9</v>
      </c>
      <c r="C385" cm="1">
        <f t="array" ref="C385">SUMPRODUCT((task_table_13_4_26!$C$2:$C$596=$C$1)*(A385&gt;task_table_13_4_26!$J$2:$J$596)*(A385&lt;task_table_13_4_26!$K$2:$K$596))</f>
        <v>8</v>
      </c>
      <c r="D385" cm="1">
        <f t="array" ref="D385">SUMPRODUCT((task_table_13_4_26!$C$2:$C$596=$D$1)*(A385&gt;task_table_13_4_26!$J$2:$J$596)*(A385&lt;task_table_13_4_26!$K$2:$K$596))</f>
        <v>0</v>
      </c>
      <c r="E385" cm="1">
        <f t="array" ref="E385">SUMPRODUCT((task_table_13_4_26!$C$2:$C$596=$E$1)*(A385&gt;task_table_13_4_26!$J$2:$J$596)*(A385&lt;task_table_13_4_26!$K$2:$K$596))</f>
        <v>0</v>
      </c>
    </row>
    <row r="386" spans="1:5">
      <c r="A386" s="5">
        <v>46254</v>
      </c>
      <c r="B386" cm="1">
        <f t="array" ref="B386">SUMPRODUCT((task_table_13_4_26!$C$2:$C$596=$B$1)*(A386&gt;task_table_13_4_26!$J$2:$J$596)*(A386&lt;task_table_13_4_26!$K$2:$K$596))</f>
        <v>9</v>
      </c>
      <c r="C386" cm="1">
        <f t="array" ref="C386">SUMPRODUCT((task_table_13_4_26!$C$2:$C$596=$C$1)*(A386&gt;task_table_13_4_26!$J$2:$J$596)*(A386&lt;task_table_13_4_26!$K$2:$K$596))</f>
        <v>8</v>
      </c>
      <c r="D386" cm="1">
        <f t="array" ref="D386">SUMPRODUCT((task_table_13_4_26!$C$2:$C$596=$D$1)*(A386&gt;task_table_13_4_26!$J$2:$J$596)*(A386&lt;task_table_13_4_26!$K$2:$K$596))</f>
        <v>0</v>
      </c>
      <c r="E386" cm="1">
        <f t="array" ref="E386">SUMPRODUCT((task_table_13_4_26!$C$2:$C$596=$E$1)*(A386&gt;task_table_13_4_26!$J$2:$J$596)*(A386&lt;task_table_13_4_26!$K$2:$K$596))</f>
        <v>0</v>
      </c>
    </row>
    <row r="387" spans="1:5">
      <c r="A387" s="5">
        <v>46255</v>
      </c>
      <c r="B387" cm="1">
        <f t="array" ref="B387">SUMPRODUCT((task_table_13_4_26!$C$2:$C$596=$B$1)*(A387&gt;task_table_13_4_26!$J$2:$J$596)*(A387&lt;task_table_13_4_26!$K$2:$K$596))</f>
        <v>9</v>
      </c>
      <c r="C387" cm="1">
        <f t="array" ref="C387">SUMPRODUCT((task_table_13_4_26!$C$2:$C$596=$C$1)*(A387&gt;task_table_13_4_26!$J$2:$J$596)*(A387&lt;task_table_13_4_26!$K$2:$K$596))</f>
        <v>8</v>
      </c>
      <c r="D387" cm="1">
        <f t="array" ref="D387">SUMPRODUCT((task_table_13_4_26!$C$2:$C$596=$D$1)*(A387&gt;task_table_13_4_26!$J$2:$J$596)*(A387&lt;task_table_13_4_26!$K$2:$K$596))</f>
        <v>0</v>
      </c>
      <c r="E387" cm="1">
        <f t="array" ref="E387">SUMPRODUCT((task_table_13_4_26!$C$2:$C$596=$E$1)*(A387&gt;task_table_13_4_26!$J$2:$J$596)*(A387&lt;task_table_13_4_26!$K$2:$K$596))</f>
        <v>0</v>
      </c>
    </row>
    <row r="388" spans="1:5">
      <c r="A388" s="5">
        <v>46256</v>
      </c>
      <c r="B388" cm="1">
        <f t="array" ref="B388">SUMPRODUCT((task_table_13_4_26!$C$2:$C$596=$B$1)*(A388&gt;task_table_13_4_26!$J$2:$J$596)*(A388&lt;task_table_13_4_26!$K$2:$K$596))</f>
        <v>9</v>
      </c>
      <c r="C388" cm="1">
        <f t="array" ref="C388">SUMPRODUCT((task_table_13_4_26!$C$2:$C$596=$C$1)*(A388&gt;task_table_13_4_26!$J$2:$J$596)*(A388&lt;task_table_13_4_26!$K$2:$K$596))</f>
        <v>8</v>
      </c>
      <c r="D388" cm="1">
        <f t="array" ref="D388">SUMPRODUCT((task_table_13_4_26!$C$2:$C$596=$D$1)*(A388&gt;task_table_13_4_26!$J$2:$J$596)*(A388&lt;task_table_13_4_26!$K$2:$K$596))</f>
        <v>0</v>
      </c>
      <c r="E388" cm="1">
        <f t="array" ref="E388">SUMPRODUCT((task_table_13_4_26!$C$2:$C$596=$E$1)*(A388&gt;task_table_13_4_26!$J$2:$J$596)*(A388&lt;task_table_13_4_26!$K$2:$K$596))</f>
        <v>0</v>
      </c>
    </row>
    <row r="389" spans="1:5">
      <c r="A389" s="5">
        <v>46257</v>
      </c>
      <c r="B389" cm="1">
        <f t="array" ref="B389">SUMPRODUCT((task_table_13_4_26!$C$2:$C$596=$B$1)*(A389&gt;task_table_13_4_26!$J$2:$J$596)*(A389&lt;task_table_13_4_26!$K$2:$K$596))</f>
        <v>9</v>
      </c>
      <c r="C389" cm="1">
        <f t="array" ref="C389">SUMPRODUCT((task_table_13_4_26!$C$2:$C$596=$C$1)*(A389&gt;task_table_13_4_26!$J$2:$J$596)*(A389&lt;task_table_13_4_26!$K$2:$K$596))</f>
        <v>8</v>
      </c>
      <c r="D389" cm="1">
        <f t="array" ref="D389">SUMPRODUCT((task_table_13_4_26!$C$2:$C$596=$D$1)*(A389&gt;task_table_13_4_26!$J$2:$J$596)*(A389&lt;task_table_13_4_26!$K$2:$K$596))</f>
        <v>0</v>
      </c>
      <c r="E389" cm="1">
        <f t="array" ref="E389">SUMPRODUCT((task_table_13_4_26!$C$2:$C$596=$E$1)*(A389&gt;task_table_13_4_26!$J$2:$J$596)*(A389&lt;task_table_13_4_26!$K$2:$K$596))</f>
        <v>0</v>
      </c>
    </row>
    <row r="390" spans="1:5">
      <c r="A390" s="5">
        <v>46258</v>
      </c>
      <c r="B390" cm="1">
        <f t="array" ref="B390">SUMPRODUCT((task_table_13_4_26!$C$2:$C$596=$B$1)*(A390&gt;task_table_13_4_26!$J$2:$J$596)*(A390&lt;task_table_13_4_26!$K$2:$K$596))</f>
        <v>9</v>
      </c>
      <c r="C390" cm="1">
        <f t="array" ref="C390">SUMPRODUCT((task_table_13_4_26!$C$2:$C$596=$C$1)*(A390&gt;task_table_13_4_26!$J$2:$J$596)*(A390&lt;task_table_13_4_26!$K$2:$K$596))</f>
        <v>8</v>
      </c>
      <c r="D390" cm="1">
        <f t="array" ref="D390">SUMPRODUCT((task_table_13_4_26!$C$2:$C$596=$D$1)*(A390&gt;task_table_13_4_26!$J$2:$J$596)*(A390&lt;task_table_13_4_26!$K$2:$K$596))</f>
        <v>0</v>
      </c>
      <c r="E390" cm="1">
        <f t="array" ref="E390">SUMPRODUCT((task_table_13_4_26!$C$2:$C$596=$E$1)*(A390&gt;task_table_13_4_26!$J$2:$J$596)*(A390&lt;task_table_13_4_26!$K$2:$K$596))</f>
        <v>0</v>
      </c>
    </row>
    <row r="391" spans="1:5">
      <c r="A391" s="5">
        <v>46259</v>
      </c>
      <c r="B391" cm="1">
        <f t="array" ref="B391">SUMPRODUCT((task_table_13_4_26!$C$2:$C$596=$B$1)*(A391&gt;task_table_13_4_26!$J$2:$J$596)*(A391&lt;task_table_13_4_26!$K$2:$K$596))</f>
        <v>9</v>
      </c>
      <c r="C391" cm="1">
        <f t="array" ref="C391">SUMPRODUCT((task_table_13_4_26!$C$2:$C$596=$C$1)*(A391&gt;task_table_13_4_26!$J$2:$J$596)*(A391&lt;task_table_13_4_26!$K$2:$K$596))</f>
        <v>8</v>
      </c>
      <c r="D391" cm="1">
        <f t="array" ref="D391">SUMPRODUCT((task_table_13_4_26!$C$2:$C$596=$D$1)*(A391&gt;task_table_13_4_26!$J$2:$J$596)*(A391&lt;task_table_13_4_26!$K$2:$K$596))</f>
        <v>0</v>
      </c>
      <c r="E391" cm="1">
        <f t="array" ref="E391">SUMPRODUCT((task_table_13_4_26!$C$2:$C$596=$E$1)*(A391&gt;task_table_13_4_26!$J$2:$J$596)*(A391&lt;task_table_13_4_26!$K$2:$K$596))</f>
        <v>0</v>
      </c>
    </row>
    <row r="392" spans="1:5">
      <c r="A392" s="5">
        <v>46260</v>
      </c>
      <c r="B392" cm="1">
        <f t="array" ref="B392">SUMPRODUCT((task_table_13_4_26!$C$2:$C$596=$B$1)*(A392&gt;task_table_13_4_26!$J$2:$J$596)*(A392&lt;task_table_13_4_26!$K$2:$K$596))</f>
        <v>9</v>
      </c>
      <c r="C392" cm="1">
        <f t="array" ref="C392">SUMPRODUCT((task_table_13_4_26!$C$2:$C$596=$C$1)*(A392&gt;task_table_13_4_26!$J$2:$J$596)*(A392&lt;task_table_13_4_26!$K$2:$K$596))</f>
        <v>8</v>
      </c>
      <c r="D392" cm="1">
        <f t="array" ref="D392">SUMPRODUCT((task_table_13_4_26!$C$2:$C$596=$D$1)*(A392&gt;task_table_13_4_26!$J$2:$J$596)*(A392&lt;task_table_13_4_26!$K$2:$K$596))</f>
        <v>0</v>
      </c>
      <c r="E392" cm="1">
        <f t="array" ref="E392">SUMPRODUCT((task_table_13_4_26!$C$2:$C$596=$E$1)*(A392&gt;task_table_13_4_26!$J$2:$J$596)*(A392&lt;task_table_13_4_26!$K$2:$K$596))</f>
        <v>0</v>
      </c>
    </row>
    <row r="393" spans="1:5">
      <c r="A393" s="5">
        <v>46261</v>
      </c>
      <c r="B393" cm="1">
        <f t="array" ref="B393">SUMPRODUCT((task_table_13_4_26!$C$2:$C$596=$B$1)*(A393&gt;task_table_13_4_26!$J$2:$J$596)*(A393&lt;task_table_13_4_26!$K$2:$K$596))</f>
        <v>9</v>
      </c>
      <c r="C393" cm="1">
        <f t="array" ref="C393">SUMPRODUCT((task_table_13_4_26!$C$2:$C$596=$C$1)*(A393&gt;task_table_13_4_26!$J$2:$J$596)*(A393&lt;task_table_13_4_26!$K$2:$K$596))</f>
        <v>8</v>
      </c>
      <c r="D393" cm="1">
        <f t="array" ref="D393">SUMPRODUCT((task_table_13_4_26!$C$2:$C$596=$D$1)*(A393&gt;task_table_13_4_26!$J$2:$J$596)*(A393&lt;task_table_13_4_26!$K$2:$K$596))</f>
        <v>0</v>
      </c>
      <c r="E393" cm="1">
        <f t="array" ref="E393">SUMPRODUCT((task_table_13_4_26!$C$2:$C$596=$E$1)*(A393&gt;task_table_13_4_26!$J$2:$J$596)*(A393&lt;task_table_13_4_26!$K$2:$K$596))</f>
        <v>0</v>
      </c>
    </row>
    <row r="394" spans="1:5">
      <c r="A394" s="5">
        <v>46262</v>
      </c>
      <c r="B394" cm="1">
        <f t="array" ref="B394">SUMPRODUCT((task_table_13_4_26!$C$2:$C$596=$B$1)*(A394&gt;task_table_13_4_26!$J$2:$J$596)*(A394&lt;task_table_13_4_26!$K$2:$K$596))</f>
        <v>9</v>
      </c>
      <c r="C394" cm="1">
        <f t="array" ref="C394">SUMPRODUCT((task_table_13_4_26!$C$2:$C$596=$C$1)*(A394&gt;task_table_13_4_26!$J$2:$J$596)*(A394&lt;task_table_13_4_26!$K$2:$K$596))</f>
        <v>8</v>
      </c>
      <c r="D394" cm="1">
        <f t="array" ref="D394">SUMPRODUCT((task_table_13_4_26!$C$2:$C$596=$D$1)*(A394&gt;task_table_13_4_26!$J$2:$J$596)*(A394&lt;task_table_13_4_26!$K$2:$K$596))</f>
        <v>0</v>
      </c>
      <c r="E394" cm="1">
        <f t="array" ref="E394">SUMPRODUCT((task_table_13_4_26!$C$2:$C$596=$E$1)*(A394&gt;task_table_13_4_26!$J$2:$J$596)*(A394&lt;task_table_13_4_26!$K$2:$K$596))</f>
        <v>0</v>
      </c>
    </row>
    <row r="395" spans="1:5">
      <c r="A395" s="5">
        <v>46263</v>
      </c>
      <c r="B395" cm="1">
        <f t="array" ref="B395">SUMPRODUCT((task_table_13_4_26!$C$2:$C$596=$B$1)*(A395&gt;task_table_13_4_26!$J$2:$J$596)*(A395&lt;task_table_13_4_26!$K$2:$K$596))</f>
        <v>9</v>
      </c>
      <c r="C395" cm="1">
        <f t="array" ref="C395">SUMPRODUCT((task_table_13_4_26!$C$2:$C$596=$C$1)*(A395&gt;task_table_13_4_26!$J$2:$J$596)*(A395&lt;task_table_13_4_26!$K$2:$K$596))</f>
        <v>8</v>
      </c>
      <c r="D395" cm="1">
        <f t="array" ref="D395">SUMPRODUCT((task_table_13_4_26!$C$2:$C$596=$D$1)*(A395&gt;task_table_13_4_26!$J$2:$J$596)*(A395&lt;task_table_13_4_26!$K$2:$K$596))</f>
        <v>0</v>
      </c>
      <c r="E395" cm="1">
        <f t="array" ref="E395">SUMPRODUCT((task_table_13_4_26!$C$2:$C$596=$E$1)*(A395&gt;task_table_13_4_26!$J$2:$J$596)*(A395&lt;task_table_13_4_26!$K$2:$K$596))</f>
        <v>0</v>
      </c>
    </row>
    <row r="396" spans="1:5">
      <c r="A396" s="5">
        <v>46264</v>
      </c>
      <c r="B396" cm="1">
        <f t="array" ref="B396">SUMPRODUCT((task_table_13_4_26!$C$2:$C$596=$B$1)*(A396&gt;task_table_13_4_26!$J$2:$J$596)*(A396&lt;task_table_13_4_26!$K$2:$K$596))</f>
        <v>9</v>
      </c>
      <c r="C396" cm="1">
        <f t="array" ref="C396">SUMPRODUCT((task_table_13_4_26!$C$2:$C$596=$C$1)*(A396&gt;task_table_13_4_26!$J$2:$J$596)*(A396&lt;task_table_13_4_26!$K$2:$K$596))</f>
        <v>8</v>
      </c>
      <c r="D396" cm="1">
        <f t="array" ref="D396">SUMPRODUCT((task_table_13_4_26!$C$2:$C$596=$D$1)*(A396&gt;task_table_13_4_26!$J$2:$J$596)*(A396&lt;task_table_13_4_26!$K$2:$K$596))</f>
        <v>0</v>
      </c>
      <c r="E396" cm="1">
        <f t="array" ref="E396">SUMPRODUCT((task_table_13_4_26!$C$2:$C$596=$E$1)*(A396&gt;task_table_13_4_26!$J$2:$J$596)*(A396&lt;task_table_13_4_26!$K$2:$K$596))</f>
        <v>0</v>
      </c>
    </row>
    <row r="397" spans="1:5">
      <c r="A397" s="5">
        <v>46265</v>
      </c>
      <c r="B397" cm="1">
        <f t="array" ref="B397">SUMPRODUCT((task_table_13_4_26!$C$2:$C$596=$B$1)*(A397&gt;task_table_13_4_26!$J$2:$J$596)*(A397&lt;task_table_13_4_26!$K$2:$K$596))</f>
        <v>9</v>
      </c>
      <c r="C397" cm="1">
        <f t="array" ref="C397">SUMPRODUCT((task_table_13_4_26!$C$2:$C$596=$C$1)*(A397&gt;task_table_13_4_26!$J$2:$J$596)*(A397&lt;task_table_13_4_26!$K$2:$K$596))</f>
        <v>5</v>
      </c>
      <c r="D397" cm="1">
        <f t="array" ref="D397">SUMPRODUCT((task_table_13_4_26!$C$2:$C$596=$D$1)*(A397&gt;task_table_13_4_26!$J$2:$J$596)*(A397&lt;task_table_13_4_26!$K$2:$K$596))</f>
        <v>0</v>
      </c>
      <c r="E397" cm="1">
        <f t="array" ref="E397">SUMPRODUCT((task_table_13_4_26!$C$2:$C$596=$E$1)*(A397&gt;task_table_13_4_26!$J$2:$J$596)*(A397&lt;task_table_13_4_26!$K$2:$K$596))</f>
        <v>0</v>
      </c>
    </row>
    <row r="398" spans="1:5">
      <c r="A398" s="5">
        <v>46266</v>
      </c>
      <c r="B398" cm="1">
        <f t="array" ref="B398">SUMPRODUCT((task_table_13_4_26!$C$2:$C$596=$B$1)*(A398&gt;task_table_13_4_26!$J$2:$J$596)*(A398&lt;task_table_13_4_26!$K$2:$K$596))</f>
        <v>9</v>
      </c>
      <c r="C398" cm="1">
        <f t="array" ref="C398">SUMPRODUCT((task_table_13_4_26!$C$2:$C$596=$C$1)*(A398&gt;task_table_13_4_26!$J$2:$J$596)*(A398&lt;task_table_13_4_26!$K$2:$K$596))</f>
        <v>5</v>
      </c>
      <c r="D398" cm="1">
        <f t="array" ref="D398">SUMPRODUCT((task_table_13_4_26!$C$2:$C$596=$D$1)*(A398&gt;task_table_13_4_26!$J$2:$J$596)*(A398&lt;task_table_13_4_26!$K$2:$K$596))</f>
        <v>0</v>
      </c>
      <c r="E398" cm="1">
        <f t="array" ref="E398">SUMPRODUCT((task_table_13_4_26!$C$2:$C$596=$E$1)*(A398&gt;task_table_13_4_26!$J$2:$J$596)*(A398&lt;task_table_13_4_26!$K$2:$K$596))</f>
        <v>0</v>
      </c>
    </row>
    <row r="399" spans="1:5">
      <c r="A399" s="5">
        <v>46267</v>
      </c>
      <c r="B399" cm="1">
        <f t="array" ref="B399">SUMPRODUCT((task_table_13_4_26!$C$2:$C$596=$B$1)*(A399&gt;task_table_13_4_26!$J$2:$J$596)*(A399&lt;task_table_13_4_26!$K$2:$K$596))</f>
        <v>9</v>
      </c>
      <c r="C399" cm="1">
        <f t="array" ref="C399">SUMPRODUCT((task_table_13_4_26!$C$2:$C$596=$C$1)*(A399&gt;task_table_13_4_26!$J$2:$J$596)*(A399&lt;task_table_13_4_26!$K$2:$K$596))</f>
        <v>5</v>
      </c>
      <c r="D399" cm="1">
        <f t="array" ref="D399">SUMPRODUCT((task_table_13_4_26!$C$2:$C$596=$D$1)*(A399&gt;task_table_13_4_26!$J$2:$J$596)*(A399&lt;task_table_13_4_26!$K$2:$K$596))</f>
        <v>0</v>
      </c>
      <c r="E399" cm="1">
        <f t="array" ref="E399">SUMPRODUCT((task_table_13_4_26!$C$2:$C$596=$E$1)*(A399&gt;task_table_13_4_26!$J$2:$J$596)*(A399&lt;task_table_13_4_26!$K$2:$K$596))</f>
        <v>0</v>
      </c>
    </row>
    <row r="400" spans="1:5">
      <c r="A400" s="5">
        <v>46268</v>
      </c>
      <c r="B400" cm="1">
        <f t="array" ref="B400">SUMPRODUCT((task_table_13_4_26!$C$2:$C$596=$B$1)*(A400&gt;task_table_13_4_26!$J$2:$J$596)*(A400&lt;task_table_13_4_26!$K$2:$K$596))</f>
        <v>9</v>
      </c>
      <c r="C400" cm="1">
        <f t="array" ref="C400">SUMPRODUCT((task_table_13_4_26!$C$2:$C$596=$C$1)*(A400&gt;task_table_13_4_26!$J$2:$J$596)*(A400&lt;task_table_13_4_26!$K$2:$K$596))</f>
        <v>5</v>
      </c>
      <c r="D400" cm="1">
        <f t="array" ref="D400">SUMPRODUCT((task_table_13_4_26!$C$2:$C$596=$D$1)*(A400&gt;task_table_13_4_26!$J$2:$J$596)*(A400&lt;task_table_13_4_26!$K$2:$K$596))</f>
        <v>0</v>
      </c>
      <c r="E400" cm="1">
        <f t="array" ref="E400">SUMPRODUCT((task_table_13_4_26!$C$2:$C$596=$E$1)*(A400&gt;task_table_13_4_26!$J$2:$J$596)*(A400&lt;task_table_13_4_26!$K$2:$K$596))</f>
        <v>0</v>
      </c>
    </row>
    <row r="401" spans="1:5">
      <c r="A401" s="5">
        <v>46269</v>
      </c>
      <c r="B401" cm="1">
        <f t="array" ref="B401">SUMPRODUCT((task_table_13_4_26!$C$2:$C$596=$B$1)*(A401&gt;task_table_13_4_26!$J$2:$J$596)*(A401&lt;task_table_13_4_26!$K$2:$K$596))</f>
        <v>9</v>
      </c>
      <c r="C401" cm="1">
        <f t="array" ref="C401">SUMPRODUCT((task_table_13_4_26!$C$2:$C$596=$C$1)*(A401&gt;task_table_13_4_26!$J$2:$J$596)*(A401&lt;task_table_13_4_26!$K$2:$K$596))</f>
        <v>5</v>
      </c>
      <c r="D401" cm="1">
        <f t="array" ref="D401">SUMPRODUCT((task_table_13_4_26!$C$2:$C$596=$D$1)*(A401&gt;task_table_13_4_26!$J$2:$J$596)*(A401&lt;task_table_13_4_26!$K$2:$K$596))</f>
        <v>0</v>
      </c>
      <c r="E401" cm="1">
        <f t="array" ref="E401">SUMPRODUCT((task_table_13_4_26!$C$2:$C$596=$E$1)*(A401&gt;task_table_13_4_26!$J$2:$J$596)*(A401&lt;task_table_13_4_26!$K$2:$K$596))</f>
        <v>0</v>
      </c>
    </row>
    <row r="402" spans="1:5">
      <c r="A402" s="5">
        <v>46270</v>
      </c>
      <c r="B402" cm="1">
        <f t="array" ref="B402">SUMPRODUCT((task_table_13_4_26!$C$2:$C$596=$B$1)*(A402&gt;task_table_13_4_26!$J$2:$J$596)*(A402&lt;task_table_13_4_26!$K$2:$K$596))</f>
        <v>9</v>
      </c>
      <c r="C402" cm="1">
        <f t="array" ref="C402">SUMPRODUCT((task_table_13_4_26!$C$2:$C$596=$C$1)*(A402&gt;task_table_13_4_26!$J$2:$J$596)*(A402&lt;task_table_13_4_26!$K$2:$K$596))</f>
        <v>5</v>
      </c>
      <c r="D402" cm="1">
        <f t="array" ref="D402">SUMPRODUCT((task_table_13_4_26!$C$2:$C$596=$D$1)*(A402&gt;task_table_13_4_26!$J$2:$J$596)*(A402&lt;task_table_13_4_26!$K$2:$K$596))</f>
        <v>0</v>
      </c>
      <c r="E402" cm="1">
        <f t="array" ref="E402">SUMPRODUCT((task_table_13_4_26!$C$2:$C$596=$E$1)*(A402&gt;task_table_13_4_26!$J$2:$J$596)*(A402&lt;task_table_13_4_26!$K$2:$K$596))</f>
        <v>0</v>
      </c>
    </row>
    <row r="403" spans="1:5">
      <c r="A403" s="5">
        <v>46271</v>
      </c>
      <c r="B403" cm="1">
        <f t="array" ref="B403">SUMPRODUCT((task_table_13_4_26!$C$2:$C$596=$B$1)*(A403&gt;task_table_13_4_26!$J$2:$J$596)*(A403&lt;task_table_13_4_26!$K$2:$K$596))</f>
        <v>9</v>
      </c>
      <c r="C403" cm="1">
        <f t="array" ref="C403">SUMPRODUCT((task_table_13_4_26!$C$2:$C$596=$C$1)*(A403&gt;task_table_13_4_26!$J$2:$J$596)*(A403&lt;task_table_13_4_26!$K$2:$K$596))</f>
        <v>5</v>
      </c>
      <c r="D403" cm="1">
        <f t="array" ref="D403">SUMPRODUCT((task_table_13_4_26!$C$2:$C$596=$D$1)*(A403&gt;task_table_13_4_26!$J$2:$J$596)*(A403&lt;task_table_13_4_26!$K$2:$K$596))</f>
        <v>0</v>
      </c>
      <c r="E403" cm="1">
        <f t="array" ref="E403">SUMPRODUCT((task_table_13_4_26!$C$2:$C$596=$E$1)*(A403&gt;task_table_13_4_26!$J$2:$J$596)*(A403&lt;task_table_13_4_26!$K$2:$K$596))</f>
        <v>0</v>
      </c>
    </row>
    <row r="404" spans="1:5">
      <c r="A404" s="5">
        <v>46272</v>
      </c>
      <c r="B404" cm="1">
        <f t="array" ref="B404">SUMPRODUCT((task_table_13_4_26!$C$2:$C$596=$B$1)*(A404&gt;task_table_13_4_26!$J$2:$J$596)*(A404&lt;task_table_13_4_26!$K$2:$K$596))</f>
        <v>9</v>
      </c>
      <c r="C404" cm="1">
        <f t="array" ref="C404">SUMPRODUCT((task_table_13_4_26!$C$2:$C$596=$C$1)*(A404&gt;task_table_13_4_26!$J$2:$J$596)*(A404&lt;task_table_13_4_26!$K$2:$K$596))</f>
        <v>5</v>
      </c>
      <c r="D404" cm="1">
        <f t="array" ref="D404">SUMPRODUCT((task_table_13_4_26!$C$2:$C$596=$D$1)*(A404&gt;task_table_13_4_26!$J$2:$J$596)*(A404&lt;task_table_13_4_26!$K$2:$K$596))</f>
        <v>0</v>
      </c>
      <c r="E404" cm="1">
        <f t="array" ref="E404">SUMPRODUCT((task_table_13_4_26!$C$2:$C$596=$E$1)*(A404&gt;task_table_13_4_26!$J$2:$J$596)*(A404&lt;task_table_13_4_26!$K$2:$K$596))</f>
        <v>0</v>
      </c>
    </row>
    <row r="405" spans="1:5">
      <c r="A405" s="5">
        <v>46273</v>
      </c>
      <c r="B405" cm="1">
        <f t="array" ref="B405">SUMPRODUCT((task_table_13_4_26!$C$2:$C$596=$B$1)*(A405&gt;task_table_13_4_26!$J$2:$J$596)*(A405&lt;task_table_13_4_26!$K$2:$K$596))</f>
        <v>9</v>
      </c>
      <c r="C405" cm="1">
        <f t="array" ref="C405">SUMPRODUCT((task_table_13_4_26!$C$2:$C$596=$C$1)*(A405&gt;task_table_13_4_26!$J$2:$J$596)*(A405&lt;task_table_13_4_26!$K$2:$K$596))</f>
        <v>4</v>
      </c>
      <c r="D405" cm="1">
        <f t="array" ref="D405">SUMPRODUCT((task_table_13_4_26!$C$2:$C$596=$D$1)*(A405&gt;task_table_13_4_26!$J$2:$J$596)*(A405&lt;task_table_13_4_26!$K$2:$K$596))</f>
        <v>0</v>
      </c>
      <c r="E405" cm="1">
        <f t="array" ref="E405">SUMPRODUCT((task_table_13_4_26!$C$2:$C$596=$E$1)*(A405&gt;task_table_13_4_26!$J$2:$J$596)*(A405&lt;task_table_13_4_26!$K$2:$K$596))</f>
        <v>0</v>
      </c>
    </row>
    <row r="406" spans="1:5">
      <c r="A406" s="5">
        <v>46274</v>
      </c>
      <c r="B406" cm="1">
        <f t="array" ref="B406">SUMPRODUCT((task_table_13_4_26!$C$2:$C$596=$B$1)*(A406&gt;task_table_13_4_26!$J$2:$J$596)*(A406&lt;task_table_13_4_26!$K$2:$K$596))</f>
        <v>9</v>
      </c>
      <c r="C406" cm="1">
        <f t="array" ref="C406">SUMPRODUCT((task_table_13_4_26!$C$2:$C$596=$C$1)*(A406&gt;task_table_13_4_26!$J$2:$J$596)*(A406&lt;task_table_13_4_26!$K$2:$K$596))</f>
        <v>4</v>
      </c>
      <c r="D406" cm="1">
        <f t="array" ref="D406">SUMPRODUCT((task_table_13_4_26!$C$2:$C$596=$D$1)*(A406&gt;task_table_13_4_26!$J$2:$J$596)*(A406&lt;task_table_13_4_26!$K$2:$K$596))</f>
        <v>0</v>
      </c>
      <c r="E406" cm="1">
        <f t="array" ref="E406">SUMPRODUCT((task_table_13_4_26!$C$2:$C$596=$E$1)*(A406&gt;task_table_13_4_26!$J$2:$J$596)*(A406&lt;task_table_13_4_26!$K$2:$K$596))</f>
        <v>0</v>
      </c>
    </row>
    <row r="407" spans="1:5">
      <c r="A407" s="5">
        <v>46275</v>
      </c>
      <c r="B407" cm="1">
        <f t="array" ref="B407">SUMPRODUCT((task_table_13_4_26!$C$2:$C$596=$B$1)*(A407&gt;task_table_13_4_26!$J$2:$J$596)*(A407&lt;task_table_13_4_26!$K$2:$K$596))</f>
        <v>9</v>
      </c>
      <c r="C407" cm="1">
        <f t="array" ref="C407">SUMPRODUCT((task_table_13_4_26!$C$2:$C$596=$C$1)*(A407&gt;task_table_13_4_26!$J$2:$J$596)*(A407&lt;task_table_13_4_26!$K$2:$K$596))</f>
        <v>4</v>
      </c>
      <c r="D407" cm="1">
        <f t="array" ref="D407">SUMPRODUCT((task_table_13_4_26!$C$2:$C$596=$D$1)*(A407&gt;task_table_13_4_26!$J$2:$J$596)*(A407&lt;task_table_13_4_26!$K$2:$K$596))</f>
        <v>0</v>
      </c>
      <c r="E407" cm="1">
        <f t="array" ref="E407">SUMPRODUCT((task_table_13_4_26!$C$2:$C$596=$E$1)*(A407&gt;task_table_13_4_26!$J$2:$J$596)*(A407&lt;task_table_13_4_26!$K$2:$K$596))</f>
        <v>0</v>
      </c>
    </row>
    <row r="408" spans="1:5">
      <c r="A408" s="5">
        <v>46276</v>
      </c>
      <c r="B408" cm="1">
        <f t="array" ref="B408">SUMPRODUCT((task_table_13_4_26!$C$2:$C$596=$B$1)*(A408&gt;task_table_13_4_26!$J$2:$J$596)*(A408&lt;task_table_13_4_26!$K$2:$K$596))</f>
        <v>9</v>
      </c>
      <c r="C408" cm="1">
        <f t="array" ref="C408">SUMPRODUCT((task_table_13_4_26!$C$2:$C$596=$C$1)*(A408&gt;task_table_13_4_26!$J$2:$J$596)*(A408&lt;task_table_13_4_26!$K$2:$K$596))</f>
        <v>4</v>
      </c>
      <c r="D408" cm="1">
        <f t="array" ref="D408">SUMPRODUCT((task_table_13_4_26!$C$2:$C$596=$D$1)*(A408&gt;task_table_13_4_26!$J$2:$J$596)*(A408&lt;task_table_13_4_26!$K$2:$K$596))</f>
        <v>0</v>
      </c>
      <c r="E408" cm="1">
        <f t="array" ref="E408">SUMPRODUCT((task_table_13_4_26!$C$2:$C$596=$E$1)*(A408&gt;task_table_13_4_26!$J$2:$J$596)*(A408&lt;task_table_13_4_26!$K$2:$K$596))</f>
        <v>0</v>
      </c>
    </row>
    <row r="409" spans="1:5">
      <c r="A409" s="5">
        <v>46277</v>
      </c>
      <c r="B409" cm="1">
        <f t="array" ref="B409">SUMPRODUCT((task_table_13_4_26!$C$2:$C$596=$B$1)*(A409&gt;task_table_13_4_26!$J$2:$J$596)*(A409&lt;task_table_13_4_26!$K$2:$K$596))</f>
        <v>9</v>
      </c>
      <c r="C409" cm="1">
        <f t="array" ref="C409">SUMPRODUCT((task_table_13_4_26!$C$2:$C$596=$C$1)*(A409&gt;task_table_13_4_26!$J$2:$J$596)*(A409&lt;task_table_13_4_26!$K$2:$K$596))</f>
        <v>4</v>
      </c>
      <c r="D409" cm="1">
        <f t="array" ref="D409">SUMPRODUCT((task_table_13_4_26!$C$2:$C$596=$D$1)*(A409&gt;task_table_13_4_26!$J$2:$J$596)*(A409&lt;task_table_13_4_26!$K$2:$K$596))</f>
        <v>0</v>
      </c>
      <c r="E409" cm="1">
        <f t="array" ref="E409">SUMPRODUCT((task_table_13_4_26!$C$2:$C$596=$E$1)*(A409&gt;task_table_13_4_26!$J$2:$J$596)*(A409&lt;task_table_13_4_26!$K$2:$K$596))</f>
        <v>0</v>
      </c>
    </row>
    <row r="410" spans="1:5">
      <c r="A410" s="5">
        <v>46278</v>
      </c>
      <c r="B410" cm="1">
        <f t="array" ref="B410">SUMPRODUCT((task_table_13_4_26!$C$2:$C$596=$B$1)*(A410&gt;task_table_13_4_26!$J$2:$J$596)*(A410&lt;task_table_13_4_26!$K$2:$K$596))</f>
        <v>9</v>
      </c>
      <c r="C410" cm="1">
        <f t="array" ref="C410">SUMPRODUCT((task_table_13_4_26!$C$2:$C$596=$C$1)*(A410&gt;task_table_13_4_26!$J$2:$J$596)*(A410&lt;task_table_13_4_26!$K$2:$K$596))</f>
        <v>4</v>
      </c>
      <c r="D410" cm="1">
        <f t="array" ref="D410">SUMPRODUCT((task_table_13_4_26!$C$2:$C$596=$D$1)*(A410&gt;task_table_13_4_26!$J$2:$J$596)*(A410&lt;task_table_13_4_26!$K$2:$K$596))</f>
        <v>0</v>
      </c>
      <c r="E410" cm="1">
        <f t="array" ref="E410">SUMPRODUCT((task_table_13_4_26!$C$2:$C$596=$E$1)*(A410&gt;task_table_13_4_26!$J$2:$J$596)*(A410&lt;task_table_13_4_26!$K$2:$K$596))</f>
        <v>0</v>
      </c>
    </row>
    <row r="411" spans="1:5">
      <c r="A411" s="5">
        <v>46279</v>
      </c>
      <c r="B411" cm="1">
        <f t="array" ref="B411">SUMPRODUCT((task_table_13_4_26!$C$2:$C$596=$B$1)*(A411&gt;task_table_13_4_26!$J$2:$J$596)*(A411&lt;task_table_13_4_26!$K$2:$K$596))</f>
        <v>9</v>
      </c>
      <c r="C411" cm="1">
        <f t="array" ref="C411">SUMPRODUCT((task_table_13_4_26!$C$2:$C$596=$C$1)*(A411&gt;task_table_13_4_26!$J$2:$J$596)*(A411&lt;task_table_13_4_26!$K$2:$K$596))</f>
        <v>4</v>
      </c>
      <c r="D411" cm="1">
        <f t="array" ref="D411">SUMPRODUCT((task_table_13_4_26!$C$2:$C$596=$D$1)*(A411&gt;task_table_13_4_26!$J$2:$J$596)*(A411&lt;task_table_13_4_26!$K$2:$K$596))</f>
        <v>0</v>
      </c>
      <c r="E411" cm="1">
        <f t="array" ref="E411">SUMPRODUCT((task_table_13_4_26!$C$2:$C$596=$E$1)*(A411&gt;task_table_13_4_26!$J$2:$J$596)*(A411&lt;task_table_13_4_26!$K$2:$K$596))</f>
        <v>0</v>
      </c>
    </row>
    <row r="412" spans="1:5">
      <c r="A412" s="5">
        <v>46280</v>
      </c>
      <c r="B412" cm="1">
        <f t="array" ref="B412">SUMPRODUCT((task_table_13_4_26!$C$2:$C$596=$B$1)*(A412&gt;task_table_13_4_26!$J$2:$J$596)*(A412&lt;task_table_13_4_26!$K$2:$K$596))</f>
        <v>9</v>
      </c>
      <c r="C412" cm="1">
        <f t="array" ref="C412">SUMPRODUCT((task_table_13_4_26!$C$2:$C$596=$C$1)*(A412&gt;task_table_13_4_26!$J$2:$J$596)*(A412&lt;task_table_13_4_26!$K$2:$K$596))</f>
        <v>4</v>
      </c>
      <c r="D412" cm="1">
        <f t="array" ref="D412">SUMPRODUCT((task_table_13_4_26!$C$2:$C$596=$D$1)*(A412&gt;task_table_13_4_26!$J$2:$J$596)*(A412&lt;task_table_13_4_26!$K$2:$K$596))</f>
        <v>0</v>
      </c>
      <c r="E412" cm="1">
        <f t="array" ref="E412">SUMPRODUCT((task_table_13_4_26!$C$2:$C$596=$E$1)*(A412&gt;task_table_13_4_26!$J$2:$J$596)*(A412&lt;task_table_13_4_26!$K$2:$K$596))</f>
        <v>0</v>
      </c>
    </row>
    <row r="413" spans="1:5">
      <c r="A413" s="5">
        <v>46281</v>
      </c>
      <c r="B413" cm="1">
        <f t="array" ref="B413">SUMPRODUCT((task_table_13_4_26!$C$2:$C$596=$B$1)*(A413&gt;task_table_13_4_26!$J$2:$J$596)*(A413&lt;task_table_13_4_26!$K$2:$K$596))</f>
        <v>9</v>
      </c>
      <c r="C413" cm="1">
        <f t="array" ref="C413">SUMPRODUCT((task_table_13_4_26!$C$2:$C$596=$C$1)*(A413&gt;task_table_13_4_26!$J$2:$J$596)*(A413&lt;task_table_13_4_26!$K$2:$K$596))</f>
        <v>4</v>
      </c>
      <c r="D413" cm="1">
        <f t="array" ref="D413">SUMPRODUCT((task_table_13_4_26!$C$2:$C$596=$D$1)*(A413&gt;task_table_13_4_26!$J$2:$J$596)*(A413&lt;task_table_13_4_26!$K$2:$K$596))</f>
        <v>0</v>
      </c>
      <c r="E413" cm="1">
        <f t="array" ref="E413">SUMPRODUCT((task_table_13_4_26!$C$2:$C$596=$E$1)*(A413&gt;task_table_13_4_26!$J$2:$J$596)*(A413&lt;task_table_13_4_26!$K$2:$K$596))</f>
        <v>0</v>
      </c>
    </row>
    <row r="414" spans="1:5">
      <c r="A414" s="5">
        <v>46282</v>
      </c>
      <c r="B414" cm="1">
        <f t="array" ref="B414">SUMPRODUCT((task_table_13_4_26!$C$2:$C$596=$B$1)*(A414&gt;task_table_13_4_26!$J$2:$J$596)*(A414&lt;task_table_13_4_26!$K$2:$K$596))</f>
        <v>9</v>
      </c>
      <c r="C414" cm="1">
        <f t="array" ref="C414">SUMPRODUCT((task_table_13_4_26!$C$2:$C$596=$C$1)*(A414&gt;task_table_13_4_26!$J$2:$J$596)*(A414&lt;task_table_13_4_26!$K$2:$K$596))</f>
        <v>4</v>
      </c>
      <c r="D414" cm="1">
        <f t="array" ref="D414">SUMPRODUCT((task_table_13_4_26!$C$2:$C$596=$D$1)*(A414&gt;task_table_13_4_26!$J$2:$J$596)*(A414&lt;task_table_13_4_26!$K$2:$K$596))</f>
        <v>0</v>
      </c>
      <c r="E414" cm="1">
        <f t="array" ref="E414">SUMPRODUCT((task_table_13_4_26!$C$2:$C$596=$E$1)*(A414&gt;task_table_13_4_26!$J$2:$J$596)*(A414&lt;task_table_13_4_26!$K$2:$K$596))</f>
        <v>0</v>
      </c>
    </row>
    <row r="415" spans="1:5">
      <c r="A415" s="5">
        <v>46283</v>
      </c>
      <c r="B415" cm="1">
        <f t="array" ref="B415">SUMPRODUCT((task_table_13_4_26!$C$2:$C$596=$B$1)*(A415&gt;task_table_13_4_26!$J$2:$J$596)*(A415&lt;task_table_13_4_26!$K$2:$K$596))</f>
        <v>9</v>
      </c>
      <c r="C415" cm="1">
        <f t="array" ref="C415">SUMPRODUCT((task_table_13_4_26!$C$2:$C$596=$C$1)*(A415&gt;task_table_13_4_26!$J$2:$J$596)*(A415&lt;task_table_13_4_26!$K$2:$K$596))</f>
        <v>4</v>
      </c>
      <c r="D415" cm="1">
        <f t="array" ref="D415">SUMPRODUCT((task_table_13_4_26!$C$2:$C$596=$D$1)*(A415&gt;task_table_13_4_26!$J$2:$J$596)*(A415&lt;task_table_13_4_26!$K$2:$K$596))</f>
        <v>0</v>
      </c>
      <c r="E415" cm="1">
        <f t="array" ref="E415">SUMPRODUCT((task_table_13_4_26!$C$2:$C$596=$E$1)*(A415&gt;task_table_13_4_26!$J$2:$J$596)*(A415&lt;task_table_13_4_26!$K$2:$K$596))</f>
        <v>0</v>
      </c>
    </row>
    <row r="416" spans="1:5">
      <c r="A416" s="5">
        <v>46284</v>
      </c>
      <c r="B416" cm="1">
        <f t="array" ref="B416">SUMPRODUCT((task_table_13_4_26!$C$2:$C$596=$B$1)*(A416&gt;task_table_13_4_26!$J$2:$J$596)*(A416&lt;task_table_13_4_26!$K$2:$K$596))</f>
        <v>9</v>
      </c>
      <c r="C416" cm="1">
        <f t="array" ref="C416">SUMPRODUCT((task_table_13_4_26!$C$2:$C$596=$C$1)*(A416&gt;task_table_13_4_26!$J$2:$J$596)*(A416&lt;task_table_13_4_26!$K$2:$K$596))</f>
        <v>4</v>
      </c>
      <c r="D416" cm="1">
        <f t="array" ref="D416">SUMPRODUCT((task_table_13_4_26!$C$2:$C$596=$D$1)*(A416&gt;task_table_13_4_26!$J$2:$J$596)*(A416&lt;task_table_13_4_26!$K$2:$K$596))</f>
        <v>0</v>
      </c>
      <c r="E416" cm="1">
        <f t="array" ref="E416">SUMPRODUCT((task_table_13_4_26!$C$2:$C$596=$E$1)*(A416&gt;task_table_13_4_26!$J$2:$J$596)*(A416&lt;task_table_13_4_26!$K$2:$K$596))</f>
        <v>0</v>
      </c>
    </row>
    <row r="417" spans="1:5">
      <c r="A417" s="5">
        <v>46285</v>
      </c>
      <c r="B417" cm="1">
        <f t="array" ref="B417">SUMPRODUCT((task_table_13_4_26!$C$2:$C$596=$B$1)*(A417&gt;task_table_13_4_26!$J$2:$J$596)*(A417&lt;task_table_13_4_26!$K$2:$K$596))</f>
        <v>9</v>
      </c>
      <c r="C417" cm="1">
        <f t="array" ref="C417">SUMPRODUCT((task_table_13_4_26!$C$2:$C$596=$C$1)*(A417&gt;task_table_13_4_26!$J$2:$J$596)*(A417&lt;task_table_13_4_26!$K$2:$K$596))</f>
        <v>4</v>
      </c>
      <c r="D417" cm="1">
        <f t="array" ref="D417">SUMPRODUCT((task_table_13_4_26!$C$2:$C$596=$D$1)*(A417&gt;task_table_13_4_26!$J$2:$J$596)*(A417&lt;task_table_13_4_26!$K$2:$K$596))</f>
        <v>0</v>
      </c>
      <c r="E417" cm="1">
        <f t="array" ref="E417">SUMPRODUCT((task_table_13_4_26!$C$2:$C$596=$E$1)*(A417&gt;task_table_13_4_26!$J$2:$J$596)*(A417&lt;task_table_13_4_26!$K$2:$K$596))</f>
        <v>0</v>
      </c>
    </row>
    <row r="418" spans="1:5">
      <c r="A418" s="5">
        <v>46286</v>
      </c>
      <c r="B418" cm="1">
        <f t="array" ref="B418">SUMPRODUCT((task_table_13_4_26!$C$2:$C$596=$B$1)*(A418&gt;task_table_13_4_26!$J$2:$J$596)*(A418&lt;task_table_13_4_26!$K$2:$K$596))</f>
        <v>9</v>
      </c>
      <c r="C418" cm="1">
        <f t="array" ref="C418">SUMPRODUCT((task_table_13_4_26!$C$2:$C$596=$C$1)*(A418&gt;task_table_13_4_26!$J$2:$J$596)*(A418&lt;task_table_13_4_26!$K$2:$K$596))</f>
        <v>4</v>
      </c>
      <c r="D418" cm="1">
        <f t="array" ref="D418">SUMPRODUCT((task_table_13_4_26!$C$2:$C$596=$D$1)*(A418&gt;task_table_13_4_26!$J$2:$J$596)*(A418&lt;task_table_13_4_26!$K$2:$K$596))</f>
        <v>0</v>
      </c>
      <c r="E418" cm="1">
        <f t="array" ref="E418">SUMPRODUCT((task_table_13_4_26!$C$2:$C$596=$E$1)*(A418&gt;task_table_13_4_26!$J$2:$J$596)*(A418&lt;task_table_13_4_26!$K$2:$K$596))</f>
        <v>0</v>
      </c>
    </row>
    <row r="419" spans="1:5">
      <c r="A419" s="5">
        <v>46287</v>
      </c>
      <c r="B419" cm="1">
        <f t="array" ref="B419">SUMPRODUCT((task_table_13_4_26!$C$2:$C$596=$B$1)*(A419&gt;task_table_13_4_26!$J$2:$J$596)*(A419&lt;task_table_13_4_26!$K$2:$K$596))</f>
        <v>9</v>
      </c>
      <c r="C419" cm="1">
        <f t="array" ref="C419">SUMPRODUCT((task_table_13_4_26!$C$2:$C$596=$C$1)*(A419&gt;task_table_13_4_26!$J$2:$J$596)*(A419&lt;task_table_13_4_26!$K$2:$K$596))</f>
        <v>4</v>
      </c>
      <c r="D419" cm="1">
        <f t="array" ref="D419">SUMPRODUCT((task_table_13_4_26!$C$2:$C$596=$D$1)*(A419&gt;task_table_13_4_26!$J$2:$J$596)*(A419&lt;task_table_13_4_26!$K$2:$K$596))</f>
        <v>0</v>
      </c>
      <c r="E419" cm="1">
        <f t="array" ref="E419">SUMPRODUCT((task_table_13_4_26!$C$2:$C$596=$E$1)*(A419&gt;task_table_13_4_26!$J$2:$J$596)*(A419&lt;task_table_13_4_26!$K$2:$K$596))</f>
        <v>0</v>
      </c>
    </row>
    <row r="420" spans="1:5">
      <c r="A420" s="5">
        <v>46288</v>
      </c>
      <c r="B420" cm="1">
        <f t="array" ref="B420">SUMPRODUCT((task_table_13_4_26!$C$2:$C$596=$B$1)*(A420&gt;task_table_13_4_26!$J$2:$J$596)*(A420&lt;task_table_13_4_26!$K$2:$K$596))</f>
        <v>9</v>
      </c>
      <c r="C420" cm="1">
        <f t="array" ref="C420">SUMPRODUCT((task_table_13_4_26!$C$2:$C$596=$C$1)*(A420&gt;task_table_13_4_26!$J$2:$J$596)*(A420&lt;task_table_13_4_26!$K$2:$K$596))</f>
        <v>4</v>
      </c>
      <c r="D420" cm="1">
        <f t="array" ref="D420">SUMPRODUCT((task_table_13_4_26!$C$2:$C$596=$D$1)*(A420&gt;task_table_13_4_26!$J$2:$J$596)*(A420&lt;task_table_13_4_26!$K$2:$K$596))</f>
        <v>0</v>
      </c>
      <c r="E420" cm="1">
        <f t="array" ref="E420">SUMPRODUCT((task_table_13_4_26!$C$2:$C$596=$E$1)*(A420&gt;task_table_13_4_26!$J$2:$J$596)*(A420&lt;task_table_13_4_26!$K$2:$K$596))</f>
        <v>0</v>
      </c>
    </row>
    <row r="421" spans="1:5">
      <c r="A421" s="5">
        <v>46289</v>
      </c>
      <c r="B421" cm="1">
        <f t="array" ref="B421">SUMPRODUCT((task_table_13_4_26!$C$2:$C$596=$B$1)*(A421&gt;task_table_13_4_26!$J$2:$J$596)*(A421&lt;task_table_13_4_26!$K$2:$K$596))</f>
        <v>9</v>
      </c>
      <c r="C421" cm="1">
        <f t="array" ref="C421">SUMPRODUCT((task_table_13_4_26!$C$2:$C$596=$C$1)*(A421&gt;task_table_13_4_26!$J$2:$J$596)*(A421&lt;task_table_13_4_26!$K$2:$K$596))</f>
        <v>4</v>
      </c>
      <c r="D421" cm="1">
        <f t="array" ref="D421">SUMPRODUCT((task_table_13_4_26!$C$2:$C$596=$D$1)*(A421&gt;task_table_13_4_26!$J$2:$J$596)*(A421&lt;task_table_13_4_26!$K$2:$K$596))</f>
        <v>0</v>
      </c>
      <c r="E421" cm="1">
        <f t="array" ref="E421">SUMPRODUCT((task_table_13_4_26!$C$2:$C$596=$E$1)*(A421&gt;task_table_13_4_26!$J$2:$J$596)*(A421&lt;task_table_13_4_26!$K$2:$K$596))</f>
        <v>0</v>
      </c>
    </row>
    <row r="422" spans="1:5">
      <c r="A422" s="5">
        <v>46290</v>
      </c>
      <c r="B422" cm="1">
        <f t="array" ref="B422">SUMPRODUCT((task_table_13_4_26!$C$2:$C$596=$B$1)*(A422&gt;task_table_13_4_26!$J$2:$J$596)*(A422&lt;task_table_13_4_26!$K$2:$K$596))</f>
        <v>9</v>
      </c>
      <c r="C422" cm="1">
        <f t="array" ref="C422">SUMPRODUCT((task_table_13_4_26!$C$2:$C$596=$C$1)*(A422&gt;task_table_13_4_26!$J$2:$J$596)*(A422&lt;task_table_13_4_26!$K$2:$K$596))</f>
        <v>4</v>
      </c>
      <c r="D422" cm="1">
        <f t="array" ref="D422">SUMPRODUCT((task_table_13_4_26!$C$2:$C$596=$D$1)*(A422&gt;task_table_13_4_26!$J$2:$J$596)*(A422&lt;task_table_13_4_26!$K$2:$K$596))</f>
        <v>0</v>
      </c>
      <c r="E422" cm="1">
        <f t="array" ref="E422">SUMPRODUCT((task_table_13_4_26!$C$2:$C$596=$E$1)*(A422&gt;task_table_13_4_26!$J$2:$J$596)*(A422&lt;task_table_13_4_26!$K$2:$K$596))</f>
        <v>0</v>
      </c>
    </row>
    <row r="423" spans="1:5">
      <c r="A423" s="5">
        <v>46291</v>
      </c>
      <c r="B423" cm="1">
        <f t="array" ref="B423">SUMPRODUCT((task_table_13_4_26!$C$2:$C$596=$B$1)*(A423&gt;task_table_13_4_26!$J$2:$J$596)*(A423&lt;task_table_13_4_26!$K$2:$K$596))</f>
        <v>9</v>
      </c>
      <c r="C423" cm="1">
        <f t="array" ref="C423">SUMPRODUCT((task_table_13_4_26!$C$2:$C$596=$C$1)*(A423&gt;task_table_13_4_26!$J$2:$J$596)*(A423&lt;task_table_13_4_26!$K$2:$K$596))</f>
        <v>4</v>
      </c>
      <c r="D423" cm="1">
        <f t="array" ref="D423">SUMPRODUCT((task_table_13_4_26!$C$2:$C$596=$D$1)*(A423&gt;task_table_13_4_26!$J$2:$J$596)*(A423&lt;task_table_13_4_26!$K$2:$K$596))</f>
        <v>0</v>
      </c>
      <c r="E423" cm="1">
        <f t="array" ref="E423">SUMPRODUCT((task_table_13_4_26!$C$2:$C$596=$E$1)*(A423&gt;task_table_13_4_26!$J$2:$J$596)*(A423&lt;task_table_13_4_26!$K$2:$K$596))</f>
        <v>0</v>
      </c>
    </row>
    <row r="424" spans="1:5">
      <c r="A424" s="5">
        <v>46292</v>
      </c>
      <c r="B424" cm="1">
        <f t="array" ref="B424">SUMPRODUCT((task_table_13_4_26!$C$2:$C$596=$B$1)*(A424&gt;task_table_13_4_26!$J$2:$J$596)*(A424&lt;task_table_13_4_26!$K$2:$K$596))</f>
        <v>9</v>
      </c>
      <c r="C424" cm="1">
        <f t="array" ref="C424">SUMPRODUCT((task_table_13_4_26!$C$2:$C$596=$C$1)*(A424&gt;task_table_13_4_26!$J$2:$J$596)*(A424&lt;task_table_13_4_26!$K$2:$K$596))</f>
        <v>4</v>
      </c>
      <c r="D424" cm="1">
        <f t="array" ref="D424">SUMPRODUCT((task_table_13_4_26!$C$2:$C$596=$D$1)*(A424&gt;task_table_13_4_26!$J$2:$J$596)*(A424&lt;task_table_13_4_26!$K$2:$K$596))</f>
        <v>0</v>
      </c>
      <c r="E424" cm="1">
        <f t="array" ref="E424">SUMPRODUCT((task_table_13_4_26!$C$2:$C$596=$E$1)*(A424&gt;task_table_13_4_26!$J$2:$J$596)*(A424&lt;task_table_13_4_26!$K$2:$K$596))</f>
        <v>0</v>
      </c>
    </row>
    <row r="425" spans="1:5">
      <c r="A425" s="5">
        <v>46293</v>
      </c>
      <c r="B425" cm="1">
        <f t="array" ref="B425">SUMPRODUCT((task_table_13_4_26!$C$2:$C$596=$B$1)*(A425&gt;task_table_13_4_26!$J$2:$J$596)*(A425&lt;task_table_13_4_26!$K$2:$K$596))</f>
        <v>9</v>
      </c>
      <c r="C425" cm="1">
        <f t="array" ref="C425">SUMPRODUCT((task_table_13_4_26!$C$2:$C$596=$C$1)*(A425&gt;task_table_13_4_26!$J$2:$J$596)*(A425&lt;task_table_13_4_26!$K$2:$K$596))</f>
        <v>4</v>
      </c>
      <c r="D425" cm="1">
        <f t="array" ref="D425">SUMPRODUCT((task_table_13_4_26!$C$2:$C$596=$D$1)*(A425&gt;task_table_13_4_26!$J$2:$J$596)*(A425&lt;task_table_13_4_26!$K$2:$K$596))</f>
        <v>0</v>
      </c>
      <c r="E425" cm="1">
        <f t="array" ref="E425">SUMPRODUCT((task_table_13_4_26!$C$2:$C$596=$E$1)*(A425&gt;task_table_13_4_26!$J$2:$J$596)*(A425&lt;task_table_13_4_26!$K$2:$K$596))</f>
        <v>0</v>
      </c>
    </row>
    <row r="426" spans="1:5">
      <c r="A426" s="5">
        <v>46294</v>
      </c>
      <c r="B426" cm="1">
        <f t="array" ref="B426">SUMPRODUCT((task_table_13_4_26!$C$2:$C$596=$B$1)*(A426&gt;task_table_13_4_26!$J$2:$J$596)*(A426&lt;task_table_13_4_26!$K$2:$K$596))</f>
        <v>9</v>
      </c>
      <c r="C426" cm="1">
        <f t="array" ref="C426">SUMPRODUCT((task_table_13_4_26!$C$2:$C$596=$C$1)*(A426&gt;task_table_13_4_26!$J$2:$J$596)*(A426&lt;task_table_13_4_26!$K$2:$K$596))</f>
        <v>4</v>
      </c>
      <c r="D426" cm="1">
        <f t="array" ref="D426">SUMPRODUCT((task_table_13_4_26!$C$2:$C$596=$D$1)*(A426&gt;task_table_13_4_26!$J$2:$J$596)*(A426&lt;task_table_13_4_26!$K$2:$K$596))</f>
        <v>0</v>
      </c>
      <c r="E426" cm="1">
        <f t="array" ref="E426">SUMPRODUCT((task_table_13_4_26!$C$2:$C$596=$E$1)*(A426&gt;task_table_13_4_26!$J$2:$J$596)*(A426&lt;task_table_13_4_26!$K$2:$K$596))</f>
        <v>0</v>
      </c>
    </row>
    <row r="427" spans="1:5">
      <c r="A427" s="5">
        <v>46295</v>
      </c>
      <c r="B427" cm="1">
        <f t="array" ref="B427">SUMPRODUCT((task_table_13_4_26!$C$2:$C$596=$B$1)*(A427&gt;task_table_13_4_26!$J$2:$J$596)*(A427&lt;task_table_13_4_26!$K$2:$K$596))</f>
        <v>2</v>
      </c>
      <c r="C427" cm="1">
        <f t="array" ref="C427">SUMPRODUCT((task_table_13_4_26!$C$2:$C$596=$C$1)*(A427&gt;task_table_13_4_26!$J$2:$J$596)*(A427&lt;task_table_13_4_26!$K$2:$K$596))</f>
        <v>3</v>
      </c>
      <c r="D427" cm="1">
        <f t="array" ref="D427">SUMPRODUCT((task_table_13_4_26!$C$2:$C$596=$D$1)*(A427&gt;task_table_13_4_26!$J$2:$J$596)*(A427&lt;task_table_13_4_26!$K$2:$K$596))</f>
        <v>0</v>
      </c>
      <c r="E427" cm="1">
        <f t="array" ref="E427">SUMPRODUCT((task_table_13_4_26!$C$2:$C$596=$E$1)*(A427&gt;task_table_13_4_26!$J$2:$J$596)*(A427&lt;task_table_13_4_26!$K$2:$K$596))</f>
        <v>0</v>
      </c>
    </row>
    <row r="428" spans="1:5">
      <c r="A428" s="5">
        <v>46296</v>
      </c>
      <c r="B428" cm="1">
        <f t="array" ref="B428">SUMPRODUCT((task_table_13_4_26!$C$2:$C$596=$B$1)*(A428&gt;task_table_13_4_26!$J$2:$J$596)*(A428&lt;task_table_13_4_26!$K$2:$K$596))</f>
        <v>2</v>
      </c>
      <c r="C428" cm="1">
        <f t="array" ref="C428">SUMPRODUCT((task_table_13_4_26!$C$2:$C$596=$C$1)*(A428&gt;task_table_13_4_26!$J$2:$J$596)*(A428&lt;task_table_13_4_26!$K$2:$K$596))</f>
        <v>3</v>
      </c>
      <c r="D428" cm="1">
        <f t="array" ref="D428">SUMPRODUCT((task_table_13_4_26!$C$2:$C$596=$D$1)*(A428&gt;task_table_13_4_26!$J$2:$J$596)*(A428&lt;task_table_13_4_26!$K$2:$K$596))</f>
        <v>0</v>
      </c>
      <c r="E428" cm="1">
        <f t="array" ref="E428">SUMPRODUCT((task_table_13_4_26!$C$2:$C$596=$E$1)*(A428&gt;task_table_13_4_26!$J$2:$J$596)*(A428&lt;task_table_13_4_26!$K$2:$K$596))</f>
        <v>0</v>
      </c>
    </row>
    <row r="429" spans="1:5">
      <c r="A429" s="5">
        <v>46297</v>
      </c>
      <c r="B429" cm="1">
        <f t="array" ref="B429">SUMPRODUCT((task_table_13_4_26!$C$2:$C$596=$B$1)*(A429&gt;task_table_13_4_26!$J$2:$J$596)*(A429&lt;task_table_13_4_26!$K$2:$K$596))</f>
        <v>2</v>
      </c>
      <c r="C429" cm="1">
        <f t="array" ref="C429">SUMPRODUCT((task_table_13_4_26!$C$2:$C$596=$C$1)*(A429&gt;task_table_13_4_26!$J$2:$J$596)*(A429&lt;task_table_13_4_26!$K$2:$K$596))</f>
        <v>3</v>
      </c>
      <c r="D429" cm="1">
        <f t="array" ref="D429">SUMPRODUCT((task_table_13_4_26!$C$2:$C$596=$D$1)*(A429&gt;task_table_13_4_26!$J$2:$J$596)*(A429&lt;task_table_13_4_26!$K$2:$K$596))</f>
        <v>0</v>
      </c>
      <c r="E429" cm="1">
        <f t="array" ref="E429">SUMPRODUCT((task_table_13_4_26!$C$2:$C$596=$E$1)*(A429&gt;task_table_13_4_26!$J$2:$J$596)*(A429&lt;task_table_13_4_26!$K$2:$K$596))</f>
        <v>0</v>
      </c>
    </row>
    <row r="430" spans="1:5">
      <c r="A430" s="5">
        <v>46298</v>
      </c>
      <c r="B430" cm="1">
        <f t="array" ref="B430">SUMPRODUCT((task_table_13_4_26!$C$2:$C$596=$B$1)*(A430&gt;task_table_13_4_26!$J$2:$J$596)*(A430&lt;task_table_13_4_26!$K$2:$K$596))</f>
        <v>2</v>
      </c>
      <c r="C430" cm="1">
        <f t="array" ref="C430">SUMPRODUCT((task_table_13_4_26!$C$2:$C$596=$C$1)*(A430&gt;task_table_13_4_26!$J$2:$J$596)*(A430&lt;task_table_13_4_26!$K$2:$K$596))</f>
        <v>3</v>
      </c>
      <c r="D430" cm="1">
        <f t="array" ref="D430">SUMPRODUCT((task_table_13_4_26!$C$2:$C$596=$D$1)*(A430&gt;task_table_13_4_26!$J$2:$J$596)*(A430&lt;task_table_13_4_26!$K$2:$K$596))</f>
        <v>0</v>
      </c>
      <c r="E430" cm="1">
        <f t="array" ref="E430">SUMPRODUCT((task_table_13_4_26!$C$2:$C$596=$E$1)*(A430&gt;task_table_13_4_26!$J$2:$J$596)*(A430&lt;task_table_13_4_26!$K$2:$K$596))</f>
        <v>0</v>
      </c>
    </row>
    <row r="431" spans="1:5">
      <c r="A431" s="5">
        <v>46299</v>
      </c>
      <c r="B431" cm="1">
        <f t="array" ref="B431">SUMPRODUCT((task_table_13_4_26!$C$2:$C$596=$B$1)*(A431&gt;task_table_13_4_26!$J$2:$J$596)*(A431&lt;task_table_13_4_26!$K$2:$K$596))</f>
        <v>2</v>
      </c>
      <c r="C431" cm="1">
        <f t="array" ref="C431">SUMPRODUCT((task_table_13_4_26!$C$2:$C$596=$C$1)*(A431&gt;task_table_13_4_26!$J$2:$J$596)*(A431&lt;task_table_13_4_26!$K$2:$K$596))</f>
        <v>3</v>
      </c>
      <c r="D431" cm="1">
        <f t="array" ref="D431">SUMPRODUCT((task_table_13_4_26!$C$2:$C$596=$D$1)*(A431&gt;task_table_13_4_26!$J$2:$J$596)*(A431&lt;task_table_13_4_26!$K$2:$K$596))</f>
        <v>0</v>
      </c>
      <c r="E431" cm="1">
        <f t="array" ref="E431">SUMPRODUCT((task_table_13_4_26!$C$2:$C$596=$E$1)*(A431&gt;task_table_13_4_26!$J$2:$J$596)*(A431&lt;task_table_13_4_26!$K$2:$K$596))</f>
        <v>0</v>
      </c>
    </row>
    <row r="432" spans="1:5">
      <c r="A432" s="5">
        <v>46300</v>
      </c>
      <c r="B432" cm="1">
        <f t="array" ref="B432">SUMPRODUCT((task_table_13_4_26!$C$2:$C$596=$B$1)*(A432&gt;task_table_13_4_26!$J$2:$J$596)*(A432&lt;task_table_13_4_26!$K$2:$K$596))</f>
        <v>2</v>
      </c>
      <c r="C432" cm="1">
        <f t="array" ref="C432">SUMPRODUCT((task_table_13_4_26!$C$2:$C$596=$C$1)*(A432&gt;task_table_13_4_26!$J$2:$J$596)*(A432&lt;task_table_13_4_26!$K$2:$K$596))</f>
        <v>3</v>
      </c>
      <c r="D432" cm="1">
        <f t="array" ref="D432">SUMPRODUCT((task_table_13_4_26!$C$2:$C$596=$D$1)*(A432&gt;task_table_13_4_26!$J$2:$J$596)*(A432&lt;task_table_13_4_26!$K$2:$K$596))</f>
        <v>0</v>
      </c>
      <c r="E432" cm="1">
        <f t="array" ref="E432">SUMPRODUCT((task_table_13_4_26!$C$2:$C$596=$E$1)*(A432&gt;task_table_13_4_26!$J$2:$J$596)*(A432&lt;task_table_13_4_26!$K$2:$K$596))</f>
        <v>0</v>
      </c>
    </row>
    <row r="433" spans="1:5">
      <c r="A433" s="5">
        <v>46301</v>
      </c>
      <c r="B433" cm="1">
        <f t="array" ref="B433">SUMPRODUCT((task_table_13_4_26!$C$2:$C$596=$B$1)*(A433&gt;task_table_13_4_26!$J$2:$J$596)*(A433&lt;task_table_13_4_26!$K$2:$K$596))</f>
        <v>2</v>
      </c>
      <c r="C433" cm="1">
        <f t="array" ref="C433">SUMPRODUCT((task_table_13_4_26!$C$2:$C$596=$C$1)*(A433&gt;task_table_13_4_26!$J$2:$J$596)*(A433&lt;task_table_13_4_26!$K$2:$K$596))</f>
        <v>3</v>
      </c>
      <c r="D433" cm="1">
        <f t="array" ref="D433">SUMPRODUCT((task_table_13_4_26!$C$2:$C$596=$D$1)*(A433&gt;task_table_13_4_26!$J$2:$J$596)*(A433&lt;task_table_13_4_26!$K$2:$K$596))</f>
        <v>0</v>
      </c>
      <c r="E433" cm="1">
        <f t="array" ref="E433">SUMPRODUCT((task_table_13_4_26!$C$2:$C$596=$E$1)*(A433&gt;task_table_13_4_26!$J$2:$J$596)*(A433&lt;task_table_13_4_26!$K$2:$K$596))</f>
        <v>0</v>
      </c>
    </row>
    <row r="434" spans="1:5">
      <c r="A434" s="5">
        <v>46302</v>
      </c>
      <c r="B434" cm="1">
        <f t="array" ref="B434">SUMPRODUCT((task_table_13_4_26!$C$2:$C$596=$B$1)*(A434&gt;task_table_13_4_26!$J$2:$J$596)*(A434&lt;task_table_13_4_26!$K$2:$K$596))</f>
        <v>2</v>
      </c>
      <c r="C434" cm="1">
        <f t="array" ref="C434">SUMPRODUCT((task_table_13_4_26!$C$2:$C$596=$C$1)*(A434&gt;task_table_13_4_26!$J$2:$J$596)*(A434&lt;task_table_13_4_26!$K$2:$K$596))</f>
        <v>3</v>
      </c>
      <c r="D434" cm="1">
        <f t="array" ref="D434">SUMPRODUCT((task_table_13_4_26!$C$2:$C$596=$D$1)*(A434&gt;task_table_13_4_26!$J$2:$J$596)*(A434&lt;task_table_13_4_26!$K$2:$K$596))</f>
        <v>0</v>
      </c>
      <c r="E434" cm="1">
        <f t="array" ref="E434">SUMPRODUCT((task_table_13_4_26!$C$2:$C$596=$E$1)*(A434&gt;task_table_13_4_26!$J$2:$J$596)*(A434&lt;task_table_13_4_26!$K$2:$K$596))</f>
        <v>0</v>
      </c>
    </row>
    <row r="435" spans="1:5">
      <c r="A435" s="5">
        <v>46303</v>
      </c>
      <c r="B435" cm="1">
        <f t="array" ref="B435">SUMPRODUCT((task_table_13_4_26!$C$2:$C$596=$B$1)*(A435&gt;task_table_13_4_26!$J$2:$J$596)*(A435&lt;task_table_13_4_26!$K$2:$K$596))</f>
        <v>2</v>
      </c>
      <c r="C435" cm="1">
        <f t="array" ref="C435">SUMPRODUCT((task_table_13_4_26!$C$2:$C$596=$C$1)*(A435&gt;task_table_13_4_26!$J$2:$J$596)*(A435&lt;task_table_13_4_26!$K$2:$K$596))</f>
        <v>3</v>
      </c>
      <c r="D435" cm="1">
        <f t="array" ref="D435">SUMPRODUCT((task_table_13_4_26!$C$2:$C$596=$D$1)*(A435&gt;task_table_13_4_26!$J$2:$J$596)*(A435&lt;task_table_13_4_26!$K$2:$K$596))</f>
        <v>0</v>
      </c>
      <c r="E435" cm="1">
        <f t="array" ref="E435">SUMPRODUCT((task_table_13_4_26!$C$2:$C$596=$E$1)*(A435&gt;task_table_13_4_26!$J$2:$J$596)*(A435&lt;task_table_13_4_26!$K$2:$K$596))</f>
        <v>0</v>
      </c>
    </row>
    <row r="436" spans="1:5">
      <c r="A436" s="5">
        <v>46304</v>
      </c>
      <c r="B436" cm="1">
        <f t="array" ref="B436">SUMPRODUCT((task_table_13_4_26!$C$2:$C$596=$B$1)*(A436&gt;task_table_13_4_26!$J$2:$J$596)*(A436&lt;task_table_13_4_26!$K$2:$K$596))</f>
        <v>2</v>
      </c>
      <c r="C436" cm="1">
        <f t="array" ref="C436">SUMPRODUCT((task_table_13_4_26!$C$2:$C$596=$C$1)*(A436&gt;task_table_13_4_26!$J$2:$J$596)*(A436&lt;task_table_13_4_26!$K$2:$K$596))</f>
        <v>3</v>
      </c>
      <c r="D436" cm="1">
        <f t="array" ref="D436">SUMPRODUCT((task_table_13_4_26!$C$2:$C$596=$D$1)*(A436&gt;task_table_13_4_26!$J$2:$J$596)*(A436&lt;task_table_13_4_26!$K$2:$K$596))</f>
        <v>0</v>
      </c>
      <c r="E436" cm="1">
        <f t="array" ref="E436">SUMPRODUCT((task_table_13_4_26!$C$2:$C$596=$E$1)*(A436&gt;task_table_13_4_26!$J$2:$J$596)*(A436&lt;task_table_13_4_26!$K$2:$K$596))</f>
        <v>0</v>
      </c>
    </row>
    <row r="437" spans="1:5">
      <c r="A437" s="5">
        <v>46305</v>
      </c>
      <c r="B437" cm="1">
        <f t="array" ref="B437">SUMPRODUCT((task_table_13_4_26!$C$2:$C$596=$B$1)*(A437&gt;task_table_13_4_26!$J$2:$J$596)*(A437&lt;task_table_13_4_26!$K$2:$K$596))</f>
        <v>2</v>
      </c>
      <c r="C437" cm="1">
        <f t="array" ref="C437">SUMPRODUCT((task_table_13_4_26!$C$2:$C$596=$C$1)*(A437&gt;task_table_13_4_26!$J$2:$J$596)*(A437&lt;task_table_13_4_26!$K$2:$K$596))</f>
        <v>3</v>
      </c>
      <c r="D437" cm="1">
        <f t="array" ref="D437">SUMPRODUCT((task_table_13_4_26!$C$2:$C$596=$D$1)*(A437&gt;task_table_13_4_26!$J$2:$J$596)*(A437&lt;task_table_13_4_26!$K$2:$K$596))</f>
        <v>0</v>
      </c>
      <c r="E437" cm="1">
        <f t="array" ref="E437">SUMPRODUCT((task_table_13_4_26!$C$2:$C$596=$E$1)*(A437&gt;task_table_13_4_26!$J$2:$J$596)*(A437&lt;task_table_13_4_26!$K$2:$K$596))</f>
        <v>0</v>
      </c>
    </row>
    <row r="438" spans="1:5">
      <c r="A438" s="5">
        <v>46306</v>
      </c>
      <c r="B438" cm="1">
        <f t="array" ref="B438">SUMPRODUCT((task_table_13_4_26!$C$2:$C$596=$B$1)*(A438&gt;task_table_13_4_26!$J$2:$J$596)*(A438&lt;task_table_13_4_26!$K$2:$K$596))</f>
        <v>2</v>
      </c>
      <c r="C438" cm="1">
        <f t="array" ref="C438">SUMPRODUCT((task_table_13_4_26!$C$2:$C$596=$C$1)*(A438&gt;task_table_13_4_26!$J$2:$J$596)*(A438&lt;task_table_13_4_26!$K$2:$K$596))</f>
        <v>3</v>
      </c>
      <c r="D438" cm="1">
        <f t="array" ref="D438">SUMPRODUCT((task_table_13_4_26!$C$2:$C$596=$D$1)*(A438&gt;task_table_13_4_26!$J$2:$J$596)*(A438&lt;task_table_13_4_26!$K$2:$K$596))</f>
        <v>0</v>
      </c>
      <c r="E438" cm="1">
        <f t="array" ref="E438">SUMPRODUCT((task_table_13_4_26!$C$2:$C$596=$E$1)*(A438&gt;task_table_13_4_26!$J$2:$J$596)*(A438&lt;task_table_13_4_26!$K$2:$K$596))</f>
        <v>0</v>
      </c>
    </row>
    <row r="439" spans="1:5">
      <c r="A439" s="5">
        <v>46307</v>
      </c>
      <c r="B439" cm="1">
        <f t="array" ref="B439">SUMPRODUCT((task_table_13_4_26!$C$2:$C$596=$B$1)*(A439&gt;task_table_13_4_26!$J$2:$J$596)*(A439&lt;task_table_13_4_26!$K$2:$K$596))</f>
        <v>2</v>
      </c>
      <c r="C439" cm="1">
        <f t="array" ref="C439">SUMPRODUCT((task_table_13_4_26!$C$2:$C$596=$C$1)*(A439&gt;task_table_13_4_26!$J$2:$J$596)*(A439&lt;task_table_13_4_26!$K$2:$K$596))</f>
        <v>3</v>
      </c>
      <c r="D439" cm="1">
        <f t="array" ref="D439">SUMPRODUCT((task_table_13_4_26!$C$2:$C$596=$D$1)*(A439&gt;task_table_13_4_26!$J$2:$J$596)*(A439&lt;task_table_13_4_26!$K$2:$K$596))</f>
        <v>0</v>
      </c>
      <c r="E439" cm="1">
        <f t="array" ref="E439">SUMPRODUCT((task_table_13_4_26!$C$2:$C$596=$E$1)*(A439&gt;task_table_13_4_26!$J$2:$J$596)*(A439&lt;task_table_13_4_26!$K$2:$K$596))</f>
        <v>0</v>
      </c>
    </row>
    <row r="440" spans="1:5">
      <c r="A440" s="5">
        <v>46308</v>
      </c>
      <c r="B440" cm="1">
        <f t="array" ref="B440">SUMPRODUCT((task_table_13_4_26!$C$2:$C$596=$B$1)*(A440&gt;task_table_13_4_26!$J$2:$J$596)*(A440&lt;task_table_13_4_26!$K$2:$K$596))</f>
        <v>2</v>
      </c>
      <c r="C440" cm="1">
        <f t="array" ref="C440">SUMPRODUCT((task_table_13_4_26!$C$2:$C$596=$C$1)*(A440&gt;task_table_13_4_26!$J$2:$J$596)*(A440&lt;task_table_13_4_26!$K$2:$K$596))</f>
        <v>3</v>
      </c>
      <c r="D440" cm="1">
        <f t="array" ref="D440">SUMPRODUCT((task_table_13_4_26!$C$2:$C$596=$D$1)*(A440&gt;task_table_13_4_26!$J$2:$J$596)*(A440&lt;task_table_13_4_26!$K$2:$K$596))</f>
        <v>0</v>
      </c>
      <c r="E440" cm="1">
        <f t="array" ref="E440">SUMPRODUCT((task_table_13_4_26!$C$2:$C$596=$E$1)*(A440&gt;task_table_13_4_26!$J$2:$J$596)*(A440&lt;task_table_13_4_26!$K$2:$K$596))</f>
        <v>0</v>
      </c>
    </row>
    <row r="441" spans="1:5">
      <c r="A441" s="5">
        <v>46309</v>
      </c>
      <c r="B441" cm="1">
        <f t="array" ref="B441">SUMPRODUCT((task_table_13_4_26!$C$2:$C$596=$B$1)*(A441&gt;task_table_13_4_26!$J$2:$J$596)*(A441&lt;task_table_13_4_26!$K$2:$K$596))</f>
        <v>2</v>
      </c>
      <c r="C441" cm="1">
        <f t="array" ref="C441">SUMPRODUCT((task_table_13_4_26!$C$2:$C$596=$C$1)*(A441&gt;task_table_13_4_26!$J$2:$J$596)*(A441&lt;task_table_13_4_26!$K$2:$K$596))</f>
        <v>3</v>
      </c>
      <c r="D441" cm="1">
        <f t="array" ref="D441">SUMPRODUCT((task_table_13_4_26!$C$2:$C$596=$D$1)*(A441&gt;task_table_13_4_26!$J$2:$J$596)*(A441&lt;task_table_13_4_26!$K$2:$K$596))</f>
        <v>0</v>
      </c>
      <c r="E441" cm="1">
        <f t="array" ref="E441">SUMPRODUCT((task_table_13_4_26!$C$2:$C$596=$E$1)*(A441&gt;task_table_13_4_26!$J$2:$J$596)*(A441&lt;task_table_13_4_26!$K$2:$K$596))</f>
        <v>0</v>
      </c>
    </row>
    <row r="442" spans="1:5">
      <c r="A442" s="5">
        <v>46310</v>
      </c>
      <c r="B442" cm="1">
        <f t="array" ref="B442">SUMPRODUCT((task_table_13_4_26!$C$2:$C$596=$B$1)*(A442&gt;task_table_13_4_26!$J$2:$J$596)*(A442&lt;task_table_13_4_26!$K$2:$K$596))</f>
        <v>2</v>
      </c>
      <c r="C442" cm="1">
        <f t="array" ref="C442">SUMPRODUCT((task_table_13_4_26!$C$2:$C$596=$C$1)*(A442&gt;task_table_13_4_26!$J$2:$J$596)*(A442&lt;task_table_13_4_26!$K$2:$K$596))</f>
        <v>3</v>
      </c>
      <c r="D442" cm="1">
        <f t="array" ref="D442">SUMPRODUCT((task_table_13_4_26!$C$2:$C$596=$D$1)*(A442&gt;task_table_13_4_26!$J$2:$J$596)*(A442&lt;task_table_13_4_26!$K$2:$K$596))</f>
        <v>0</v>
      </c>
      <c r="E442" cm="1">
        <f t="array" ref="E442">SUMPRODUCT((task_table_13_4_26!$C$2:$C$596=$E$1)*(A442&gt;task_table_13_4_26!$J$2:$J$596)*(A442&lt;task_table_13_4_26!$K$2:$K$596))</f>
        <v>0</v>
      </c>
    </row>
    <row r="443" spans="1:5">
      <c r="A443" s="5">
        <v>46311</v>
      </c>
      <c r="B443" cm="1">
        <f t="array" ref="B443">SUMPRODUCT((task_table_13_4_26!$C$2:$C$596=$B$1)*(A443&gt;task_table_13_4_26!$J$2:$J$596)*(A443&lt;task_table_13_4_26!$K$2:$K$596))</f>
        <v>2</v>
      </c>
      <c r="C443" cm="1">
        <f t="array" ref="C443">SUMPRODUCT((task_table_13_4_26!$C$2:$C$596=$C$1)*(A443&gt;task_table_13_4_26!$J$2:$J$596)*(A443&lt;task_table_13_4_26!$K$2:$K$596))</f>
        <v>4</v>
      </c>
      <c r="D443" cm="1">
        <f t="array" ref="D443">SUMPRODUCT((task_table_13_4_26!$C$2:$C$596=$D$1)*(A443&gt;task_table_13_4_26!$J$2:$J$596)*(A443&lt;task_table_13_4_26!$K$2:$K$596))</f>
        <v>0</v>
      </c>
      <c r="E443" cm="1">
        <f t="array" ref="E443">SUMPRODUCT((task_table_13_4_26!$C$2:$C$596=$E$1)*(A443&gt;task_table_13_4_26!$J$2:$J$596)*(A443&lt;task_table_13_4_26!$K$2:$K$596))</f>
        <v>0</v>
      </c>
    </row>
    <row r="444" spans="1:5">
      <c r="A444" s="5">
        <v>46312</v>
      </c>
      <c r="B444" cm="1">
        <f t="array" ref="B444">SUMPRODUCT((task_table_13_4_26!$C$2:$C$596=$B$1)*(A444&gt;task_table_13_4_26!$J$2:$J$596)*(A444&lt;task_table_13_4_26!$K$2:$K$596))</f>
        <v>2</v>
      </c>
      <c r="C444" cm="1">
        <f t="array" ref="C444">SUMPRODUCT((task_table_13_4_26!$C$2:$C$596=$C$1)*(A444&gt;task_table_13_4_26!$J$2:$J$596)*(A444&lt;task_table_13_4_26!$K$2:$K$596))</f>
        <v>4</v>
      </c>
      <c r="D444" cm="1">
        <f t="array" ref="D444">SUMPRODUCT((task_table_13_4_26!$C$2:$C$596=$D$1)*(A444&gt;task_table_13_4_26!$J$2:$J$596)*(A444&lt;task_table_13_4_26!$K$2:$K$596))</f>
        <v>0</v>
      </c>
      <c r="E444" cm="1">
        <f t="array" ref="E444">SUMPRODUCT((task_table_13_4_26!$C$2:$C$596=$E$1)*(A444&gt;task_table_13_4_26!$J$2:$J$596)*(A444&lt;task_table_13_4_26!$K$2:$K$596))</f>
        <v>0</v>
      </c>
    </row>
    <row r="445" spans="1:5">
      <c r="A445" s="5">
        <v>46313</v>
      </c>
      <c r="B445" cm="1">
        <f t="array" ref="B445">SUMPRODUCT((task_table_13_4_26!$C$2:$C$596=$B$1)*(A445&gt;task_table_13_4_26!$J$2:$J$596)*(A445&lt;task_table_13_4_26!$K$2:$K$596))</f>
        <v>2</v>
      </c>
      <c r="C445" cm="1">
        <f t="array" ref="C445">SUMPRODUCT((task_table_13_4_26!$C$2:$C$596=$C$1)*(A445&gt;task_table_13_4_26!$J$2:$J$596)*(A445&lt;task_table_13_4_26!$K$2:$K$596))</f>
        <v>4</v>
      </c>
      <c r="D445" cm="1">
        <f t="array" ref="D445">SUMPRODUCT((task_table_13_4_26!$C$2:$C$596=$D$1)*(A445&gt;task_table_13_4_26!$J$2:$J$596)*(A445&lt;task_table_13_4_26!$K$2:$K$596))</f>
        <v>0</v>
      </c>
      <c r="E445" cm="1">
        <f t="array" ref="E445">SUMPRODUCT((task_table_13_4_26!$C$2:$C$596=$E$1)*(A445&gt;task_table_13_4_26!$J$2:$J$596)*(A445&lt;task_table_13_4_26!$K$2:$K$596))</f>
        <v>0</v>
      </c>
    </row>
    <row r="446" spans="1:5">
      <c r="A446" s="5">
        <v>46314</v>
      </c>
      <c r="B446" cm="1">
        <f t="array" ref="B446">SUMPRODUCT((task_table_13_4_26!$C$2:$C$596=$B$1)*(A446&gt;task_table_13_4_26!$J$2:$J$596)*(A446&lt;task_table_13_4_26!$K$2:$K$596))</f>
        <v>2</v>
      </c>
      <c r="C446" cm="1">
        <f t="array" ref="C446">SUMPRODUCT((task_table_13_4_26!$C$2:$C$596=$C$1)*(A446&gt;task_table_13_4_26!$J$2:$J$596)*(A446&lt;task_table_13_4_26!$K$2:$K$596))</f>
        <v>4</v>
      </c>
      <c r="D446" cm="1">
        <f t="array" ref="D446">SUMPRODUCT((task_table_13_4_26!$C$2:$C$596=$D$1)*(A446&gt;task_table_13_4_26!$J$2:$J$596)*(A446&lt;task_table_13_4_26!$K$2:$K$596))</f>
        <v>0</v>
      </c>
      <c r="E446" cm="1">
        <f t="array" ref="E446">SUMPRODUCT((task_table_13_4_26!$C$2:$C$596=$E$1)*(A446&gt;task_table_13_4_26!$J$2:$J$596)*(A446&lt;task_table_13_4_26!$K$2:$K$596))</f>
        <v>0</v>
      </c>
    </row>
    <row r="447" spans="1:5">
      <c r="A447" s="5">
        <v>46315</v>
      </c>
      <c r="B447" cm="1">
        <f t="array" ref="B447">SUMPRODUCT((task_table_13_4_26!$C$2:$C$596=$B$1)*(A447&gt;task_table_13_4_26!$J$2:$J$596)*(A447&lt;task_table_13_4_26!$K$2:$K$596))</f>
        <v>2</v>
      </c>
      <c r="C447" cm="1">
        <f t="array" ref="C447">SUMPRODUCT((task_table_13_4_26!$C$2:$C$596=$C$1)*(A447&gt;task_table_13_4_26!$J$2:$J$596)*(A447&lt;task_table_13_4_26!$K$2:$K$596))</f>
        <v>4</v>
      </c>
      <c r="D447" cm="1">
        <f t="array" ref="D447">SUMPRODUCT((task_table_13_4_26!$C$2:$C$596=$D$1)*(A447&gt;task_table_13_4_26!$J$2:$J$596)*(A447&lt;task_table_13_4_26!$K$2:$K$596))</f>
        <v>0</v>
      </c>
      <c r="E447" cm="1">
        <f t="array" ref="E447">SUMPRODUCT((task_table_13_4_26!$C$2:$C$596=$E$1)*(A447&gt;task_table_13_4_26!$J$2:$J$596)*(A447&lt;task_table_13_4_26!$K$2:$K$596))</f>
        <v>0</v>
      </c>
    </row>
    <row r="448" spans="1:5">
      <c r="A448" s="5">
        <v>46316</v>
      </c>
      <c r="B448" cm="1">
        <f t="array" ref="B448">SUMPRODUCT((task_table_13_4_26!$C$2:$C$596=$B$1)*(A448&gt;task_table_13_4_26!$J$2:$J$596)*(A448&lt;task_table_13_4_26!$K$2:$K$596))</f>
        <v>2</v>
      </c>
      <c r="C448" cm="1">
        <f t="array" ref="C448">SUMPRODUCT((task_table_13_4_26!$C$2:$C$596=$C$1)*(A448&gt;task_table_13_4_26!$J$2:$J$596)*(A448&lt;task_table_13_4_26!$K$2:$K$596))</f>
        <v>4</v>
      </c>
      <c r="D448" cm="1">
        <f t="array" ref="D448">SUMPRODUCT((task_table_13_4_26!$C$2:$C$596=$D$1)*(A448&gt;task_table_13_4_26!$J$2:$J$596)*(A448&lt;task_table_13_4_26!$K$2:$K$596))</f>
        <v>0</v>
      </c>
      <c r="E448" cm="1">
        <f t="array" ref="E448">SUMPRODUCT((task_table_13_4_26!$C$2:$C$596=$E$1)*(A448&gt;task_table_13_4_26!$J$2:$J$596)*(A448&lt;task_table_13_4_26!$K$2:$K$596))</f>
        <v>0</v>
      </c>
    </row>
    <row r="449" spans="1:5">
      <c r="A449" s="5">
        <v>46317</v>
      </c>
      <c r="B449" cm="1">
        <f t="array" ref="B449">SUMPRODUCT((task_table_13_4_26!$C$2:$C$596=$B$1)*(A449&gt;task_table_13_4_26!$J$2:$J$596)*(A449&lt;task_table_13_4_26!$K$2:$K$596))</f>
        <v>2</v>
      </c>
      <c r="C449" cm="1">
        <f t="array" ref="C449">SUMPRODUCT((task_table_13_4_26!$C$2:$C$596=$C$1)*(A449&gt;task_table_13_4_26!$J$2:$J$596)*(A449&lt;task_table_13_4_26!$K$2:$K$596))</f>
        <v>4</v>
      </c>
      <c r="D449" cm="1">
        <f t="array" ref="D449">SUMPRODUCT((task_table_13_4_26!$C$2:$C$596=$D$1)*(A449&gt;task_table_13_4_26!$J$2:$J$596)*(A449&lt;task_table_13_4_26!$K$2:$K$596))</f>
        <v>0</v>
      </c>
      <c r="E449" cm="1">
        <f t="array" ref="E449">SUMPRODUCT((task_table_13_4_26!$C$2:$C$596=$E$1)*(A449&gt;task_table_13_4_26!$J$2:$J$596)*(A449&lt;task_table_13_4_26!$K$2:$K$596))</f>
        <v>0</v>
      </c>
    </row>
    <row r="450" spans="1:5">
      <c r="A450" s="5">
        <v>46318</v>
      </c>
      <c r="B450" cm="1">
        <f t="array" ref="B450">SUMPRODUCT((task_table_13_4_26!$C$2:$C$596=$B$1)*(A450&gt;task_table_13_4_26!$J$2:$J$596)*(A450&lt;task_table_13_4_26!$K$2:$K$596))</f>
        <v>2</v>
      </c>
      <c r="C450" cm="1">
        <f t="array" ref="C450">SUMPRODUCT((task_table_13_4_26!$C$2:$C$596=$C$1)*(A450&gt;task_table_13_4_26!$J$2:$J$596)*(A450&lt;task_table_13_4_26!$K$2:$K$596))</f>
        <v>4</v>
      </c>
      <c r="D450" cm="1">
        <f t="array" ref="D450">SUMPRODUCT((task_table_13_4_26!$C$2:$C$596=$D$1)*(A450&gt;task_table_13_4_26!$J$2:$J$596)*(A450&lt;task_table_13_4_26!$K$2:$K$596))</f>
        <v>0</v>
      </c>
      <c r="E450" cm="1">
        <f t="array" ref="E450">SUMPRODUCT((task_table_13_4_26!$C$2:$C$596=$E$1)*(A450&gt;task_table_13_4_26!$J$2:$J$596)*(A450&lt;task_table_13_4_26!$K$2:$K$596))</f>
        <v>0</v>
      </c>
    </row>
    <row r="451" spans="1:5">
      <c r="A451" s="5">
        <v>46319</v>
      </c>
      <c r="B451" cm="1">
        <f t="array" ref="B451">SUMPRODUCT((task_table_13_4_26!$C$2:$C$596=$B$1)*(A451&gt;task_table_13_4_26!$J$2:$J$596)*(A451&lt;task_table_13_4_26!$K$2:$K$596))</f>
        <v>2</v>
      </c>
      <c r="C451" cm="1">
        <f t="array" ref="C451">SUMPRODUCT((task_table_13_4_26!$C$2:$C$596=$C$1)*(A451&gt;task_table_13_4_26!$J$2:$J$596)*(A451&lt;task_table_13_4_26!$K$2:$K$596))</f>
        <v>4</v>
      </c>
      <c r="D451" cm="1">
        <f t="array" ref="D451">SUMPRODUCT((task_table_13_4_26!$C$2:$C$596=$D$1)*(A451&gt;task_table_13_4_26!$J$2:$J$596)*(A451&lt;task_table_13_4_26!$K$2:$K$596))</f>
        <v>0</v>
      </c>
      <c r="E451" cm="1">
        <f t="array" ref="E451">SUMPRODUCT((task_table_13_4_26!$C$2:$C$596=$E$1)*(A451&gt;task_table_13_4_26!$J$2:$J$596)*(A451&lt;task_table_13_4_26!$K$2:$K$596))</f>
        <v>0</v>
      </c>
    </row>
    <row r="452" spans="1:5">
      <c r="A452" s="5">
        <v>46320</v>
      </c>
      <c r="B452" cm="1">
        <f t="array" ref="B452">SUMPRODUCT((task_table_13_4_26!$C$2:$C$596=$B$1)*(A452&gt;task_table_13_4_26!$J$2:$J$596)*(A452&lt;task_table_13_4_26!$K$2:$K$596))</f>
        <v>2</v>
      </c>
      <c r="C452" cm="1">
        <f t="array" ref="C452">SUMPRODUCT((task_table_13_4_26!$C$2:$C$596=$C$1)*(A452&gt;task_table_13_4_26!$J$2:$J$596)*(A452&lt;task_table_13_4_26!$K$2:$K$596))</f>
        <v>4</v>
      </c>
      <c r="D452" cm="1">
        <f t="array" ref="D452">SUMPRODUCT((task_table_13_4_26!$C$2:$C$596=$D$1)*(A452&gt;task_table_13_4_26!$J$2:$J$596)*(A452&lt;task_table_13_4_26!$K$2:$K$596))</f>
        <v>0</v>
      </c>
      <c r="E452" cm="1">
        <f t="array" ref="E452">SUMPRODUCT((task_table_13_4_26!$C$2:$C$596=$E$1)*(A452&gt;task_table_13_4_26!$J$2:$J$596)*(A452&lt;task_table_13_4_26!$K$2:$K$596))</f>
        <v>0</v>
      </c>
    </row>
    <row r="453" spans="1:5">
      <c r="A453" s="5">
        <v>46321</v>
      </c>
      <c r="B453" cm="1">
        <f t="array" ref="B453">SUMPRODUCT((task_table_13_4_26!$C$2:$C$596=$B$1)*(A453&gt;task_table_13_4_26!$J$2:$J$596)*(A453&lt;task_table_13_4_26!$K$2:$K$596))</f>
        <v>2</v>
      </c>
      <c r="C453" cm="1">
        <f t="array" ref="C453">SUMPRODUCT((task_table_13_4_26!$C$2:$C$596=$C$1)*(A453&gt;task_table_13_4_26!$J$2:$J$596)*(A453&lt;task_table_13_4_26!$K$2:$K$596))</f>
        <v>4</v>
      </c>
      <c r="D453" cm="1">
        <f t="array" ref="D453">SUMPRODUCT((task_table_13_4_26!$C$2:$C$596=$D$1)*(A453&gt;task_table_13_4_26!$J$2:$J$596)*(A453&lt;task_table_13_4_26!$K$2:$K$596))</f>
        <v>0</v>
      </c>
      <c r="E453" cm="1">
        <f t="array" ref="E453">SUMPRODUCT((task_table_13_4_26!$C$2:$C$596=$E$1)*(A453&gt;task_table_13_4_26!$J$2:$J$596)*(A453&lt;task_table_13_4_26!$K$2:$K$596))</f>
        <v>0</v>
      </c>
    </row>
    <row r="454" spans="1:5">
      <c r="A454" s="5">
        <v>46322</v>
      </c>
      <c r="B454" cm="1">
        <f t="array" ref="B454">SUMPRODUCT((task_table_13_4_26!$C$2:$C$596=$B$1)*(A454&gt;task_table_13_4_26!$J$2:$J$596)*(A454&lt;task_table_13_4_26!$K$2:$K$596))</f>
        <v>2</v>
      </c>
      <c r="C454" cm="1">
        <f t="array" ref="C454">SUMPRODUCT((task_table_13_4_26!$C$2:$C$596=$C$1)*(A454&gt;task_table_13_4_26!$J$2:$J$596)*(A454&lt;task_table_13_4_26!$K$2:$K$596))</f>
        <v>4</v>
      </c>
      <c r="D454" cm="1">
        <f t="array" ref="D454">SUMPRODUCT((task_table_13_4_26!$C$2:$C$596=$D$1)*(A454&gt;task_table_13_4_26!$J$2:$J$596)*(A454&lt;task_table_13_4_26!$K$2:$K$596))</f>
        <v>0</v>
      </c>
      <c r="E454" cm="1">
        <f t="array" ref="E454">SUMPRODUCT((task_table_13_4_26!$C$2:$C$596=$E$1)*(A454&gt;task_table_13_4_26!$J$2:$J$596)*(A454&lt;task_table_13_4_26!$K$2:$K$596))</f>
        <v>0</v>
      </c>
    </row>
    <row r="455" spans="1:5">
      <c r="A455" s="5">
        <v>46323</v>
      </c>
      <c r="B455" cm="1">
        <f t="array" ref="B455">SUMPRODUCT((task_table_13_4_26!$C$2:$C$596=$B$1)*(A455&gt;task_table_13_4_26!$J$2:$J$596)*(A455&lt;task_table_13_4_26!$K$2:$K$596))</f>
        <v>2</v>
      </c>
      <c r="C455" cm="1">
        <f t="array" ref="C455">SUMPRODUCT((task_table_13_4_26!$C$2:$C$596=$C$1)*(A455&gt;task_table_13_4_26!$J$2:$J$596)*(A455&lt;task_table_13_4_26!$K$2:$K$596))</f>
        <v>4</v>
      </c>
      <c r="D455" cm="1">
        <f t="array" ref="D455">SUMPRODUCT((task_table_13_4_26!$C$2:$C$596=$D$1)*(A455&gt;task_table_13_4_26!$J$2:$J$596)*(A455&lt;task_table_13_4_26!$K$2:$K$596))</f>
        <v>0</v>
      </c>
      <c r="E455" cm="1">
        <f t="array" ref="E455">SUMPRODUCT((task_table_13_4_26!$C$2:$C$596=$E$1)*(A455&gt;task_table_13_4_26!$J$2:$J$596)*(A455&lt;task_table_13_4_26!$K$2:$K$596))</f>
        <v>0</v>
      </c>
    </row>
    <row r="456" spans="1:5">
      <c r="A456" s="5">
        <v>46324</v>
      </c>
      <c r="B456" cm="1">
        <f t="array" ref="B456">SUMPRODUCT((task_table_13_4_26!$C$2:$C$596=$B$1)*(A456&gt;task_table_13_4_26!$J$2:$J$596)*(A456&lt;task_table_13_4_26!$K$2:$K$596))</f>
        <v>2</v>
      </c>
      <c r="C456" cm="1">
        <f t="array" ref="C456">SUMPRODUCT((task_table_13_4_26!$C$2:$C$596=$C$1)*(A456&gt;task_table_13_4_26!$J$2:$J$596)*(A456&lt;task_table_13_4_26!$K$2:$K$596))</f>
        <v>4</v>
      </c>
      <c r="D456" cm="1">
        <f t="array" ref="D456">SUMPRODUCT((task_table_13_4_26!$C$2:$C$596=$D$1)*(A456&gt;task_table_13_4_26!$J$2:$J$596)*(A456&lt;task_table_13_4_26!$K$2:$K$596))</f>
        <v>0</v>
      </c>
      <c r="E456" cm="1">
        <f t="array" ref="E456">SUMPRODUCT((task_table_13_4_26!$C$2:$C$596=$E$1)*(A456&gt;task_table_13_4_26!$J$2:$J$596)*(A456&lt;task_table_13_4_26!$K$2:$K$596))</f>
        <v>0</v>
      </c>
    </row>
    <row r="457" spans="1:5">
      <c r="A457" s="5">
        <v>46325</v>
      </c>
      <c r="B457" cm="1">
        <f t="array" ref="B457">SUMPRODUCT((task_table_13_4_26!$C$2:$C$596=$B$1)*(A457&gt;task_table_13_4_26!$J$2:$J$596)*(A457&lt;task_table_13_4_26!$K$2:$K$596))</f>
        <v>2</v>
      </c>
      <c r="C457" cm="1">
        <f t="array" ref="C457">SUMPRODUCT((task_table_13_4_26!$C$2:$C$596=$C$1)*(A457&gt;task_table_13_4_26!$J$2:$J$596)*(A457&lt;task_table_13_4_26!$K$2:$K$596))</f>
        <v>4</v>
      </c>
      <c r="D457" cm="1">
        <f t="array" ref="D457">SUMPRODUCT((task_table_13_4_26!$C$2:$C$596=$D$1)*(A457&gt;task_table_13_4_26!$J$2:$J$596)*(A457&lt;task_table_13_4_26!$K$2:$K$596))</f>
        <v>0</v>
      </c>
      <c r="E457" cm="1">
        <f t="array" ref="E457">SUMPRODUCT((task_table_13_4_26!$C$2:$C$596=$E$1)*(A457&gt;task_table_13_4_26!$J$2:$J$596)*(A457&lt;task_table_13_4_26!$K$2:$K$596))</f>
        <v>0</v>
      </c>
    </row>
    <row r="458" spans="1:5">
      <c r="A458" s="5">
        <v>46326</v>
      </c>
      <c r="B458" cm="1">
        <f t="array" ref="B458">SUMPRODUCT((task_table_13_4_26!$C$2:$C$596=$B$1)*(A458&gt;task_table_13_4_26!$J$2:$J$596)*(A458&lt;task_table_13_4_26!$K$2:$K$596))</f>
        <v>2</v>
      </c>
      <c r="C458" cm="1">
        <f t="array" ref="C458">SUMPRODUCT((task_table_13_4_26!$C$2:$C$596=$C$1)*(A458&gt;task_table_13_4_26!$J$2:$J$596)*(A458&lt;task_table_13_4_26!$K$2:$K$596))</f>
        <v>4</v>
      </c>
      <c r="D458" cm="1">
        <f t="array" ref="D458">SUMPRODUCT((task_table_13_4_26!$C$2:$C$596=$D$1)*(A458&gt;task_table_13_4_26!$J$2:$J$596)*(A458&lt;task_table_13_4_26!$K$2:$K$596))</f>
        <v>0</v>
      </c>
      <c r="E458" cm="1">
        <f t="array" ref="E458">SUMPRODUCT((task_table_13_4_26!$C$2:$C$596=$E$1)*(A458&gt;task_table_13_4_26!$J$2:$J$596)*(A458&lt;task_table_13_4_26!$K$2:$K$596))</f>
        <v>0</v>
      </c>
    </row>
    <row r="459" spans="1:5">
      <c r="A459" s="5">
        <v>46327</v>
      </c>
      <c r="B459" cm="1">
        <f t="array" ref="B459">SUMPRODUCT((task_table_13_4_26!$C$2:$C$596=$B$1)*(A459&gt;task_table_13_4_26!$J$2:$J$596)*(A459&lt;task_table_13_4_26!$K$2:$K$596))</f>
        <v>2</v>
      </c>
      <c r="C459" cm="1">
        <f t="array" ref="C459">SUMPRODUCT((task_table_13_4_26!$C$2:$C$596=$C$1)*(A459&gt;task_table_13_4_26!$J$2:$J$596)*(A459&lt;task_table_13_4_26!$K$2:$K$596))</f>
        <v>4</v>
      </c>
      <c r="D459" cm="1">
        <f t="array" ref="D459">SUMPRODUCT((task_table_13_4_26!$C$2:$C$596=$D$1)*(A459&gt;task_table_13_4_26!$J$2:$J$596)*(A459&lt;task_table_13_4_26!$K$2:$K$596))</f>
        <v>0</v>
      </c>
      <c r="E459" cm="1">
        <f t="array" ref="E459">SUMPRODUCT((task_table_13_4_26!$C$2:$C$596=$E$1)*(A459&gt;task_table_13_4_26!$J$2:$J$596)*(A459&lt;task_table_13_4_26!$K$2:$K$596))</f>
        <v>0</v>
      </c>
    </row>
    <row r="460" spans="1:5">
      <c r="A460" s="5">
        <v>46328</v>
      </c>
      <c r="B460" cm="1">
        <f t="array" ref="B460">SUMPRODUCT((task_table_13_4_26!$C$2:$C$596=$B$1)*(A460&gt;task_table_13_4_26!$J$2:$J$596)*(A460&lt;task_table_13_4_26!$K$2:$K$596))</f>
        <v>2</v>
      </c>
      <c r="C460" cm="1">
        <f t="array" ref="C460">SUMPRODUCT((task_table_13_4_26!$C$2:$C$596=$C$1)*(A460&gt;task_table_13_4_26!$J$2:$J$596)*(A460&lt;task_table_13_4_26!$K$2:$K$596))</f>
        <v>4</v>
      </c>
      <c r="D460" cm="1">
        <f t="array" ref="D460">SUMPRODUCT((task_table_13_4_26!$C$2:$C$596=$D$1)*(A460&gt;task_table_13_4_26!$J$2:$J$596)*(A460&lt;task_table_13_4_26!$K$2:$K$596))</f>
        <v>0</v>
      </c>
      <c r="E460" cm="1">
        <f t="array" ref="E460">SUMPRODUCT((task_table_13_4_26!$C$2:$C$596=$E$1)*(A460&gt;task_table_13_4_26!$J$2:$J$596)*(A460&lt;task_table_13_4_26!$K$2:$K$596))</f>
        <v>0</v>
      </c>
    </row>
    <row r="461" spans="1:5">
      <c r="A461" s="5">
        <v>46329</v>
      </c>
      <c r="B461" cm="1">
        <f t="array" ref="B461">SUMPRODUCT((task_table_13_4_26!$C$2:$C$596=$B$1)*(A461&gt;task_table_13_4_26!$J$2:$J$596)*(A461&lt;task_table_13_4_26!$K$2:$K$596))</f>
        <v>2</v>
      </c>
      <c r="C461" cm="1">
        <f t="array" ref="C461">SUMPRODUCT((task_table_13_4_26!$C$2:$C$596=$C$1)*(A461&gt;task_table_13_4_26!$J$2:$J$596)*(A461&lt;task_table_13_4_26!$K$2:$K$596))</f>
        <v>4</v>
      </c>
      <c r="D461" cm="1">
        <f t="array" ref="D461">SUMPRODUCT((task_table_13_4_26!$C$2:$C$596=$D$1)*(A461&gt;task_table_13_4_26!$J$2:$J$596)*(A461&lt;task_table_13_4_26!$K$2:$K$596))</f>
        <v>0</v>
      </c>
      <c r="E461" cm="1">
        <f t="array" ref="E461">SUMPRODUCT((task_table_13_4_26!$C$2:$C$596=$E$1)*(A461&gt;task_table_13_4_26!$J$2:$J$596)*(A461&lt;task_table_13_4_26!$K$2:$K$596))</f>
        <v>0</v>
      </c>
    </row>
    <row r="462" spans="1:5">
      <c r="A462" s="5">
        <v>46330</v>
      </c>
      <c r="B462" cm="1">
        <f t="array" ref="B462">SUMPRODUCT((task_table_13_4_26!$C$2:$C$596=$B$1)*(A462&gt;task_table_13_4_26!$J$2:$J$596)*(A462&lt;task_table_13_4_26!$K$2:$K$596))</f>
        <v>2</v>
      </c>
      <c r="C462" cm="1">
        <f t="array" ref="C462">SUMPRODUCT((task_table_13_4_26!$C$2:$C$596=$C$1)*(A462&gt;task_table_13_4_26!$J$2:$J$596)*(A462&lt;task_table_13_4_26!$K$2:$K$596))</f>
        <v>4</v>
      </c>
      <c r="D462" cm="1">
        <f t="array" ref="D462">SUMPRODUCT((task_table_13_4_26!$C$2:$C$596=$D$1)*(A462&gt;task_table_13_4_26!$J$2:$J$596)*(A462&lt;task_table_13_4_26!$K$2:$K$596))</f>
        <v>0</v>
      </c>
      <c r="E462" cm="1">
        <f t="array" ref="E462">SUMPRODUCT((task_table_13_4_26!$C$2:$C$596=$E$1)*(A462&gt;task_table_13_4_26!$J$2:$J$596)*(A462&lt;task_table_13_4_26!$K$2:$K$596))</f>
        <v>0</v>
      </c>
    </row>
    <row r="463" spans="1:5">
      <c r="A463" s="5">
        <v>46331</v>
      </c>
      <c r="B463" cm="1">
        <f t="array" ref="B463">SUMPRODUCT((task_table_13_4_26!$C$2:$C$596=$B$1)*(A463&gt;task_table_13_4_26!$J$2:$J$596)*(A463&lt;task_table_13_4_26!$K$2:$K$596))</f>
        <v>2</v>
      </c>
      <c r="C463" cm="1">
        <f t="array" ref="C463">SUMPRODUCT((task_table_13_4_26!$C$2:$C$596=$C$1)*(A463&gt;task_table_13_4_26!$J$2:$J$596)*(A463&lt;task_table_13_4_26!$K$2:$K$596))</f>
        <v>4</v>
      </c>
      <c r="D463" cm="1">
        <f t="array" ref="D463">SUMPRODUCT((task_table_13_4_26!$C$2:$C$596=$D$1)*(A463&gt;task_table_13_4_26!$J$2:$J$596)*(A463&lt;task_table_13_4_26!$K$2:$K$596))</f>
        <v>0</v>
      </c>
      <c r="E463" cm="1">
        <f t="array" ref="E463">SUMPRODUCT((task_table_13_4_26!$C$2:$C$596=$E$1)*(A463&gt;task_table_13_4_26!$J$2:$J$596)*(A463&lt;task_table_13_4_26!$K$2:$K$596))</f>
        <v>0</v>
      </c>
    </row>
    <row r="464" spans="1:5">
      <c r="A464" s="5">
        <v>46332</v>
      </c>
      <c r="B464" cm="1">
        <f t="array" ref="B464">SUMPRODUCT((task_table_13_4_26!$C$2:$C$596=$B$1)*(A464&gt;task_table_13_4_26!$J$2:$J$596)*(A464&lt;task_table_13_4_26!$K$2:$K$596))</f>
        <v>2</v>
      </c>
      <c r="C464" cm="1">
        <f t="array" ref="C464">SUMPRODUCT((task_table_13_4_26!$C$2:$C$596=$C$1)*(A464&gt;task_table_13_4_26!$J$2:$J$596)*(A464&lt;task_table_13_4_26!$K$2:$K$596))</f>
        <v>4</v>
      </c>
      <c r="D464" cm="1">
        <f t="array" ref="D464">SUMPRODUCT((task_table_13_4_26!$C$2:$C$596=$D$1)*(A464&gt;task_table_13_4_26!$J$2:$J$596)*(A464&lt;task_table_13_4_26!$K$2:$K$596))</f>
        <v>0</v>
      </c>
      <c r="E464" cm="1">
        <f t="array" ref="E464">SUMPRODUCT((task_table_13_4_26!$C$2:$C$596=$E$1)*(A464&gt;task_table_13_4_26!$J$2:$J$596)*(A464&lt;task_table_13_4_26!$K$2:$K$596))</f>
        <v>0</v>
      </c>
    </row>
    <row r="465" spans="1:5">
      <c r="A465" s="5">
        <v>46333</v>
      </c>
      <c r="B465" cm="1">
        <f t="array" ref="B465">SUMPRODUCT((task_table_13_4_26!$C$2:$C$596=$B$1)*(A465&gt;task_table_13_4_26!$J$2:$J$596)*(A465&lt;task_table_13_4_26!$K$2:$K$596))</f>
        <v>2</v>
      </c>
      <c r="C465" cm="1">
        <f t="array" ref="C465">SUMPRODUCT((task_table_13_4_26!$C$2:$C$596=$C$1)*(A465&gt;task_table_13_4_26!$J$2:$J$596)*(A465&lt;task_table_13_4_26!$K$2:$K$596))</f>
        <v>4</v>
      </c>
      <c r="D465" cm="1">
        <f t="array" ref="D465">SUMPRODUCT((task_table_13_4_26!$C$2:$C$596=$D$1)*(A465&gt;task_table_13_4_26!$J$2:$J$596)*(A465&lt;task_table_13_4_26!$K$2:$K$596))</f>
        <v>0</v>
      </c>
      <c r="E465" cm="1">
        <f t="array" ref="E465">SUMPRODUCT((task_table_13_4_26!$C$2:$C$596=$E$1)*(A465&gt;task_table_13_4_26!$J$2:$J$596)*(A465&lt;task_table_13_4_26!$K$2:$K$596))</f>
        <v>0</v>
      </c>
    </row>
    <row r="466" spans="1:5">
      <c r="A466" s="5">
        <v>46334</v>
      </c>
      <c r="B466" cm="1">
        <f t="array" ref="B466">SUMPRODUCT((task_table_13_4_26!$C$2:$C$596=$B$1)*(A466&gt;task_table_13_4_26!$J$2:$J$596)*(A466&lt;task_table_13_4_26!$K$2:$K$596))</f>
        <v>2</v>
      </c>
      <c r="C466" cm="1">
        <f t="array" ref="C466">SUMPRODUCT((task_table_13_4_26!$C$2:$C$596=$C$1)*(A466&gt;task_table_13_4_26!$J$2:$J$596)*(A466&lt;task_table_13_4_26!$K$2:$K$596))</f>
        <v>4</v>
      </c>
      <c r="D466" cm="1">
        <f t="array" ref="D466">SUMPRODUCT((task_table_13_4_26!$C$2:$C$596=$D$1)*(A466&gt;task_table_13_4_26!$J$2:$J$596)*(A466&lt;task_table_13_4_26!$K$2:$K$596))</f>
        <v>0</v>
      </c>
      <c r="E466" cm="1">
        <f t="array" ref="E466">SUMPRODUCT((task_table_13_4_26!$C$2:$C$596=$E$1)*(A466&gt;task_table_13_4_26!$J$2:$J$596)*(A466&lt;task_table_13_4_26!$K$2:$K$596))</f>
        <v>0</v>
      </c>
    </row>
    <row r="467" spans="1:5">
      <c r="A467" s="5">
        <v>46335</v>
      </c>
      <c r="B467" cm="1">
        <f t="array" ref="B467">SUMPRODUCT((task_table_13_4_26!$C$2:$C$596=$B$1)*(A467&gt;task_table_13_4_26!$J$2:$J$596)*(A467&lt;task_table_13_4_26!$K$2:$K$596))</f>
        <v>2</v>
      </c>
      <c r="C467" cm="1">
        <f t="array" ref="C467">SUMPRODUCT((task_table_13_4_26!$C$2:$C$596=$C$1)*(A467&gt;task_table_13_4_26!$J$2:$J$596)*(A467&lt;task_table_13_4_26!$K$2:$K$596))</f>
        <v>4</v>
      </c>
      <c r="D467" cm="1">
        <f t="array" ref="D467">SUMPRODUCT((task_table_13_4_26!$C$2:$C$596=$D$1)*(A467&gt;task_table_13_4_26!$J$2:$J$596)*(A467&lt;task_table_13_4_26!$K$2:$K$596))</f>
        <v>0</v>
      </c>
      <c r="E467" cm="1">
        <f t="array" ref="E467">SUMPRODUCT((task_table_13_4_26!$C$2:$C$596=$E$1)*(A467&gt;task_table_13_4_26!$J$2:$J$596)*(A467&lt;task_table_13_4_26!$K$2:$K$596))</f>
        <v>0</v>
      </c>
    </row>
    <row r="468" spans="1:5">
      <c r="A468" s="5">
        <v>46336</v>
      </c>
      <c r="B468" cm="1">
        <f t="array" ref="B468">SUMPRODUCT((task_table_13_4_26!$C$2:$C$596=$B$1)*(A468&gt;task_table_13_4_26!$J$2:$J$596)*(A468&lt;task_table_13_4_26!$K$2:$K$596))</f>
        <v>2</v>
      </c>
      <c r="C468" cm="1">
        <f t="array" ref="C468">SUMPRODUCT((task_table_13_4_26!$C$2:$C$596=$C$1)*(A468&gt;task_table_13_4_26!$J$2:$J$596)*(A468&lt;task_table_13_4_26!$K$2:$K$596))</f>
        <v>4</v>
      </c>
      <c r="D468" cm="1">
        <f t="array" ref="D468">SUMPRODUCT((task_table_13_4_26!$C$2:$C$596=$D$1)*(A468&gt;task_table_13_4_26!$J$2:$J$596)*(A468&lt;task_table_13_4_26!$K$2:$K$596))</f>
        <v>0</v>
      </c>
      <c r="E468" cm="1">
        <f t="array" ref="E468">SUMPRODUCT((task_table_13_4_26!$C$2:$C$596=$E$1)*(A468&gt;task_table_13_4_26!$J$2:$J$596)*(A468&lt;task_table_13_4_26!$K$2:$K$596))</f>
        <v>0</v>
      </c>
    </row>
    <row r="469" spans="1:5">
      <c r="A469" s="5">
        <v>46337</v>
      </c>
      <c r="B469" cm="1">
        <f t="array" ref="B469">SUMPRODUCT((task_table_13_4_26!$C$2:$C$596=$B$1)*(A469&gt;task_table_13_4_26!$J$2:$J$596)*(A469&lt;task_table_13_4_26!$K$2:$K$596))</f>
        <v>2</v>
      </c>
      <c r="C469" cm="1">
        <f t="array" ref="C469">SUMPRODUCT((task_table_13_4_26!$C$2:$C$596=$C$1)*(A469&gt;task_table_13_4_26!$J$2:$J$596)*(A469&lt;task_table_13_4_26!$K$2:$K$596))</f>
        <v>4</v>
      </c>
      <c r="D469" cm="1">
        <f t="array" ref="D469">SUMPRODUCT((task_table_13_4_26!$C$2:$C$596=$D$1)*(A469&gt;task_table_13_4_26!$J$2:$J$596)*(A469&lt;task_table_13_4_26!$K$2:$K$596))</f>
        <v>0</v>
      </c>
      <c r="E469" cm="1">
        <f t="array" ref="E469">SUMPRODUCT((task_table_13_4_26!$C$2:$C$596=$E$1)*(A469&gt;task_table_13_4_26!$J$2:$J$596)*(A469&lt;task_table_13_4_26!$K$2:$K$596))</f>
        <v>0</v>
      </c>
    </row>
    <row r="470" spans="1:5">
      <c r="A470" s="5">
        <v>46338</v>
      </c>
      <c r="B470" cm="1">
        <f t="array" ref="B470">SUMPRODUCT((task_table_13_4_26!$C$2:$C$596=$B$1)*(A470&gt;task_table_13_4_26!$J$2:$J$596)*(A470&lt;task_table_13_4_26!$K$2:$K$596))</f>
        <v>2</v>
      </c>
      <c r="C470" cm="1">
        <f t="array" ref="C470">SUMPRODUCT((task_table_13_4_26!$C$2:$C$596=$C$1)*(A470&gt;task_table_13_4_26!$J$2:$J$596)*(A470&lt;task_table_13_4_26!$K$2:$K$596))</f>
        <v>4</v>
      </c>
      <c r="D470" cm="1">
        <f t="array" ref="D470">SUMPRODUCT((task_table_13_4_26!$C$2:$C$596=$D$1)*(A470&gt;task_table_13_4_26!$J$2:$J$596)*(A470&lt;task_table_13_4_26!$K$2:$K$596))</f>
        <v>0</v>
      </c>
      <c r="E470" cm="1">
        <f t="array" ref="E470">SUMPRODUCT((task_table_13_4_26!$C$2:$C$596=$E$1)*(A470&gt;task_table_13_4_26!$J$2:$J$596)*(A470&lt;task_table_13_4_26!$K$2:$K$596))</f>
        <v>0</v>
      </c>
    </row>
    <row r="471" spans="1:5">
      <c r="A471" s="5">
        <v>46339</v>
      </c>
      <c r="B471" cm="1">
        <f t="array" ref="B471">SUMPRODUCT((task_table_13_4_26!$C$2:$C$596=$B$1)*(A471&gt;task_table_13_4_26!$J$2:$J$596)*(A471&lt;task_table_13_4_26!$K$2:$K$596))</f>
        <v>2</v>
      </c>
      <c r="C471" cm="1">
        <f t="array" ref="C471">SUMPRODUCT((task_table_13_4_26!$C$2:$C$596=$C$1)*(A471&gt;task_table_13_4_26!$J$2:$J$596)*(A471&lt;task_table_13_4_26!$K$2:$K$596))</f>
        <v>4</v>
      </c>
      <c r="D471" cm="1">
        <f t="array" ref="D471">SUMPRODUCT((task_table_13_4_26!$C$2:$C$596=$D$1)*(A471&gt;task_table_13_4_26!$J$2:$J$596)*(A471&lt;task_table_13_4_26!$K$2:$K$596))</f>
        <v>0</v>
      </c>
      <c r="E471" cm="1">
        <f t="array" ref="E471">SUMPRODUCT((task_table_13_4_26!$C$2:$C$596=$E$1)*(A471&gt;task_table_13_4_26!$J$2:$J$596)*(A471&lt;task_table_13_4_26!$K$2:$K$596))</f>
        <v>0</v>
      </c>
    </row>
    <row r="472" spans="1:5">
      <c r="A472" s="5">
        <v>46340</v>
      </c>
      <c r="B472" cm="1">
        <f t="array" ref="B472">SUMPRODUCT((task_table_13_4_26!$C$2:$C$596=$B$1)*(A472&gt;task_table_13_4_26!$J$2:$J$596)*(A472&lt;task_table_13_4_26!$K$2:$K$596))</f>
        <v>2</v>
      </c>
      <c r="C472" cm="1">
        <f t="array" ref="C472">SUMPRODUCT((task_table_13_4_26!$C$2:$C$596=$C$1)*(A472&gt;task_table_13_4_26!$J$2:$J$596)*(A472&lt;task_table_13_4_26!$K$2:$K$596))</f>
        <v>4</v>
      </c>
      <c r="D472" cm="1">
        <f t="array" ref="D472">SUMPRODUCT((task_table_13_4_26!$C$2:$C$596=$D$1)*(A472&gt;task_table_13_4_26!$J$2:$J$596)*(A472&lt;task_table_13_4_26!$K$2:$K$596))</f>
        <v>0</v>
      </c>
      <c r="E472" cm="1">
        <f t="array" ref="E472">SUMPRODUCT((task_table_13_4_26!$C$2:$C$596=$E$1)*(A472&gt;task_table_13_4_26!$J$2:$J$596)*(A472&lt;task_table_13_4_26!$K$2:$K$596))</f>
        <v>0</v>
      </c>
    </row>
    <row r="473" spans="1:5">
      <c r="A473" s="5">
        <v>46341</v>
      </c>
      <c r="B473" cm="1">
        <f t="array" ref="B473">SUMPRODUCT((task_table_13_4_26!$C$2:$C$596=$B$1)*(A473&gt;task_table_13_4_26!$J$2:$J$596)*(A473&lt;task_table_13_4_26!$K$2:$K$596))</f>
        <v>2</v>
      </c>
      <c r="C473" cm="1">
        <f t="array" ref="C473">SUMPRODUCT((task_table_13_4_26!$C$2:$C$596=$C$1)*(A473&gt;task_table_13_4_26!$J$2:$J$596)*(A473&lt;task_table_13_4_26!$K$2:$K$596))</f>
        <v>4</v>
      </c>
      <c r="D473" cm="1">
        <f t="array" ref="D473">SUMPRODUCT((task_table_13_4_26!$C$2:$C$596=$D$1)*(A473&gt;task_table_13_4_26!$J$2:$J$596)*(A473&lt;task_table_13_4_26!$K$2:$K$596))</f>
        <v>0</v>
      </c>
      <c r="E473" cm="1">
        <f t="array" ref="E473">SUMPRODUCT((task_table_13_4_26!$C$2:$C$596=$E$1)*(A473&gt;task_table_13_4_26!$J$2:$J$596)*(A473&lt;task_table_13_4_26!$K$2:$K$596))</f>
        <v>0</v>
      </c>
    </row>
    <row r="474" spans="1:5">
      <c r="A474" s="5">
        <v>46342</v>
      </c>
      <c r="B474" cm="1">
        <f t="array" ref="B474">SUMPRODUCT((task_table_13_4_26!$C$2:$C$596=$B$1)*(A474&gt;task_table_13_4_26!$J$2:$J$596)*(A474&lt;task_table_13_4_26!$K$2:$K$596))</f>
        <v>2</v>
      </c>
      <c r="C474" cm="1">
        <f t="array" ref="C474">SUMPRODUCT((task_table_13_4_26!$C$2:$C$596=$C$1)*(A474&gt;task_table_13_4_26!$J$2:$J$596)*(A474&lt;task_table_13_4_26!$K$2:$K$596))</f>
        <v>4</v>
      </c>
      <c r="D474" cm="1">
        <f t="array" ref="D474">SUMPRODUCT((task_table_13_4_26!$C$2:$C$596=$D$1)*(A474&gt;task_table_13_4_26!$J$2:$J$596)*(A474&lt;task_table_13_4_26!$K$2:$K$596))</f>
        <v>0</v>
      </c>
      <c r="E474" cm="1">
        <f t="array" ref="E474">SUMPRODUCT((task_table_13_4_26!$C$2:$C$596=$E$1)*(A474&gt;task_table_13_4_26!$J$2:$J$596)*(A474&lt;task_table_13_4_26!$K$2:$K$596))</f>
        <v>0</v>
      </c>
    </row>
    <row r="475" spans="1:5">
      <c r="A475" s="5">
        <v>46343</v>
      </c>
      <c r="B475" cm="1">
        <f t="array" ref="B475">SUMPRODUCT((task_table_13_4_26!$C$2:$C$596=$B$1)*(A475&gt;task_table_13_4_26!$J$2:$J$596)*(A475&lt;task_table_13_4_26!$K$2:$K$596))</f>
        <v>2</v>
      </c>
      <c r="C475" cm="1">
        <f t="array" ref="C475">SUMPRODUCT((task_table_13_4_26!$C$2:$C$596=$C$1)*(A475&gt;task_table_13_4_26!$J$2:$J$596)*(A475&lt;task_table_13_4_26!$K$2:$K$596))</f>
        <v>4</v>
      </c>
      <c r="D475" cm="1">
        <f t="array" ref="D475">SUMPRODUCT((task_table_13_4_26!$C$2:$C$596=$D$1)*(A475&gt;task_table_13_4_26!$J$2:$J$596)*(A475&lt;task_table_13_4_26!$K$2:$K$596))</f>
        <v>0</v>
      </c>
      <c r="E475" cm="1">
        <f t="array" ref="E475">SUMPRODUCT((task_table_13_4_26!$C$2:$C$596=$E$1)*(A475&gt;task_table_13_4_26!$J$2:$J$596)*(A475&lt;task_table_13_4_26!$K$2:$K$596))</f>
        <v>0</v>
      </c>
    </row>
    <row r="476" spans="1:5">
      <c r="A476" s="5">
        <v>46344</v>
      </c>
      <c r="B476" cm="1">
        <f t="array" ref="B476">SUMPRODUCT((task_table_13_4_26!$C$2:$C$596=$B$1)*(A476&gt;task_table_13_4_26!$J$2:$J$596)*(A476&lt;task_table_13_4_26!$K$2:$K$596))</f>
        <v>2</v>
      </c>
      <c r="C476" cm="1">
        <f t="array" ref="C476">SUMPRODUCT((task_table_13_4_26!$C$2:$C$596=$C$1)*(A476&gt;task_table_13_4_26!$J$2:$J$596)*(A476&lt;task_table_13_4_26!$K$2:$K$596))</f>
        <v>4</v>
      </c>
      <c r="D476" cm="1">
        <f t="array" ref="D476">SUMPRODUCT((task_table_13_4_26!$C$2:$C$596=$D$1)*(A476&gt;task_table_13_4_26!$J$2:$J$596)*(A476&lt;task_table_13_4_26!$K$2:$K$596))</f>
        <v>0</v>
      </c>
      <c r="E476" cm="1">
        <f t="array" ref="E476">SUMPRODUCT((task_table_13_4_26!$C$2:$C$596=$E$1)*(A476&gt;task_table_13_4_26!$J$2:$J$596)*(A476&lt;task_table_13_4_26!$K$2:$K$596))</f>
        <v>0</v>
      </c>
    </row>
    <row r="477" spans="1:5">
      <c r="A477" s="5">
        <v>46345</v>
      </c>
      <c r="B477" cm="1">
        <f t="array" ref="B477">SUMPRODUCT((task_table_13_4_26!$C$2:$C$596=$B$1)*(A477&gt;task_table_13_4_26!$J$2:$J$596)*(A477&lt;task_table_13_4_26!$K$2:$K$596))</f>
        <v>2</v>
      </c>
      <c r="C477" cm="1">
        <f t="array" ref="C477">SUMPRODUCT((task_table_13_4_26!$C$2:$C$596=$C$1)*(A477&gt;task_table_13_4_26!$J$2:$J$596)*(A477&lt;task_table_13_4_26!$K$2:$K$596))</f>
        <v>4</v>
      </c>
      <c r="D477" cm="1">
        <f t="array" ref="D477">SUMPRODUCT((task_table_13_4_26!$C$2:$C$596=$D$1)*(A477&gt;task_table_13_4_26!$J$2:$J$596)*(A477&lt;task_table_13_4_26!$K$2:$K$596))</f>
        <v>0</v>
      </c>
      <c r="E477" cm="1">
        <f t="array" ref="E477">SUMPRODUCT((task_table_13_4_26!$C$2:$C$596=$E$1)*(A477&gt;task_table_13_4_26!$J$2:$J$596)*(A477&lt;task_table_13_4_26!$K$2:$K$596))</f>
        <v>0</v>
      </c>
    </row>
    <row r="478" spans="1:5">
      <c r="A478" s="5">
        <v>46346</v>
      </c>
      <c r="B478" cm="1">
        <f t="array" ref="B478">SUMPRODUCT((task_table_13_4_26!$C$2:$C$596=$B$1)*(A478&gt;task_table_13_4_26!$J$2:$J$596)*(A478&lt;task_table_13_4_26!$K$2:$K$596))</f>
        <v>2</v>
      </c>
      <c r="C478" cm="1">
        <f t="array" ref="C478">SUMPRODUCT((task_table_13_4_26!$C$2:$C$596=$C$1)*(A478&gt;task_table_13_4_26!$J$2:$J$596)*(A478&lt;task_table_13_4_26!$K$2:$K$596))</f>
        <v>4</v>
      </c>
      <c r="D478" cm="1">
        <f t="array" ref="D478">SUMPRODUCT((task_table_13_4_26!$C$2:$C$596=$D$1)*(A478&gt;task_table_13_4_26!$J$2:$J$596)*(A478&lt;task_table_13_4_26!$K$2:$K$596))</f>
        <v>0</v>
      </c>
      <c r="E478" cm="1">
        <f t="array" ref="E478">SUMPRODUCT((task_table_13_4_26!$C$2:$C$596=$E$1)*(A478&gt;task_table_13_4_26!$J$2:$J$596)*(A478&lt;task_table_13_4_26!$K$2:$K$596))</f>
        <v>0</v>
      </c>
    </row>
    <row r="479" spans="1:5">
      <c r="A479" s="5">
        <v>46347</v>
      </c>
      <c r="B479" cm="1">
        <f t="array" ref="B479">SUMPRODUCT((task_table_13_4_26!$C$2:$C$596=$B$1)*(A479&gt;task_table_13_4_26!$J$2:$J$596)*(A479&lt;task_table_13_4_26!$K$2:$K$596))</f>
        <v>2</v>
      </c>
      <c r="C479" cm="1">
        <f t="array" ref="C479">SUMPRODUCT((task_table_13_4_26!$C$2:$C$596=$C$1)*(A479&gt;task_table_13_4_26!$J$2:$J$596)*(A479&lt;task_table_13_4_26!$K$2:$K$596))</f>
        <v>4</v>
      </c>
      <c r="D479" cm="1">
        <f t="array" ref="D479">SUMPRODUCT((task_table_13_4_26!$C$2:$C$596=$D$1)*(A479&gt;task_table_13_4_26!$J$2:$J$596)*(A479&lt;task_table_13_4_26!$K$2:$K$596))</f>
        <v>0</v>
      </c>
      <c r="E479" cm="1">
        <f t="array" ref="E479">SUMPRODUCT((task_table_13_4_26!$C$2:$C$596=$E$1)*(A479&gt;task_table_13_4_26!$J$2:$J$596)*(A479&lt;task_table_13_4_26!$K$2:$K$596))</f>
        <v>0</v>
      </c>
    </row>
    <row r="480" spans="1:5">
      <c r="A480" s="5">
        <v>46348</v>
      </c>
      <c r="B480" cm="1">
        <f t="array" ref="B480">SUMPRODUCT((task_table_13_4_26!$C$2:$C$596=$B$1)*(A480&gt;task_table_13_4_26!$J$2:$J$596)*(A480&lt;task_table_13_4_26!$K$2:$K$596))</f>
        <v>2</v>
      </c>
      <c r="C480" cm="1">
        <f t="array" ref="C480">SUMPRODUCT((task_table_13_4_26!$C$2:$C$596=$C$1)*(A480&gt;task_table_13_4_26!$J$2:$J$596)*(A480&lt;task_table_13_4_26!$K$2:$K$596))</f>
        <v>4</v>
      </c>
      <c r="D480" cm="1">
        <f t="array" ref="D480">SUMPRODUCT((task_table_13_4_26!$C$2:$C$596=$D$1)*(A480&gt;task_table_13_4_26!$J$2:$J$596)*(A480&lt;task_table_13_4_26!$K$2:$K$596))</f>
        <v>0</v>
      </c>
      <c r="E480" cm="1">
        <f t="array" ref="E480">SUMPRODUCT((task_table_13_4_26!$C$2:$C$596=$E$1)*(A480&gt;task_table_13_4_26!$J$2:$J$596)*(A480&lt;task_table_13_4_26!$K$2:$K$596))</f>
        <v>0</v>
      </c>
    </row>
    <row r="481" spans="1:5">
      <c r="A481" s="5">
        <v>46349</v>
      </c>
      <c r="B481" cm="1">
        <f t="array" ref="B481">SUMPRODUCT((task_table_13_4_26!$C$2:$C$596=$B$1)*(A481&gt;task_table_13_4_26!$J$2:$J$596)*(A481&lt;task_table_13_4_26!$K$2:$K$596))</f>
        <v>2</v>
      </c>
      <c r="C481" cm="1">
        <f t="array" ref="C481">SUMPRODUCT((task_table_13_4_26!$C$2:$C$596=$C$1)*(A481&gt;task_table_13_4_26!$J$2:$J$596)*(A481&lt;task_table_13_4_26!$K$2:$K$596))</f>
        <v>4</v>
      </c>
      <c r="D481" cm="1">
        <f t="array" ref="D481">SUMPRODUCT((task_table_13_4_26!$C$2:$C$596=$D$1)*(A481&gt;task_table_13_4_26!$J$2:$J$596)*(A481&lt;task_table_13_4_26!$K$2:$K$596))</f>
        <v>0</v>
      </c>
      <c r="E481" cm="1">
        <f t="array" ref="E481">SUMPRODUCT((task_table_13_4_26!$C$2:$C$596=$E$1)*(A481&gt;task_table_13_4_26!$J$2:$J$596)*(A481&lt;task_table_13_4_26!$K$2:$K$596))</f>
        <v>0</v>
      </c>
    </row>
    <row r="482" spans="1:5">
      <c r="A482" s="5">
        <v>46350</v>
      </c>
      <c r="B482" cm="1">
        <f t="array" ref="B482">SUMPRODUCT((task_table_13_4_26!$C$2:$C$596=$B$1)*(A482&gt;task_table_13_4_26!$J$2:$J$596)*(A482&lt;task_table_13_4_26!$K$2:$K$596))</f>
        <v>2</v>
      </c>
      <c r="C482" cm="1">
        <f t="array" ref="C482">SUMPRODUCT((task_table_13_4_26!$C$2:$C$596=$C$1)*(A482&gt;task_table_13_4_26!$J$2:$J$596)*(A482&lt;task_table_13_4_26!$K$2:$K$596))</f>
        <v>4</v>
      </c>
      <c r="D482" cm="1">
        <f t="array" ref="D482">SUMPRODUCT((task_table_13_4_26!$C$2:$C$596=$D$1)*(A482&gt;task_table_13_4_26!$J$2:$J$596)*(A482&lt;task_table_13_4_26!$K$2:$K$596))</f>
        <v>0</v>
      </c>
      <c r="E482" cm="1">
        <f t="array" ref="E482">SUMPRODUCT((task_table_13_4_26!$C$2:$C$596=$E$1)*(A482&gt;task_table_13_4_26!$J$2:$J$596)*(A482&lt;task_table_13_4_26!$K$2:$K$596))</f>
        <v>0</v>
      </c>
    </row>
    <row r="483" spans="1:5">
      <c r="A483" s="5">
        <v>46351</v>
      </c>
      <c r="B483" cm="1">
        <f t="array" ref="B483">SUMPRODUCT((task_table_13_4_26!$C$2:$C$596=$B$1)*(A483&gt;task_table_13_4_26!$J$2:$J$596)*(A483&lt;task_table_13_4_26!$K$2:$K$596))</f>
        <v>2</v>
      </c>
      <c r="C483" cm="1">
        <f t="array" ref="C483">SUMPRODUCT((task_table_13_4_26!$C$2:$C$596=$C$1)*(A483&gt;task_table_13_4_26!$J$2:$J$596)*(A483&lt;task_table_13_4_26!$K$2:$K$596))</f>
        <v>4</v>
      </c>
      <c r="D483" cm="1">
        <f t="array" ref="D483">SUMPRODUCT((task_table_13_4_26!$C$2:$C$596=$D$1)*(A483&gt;task_table_13_4_26!$J$2:$J$596)*(A483&lt;task_table_13_4_26!$K$2:$K$596))</f>
        <v>0</v>
      </c>
      <c r="E483" cm="1">
        <f t="array" ref="E483">SUMPRODUCT((task_table_13_4_26!$C$2:$C$596=$E$1)*(A483&gt;task_table_13_4_26!$J$2:$J$596)*(A483&lt;task_table_13_4_26!$K$2:$K$596))</f>
        <v>0</v>
      </c>
    </row>
    <row r="484" spans="1:5">
      <c r="A484" s="5">
        <v>46352</v>
      </c>
      <c r="B484" cm="1">
        <f t="array" ref="B484">SUMPRODUCT((task_table_13_4_26!$C$2:$C$596=$B$1)*(A484&gt;task_table_13_4_26!$J$2:$J$596)*(A484&lt;task_table_13_4_26!$K$2:$K$596))</f>
        <v>2</v>
      </c>
      <c r="C484" cm="1">
        <f t="array" ref="C484">SUMPRODUCT((task_table_13_4_26!$C$2:$C$596=$C$1)*(A484&gt;task_table_13_4_26!$J$2:$J$596)*(A484&lt;task_table_13_4_26!$K$2:$K$596))</f>
        <v>4</v>
      </c>
      <c r="D484" cm="1">
        <f t="array" ref="D484">SUMPRODUCT((task_table_13_4_26!$C$2:$C$596=$D$1)*(A484&gt;task_table_13_4_26!$J$2:$J$596)*(A484&lt;task_table_13_4_26!$K$2:$K$596))</f>
        <v>0</v>
      </c>
      <c r="E484" cm="1">
        <f t="array" ref="E484">SUMPRODUCT((task_table_13_4_26!$C$2:$C$596=$E$1)*(A484&gt;task_table_13_4_26!$J$2:$J$596)*(A484&lt;task_table_13_4_26!$K$2:$K$596))</f>
        <v>0</v>
      </c>
    </row>
    <row r="485" spans="1:5">
      <c r="A485" s="5">
        <v>46353</v>
      </c>
      <c r="B485" cm="1">
        <f t="array" ref="B485">SUMPRODUCT((task_table_13_4_26!$C$2:$C$596=$B$1)*(A485&gt;task_table_13_4_26!$J$2:$J$596)*(A485&lt;task_table_13_4_26!$K$2:$K$596))</f>
        <v>2</v>
      </c>
      <c r="C485" cm="1">
        <f t="array" ref="C485">SUMPRODUCT((task_table_13_4_26!$C$2:$C$596=$C$1)*(A485&gt;task_table_13_4_26!$J$2:$J$596)*(A485&lt;task_table_13_4_26!$K$2:$K$596))</f>
        <v>4</v>
      </c>
      <c r="D485" cm="1">
        <f t="array" ref="D485">SUMPRODUCT((task_table_13_4_26!$C$2:$C$596=$D$1)*(A485&gt;task_table_13_4_26!$J$2:$J$596)*(A485&lt;task_table_13_4_26!$K$2:$K$596))</f>
        <v>0</v>
      </c>
      <c r="E485" cm="1">
        <f t="array" ref="E485">SUMPRODUCT((task_table_13_4_26!$C$2:$C$596=$E$1)*(A485&gt;task_table_13_4_26!$J$2:$J$596)*(A485&lt;task_table_13_4_26!$K$2:$K$596))</f>
        <v>0</v>
      </c>
    </row>
    <row r="486" spans="1:5">
      <c r="A486" s="5">
        <v>46354</v>
      </c>
      <c r="B486" cm="1">
        <f t="array" ref="B486">SUMPRODUCT((task_table_13_4_26!$C$2:$C$596=$B$1)*(A486&gt;task_table_13_4_26!$J$2:$J$596)*(A486&lt;task_table_13_4_26!$K$2:$K$596))</f>
        <v>2</v>
      </c>
      <c r="C486" cm="1">
        <f t="array" ref="C486">SUMPRODUCT((task_table_13_4_26!$C$2:$C$596=$C$1)*(A486&gt;task_table_13_4_26!$J$2:$J$596)*(A486&lt;task_table_13_4_26!$K$2:$K$596))</f>
        <v>4</v>
      </c>
      <c r="D486" cm="1">
        <f t="array" ref="D486">SUMPRODUCT((task_table_13_4_26!$C$2:$C$596=$D$1)*(A486&gt;task_table_13_4_26!$J$2:$J$596)*(A486&lt;task_table_13_4_26!$K$2:$K$596))</f>
        <v>0</v>
      </c>
      <c r="E486" cm="1">
        <f t="array" ref="E486">SUMPRODUCT((task_table_13_4_26!$C$2:$C$596=$E$1)*(A486&gt;task_table_13_4_26!$J$2:$J$596)*(A486&lt;task_table_13_4_26!$K$2:$K$596))</f>
        <v>0</v>
      </c>
    </row>
    <row r="487" spans="1:5">
      <c r="A487" s="5">
        <v>46355</v>
      </c>
      <c r="B487" cm="1">
        <f t="array" ref="B487">SUMPRODUCT((task_table_13_4_26!$C$2:$C$596=$B$1)*(A487&gt;task_table_13_4_26!$J$2:$J$596)*(A487&lt;task_table_13_4_26!$K$2:$K$596))</f>
        <v>2</v>
      </c>
      <c r="C487" cm="1">
        <f t="array" ref="C487">SUMPRODUCT((task_table_13_4_26!$C$2:$C$596=$C$1)*(A487&gt;task_table_13_4_26!$J$2:$J$596)*(A487&lt;task_table_13_4_26!$K$2:$K$596))</f>
        <v>4</v>
      </c>
      <c r="D487" cm="1">
        <f t="array" ref="D487">SUMPRODUCT((task_table_13_4_26!$C$2:$C$596=$D$1)*(A487&gt;task_table_13_4_26!$J$2:$J$596)*(A487&lt;task_table_13_4_26!$K$2:$K$596))</f>
        <v>0</v>
      </c>
      <c r="E487" cm="1">
        <f t="array" ref="E487">SUMPRODUCT((task_table_13_4_26!$C$2:$C$596=$E$1)*(A487&gt;task_table_13_4_26!$J$2:$J$596)*(A487&lt;task_table_13_4_26!$K$2:$K$596))</f>
        <v>0</v>
      </c>
    </row>
    <row r="488" spans="1:5">
      <c r="A488" s="5">
        <v>46356</v>
      </c>
      <c r="B488" cm="1">
        <f t="array" ref="B488">SUMPRODUCT((task_table_13_4_26!$C$2:$C$596=$B$1)*(A488&gt;task_table_13_4_26!$J$2:$J$596)*(A488&lt;task_table_13_4_26!$K$2:$K$596))</f>
        <v>2</v>
      </c>
      <c r="C488" cm="1">
        <f t="array" ref="C488">SUMPRODUCT((task_table_13_4_26!$C$2:$C$596=$C$1)*(A488&gt;task_table_13_4_26!$J$2:$J$596)*(A488&lt;task_table_13_4_26!$K$2:$K$596))</f>
        <v>4</v>
      </c>
      <c r="D488" cm="1">
        <f t="array" ref="D488">SUMPRODUCT((task_table_13_4_26!$C$2:$C$596=$D$1)*(A488&gt;task_table_13_4_26!$J$2:$J$596)*(A488&lt;task_table_13_4_26!$K$2:$K$596))</f>
        <v>0</v>
      </c>
      <c r="E488" cm="1">
        <f t="array" ref="E488">SUMPRODUCT((task_table_13_4_26!$C$2:$C$596=$E$1)*(A488&gt;task_table_13_4_26!$J$2:$J$596)*(A488&lt;task_table_13_4_26!$K$2:$K$596))</f>
        <v>0</v>
      </c>
    </row>
    <row r="489" spans="1:5">
      <c r="A489" s="5">
        <v>46357</v>
      </c>
      <c r="B489" cm="1">
        <f t="array" ref="B489">SUMPRODUCT((task_table_13_4_26!$C$2:$C$596=$B$1)*(A489&gt;task_table_13_4_26!$J$2:$J$596)*(A489&lt;task_table_13_4_26!$K$2:$K$596))</f>
        <v>2</v>
      </c>
      <c r="C489" cm="1">
        <f t="array" ref="C489">SUMPRODUCT((task_table_13_4_26!$C$2:$C$596=$C$1)*(A489&gt;task_table_13_4_26!$J$2:$J$596)*(A489&lt;task_table_13_4_26!$K$2:$K$596))</f>
        <v>4</v>
      </c>
      <c r="D489" cm="1">
        <f t="array" ref="D489">SUMPRODUCT((task_table_13_4_26!$C$2:$C$596=$D$1)*(A489&gt;task_table_13_4_26!$J$2:$J$596)*(A489&lt;task_table_13_4_26!$K$2:$K$596))</f>
        <v>0</v>
      </c>
      <c r="E489" cm="1">
        <f t="array" ref="E489">SUMPRODUCT((task_table_13_4_26!$C$2:$C$596=$E$1)*(A489&gt;task_table_13_4_26!$J$2:$J$596)*(A489&lt;task_table_13_4_26!$K$2:$K$596))</f>
        <v>0</v>
      </c>
    </row>
    <row r="490" spans="1:5">
      <c r="A490" s="5">
        <v>46358</v>
      </c>
      <c r="B490" cm="1">
        <f t="array" ref="B490">SUMPRODUCT((task_table_13_4_26!$C$2:$C$596=$B$1)*(A490&gt;task_table_13_4_26!$J$2:$J$596)*(A490&lt;task_table_13_4_26!$K$2:$K$596))</f>
        <v>2</v>
      </c>
      <c r="C490" cm="1">
        <f t="array" ref="C490">SUMPRODUCT((task_table_13_4_26!$C$2:$C$596=$C$1)*(A490&gt;task_table_13_4_26!$J$2:$J$596)*(A490&lt;task_table_13_4_26!$K$2:$K$596))</f>
        <v>4</v>
      </c>
      <c r="D490" cm="1">
        <f t="array" ref="D490">SUMPRODUCT((task_table_13_4_26!$C$2:$C$596=$D$1)*(A490&gt;task_table_13_4_26!$J$2:$J$596)*(A490&lt;task_table_13_4_26!$K$2:$K$596))</f>
        <v>0</v>
      </c>
      <c r="E490" cm="1">
        <f t="array" ref="E490">SUMPRODUCT((task_table_13_4_26!$C$2:$C$596=$E$1)*(A490&gt;task_table_13_4_26!$J$2:$J$596)*(A490&lt;task_table_13_4_26!$K$2:$K$596))</f>
        <v>0</v>
      </c>
    </row>
    <row r="491" spans="1:5">
      <c r="A491" s="5">
        <v>46359</v>
      </c>
      <c r="B491" cm="1">
        <f t="array" ref="B491">SUMPRODUCT((task_table_13_4_26!$C$2:$C$596=$B$1)*(A491&gt;task_table_13_4_26!$J$2:$J$596)*(A491&lt;task_table_13_4_26!$K$2:$K$596))</f>
        <v>2</v>
      </c>
      <c r="C491" cm="1">
        <f t="array" ref="C491">SUMPRODUCT((task_table_13_4_26!$C$2:$C$596=$C$1)*(A491&gt;task_table_13_4_26!$J$2:$J$596)*(A491&lt;task_table_13_4_26!$K$2:$K$596))</f>
        <v>4</v>
      </c>
      <c r="D491" cm="1">
        <f t="array" ref="D491">SUMPRODUCT((task_table_13_4_26!$C$2:$C$596=$D$1)*(A491&gt;task_table_13_4_26!$J$2:$J$596)*(A491&lt;task_table_13_4_26!$K$2:$K$596))</f>
        <v>0</v>
      </c>
      <c r="E491" cm="1">
        <f t="array" ref="E491">SUMPRODUCT((task_table_13_4_26!$C$2:$C$596=$E$1)*(A491&gt;task_table_13_4_26!$J$2:$J$596)*(A491&lt;task_table_13_4_26!$K$2:$K$596))</f>
        <v>0</v>
      </c>
    </row>
    <row r="492" spans="1:5">
      <c r="A492" s="5">
        <v>46360</v>
      </c>
      <c r="B492" cm="1">
        <f t="array" ref="B492">SUMPRODUCT((task_table_13_4_26!$C$2:$C$596=$B$1)*(A492&gt;task_table_13_4_26!$J$2:$J$596)*(A492&lt;task_table_13_4_26!$K$2:$K$596))</f>
        <v>2</v>
      </c>
      <c r="C492" cm="1">
        <f t="array" ref="C492">SUMPRODUCT((task_table_13_4_26!$C$2:$C$596=$C$1)*(A492&gt;task_table_13_4_26!$J$2:$J$596)*(A492&lt;task_table_13_4_26!$K$2:$K$596))</f>
        <v>4</v>
      </c>
      <c r="D492" cm="1">
        <f t="array" ref="D492">SUMPRODUCT((task_table_13_4_26!$C$2:$C$596=$D$1)*(A492&gt;task_table_13_4_26!$J$2:$J$596)*(A492&lt;task_table_13_4_26!$K$2:$K$596))</f>
        <v>0</v>
      </c>
      <c r="E492" cm="1">
        <f t="array" ref="E492">SUMPRODUCT((task_table_13_4_26!$C$2:$C$596=$E$1)*(A492&gt;task_table_13_4_26!$J$2:$J$596)*(A492&lt;task_table_13_4_26!$K$2:$K$596))</f>
        <v>0</v>
      </c>
    </row>
    <row r="493" spans="1:5">
      <c r="A493" s="5">
        <v>46361</v>
      </c>
      <c r="B493" cm="1">
        <f t="array" ref="B493">SUMPRODUCT((task_table_13_4_26!$C$2:$C$596=$B$1)*(A493&gt;task_table_13_4_26!$J$2:$J$596)*(A493&lt;task_table_13_4_26!$K$2:$K$596))</f>
        <v>2</v>
      </c>
      <c r="C493" cm="1">
        <f t="array" ref="C493">SUMPRODUCT((task_table_13_4_26!$C$2:$C$596=$C$1)*(A493&gt;task_table_13_4_26!$J$2:$J$596)*(A493&lt;task_table_13_4_26!$K$2:$K$596))</f>
        <v>4</v>
      </c>
      <c r="D493" cm="1">
        <f t="array" ref="D493">SUMPRODUCT((task_table_13_4_26!$C$2:$C$596=$D$1)*(A493&gt;task_table_13_4_26!$J$2:$J$596)*(A493&lt;task_table_13_4_26!$K$2:$K$596))</f>
        <v>0</v>
      </c>
      <c r="E493" cm="1">
        <f t="array" ref="E493">SUMPRODUCT((task_table_13_4_26!$C$2:$C$596=$E$1)*(A493&gt;task_table_13_4_26!$J$2:$J$596)*(A493&lt;task_table_13_4_26!$K$2:$K$596))</f>
        <v>0</v>
      </c>
    </row>
    <row r="494" spans="1:5">
      <c r="A494" s="5">
        <v>46362</v>
      </c>
      <c r="B494" cm="1">
        <f t="array" ref="B494">SUMPRODUCT((task_table_13_4_26!$C$2:$C$596=$B$1)*(A494&gt;task_table_13_4_26!$J$2:$J$596)*(A494&lt;task_table_13_4_26!$K$2:$K$596))</f>
        <v>2</v>
      </c>
      <c r="C494" cm="1">
        <f t="array" ref="C494">SUMPRODUCT((task_table_13_4_26!$C$2:$C$596=$C$1)*(A494&gt;task_table_13_4_26!$J$2:$J$596)*(A494&lt;task_table_13_4_26!$K$2:$K$596))</f>
        <v>4</v>
      </c>
      <c r="D494" cm="1">
        <f t="array" ref="D494">SUMPRODUCT((task_table_13_4_26!$C$2:$C$596=$D$1)*(A494&gt;task_table_13_4_26!$J$2:$J$596)*(A494&lt;task_table_13_4_26!$K$2:$K$596))</f>
        <v>0</v>
      </c>
      <c r="E494" cm="1">
        <f t="array" ref="E494">SUMPRODUCT((task_table_13_4_26!$C$2:$C$596=$E$1)*(A494&gt;task_table_13_4_26!$J$2:$J$596)*(A494&lt;task_table_13_4_26!$K$2:$K$596))</f>
        <v>0</v>
      </c>
    </row>
    <row r="495" spans="1:5">
      <c r="A495" s="5">
        <v>46363</v>
      </c>
      <c r="B495" cm="1">
        <f t="array" ref="B495">SUMPRODUCT((task_table_13_4_26!$C$2:$C$596=$B$1)*(A495&gt;task_table_13_4_26!$J$2:$J$596)*(A495&lt;task_table_13_4_26!$K$2:$K$596))</f>
        <v>2</v>
      </c>
      <c r="C495" cm="1">
        <f t="array" ref="C495">SUMPRODUCT((task_table_13_4_26!$C$2:$C$596=$C$1)*(A495&gt;task_table_13_4_26!$J$2:$J$596)*(A495&lt;task_table_13_4_26!$K$2:$K$596))</f>
        <v>4</v>
      </c>
      <c r="D495" cm="1">
        <f t="array" ref="D495">SUMPRODUCT((task_table_13_4_26!$C$2:$C$596=$D$1)*(A495&gt;task_table_13_4_26!$J$2:$J$596)*(A495&lt;task_table_13_4_26!$K$2:$K$596))</f>
        <v>0</v>
      </c>
      <c r="E495" cm="1">
        <f t="array" ref="E495">SUMPRODUCT((task_table_13_4_26!$C$2:$C$596=$E$1)*(A495&gt;task_table_13_4_26!$J$2:$J$596)*(A495&lt;task_table_13_4_26!$K$2:$K$596))</f>
        <v>0</v>
      </c>
    </row>
    <row r="496" spans="1:5">
      <c r="A496" s="5">
        <v>46364</v>
      </c>
      <c r="B496" cm="1">
        <f t="array" ref="B496">SUMPRODUCT((task_table_13_4_26!$C$2:$C$596=$B$1)*(A496&gt;task_table_13_4_26!$J$2:$J$596)*(A496&lt;task_table_13_4_26!$K$2:$K$596))</f>
        <v>2</v>
      </c>
      <c r="C496" cm="1">
        <f t="array" ref="C496">SUMPRODUCT((task_table_13_4_26!$C$2:$C$596=$C$1)*(A496&gt;task_table_13_4_26!$J$2:$J$596)*(A496&lt;task_table_13_4_26!$K$2:$K$596))</f>
        <v>4</v>
      </c>
      <c r="D496" cm="1">
        <f t="array" ref="D496">SUMPRODUCT((task_table_13_4_26!$C$2:$C$596=$D$1)*(A496&gt;task_table_13_4_26!$J$2:$J$596)*(A496&lt;task_table_13_4_26!$K$2:$K$596))</f>
        <v>0</v>
      </c>
      <c r="E496" cm="1">
        <f t="array" ref="E496">SUMPRODUCT((task_table_13_4_26!$C$2:$C$596=$E$1)*(A496&gt;task_table_13_4_26!$J$2:$J$596)*(A496&lt;task_table_13_4_26!$K$2:$K$596))</f>
        <v>0</v>
      </c>
    </row>
    <row r="497" spans="1:5">
      <c r="A497" s="5">
        <v>46365</v>
      </c>
      <c r="B497" cm="1">
        <f t="array" ref="B497">SUMPRODUCT((task_table_13_4_26!$C$2:$C$596=$B$1)*(A497&gt;task_table_13_4_26!$J$2:$J$596)*(A497&lt;task_table_13_4_26!$K$2:$K$596))</f>
        <v>2</v>
      </c>
      <c r="C497" cm="1">
        <f t="array" ref="C497">SUMPRODUCT((task_table_13_4_26!$C$2:$C$596=$C$1)*(A497&gt;task_table_13_4_26!$J$2:$J$596)*(A497&lt;task_table_13_4_26!$K$2:$K$596))</f>
        <v>4</v>
      </c>
      <c r="D497" cm="1">
        <f t="array" ref="D497">SUMPRODUCT((task_table_13_4_26!$C$2:$C$596=$D$1)*(A497&gt;task_table_13_4_26!$J$2:$J$596)*(A497&lt;task_table_13_4_26!$K$2:$K$596))</f>
        <v>0</v>
      </c>
      <c r="E497" cm="1">
        <f t="array" ref="E497">SUMPRODUCT((task_table_13_4_26!$C$2:$C$596=$E$1)*(A497&gt;task_table_13_4_26!$J$2:$J$596)*(A497&lt;task_table_13_4_26!$K$2:$K$596))</f>
        <v>0</v>
      </c>
    </row>
    <row r="498" spans="1:5">
      <c r="A498" s="5">
        <v>46366</v>
      </c>
      <c r="B498" cm="1">
        <f t="array" ref="B498">SUMPRODUCT((task_table_13_4_26!$C$2:$C$596=$B$1)*(A498&gt;task_table_13_4_26!$J$2:$J$596)*(A498&lt;task_table_13_4_26!$K$2:$K$596))</f>
        <v>2</v>
      </c>
      <c r="C498" cm="1">
        <f t="array" ref="C498">SUMPRODUCT((task_table_13_4_26!$C$2:$C$596=$C$1)*(A498&gt;task_table_13_4_26!$J$2:$J$596)*(A498&lt;task_table_13_4_26!$K$2:$K$596))</f>
        <v>4</v>
      </c>
      <c r="D498" cm="1">
        <f t="array" ref="D498">SUMPRODUCT((task_table_13_4_26!$C$2:$C$596=$D$1)*(A498&gt;task_table_13_4_26!$J$2:$J$596)*(A498&lt;task_table_13_4_26!$K$2:$K$596))</f>
        <v>0</v>
      </c>
      <c r="E498" cm="1">
        <f t="array" ref="E498">SUMPRODUCT((task_table_13_4_26!$C$2:$C$596=$E$1)*(A498&gt;task_table_13_4_26!$J$2:$J$596)*(A498&lt;task_table_13_4_26!$K$2:$K$596))</f>
        <v>0</v>
      </c>
    </row>
    <row r="499" spans="1:5">
      <c r="A499" s="5">
        <v>46367</v>
      </c>
      <c r="B499" cm="1">
        <f t="array" ref="B499">SUMPRODUCT((task_table_13_4_26!$C$2:$C$596=$B$1)*(A499&gt;task_table_13_4_26!$J$2:$J$596)*(A499&lt;task_table_13_4_26!$K$2:$K$596))</f>
        <v>2</v>
      </c>
      <c r="C499" cm="1">
        <f t="array" ref="C499">SUMPRODUCT((task_table_13_4_26!$C$2:$C$596=$C$1)*(A499&gt;task_table_13_4_26!$J$2:$J$596)*(A499&lt;task_table_13_4_26!$K$2:$K$596))</f>
        <v>4</v>
      </c>
      <c r="D499" cm="1">
        <f t="array" ref="D499">SUMPRODUCT((task_table_13_4_26!$C$2:$C$596=$D$1)*(A499&gt;task_table_13_4_26!$J$2:$J$596)*(A499&lt;task_table_13_4_26!$K$2:$K$596))</f>
        <v>0</v>
      </c>
      <c r="E499" cm="1">
        <f t="array" ref="E499">SUMPRODUCT((task_table_13_4_26!$C$2:$C$596=$E$1)*(A499&gt;task_table_13_4_26!$J$2:$J$596)*(A499&lt;task_table_13_4_26!$K$2:$K$596))</f>
        <v>0</v>
      </c>
    </row>
    <row r="500" spans="1:5">
      <c r="A500" s="5">
        <v>46368</v>
      </c>
      <c r="B500" cm="1">
        <f t="array" ref="B500">SUMPRODUCT((task_table_13_4_26!$C$2:$C$596=$B$1)*(A500&gt;task_table_13_4_26!$J$2:$J$596)*(A500&lt;task_table_13_4_26!$K$2:$K$596))</f>
        <v>2</v>
      </c>
      <c r="C500" cm="1">
        <f t="array" ref="C500">SUMPRODUCT((task_table_13_4_26!$C$2:$C$596=$C$1)*(A500&gt;task_table_13_4_26!$J$2:$J$596)*(A500&lt;task_table_13_4_26!$K$2:$K$596))</f>
        <v>4</v>
      </c>
      <c r="D500" cm="1">
        <f t="array" ref="D500">SUMPRODUCT((task_table_13_4_26!$C$2:$C$596=$D$1)*(A500&gt;task_table_13_4_26!$J$2:$J$596)*(A500&lt;task_table_13_4_26!$K$2:$K$596))</f>
        <v>0</v>
      </c>
      <c r="E500" cm="1">
        <f t="array" ref="E500">SUMPRODUCT((task_table_13_4_26!$C$2:$C$596=$E$1)*(A500&gt;task_table_13_4_26!$J$2:$J$596)*(A500&lt;task_table_13_4_26!$K$2:$K$596))</f>
        <v>0</v>
      </c>
    </row>
    <row r="501" spans="1:5">
      <c r="A501" s="5">
        <v>46369</v>
      </c>
      <c r="B501" cm="1">
        <f t="array" ref="B501">SUMPRODUCT((task_table_13_4_26!$C$2:$C$596=$B$1)*(A501&gt;task_table_13_4_26!$J$2:$J$596)*(A501&lt;task_table_13_4_26!$K$2:$K$596))</f>
        <v>2</v>
      </c>
      <c r="C501" cm="1">
        <f t="array" ref="C501">SUMPRODUCT((task_table_13_4_26!$C$2:$C$596=$C$1)*(A501&gt;task_table_13_4_26!$J$2:$J$596)*(A501&lt;task_table_13_4_26!$K$2:$K$596))</f>
        <v>4</v>
      </c>
      <c r="D501" cm="1">
        <f t="array" ref="D501">SUMPRODUCT((task_table_13_4_26!$C$2:$C$596=$D$1)*(A501&gt;task_table_13_4_26!$J$2:$J$596)*(A501&lt;task_table_13_4_26!$K$2:$K$596))</f>
        <v>0</v>
      </c>
      <c r="E501" cm="1">
        <f t="array" ref="E501">SUMPRODUCT((task_table_13_4_26!$C$2:$C$596=$E$1)*(A501&gt;task_table_13_4_26!$J$2:$J$596)*(A501&lt;task_table_13_4_26!$K$2:$K$596))</f>
        <v>0</v>
      </c>
    </row>
    <row r="502" spans="1:5">
      <c r="A502" s="5">
        <v>46370</v>
      </c>
      <c r="B502" cm="1">
        <f t="array" ref="B502">SUMPRODUCT((task_table_13_4_26!$C$2:$C$596=$B$1)*(A502&gt;task_table_13_4_26!$J$2:$J$596)*(A502&lt;task_table_13_4_26!$K$2:$K$596))</f>
        <v>2</v>
      </c>
      <c r="C502" cm="1">
        <f t="array" ref="C502">SUMPRODUCT((task_table_13_4_26!$C$2:$C$596=$C$1)*(A502&gt;task_table_13_4_26!$J$2:$J$596)*(A502&lt;task_table_13_4_26!$K$2:$K$596))</f>
        <v>4</v>
      </c>
      <c r="D502" cm="1">
        <f t="array" ref="D502">SUMPRODUCT((task_table_13_4_26!$C$2:$C$596=$D$1)*(A502&gt;task_table_13_4_26!$J$2:$J$596)*(A502&lt;task_table_13_4_26!$K$2:$K$596))</f>
        <v>0</v>
      </c>
      <c r="E502" cm="1">
        <f t="array" ref="E502">SUMPRODUCT((task_table_13_4_26!$C$2:$C$596=$E$1)*(A502&gt;task_table_13_4_26!$J$2:$J$596)*(A502&lt;task_table_13_4_26!$K$2:$K$596))</f>
        <v>0</v>
      </c>
    </row>
    <row r="503" spans="1:5">
      <c r="A503" s="5">
        <v>46371</v>
      </c>
      <c r="B503" cm="1">
        <f t="array" ref="B503">SUMPRODUCT((task_table_13_4_26!$C$2:$C$596=$B$1)*(A503&gt;task_table_13_4_26!$J$2:$J$596)*(A503&lt;task_table_13_4_26!$K$2:$K$596))</f>
        <v>2</v>
      </c>
      <c r="C503" cm="1">
        <f t="array" ref="C503">SUMPRODUCT((task_table_13_4_26!$C$2:$C$596=$C$1)*(A503&gt;task_table_13_4_26!$J$2:$J$596)*(A503&lt;task_table_13_4_26!$K$2:$K$596))</f>
        <v>4</v>
      </c>
      <c r="D503" cm="1">
        <f t="array" ref="D503">SUMPRODUCT((task_table_13_4_26!$C$2:$C$596=$D$1)*(A503&gt;task_table_13_4_26!$J$2:$J$596)*(A503&lt;task_table_13_4_26!$K$2:$K$596))</f>
        <v>0</v>
      </c>
      <c r="E503" cm="1">
        <f t="array" ref="E503">SUMPRODUCT((task_table_13_4_26!$C$2:$C$596=$E$1)*(A503&gt;task_table_13_4_26!$J$2:$J$596)*(A503&lt;task_table_13_4_26!$K$2:$K$596))</f>
        <v>0</v>
      </c>
    </row>
    <row r="504" spans="1:5">
      <c r="A504" s="5">
        <v>46372</v>
      </c>
      <c r="B504" cm="1">
        <f t="array" ref="B504">SUMPRODUCT((task_table_13_4_26!$C$2:$C$596=$B$1)*(A504&gt;task_table_13_4_26!$J$2:$J$596)*(A504&lt;task_table_13_4_26!$K$2:$K$596))</f>
        <v>2</v>
      </c>
      <c r="C504" cm="1">
        <f t="array" ref="C504">SUMPRODUCT((task_table_13_4_26!$C$2:$C$596=$C$1)*(A504&gt;task_table_13_4_26!$J$2:$J$596)*(A504&lt;task_table_13_4_26!$K$2:$K$596))</f>
        <v>4</v>
      </c>
      <c r="D504" cm="1">
        <f t="array" ref="D504">SUMPRODUCT((task_table_13_4_26!$C$2:$C$596=$D$1)*(A504&gt;task_table_13_4_26!$J$2:$J$596)*(A504&lt;task_table_13_4_26!$K$2:$K$596))</f>
        <v>0</v>
      </c>
      <c r="E504" cm="1">
        <f t="array" ref="E504">SUMPRODUCT((task_table_13_4_26!$C$2:$C$596=$E$1)*(A504&gt;task_table_13_4_26!$J$2:$J$596)*(A504&lt;task_table_13_4_26!$K$2:$K$596))</f>
        <v>0</v>
      </c>
    </row>
    <row r="505" spans="1:5">
      <c r="A505" s="5">
        <v>46373</v>
      </c>
      <c r="B505" cm="1">
        <f t="array" ref="B505">SUMPRODUCT((task_table_13_4_26!$C$2:$C$596=$B$1)*(A505&gt;task_table_13_4_26!$J$2:$J$596)*(A505&lt;task_table_13_4_26!$K$2:$K$596))</f>
        <v>2</v>
      </c>
      <c r="C505" cm="1">
        <f t="array" ref="C505">SUMPRODUCT((task_table_13_4_26!$C$2:$C$596=$C$1)*(A505&gt;task_table_13_4_26!$J$2:$J$596)*(A505&lt;task_table_13_4_26!$K$2:$K$596))</f>
        <v>4</v>
      </c>
      <c r="D505" cm="1">
        <f t="array" ref="D505">SUMPRODUCT((task_table_13_4_26!$C$2:$C$596=$D$1)*(A505&gt;task_table_13_4_26!$J$2:$J$596)*(A505&lt;task_table_13_4_26!$K$2:$K$596))</f>
        <v>0</v>
      </c>
      <c r="E505" cm="1">
        <f t="array" ref="E505">SUMPRODUCT((task_table_13_4_26!$C$2:$C$596=$E$1)*(A505&gt;task_table_13_4_26!$J$2:$J$596)*(A505&lt;task_table_13_4_26!$K$2:$K$596))</f>
        <v>0</v>
      </c>
    </row>
    <row r="506" spans="1:5">
      <c r="A506" s="5">
        <v>46374</v>
      </c>
      <c r="B506" cm="1">
        <f t="array" ref="B506">SUMPRODUCT((task_table_13_4_26!$C$2:$C$596=$B$1)*(A506&gt;task_table_13_4_26!$J$2:$J$596)*(A506&lt;task_table_13_4_26!$K$2:$K$596))</f>
        <v>2</v>
      </c>
      <c r="C506" cm="1">
        <f t="array" ref="C506">SUMPRODUCT((task_table_13_4_26!$C$2:$C$596=$C$1)*(A506&gt;task_table_13_4_26!$J$2:$J$596)*(A506&lt;task_table_13_4_26!$K$2:$K$596))</f>
        <v>4</v>
      </c>
      <c r="D506" cm="1">
        <f t="array" ref="D506">SUMPRODUCT((task_table_13_4_26!$C$2:$C$596=$D$1)*(A506&gt;task_table_13_4_26!$J$2:$J$596)*(A506&lt;task_table_13_4_26!$K$2:$K$596))</f>
        <v>0</v>
      </c>
      <c r="E506" cm="1">
        <f t="array" ref="E506">SUMPRODUCT((task_table_13_4_26!$C$2:$C$596=$E$1)*(A506&gt;task_table_13_4_26!$J$2:$J$596)*(A506&lt;task_table_13_4_26!$K$2:$K$596))</f>
        <v>0</v>
      </c>
    </row>
    <row r="507" spans="1:5">
      <c r="A507" s="5">
        <v>46375</v>
      </c>
      <c r="B507" cm="1">
        <f t="array" ref="B507">SUMPRODUCT((task_table_13_4_26!$C$2:$C$596=$B$1)*(A507&gt;task_table_13_4_26!$J$2:$J$596)*(A507&lt;task_table_13_4_26!$K$2:$K$596))</f>
        <v>2</v>
      </c>
      <c r="C507" cm="1">
        <f t="array" ref="C507">SUMPRODUCT((task_table_13_4_26!$C$2:$C$596=$C$1)*(A507&gt;task_table_13_4_26!$J$2:$J$596)*(A507&lt;task_table_13_4_26!$K$2:$K$596))</f>
        <v>4</v>
      </c>
      <c r="D507" cm="1">
        <f t="array" ref="D507">SUMPRODUCT((task_table_13_4_26!$C$2:$C$596=$D$1)*(A507&gt;task_table_13_4_26!$J$2:$J$596)*(A507&lt;task_table_13_4_26!$K$2:$K$596))</f>
        <v>0</v>
      </c>
      <c r="E507" cm="1">
        <f t="array" ref="E507">SUMPRODUCT((task_table_13_4_26!$C$2:$C$596=$E$1)*(A507&gt;task_table_13_4_26!$J$2:$J$596)*(A507&lt;task_table_13_4_26!$K$2:$K$596))</f>
        <v>0</v>
      </c>
    </row>
    <row r="508" spans="1:5">
      <c r="A508" s="5">
        <v>46376</v>
      </c>
      <c r="B508" cm="1">
        <f t="array" ref="B508">SUMPRODUCT((task_table_13_4_26!$C$2:$C$596=$B$1)*(A508&gt;task_table_13_4_26!$J$2:$J$596)*(A508&lt;task_table_13_4_26!$K$2:$K$596))</f>
        <v>2</v>
      </c>
      <c r="C508" cm="1">
        <f t="array" ref="C508">SUMPRODUCT((task_table_13_4_26!$C$2:$C$596=$C$1)*(A508&gt;task_table_13_4_26!$J$2:$J$596)*(A508&lt;task_table_13_4_26!$K$2:$K$596))</f>
        <v>4</v>
      </c>
      <c r="D508" cm="1">
        <f t="array" ref="D508">SUMPRODUCT((task_table_13_4_26!$C$2:$C$596=$D$1)*(A508&gt;task_table_13_4_26!$J$2:$J$596)*(A508&lt;task_table_13_4_26!$K$2:$K$596))</f>
        <v>0</v>
      </c>
      <c r="E508" cm="1">
        <f t="array" ref="E508">SUMPRODUCT((task_table_13_4_26!$C$2:$C$596=$E$1)*(A508&gt;task_table_13_4_26!$J$2:$J$596)*(A508&lt;task_table_13_4_26!$K$2:$K$596))</f>
        <v>0</v>
      </c>
    </row>
    <row r="509" spans="1:5">
      <c r="A509" s="5">
        <v>46377</v>
      </c>
      <c r="B509" cm="1">
        <f t="array" ref="B509">SUMPRODUCT((task_table_13_4_26!$C$2:$C$596=$B$1)*(A509&gt;task_table_13_4_26!$J$2:$J$596)*(A509&lt;task_table_13_4_26!$K$2:$K$596))</f>
        <v>2</v>
      </c>
      <c r="C509" cm="1">
        <f t="array" ref="C509">SUMPRODUCT((task_table_13_4_26!$C$2:$C$596=$C$1)*(A509&gt;task_table_13_4_26!$J$2:$J$596)*(A509&lt;task_table_13_4_26!$K$2:$K$596))</f>
        <v>4</v>
      </c>
      <c r="D509" cm="1">
        <f t="array" ref="D509">SUMPRODUCT((task_table_13_4_26!$C$2:$C$596=$D$1)*(A509&gt;task_table_13_4_26!$J$2:$J$596)*(A509&lt;task_table_13_4_26!$K$2:$K$596))</f>
        <v>0</v>
      </c>
      <c r="E509" cm="1">
        <f t="array" ref="E509">SUMPRODUCT((task_table_13_4_26!$C$2:$C$596=$E$1)*(A509&gt;task_table_13_4_26!$J$2:$J$596)*(A509&lt;task_table_13_4_26!$K$2:$K$596))</f>
        <v>0</v>
      </c>
    </row>
    <row r="510" spans="1:5">
      <c r="A510" s="5">
        <v>46378</v>
      </c>
      <c r="B510" cm="1">
        <f t="array" ref="B510">SUMPRODUCT((task_table_13_4_26!$C$2:$C$596=$B$1)*(A510&gt;task_table_13_4_26!$J$2:$J$596)*(A510&lt;task_table_13_4_26!$K$2:$K$596))</f>
        <v>2</v>
      </c>
      <c r="C510" cm="1">
        <f t="array" ref="C510">SUMPRODUCT((task_table_13_4_26!$C$2:$C$596=$C$1)*(A510&gt;task_table_13_4_26!$J$2:$J$596)*(A510&lt;task_table_13_4_26!$K$2:$K$596))</f>
        <v>4</v>
      </c>
      <c r="D510" cm="1">
        <f t="array" ref="D510">SUMPRODUCT((task_table_13_4_26!$C$2:$C$596=$D$1)*(A510&gt;task_table_13_4_26!$J$2:$J$596)*(A510&lt;task_table_13_4_26!$K$2:$K$596))</f>
        <v>0</v>
      </c>
      <c r="E510" cm="1">
        <f t="array" ref="E510">SUMPRODUCT((task_table_13_4_26!$C$2:$C$596=$E$1)*(A510&gt;task_table_13_4_26!$J$2:$J$596)*(A510&lt;task_table_13_4_26!$K$2:$K$596))</f>
        <v>0</v>
      </c>
    </row>
    <row r="511" spans="1:5">
      <c r="A511" s="5">
        <v>46379</v>
      </c>
      <c r="B511" cm="1">
        <f t="array" ref="B511">SUMPRODUCT((task_table_13_4_26!$C$2:$C$596=$B$1)*(A511&gt;task_table_13_4_26!$J$2:$J$596)*(A511&lt;task_table_13_4_26!$K$2:$K$596))</f>
        <v>2</v>
      </c>
      <c r="C511" cm="1">
        <f t="array" ref="C511">SUMPRODUCT((task_table_13_4_26!$C$2:$C$596=$C$1)*(A511&gt;task_table_13_4_26!$J$2:$J$596)*(A511&lt;task_table_13_4_26!$K$2:$K$596))</f>
        <v>3</v>
      </c>
      <c r="D511" cm="1">
        <f t="array" ref="D511">SUMPRODUCT((task_table_13_4_26!$C$2:$C$596=$D$1)*(A511&gt;task_table_13_4_26!$J$2:$J$596)*(A511&lt;task_table_13_4_26!$K$2:$K$596))</f>
        <v>0</v>
      </c>
      <c r="E511" cm="1">
        <f t="array" ref="E511">SUMPRODUCT((task_table_13_4_26!$C$2:$C$596=$E$1)*(A511&gt;task_table_13_4_26!$J$2:$J$596)*(A511&lt;task_table_13_4_26!$K$2:$K$596))</f>
        <v>0</v>
      </c>
    </row>
    <row r="512" spans="1:5">
      <c r="A512" s="5">
        <v>46380</v>
      </c>
      <c r="B512" cm="1">
        <f t="array" ref="B512">SUMPRODUCT((task_table_13_4_26!$C$2:$C$596=$B$1)*(A512&gt;task_table_13_4_26!$J$2:$J$596)*(A512&lt;task_table_13_4_26!$K$2:$K$596))</f>
        <v>2</v>
      </c>
      <c r="C512" cm="1">
        <f t="array" ref="C512">SUMPRODUCT((task_table_13_4_26!$C$2:$C$596=$C$1)*(A512&gt;task_table_13_4_26!$J$2:$J$596)*(A512&lt;task_table_13_4_26!$K$2:$K$596))</f>
        <v>3</v>
      </c>
      <c r="D512" cm="1">
        <f t="array" ref="D512">SUMPRODUCT((task_table_13_4_26!$C$2:$C$596=$D$1)*(A512&gt;task_table_13_4_26!$J$2:$J$596)*(A512&lt;task_table_13_4_26!$K$2:$K$596))</f>
        <v>0</v>
      </c>
      <c r="E512" cm="1">
        <f t="array" ref="E512">SUMPRODUCT((task_table_13_4_26!$C$2:$C$596=$E$1)*(A512&gt;task_table_13_4_26!$J$2:$J$596)*(A512&lt;task_table_13_4_26!$K$2:$K$596))</f>
        <v>0</v>
      </c>
    </row>
    <row r="513" spans="1:5">
      <c r="A513" s="5">
        <v>46381</v>
      </c>
      <c r="B513" cm="1">
        <f t="array" ref="B513">SUMPRODUCT((task_table_13_4_26!$C$2:$C$596=$B$1)*(A513&gt;task_table_13_4_26!$J$2:$J$596)*(A513&lt;task_table_13_4_26!$K$2:$K$596))</f>
        <v>2</v>
      </c>
      <c r="C513" cm="1">
        <f t="array" ref="C513">SUMPRODUCT((task_table_13_4_26!$C$2:$C$596=$C$1)*(A513&gt;task_table_13_4_26!$J$2:$J$596)*(A513&lt;task_table_13_4_26!$K$2:$K$596))</f>
        <v>3</v>
      </c>
      <c r="D513" cm="1">
        <f t="array" ref="D513">SUMPRODUCT((task_table_13_4_26!$C$2:$C$596=$D$1)*(A513&gt;task_table_13_4_26!$J$2:$J$596)*(A513&lt;task_table_13_4_26!$K$2:$K$596))</f>
        <v>0</v>
      </c>
      <c r="E513" cm="1">
        <f t="array" ref="E513">SUMPRODUCT((task_table_13_4_26!$C$2:$C$596=$E$1)*(A513&gt;task_table_13_4_26!$J$2:$J$596)*(A513&lt;task_table_13_4_26!$K$2:$K$596))</f>
        <v>0</v>
      </c>
    </row>
    <row r="514" spans="1:5">
      <c r="A514" s="5">
        <v>46382</v>
      </c>
      <c r="B514" cm="1">
        <f t="array" ref="B514">SUMPRODUCT((task_table_13_4_26!$C$2:$C$596=$B$1)*(A514&gt;task_table_13_4_26!$J$2:$J$596)*(A514&lt;task_table_13_4_26!$K$2:$K$596))</f>
        <v>2</v>
      </c>
      <c r="C514" cm="1">
        <f t="array" ref="C514">SUMPRODUCT((task_table_13_4_26!$C$2:$C$596=$C$1)*(A514&gt;task_table_13_4_26!$J$2:$J$596)*(A514&lt;task_table_13_4_26!$K$2:$K$596))</f>
        <v>3</v>
      </c>
      <c r="D514" cm="1">
        <f t="array" ref="D514">SUMPRODUCT((task_table_13_4_26!$C$2:$C$596=$D$1)*(A514&gt;task_table_13_4_26!$J$2:$J$596)*(A514&lt;task_table_13_4_26!$K$2:$K$596))</f>
        <v>0</v>
      </c>
      <c r="E514" cm="1">
        <f t="array" ref="E514">SUMPRODUCT((task_table_13_4_26!$C$2:$C$596=$E$1)*(A514&gt;task_table_13_4_26!$J$2:$J$596)*(A514&lt;task_table_13_4_26!$K$2:$K$596))</f>
        <v>0</v>
      </c>
    </row>
    <row r="515" spans="1:5">
      <c r="A515" s="5">
        <v>46383</v>
      </c>
      <c r="B515" cm="1">
        <f t="array" ref="B515">SUMPRODUCT((task_table_13_4_26!$C$2:$C$596=$B$1)*(A515&gt;task_table_13_4_26!$J$2:$J$596)*(A515&lt;task_table_13_4_26!$K$2:$K$596))</f>
        <v>2</v>
      </c>
      <c r="C515" cm="1">
        <f t="array" ref="C515">SUMPRODUCT((task_table_13_4_26!$C$2:$C$596=$C$1)*(A515&gt;task_table_13_4_26!$J$2:$J$596)*(A515&lt;task_table_13_4_26!$K$2:$K$596))</f>
        <v>3</v>
      </c>
      <c r="D515" cm="1">
        <f t="array" ref="D515">SUMPRODUCT((task_table_13_4_26!$C$2:$C$596=$D$1)*(A515&gt;task_table_13_4_26!$J$2:$J$596)*(A515&lt;task_table_13_4_26!$K$2:$K$596))</f>
        <v>0</v>
      </c>
      <c r="E515" cm="1">
        <f t="array" ref="E515">SUMPRODUCT((task_table_13_4_26!$C$2:$C$596=$E$1)*(A515&gt;task_table_13_4_26!$J$2:$J$596)*(A515&lt;task_table_13_4_26!$K$2:$K$596))</f>
        <v>0</v>
      </c>
    </row>
    <row r="516" spans="1:5">
      <c r="A516" s="5">
        <v>46384</v>
      </c>
      <c r="B516" cm="1">
        <f t="array" ref="B516">SUMPRODUCT((task_table_13_4_26!$C$2:$C$596=$B$1)*(A516&gt;task_table_13_4_26!$J$2:$J$596)*(A516&lt;task_table_13_4_26!$K$2:$K$596))</f>
        <v>2</v>
      </c>
      <c r="C516" cm="1">
        <f t="array" ref="C516">SUMPRODUCT((task_table_13_4_26!$C$2:$C$596=$C$1)*(A516&gt;task_table_13_4_26!$J$2:$J$596)*(A516&lt;task_table_13_4_26!$K$2:$K$596))</f>
        <v>3</v>
      </c>
      <c r="D516" cm="1">
        <f t="array" ref="D516">SUMPRODUCT((task_table_13_4_26!$C$2:$C$596=$D$1)*(A516&gt;task_table_13_4_26!$J$2:$J$596)*(A516&lt;task_table_13_4_26!$K$2:$K$596))</f>
        <v>0</v>
      </c>
      <c r="E516" cm="1">
        <f t="array" ref="E516">SUMPRODUCT((task_table_13_4_26!$C$2:$C$596=$E$1)*(A516&gt;task_table_13_4_26!$J$2:$J$596)*(A516&lt;task_table_13_4_26!$K$2:$K$596))</f>
        <v>0</v>
      </c>
    </row>
    <row r="517" spans="1:5">
      <c r="A517" s="5">
        <v>46385</v>
      </c>
      <c r="B517" cm="1">
        <f t="array" ref="B517">SUMPRODUCT((task_table_13_4_26!$C$2:$C$596=$B$1)*(A517&gt;task_table_13_4_26!$J$2:$J$596)*(A517&lt;task_table_13_4_26!$K$2:$K$596))</f>
        <v>2</v>
      </c>
      <c r="C517" cm="1">
        <f t="array" ref="C517">SUMPRODUCT((task_table_13_4_26!$C$2:$C$596=$C$1)*(A517&gt;task_table_13_4_26!$J$2:$J$596)*(A517&lt;task_table_13_4_26!$K$2:$K$596))</f>
        <v>3</v>
      </c>
      <c r="D517" cm="1">
        <f t="array" ref="D517">SUMPRODUCT((task_table_13_4_26!$C$2:$C$596=$D$1)*(A517&gt;task_table_13_4_26!$J$2:$J$596)*(A517&lt;task_table_13_4_26!$K$2:$K$596))</f>
        <v>0</v>
      </c>
      <c r="E517" cm="1">
        <f t="array" ref="E517">SUMPRODUCT((task_table_13_4_26!$C$2:$C$596=$E$1)*(A517&gt;task_table_13_4_26!$J$2:$J$596)*(A517&lt;task_table_13_4_26!$K$2:$K$596))</f>
        <v>0</v>
      </c>
    </row>
    <row r="518" spans="1:5">
      <c r="A518" s="5">
        <v>46386</v>
      </c>
      <c r="B518" cm="1">
        <f t="array" ref="B518">SUMPRODUCT((task_table_13_4_26!$C$2:$C$596=$B$1)*(A518&gt;task_table_13_4_26!$J$2:$J$596)*(A518&lt;task_table_13_4_26!$K$2:$K$596))</f>
        <v>2</v>
      </c>
      <c r="C518" cm="1">
        <f t="array" ref="C518">SUMPRODUCT((task_table_13_4_26!$C$2:$C$596=$C$1)*(A518&gt;task_table_13_4_26!$J$2:$J$596)*(A518&lt;task_table_13_4_26!$K$2:$K$596))</f>
        <v>3</v>
      </c>
      <c r="D518" cm="1">
        <f t="array" ref="D518">SUMPRODUCT((task_table_13_4_26!$C$2:$C$596=$D$1)*(A518&gt;task_table_13_4_26!$J$2:$J$596)*(A518&lt;task_table_13_4_26!$K$2:$K$596))</f>
        <v>0</v>
      </c>
      <c r="E518" cm="1">
        <f t="array" ref="E518">SUMPRODUCT((task_table_13_4_26!$C$2:$C$596=$E$1)*(A518&gt;task_table_13_4_26!$J$2:$J$596)*(A518&lt;task_table_13_4_26!$K$2:$K$596))</f>
        <v>0</v>
      </c>
    </row>
    <row r="519" spans="1:5">
      <c r="A519" s="5">
        <v>46387</v>
      </c>
      <c r="B519" cm="1">
        <f t="array" ref="B519">SUMPRODUCT((task_table_13_4_26!$C$2:$C$596=$B$1)*(A519&gt;task_table_13_4_26!$J$2:$J$596)*(A519&lt;task_table_13_4_26!$K$2:$K$596))</f>
        <v>1</v>
      </c>
      <c r="C519" cm="1">
        <f t="array" ref="C519">SUMPRODUCT((task_table_13_4_26!$C$2:$C$596=$C$1)*(A519&gt;task_table_13_4_26!$J$2:$J$596)*(A519&lt;task_table_13_4_26!$K$2:$K$596))</f>
        <v>0</v>
      </c>
      <c r="D519" cm="1">
        <f t="array" ref="D519">SUMPRODUCT((task_table_13_4_26!$C$2:$C$596=$D$1)*(A519&gt;task_table_13_4_26!$J$2:$J$596)*(A519&lt;task_table_13_4_26!$K$2:$K$596))</f>
        <v>0</v>
      </c>
      <c r="E519" cm="1">
        <f t="array" ref="E519">SUMPRODUCT((task_table_13_4_26!$C$2:$C$596=$E$1)*(A519&gt;task_table_13_4_26!$J$2:$J$596)*(A519&lt;task_table_13_4_26!$K$2:$K$596))</f>
        <v>0</v>
      </c>
    </row>
    <row r="520" spans="1:5">
      <c r="A520" s="5">
        <v>46388</v>
      </c>
      <c r="B520" cm="1">
        <f t="array" ref="B520">SUMPRODUCT((task_table_13_4_26!$C$2:$C$596=$B$1)*(A520&gt;task_table_13_4_26!$J$2:$J$596)*(A520&lt;task_table_13_4_26!$K$2:$K$596))</f>
        <v>0</v>
      </c>
      <c r="C520" cm="1">
        <f t="array" ref="C520">SUMPRODUCT((task_table_13_4_26!$C$2:$C$596=$C$1)*(A520&gt;task_table_13_4_26!$J$2:$J$596)*(A520&lt;task_table_13_4_26!$K$2:$K$596))</f>
        <v>0</v>
      </c>
      <c r="D520" cm="1">
        <f t="array" ref="D520">SUMPRODUCT((task_table_13_4_26!$C$2:$C$596=$D$1)*(A520&gt;task_table_13_4_26!$J$2:$J$596)*(A520&lt;task_table_13_4_26!$K$2:$K$596))</f>
        <v>0</v>
      </c>
      <c r="E520" cm="1">
        <f t="array" ref="E520">SUMPRODUCT((task_table_13_4_26!$C$2:$C$596=$E$1)*(A520&gt;task_table_13_4_26!$J$2:$J$596)*(A520&lt;task_table_13_4_26!$K$2:$K$596))</f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5494F-1080-4334-BAAB-6C51FCAB0E3C}">
  <dimension ref="A1:S624"/>
  <sheetViews>
    <sheetView tabSelected="1" topLeftCell="C1" workbookViewId="0">
      <pane ySplit="1" topLeftCell="B462" activePane="bottomLeft" state="frozen"/>
      <selection pane="bottomLeft" activeCell="C470" sqref="C470"/>
    </sheetView>
  </sheetViews>
  <sheetFormatPr defaultColWidth="8.85546875" defaultRowHeight="15" outlineLevelRow="1"/>
  <cols>
    <col min="1" max="1" width="20" hidden="1" customWidth="1"/>
    <col min="2" max="2" width="25.7109375" bestFit="1" customWidth="1"/>
    <col min="3" max="3" width="51.42578125" customWidth="1"/>
    <col min="4" max="4" width="19.5703125" customWidth="1"/>
    <col min="5" max="5" width="13.7109375" bestFit="1" customWidth="1"/>
    <col min="6" max="6" width="15" customWidth="1"/>
    <col min="7" max="7" width="14.28515625" style="183" customWidth="1"/>
    <col min="8" max="8" width="49.7109375" customWidth="1"/>
    <col min="9" max="9" width="24.5703125" customWidth="1"/>
    <col min="10" max="10" width="33.140625" customWidth="1"/>
    <col min="11" max="12" width="11.7109375" customWidth="1"/>
    <col min="13" max="13" width="16.85546875" customWidth="1"/>
    <col min="14" max="14" width="21.85546875" customWidth="1"/>
    <col min="15" max="15" width="21.7109375" customWidth="1"/>
    <col min="16" max="16" width="24.85546875" customWidth="1"/>
    <col min="17" max="17" width="47.85546875" customWidth="1"/>
    <col min="18" max="18" width="22.85546875" customWidth="1"/>
    <col min="19" max="19" width="78.7109375" hidden="1" customWidth="1"/>
    <col min="20" max="20" width="8.85546875" customWidth="1"/>
  </cols>
  <sheetData>
    <row r="1" spans="1:19">
      <c r="A1" s="129" t="s">
        <v>636</v>
      </c>
      <c r="B1" s="130" t="s">
        <v>205</v>
      </c>
      <c r="C1" s="130" t="s">
        <v>206</v>
      </c>
      <c r="D1" s="130" t="s">
        <v>2</v>
      </c>
      <c r="E1" s="130" t="s">
        <v>3</v>
      </c>
      <c r="F1" s="130" t="s">
        <v>207</v>
      </c>
      <c r="G1" s="182" t="s">
        <v>637</v>
      </c>
      <c r="H1" s="130" t="s">
        <v>209</v>
      </c>
      <c r="I1" s="157" t="s">
        <v>461</v>
      </c>
      <c r="J1" s="130" t="s">
        <v>210</v>
      </c>
      <c r="K1" s="130" t="s">
        <v>9</v>
      </c>
      <c r="L1" s="130" t="s">
        <v>10</v>
      </c>
      <c r="M1" s="130" t="s">
        <v>638</v>
      </c>
      <c r="N1" s="130" t="s">
        <v>465</v>
      </c>
      <c r="O1" s="130" t="s">
        <v>213</v>
      </c>
      <c r="P1" s="130" t="s">
        <v>14</v>
      </c>
      <c r="Q1" s="130" t="s">
        <v>214</v>
      </c>
      <c r="R1" s="130" t="s">
        <v>611</v>
      </c>
      <c r="S1" s="130" t="s">
        <v>639</v>
      </c>
    </row>
    <row r="2" spans="1:19">
      <c r="A2" s="126" t="s">
        <v>640</v>
      </c>
      <c r="B2" s="119"/>
      <c r="C2" s="120" t="s">
        <v>641</v>
      </c>
      <c r="D2" s="119"/>
      <c r="E2" s="120" t="s">
        <v>19</v>
      </c>
      <c r="F2" s="120" t="s">
        <v>20</v>
      </c>
      <c r="G2" s="121">
        <v>0.31</v>
      </c>
      <c r="H2" s="119"/>
      <c r="I2" s="119"/>
      <c r="J2" s="119"/>
      <c r="K2" s="145">
        <v>45931</v>
      </c>
      <c r="L2" s="148"/>
      <c r="M2" s="120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2" s="145"/>
      <c r="O2" s="119"/>
      <c r="P2" s="119"/>
      <c r="Q2" s="120" t="s">
        <v>641</v>
      </c>
      <c r="R2" s="45"/>
      <c r="S2" s="176"/>
    </row>
    <row r="3" spans="1:19">
      <c r="A3" s="126" t="s">
        <v>642</v>
      </c>
      <c r="B3" s="46" t="s">
        <v>16</v>
      </c>
      <c r="C3" s="158" t="s">
        <v>215</v>
      </c>
      <c r="D3" s="158" t="s">
        <v>18</v>
      </c>
      <c r="E3" s="158" t="s">
        <v>19</v>
      </c>
      <c r="F3" s="158" t="s">
        <v>20</v>
      </c>
      <c r="G3" s="156">
        <v>0.5</v>
      </c>
      <c r="H3" s="159" t="s">
        <v>469</v>
      </c>
      <c r="I3" s="159" t="s">
        <v>24</v>
      </c>
      <c r="J3" s="159" t="s">
        <v>25</v>
      </c>
      <c r="K3" s="160">
        <v>46055</v>
      </c>
      <c r="L3" s="160">
        <v>46232</v>
      </c>
      <c r="M3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128</v>
      </c>
      <c r="N3" s="160">
        <v>46148</v>
      </c>
      <c r="O3" s="143"/>
      <c r="P3" s="158">
        <v>1</v>
      </c>
      <c r="Q3" s="158" t="s">
        <v>17</v>
      </c>
      <c r="R3" s="45"/>
      <c r="S3" s="176"/>
    </row>
    <row r="4" spans="1:19" outlineLevel="1">
      <c r="A4" s="127" t="s">
        <v>640</v>
      </c>
      <c r="B4" s="50" t="s">
        <v>16</v>
      </c>
      <c r="C4" s="161" t="s">
        <v>216</v>
      </c>
      <c r="D4" s="161" t="s">
        <v>22</v>
      </c>
      <c r="E4" s="161" t="s">
        <v>19</v>
      </c>
      <c r="F4" s="161" t="s">
        <v>20</v>
      </c>
      <c r="G4" s="162">
        <v>0.5</v>
      </c>
      <c r="H4" s="161" t="s">
        <v>469</v>
      </c>
      <c r="I4" s="161" t="s">
        <v>24</v>
      </c>
      <c r="J4" s="161" t="s">
        <v>25</v>
      </c>
      <c r="K4" s="163">
        <v>46055</v>
      </c>
      <c r="L4" s="164">
        <v>46142</v>
      </c>
      <c r="M4" s="161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64</v>
      </c>
      <c r="N4" s="163"/>
      <c r="O4" s="161" t="s">
        <v>26</v>
      </c>
      <c r="P4" s="161" t="s">
        <v>26</v>
      </c>
      <c r="Q4" s="161" t="s">
        <v>17</v>
      </c>
      <c r="R4" s="45"/>
      <c r="S4" s="176"/>
    </row>
    <row r="5" spans="1:19" outlineLevel="1">
      <c r="A5" s="127" t="s">
        <v>640</v>
      </c>
      <c r="B5" s="50" t="s">
        <v>16</v>
      </c>
      <c r="C5" s="161" t="s">
        <v>216</v>
      </c>
      <c r="D5" s="161" t="s">
        <v>28</v>
      </c>
      <c r="E5" s="161" t="s">
        <v>19</v>
      </c>
      <c r="F5" s="161" t="s">
        <v>20</v>
      </c>
      <c r="G5" s="162">
        <v>0</v>
      </c>
      <c r="H5" s="161" t="s">
        <v>469</v>
      </c>
      <c r="I5" s="161" t="s">
        <v>24</v>
      </c>
      <c r="J5" s="161" t="s">
        <v>25</v>
      </c>
      <c r="K5" s="164">
        <v>46156</v>
      </c>
      <c r="L5" s="164">
        <v>46232</v>
      </c>
      <c r="M5" s="161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55</v>
      </c>
      <c r="N5" s="163"/>
      <c r="O5" s="142"/>
      <c r="P5" s="161" t="s">
        <v>27</v>
      </c>
      <c r="Q5" s="161" t="s">
        <v>17</v>
      </c>
      <c r="R5" s="45"/>
      <c r="S5" s="176"/>
    </row>
    <row r="6" spans="1:19" outlineLevel="1">
      <c r="A6" s="127" t="s">
        <v>640</v>
      </c>
      <c r="B6" s="50" t="s">
        <v>16</v>
      </c>
      <c r="C6" s="161" t="s">
        <v>216</v>
      </c>
      <c r="D6" s="161" t="s">
        <v>29</v>
      </c>
      <c r="E6" s="161" t="s">
        <v>19</v>
      </c>
      <c r="F6" s="161" t="s">
        <v>20</v>
      </c>
      <c r="G6" s="162">
        <v>0</v>
      </c>
      <c r="H6" s="161" t="s">
        <v>469</v>
      </c>
      <c r="I6" s="161" t="s">
        <v>24</v>
      </c>
      <c r="J6" s="161" t="s">
        <v>25</v>
      </c>
      <c r="K6" s="163"/>
      <c r="L6" s="163"/>
      <c r="M6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6" s="163"/>
      <c r="O6" s="142"/>
      <c r="P6" s="142"/>
      <c r="Q6" s="161" t="s">
        <v>17</v>
      </c>
      <c r="R6" s="45"/>
      <c r="S6" s="176"/>
    </row>
    <row r="7" spans="1:19" outlineLevel="1">
      <c r="A7" s="127" t="s">
        <v>640</v>
      </c>
      <c r="B7" s="50" t="s">
        <v>16</v>
      </c>
      <c r="C7" s="161" t="s">
        <v>216</v>
      </c>
      <c r="D7" s="161" t="s">
        <v>30</v>
      </c>
      <c r="E7" s="161" t="s">
        <v>19</v>
      </c>
      <c r="F7" s="161" t="s">
        <v>20</v>
      </c>
      <c r="G7" s="162">
        <v>0</v>
      </c>
      <c r="H7" s="161" t="s">
        <v>469</v>
      </c>
      <c r="I7" s="161" t="s">
        <v>24</v>
      </c>
      <c r="J7" s="161" t="s">
        <v>25</v>
      </c>
      <c r="K7" s="163"/>
      <c r="L7" s="163"/>
      <c r="M7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7" s="163"/>
      <c r="O7" s="142"/>
      <c r="P7" s="142"/>
      <c r="Q7" s="161" t="s">
        <v>17</v>
      </c>
      <c r="R7" s="45"/>
      <c r="S7" s="176"/>
    </row>
    <row r="8" spans="1:19">
      <c r="A8" s="126" t="s">
        <v>642</v>
      </c>
      <c r="B8" s="53" t="s">
        <v>16</v>
      </c>
      <c r="C8" s="165" t="s">
        <v>217</v>
      </c>
      <c r="D8" s="158" t="s">
        <v>18</v>
      </c>
      <c r="E8" s="158" t="s">
        <v>19</v>
      </c>
      <c r="F8" s="158" t="s">
        <v>20</v>
      </c>
      <c r="G8" s="156">
        <v>0.5</v>
      </c>
      <c r="H8" s="156" t="s">
        <v>471</v>
      </c>
      <c r="I8" s="159" t="s">
        <v>24</v>
      </c>
      <c r="J8" s="159" t="s">
        <v>25</v>
      </c>
      <c r="K8" s="166">
        <v>46029</v>
      </c>
      <c r="L8" s="160">
        <v>46265</v>
      </c>
      <c r="M8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169</v>
      </c>
      <c r="N8" s="160"/>
      <c r="O8" s="167"/>
      <c r="P8" s="143"/>
      <c r="Q8" s="158" t="s">
        <v>31</v>
      </c>
      <c r="R8" s="158"/>
      <c r="S8" s="177"/>
    </row>
    <row r="9" spans="1:19" outlineLevel="1">
      <c r="A9" s="127" t="s">
        <v>640</v>
      </c>
      <c r="B9" s="50" t="s">
        <v>16</v>
      </c>
      <c r="C9" s="168" t="s">
        <v>218</v>
      </c>
      <c r="D9" s="161" t="s">
        <v>22</v>
      </c>
      <c r="E9" s="161" t="s">
        <v>19</v>
      </c>
      <c r="F9" s="161" t="s">
        <v>20</v>
      </c>
      <c r="G9" s="162">
        <v>0.5</v>
      </c>
      <c r="H9" s="162" t="s">
        <v>471</v>
      </c>
      <c r="I9" s="161" t="s">
        <v>24</v>
      </c>
      <c r="J9" s="161" t="s">
        <v>25</v>
      </c>
      <c r="K9" s="163">
        <v>46097</v>
      </c>
      <c r="L9" s="163">
        <v>46163</v>
      </c>
      <c r="M9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49</v>
      </c>
      <c r="N9" s="163"/>
      <c r="O9" s="170" t="s">
        <v>26</v>
      </c>
      <c r="P9" s="161" t="s">
        <v>26</v>
      </c>
      <c r="Q9" s="161" t="s">
        <v>31</v>
      </c>
      <c r="R9" s="161"/>
      <c r="S9" s="178"/>
    </row>
    <row r="10" spans="1:19" outlineLevel="1">
      <c r="A10" s="127" t="s">
        <v>640</v>
      </c>
      <c r="B10" s="50" t="s">
        <v>16</v>
      </c>
      <c r="C10" s="168" t="s">
        <v>218</v>
      </c>
      <c r="D10" s="161" t="s">
        <v>28</v>
      </c>
      <c r="E10" s="161" t="s">
        <v>19</v>
      </c>
      <c r="F10" s="161" t="s">
        <v>20</v>
      </c>
      <c r="G10" s="162">
        <v>0</v>
      </c>
      <c r="H10" s="162" t="s">
        <v>471</v>
      </c>
      <c r="I10" s="161" t="s">
        <v>24</v>
      </c>
      <c r="J10" s="161" t="s">
        <v>25</v>
      </c>
      <c r="K10" s="163">
        <v>46167</v>
      </c>
      <c r="L10" s="164">
        <v>46265</v>
      </c>
      <c r="M10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71</v>
      </c>
      <c r="N10" s="163"/>
      <c r="O10" s="170"/>
      <c r="P10" s="142" t="s">
        <v>27</v>
      </c>
      <c r="Q10" s="161" t="s">
        <v>31</v>
      </c>
      <c r="R10" s="161"/>
      <c r="S10" s="178"/>
    </row>
    <row r="11" spans="1:19" outlineLevel="1">
      <c r="A11" s="127" t="s">
        <v>640</v>
      </c>
      <c r="B11" s="50" t="s">
        <v>16</v>
      </c>
      <c r="C11" s="168" t="s">
        <v>218</v>
      </c>
      <c r="D11" s="161" t="s">
        <v>29</v>
      </c>
      <c r="E11" s="161" t="s">
        <v>19</v>
      </c>
      <c r="F11" s="161" t="s">
        <v>20</v>
      </c>
      <c r="G11" s="162">
        <v>0</v>
      </c>
      <c r="H11" s="162" t="s">
        <v>471</v>
      </c>
      <c r="I11" s="161" t="s">
        <v>24</v>
      </c>
      <c r="J11" s="161" t="s">
        <v>25</v>
      </c>
      <c r="K11" s="163"/>
      <c r="L11" s="163"/>
      <c r="M11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1" s="163"/>
      <c r="O11" s="170"/>
      <c r="P11" s="142"/>
      <c r="Q11" s="142" t="s">
        <v>31</v>
      </c>
      <c r="R11" s="161"/>
      <c r="S11" s="178"/>
    </row>
    <row r="12" spans="1:19" outlineLevel="1">
      <c r="A12" s="127" t="s">
        <v>640</v>
      </c>
      <c r="B12" s="50" t="s">
        <v>16</v>
      </c>
      <c r="C12" s="168" t="s">
        <v>218</v>
      </c>
      <c r="D12" s="161" t="s">
        <v>30</v>
      </c>
      <c r="E12" s="161" t="s">
        <v>19</v>
      </c>
      <c r="F12" s="161" t="s">
        <v>20</v>
      </c>
      <c r="G12" s="162">
        <v>0</v>
      </c>
      <c r="H12" s="162" t="s">
        <v>471</v>
      </c>
      <c r="I12" s="161" t="s">
        <v>24</v>
      </c>
      <c r="J12" s="161" t="s">
        <v>25</v>
      </c>
      <c r="K12" s="163"/>
      <c r="L12" s="163"/>
      <c r="M12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2" s="163"/>
      <c r="O12" s="170"/>
      <c r="P12" s="142"/>
      <c r="Q12" s="142" t="s">
        <v>31</v>
      </c>
      <c r="R12" s="161"/>
      <c r="S12" s="178"/>
    </row>
    <row r="13" spans="1:19">
      <c r="A13" s="126" t="s">
        <v>642</v>
      </c>
      <c r="B13" s="46" t="s">
        <v>16</v>
      </c>
      <c r="C13" s="158" t="s">
        <v>219</v>
      </c>
      <c r="D13" s="158" t="s">
        <v>18</v>
      </c>
      <c r="E13" s="158" t="s">
        <v>33</v>
      </c>
      <c r="F13" s="158" t="s">
        <v>20</v>
      </c>
      <c r="G13" s="156">
        <v>0.25</v>
      </c>
      <c r="H13" s="159" t="s">
        <v>23</v>
      </c>
      <c r="I13" s="159" t="s">
        <v>24</v>
      </c>
      <c r="J13" s="159" t="s">
        <v>25</v>
      </c>
      <c r="K13" s="160">
        <v>46029</v>
      </c>
      <c r="L13" s="160">
        <v>46039</v>
      </c>
      <c r="M13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8</v>
      </c>
      <c r="N13" s="160"/>
      <c r="O13" s="143"/>
      <c r="P13" s="158"/>
      <c r="Q13" s="158" t="s">
        <v>31</v>
      </c>
      <c r="R13" s="45"/>
      <c r="S13" s="165" t="str">
        <f>C8</f>
        <v xml:space="preserve">   Manage IT governance framework</v>
      </c>
    </row>
    <row r="14" spans="1:19" outlineLevel="1">
      <c r="A14" s="127" t="s">
        <v>640</v>
      </c>
      <c r="B14" s="50" t="s">
        <v>16</v>
      </c>
      <c r="C14" s="161" t="s">
        <v>220</v>
      </c>
      <c r="D14" s="161" t="s">
        <v>22</v>
      </c>
      <c r="E14" s="161" t="s">
        <v>33</v>
      </c>
      <c r="F14" s="161" t="s">
        <v>20</v>
      </c>
      <c r="G14" s="162">
        <v>0.25</v>
      </c>
      <c r="H14" s="161" t="s">
        <v>23</v>
      </c>
      <c r="I14" s="161" t="s">
        <v>24</v>
      </c>
      <c r="J14" s="161" t="s">
        <v>25</v>
      </c>
      <c r="K14" s="163">
        <v>46029</v>
      </c>
      <c r="L14" s="164"/>
      <c r="M14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4" s="163"/>
      <c r="O14" s="161"/>
      <c r="P14" s="161"/>
      <c r="Q14" s="161" t="s">
        <v>31</v>
      </c>
      <c r="R14" s="45"/>
      <c r="S14" s="168" t="str">
        <f>C9</f>
        <v xml:space="preserve">      Manage IT governance framework</v>
      </c>
    </row>
    <row r="15" spans="1:19" outlineLevel="1">
      <c r="A15" s="127" t="s">
        <v>640</v>
      </c>
      <c r="B15" s="50" t="s">
        <v>16</v>
      </c>
      <c r="C15" s="161" t="s">
        <v>220</v>
      </c>
      <c r="D15" s="161" t="s">
        <v>28</v>
      </c>
      <c r="E15" s="161" t="s">
        <v>33</v>
      </c>
      <c r="F15" s="161" t="s">
        <v>20</v>
      </c>
      <c r="G15" s="162">
        <v>0</v>
      </c>
      <c r="H15" s="161" t="s">
        <v>23</v>
      </c>
      <c r="I15" s="161" t="s">
        <v>24</v>
      </c>
      <c r="J15" s="161" t="s">
        <v>25</v>
      </c>
      <c r="K15" s="164">
        <v>46029</v>
      </c>
      <c r="L15" s="164">
        <v>46039</v>
      </c>
      <c r="M15" s="161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7</v>
      </c>
      <c r="N15" s="163"/>
      <c r="O15" s="142" t="s">
        <v>43</v>
      </c>
      <c r="P15" s="161" t="s">
        <v>132</v>
      </c>
      <c r="Q15" s="161" t="s">
        <v>31</v>
      </c>
      <c r="R15" s="45"/>
      <c r="S15" s="168" t="str">
        <f t="shared" ref="S15:S17" si="0">C10</f>
        <v xml:space="preserve">      Manage IT governance framework</v>
      </c>
    </row>
    <row r="16" spans="1:19" outlineLevel="1">
      <c r="A16" s="127" t="s">
        <v>640</v>
      </c>
      <c r="B16" s="50" t="s">
        <v>16</v>
      </c>
      <c r="C16" s="161" t="s">
        <v>220</v>
      </c>
      <c r="D16" s="161" t="s">
        <v>29</v>
      </c>
      <c r="E16" s="161" t="s">
        <v>33</v>
      </c>
      <c r="F16" s="161" t="s">
        <v>20</v>
      </c>
      <c r="G16" s="162">
        <v>0</v>
      </c>
      <c r="H16" s="161" t="s">
        <v>23</v>
      </c>
      <c r="I16" s="161" t="s">
        <v>24</v>
      </c>
      <c r="J16" s="161" t="s">
        <v>25</v>
      </c>
      <c r="K16" s="163">
        <v>46029</v>
      </c>
      <c r="L16" s="163"/>
      <c r="M16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6" s="163"/>
      <c r="O16" s="142"/>
      <c r="P16" s="142"/>
      <c r="Q16" s="161" t="s">
        <v>31</v>
      </c>
      <c r="R16" s="45"/>
      <c r="S16" s="168" t="str">
        <f t="shared" si="0"/>
        <v xml:space="preserve">      Manage IT governance framework</v>
      </c>
    </row>
    <row r="17" spans="1:19" outlineLevel="1">
      <c r="A17" s="127" t="s">
        <v>640</v>
      </c>
      <c r="B17" s="50" t="s">
        <v>16</v>
      </c>
      <c r="C17" s="161" t="s">
        <v>220</v>
      </c>
      <c r="D17" s="161" t="s">
        <v>30</v>
      </c>
      <c r="E17" s="161" t="s">
        <v>33</v>
      </c>
      <c r="F17" s="161" t="s">
        <v>20</v>
      </c>
      <c r="G17" s="162">
        <v>0</v>
      </c>
      <c r="H17" s="161" t="s">
        <v>23</v>
      </c>
      <c r="I17" s="161" t="s">
        <v>24</v>
      </c>
      <c r="J17" s="161" t="s">
        <v>25</v>
      </c>
      <c r="K17" s="163"/>
      <c r="L17" s="163"/>
      <c r="M17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7" s="163"/>
      <c r="O17" s="142"/>
      <c r="P17" s="142"/>
      <c r="Q17" s="161" t="s">
        <v>31</v>
      </c>
      <c r="R17" s="45"/>
      <c r="S17" s="168" t="str">
        <f t="shared" si="0"/>
        <v xml:space="preserve">      Manage IT governance framework</v>
      </c>
    </row>
    <row r="18" spans="1:19">
      <c r="A18" s="128" t="s">
        <v>642</v>
      </c>
      <c r="B18" s="123" t="s">
        <v>16</v>
      </c>
      <c r="C18" s="136" t="s">
        <v>221</v>
      </c>
      <c r="D18" s="136" t="s">
        <v>18</v>
      </c>
      <c r="E18" s="136" t="s">
        <v>19</v>
      </c>
      <c r="F18" s="136" t="s">
        <v>20</v>
      </c>
      <c r="G18" s="137">
        <v>0</v>
      </c>
      <c r="H18" s="140"/>
      <c r="I18" s="140"/>
      <c r="J18" s="140"/>
      <c r="K18" s="146">
        <v>45946</v>
      </c>
      <c r="L18" s="146">
        <v>46219</v>
      </c>
      <c r="M18" s="136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195.85</v>
      </c>
      <c r="N18" s="146"/>
      <c r="O18" s="140"/>
      <c r="P18" s="140"/>
      <c r="Q18" s="136" t="s">
        <v>34</v>
      </c>
      <c r="R18" s="45"/>
      <c r="S18" s="176"/>
    </row>
    <row r="19" spans="1:19" outlineLevel="1">
      <c r="A19" s="128" t="s">
        <v>640</v>
      </c>
      <c r="B19" s="122" t="s">
        <v>16</v>
      </c>
      <c r="C19" s="136" t="s">
        <v>222</v>
      </c>
      <c r="D19" s="136" t="s">
        <v>22</v>
      </c>
      <c r="E19" s="136" t="s">
        <v>19</v>
      </c>
      <c r="F19" s="136" t="s">
        <v>20</v>
      </c>
      <c r="G19" s="137">
        <v>0</v>
      </c>
      <c r="H19" s="136" t="s">
        <v>35</v>
      </c>
      <c r="I19" s="136" t="s">
        <v>36</v>
      </c>
      <c r="J19" s="136" t="s">
        <v>37</v>
      </c>
      <c r="K19" s="146">
        <v>46076</v>
      </c>
      <c r="L19" s="149">
        <v>46150</v>
      </c>
      <c r="M19" s="136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9" s="146"/>
      <c r="O19" s="136" t="s">
        <v>43</v>
      </c>
      <c r="P19" s="136" t="s">
        <v>26</v>
      </c>
      <c r="Q19" s="136" t="s">
        <v>34</v>
      </c>
      <c r="R19" s="45"/>
      <c r="S19" s="176"/>
    </row>
    <row r="20" spans="1:19" outlineLevel="1">
      <c r="A20" s="128" t="s">
        <v>642</v>
      </c>
      <c r="B20" s="122" t="s">
        <v>16</v>
      </c>
      <c r="C20" s="136" t="s">
        <v>222</v>
      </c>
      <c r="D20" s="136" t="s">
        <v>28</v>
      </c>
      <c r="E20" s="136" t="s">
        <v>19</v>
      </c>
      <c r="F20" s="136" t="s">
        <v>20</v>
      </c>
      <c r="G20" s="137">
        <v>0</v>
      </c>
      <c r="H20" s="140"/>
      <c r="I20" s="140"/>
      <c r="J20" s="140"/>
      <c r="K20" s="146">
        <v>46150</v>
      </c>
      <c r="L20" s="146">
        <v>46219</v>
      </c>
      <c r="M20" s="136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20" s="146"/>
      <c r="O20" s="140"/>
      <c r="P20" s="136" t="s">
        <v>27</v>
      </c>
      <c r="Q20" s="136" t="s">
        <v>34</v>
      </c>
      <c r="R20" s="45"/>
      <c r="S20" s="176"/>
    </row>
    <row r="21" spans="1:19" outlineLevel="1">
      <c r="A21" s="128" t="s">
        <v>640</v>
      </c>
      <c r="B21" s="122" t="s">
        <v>16</v>
      </c>
      <c r="C21" s="136" t="s">
        <v>222</v>
      </c>
      <c r="D21" s="136" t="s">
        <v>29</v>
      </c>
      <c r="E21" s="136" t="s">
        <v>19</v>
      </c>
      <c r="F21" s="136" t="s">
        <v>20</v>
      </c>
      <c r="G21" s="137">
        <v>0</v>
      </c>
      <c r="H21" s="140"/>
      <c r="I21" s="140"/>
      <c r="J21" s="140"/>
      <c r="K21" s="146">
        <v>46150</v>
      </c>
      <c r="L21" s="146">
        <v>46153</v>
      </c>
      <c r="M21" s="136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21" s="146"/>
      <c r="O21" s="140"/>
      <c r="P21" s="136" t="s">
        <v>27</v>
      </c>
      <c r="Q21" s="136" t="s">
        <v>34</v>
      </c>
      <c r="R21" s="45"/>
      <c r="S21" s="176"/>
    </row>
    <row r="22" spans="1:19" outlineLevel="1">
      <c r="A22" s="128" t="s">
        <v>640</v>
      </c>
      <c r="B22" s="122" t="s">
        <v>16</v>
      </c>
      <c r="C22" s="136" t="s">
        <v>222</v>
      </c>
      <c r="D22" s="136" t="s">
        <v>30</v>
      </c>
      <c r="E22" s="136" t="s">
        <v>19</v>
      </c>
      <c r="F22" s="136" t="s">
        <v>20</v>
      </c>
      <c r="G22" s="137">
        <v>0</v>
      </c>
      <c r="H22" s="140"/>
      <c r="I22" s="140"/>
      <c r="J22" s="140"/>
      <c r="K22" s="146">
        <v>46150</v>
      </c>
      <c r="L22" s="146">
        <v>46153</v>
      </c>
      <c r="M22" s="136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22" s="146"/>
      <c r="O22" s="140"/>
      <c r="P22" s="136" t="s">
        <v>27</v>
      </c>
      <c r="Q22" s="136" t="s">
        <v>34</v>
      </c>
      <c r="R22" s="45"/>
      <c r="S22" s="176"/>
    </row>
    <row r="23" spans="1:19">
      <c r="A23" s="128" t="s">
        <v>642</v>
      </c>
      <c r="B23" s="123" t="s">
        <v>16</v>
      </c>
      <c r="C23" s="135" t="s">
        <v>224</v>
      </c>
      <c r="D23" s="135" t="s">
        <v>18</v>
      </c>
      <c r="E23" s="135" t="s">
        <v>33</v>
      </c>
      <c r="F23" s="135" t="s">
        <v>20</v>
      </c>
      <c r="G23" s="139">
        <v>0</v>
      </c>
      <c r="H23" s="138"/>
      <c r="I23" s="138"/>
      <c r="J23" s="138"/>
      <c r="K23" s="147">
        <v>45946</v>
      </c>
      <c r="L23" s="147">
        <v>46142</v>
      </c>
      <c r="M23" s="135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23" s="147"/>
      <c r="O23" s="138"/>
      <c r="P23" s="138"/>
      <c r="Q23" s="135" t="s">
        <v>34</v>
      </c>
      <c r="R23" s="45"/>
      <c r="S23" s="176"/>
    </row>
    <row r="24" spans="1:19" outlineLevel="1">
      <c r="A24" s="134" t="s">
        <v>640</v>
      </c>
      <c r="B24" s="135" t="s">
        <v>16</v>
      </c>
      <c r="C24" s="135" t="s">
        <v>225</v>
      </c>
      <c r="D24" s="135" t="s">
        <v>22</v>
      </c>
      <c r="E24" s="135" t="s">
        <v>33</v>
      </c>
      <c r="F24" s="135" t="s">
        <v>20</v>
      </c>
      <c r="G24" s="139">
        <v>0</v>
      </c>
      <c r="H24" s="135" t="s">
        <v>35</v>
      </c>
      <c r="I24" s="135" t="s">
        <v>36</v>
      </c>
      <c r="J24" s="135" t="s">
        <v>37</v>
      </c>
      <c r="K24" s="147">
        <v>46076</v>
      </c>
      <c r="L24" s="150">
        <v>46142</v>
      </c>
      <c r="M24" s="135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24" s="147"/>
      <c r="O24" s="135" t="s">
        <v>43</v>
      </c>
      <c r="P24" s="135" t="s">
        <v>26</v>
      </c>
      <c r="Q24" s="135" t="s">
        <v>34</v>
      </c>
      <c r="R24" s="138"/>
      <c r="S24" s="179"/>
    </row>
    <row r="25" spans="1:19" outlineLevel="1">
      <c r="A25" s="128" t="s">
        <v>640</v>
      </c>
      <c r="B25" s="122" t="s">
        <v>16</v>
      </c>
      <c r="C25" s="135" t="s">
        <v>225</v>
      </c>
      <c r="D25" s="135" t="s">
        <v>28</v>
      </c>
      <c r="E25" s="135" t="s">
        <v>33</v>
      </c>
      <c r="F25" s="135" t="s">
        <v>20</v>
      </c>
      <c r="G25" s="139">
        <v>0</v>
      </c>
      <c r="H25" s="138"/>
      <c r="I25" s="138"/>
      <c r="J25" s="138"/>
      <c r="K25" s="147"/>
      <c r="L25" s="150"/>
      <c r="M25" s="135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25" s="147"/>
      <c r="O25" s="138"/>
      <c r="P25" s="138"/>
      <c r="Q25" s="135" t="s">
        <v>34</v>
      </c>
      <c r="R25" s="45"/>
      <c r="S25" s="176"/>
    </row>
    <row r="26" spans="1:19" outlineLevel="1">
      <c r="A26" s="128" t="s">
        <v>640</v>
      </c>
      <c r="B26" s="122" t="s">
        <v>16</v>
      </c>
      <c r="C26" s="135" t="s">
        <v>225</v>
      </c>
      <c r="D26" s="135" t="s">
        <v>29</v>
      </c>
      <c r="E26" s="135" t="s">
        <v>33</v>
      </c>
      <c r="F26" s="135" t="s">
        <v>20</v>
      </c>
      <c r="G26" s="139">
        <v>0</v>
      </c>
      <c r="H26" s="138"/>
      <c r="I26" s="138"/>
      <c r="J26" s="138"/>
      <c r="K26" s="147"/>
      <c r="L26" s="147"/>
      <c r="M26" s="135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26" s="147"/>
      <c r="O26" s="138"/>
      <c r="P26" s="138"/>
      <c r="Q26" s="135" t="s">
        <v>34</v>
      </c>
      <c r="R26" s="45"/>
      <c r="S26" s="176"/>
    </row>
    <row r="27" spans="1:19" outlineLevel="1">
      <c r="A27" s="128" t="s">
        <v>640</v>
      </c>
      <c r="B27" s="122" t="s">
        <v>16</v>
      </c>
      <c r="C27" s="135" t="s">
        <v>225</v>
      </c>
      <c r="D27" s="135" t="s">
        <v>30</v>
      </c>
      <c r="E27" s="135" t="s">
        <v>33</v>
      </c>
      <c r="F27" s="135" t="s">
        <v>20</v>
      </c>
      <c r="G27" s="139">
        <v>0</v>
      </c>
      <c r="H27" s="138"/>
      <c r="I27" s="138"/>
      <c r="J27" s="138"/>
      <c r="K27" s="147"/>
      <c r="L27" s="147"/>
      <c r="M27" s="135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27" s="147"/>
      <c r="O27" s="138"/>
      <c r="P27" s="138"/>
      <c r="Q27" s="135" t="s">
        <v>34</v>
      </c>
      <c r="R27" s="45"/>
      <c r="S27" s="176"/>
    </row>
    <row r="28" spans="1:19">
      <c r="A28" s="126" t="s">
        <v>640</v>
      </c>
      <c r="B28" s="165" t="s">
        <v>39</v>
      </c>
      <c r="C28" s="158" t="s">
        <v>227</v>
      </c>
      <c r="D28" s="158" t="s">
        <v>18</v>
      </c>
      <c r="E28" s="158" t="s">
        <v>19</v>
      </c>
      <c r="F28" s="158" t="s">
        <v>20</v>
      </c>
      <c r="G28" s="156">
        <v>0.78</v>
      </c>
      <c r="H28" s="159" t="s">
        <v>41</v>
      </c>
      <c r="I28" s="159" t="s">
        <v>229</v>
      </c>
      <c r="J28" s="159"/>
      <c r="K28" s="160">
        <v>45971</v>
      </c>
      <c r="L28" s="160">
        <v>46157</v>
      </c>
      <c r="M28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135</v>
      </c>
      <c r="N28" s="160"/>
      <c r="O28" s="143"/>
      <c r="P28" s="158"/>
      <c r="Q28" s="158" t="s">
        <v>40</v>
      </c>
      <c r="R28" s="45"/>
      <c r="S28" s="176"/>
    </row>
    <row r="29" spans="1:19" outlineLevel="1">
      <c r="A29" s="127" t="s">
        <v>640</v>
      </c>
      <c r="B29" s="50" t="s">
        <v>39</v>
      </c>
      <c r="C29" s="161" t="s">
        <v>228</v>
      </c>
      <c r="D29" s="161" t="s">
        <v>22</v>
      </c>
      <c r="E29" s="161" t="s">
        <v>19</v>
      </c>
      <c r="F29" s="161" t="s">
        <v>20</v>
      </c>
      <c r="G29" s="162">
        <v>1</v>
      </c>
      <c r="H29" s="161" t="s">
        <v>41</v>
      </c>
      <c r="I29" s="161" t="s">
        <v>229</v>
      </c>
      <c r="J29" s="161"/>
      <c r="K29" s="163">
        <v>45972</v>
      </c>
      <c r="L29" s="164">
        <v>46051</v>
      </c>
      <c r="M29" s="161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58</v>
      </c>
      <c r="N29" s="163"/>
      <c r="O29" s="161" t="s">
        <v>108</v>
      </c>
      <c r="P29" s="161" t="s">
        <v>108</v>
      </c>
      <c r="Q29" s="161" t="s">
        <v>40</v>
      </c>
      <c r="R29" s="45"/>
      <c r="S29" s="176"/>
    </row>
    <row r="30" spans="1:19" outlineLevel="1">
      <c r="A30" s="127" t="s">
        <v>640</v>
      </c>
      <c r="B30" s="50" t="s">
        <v>39</v>
      </c>
      <c r="C30" s="161" t="s">
        <v>228</v>
      </c>
      <c r="D30" s="161" t="s">
        <v>28</v>
      </c>
      <c r="E30" s="161" t="s">
        <v>19</v>
      </c>
      <c r="F30" s="161" t="s">
        <v>20</v>
      </c>
      <c r="G30" s="162">
        <v>0</v>
      </c>
      <c r="H30" s="161" t="s">
        <v>41</v>
      </c>
      <c r="I30" s="161" t="s">
        <v>229</v>
      </c>
      <c r="J30" s="161"/>
      <c r="K30" s="164"/>
      <c r="L30" s="164"/>
      <c r="M30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30" s="163"/>
      <c r="O30" s="142"/>
      <c r="P30" s="161"/>
      <c r="Q30" s="161" t="s">
        <v>40</v>
      </c>
      <c r="R30" s="45"/>
      <c r="S30" s="176"/>
    </row>
    <row r="31" spans="1:19" outlineLevel="1">
      <c r="A31" s="127" t="s">
        <v>640</v>
      </c>
      <c r="B31" s="50" t="s">
        <v>39</v>
      </c>
      <c r="C31" s="161" t="s">
        <v>228</v>
      </c>
      <c r="D31" s="161" t="s">
        <v>29</v>
      </c>
      <c r="E31" s="161" t="s">
        <v>19</v>
      </c>
      <c r="F31" s="161" t="s">
        <v>20</v>
      </c>
      <c r="G31" s="162">
        <v>0</v>
      </c>
      <c r="H31" s="161" t="s">
        <v>41</v>
      </c>
      <c r="I31" s="161" t="s">
        <v>229</v>
      </c>
      <c r="J31" s="161"/>
      <c r="K31" s="163"/>
      <c r="L31" s="163"/>
      <c r="M31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31" s="163"/>
      <c r="O31" s="142"/>
      <c r="P31" s="142"/>
      <c r="Q31" s="161" t="s">
        <v>40</v>
      </c>
      <c r="R31" s="45"/>
      <c r="S31" s="176"/>
    </row>
    <row r="32" spans="1:19" outlineLevel="1">
      <c r="A32" s="127" t="s">
        <v>640</v>
      </c>
      <c r="B32" s="50" t="s">
        <v>39</v>
      </c>
      <c r="C32" s="161" t="s">
        <v>228</v>
      </c>
      <c r="D32" s="161" t="s">
        <v>30</v>
      </c>
      <c r="E32" s="161" t="s">
        <v>19</v>
      </c>
      <c r="F32" s="161" t="s">
        <v>20</v>
      </c>
      <c r="G32" s="162">
        <v>0</v>
      </c>
      <c r="H32" s="161" t="s">
        <v>41</v>
      </c>
      <c r="I32" s="161" t="s">
        <v>229</v>
      </c>
      <c r="J32" s="161"/>
      <c r="K32" s="163"/>
      <c r="L32" s="163"/>
      <c r="M32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32" s="163"/>
      <c r="O32" s="142"/>
      <c r="P32" s="142"/>
      <c r="Q32" s="161" t="s">
        <v>40</v>
      </c>
      <c r="R32" s="45"/>
      <c r="S32" s="176"/>
    </row>
    <row r="33" spans="1:19">
      <c r="A33" s="126" t="s">
        <v>642</v>
      </c>
      <c r="B33" s="165" t="s">
        <v>44</v>
      </c>
      <c r="C33" s="158" t="s">
        <v>230</v>
      </c>
      <c r="D33" s="158" t="s">
        <v>18</v>
      </c>
      <c r="E33" s="158" t="s">
        <v>33</v>
      </c>
      <c r="F33" s="158" t="s">
        <v>20</v>
      </c>
      <c r="G33" s="156">
        <v>1</v>
      </c>
      <c r="H33" s="159" t="s">
        <v>46</v>
      </c>
      <c r="I33" s="159" t="s">
        <v>47</v>
      </c>
      <c r="J33" s="159" t="s">
        <v>48</v>
      </c>
      <c r="K33" s="160">
        <v>45971</v>
      </c>
      <c r="L33" s="160">
        <v>46173</v>
      </c>
      <c r="M33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145</v>
      </c>
      <c r="N33" s="160"/>
      <c r="O33" s="143"/>
      <c r="P33" s="158"/>
      <c r="Q33" s="158" t="s">
        <v>40</v>
      </c>
      <c r="R33" s="45"/>
      <c r="S33" s="158" t="str">
        <f>C28</f>
        <v xml:space="preserve">   Manage IT portfolio</v>
      </c>
    </row>
    <row r="34" spans="1:19" outlineLevel="1">
      <c r="A34" s="171" t="s">
        <v>640</v>
      </c>
      <c r="B34" s="168" t="s">
        <v>44</v>
      </c>
      <c r="C34" s="161" t="s">
        <v>231</v>
      </c>
      <c r="D34" s="161" t="s">
        <v>22</v>
      </c>
      <c r="E34" s="161" t="s">
        <v>33</v>
      </c>
      <c r="F34" s="161" t="s">
        <v>20</v>
      </c>
      <c r="G34" s="162">
        <v>1</v>
      </c>
      <c r="H34" s="161" t="s">
        <v>46</v>
      </c>
      <c r="I34" s="161" t="s">
        <v>47</v>
      </c>
      <c r="J34" s="161" t="s">
        <v>48</v>
      </c>
      <c r="K34" s="163">
        <v>45971</v>
      </c>
      <c r="L34" s="164">
        <v>46001</v>
      </c>
      <c r="M34" s="161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23</v>
      </c>
      <c r="N34" s="163">
        <v>46050</v>
      </c>
      <c r="O34" s="161" t="s">
        <v>108</v>
      </c>
      <c r="P34" s="161" t="s">
        <v>108</v>
      </c>
      <c r="Q34" s="161" t="s">
        <v>40</v>
      </c>
      <c r="R34" s="138"/>
      <c r="S34" s="161" t="s">
        <v>228</v>
      </c>
    </row>
    <row r="35" spans="1:19" outlineLevel="1">
      <c r="A35" s="171" t="s">
        <v>640</v>
      </c>
      <c r="B35" s="168" t="s">
        <v>44</v>
      </c>
      <c r="C35" s="161" t="s">
        <v>231</v>
      </c>
      <c r="D35" s="161" t="s">
        <v>28</v>
      </c>
      <c r="E35" s="161" t="s">
        <v>33</v>
      </c>
      <c r="F35" s="161" t="s">
        <v>20</v>
      </c>
      <c r="G35" s="162">
        <v>0</v>
      </c>
      <c r="H35" s="161" t="s">
        <v>46</v>
      </c>
      <c r="I35" s="161" t="s">
        <v>47</v>
      </c>
      <c r="J35" s="161" t="s">
        <v>48</v>
      </c>
      <c r="K35" s="164">
        <v>46054</v>
      </c>
      <c r="L35" s="164">
        <v>46173</v>
      </c>
      <c r="M35" s="161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85</v>
      </c>
      <c r="N35" s="163"/>
      <c r="O35" s="142" t="s">
        <v>43</v>
      </c>
      <c r="P35" s="161" t="s">
        <v>28</v>
      </c>
      <c r="Q35" s="161" t="s">
        <v>40</v>
      </c>
      <c r="R35" s="138" t="s">
        <v>643</v>
      </c>
      <c r="S35" s="161" t="s">
        <v>228</v>
      </c>
    </row>
    <row r="36" spans="1:19" outlineLevel="1">
      <c r="A36" s="171" t="s">
        <v>640</v>
      </c>
      <c r="B36" s="168" t="s">
        <v>44</v>
      </c>
      <c r="C36" s="161" t="s">
        <v>231</v>
      </c>
      <c r="D36" s="161" t="s">
        <v>29</v>
      </c>
      <c r="E36" s="161" t="s">
        <v>33</v>
      </c>
      <c r="F36" s="161" t="s">
        <v>20</v>
      </c>
      <c r="G36" s="162">
        <v>0</v>
      </c>
      <c r="H36" s="161" t="s">
        <v>46</v>
      </c>
      <c r="I36" s="161" t="s">
        <v>47</v>
      </c>
      <c r="J36" s="161" t="s">
        <v>48</v>
      </c>
      <c r="K36" s="163"/>
      <c r="L36" s="163"/>
      <c r="M36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36" s="163"/>
      <c r="O36" s="142"/>
      <c r="P36" s="142"/>
      <c r="Q36" s="161" t="s">
        <v>40</v>
      </c>
      <c r="R36" s="138"/>
      <c r="S36" s="161" t="s">
        <v>228</v>
      </c>
    </row>
    <row r="37" spans="1:19" outlineLevel="1">
      <c r="A37" s="171" t="s">
        <v>640</v>
      </c>
      <c r="B37" s="168" t="s">
        <v>44</v>
      </c>
      <c r="C37" s="161" t="s">
        <v>231</v>
      </c>
      <c r="D37" s="161" t="s">
        <v>30</v>
      </c>
      <c r="E37" s="161" t="s">
        <v>33</v>
      </c>
      <c r="F37" s="161" t="s">
        <v>20</v>
      </c>
      <c r="G37" s="162">
        <v>0</v>
      </c>
      <c r="H37" s="161" t="s">
        <v>46</v>
      </c>
      <c r="I37" s="161" t="s">
        <v>47</v>
      </c>
      <c r="J37" s="161" t="s">
        <v>48</v>
      </c>
      <c r="K37" s="163"/>
      <c r="L37" s="163"/>
      <c r="M37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37" s="163"/>
      <c r="O37" s="142"/>
      <c r="P37" s="142"/>
      <c r="Q37" s="161" t="s">
        <v>40</v>
      </c>
      <c r="R37" s="138"/>
      <c r="S37" s="161" t="s">
        <v>228</v>
      </c>
    </row>
    <row r="38" spans="1:19">
      <c r="A38" s="126" t="s">
        <v>642</v>
      </c>
      <c r="B38" s="46" t="s">
        <v>39</v>
      </c>
      <c r="C38" s="158" t="s">
        <v>232</v>
      </c>
      <c r="D38" s="158" t="s">
        <v>18</v>
      </c>
      <c r="E38" s="158" t="s">
        <v>33</v>
      </c>
      <c r="F38" s="158" t="s">
        <v>20</v>
      </c>
      <c r="G38" s="156">
        <v>0.5</v>
      </c>
      <c r="H38" s="159" t="s">
        <v>41</v>
      </c>
      <c r="I38" s="159" t="s">
        <v>644</v>
      </c>
      <c r="J38" s="159" t="s">
        <v>50</v>
      </c>
      <c r="K38" s="160">
        <v>46113</v>
      </c>
      <c r="L38" s="160">
        <v>46273</v>
      </c>
      <c r="M38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115</v>
      </c>
      <c r="N38" s="160"/>
      <c r="O38" s="143"/>
      <c r="P38" s="158"/>
      <c r="Q38" s="158" t="s">
        <v>40</v>
      </c>
      <c r="R38" s="45"/>
      <c r="S38" s="158" t="s">
        <v>227</v>
      </c>
    </row>
    <row r="39" spans="1:19" outlineLevel="1">
      <c r="A39" s="171" t="s">
        <v>640</v>
      </c>
      <c r="B39" s="168" t="s">
        <v>39</v>
      </c>
      <c r="C39" s="161" t="s">
        <v>233</v>
      </c>
      <c r="D39" s="161" t="s">
        <v>22</v>
      </c>
      <c r="E39" s="161" t="s">
        <v>33</v>
      </c>
      <c r="F39" s="161" t="s">
        <v>20</v>
      </c>
      <c r="G39" s="162">
        <v>0.5</v>
      </c>
      <c r="H39" s="161" t="s">
        <v>41</v>
      </c>
      <c r="I39" s="161" t="s">
        <v>644</v>
      </c>
      <c r="J39" s="161" t="s">
        <v>50</v>
      </c>
      <c r="K39" s="163">
        <v>46113</v>
      </c>
      <c r="L39" s="164">
        <v>46218</v>
      </c>
      <c r="M39" s="161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54</v>
      </c>
      <c r="N39" s="163"/>
      <c r="O39" s="161" t="s">
        <v>26</v>
      </c>
      <c r="P39" s="161" t="s">
        <v>26</v>
      </c>
      <c r="Q39" s="161" t="s">
        <v>40</v>
      </c>
      <c r="R39" s="138"/>
      <c r="S39" s="161" t="s">
        <v>228</v>
      </c>
    </row>
    <row r="40" spans="1:19" outlineLevel="1">
      <c r="A40" s="171" t="s">
        <v>640</v>
      </c>
      <c r="B40" s="168" t="s">
        <v>39</v>
      </c>
      <c r="C40" s="161" t="s">
        <v>233</v>
      </c>
      <c r="D40" s="161" t="s">
        <v>28</v>
      </c>
      <c r="E40" s="161" t="s">
        <v>33</v>
      </c>
      <c r="F40" s="161" t="s">
        <v>20</v>
      </c>
      <c r="G40" s="162">
        <v>0</v>
      </c>
      <c r="H40" s="161" t="s">
        <v>41</v>
      </c>
      <c r="I40" s="161" t="s">
        <v>644</v>
      </c>
      <c r="J40" s="161" t="s">
        <v>50</v>
      </c>
      <c r="K40" s="164"/>
      <c r="L40" s="164"/>
      <c r="M40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0" s="163"/>
      <c r="O40" s="142" t="s">
        <v>645</v>
      </c>
      <c r="P40" s="161"/>
      <c r="Q40" s="161" t="s">
        <v>40</v>
      </c>
      <c r="R40" s="138"/>
      <c r="S40" s="161" t="s">
        <v>228</v>
      </c>
    </row>
    <row r="41" spans="1:19" outlineLevel="1">
      <c r="A41" s="171" t="s">
        <v>640</v>
      </c>
      <c r="B41" s="168" t="s">
        <v>39</v>
      </c>
      <c r="C41" s="161" t="s">
        <v>233</v>
      </c>
      <c r="D41" s="161" t="s">
        <v>29</v>
      </c>
      <c r="E41" s="161" t="s">
        <v>33</v>
      </c>
      <c r="F41" s="161" t="s">
        <v>20</v>
      </c>
      <c r="G41" s="162">
        <v>0</v>
      </c>
      <c r="H41" s="161" t="s">
        <v>41</v>
      </c>
      <c r="I41" s="161" t="s">
        <v>644</v>
      </c>
      <c r="J41" s="161" t="s">
        <v>50</v>
      </c>
      <c r="K41" s="163"/>
      <c r="L41" s="163"/>
      <c r="M41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1" s="163"/>
      <c r="O41" s="142" t="s">
        <v>645</v>
      </c>
      <c r="P41" s="142"/>
      <c r="Q41" s="161" t="s">
        <v>40</v>
      </c>
      <c r="R41" s="138"/>
      <c r="S41" s="161" t="s">
        <v>228</v>
      </c>
    </row>
    <row r="42" spans="1:19" outlineLevel="1">
      <c r="A42" s="171" t="s">
        <v>640</v>
      </c>
      <c r="B42" s="168" t="s">
        <v>39</v>
      </c>
      <c r="C42" s="161" t="s">
        <v>233</v>
      </c>
      <c r="D42" s="161" t="s">
        <v>30</v>
      </c>
      <c r="E42" s="161" t="s">
        <v>33</v>
      </c>
      <c r="F42" s="161" t="s">
        <v>20</v>
      </c>
      <c r="G42" s="162">
        <v>0</v>
      </c>
      <c r="H42" s="161" t="s">
        <v>41</v>
      </c>
      <c r="I42" s="161" t="s">
        <v>644</v>
      </c>
      <c r="J42" s="161" t="s">
        <v>50</v>
      </c>
      <c r="K42" s="163"/>
      <c r="L42" s="163"/>
      <c r="M42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2" s="163"/>
      <c r="O42" s="142" t="s">
        <v>645</v>
      </c>
      <c r="P42" s="142"/>
      <c r="Q42" s="161" t="s">
        <v>40</v>
      </c>
      <c r="R42" s="138"/>
      <c r="S42" s="161" t="s">
        <v>228</v>
      </c>
    </row>
    <row r="43" spans="1:19">
      <c r="A43" s="126" t="s">
        <v>642</v>
      </c>
      <c r="B43" s="53" t="s">
        <v>51</v>
      </c>
      <c r="C43" s="165" t="s">
        <v>474</v>
      </c>
      <c r="D43" s="158" t="s">
        <v>18</v>
      </c>
      <c r="E43" s="158" t="s">
        <v>19</v>
      </c>
      <c r="F43" s="158" t="s">
        <v>20</v>
      </c>
      <c r="G43" s="156">
        <v>0.5</v>
      </c>
      <c r="H43" s="156" t="s">
        <v>237</v>
      </c>
      <c r="I43" s="159" t="s">
        <v>54</v>
      </c>
      <c r="J43" s="159" t="s">
        <v>55</v>
      </c>
      <c r="K43" s="166">
        <v>45945</v>
      </c>
      <c r="L43" s="160">
        <v>46234</v>
      </c>
      <c r="M43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208</v>
      </c>
      <c r="N43" s="160"/>
      <c r="O43" s="167"/>
      <c r="P43" s="143"/>
      <c r="Q43" s="158" t="s">
        <v>52</v>
      </c>
      <c r="R43" s="158"/>
      <c r="S43" s="165"/>
    </row>
    <row r="44" spans="1:19" outlineLevel="1">
      <c r="A44" s="171" t="s">
        <v>640</v>
      </c>
      <c r="B44" s="168" t="s">
        <v>51</v>
      </c>
      <c r="C44" s="168" t="s">
        <v>475</v>
      </c>
      <c r="D44" s="161" t="s">
        <v>22</v>
      </c>
      <c r="E44" s="161" t="s">
        <v>19</v>
      </c>
      <c r="F44" s="161" t="s">
        <v>20</v>
      </c>
      <c r="G44" s="162">
        <v>0.5</v>
      </c>
      <c r="H44" s="162" t="s">
        <v>237</v>
      </c>
      <c r="I44" s="161" t="s">
        <v>54</v>
      </c>
      <c r="J44" s="161" t="s">
        <v>55</v>
      </c>
      <c r="K44" s="163">
        <v>45945</v>
      </c>
      <c r="L44" s="163">
        <v>46142</v>
      </c>
      <c r="M44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142</v>
      </c>
      <c r="N44" s="163"/>
      <c r="O44" s="170" t="s">
        <v>26</v>
      </c>
      <c r="P44" s="161" t="s">
        <v>26</v>
      </c>
      <c r="Q44" s="161" t="s">
        <v>52</v>
      </c>
      <c r="R44" s="161"/>
      <c r="S44" s="168"/>
    </row>
    <row r="45" spans="1:19" outlineLevel="1">
      <c r="A45" s="171" t="s">
        <v>640</v>
      </c>
      <c r="B45" s="168" t="s">
        <v>51</v>
      </c>
      <c r="C45" s="168" t="s">
        <v>475</v>
      </c>
      <c r="D45" s="161" t="s">
        <v>28</v>
      </c>
      <c r="E45" s="161" t="s">
        <v>19</v>
      </c>
      <c r="F45" s="161" t="s">
        <v>20</v>
      </c>
      <c r="G45" s="162">
        <v>0</v>
      </c>
      <c r="H45" s="162" t="s">
        <v>237</v>
      </c>
      <c r="I45" s="161" t="s">
        <v>54</v>
      </c>
      <c r="J45" s="161" t="s">
        <v>55</v>
      </c>
      <c r="K45" s="163">
        <v>46143</v>
      </c>
      <c r="L45" s="164">
        <v>46234</v>
      </c>
      <c r="M45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66</v>
      </c>
      <c r="N45" s="163"/>
      <c r="O45" s="170"/>
      <c r="P45" s="142" t="s">
        <v>27</v>
      </c>
      <c r="Q45" s="161" t="s">
        <v>52</v>
      </c>
      <c r="R45" s="161"/>
      <c r="S45" s="168"/>
    </row>
    <row r="46" spans="1:19" outlineLevel="1">
      <c r="A46" s="171" t="s">
        <v>640</v>
      </c>
      <c r="B46" s="168" t="s">
        <v>51</v>
      </c>
      <c r="C46" s="168" t="s">
        <v>475</v>
      </c>
      <c r="D46" s="161" t="s">
        <v>29</v>
      </c>
      <c r="E46" s="161" t="s">
        <v>33</v>
      </c>
      <c r="F46" s="161" t="s">
        <v>20</v>
      </c>
      <c r="G46" s="162">
        <v>0</v>
      </c>
      <c r="H46" s="162" t="s">
        <v>237</v>
      </c>
      <c r="I46" s="161" t="s">
        <v>54</v>
      </c>
      <c r="J46" s="161" t="s">
        <v>55</v>
      </c>
      <c r="K46" s="163"/>
      <c r="L46" s="163"/>
      <c r="M46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6" s="163"/>
      <c r="O46" s="170"/>
      <c r="P46" s="142"/>
      <c r="Q46" s="142" t="s">
        <v>52</v>
      </c>
      <c r="R46" s="161"/>
      <c r="S46" s="168"/>
    </row>
    <row r="47" spans="1:19" outlineLevel="1">
      <c r="A47" s="171" t="s">
        <v>640</v>
      </c>
      <c r="B47" s="168" t="s">
        <v>51</v>
      </c>
      <c r="C47" s="168" t="s">
        <v>475</v>
      </c>
      <c r="D47" s="161" t="s">
        <v>30</v>
      </c>
      <c r="E47" s="161" t="s">
        <v>19</v>
      </c>
      <c r="F47" s="161" t="s">
        <v>20</v>
      </c>
      <c r="G47" s="162">
        <v>0</v>
      </c>
      <c r="H47" s="162" t="s">
        <v>237</v>
      </c>
      <c r="I47" s="161" t="s">
        <v>54</v>
      </c>
      <c r="J47" s="161" t="s">
        <v>55</v>
      </c>
      <c r="K47" s="163"/>
      <c r="L47" s="163"/>
      <c r="M47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7" s="163"/>
      <c r="O47" s="170"/>
      <c r="P47" s="142"/>
      <c r="Q47" s="142" t="s">
        <v>52</v>
      </c>
      <c r="R47" s="161"/>
      <c r="S47" s="168"/>
    </row>
    <row r="48" spans="1:19">
      <c r="A48" s="126" t="s">
        <v>640</v>
      </c>
      <c r="B48" s="53" t="s">
        <v>51</v>
      </c>
      <c r="C48" s="165" t="s">
        <v>238</v>
      </c>
      <c r="D48" s="158" t="s">
        <v>18</v>
      </c>
      <c r="E48" s="158" t="s">
        <v>33</v>
      </c>
      <c r="F48" s="158" t="s">
        <v>20</v>
      </c>
      <c r="G48" s="156">
        <v>0.5</v>
      </c>
      <c r="H48" s="156" t="s">
        <v>237</v>
      </c>
      <c r="I48" s="159" t="s">
        <v>54</v>
      </c>
      <c r="J48" s="159" t="s">
        <v>25</v>
      </c>
      <c r="K48" s="166">
        <v>45945</v>
      </c>
      <c r="L48" s="160"/>
      <c r="M48" s="158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8" s="160"/>
      <c r="O48" s="167"/>
      <c r="P48" s="143"/>
      <c r="Q48" s="158" t="s">
        <v>52</v>
      </c>
      <c r="R48" s="158"/>
      <c r="S48" s="165" t="s">
        <v>474</v>
      </c>
    </row>
    <row r="49" spans="1:19" outlineLevel="1">
      <c r="A49" s="171" t="s">
        <v>640</v>
      </c>
      <c r="B49" s="168" t="s">
        <v>51</v>
      </c>
      <c r="C49" s="168" t="s">
        <v>239</v>
      </c>
      <c r="D49" s="161" t="s">
        <v>22</v>
      </c>
      <c r="E49" s="161" t="s">
        <v>33</v>
      </c>
      <c r="F49" s="161" t="s">
        <v>20</v>
      </c>
      <c r="G49" s="162">
        <v>0.5</v>
      </c>
      <c r="H49" s="162" t="s">
        <v>237</v>
      </c>
      <c r="I49" s="161" t="s">
        <v>54</v>
      </c>
      <c r="J49" s="161" t="s">
        <v>25</v>
      </c>
      <c r="K49" s="163">
        <v>45945</v>
      </c>
      <c r="L49" s="163"/>
      <c r="M49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9" s="163"/>
      <c r="O49" s="170"/>
      <c r="P49" s="161"/>
      <c r="Q49" s="161" t="s">
        <v>52</v>
      </c>
      <c r="R49" s="161"/>
      <c r="S49" s="168" t="s">
        <v>475</v>
      </c>
    </row>
    <row r="50" spans="1:19" outlineLevel="1">
      <c r="A50" s="171" t="s">
        <v>640</v>
      </c>
      <c r="B50" s="168" t="s">
        <v>51</v>
      </c>
      <c r="C50" s="168" t="s">
        <v>239</v>
      </c>
      <c r="D50" s="161" t="s">
        <v>28</v>
      </c>
      <c r="E50" s="161" t="s">
        <v>33</v>
      </c>
      <c r="F50" s="161" t="s">
        <v>20</v>
      </c>
      <c r="G50" s="162">
        <v>0</v>
      </c>
      <c r="H50" s="162" t="s">
        <v>237</v>
      </c>
      <c r="I50" s="161" t="s">
        <v>54</v>
      </c>
      <c r="J50" s="161" t="s">
        <v>25</v>
      </c>
      <c r="K50" s="163"/>
      <c r="L50" s="164"/>
      <c r="M50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50" s="163"/>
      <c r="O50" s="170"/>
      <c r="P50" s="142"/>
      <c r="Q50" s="161" t="s">
        <v>52</v>
      </c>
      <c r="R50" s="161"/>
      <c r="S50" s="168" t="s">
        <v>475</v>
      </c>
    </row>
    <row r="51" spans="1:19" outlineLevel="1">
      <c r="A51" s="171" t="s">
        <v>640</v>
      </c>
      <c r="B51" s="168" t="s">
        <v>51</v>
      </c>
      <c r="C51" s="168" t="s">
        <v>239</v>
      </c>
      <c r="D51" s="161" t="s">
        <v>29</v>
      </c>
      <c r="E51" s="161" t="s">
        <v>33</v>
      </c>
      <c r="F51" s="161" t="s">
        <v>20</v>
      </c>
      <c r="G51" s="162">
        <v>0</v>
      </c>
      <c r="H51" s="162" t="s">
        <v>237</v>
      </c>
      <c r="I51" s="161" t="s">
        <v>54</v>
      </c>
      <c r="J51" s="161" t="s">
        <v>25</v>
      </c>
      <c r="K51" s="163"/>
      <c r="L51" s="163"/>
      <c r="M51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51" s="163"/>
      <c r="O51" s="170"/>
      <c r="P51" s="142"/>
      <c r="Q51" s="142" t="s">
        <v>52</v>
      </c>
      <c r="R51" s="161"/>
      <c r="S51" s="168" t="s">
        <v>475</v>
      </c>
    </row>
    <row r="52" spans="1:19" outlineLevel="1">
      <c r="A52" s="171" t="s">
        <v>640</v>
      </c>
      <c r="B52" s="168" t="s">
        <v>51</v>
      </c>
      <c r="C52" s="168" t="s">
        <v>239</v>
      </c>
      <c r="D52" s="161" t="s">
        <v>30</v>
      </c>
      <c r="E52" s="161" t="s">
        <v>33</v>
      </c>
      <c r="F52" s="161" t="s">
        <v>20</v>
      </c>
      <c r="G52" s="162">
        <v>0</v>
      </c>
      <c r="H52" s="162" t="s">
        <v>237</v>
      </c>
      <c r="I52" s="161" t="s">
        <v>54</v>
      </c>
      <c r="J52" s="161" t="s">
        <v>25</v>
      </c>
      <c r="K52" s="163"/>
      <c r="L52" s="163"/>
      <c r="M52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52" s="163"/>
      <c r="O52" s="170"/>
      <c r="P52" s="142"/>
      <c r="Q52" s="142" t="s">
        <v>52</v>
      </c>
      <c r="R52" s="161"/>
      <c r="S52" s="168" t="s">
        <v>475</v>
      </c>
    </row>
    <row r="53" spans="1:19">
      <c r="A53" s="126" t="s">
        <v>640</v>
      </c>
      <c r="B53" s="46" t="s">
        <v>51</v>
      </c>
      <c r="C53" s="165" t="s">
        <v>476</v>
      </c>
      <c r="D53" s="158" t="s">
        <v>18</v>
      </c>
      <c r="E53" s="158" t="s">
        <v>58</v>
      </c>
      <c r="F53" s="158" t="s">
        <v>20</v>
      </c>
      <c r="G53" s="156">
        <v>0.5</v>
      </c>
      <c r="H53" s="156" t="s">
        <v>237</v>
      </c>
      <c r="I53" s="159" t="s">
        <v>54</v>
      </c>
      <c r="J53" s="159" t="s">
        <v>25</v>
      </c>
      <c r="K53" s="166">
        <v>45945</v>
      </c>
      <c r="L53" s="160"/>
      <c r="M53" s="158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53" s="160"/>
      <c r="O53" s="167"/>
      <c r="P53" s="143"/>
      <c r="Q53" s="158" t="s">
        <v>52</v>
      </c>
      <c r="R53" s="158"/>
      <c r="S53" s="165" t="s">
        <v>238</v>
      </c>
    </row>
    <row r="54" spans="1:19" outlineLevel="1">
      <c r="A54" s="171" t="s">
        <v>640</v>
      </c>
      <c r="B54" s="168" t="s">
        <v>51</v>
      </c>
      <c r="C54" s="168" t="s">
        <v>477</v>
      </c>
      <c r="D54" s="161" t="s">
        <v>22</v>
      </c>
      <c r="E54" s="161" t="s">
        <v>58</v>
      </c>
      <c r="F54" s="161" t="s">
        <v>20</v>
      </c>
      <c r="G54" s="162">
        <v>0.5</v>
      </c>
      <c r="H54" s="162" t="s">
        <v>237</v>
      </c>
      <c r="I54" s="161" t="s">
        <v>54</v>
      </c>
      <c r="J54" s="161" t="s">
        <v>25</v>
      </c>
      <c r="K54" s="163">
        <v>45945</v>
      </c>
      <c r="L54" s="163"/>
      <c r="M54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54" s="163"/>
      <c r="O54" s="170"/>
      <c r="P54" s="161"/>
      <c r="Q54" s="161" t="s">
        <v>52</v>
      </c>
      <c r="R54" s="161"/>
      <c r="S54" s="168" t="s">
        <v>239</v>
      </c>
    </row>
    <row r="55" spans="1:19" outlineLevel="1">
      <c r="A55" s="171" t="s">
        <v>640</v>
      </c>
      <c r="B55" s="168" t="s">
        <v>51</v>
      </c>
      <c r="C55" s="168" t="s">
        <v>477</v>
      </c>
      <c r="D55" s="161" t="s">
        <v>28</v>
      </c>
      <c r="E55" s="161" t="s">
        <v>58</v>
      </c>
      <c r="F55" s="161" t="s">
        <v>20</v>
      </c>
      <c r="G55" s="162">
        <v>0</v>
      </c>
      <c r="H55" s="162" t="s">
        <v>237</v>
      </c>
      <c r="I55" s="161" t="s">
        <v>54</v>
      </c>
      <c r="J55" s="161" t="s">
        <v>25</v>
      </c>
      <c r="K55" s="163"/>
      <c r="L55" s="164"/>
      <c r="M55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55" s="163"/>
      <c r="O55" s="170"/>
      <c r="P55" s="142"/>
      <c r="Q55" s="161" t="s">
        <v>52</v>
      </c>
      <c r="R55" s="161"/>
      <c r="S55" s="168" t="s">
        <v>239</v>
      </c>
    </row>
    <row r="56" spans="1:19" outlineLevel="1">
      <c r="A56" s="171" t="s">
        <v>640</v>
      </c>
      <c r="B56" s="168" t="s">
        <v>51</v>
      </c>
      <c r="C56" s="168" t="s">
        <v>477</v>
      </c>
      <c r="D56" s="161" t="s">
        <v>29</v>
      </c>
      <c r="E56" s="161" t="s">
        <v>58</v>
      </c>
      <c r="F56" s="161" t="s">
        <v>20</v>
      </c>
      <c r="G56" s="162">
        <v>0</v>
      </c>
      <c r="H56" s="162" t="s">
        <v>237</v>
      </c>
      <c r="I56" s="161" t="s">
        <v>54</v>
      </c>
      <c r="J56" s="161" t="s">
        <v>25</v>
      </c>
      <c r="K56" s="163"/>
      <c r="L56" s="163"/>
      <c r="M56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56" s="163"/>
      <c r="O56" s="170"/>
      <c r="P56" s="142"/>
      <c r="Q56" s="142" t="s">
        <v>52</v>
      </c>
      <c r="R56" s="161"/>
      <c r="S56" s="168" t="s">
        <v>239</v>
      </c>
    </row>
    <row r="57" spans="1:19" outlineLevel="1">
      <c r="A57" s="171" t="s">
        <v>640</v>
      </c>
      <c r="B57" s="168" t="s">
        <v>51</v>
      </c>
      <c r="C57" s="168" t="s">
        <v>477</v>
      </c>
      <c r="D57" s="161" t="s">
        <v>30</v>
      </c>
      <c r="E57" s="161" t="s">
        <v>58</v>
      </c>
      <c r="F57" s="161" t="s">
        <v>20</v>
      </c>
      <c r="G57" s="162">
        <v>0</v>
      </c>
      <c r="H57" s="162" t="s">
        <v>237</v>
      </c>
      <c r="I57" s="161" t="s">
        <v>54</v>
      </c>
      <c r="J57" s="161" t="s">
        <v>25</v>
      </c>
      <c r="K57" s="163"/>
      <c r="L57" s="163"/>
      <c r="M57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57" s="163"/>
      <c r="O57" s="170"/>
      <c r="P57" s="142"/>
      <c r="Q57" s="142" t="s">
        <v>52</v>
      </c>
      <c r="R57" s="161"/>
      <c r="S57" s="168" t="s">
        <v>239</v>
      </c>
    </row>
    <row r="58" spans="1:19">
      <c r="A58" s="126" t="s">
        <v>640</v>
      </c>
      <c r="B58" s="46" t="s">
        <v>51</v>
      </c>
      <c r="C58" s="165" t="s">
        <v>478</v>
      </c>
      <c r="D58" s="158" t="s">
        <v>18</v>
      </c>
      <c r="E58" s="158" t="s">
        <v>58</v>
      </c>
      <c r="F58" s="158" t="s">
        <v>20</v>
      </c>
      <c r="G58" s="156">
        <v>0.5</v>
      </c>
      <c r="H58" s="156" t="s">
        <v>237</v>
      </c>
      <c r="I58" s="159" t="s">
        <v>54</v>
      </c>
      <c r="J58" s="159" t="s">
        <v>25</v>
      </c>
      <c r="K58" s="166">
        <v>45945</v>
      </c>
      <c r="L58" s="160"/>
      <c r="M58" s="158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58" s="160"/>
      <c r="O58" s="167"/>
      <c r="P58" s="143"/>
      <c r="Q58" s="158" t="s">
        <v>52</v>
      </c>
      <c r="R58" s="158"/>
      <c r="S58" s="165" t="s">
        <v>238</v>
      </c>
    </row>
    <row r="59" spans="1:19" outlineLevel="1">
      <c r="A59" s="171" t="s">
        <v>640</v>
      </c>
      <c r="B59" s="168" t="s">
        <v>51</v>
      </c>
      <c r="C59" s="168" t="s">
        <v>479</v>
      </c>
      <c r="D59" s="161" t="s">
        <v>22</v>
      </c>
      <c r="E59" s="161" t="s">
        <v>58</v>
      </c>
      <c r="F59" s="161" t="s">
        <v>20</v>
      </c>
      <c r="G59" s="162">
        <v>0.5</v>
      </c>
      <c r="H59" s="162" t="s">
        <v>237</v>
      </c>
      <c r="I59" s="161" t="s">
        <v>54</v>
      </c>
      <c r="J59" s="161" t="s">
        <v>25</v>
      </c>
      <c r="K59" s="163">
        <v>45945</v>
      </c>
      <c r="L59" s="163"/>
      <c r="M59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59" s="163"/>
      <c r="O59" s="170"/>
      <c r="P59" s="161"/>
      <c r="Q59" s="161" t="s">
        <v>52</v>
      </c>
      <c r="R59" s="161"/>
      <c r="S59" s="168" t="s">
        <v>239</v>
      </c>
    </row>
    <row r="60" spans="1:19" outlineLevel="1">
      <c r="A60" s="171" t="s">
        <v>640</v>
      </c>
      <c r="B60" s="168" t="s">
        <v>51</v>
      </c>
      <c r="C60" s="168" t="s">
        <v>479</v>
      </c>
      <c r="D60" s="161" t="s">
        <v>28</v>
      </c>
      <c r="E60" s="161" t="s">
        <v>58</v>
      </c>
      <c r="F60" s="161" t="s">
        <v>20</v>
      </c>
      <c r="G60" s="162">
        <v>0</v>
      </c>
      <c r="H60" s="162" t="s">
        <v>237</v>
      </c>
      <c r="I60" s="161" t="s">
        <v>54</v>
      </c>
      <c r="J60" s="161" t="s">
        <v>25</v>
      </c>
      <c r="K60" s="163"/>
      <c r="L60" s="164"/>
      <c r="M60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60" s="163"/>
      <c r="O60" s="170"/>
      <c r="P60" s="142"/>
      <c r="Q60" s="161" t="s">
        <v>52</v>
      </c>
      <c r="R60" s="161"/>
      <c r="S60" s="168" t="s">
        <v>239</v>
      </c>
    </row>
    <row r="61" spans="1:19" outlineLevel="1">
      <c r="A61" s="171" t="s">
        <v>640</v>
      </c>
      <c r="B61" s="168" t="s">
        <v>51</v>
      </c>
      <c r="C61" s="168" t="s">
        <v>479</v>
      </c>
      <c r="D61" s="161" t="s">
        <v>29</v>
      </c>
      <c r="E61" s="161" t="s">
        <v>58</v>
      </c>
      <c r="F61" s="161" t="s">
        <v>20</v>
      </c>
      <c r="G61" s="162">
        <v>0</v>
      </c>
      <c r="H61" s="162" t="s">
        <v>237</v>
      </c>
      <c r="I61" s="161" t="s">
        <v>54</v>
      </c>
      <c r="J61" s="161" t="s">
        <v>25</v>
      </c>
      <c r="K61" s="163"/>
      <c r="L61" s="163"/>
      <c r="M61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61" s="163"/>
      <c r="O61" s="170"/>
      <c r="P61" s="142"/>
      <c r="Q61" s="142" t="s">
        <v>52</v>
      </c>
      <c r="R61" s="161"/>
      <c r="S61" s="168" t="s">
        <v>239</v>
      </c>
    </row>
    <row r="62" spans="1:19" outlineLevel="1">
      <c r="A62" s="171" t="s">
        <v>640</v>
      </c>
      <c r="B62" s="168" t="s">
        <v>51</v>
      </c>
      <c r="C62" s="168" t="s">
        <v>479</v>
      </c>
      <c r="D62" s="161" t="s">
        <v>30</v>
      </c>
      <c r="E62" s="161" t="s">
        <v>58</v>
      </c>
      <c r="F62" s="161" t="s">
        <v>20</v>
      </c>
      <c r="G62" s="162">
        <v>0</v>
      </c>
      <c r="H62" s="162" t="s">
        <v>237</v>
      </c>
      <c r="I62" s="161" t="s">
        <v>54</v>
      </c>
      <c r="J62" s="161" t="s">
        <v>25</v>
      </c>
      <c r="K62" s="163"/>
      <c r="L62" s="163"/>
      <c r="M62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62" s="163"/>
      <c r="O62" s="170"/>
      <c r="P62" s="142"/>
      <c r="Q62" s="142" t="s">
        <v>52</v>
      </c>
      <c r="R62" s="161"/>
      <c r="S62" s="168" t="s">
        <v>239</v>
      </c>
    </row>
    <row r="63" spans="1:19">
      <c r="A63" s="126" t="s">
        <v>640</v>
      </c>
      <c r="B63" s="46" t="s">
        <v>51</v>
      </c>
      <c r="C63" s="165" t="s">
        <v>480</v>
      </c>
      <c r="D63" s="158" t="s">
        <v>18</v>
      </c>
      <c r="E63" s="158" t="s">
        <v>58</v>
      </c>
      <c r="F63" s="158" t="s">
        <v>20</v>
      </c>
      <c r="G63" s="156">
        <v>0.5</v>
      </c>
      <c r="H63" s="156" t="s">
        <v>237</v>
      </c>
      <c r="I63" s="159" t="s">
        <v>54</v>
      </c>
      <c r="J63" s="159" t="s">
        <v>25</v>
      </c>
      <c r="K63" s="166">
        <v>45945</v>
      </c>
      <c r="L63" s="160"/>
      <c r="M63" s="158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63" s="160"/>
      <c r="O63" s="167"/>
      <c r="P63" s="143"/>
      <c r="Q63" s="158" t="s">
        <v>52</v>
      </c>
      <c r="R63" s="158"/>
      <c r="S63" s="165" t="s">
        <v>238</v>
      </c>
    </row>
    <row r="64" spans="1:19" outlineLevel="1">
      <c r="A64" s="171" t="s">
        <v>640</v>
      </c>
      <c r="B64" s="168" t="s">
        <v>51</v>
      </c>
      <c r="C64" s="168" t="s">
        <v>481</v>
      </c>
      <c r="D64" s="161" t="s">
        <v>22</v>
      </c>
      <c r="E64" s="161" t="s">
        <v>58</v>
      </c>
      <c r="F64" s="161" t="s">
        <v>20</v>
      </c>
      <c r="G64" s="162">
        <v>0.5</v>
      </c>
      <c r="H64" s="162" t="s">
        <v>237</v>
      </c>
      <c r="I64" s="161" t="s">
        <v>54</v>
      </c>
      <c r="J64" s="161" t="s">
        <v>25</v>
      </c>
      <c r="K64" s="163">
        <v>45945</v>
      </c>
      <c r="L64" s="163"/>
      <c r="M64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64" s="163"/>
      <c r="O64" s="170"/>
      <c r="P64" s="161"/>
      <c r="Q64" s="161" t="s">
        <v>52</v>
      </c>
      <c r="R64" s="161"/>
      <c r="S64" s="168" t="s">
        <v>239</v>
      </c>
    </row>
    <row r="65" spans="1:19" outlineLevel="1">
      <c r="A65" s="171" t="s">
        <v>640</v>
      </c>
      <c r="B65" s="168" t="s">
        <v>51</v>
      </c>
      <c r="C65" s="168" t="s">
        <v>481</v>
      </c>
      <c r="D65" s="161" t="s">
        <v>28</v>
      </c>
      <c r="E65" s="161" t="s">
        <v>58</v>
      </c>
      <c r="F65" s="161" t="s">
        <v>20</v>
      </c>
      <c r="G65" s="162">
        <v>0</v>
      </c>
      <c r="H65" s="162" t="s">
        <v>237</v>
      </c>
      <c r="I65" s="161" t="s">
        <v>54</v>
      </c>
      <c r="J65" s="161" t="s">
        <v>25</v>
      </c>
      <c r="K65" s="163"/>
      <c r="L65" s="164"/>
      <c r="M65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65" s="163"/>
      <c r="O65" s="170"/>
      <c r="P65" s="142"/>
      <c r="Q65" s="161" t="s">
        <v>52</v>
      </c>
      <c r="R65" s="161"/>
      <c r="S65" s="168" t="s">
        <v>239</v>
      </c>
    </row>
    <row r="66" spans="1:19" outlineLevel="1">
      <c r="A66" s="171" t="s">
        <v>640</v>
      </c>
      <c r="B66" s="168" t="s">
        <v>51</v>
      </c>
      <c r="C66" s="168" t="s">
        <v>481</v>
      </c>
      <c r="D66" s="161" t="s">
        <v>29</v>
      </c>
      <c r="E66" s="161" t="s">
        <v>58</v>
      </c>
      <c r="F66" s="161" t="s">
        <v>20</v>
      </c>
      <c r="G66" s="162">
        <v>0</v>
      </c>
      <c r="H66" s="162" t="s">
        <v>237</v>
      </c>
      <c r="I66" s="161" t="s">
        <v>54</v>
      </c>
      <c r="J66" s="161" t="s">
        <v>25</v>
      </c>
      <c r="K66" s="163"/>
      <c r="L66" s="163"/>
      <c r="M66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66" s="163"/>
      <c r="O66" s="170"/>
      <c r="P66" s="142"/>
      <c r="Q66" s="142" t="s">
        <v>52</v>
      </c>
      <c r="R66" s="161"/>
      <c r="S66" s="168" t="s">
        <v>239</v>
      </c>
    </row>
    <row r="67" spans="1:19" outlineLevel="1">
      <c r="A67" s="171" t="s">
        <v>640</v>
      </c>
      <c r="B67" s="168" t="s">
        <v>51</v>
      </c>
      <c r="C67" s="168" t="s">
        <v>481</v>
      </c>
      <c r="D67" s="161" t="s">
        <v>30</v>
      </c>
      <c r="E67" s="161" t="s">
        <v>58</v>
      </c>
      <c r="F67" s="161" t="s">
        <v>20</v>
      </c>
      <c r="G67" s="162">
        <v>0</v>
      </c>
      <c r="H67" s="162" t="s">
        <v>237</v>
      </c>
      <c r="I67" s="161" t="s">
        <v>54</v>
      </c>
      <c r="J67" s="161" t="s">
        <v>25</v>
      </c>
      <c r="K67" s="163"/>
      <c r="L67" s="163"/>
      <c r="M67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67" s="163"/>
      <c r="O67" s="170"/>
      <c r="P67" s="142"/>
      <c r="Q67" s="142" t="s">
        <v>52</v>
      </c>
      <c r="R67" s="161"/>
      <c r="S67" s="168" t="s">
        <v>239</v>
      </c>
    </row>
    <row r="68" spans="1:19">
      <c r="A68" s="126" t="s">
        <v>640</v>
      </c>
      <c r="B68" s="46" t="s">
        <v>51</v>
      </c>
      <c r="C68" s="165" t="s">
        <v>482</v>
      </c>
      <c r="D68" s="158" t="s">
        <v>18</v>
      </c>
      <c r="E68" s="158" t="s">
        <v>58</v>
      </c>
      <c r="F68" s="158" t="s">
        <v>20</v>
      </c>
      <c r="G68" s="156">
        <v>0.5</v>
      </c>
      <c r="H68" s="156" t="s">
        <v>237</v>
      </c>
      <c r="I68" s="159" t="s">
        <v>54</v>
      </c>
      <c r="J68" s="159" t="s">
        <v>25</v>
      </c>
      <c r="K68" s="166">
        <v>45945</v>
      </c>
      <c r="L68" s="160"/>
      <c r="M68" s="158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68" s="160"/>
      <c r="O68" s="167"/>
      <c r="P68" s="143"/>
      <c r="Q68" s="158" t="s">
        <v>52</v>
      </c>
      <c r="R68" s="158"/>
      <c r="S68" s="165" t="s">
        <v>238</v>
      </c>
    </row>
    <row r="69" spans="1:19" outlineLevel="1">
      <c r="A69" s="171" t="s">
        <v>640</v>
      </c>
      <c r="B69" s="168" t="s">
        <v>51</v>
      </c>
      <c r="C69" s="168" t="s">
        <v>483</v>
      </c>
      <c r="D69" s="161" t="s">
        <v>22</v>
      </c>
      <c r="E69" s="161" t="s">
        <v>58</v>
      </c>
      <c r="F69" s="161" t="s">
        <v>20</v>
      </c>
      <c r="G69" s="162">
        <v>0.5</v>
      </c>
      <c r="H69" s="162" t="s">
        <v>237</v>
      </c>
      <c r="I69" s="161" t="s">
        <v>54</v>
      </c>
      <c r="J69" s="161" t="s">
        <v>25</v>
      </c>
      <c r="K69" s="163">
        <v>45945</v>
      </c>
      <c r="L69" s="163"/>
      <c r="M69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69" s="163"/>
      <c r="O69" s="170"/>
      <c r="P69" s="161"/>
      <c r="Q69" s="161" t="s">
        <v>52</v>
      </c>
      <c r="R69" s="161"/>
      <c r="S69" s="168" t="s">
        <v>239</v>
      </c>
    </row>
    <row r="70" spans="1:19" outlineLevel="1">
      <c r="A70" s="171" t="s">
        <v>640</v>
      </c>
      <c r="B70" s="168" t="s">
        <v>51</v>
      </c>
      <c r="C70" s="168" t="s">
        <v>483</v>
      </c>
      <c r="D70" s="161" t="s">
        <v>28</v>
      </c>
      <c r="E70" s="161" t="s">
        <v>58</v>
      </c>
      <c r="F70" s="161" t="s">
        <v>20</v>
      </c>
      <c r="G70" s="162">
        <v>0</v>
      </c>
      <c r="H70" s="162" t="s">
        <v>237</v>
      </c>
      <c r="I70" s="161" t="s">
        <v>54</v>
      </c>
      <c r="J70" s="161" t="s">
        <v>25</v>
      </c>
      <c r="K70" s="163"/>
      <c r="L70" s="164"/>
      <c r="M70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70" s="163"/>
      <c r="O70" s="170"/>
      <c r="P70" s="142"/>
      <c r="Q70" s="161" t="s">
        <v>52</v>
      </c>
      <c r="R70" s="161"/>
      <c r="S70" s="168" t="s">
        <v>239</v>
      </c>
    </row>
    <row r="71" spans="1:19" outlineLevel="1">
      <c r="A71" s="171" t="s">
        <v>640</v>
      </c>
      <c r="B71" s="168" t="s">
        <v>51</v>
      </c>
      <c r="C71" s="168" t="s">
        <v>483</v>
      </c>
      <c r="D71" s="161" t="s">
        <v>29</v>
      </c>
      <c r="E71" s="161" t="s">
        <v>58</v>
      </c>
      <c r="F71" s="161" t="s">
        <v>20</v>
      </c>
      <c r="G71" s="162">
        <v>0</v>
      </c>
      <c r="H71" s="162" t="s">
        <v>237</v>
      </c>
      <c r="I71" s="161" t="s">
        <v>54</v>
      </c>
      <c r="J71" s="161" t="s">
        <v>25</v>
      </c>
      <c r="K71" s="163"/>
      <c r="L71" s="163"/>
      <c r="M71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71" s="163"/>
      <c r="O71" s="170"/>
      <c r="P71" s="142"/>
      <c r="Q71" s="142" t="s">
        <v>52</v>
      </c>
      <c r="R71" s="161"/>
      <c r="S71" s="168" t="s">
        <v>239</v>
      </c>
    </row>
    <row r="72" spans="1:19" outlineLevel="1">
      <c r="A72" s="171" t="s">
        <v>640</v>
      </c>
      <c r="B72" s="168" t="s">
        <v>51</v>
      </c>
      <c r="C72" s="168" t="s">
        <v>483</v>
      </c>
      <c r="D72" s="161" t="s">
        <v>30</v>
      </c>
      <c r="E72" s="161" t="s">
        <v>58</v>
      </c>
      <c r="F72" s="161" t="s">
        <v>20</v>
      </c>
      <c r="G72" s="162">
        <v>0</v>
      </c>
      <c r="H72" s="162" t="s">
        <v>237</v>
      </c>
      <c r="I72" s="161" t="s">
        <v>54</v>
      </c>
      <c r="J72" s="161" t="s">
        <v>25</v>
      </c>
      <c r="K72" s="163"/>
      <c r="L72" s="163"/>
      <c r="M72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72" s="163"/>
      <c r="O72" s="170"/>
      <c r="P72" s="142"/>
      <c r="Q72" s="142" t="s">
        <v>52</v>
      </c>
      <c r="R72" s="161"/>
      <c r="S72" s="168" t="s">
        <v>239</v>
      </c>
    </row>
    <row r="73" spans="1:19">
      <c r="A73" s="126" t="s">
        <v>640</v>
      </c>
      <c r="B73" s="46" t="s">
        <v>51</v>
      </c>
      <c r="C73" s="165" t="s">
        <v>484</v>
      </c>
      <c r="D73" s="158" t="s">
        <v>18</v>
      </c>
      <c r="E73" s="158" t="s">
        <v>58</v>
      </c>
      <c r="F73" s="158" t="s">
        <v>20</v>
      </c>
      <c r="G73" s="156">
        <v>0.5</v>
      </c>
      <c r="H73" s="156" t="s">
        <v>237</v>
      </c>
      <c r="I73" s="159" t="s">
        <v>54</v>
      </c>
      <c r="J73" s="159" t="s">
        <v>25</v>
      </c>
      <c r="K73" s="166">
        <v>45945</v>
      </c>
      <c r="L73" s="160"/>
      <c r="M73" s="158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73" s="160"/>
      <c r="O73" s="167"/>
      <c r="P73" s="143">
        <v>18</v>
      </c>
      <c r="Q73" s="158" t="s">
        <v>52</v>
      </c>
      <c r="R73" s="158"/>
      <c r="S73" s="165" t="s">
        <v>238</v>
      </c>
    </row>
    <row r="74" spans="1:19" outlineLevel="1">
      <c r="A74" s="171" t="s">
        <v>640</v>
      </c>
      <c r="B74" s="168" t="s">
        <v>51</v>
      </c>
      <c r="C74" s="168" t="s">
        <v>485</v>
      </c>
      <c r="D74" s="161" t="s">
        <v>22</v>
      </c>
      <c r="E74" s="161" t="s">
        <v>58</v>
      </c>
      <c r="F74" s="161" t="s">
        <v>20</v>
      </c>
      <c r="G74" s="162">
        <v>0.5</v>
      </c>
      <c r="H74" s="162" t="s">
        <v>237</v>
      </c>
      <c r="I74" s="161" t="s">
        <v>54</v>
      </c>
      <c r="J74" s="161" t="s">
        <v>25</v>
      </c>
      <c r="K74" s="163">
        <v>45945</v>
      </c>
      <c r="L74" s="163"/>
      <c r="M74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74" s="163"/>
      <c r="O74" s="170"/>
      <c r="P74" s="161"/>
      <c r="Q74" s="161" t="s">
        <v>52</v>
      </c>
      <c r="R74" s="161"/>
      <c r="S74" s="168" t="s">
        <v>239</v>
      </c>
    </row>
    <row r="75" spans="1:19" outlineLevel="1">
      <c r="A75" s="171" t="s">
        <v>640</v>
      </c>
      <c r="B75" s="168" t="s">
        <v>51</v>
      </c>
      <c r="C75" s="168" t="s">
        <v>485</v>
      </c>
      <c r="D75" s="161" t="s">
        <v>28</v>
      </c>
      <c r="E75" s="161" t="s">
        <v>58</v>
      </c>
      <c r="F75" s="161" t="s">
        <v>20</v>
      </c>
      <c r="G75" s="162">
        <v>0</v>
      </c>
      <c r="H75" s="162" t="s">
        <v>237</v>
      </c>
      <c r="I75" s="161" t="s">
        <v>54</v>
      </c>
      <c r="J75" s="161" t="s">
        <v>25</v>
      </c>
      <c r="K75" s="163"/>
      <c r="L75" s="164"/>
      <c r="M75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75" s="163"/>
      <c r="O75" s="170"/>
      <c r="P75" s="142"/>
      <c r="Q75" s="161" t="s">
        <v>52</v>
      </c>
      <c r="R75" s="161"/>
      <c r="S75" s="168" t="s">
        <v>239</v>
      </c>
    </row>
    <row r="76" spans="1:19" outlineLevel="1">
      <c r="A76" s="171" t="s">
        <v>640</v>
      </c>
      <c r="B76" s="168" t="s">
        <v>51</v>
      </c>
      <c r="C76" s="168" t="s">
        <v>485</v>
      </c>
      <c r="D76" s="161" t="s">
        <v>29</v>
      </c>
      <c r="E76" s="161" t="s">
        <v>58</v>
      </c>
      <c r="F76" s="161" t="s">
        <v>20</v>
      </c>
      <c r="G76" s="162">
        <v>0</v>
      </c>
      <c r="H76" s="162" t="s">
        <v>237</v>
      </c>
      <c r="I76" s="161" t="s">
        <v>54</v>
      </c>
      <c r="J76" s="161" t="s">
        <v>25</v>
      </c>
      <c r="K76" s="163"/>
      <c r="L76" s="163"/>
      <c r="M76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76" s="163"/>
      <c r="O76" s="170"/>
      <c r="P76" s="142"/>
      <c r="Q76" s="142" t="s">
        <v>52</v>
      </c>
      <c r="R76" s="161"/>
      <c r="S76" s="168" t="s">
        <v>239</v>
      </c>
    </row>
    <row r="77" spans="1:19" outlineLevel="1">
      <c r="A77" s="171" t="s">
        <v>640</v>
      </c>
      <c r="B77" s="168" t="s">
        <v>51</v>
      </c>
      <c r="C77" s="168" t="s">
        <v>485</v>
      </c>
      <c r="D77" s="161" t="s">
        <v>30</v>
      </c>
      <c r="E77" s="161" t="s">
        <v>58</v>
      </c>
      <c r="F77" s="161" t="s">
        <v>20</v>
      </c>
      <c r="G77" s="162">
        <v>0</v>
      </c>
      <c r="H77" s="162" t="s">
        <v>237</v>
      </c>
      <c r="I77" s="161" t="s">
        <v>54</v>
      </c>
      <c r="J77" s="161" t="s">
        <v>25</v>
      </c>
      <c r="K77" s="163"/>
      <c r="L77" s="163"/>
      <c r="M77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77" s="163"/>
      <c r="O77" s="170"/>
      <c r="P77" s="142"/>
      <c r="Q77" s="142" t="s">
        <v>52</v>
      </c>
      <c r="R77" s="161"/>
      <c r="S77" s="168" t="s">
        <v>239</v>
      </c>
    </row>
    <row r="78" spans="1:19">
      <c r="A78" s="126" t="s">
        <v>640</v>
      </c>
      <c r="B78" s="46" t="s">
        <v>51</v>
      </c>
      <c r="C78" s="165" t="s">
        <v>486</v>
      </c>
      <c r="D78" s="158" t="s">
        <v>18</v>
      </c>
      <c r="E78" s="158" t="s">
        <v>58</v>
      </c>
      <c r="F78" s="158" t="s">
        <v>20</v>
      </c>
      <c r="G78" s="156">
        <v>0.5</v>
      </c>
      <c r="H78" s="156" t="s">
        <v>237</v>
      </c>
      <c r="I78" s="159" t="s">
        <v>54</v>
      </c>
      <c r="J78" s="159" t="s">
        <v>25</v>
      </c>
      <c r="K78" s="166">
        <v>45945</v>
      </c>
      <c r="L78" s="160"/>
      <c r="M78" s="158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78" s="160"/>
      <c r="O78" s="167"/>
      <c r="P78" s="143"/>
      <c r="Q78" s="158" t="s">
        <v>52</v>
      </c>
      <c r="R78" s="158"/>
      <c r="S78" s="165" t="s">
        <v>238</v>
      </c>
    </row>
    <row r="79" spans="1:19" outlineLevel="1">
      <c r="A79" s="171" t="s">
        <v>640</v>
      </c>
      <c r="B79" s="168" t="s">
        <v>51</v>
      </c>
      <c r="C79" s="168" t="s">
        <v>487</v>
      </c>
      <c r="D79" s="161" t="s">
        <v>22</v>
      </c>
      <c r="E79" s="161" t="s">
        <v>58</v>
      </c>
      <c r="F79" s="161" t="s">
        <v>20</v>
      </c>
      <c r="G79" s="162">
        <v>0.5</v>
      </c>
      <c r="H79" s="162" t="s">
        <v>237</v>
      </c>
      <c r="I79" s="161" t="s">
        <v>54</v>
      </c>
      <c r="J79" s="161" t="s">
        <v>25</v>
      </c>
      <c r="K79" s="163">
        <v>45945</v>
      </c>
      <c r="L79" s="163"/>
      <c r="M79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79" s="163"/>
      <c r="O79" s="170"/>
      <c r="P79" s="161"/>
      <c r="Q79" s="161" t="s">
        <v>52</v>
      </c>
      <c r="R79" s="161"/>
      <c r="S79" s="168" t="s">
        <v>239</v>
      </c>
    </row>
    <row r="80" spans="1:19" outlineLevel="1">
      <c r="A80" s="171" t="s">
        <v>640</v>
      </c>
      <c r="B80" s="168" t="s">
        <v>51</v>
      </c>
      <c r="C80" s="168" t="s">
        <v>487</v>
      </c>
      <c r="D80" s="161" t="s">
        <v>28</v>
      </c>
      <c r="E80" s="161" t="s">
        <v>58</v>
      </c>
      <c r="F80" s="161" t="s">
        <v>20</v>
      </c>
      <c r="G80" s="162">
        <v>0</v>
      </c>
      <c r="H80" s="162" t="s">
        <v>237</v>
      </c>
      <c r="I80" s="161" t="s">
        <v>54</v>
      </c>
      <c r="J80" s="161" t="s">
        <v>25</v>
      </c>
      <c r="K80" s="163"/>
      <c r="L80" s="164"/>
      <c r="M80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80" s="163"/>
      <c r="O80" s="170"/>
      <c r="P80" s="142"/>
      <c r="Q80" s="161" t="s">
        <v>52</v>
      </c>
      <c r="R80" s="161"/>
      <c r="S80" s="168" t="s">
        <v>239</v>
      </c>
    </row>
    <row r="81" spans="1:19" outlineLevel="1">
      <c r="A81" s="171" t="s">
        <v>640</v>
      </c>
      <c r="B81" s="168" t="s">
        <v>51</v>
      </c>
      <c r="C81" s="168" t="s">
        <v>487</v>
      </c>
      <c r="D81" s="161" t="s">
        <v>29</v>
      </c>
      <c r="E81" s="161" t="s">
        <v>58</v>
      </c>
      <c r="F81" s="161" t="s">
        <v>20</v>
      </c>
      <c r="G81" s="162">
        <v>0</v>
      </c>
      <c r="H81" s="162" t="s">
        <v>237</v>
      </c>
      <c r="I81" s="161" t="s">
        <v>54</v>
      </c>
      <c r="J81" s="161" t="s">
        <v>25</v>
      </c>
      <c r="K81" s="163"/>
      <c r="L81" s="163"/>
      <c r="M81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81" s="163"/>
      <c r="O81" s="170"/>
      <c r="P81" s="142"/>
      <c r="Q81" s="142" t="s">
        <v>52</v>
      </c>
      <c r="R81" s="161"/>
      <c r="S81" s="168" t="s">
        <v>239</v>
      </c>
    </row>
    <row r="82" spans="1:19" outlineLevel="1">
      <c r="A82" s="171" t="s">
        <v>640</v>
      </c>
      <c r="B82" s="168" t="s">
        <v>51</v>
      </c>
      <c r="C82" s="168" t="s">
        <v>487</v>
      </c>
      <c r="D82" s="161" t="s">
        <v>30</v>
      </c>
      <c r="E82" s="161" t="s">
        <v>58</v>
      </c>
      <c r="F82" s="161" t="s">
        <v>20</v>
      </c>
      <c r="G82" s="162">
        <v>0</v>
      </c>
      <c r="H82" s="162" t="s">
        <v>237</v>
      </c>
      <c r="I82" s="161" t="s">
        <v>54</v>
      </c>
      <c r="J82" s="161" t="s">
        <v>25</v>
      </c>
      <c r="K82" s="163"/>
      <c r="L82" s="163"/>
      <c r="M82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82" s="163"/>
      <c r="O82" s="170"/>
      <c r="P82" s="142"/>
      <c r="Q82" s="142" t="s">
        <v>52</v>
      </c>
      <c r="R82" s="161"/>
      <c r="S82" s="168" t="s">
        <v>239</v>
      </c>
    </row>
    <row r="83" spans="1:19">
      <c r="A83" s="126" t="s">
        <v>640</v>
      </c>
      <c r="B83" s="53" t="s">
        <v>51</v>
      </c>
      <c r="C83" s="165" t="s">
        <v>252</v>
      </c>
      <c r="D83" s="158" t="s">
        <v>18</v>
      </c>
      <c r="E83" s="158" t="s">
        <v>33</v>
      </c>
      <c r="F83" s="158" t="s">
        <v>20</v>
      </c>
      <c r="G83" s="156">
        <v>0.5</v>
      </c>
      <c r="H83" s="156" t="s">
        <v>237</v>
      </c>
      <c r="I83" s="159" t="s">
        <v>54</v>
      </c>
      <c r="J83" s="159" t="s">
        <v>25</v>
      </c>
      <c r="K83" s="166">
        <v>45945</v>
      </c>
      <c r="L83" s="160"/>
      <c r="M83" s="158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83" s="160"/>
      <c r="O83" s="167"/>
      <c r="P83" s="143"/>
      <c r="Q83" s="158" t="s">
        <v>52</v>
      </c>
      <c r="R83" s="158"/>
      <c r="S83" s="165" t="s">
        <v>474</v>
      </c>
    </row>
    <row r="84" spans="1:19" outlineLevel="1">
      <c r="A84" s="171" t="s">
        <v>640</v>
      </c>
      <c r="B84" s="168" t="s">
        <v>51</v>
      </c>
      <c r="C84" s="168" t="s">
        <v>253</v>
      </c>
      <c r="D84" s="161" t="s">
        <v>22</v>
      </c>
      <c r="E84" s="161" t="s">
        <v>33</v>
      </c>
      <c r="F84" s="161" t="s">
        <v>20</v>
      </c>
      <c r="G84" s="162">
        <v>0.5</v>
      </c>
      <c r="H84" s="162" t="s">
        <v>237</v>
      </c>
      <c r="I84" s="161" t="s">
        <v>54</v>
      </c>
      <c r="J84" s="161" t="s">
        <v>55</v>
      </c>
      <c r="K84" s="163">
        <v>45945</v>
      </c>
      <c r="L84" s="163"/>
      <c r="M84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84" s="163"/>
      <c r="O84" s="170"/>
      <c r="P84" s="161"/>
      <c r="Q84" s="161" t="s">
        <v>52</v>
      </c>
      <c r="R84" s="161"/>
      <c r="S84" s="168" t="s">
        <v>475</v>
      </c>
    </row>
    <row r="85" spans="1:19" outlineLevel="1">
      <c r="A85" s="171" t="s">
        <v>640</v>
      </c>
      <c r="B85" s="168" t="s">
        <v>51</v>
      </c>
      <c r="C85" s="168" t="s">
        <v>253</v>
      </c>
      <c r="D85" s="161" t="s">
        <v>28</v>
      </c>
      <c r="E85" s="161" t="s">
        <v>33</v>
      </c>
      <c r="F85" s="161" t="s">
        <v>20</v>
      </c>
      <c r="G85" s="162">
        <v>0</v>
      </c>
      <c r="H85" s="162" t="s">
        <v>237</v>
      </c>
      <c r="I85" s="161" t="s">
        <v>54</v>
      </c>
      <c r="J85" s="161" t="s">
        <v>55</v>
      </c>
      <c r="K85" s="163"/>
      <c r="L85" s="164"/>
      <c r="M85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85" s="163"/>
      <c r="O85" s="170"/>
      <c r="P85" s="142"/>
      <c r="Q85" s="161" t="s">
        <v>52</v>
      </c>
      <c r="R85" s="161"/>
      <c r="S85" s="168" t="s">
        <v>475</v>
      </c>
    </row>
    <row r="86" spans="1:19" outlineLevel="1">
      <c r="A86" s="171" t="s">
        <v>640</v>
      </c>
      <c r="B86" s="168" t="s">
        <v>51</v>
      </c>
      <c r="C86" s="168" t="s">
        <v>253</v>
      </c>
      <c r="D86" s="161" t="s">
        <v>29</v>
      </c>
      <c r="E86" s="161" t="s">
        <v>33</v>
      </c>
      <c r="F86" s="161" t="s">
        <v>20</v>
      </c>
      <c r="G86" s="162">
        <v>0</v>
      </c>
      <c r="H86" s="162" t="s">
        <v>237</v>
      </c>
      <c r="I86" s="161" t="s">
        <v>54</v>
      </c>
      <c r="J86" s="161" t="s">
        <v>55</v>
      </c>
      <c r="K86" s="163"/>
      <c r="L86" s="163"/>
      <c r="M86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86" s="163"/>
      <c r="O86" s="170"/>
      <c r="P86" s="142"/>
      <c r="Q86" s="142" t="s">
        <v>52</v>
      </c>
      <c r="R86" s="161"/>
      <c r="S86" s="168" t="s">
        <v>475</v>
      </c>
    </row>
    <row r="87" spans="1:19" outlineLevel="1">
      <c r="A87" s="171" t="s">
        <v>640</v>
      </c>
      <c r="B87" s="168" t="s">
        <v>51</v>
      </c>
      <c r="C87" s="168" t="s">
        <v>253</v>
      </c>
      <c r="D87" s="161" t="s">
        <v>30</v>
      </c>
      <c r="E87" s="161" t="s">
        <v>33</v>
      </c>
      <c r="F87" s="161" t="s">
        <v>20</v>
      </c>
      <c r="G87" s="162">
        <v>0</v>
      </c>
      <c r="H87" s="162" t="s">
        <v>237</v>
      </c>
      <c r="I87" s="161" t="s">
        <v>54</v>
      </c>
      <c r="J87" s="161" t="s">
        <v>55</v>
      </c>
      <c r="K87" s="163"/>
      <c r="L87" s="163"/>
      <c r="M87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87" s="163"/>
      <c r="O87" s="170"/>
      <c r="P87" s="142"/>
      <c r="Q87" s="142" t="s">
        <v>52</v>
      </c>
      <c r="R87" s="161"/>
      <c r="S87" s="168" t="s">
        <v>475</v>
      </c>
    </row>
    <row r="88" spans="1:19">
      <c r="A88" s="126" t="s">
        <v>640</v>
      </c>
      <c r="B88" s="46" t="s">
        <v>51</v>
      </c>
      <c r="C88" s="165" t="s">
        <v>254</v>
      </c>
      <c r="D88" s="158" t="s">
        <v>18</v>
      </c>
      <c r="E88" s="158" t="s">
        <v>58</v>
      </c>
      <c r="F88" s="158" t="s">
        <v>20</v>
      </c>
      <c r="G88" s="156">
        <v>0.5</v>
      </c>
      <c r="H88" s="156" t="s">
        <v>237</v>
      </c>
      <c r="I88" s="159" t="s">
        <v>54</v>
      </c>
      <c r="J88" s="159" t="s">
        <v>55</v>
      </c>
      <c r="K88" s="166">
        <v>45945</v>
      </c>
      <c r="L88" s="160"/>
      <c r="M88" s="158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88" s="160"/>
      <c r="O88" s="167"/>
      <c r="P88" s="143"/>
      <c r="Q88" s="158" t="s">
        <v>52</v>
      </c>
      <c r="R88" s="158"/>
      <c r="S88" s="165" t="s">
        <v>252</v>
      </c>
    </row>
    <row r="89" spans="1:19" outlineLevel="1">
      <c r="A89" s="171" t="s">
        <v>640</v>
      </c>
      <c r="B89" s="168" t="s">
        <v>51</v>
      </c>
      <c r="C89" s="168" t="s">
        <v>255</v>
      </c>
      <c r="D89" s="161" t="s">
        <v>22</v>
      </c>
      <c r="E89" s="161" t="s">
        <v>58</v>
      </c>
      <c r="F89" s="161" t="s">
        <v>20</v>
      </c>
      <c r="G89" s="162">
        <v>0.5</v>
      </c>
      <c r="H89" s="162" t="s">
        <v>237</v>
      </c>
      <c r="I89" s="161" t="s">
        <v>54</v>
      </c>
      <c r="J89" s="161" t="s">
        <v>55</v>
      </c>
      <c r="K89" s="163">
        <v>45945</v>
      </c>
      <c r="L89" s="163"/>
      <c r="M89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89" s="163"/>
      <c r="O89" s="170"/>
      <c r="P89" s="161"/>
      <c r="Q89" s="161" t="s">
        <v>52</v>
      </c>
      <c r="R89" s="161"/>
      <c r="S89" s="168" t="s">
        <v>253</v>
      </c>
    </row>
    <row r="90" spans="1:19" outlineLevel="1">
      <c r="A90" s="171" t="s">
        <v>640</v>
      </c>
      <c r="B90" s="168" t="s">
        <v>51</v>
      </c>
      <c r="C90" s="168" t="s">
        <v>255</v>
      </c>
      <c r="D90" s="161" t="s">
        <v>28</v>
      </c>
      <c r="E90" s="161" t="s">
        <v>58</v>
      </c>
      <c r="F90" s="161" t="s">
        <v>20</v>
      </c>
      <c r="G90" s="162">
        <v>0</v>
      </c>
      <c r="H90" s="162" t="s">
        <v>237</v>
      </c>
      <c r="I90" s="161" t="s">
        <v>54</v>
      </c>
      <c r="J90" s="161" t="s">
        <v>55</v>
      </c>
      <c r="K90" s="163"/>
      <c r="L90" s="164"/>
      <c r="M90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90" s="163"/>
      <c r="O90" s="170"/>
      <c r="P90" s="142"/>
      <c r="Q90" s="161" t="s">
        <v>52</v>
      </c>
      <c r="R90" s="161"/>
      <c r="S90" s="168" t="s">
        <v>253</v>
      </c>
    </row>
    <row r="91" spans="1:19" outlineLevel="1">
      <c r="A91" s="171" t="s">
        <v>640</v>
      </c>
      <c r="B91" s="168" t="s">
        <v>51</v>
      </c>
      <c r="C91" s="168" t="s">
        <v>255</v>
      </c>
      <c r="D91" s="161" t="s">
        <v>29</v>
      </c>
      <c r="E91" s="161" t="s">
        <v>58</v>
      </c>
      <c r="F91" s="161" t="s">
        <v>20</v>
      </c>
      <c r="G91" s="162">
        <v>0</v>
      </c>
      <c r="H91" s="162" t="s">
        <v>237</v>
      </c>
      <c r="I91" s="161" t="s">
        <v>54</v>
      </c>
      <c r="J91" s="161" t="s">
        <v>55</v>
      </c>
      <c r="K91" s="163"/>
      <c r="L91" s="163"/>
      <c r="M91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91" s="163"/>
      <c r="O91" s="170"/>
      <c r="P91" s="142"/>
      <c r="Q91" s="142" t="s">
        <v>52</v>
      </c>
      <c r="R91" s="161"/>
      <c r="S91" s="168" t="s">
        <v>253</v>
      </c>
    </row>
    <row r="92" spans="1:19" outlineLevel="1">
      <c r="A92" s="171" t="s">
        <v>640</v>
      </c>
      <c r="B92" s="168" t="s">
        <v>51</v>
      </c>
      <c r="C92" s="168" t="s">
        <v>255</v>
      </c>
      <c r="D92" s="161" t="s">
        <v>30</v>
      </c>
      <c r="E92" s="161" t="s">
        <v>58</v>
      </c>
      <c r="F92" s="161" t="s">
        <v>20</v>
      </c>
      <c r="G92" s="162">
        <v>0</v>
      </c>
      <c r="H92" s="162" t="s">
        <v>237</v>
      </c>
      <c r="I92" s="161" t="s">
        <v>54</v>
      </c>
      <c r="J92" s="161" t="s">
        <v>55</v>
      </c>
      <c r="K92" s="163"/>
      <c r="L92" s="163"/>
      <c r="M92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92" s="163"/>
      <c r="O92" s="170"/>
      <c r="P92" s="142"/>
      <c r="Q92" s="142" t="s">
        <v>52</v>
      </c>
      <c r="R92" s="161"/>
      <c r="S92" s="168" t="s">
        <v>253</v>
      </c>
    </row>
    <row r="93" spans="1:19">
      <c r="A93" s="126" t="s">
        <v>640</v>
      </c>
      <c r="B93" s="46" t="s">
        <v>51</v>
      </c>
      <c r="C93" s="165" t="s">
        <v>256</v>
      </c>
      <c r="D93" s="158" t="s">
        <v>18</v>
      </c>
      <c r="E93" s="158" t="s">
        <v>58</v>
      </c>
      <c r="F93" s="158" t="s">
        <v>20</v>
      </c>
      <c r="G93" s="156">
        <v>0.5</v>
      </c>
      <c r="H93" s="156" t="s">
        <v>237</v>
      </c>
      <c r="I93" s="159" t="s">
        <v>54</v>
      </c>
      <c r="J93" s="159" t="s">
        <v>55</v>
      </c>
      <c r="K93" s="166">
        <v>45945</v>
      </c>
      <c r="L93" s="160"/>
      <c r="M93" s="158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93" s="160"/>
      <c r="O93" s="167"/>
      <c r="P93" s="143"/>
      <c r="Q93" s="158" t="s">
        <v>52</v>
      </c>
      <c r="R93" s="158"/>
      <c r="S93" s="165" t="s">
        <v>252</v>
      </c>
    </row>
    <row r="94" spans="1:19" outlineLevel="1">
      <c r="A94" s="171" t="s">
        <v>640</v>
      </c>
      <c r="B94" s="168" t="s">
        <v>51</v>
      </c>
      <c r="C94" s="168" t="s">
        <v>257</v>
      </c>
      <c r="D94" s="161" t="s">
        <v>22</v>
      </c>
      <c r="E94" s="161" t="s">
        <v>58</v>
      </c>
      <c r="F94" s="161" t="s">
        <v>20</v>
      </c>
      <c r="G94" s="162">
        <v>0.5</v>
      </c>
      <c r="H94" s="162" t="s">
        <v>237</v>
      </c>
      <c r="I94" s="161" t="s">
        <v>54</v>
      </c>
      <c r="J94" s="161" t="s">
        <v>55</v>
      </c>
      <c r="K94" s="163">
        <v>45945</v>
      </c>
      <c r="L94" s="163"/>
      <c r="M94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94" s="163"/>
      <c r="O94" s="170"/>
      <c r="P94" s="161"/>
      <c r="Q94" s="161" t="s">
        <v>52</v>
      </c>
      <c r="R94" s="161"/>
      <c r="S94" s="168" t="s">
        <v>253</v>
      </c>
    </row>
    <row r="95" spans="1:19" outlineLevel="1">
      <c r="A95" s="171" t="s">
        <v>640</v>
      </c>
      <c r="B95" s="168" t="s">
        <v>51</v>
      </c>
      <c r="C95" s="168" t="s">
        <v>257</v>
      </c>
      <c r="D95" s="161" t="s">
        <v>28</v>
      </c>
      <c r="E95" s="161" t="s">
        <v>58</v>
      </c>
      <c r="F95" s="161" t="s">
        <v>20</v>
      </c>
      <c r="G95" s="162">
        <v>0</v>
      </c>
      <c r="H95" s="162" t="s">
        <v>237</v>
      </c>
      <c r="I95" s="161" t="s">
        <v>54</v>
      </c>
      <c r="J95" s="161" t="s">
        <v>55</v>
      </c>
      <c r="K95" s="163"/>
      <c r="L95" s="164"/>
      <c r="M95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95" s="163"/>
      <c r="O95" s="170"/>
      <c r="P95" s="142"/>
      <c r="Q95" s="161" t="s">
        <v>52</v>
      </c>
      <c r="R95" s="161"/>
      <c r="S95" s="168" t="s">
        <v>253</v>
      </c>
    </row>
    <row r="96" spans="1:19" outlineLevel="1">
      <c r="A96" s="171" t="s">
        <v>640</v>
      </c>
      <c r="B96" s="168" t="s">
        <v>51</v>
      </c>
      <c r="C96" s="168" t="s">
        <v>257</v>
      </c>
      <c r="D96" s="161" t="s">
        <v>29</v>
      </c>
      <c r="E96" s="161" t="s">
        <v>58</v>
      </c>
      <c r="F96" s="161" t="s">
        <v>20</v>
      </c>
      <c r="G96" s="162">
        <v>0</v>
      </c>
      <c r="H96" s="162" t="s">
        <v>237</v>
      </c>
      <c r="I96" s="161" t="s">
        <v>54</v>
      </c>
      <c r="J96" s="161" t="s">
        <v>55</v>
      </c>
      <c r="K96" s="163"/>
      <c r="L96" s="163"/>
      <c r="M96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96" s="163"/>
      <c r="O96" s="170"/>
      <c r="P96" s="142"/>
      <c r="Q96" s="142" t="s">
        <v>52</v>
      </c>
      <c r="R96" s="161"/>
      <c r="S96" s="168" t="s">
        <v>253</v>
      </c>
    </row>
    <row r="97" spans="1:19" outlineLevel="1">
      <c r="A97" s="171" t="s">
        <v>640</v>
      </c>
      <c r="B97" s="168" t="s">
        <v>51</v>
      </c>
      <c r="C97" s="168" t="s">
        <v>257</v>
      </c>
      <c r="D97" s="161" t="s">
        <v>30</v>
      </c>
      <c r="E97" s="161" t="s">
        <v>58</v>
      </c>
      <c r="F97" s="161" t="s">
        <v>20</v>
      </c>
      <c r="G97" s="162">
        <v>0</v>
      </c>
      <c r="H97" s="162" t="s">
        <v>237</v>
      </c>
      <c r="I97" s="161" t="s">
        <v>54</v>
      </c>
      <c r="J97" s="161" t="s">
        <v>55</v>
      </c>
      <c r="K97" s="163"/>
      <c r="L97" s="163"/>
      <c r="M97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97" s="163"/>
      <c r="O97" s="170"/>
      <c r="P97" s="142"/>
      <c r="Q97" s="142" t="s">
        <v>52</v>
      </c>
      <c r="R97" s="161"/>
      <c r="S97" s="168" t="s">
        <v>253</v>
      </c>
    </row>
    <row r="98" spans="1:19">
      <c r="A98" s="126" t="s">
        <v>640</v>
      </c>
      <c r="B98" s="53" t="s">
        <v>51</v>
      </c>
      <c r="C98" s="165" t="s">
        <v>258</v>
      </c>
      <c r="D98" s="158" t="s">
        <v>18</v>
      </c>
      <c r="E98" s="158" t="s">
        <v>33</v>
      </c>
      <c r="F98" s="158" t="s">
        <v>20</v>
      </c>
      <c r="G98" s="156">
        <v>0.5</v>
      </c>
      <c r="H98" s="156" t="s">
        <v>237</v>
      </c>
      <c r="I98" s="159" t="s">
        <v>54</v>
      </c>
      <c r="J98" s="159" t="s">
        <v>55</v>
      </c>
      <c r="K98" s="166">
        <v>45945</v>
      </c>
      <c r="L98" s="160"/>
      <c r="M98" s="158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98" s="160"/>
      <c r="O98" s="167"/>
      <c r="P98" s="143"/>
      <c r="Q98" s="158" t="s">
        <v>52</v>
      </c>
      <c r="R98" s="158"/>
      <c r="S98" s="165" t="s">
        <v>474</v>
      </c>
    </row>
    <row r="99" spans="1:19" outlineLevel="1">
      <c r="A99" s="171" t="s">
        <v>640</v>
      </c>
      <c r="B99" s="168" t="s">
        <v>51</v>
      </c>
      <c r="C99" s="168" t="s">
        <v>259</v>
      </c>
      <c r="D99" s="161" t="s">
        <v>22</v>
      </c>
      <c r="E99" s="161" t="s">
        <v>33</v>
      </c>
      <c r="F99" s="161" t="s">
        <v>20</v>
      </c>
      <c r="G99" s="162">
        <v>0.5</v>
      </c>
      <c r="H99" s="162" t="s">
        <v>237</v>
      </c>
      <c r="I99" s="161" t="s">
        <v>54</v>
      </c>
      <c r="J99" s="161" t="s">
        <v>55</v>
      </c>
      <c r="K99" s="163">
        <v>45945</v>
      </c>
      <c r="L99" s="163"/>
      <c r="M99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99" s="163"/>
      <c r="O99" s="170"/>
      <c r="P99" s="161"/>
      <c r="Q99" s="161" t="s">
        <v>52</v>
      </c>
      <c r="R99" s="161"/>
      <c r="S99" s="168" t="s">
        <v>475</v>
      </c>
    </row>
    <row r="100" spans="1:19" outlineLevel="1">
      <c r="A100" s="171" t="s">
        <v>640</v>
      </c>
      <c r="B100" s="168" t="s">
        <v>51</v>
      </c>
      <c r="C100" s="168" t="s">
        <v>259</v>
      </c>
      <c r="D100" s="161" t="s">
        <v>28</v>
      </c>
      <c r="E100" s="161" t="s">
        <v>33</v>
      </c>
      <c r="F100" s="161" t="s">
        <v>20</v>
      </c>
      <c r="G100" s="162">
        <v>0</v>
      </c>
      <c r="H100" s="162" t="s">
        <v>237</v>
      </c>
      <c r="I100" s="161" t="s">
        <v>54</v>
      </c>
      <c r="J100" s="161" t="s">
        <v>55</v>
      </c>
      <c r="K100" s="163"/>
      <c r="L100" s="164"/>
      <c r="M100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00" s="163"/>
      <c r="O100" s="170"/>
      <c r="P100" s="142"/>
      <c r="Q100" s="161" t="s">
        <v>52</v>
      </c>
      <c r="R100" s="161"/>
      <c r="S100" s="168" t="s">
        <v>475</v>
      </c>
    </row>
    <row r="101" spans="1:19" outlineLevel="1">
      <c r="A101" s="171" t="s">
        <v>640</v>
      </c>
      <c r="B101" s="168" t="s">
        <v>51</v>
      </c>
      <c r="C101" s="168" t="s">
        <v>259</v>
      </c>
      <c r="D101" s="161" t="s">
        <v>29</v>
      </c>
      <c r="E101" s="161"/>
      <c r="F101" s="161" t="s">
        <v>20</v>
      </c>
      <c r="G101" s="162">
        <v>0</v>
      </c>
      <c r="H101" s="162" t="s">
        <v>237</v>
      </c>
      <c r="I101" s="161" t="s">
        <v>54</v>
      </c>
      <c r="J101" s="161" t="s">
        <v>55</v>
      </c>
      <c r="K101" s="163"/>
      <c r="L101" s="163"/>
      <c r="M101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01" s="163"/>
      <c r="O101" s="170"/>
      <c r="P101" s="142"/>
      <c r="Q101" s="142" t="s">
        <v>52</v>
      </c>
      <c r="R101" s="161"/>
      <c r="S101" s="168" t="s">
        <v>475</v>
      </c>
    </row>
    <row r="102" spans="1:19" outlineLevel="1">
      <c r="A102" s="171" t="s">
        <v>640</v>
      </c>
      <c r="B102" s="168" t="s">
        <v>51</v>
      </c>
      <c r="C102" s="168" t="s">
        <v>259</v>
      </c>
      <c r="D102" s="161" t="s">
        <v>30</v>
      </c>
      <c r="E102" s="161" t="s">
        <v>33</v>
      </c>
      <c r="F102" s="161" t="s">
        <v>20</v>
      </c>
      <c r="G102" s="162">
        <v>0</v>
      </c>
      <c r="H102" s="162" t="s">
        <v>237</v>
      </c>
      <c r="I102" s="161" t="s">
        <v>54</v>
      </c>
      <c r="J102" s="161" t="s">
        <v>55</v>
      </c>
      <c r="K102" s="163"/>
      <c r="L102" s="163"/>
      <c r="M102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02" s="163"/>
      <c r="O102" s="170"/>
      <c r="P102" s="142"/>
      <c r="Q102" s="142" t="s">
        <v>52</v>
      </c>
      <c r="R102" s="161"/>
      <c r="S102" s="168" t="s">
        <v>475</v>
      </c>
    </row>
    <row r="103" spans="1:19">
      <c r="A103" s="126" t="s">
        <v>640</v>
      </c>
      <c r="B103" s="46" t="s">
        <v>51</v>
      </c>
      <c r="C103" s="165" t="s">
        <v>488</v>
      </c>
      <c r="D103" s="158" t="s">
        <v>18</v>
      </c>
      <c r="E103" s="158" t="s">
        <v>58</v>
      </c>
      <c r="F103" s="158" t="s">
        <v>20</v>
      </c>
      <c r="G103" s="156">
        <v>0.5</v>
      </c>
      <c r="H103" s="156" t="s">
        <v>237</v>
      </c>
      <c r="I103" s="159" t="s">
        <v>54</v>
      </c>
      <c r="J103" s="159" t="s">
        <v>55</v>
      </c>
      <c r="K103" s="166">
        <v>45945</v>
      </c>
      <c r="L103" s="160"/>
      <c r="M103" s="158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03" s="160"/>
      <c r="O103" s="167"/>
      <c r="P103" s="143"/>
      <c r="Q103" s="158" t="s">
        <v>52</v>
      </c>
      <c r="R103" s="158"/>
      <c r="S103" s="165" t="s">
        <v>258</v>
      </c>
    </row>
    <row r="104" spans="1:19" outlineLevel="1">
      <c r="A104" s="171" t="s">
        <v>640</v>
      </c>
      <c r="B104" s="168" t="s">
        <v>51</v>
      </c>
      <c r="C104" s="168" t="s">
        <v>489</v>
      </c>
      <c r="D104" s="161" t="s">
        <v>22</v>
      </c>
      <c r="E104" s="161" t="s">
        <v>58</v>
      </c>
      <c r="F104" s="161" t="s">
        <v>20</v>
      </c>
      <c r="G104" s="162">
        <v>0.5</v>
      </c>
      <c r="H104" s="162" t="s">
        <v>237</v>
      </c>
      <c r="I104" s="161" t="s">
        <v>54</v>
      </c>
      <c r="J104" s="161" t="s">
        <v>55</v>
      </c>
      <c r="K104" s="163">
        <v>45945</v>
      </c>
      <c r="L104" s="163"/>
      <c r="M104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04" s="163"/>
      <c r="O104" s="170"/>
      <c r="P104" s="161"/>
      <c r="Q104" s="161" t="s">
        <v>52</v>
      </c>
      <c r="R104" s="161"/>
      <c r="S104" s="168" t="s">
        <v>259</v>
      </c>
    </row>
    <row r="105" spans="1:19" outlineLevel="1">
      <c r="A105" s="171" t="s">
        <v>640</v>
      </c>
      <c r="B105" s="168" t="s">
        <v>51</v>
      </c>
      <c r="C105" s="168" t="s">
        <v>489</v>
      </c>
      <c r="D105" s="161" t="s">
        <v>28</v>
      </c>
      <c r="E105" s="161" t="s">
        <v>58</v>
      </c>
      <c r="F105" s="161" t="s">
        <v>20</v>
      </c>
      <c r="G105" s="162">
        <v>0</v>
      </c>
      <c r="H105" s="162" t="s">
        <v>237</v>
      </c>
      <c r="I105" s="161" t="s">
        <v>54</v>
      </c>
      <c r="J105" s="161" t="s">
        <v>55</v>
      </c>
      <c r="K105" s="163"/>
      <c r="L105" s="164"/>
      <c r="M105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05" s="163"/>
      <c r="O105" s="170"/>
      <c r="P105" s="142"/>
      <c r="Q105" s="161" t="s">
        <v>52</v>
      </c>
      <c r="R105" s="161"/>
      <c r="S105" s="168" t="s">
        <v>259</v>
      </c>
    </row>
    <row r="106" spans="1:19" outlineLevel="1">
      <c r="A106" s="171" t="s">
        <v>640</v>
      </c>
      <c r="B106" s="168" t="s">
        <v>51</v>
      </c>
      <c r="C106" s="168" t="s">
        <v>489</v>
      </c>
      <c r="D106" s="161" t="s">
        <v>29</v>
      </c>
      <c r="E106" s="161" t="s">
        <v>58</v>
      </c>
      <c r="F106" s="161" t="s">
        <v>20</v>
      </c>
      <c r="G106" s="162">
        <v>0</v>
      </c>
      <c r="H106" s="162" t="s">
        <v>237</v>
      </c>
      <c r="I106" s="161" t="s">
        <v>54</v>
      </c>
      <c r="J106" s="161" t="s">
        <v>55</v>
      </c>
      <c r="K106" s="163"/>
      <c r="L106" s="163"/>
      <c r="M106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06" s="163"/>
      <c r="O106" s="170"/>
      <c r="P106" s="142"/>
      <c r="Q106" s="142" t="s">
        <v>52</v>
      </c>
      <c r="R106" s="161"/>
      <c r="S106" s="168" t="s">
        <v>259</v>
      </c>
    </row>
    <row r="107" spans="1:19" outlineLevel="1">
      <c r="A107" s="171" t="s">
        <v>640</v>
      </c>
      <c r="B107" s="168" t="s">
        <v>51</v>
      </c>
      <c r="C107" s="168" t="s">
        <v>489</v>
      </c>
      <c r="D107" s="161" t="s">
        <v>30</v>
      </c>
      <c r="E107" s="161" t="s">
        <v>58</v>
      </c>
      <c r="F107" s="161" t="s">
        <v>20</v>
      </c>
      <c r="G107" s="162">
        <v>0</v>
      </c>
      <c r="H107" s="162" t="s">
        <v>237</v>
      </c>
      <c r="I107" s="161" t="s">
        <v>54</v>
      </c>
      <c r="J107" s="161" t="s">
        <v>55</v>
      </c>
      <c r="K107" s="163"/>
      <c r="L107" s="163"/>
      <c r="M107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07" s="163"/>
      <c r="O107" s="170"/>
      <c r="P107" s="142"/>
      <c r="Q107" s="142" t="s">
        <v>52</v>
      </c>
      <c r="R107" s="161"/>
      <c r="S107" s="168" t="s">
        <v>259</v>
      </c>
    </row>
    <row r="108" spans="1:19">
      <c r="A108" s="126" t="s">
        <v>640</v>
      </c>
      <c r="B108" s="46" t="s">
        <v>51</v>
      </c>
      <c r="C108" s="165" t="s">
        <v>262</v>
      </c>
      <c r="D108" s="158" t="s">
        <v>18</v>
      </c>
      <c r="E108" s="158" t="s">
        <v>58</v>
      </c>
      <c r="F108" s="158" t="s">
        <v>20</v>
      </c>
      <c r="G108" s="156">
        <v>0.5</v>
      </c>
      <c r="H108" s="156" t="s">
        <v>237</v>
      </c>
      <c r="I108" s="159" t="s">
        <v>54</v>
      </c>
      <c r="J108" s="159" t="s">
        <v>55</v>
      </c>
      <c r="K108" s="166">
        <v>45945</v>
      </c>
      <c r="L108" s="160"/>
      <c r="M108" s="158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08" s="160"/>
      <c r="O108" s="167"/>
      <c r="P108" s="143"/>
      <c r="Q108" s="158" t="s">
        <v>52</v>
      </c>
      <c r="R108" s="158"/>
      <c r="S108" s="165" t="s">
        <v>258</v>
      </c>
    </row>
    <row r="109" spans="1:19" outlineLevel="1">
      <c r="A109" s="171" t="s">
        <v>640</v>
      </c>
      <c r="B109" s="168" t="s">
        <v>51</v>
      </c>
      <c r="C109" s="168" t="s">
        <v>263</v>
      </c>
      <c r="D109" s="161" t="s">
        <v>22</v>
      </c>
      <c r="E109" s="161" t="s">
        <v>58</v>
      </c>
      <c r="F109" s="161" t="s">
        <v>20</v>
      </c>
      <c r="G109" s="162">
        <v>0.5</v>
      </c>
      <c r="H109" s="162" t="s">
        <v>237</v>
      </c>
      <c r="I109" s="161" t="s">
        <v>54</v>
      </c>
      <c r="J109" s="161" t="s">
        <v>55</v>
      </c>
      <c r="K109" s="163">
        <v>45945</v>
      </c>
      <c r="L109" s="163"/>
      <c r="M109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09" s="163"/>
      <c r="O109" s="170"/>
      <c r="P109" s="161"/>
      <c r="Q109" s="161" t="s">
        <v>52</v>
      </c>
      <c r="R109" s="161"/>
      <c r="S109" s="168" t="s">
        <v>259</v>
      </c>
    </row>
    <row r="110" spans="1:19" outlineLevel="1">
      <c r="A110" s="171" t="s">
        <v>640</v>
      </c>
      <c r="B110" s="168" t="s">
        <v>51</v>
      </c>
      <c r="C110" s="168" t="s">
        <v>263</v>
      </c>
      <c r="D110" s="161" t="s">
        <v>28</v>
      </c>
      <c r="E110" s="161" t="s">
        <v>58</v>
      </c>
      <c r="F110" s="161" t="s">
        <v>20</v>
      </c>
      <c r="G110" s="162">
        <v>0</v>
      </c>
      <c r="H110" s="162" t="s">
        <v>237</v>
      </c>
      <c r="I110" s="161" t="s">
        <v>54</v>
      </c>
      <c r="J110" s="161" t="s">
        <v>55</v>
      </c>
      <c r="K110" s="163"/>
      <c r="L110" s="164"/>
      <c r="M110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10" s="163"/>
      <c r="O110" s="170"/>
      <c r="P110" s="142"/>
      <c r="Q110" s="161" t="s">
        <v>52</v>
      </c>
      <c r="R110" s="161"/>
      <c r="S110" s="168" t="s">
        <v>259</v>
      </c>
    </row>
    <row r="111" spans="1:19" outlineLevel="1">
      <c r="A111" s="171" t="s">
        <v>640</v>
      </c>
      <c r="B111" s="168" t="s">
        <v>51</v>
      </c>
      <c r="C111" s="168" t="s">
        <v>263</v>
      </c>
      <c r="D111" s="161" t="s">
        <v>29</v>
      </c>
      <c r="E111" s="161" t="s">
        <v>58</v>
      </c>
      <c r="F111" s="161" t="s">
        <v>20</v>
      </c>
      <c r="G111" s="162">
        <v>0</v>
      </c>
      <c r="H111" s="162" t="s">
        <v>237</v>
      </c>
      <c r="I111" s="161" t="s">
        <v>54</v>
      </c>
      <c r="J111" s="161" t="s">
        <v>55</v>
      </c>
      <c r="K111" s="163"/>
      <c r="L111" s="163"/>
      <c r="M111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11" s="163"/>
      <c r="O111" s="170"/>
      <c r="P111" s="142"/>
      <c r="Q111" s="142" t="s">
        <v>52</v>
      </c>
      <c r="R111" s="161"/>
      <c r="S111" s="168" t="s">
        <v>259</v>
      </c>
    </row>
    <row r="112" spans="1:19" outlineLevel="1">
      <c r="A112" s="171" t="s">
        <v>640</v>
      </c>
      <c r="B112" s="168" t="s">
        <v>51</v>
      </c>
      <c r="C112" s="168" t="s">
        <v>263</v>
      </c>
      <c r="D112" s="161" t="s">
        <v>30</v>
      </c>
      <c r="E112" s="161" t="s">
        <v>58</v>
      </c>
      <c r="F112" s="161" t="s">
        <v>20</v>
      </c>
      <c r="G112" s="162">
        <v>0</v>
      </c>
      <c r="H112" s="162" t="s">
        <v>237</v>
      </c>
      <c r="I112" s="161" t="s">
        <v>54</v>
      </c>
      <c r="J112" s="161" t="s">
        <v>55</v>
      </c>
      <c r="K112" s="163"/>
      <c r="L112" s="163"/>
      <c r="M112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12" s="163"/>
      <c r="O112" s="170"/>
      <c r="P112" s="142"/>
      <c r="Q112" s="142" t="s">
        <v>52</v>
      </c>
      <c r="R112" s="161"/>
      <c r="S112" s="168" t="s">
        <v>259</v>
      </c>
    </row>
    <row r="113" spans="1:19">
      <c r="A113" s="126" t="s">
        <v>640</v>
      </c>
      <c r="B113" s="46" t="s">
        <v>51</v>
      </c>
      <c r="C113" s="165" t="s">
        <v>264</v>
      </c>
      <c r="D113" s="158" t="s">
        <v>18</v>
      </c>
      <c r="E113" s="158" t="s">
        <v>58</v>
      </c>
      <c r="F113" s="158" t="s">
        <v>20</v>
      </c>
      <c r="G113" s="156">
        <v>0.5</v>
      </c>
      <c r="H113" s="156" t="s">
        <v>237</v>
      </c>
      <c r="I113" s="159" t="s">
        <v>54</v>
      </c>
      <c r="J113" s="159" t="s">
        <v>55</v>
      </c>
      <c r="K113" s="166">
        <v>45945</v>
      </c>
      <c r="L113" s="160"/>
      <c r="M113" s="158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13" s="160"/>
      <c r="O113" s="167"/>
      <c r="P113" s="143"/>
      <c r="Q113" s="158" t="s">
        <v>52</v>
      </c>
      <c r="R113" s="158"/>
      <c r="S113" s="165" t="s">
        <v>258</v>
      </c>
    </row>
    <row r="114" spans="1:19" outlineLevel="1">
      <c r="A114" s="171" t="s">
        <v>640</v>
      </c>
      <c r="B114" s="168" t="s">
        <v>51</v>
      </c>
      <c r="C114" s="168" t="s">
        <v>265</v>
      </c>
      <c r="D114" s="161" t="s">
        <v>22</v>
      </c>
      <c r="E114" s="161" t="s">
        <v>58</v>
      </c>
      <c r="F114" s="161" t="s">
        <v>20</v>
      </c>
      <c r="G114" s="162">
        <v>0.5</v>
      </c>
      <c r="H114" s="162" t="s">
        <v>237</v>
      </c>
      <c r="I114" s="161" t="s">
        <v>54</v>
      </c>
      <c r="J114" s="161" t="s">
        <v>55</v>
      </c>
      <c r="K114" s="163">
        <v>45945</v>
      </c>
      <c r="L114" s="163"/>
      <c r="M114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14" s="163"/>
      <c r="O114" s="170"/>
      <c r="P114" s="161"/>
      <c r="Q114" s="161" t="s">
        <v>52</v>
      </c>
      <c r="R114" s="161"/>
      <c r="S114" s="168" t="s">
        <v>259</v>
      </c>
    </row>
    <row r="115" spans="1:19" outlineLevel="1">
      <c r="A115" s="171" t="s">
        <v>640</v>
      </c>
      <c r="B115" s="168" t="s">
        <v>51</v>
      </c>
      <c r="C115" s="168" t="s">
        <v>265</v>
      </c>
      <c r="D115" s="161" t="s">
        <v>28</v>
      </c>
      <c r="E115" s="161" t="s">
        <v>58</v>
      </c>
      <c r="F115" s="161" t="s">
        <v>20</v>
      </c>
      <c r="G115" s="162">
        <v>0</v>
      </c>
      <c r="H115" s="162" t="s">
        <v>237</v>
      </c>
      <c r="I115" s="161" t="s">
        <v>54</v>
      </c>
      <c r="J115" s="161" t="s">
        <v>55</v>
      </c>
      <c r="K115" s="163"/>
      <c r="L115" s="164"/>
      <c r="M115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15" s="163"/>
      <c r="O115" s="170"/>
      <c r="P115" s="142"/>
      <c r="Q115" s="161" t="s">
        <v>52</v>
      </c>
      <c r="R115" s="161"/>
      <c r="S115" s="168" t="s">
        <v>259</v>
      </c>
    </row>
    <row r="116" spans="1:19" outlineLevel="1">
      <c r="A116" s="171" t="s">
        <v>640</v>
      </c>
      <c r="B116" s="168" t="s">
        <v>51</v>
      </c>
      <c r="C116" s="168" t="s">
        <v>265</v>
      </c>
      <c r="D116" s="161" t="s">
        <v>29</v>
      </c>
      <c r="E116" s="161" t="s">
        <v>58</v>
      </c>
      <c r="F116" s="161" t="s">
        <v>20</v>
      </c>
      <c r="G116" s="162">
        <v>0</v>
      </c>
      <c r="H116" s="162" t="s">
        <v>237</v>
      </c>
      <c r="I116" s="161" t="s">
        <v>54</v>
      </c>
      <c r="J116" s="161" t="s">
        <v>55</v>
      </c>
      <c r="K116" s="163"/>
      <c r="L116" s="163"/>
      <c r="M116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16" s="163"/>
      <c r="O116" s="170"/>
      <c r="P116" s="142"/>
      <c r="Q116" s="142" t="s">
        <v>52</v>
      </c>
      <c r="R116" s="161"/>
      <c r="S116" s="168" t="s">
        <v>259</v>
      </c>
    </row>
    <row r="117" spans="1:19" outlineLevel="1">
      <c r="A117" s="171" t="s">
        <v>640</v>
      </c>
      <c r="B117" s="168" t="s">
        <v>51</v>
      </c>
      <c r="C117" s="168" t="s">
        <v>265</v>
      </c>
      <c r="D117" s="161" t="s">
        <v>30</v>
      </c>
      <c r="E117" s="161" t="s">
        <v>58</v>
      </c>
      <c r="F117" s="161" t="s">
        <v>20</v>
      </c>
      <c r="G117" s="162">
        <v>0</v>
      </c>
      <c r="H117" s="162" t="s">
        <v>237</v>
      </c>
      <c r="I117" s="161" t="s">
        <v>54</v>
      </c>
      <c r="J117" s="161" t="s">
        <v>55</v>
      </c>
      <c r="K117" s="163"/>
      <c r="L117" s="163"/>
      <c r="M117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17" s="163"/>
      <c r="O117" s="170"/>
      <c r="P117" s="142"/>
      <c r="Q117" s="142" t="s">
        <v>52</v>
      </c>
      <c r="R117" s="161"/>
      <c r="S117" s="168" t="s">
        <v>259</v>
      </c>
    </row>
    <row r="118" spans="1:19">
      <c r="A118" s="126" t="s">
        <v>640</v>
      </c>
      <c r="B118" s="53" t="s">
        <v>51</v>
      </c>
      <c r="C118" s="165" t="s">
        <v>266</v>
      </c>
      <c r="D118" s="158" t="s">
        <v>18</v>
      </c>
      <c r="E118" s="158" t="s">
        <v>33</v>
      </c>
      <c r="F118" s="158" t="s">
        <v>20</v>
      </c>
      <c r="G118" s="156">
        <v>0.5</v>
      </c>
      <c r="H118" s="156" t="s">
        <v>237</v>
      </c>
      <c r="I118" s="159" t="s">
        <v>54</v>
      </c>
      <c r="J118" s="159" t="s">
        <v>55</v>
      </c>
      <c r="K118" s="166">
        <v>45945</v>
      </c>
      <c r="L118" s="160"/>
      <c r="M118" s="158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18" s="160"/>
      <c r="O118" s="167"/>
      <c r="P118" s="143"/>
      <c r="Q118" s="158" t="s">
        <v>52</v>
      </c>
      <c r="R118" s="158"/>
      <c r="S118" s="165" t="s">
        <v>474</v>
      </c>
    </row>
    <row r="119" spans="1:19" outlineLevel="1">
      <c r="A119" s="171" t="s">
        <v>640</v>
      </c>
      <c r="B119" s="168" t="s">
        <v>51</v>
      </c>
      <c r="C119" s="168" t="s">
        <v>267</v>
      </c>
      <c r="D119" s="161" t="s">
        <v>22</v>
      </c>
      <c r="E119" s="161" t="s">
        <v>33</v>
      </c>
      <c r="F119" s="161" t="s">
        <v>20</v>
      </c>
      <c r="G119" s="162">
        <v>0.5</v>
      </c>
      <c r="H119" s="162" t="s">
        <v>237</v>
      </c>
      <c r="I119" s="161" t="s">
        <v>54</v>
      </c>
      <c r="J119" s="161" t="s">
        <v>55</v>
      </c>
      <c r="K119" s="163">
        <v>45945</v>
      </c>
      <c r="L119" s="163"/>
      <c r="M119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19" s="163"/>
      <c r="O119" s="170"/>
      <c r="P119" s="161"/>
      <c r="Q119" s="161" t="s">
        <v>52</v>
      </c>
      <c r="R119" s="161"/>
      <c r="S119" s="168" t="s">
        <v>475</v>
      </c>
    </row>
    <row r="120" spans="1:19" outlineLevel="1">
      <c r="A120" s="171" t="s">
        <v>640</v>
      </c>
      <c r="B120" s="168" t="s">
        <v>51</v>
      </c>
      <c r="C120" s="168" t="s">
        <v>267</v>
      </c>
      <c r="D120" s="161" t="s">
        <v>28</v>
      </c>
      <c r="E120" s="161" t="s">
        <v>33</v>
      </c>
      <c r="F120" s="161" t="s">
        <v>20</v>
      </c>
      <c r="G120" s="162">
        <v>0</v>
      </c>
      <c r="H120" s="162" t="s">
        <v>237</v>
      </c>
      <c r="I120" s="161" t="s">
        <v>54</v>
      </c>
      <c r="J120" s="161" t="s">
        <v>55</v>
      </c>
      <c r="K120" s="163"/>
      <c r="L120" s="164"/>
      <c r="M120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20" s="163"/>
      <c r="O120" s="170"/>
      <c r="P120" s="142"/>
      <c r="Q120" s="161" t="s">
        <v>52</v>
      </c>
      <c r="R120" s="161"/>
      <c r="S120" s="168" t="s">
        <v>475</v>
      </c>
    </row>
    <row r="121" spans="1:19" outlineLevel="1">
      <c r="A121" s="171" t="s">
        <v>640</v>
      </c>
      <c r="B121" s="168" t="s">
        <v>51</v>
      </c>
      <c r="C121" s="168" t="s">
        <v>267</v>
      </c>
      <c r="D121" s="161" t="s">
        <v>29</v>
      </c>
      <c r="E121" s="161" t="s">
        <v>33</v>
      </c>
      <c r="F121" s="161" t="s">
        <v>20</v>
      </c>
      <c r="G121" s="162">
        <v>0</v>
      </c>
      <c r="H121" s="162" t="s">
        <v>237</v>
      </c>
      <c r="I121" s="161" t="s">
        <v>54</v>
      </c>
      <c r="J121" s="161" t="s">
        <v>55</v>
      </c>
      <c r="K121" s="163"/>
      <c r="L121" s="163"/>
      <c r="M121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21" s="163"/>
      <c r="O121" s="170"/>
      <c r="P121" s="142"/>
      <c r="Q121" s="142" t="s">
        <v>52</v>
      </c>
      <c r="R121" s="161"/>
      <c r="S121" s="168" t="s">
        <v>475</v>
      </c>
    </row>
    <row r="122" spans="1:19" outlineLevel="1">
      <c r="A122" s="171" t="s">
        <v>640</v>
      </c>
      <c r="B122" s="168" t="s">
        <v>51</v>
      </c>
      <c r="C122" s="168" t="s">
        <v>267</v>
      </c>
      <c r="D122" s="161" t="s">
        <v>30</v>
      </c>
      <c r="E122" s="161" t="s">
        <v>33</v>
      </c>
      <c r="F122" s="161" t="s">
        <v>20</v>
      </c>
      <c r="G122" s="162">
        <v>0</v>
      </c>
      <c r="H122" s="162" t="s">
        <v>237</v>
      </c>
      <c r="I122" s="161" t="s">
        <v>54</v>
      </c>
      <c r="J122" s="161" t="s">
        <v>55</v>
      </c>
      <c r="K122" s="163"/>
      <c r="L122" s="163"/>
      <c r="M122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22" s="163"/>
      <c r="O122" s="170"/>
      <c r="P122" s="142"/>
      <c r="Q122" s="142" t="s">
        <v>52</v>
      </c>
      <c r="R122" s="161"/>
      <c r="S122" s="168" t="s">
        <v>475</v>
      </c>
    </row>
    <row r="123" spans="1:19">
      <c r="A123" s="126" t="s">
        <v>640</v>
      </c>
      <c r="B123" s="46" t="s">
        <v>51</v>
      </c>
      <c r="C123" s="165" t="s">
        <v>490</v>
      </c>
      <c r="D123" s="158" t="s">
        <v>18</v>
      </c>
      <c r="E123" s="158" t="s">
        <v>58</v>
      </c>
      <c r="F123" s="158" t="s">
        <v>20</v>
      </c>
      <c r="G123" s="156">
        <v>0.5</v>
      </c>
      <c r="H123" s="156" t="s">
        <v>237</v>
      </c>
      <c r="I123" s="159" t="s">
        <v>54</v>
      </c>
      <c r="J123" s="159" t="s">
        <v>55</v>
      </c>
      <c r="K123" s="166">
        <v>45945</v>
      </c>
      <c r="L123" s="160"/>
      <c r="M123" s="158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23" s="160"/>
      <c r="O123" s="167"/>
      <c r="P123" s="143"/>
      <c r="Q123" s="158" t="s">
        <v>52</v>
      </c>
      <c r="R123" s="158"/>
      <c r="S123" s="165" t="s">
        <v>266</v>
      </c>
    </row>
    <row r="124" spans="1:19" outlineLevel="1">
      <c r="A124" s="171" t="s">
        <v>640</v>
      </c>
      <c r="B124" s="168" t="s">
        <v>51</v>
      </c>
      <c r="C124" s="168" t="s">
        <v>491</v>
      </c>
      <c r="D124" s="161" t="s">
        <v>22</v>
      </c>
      <c r="E124" s="161" t="s">
        <v>58</v>
      </c>
      <c r="F124" s="161" t="s">
        <v>20</v>
      </c>
      <c r="G124" s="162">
        <v>0.5</v>
      </c>
      <c r="H124" s="162" t="s">
        <v>237</v>
      </c>
      <c r="I124" s="161" t="s">
        <v>54</v>
      </c>
      <c r="J124" s="161" t="s">
        <v>55</v>
      </c>
      <c r="K124" s="163">
        <v>45945</v>
      </c>
      <c r="L124" s="163"/>
      <c r="M124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24" s="163"/>
      <c r="O124" s="170"/>
      <c r="P124" s="161"/>
      <c r="Q124" s="161" t="s">
        <v>52</v>
      </c>
      <c r="R124" s="161"/>
      <c r="S124" s="168" t="s">
        <v>267</v>
      </c>
    </row>
    <row r="125" spans="1:19" outlineLevel="1">
      <c r="A125" s="171" t="s">
        <v>640</v>
      </c>
      <c r="B125" s="168" t="s">
        <v>51</v>
      </c>
      <c r="C125" s="168" t="s">
        <v>491</v>
      </c>
      <c r="D125" s="161" t="s">
        <v>28</v>
      </c>
      <c r="E125" s="161" t="s">
        <v>58</v>
      </c>
      <c r="F125" s="161" t="s">
        <v>20</v>
      </c>
      <c r="G125" s="162">
        <v>0</v>
      </c>
      <c r="H125" s="162" t="s">
        <v>237</v>
      </c>
      <c r="I125" s="161" t="s">
        <v>54</v>
      </c>
      <c r="J125" s="161" t="s">
        <v>55</v>
      </c>
      <c r="K125" s="163"/>
      <c r="L125" s="164"/>
      <c r="M125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25" s="163"/>
      <c r="O125" s="170"/>
      <c r="P125" s="142"/>
      <c r="Q125" s="161" t="s">
        <v>52</v>
      </c>
      <c r="R125" s="161"/>
      <c r="S125" s="168" t="s">
        <v>267</v>
      </c>
    </row>
    <row r="126" spans="1:19" outlineLevel="1">
      <c r="A126" s="171" t="s">
        <v>640</v>
      </c>
      <c r="B126" s="168" t="s">
        <v>51</v>
      </c>
      <c r="C126" s="168" t="s">
        <v>491</v>
      </c>
      <c r="D126" s="161" t="s">
        <v>29</v>
      </c>
      <c r="E126" s="161" t="s">
        <v>58</v>
      </c>
      <c r="F126" s="161" t="s">
        <v>20</v>
      </c>
      <c r="G126" s="162">
        <v>0</v>
      </c>
      <c r="H126" s="162" t="s">
        <v>237</v>
      </c>
      <c r="I126" s="161" t="s">
        <v>54</v>
      </c>
      <c r="J126" s="161" t="s">
        <v>55</v>
      </c>
      <c r="K126" s="163"/>
      <c r="L126" s="163"/>
      <c r="M126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26" s="163"/>
      <c r="O126" s="170"/>
      <c r="P126" s="142"/>
      <c r="Q126" s="142" t="s">
        <v>52</v>
      </c>
      <c r="R126" s="161"/>
      <c r="S126" s="168" t="s">
        <v>267</v>
      </c>
    </row>
    <row r="127" spans="1:19" outlineLevel="1">
      <c r="A127" s="171" t="s">
        <v>640</v>
      </c>
      <c r="B127" s="168" t="s">
        <v>51</v>
      </c>
      <c r="C127" s="168" t="s">
        <v>491</v>
      </c>
      <c r="D127" s="161" t="s">
        <v>30</v>
      </c>
      <c r="E127" s="161" t="s">
        <v>58</v>
      </c>
      <c r="F127" s="161" t="s">
        <v>20</v>
      </c>
      <c r="G127" s="162">
        <v>0</v>
      </c>
      <c r="H127" s="162" t="s">
        <v>237</v>
      </c>
      <c r="I127" s="161" t="s">
        <v>54</v>
      </c>
      <c r="J127" s="161" t="s">
        <v>55</v>
      </c>
      <c r="K127" s="163"/>
      <c r="L127" s="163"/>
      <c r="M127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27" s="163"/>
      <c r="O127" s="170"/>
      <c r="P127" s="142"/>
      <c r="Q127" s="142" t="s">
        <v>52</v>
      </c>
      <c r="R127" s="161"/>
      <c r="S127" s="168" t="s">
        <v>267</v>
      </c>
    </row>
    <row r="128" spans="1:19">
      <c r="A128" s="126" t="s">
        <v>640</v>
      </c>
      <c r="B128" s="46" t="s">
        <v>51</v>
      </c>
      <c r="C128" s="165" t="s">
        <v>492</v>
      </c>
      <c r="D128" s="158" t="s">
        <v>18</v>
      </c>
      <c r="E128" s="158" t="s">
        <v>58</v>
      </c>
      <c r="F128" s="158" t="s">
        <v>20</v>
      </c>
      <c r="G128" s="156">
        <v>0.5</v>
      </c>
      <c r="H128" s="156" t="s">
        <v>237</v>
      </c>
      <c r="I128" s="159" t="s">
        <v>54</v>
      </c>
      <c r="J128" s="159" t="s">
        <v>55</v>
      </c>
      <c r="K128" s="166">
        <v>45945</v>
      </c>
      <c r="L128" s="160"/>
      <c r="M128" s="158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28" s="160"/>
      <c r="O128" s="167"/>
      <c r="P128" s="143"/>
      <c r="Q128" s="158" t="s">
        <v>52</v>
      </c>
      <c r="R128" s="158"/>
      <c r="S128" s="165" t="s">
        <v>266</v>
      </c>
    </row>
    <row r="129" spans="1:19" outlineLevel="1">
      <c r="A129" s="171" t="s">
        <v>640</v>
      </c>
      <c r="B129" s="168" t="s">
        <v>51</v>
      </c>
      <c r="C129" s="168" t="s">
        <v>493</v>
      </c>
      <c r="D129" s="161" t="s">
        <v>22</v>
      </c>
      <c r="E129" s="161" t="s">
        <v>58</v>
      </c>
      <c r="F129" s="161" t="s">
        <v>20</v>
      </c>
      <c r="G129" s="162">
        <v>0.5</v>
      </c>
      <c r="H129" s="162" t="s">
        <v>237</v>
      </c>
      <c r="I129" s="161" t="s">
        <v>54</v>
      </c>
      <c r="J129" s="161" t="s">
        <v>55</v>
      </c>
      <c r="K129" s="163">
        <v>45945</v>
      </c>
      <c r="L129" s="163"/>
      <c r="M129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29" s="163"/>
      <c r="O129" s="170"/>
      <c r="P129" s="161"/>
      <c r="Q129" s="161" t="s">
        <v>52</v>
      </c>
      <c r="R129" s="161"/>
      <c r="S129" s="168" t="s">
        <v>267</v>
      </c>
    </row>
    <row r="130" spans="1:19" outlineLevel="1">
      <c r="A130" s="171" t="s">
        <v>640</v>
      </c>
      <c r="B130" s="168" t="s">
        <v>51</v>
      </c>
      <c r="C130" s="168" t="s">
        <v>493</v>
      </c>
      <c r="D130" s="161" t="s">
        <v>28</v>
      </c>
      <c r="E130" s="161" t="s">
        <v>58</v>
      </c>
      <c r="F130" s="161" t="s">
        <v>20</v>
      </c>
      <c r="G130" s="162">
        <v>0</v>
      </c>
      <c r="H130" s="162" t="s">
        <v>237</v>
      </c>
      <c r="I130" s="161" t="s">
        <v>54</v>
      </c>
      <c r="J130" s="161" t="s">
        <v>55</v>
      </c>
      <c r="K130" s="163"/>
      <c r="L130" s="164"/>
      <c r="M130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30" s="163"/>
      <c r="O130" s="170"/>
      <c r="P130" s="142"/>
      <c r="Q130" s="161" t="s">
        <v>52</v>
      </c>
      <c r="R130" s="161"/>
      <c r="S130" s="168" t="s">
        <v>267</v>
      </c>
    </row>
    <row r="131" spans="1:19" outlineLevel="1">
      <c r="A131" s="171" t="s">
        <v>640</v>
      </c>
      <c r="B131" s="168" t="s">
        <v>51</v>
      </c>
      <c r="C131" s="168" t="s">
        <v>493</v>
      </c>
      <c r="D131" s="161" t="s">
        <v>29</v>
      </c>
      <c r="E131" s="161" t="s">
        <v>58</v>
      </c>
      <c r="F131" s="161" t="s">
        <v>20</v>
      </c>
      <c r="G131" s="162">
        <v>0</v>
      </c>
      <c r="H131" s="162" t="s">
        <v>237</v>
      </c>
      <c r="I131" s="161" t="s">
        <v>54</v>
      </c>
      <c r="J131" s="161" t="s">
        <v>55</v>
      </c>
      <c r="K131" s="163"/>
      <c r="L131" s="163"/>
      <c r="M131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31" s="163"/>
      <c r="O131" s="170"/>
      <c r="P131" s="142"/>
      <c r="Q131" s="142" t="s">
        <v>52</v>
      </c>
      <c r="R131" s="161"/>
      <c r="S131" s="168" t="s">
        <v>267</v>
      </c>
    </row>
    <row r="132" spans="1:19" outlineLevel="1">
      <c r="A132" s="171" t="s">
        <v>640</v>
      </c>
      <c r="B132" s="168" t="s">
        <v>51</v>
      </c>
      <c r="C132" s="168" t="s">
        <v>493</v>
      </c>
      <c r="D132" s="161" t="s">
        <v>30</v>
      </c>
      <c r="E132" s="161" t="s">
        <v>58</v>
      </c>
      <c r="F132" s="161" t="s">
        <v>20</v>
      </c>
      <c r="G132" s="162">
        <v>0</v>
      </c>
      <c r="H132" s="162" t="s">
        <v>237</v>
      </c>
      <c r="I132" s="161" t="s">
        <v>54</v>
      </c>
      <c r="J132" s="161" t="s">
        <v>55</v>
      </c>
      <c r="K132" s="163"/>
      <c r="L132" s="163"/>
      <c r="M132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32" s="163"/>
      <c r="O132" s="170"/>
      <c r="P132" s="142"/>
      <c r="Q132" s="142" t="s">
        <v>52</v>
      </c>
      <c r="R132" s="161"/>
      <c r="S132" s="168" t="s">
        <v>267</v>
      </c>
    </row>
    <row r="133" spans="1:19">
      <c r="A133" s="126" t="s">
        <v>640</v>
      </c>
      <c r="B133" s="46" t="s">
        <v>51</v>
      </c>
      <c r="C133" s="165" t="s">
        <v>494</v>
      </c>
      <c r="D133" s="158" t="s">
        <v>18</v>
      </c>
      <c r="E133" s="158" t="s">
        <v>58</v>
      </c>
      <c r="F133" s="158" t="s">
        <v>20</v>
      </c>
      <c r="G133" s="156">
        <v>0.5</v>
      </c>
      <c r="H133" s="156" t="s">
        <v>237</v>
      </c>
      <c r="I133" s="159" t="s">
        <v>54</v>
      </c>
      <c r="J133" s="159" t="s">
        <v>55</v>
      </c>
      <c r="K133" s="166">
        <v>45945</v>
      </c>
      <c r="L133" s="160"/>
      <c r="M133" s="158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33" s="160"/>
      <c r="O133" s="167"/>
      <c r="P133" s="143"/>
      <c r="Q133" s="158" t="s">
        <v>52</v>
      </c>
      <c r="R133" s="158"/>
      <c r="S133" s="165" t="s">
        <v>266</v>
      </c>
    </row>
    <row r="134" spans="1:19" outlineLevel="1">
      <c r="A134" s="171" t="s">
        <v>640</v>
      </c>
      <c r="B134" s="168" t="s">
        <v>51</v>
      </c>
      <c r="C134" s="168" t="s">
        <v>495</v>
      </c>
      <c r="D134" s="161" t="s">
        <v>22</v>
      </c>
      <c r="E134" s="161" t="s">
        <v>58</v>
      </c>
      <c r="F134" s="161" t="s">
        <v>20</v>
      </c>
      <c r="G134" s="162">
        <v>0.5</v>
      </c>
      <c r="H134" s="162" t="s">
        <v>237</v>
      </c>
      <c r="I134" s="161" t="s">
        <v>54</v>
      </c>
      <c r="J134" s="161" t="s">
        <v>55</v>
      </c>
      <c r="K134" s="163">
        <v>45945</v>
      </c>
      <c r="L134" s="163"/>
      <c r="M134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34" s="163"/>
      <c r="O134" s="170"/>
      <c r="P134" s="161"/>
      <c r="Q134" s="161" t="s">
        <v>52</v>
      </c>
      <c r="R134" s="161"/>
      <c r="S134" s="168" t="s">
        <v>267</v>
      </c>
    </row>
    <row r="135" spans="1:19" outlineLevel="1">
      <c r="A135" s="171" t="s">
        <v>640</v>
      </c>
      <c r="B135" s="168" t="s">
        <v>51</v>
      </c>
      <c r="C135" s="168" t="s">
        <v>495</v>
      </c>
      <c r="D135" s="161" t="s">
        <v>28</v>
      </c>
      <c r="E135" s="161" t="s">
        <v>58</v>
      </c>
      <c r="F135" s="161" t="s">
        <v>20</v>
      </c>
      <c r="G135" s="162">
        <v>0</v>
      </c>
      <c r="H135" s="162" t="s">
        <v>237</v>
      </c>
      <c r="I135" s="161" t="s">
        <v>54</v>
      </c>
      <c r="J135" s="161" t="s">
        <v>55</v>
      </c>
      <c r="K135" s="163"/>
      <c r="L135" s="164"/>
      <c r="M135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35" s="163"/>
      <c r="O135" s="170"/>
      <c r="P135" s="142"/>
      <c r="Q135" s="161" t="s">
        <v>52</v>
      </c>
      <c r="R135" s="161"/>
      <c r="S135" s="168" t="s">
        <v>267</v>
      </c>
    </row>
    <row r="136" spans="1:19" outlineLevel="1">
      <c r="A136" s="171" t="s">
        <v>640</v>
      </c>
      <c r="B136" s="168" t="s">
        <v>51</v>
      </c>
      <c r="C136" s="168" t="s">
        <v>495</v>
      </c>
      <c r="D136" s="161" t="s">
        <v>29</v>
      </c>
      <c r="E136" s="161" t="s">
        <v>58</v>
      </c>
      <c r="F136" s="161" t="s">
        <v>20</v>
      </c>
      <c r="G136" s="162">
        <v>0</v>
      </c>
      <c r="H136" s="162" t="s">
        <v>237</v>
      </c>
      <c r="I136" s="161" t="s">
        <v>54</v>
      </c>
      <c r="J136" s="161" t="s">
        <v>55</v>
      </c>
      <c r="K136" s="163"/>
      <c r="L136" s="163"/>
      <c r="M136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36" s="163"/>
      <c r="O136" s="170"/>
      <c r="P136" s="142"/>
      <c r="Q136" s="142" t="s">
        <v>52</v>
      </c>
      <c r="R136" s="161"/>
      <c r="S136" s="168" t="s">
        <v>267</v>
      </c>
    </row>
    <row r="137" spans="1:19" outlineLevel="1">
      <c r="A137" s="171" t="s">
        <v>640</v>
      </c>
      <c r="B137" s="168" t="s">
        <v>51</v>
      </c>
      <c r="C137" s="168" t="s">
        <v>495</v>
      </c>
      <c r="D137" s="161" t="s">
        <v>30</v>
      </c>
      <c r="E137" s="161" t="s">
        <v>58</v>
      </c>
      <c r="F137" s="161" t="s">
        <v>20</v>
      </c>
      <c r="G137" s="162">
        <v>0</v>
      </c>
      <c r="H137" s="162" t="s">
        <v>237</v>
      </c>
      <c r="I137" s="161" t="s">
        <v>54</v>
      </c>
      <c r="J137" s="161" t="s">
        <v>55</v>
      </c>
      <c r="K137" s="163"/>
      <c r="L137" s="163"/>
      <c r="M137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37" s="163"/>
      <c r="O137" s="170"/>
      <c r="P137" s="142"/>
      <c r="Q137" s="142" t="s">
        <v>52</v>
      </c>
      <c r="R137" s="161"/>
      <c r="S137" s="168" t="s">
        <v>267</v>
      </c>
    </row>
    <row r="138" spans="1:19">
      <c r="A138" s="126" t="s">
        <v>640</v>
      </c>
      <c r="B138" s="46" t="s">
        <v>51</v>
      </c>
      <c r="C138" s="165" t="s">
        <v>274</v>
      </c>
      <c r="D138" s="158" t="s">
        <v>18</v>
      </c>
      <c r="E138" s="158" t="s">
        <v>58</v>
      </c>
      <c r="F138" s="158" t="s">
        <v>20</v>
      </c>
      <c r="G138" s="156">
        <v>0.5</v>
      </c>
      <c r="H138" s="156" t="s">
        <v>237</v>
      </c>
      <c r="I138" s="159" t="s">
        <v>54</v>
      </c>
      <c r="J138" s="159" t="s">
        <v>55</v>
      </c>
      <c r="K138" s="166">
        <v>45945</v>
      </c>
      <c r="L138" s="160"/>
      <c r="M138" s="158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38" s="160"/>
      <c r="O138" s="167"/>
      <c r="P138" s="143"/>
      <c r="Q138" s="158" t="s">
        <v>52</v>
      </c>
      <c r="R138" s="158"/>
      <c r="S138" s="165" t="s">
        <v>266</v>
      </c>
    </row>
    <row r="139" spans="1:19" outlineLevel="1">
      <c r="A139" s="171" t="s">
        <v>640</v>
      </c>
      <c r="B139" s="168" t="s">
        <v>51</v>
      </c>
      <c r="C139" s="168" t="s">
        <v>275</v>
      </c>
      <c r="D139" s="161" t="s">
        <v>22</v>
      </c>
      <c r="E139" s="161" t="s">
        <v>58</v>
      </c>
      <c r="F139" s="161" t="s">
        <v>20</v>
      </c>
      <c r="G139" s="162">
        <v>0.5</v>
      </c>
      <c r="H139" s="162" t="s">
        <v>237</v>
      </c>
      <c r="I139" s="161" t="s">
        <v>54</v>
      </c>
      <c r="J139" s="161" t="s">
        <v>55</v>
      </c>
      <c r="K139" s="163">
        <v>45945</v>
      </c>
      <c r="L139" s="163"/>
      <c r="M139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39" s="163"/>
      <c r="O139" s="170"/>
      <c r="P139" s="161"/>
      <c r="Q139" s="161" t="s">
        <v>52</v>
      </c>
      <c r="R139" s="161"/>
      <c r="S139" s="168" t="s">
        <v>267</v>
      </c>
    </row>
    <row r="140" spans="1:19" outlineLevel="1">
      <c r="A140" s="171" t="s">
        <v>640</v>
      </c>
      <c r="B140" s="168" t="s">
        <v>51</v>
      </c>
      <c r="C140" s="168" t="s">
        <v>275</v>
      </c>
      <c r="D140" s="161" t="s">
        <v>28</v>
      </c>
      <c r="E140" s="161" t="s">
        <v>58</v>
      </c>
      <c r="F140" s="161" t="s">
        <v>20</v>
      </c>
      <c r="G140" s="162">
        <v>0</v>
      </c>
      <c r="H140" s="162" t="s">
        <v>237</v>
      </c>
      <c r="I140" s="161" t="s">
        <v>54</v>
      </c>
      <c r="J140" s="161" t="s">
        <v>55</v>
      </c>
      <c r="K140" s="163"/>
      <c r="L140" s="164"/>
      <c r="M140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40" s="163"/>
      <c r="O140" s="170"/>
      <c r="P140" s="142"/>
      <c r="Q140" s="161" t="s">
        <v>52</v>
      </c>
      <c r="R140" s="161"/>
      <c r="S140" s="168" t="s">
        <v>267</v>
      </c>
    </row>
    <row r="141" spans="1:19" outlineLevel="1">
      <c r="A141" s="171" t="s">
        <v>640</v>
      </c>
      <c r="B141" s="168" t="s">
        <v>51</v>
      </c>
      <c r="C141" s="168" t="s">
        <v>275</v>
      </c>
      <c r="D141" s="161" t="s">
        <v>29</v>
      </c>
      <c r="E141" s="161" t="s">
        <v>58</v>
      </c>
      <c r="F141" s="161" t="s">
        <v>20</v>
      </c>
      <c r="G141" s="162">
        <v>0</v>
      </c>
      <c r="H141" s="162" t="s">
        <v>237</v>
      </c>
      <c r="I141" s="161" t="s">
        <v>54</v>
      </c>
      <c r="J141" s="161" t="s">
        <v>55</v>
      </c>
      <c r="K141" s="163"/>
      <c r="L141" s="163"/>
      <c r="M141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41" s="163"/>
      <c r="O141" s="170"/>
      <c r="P141" s="142"/>
      <c r="Q141" s="142" t="s">
        <v>52</v>
      </c>
      <c r="R141" s="161"/>
      <c r="S141" s="168" t="s">
        <v>267</v>
      </c>
    </row>
    <row r="142" spans="1:19" outlineLevel="1">
      <c r="A142" s="171" t="s">
        <v>640</v>
      </c>
      <c r="B142" s="168" t="s">
        <v>51</v>
      </c>
      <c r="C142" s="168" t="s">
        <v>275</v>
      </c>
      <c r="D142" s="161" t="s">
        <v>30</v>
      </c>
      <c r="E142" s="161" t="s">
        <v>58</v>
      </c>
      <c r="F142" s="161" t="s">
        <v>20</v>
      </c>
      <c r="G142" s="162">
        <v>0</v>
      </c>
      <c r="H142" s="162" t="s">
        <v>237</v>
      </c>
      <c r="I142" s="161" t="s">
        <v>54</v>
      </c>
      <c r="J142" s="161" t="s">
        <v>55</v>
      </c>
      <c r="K142" s="163"/>
      <c r="L142" s="163"/>
      <c r="M142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42" s="163"/>
      <c r="O142" s="170"/>
      <c r="P142" s="142"/>
      <c r="Q142" s="142" t="s">
        <v>52</v>
      </c>
      <c r="R142" s="161"/>
      <c r="S142" s="168" t="s">
        <v>267</v>
      </c>
    </row>
    <row r="143" spans="1:19">
      <c r="A143" s="126" t="s">
        <v>640</v>
      </c>
      <c r="B143" s="46" t="s">
        <v>51</v>
      </c>
      <c r="C143" s="165" t="s">
        <v>276</v>
      </c>
      <c r="D143" s="158" t="s">
        <v>18</v>
      </c>
      <c r="E143" s="158" t="s">
        <v>58</v>
      </c>
      <c r="F143" s="158" t="s">
        <v>20</v>
      </c>
      <c r="G143" s="156">
        <v>0.5</v>
      </c>
      <c r="H143" s="156" t="s">
        <v>237</v>
      </c>
      <c r="I143" s="159" t="s">
        <v>54</v>
      </c>
      <c r="J143" s="159" t="s">
        <v>55</v>
      </c>
      <c r="K143" s="166">
        <v>45945</v>
      </c>
      <c r="L143" s="160"/>
      <c r="M143" s="158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43" s="160"/>
      <c r="O143" s="167"/>
      <c r="P143" s="143"/>
      <c r="Q143" s="158" t="s">
        <v>52</v>
      </c>
      <c r="R143" s="158"/>
      <c r="S143" s="165" t="s">
        <v>266</v>
      </c>
    </row>
    <row r="144" spans="1:19" outlineLevel="1">
      <c r="A144" s="171" t="s">
        <v>640</v>
      </c>
      <c r="B144" s="168" t="s">
        <v>51</v>
      </c>
      <c r="C144" s="168" t="s">
        <v>277</v>
      </c>
      <c r="D144" s="161" t="s">
        <v>22</v>
      </c>
      <c r="E144" s="161" t="s">
        <v>58</v>
      </c>
      <c r="F144" s="161" t="s">
        <v>20</v>
      </c>
      <c r="G144" s="162">
        <v>0.5</v>
      </c>
      <c r="H144" s="162" t="s">
        <v>237</v>
      </c>
      <c r="I144" s="161" t="s">
        <v>54</v>
      </c>
      <c r="J144" s="161" t="s">
        <v>55</v>
      </c>
      <c r="K144" s="163">
        <v>45945</v>
      </c>
      <c r="L144" s="163"/>
      <c r="M144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44" s="163"/>
      <c r="O144" s="170"/>
      <c r="P144" s="161"/>
      <c r="Q144" s="161" t="s">
        <v>52</v>
      </c>
      <c r="R144" s="161"/>
      <c r="S144" s="168" t="s">
        <v>267</v>
      </c>
    </row>
    <row r="145" spans="1:19" outlineLevel="1">
      <c r="A145" s="171" t="s">
        <v>640</v>
      </c>
      <c r="B145" s="168" t="s">
        <v>51</v>
      </c>
      <c r="C145" s="168" t="s">
        <v>277</v>
      </c>
      <c r="D145" s="161" t="s">
        <v>28</v>
      </c>
      <c r="E145" s="161" t="s">
        <v>58</v>
      </c>
      <c r="F145" s="161" t="s">
        <v>20</v>
      </c>
      <c r="G145" s="162">
        <v>0</v>
      </c>
      <c r="H145" s="162" t="s">
        <v>237</v>
      </c>
      <c r="I145" s="161" t="s">
        <v>54</v>
      </c>
      <c r="J145" s="161" t="s">
        <v>55</v>
      </c>
      <c r="K145" s="163"/>
      <c r="L145" s="164"/>
      <c r="M145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45" s="163"/>
      <c r="O145" s="170"/>
      <c r="P145" s="142"/>
      <c r="Q145" s="161" t="s">
        <v>52</v>
      </c>
      <c r="R145" s="161"/>
      <c r="S145" s="168" t="s">
        <v>267</v>
      </c>
    </row>
    <row r="146" spans="1:19" outlineLevel="1">
      <c r="A146" s="171" t="s">
        <v>640</v>
      </c>
      <c r="B146" s="168" t="s">
        <v>51</v>
      </c>
      <c r="C146" s="168" t="s">
        <v>277</v>
      </c>
      <c r="D146" s="161" t="s">
        <v>29</v>
      </c>
      <c r="E146" s="161" t="s">
        <v>58</v>
      </c>
      <c r="F146" s="161" t="s">
        <v>20</v>
      </c>
      <c r="G146" s="162">
        <v>0</v>
      </c>
      <c r="H146" s="162" t="s">
        <v>237</v>
      </c>
      <c r="I146" s="161" t="s">
        <v>54</v>
      </c>
      <c r="J146" s="161" t="s">
        <v>55</v>
      </c>
      <c r="K146" s="163"/>
      <c r="L146" s="163"/>
      <c r="M146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46" s="163"/>
      <c r="O146" s="170"/>
      <c r="P146" s="142"/>
      <c r="Q146" s="142" t="s">
        <v>52</v>
      </c>
      <c r="R146" s="161"/>
      <c r="S146" s="168" t="s">
        <v>267</v>
      </c>
    </row>
    <row r="147" spans="1:19" outlineLevel="1">
      <c r="A147" s="171" t="s">
        <v>640</v>
      </c>
      <c r="B147" s="168" t="s">
        <v>51</v>
      </c>
      <c r="C147" s="168" t="s">
        <v>277</v>
      </c>
      <c r="D147" s="161" t="s">
        <v>30</v>
      </c>
      <c r="E147" s="161" t="s">
        <v>58</v>
      </c>
      <c r="F147" s="161" t="s">
        <v>20</v>
      </c>
      <c r="G147" s="162">
        <v>0</v>
      </c>
      <c r="H147" s="162" t="s">
        <v>237</v>
      </c>
      <c r="I147" s="161" t="s">
        <v>54</v>
      </c>
      <c r="J147" s="161" t="s">
        <v>55</v>
      </c>
      <c r="K147" s="163"/>
      <c r="L147" s="163"/>
      <c r="M147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47" s="163"/>
      <c r="O147" s="170"/>
      <c r="P147" s="142"/>
      <c r="Q147" s="142" t="s">
        <v>52</v>
      </c>
      <c r="R147" s="161"/>
      <c r="S147" s="168" t="s">
        <v>267</v>
      </c>
    </row>
    <row r="148" spans="1:19">
      <c r="A148" s="126" t="s">
        <v>642</v>
      </c>
      <c r="B148" s="46" t="s">
        <v>16</v>
      </c>
      <c r="C148" s="165" t="s">
        <v>278</v>
      </c>
      <c r="D148" s="158" t="s">
        <v>18</v>
      </c>
      <c r="E148" s="158" t="s">
        <v>19</v>
      </c>
      <c r="F148" s="158" t="s">
        <v>20</v>
      </c>
      <c r="G148" s="156">
        <v>0</v>
      </c>
      <c r="H148" s="156" t="s">
        <v>469</v>
      </c>
      <c r="I148" s="159" t="s">
        <v>24</v>
      </c>
      <c r="J148" s="159" t="s">
        <v>25</v>
      </c>
      <c r="K148" s="166">
        <v>46113</v>
      </c>
      <c r="L148" s="160">
        <v>46379</v>
      </c>
      <c r="M148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191</v>
      </c>
      <c r="N148" s="160"/>
      <c r="O148" s="167"/>
      <c r="P148" s="143"/>
      <c r="Q148" s="158" t="s">
        <v>77</v>
      </c>
      <c r="R148" s="158"/>
      <c r="S148" s="177"/>
    </row>
    <row r="149" spans="1:19" outlineLevel="1">
      <c r="A149" s="171" t="s">
        <v>640</v>
      </c>
      <c r="B149" s="168" t="s">
        <v>16</v>
      </c>
      <c r="C149" s="168" t="s">
        <v>279</v>
      </c>
      <c r="D149" s="161" t="s">
        <v>22</v>
      </c>
      <c r="E149" s="161" t="s">
        <v>19</v>
      </c>
      <c r="F149" s="161" t="s">
        <v>20</v>
      </c>
      <c r="G149" s="162">
        <v>0</v>
      </c>
      <c r="H149" s="162" t="s">
        <v>469</v>
      </c>
      <c r="I149" s="161" t="s">
        <v>24</v>
      </c>
      <c r="J149" s="161" t="s">
        <v>25</v>
      </c>
      <c r="K149" s="163">
        <v>46113</v>
      </c>
      <c r="L149" s="163">
        <v>46188</v>
      </c>
      <c r="M149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54</v>
      </c>
      <c r="N149" s="163"/>
      <c r="O149" s="170" t="s">
        <v>43</v>
      </c>
      <c r="P149" s="161" t="s">
        <v>26</v>
      </c>
      <c r="Q149" s="161" t="s">
        <v>77</v>
      </c>
      <c r="R149" s="161"/>
      <c r="S149" s="178"/>
    </row>
    <row r="150" spans="1:19" outlineLevel="1">
      <c r="A150" s="171" t="s">
        <v>640</v>
      </c>
      <c r="B150" s="168" t="s">
        <v>16</v>
      </c>
      <c r="C150" s="168" t="s">
        <v>279</v>
      </c>
      <c r="D150" s="161" t="s">
        <v>28</v>
      </c>
      <c r="E150" s="161" t="s">
        <v>19</v>
      </c>
      <c r="F150" s="161" t="s">
        <v>20</v>
      </c>
      <c r="G150" s="162">
        <v>0</v>
      </c>
      <c r="H150" s="162" t="s">
        <v>469</v>
      </c>
      <c r="I150" s="161" t="s">
        <v>24</v>
      </c>
      <c r="J150" s="161" t="s">
        <v>25</v>
      </c>
      <c r="K150" s="163">
        <v>46310</v>
      </c>
      <c r="L150" s="164">
        <v>46379</v>
      </c>
      <c r="M150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50</v>
      </c>
      <c r="N150" s="163"/>
      <c r="O150" s="170"/>
      <c r="P150" s="142" t="s">
        <v>27</v>
      </c>
      <c r="Q150" s="161" t="s">
        <v>77</v>
      </c>
      <c r="R150" s="161"/>
      <c r="S150" s="178"/>
    </row>
    <row r="151" spans="1:19" outlineLevel="1">
      <c r="A151" s="171" t="s">
        <v>640</v>
      </c>
      <c r="B151" s="168" t="s">
        <v>16</v>
      </c>
      <c r="C151" s="168" t="s">
        <v>279</v>
      </c>
      <c r="D151" s="161" t="s">
        <v>29</v>
      </c>
      <c r="E151" s="161" t="s">
        <v>19</v>
      </c>
      <c r="F151" s="161" t="s">
        <v>20</v>
      </c>
      <c r="G151" s="162">
        <v>0</v>
      </c>
      <c r="H151" s="162" t="s">
        <v>469</v>
      </c>
      <c r="I151" s="161" t="s">
        <v>24</v>
      </c>
      <c r="J151" s="161" t="s">
        <v>25</v>
      </c>
      <c r="K151" s="163"/>
      <c r="L151" s="163"/>
      <c r="M151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51" s="163"/>
      <c r="O151" s="170"/>
      <c r="P151" s="142"/>
      <c r="Q151" s="142" t="s">
        <v>77</v>
      </c>
      <c r="R151" s="161"/>
      <c r="S151" s="178"/>
    </row>
    <row r="152" spans="1:19" outlineLevel="1">
      <c r="A152" s="171" t="s">
        <v>640</v>
      </c>
      <c r="B152" s="168" t="s">
        <v>16</v>
      </c>
      <c r="C152" s="168" t="s">
        <v>279</v>
      </c>
      <c r="D152" s="161" t="s">
        <v>30</v>
      </c>
      <c r="E152" s="161" t="s">
        <v>19</v>
      </c>
      <c r="F152" s="161" t="s">
        <v>20</v>
      </c>
      <c r="G152" s="162">
        <v>0</v>
      </c>
      <c r="H152" s="162" t="s">
        <v>469</v>
      </c>
      <c r="I152" s="161" t="s">
        <v>24</v>
      </c>
      <c r="J152" s="161" t="s">
        <v>25</v>
      </c>
      <c r="K152" s="163"/>
      <c r="L152" s="163"/>
      <c r="M152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52" s="163"/>
      <c r="O152" s="170"/>
      <c r="P152" s="142"/>
      <c r="Q152" s="142" t="s">
        <v>77</v>
      </c>
      <c r="R152" s="161"/>
      <c r="S152" s="178"/>
    </row>
    <row r="153" spans="1:19">
      <c r="A153" s="126" t="s">
        <v>642</v>
      </c>
      <c r="B153" s="46" t="s">
        <v>39</v>
      </c>
      <c r="C153" s="165" t="s">
        <v>496</v>
      </c>
      <c r="D153" s="158" t="s">
        <v>18</v>
      </c>
      <c r="E153" s="158" t="s">
        <v>19</v>
      </c>
      <c r="F153" s="158" t="s">
        <v>20</v>
      </c>
      <c r="G153" s="156">
        <v>0.21</v>
      </c>
      <c r="H153" s="156" t="s">
        <v>35</v>
      </c>
      <c r="I153" s="159" t="s">
        <v>48</v>
      </c>
      <c r="J153" s="159" t="s">
        <v>50</v>
      </c>
      <c r="K153" s="166">
        <v>45931</v>
      </c>
      <c r="L153" s="160">
        <v>46173</v>
      </c>
      <c r="M153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173</v>
      </c>
      <c r="N153" s="160"/>
      <c r="O153" s="167"/>
      <c r="P153" s="143"/>
      <c r="Q153" s="158" t="s">
        <v>78</v>
      </c>
      <c r="R153" s="158"/>
      <c r="S153" s="177"/>
    </row>
    <row r="154" spans="1:19" outlineLevel="1">
      <c r="A154" s="171" t="s">
        <v>640</v>
      </c>
      <c r="B154" s="168" t="s">
        <v>39</v>
      </c>
      <c r="C154" s="168" t="s">
        <v>497</v>
      </c>
      <c r="D154" s="161" t="s">
        <v>22</v>
      </c>
      <c r="E154" s="161" t="s">
        <v>19</v>
      </c>
      <c r="F154" s="161" t="s">
        <v>20</v>
      </c>
      <c r="G154" s="162">
        <v>1</v>
      </c>
      <c r="H154" s="162" t="s">
        <v>35</v>
      </c>
      <c r="I154" s="161" t="s">
        <v>48</v>
      </c>
      <c r="J154" s="161" t="s">
        <v>50</v>
      </c>
      <c r="K154" s="163">
        <v>45931</v>
      </c>
      <c r="L154" s="163">
        <v>45931</v>
      </c>
      <c r="M154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</v>
      </c>
      <c r="N154" s="163"/>
      <c r="O154" s="170" t="s">
        <v>108</v>
      </c>
      <c r="P154" s="161" t="s">
        <v>108</v>
      </c>
      <c r="Q154" s="161" t="s">
        <v>78</v>
      </c>
      <c r="R154" s="161"/>
      <c r="S154" s="178"/>
    </row>
    <row r="155" spans="1:19" outlineLevel="1">
      <c r="A155" s="171" t="s">
        <v>640</v>
      </c>
      <c r="B155" s="168" t="s">
        <v>39</v>
      </c>
      <c r="C155" s="168" t="s">
        <v>497</v>
      </c>
      <c r="D155" s="161" t="s">
        <v>28</v>
      </c>
      <c r="E155" s="161" t="s">
        <v>19</v>
      </c>
      <c r="F155" s="161" t="s">
        <v>20</v>
      </c>
      <c r="G155" s="162">
        <v>0</v>
      </c>
      <c r="H155" s="162" t="s">
        <v>35</v>
      </c>
      <c r="I155" s="161" t="s">
        <v>48</v>
      </c>
      <c r="J155" s="161" t="s">
        <v>50</v>
      </c>
      <c r="K155" s="163"/>
      <c r="L155" s="164"/>
      <c r="M155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55" s="163"/>
      <c r="O155" s="170"/>
      <c r="P155" s="142"/>
      <c r="Q155" s="161" t="s">
        <v>78</v>
      </c>
      <c r="R155" s="161"/>
      <c r="S155" s="178"/>
    </row>
    <row r="156" spans="1:19" outlineLevel="1">
      <c r="A156" s="171" t="s">
        <v>640</v>
      </c>
      <c r="B156" s="168" t="s">
        <v>39</v>
      </c>
      <c r="C156" s="168" t="s">
        <v>497</v>
      </c>
      <c r="D156" s="161" t="s">
        <v>29</v>
      </c>
      <c r="E156" s="161" t="s">
        <v>19</v>
      </c>
      <c r="F156" s="161" t="s">
        <v>20</v>
      </c>
      <c r="G156" s="162">
        <v>0</v>
      </c>
      <c r="H156" s="162" t="s">
        <v>35</v>
      </c>
      <c r="I156" s="161" t="s">
        <v>48</v>
      </c>
      <c r="J156" s="161" t="s">
        <v>50</v>
      </c>
      <c r="K156" s="163"/>
      <c r="L156" s="163"/>
      <c r="M156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56" s="163"/>
      <c r="O156" s="170"/>
      <c r="P156" s="142"/>
      <c r="Q156" s="142" t="s">
        <v>78</v>
      </c>
      <c r="R156" s="161"/>
      <c r="S156" s="178"/>
    </row>
    <row r="157" spans="1:19" outlineLevel="1">
      <c r="A157" s="171" t="s">
        <v>640</v>
      </c>
      <c r="B157" s="168" t="s">
        <v>39</v>
      </c>
      <c r="C157" s="168" t="s">
        <v>497</v>
      </c>
      <c r="D157" s="161" t="s">
        <v>30</v>
      </c>
      <c r="E157" s="161" t="s">
        <v>19</v>
      </c>
      <c r="F157" s="161" t="s">
        <v>20</v>
      </c>
      <c r="G157" s="162">
        <v>0</v>
      </c>
      <c r="H157" s="162" t="s">
        <v>35</v>
      </c>
      <c r="I157" s="161" t="s">
        <v>48</v>
      </c>
      <c r="J157" s="161" t="s">
        <v>50</v>
      </c>
      <c r="K157" s="163"/>
      <c r="L157" s="163"/>
      <c r="M157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57" s="163"/>
      <c r="O157" s="170"/>
      <c r="P157" s="142"/>
      <c r="Q157" s="142" t="s">
        <v>78</v>
      </c>
      <c r="R157" s="161"/>
      <c r="S157" s="178"/>
    </row>
    <row r="158" spans="1:19">
      <c r="A158" s="126" t="s">
        <v>640</v>
      </c>
      <c r="B158" s="46" t="s">
        <v>39</v>
      </c>
      <c r="C158" s="165" t="s">
        <v>283</v>
      </c>
      <c r="D158" s="158" t="s">
        <v>18</v>
      </c>
      <c r="E158" s="158" t="s">
        <v>33</v>
      </c>
      <c r="F158" s="158" t="s">
        <v>20</v>
      </c>
      <c r="G158" s="156">
        <v>1</v>
      </c>
      <c r="H158" s="156" t="s">
        <v>35</v>
      </c>
      <c r="I158" s="159" t="s">
        <v>48</v>
      </c>
      <c r="J158" s="159" t="s">
        <v>50</v>
      </c>
      <c r="K158" s="166">
        <v>45945</v>
      </c>
      <c r="L158" s="160">
        <v>45946</v>
      </c>
      <c r="M158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</v>
      </c>
      <c r="N158" s="160">
        <v>45918</v>
      </c>
      <c r="O158" s="167"/>
      <c r="P158" s="143"/>
      <c r="Q158" s="158" t="s">
        <v>78</v>
      </c>
      <c r="R158" s="158"/>
      <c r="S158" s="165" t="s">
        <v>496</v>
      </c>
    </row>
    <row r="159" spans="1:19" outlineLevel="1">
      <c r="A159" s="171" t="s">
        <v>640</v>
      </c>
      <c r="B159" s="168" t="s">
        <v>39</v>
      </c>
      <c r="C159" s="168" t="s">
        <v>284</v>
      </c>
      <c r="D159" s="161" t="s">
        <v>22</v>
      </c>
      <c r="E159" s="161" t="s">
        <v>33</v>
      </c>
      <c r="F159" s="161" t="s">
        <v>20</v>
      </c>
      <c r="G159" s="162">
        <v>1</v>
      </c>
      <c r="H159" s="162" t="s">
        <v>35</v>
      </c>
      <c r="I159" s="161" t="s">
        <v>48</v>
      </c>
      <c r="J159" s="161" t="s">
        <v>50</v>
      </c>
      <c r="K159" s="163">
        <v>45873</v>
      </c>
      <c r="L159" s="163">
        <v>45899</v>
      </c>
      <c r="M159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20</v>
      </c>
      <c r="N159" s="163"/>
      <c r="O159" s="170" t="s">
        <v>108</v>
      </c>
      <c r="P159" s="161" t="s">
        <v>108</v>
      </c>
      <c r="Q159" s="161" t="s">
        <v>78</v>
      </c>
      <c r="R159" s="161"/>
      <c r="S159" s="168" t="s">
        <v>497</v>
      </c>
    </row>
    <row r="160" spans="1:19" outlineLevel="1">
      <c r="A160" s="171" t="s">
        <v>640</v>
      </c>
      <c r="B160" s="168" t="s">
        <v>39</v>
      </c>
      <c r="C160" s="168" t="s">
        <v>284</v>
      </c>
      <c r="D160" s="161" t="s">
        <v>28</v>
      </c>
      <c r="E160" s="161" t="s">
        <v>33</v>
      </c>
      <c r="F160" s="161" t="s">
        <v>20</v>
      </c>
      <c r="G160" s="162">
        <v>0</v>
      </c>
      <c r="H160" s="162" t="s">
        <v>35</v>
      </c>
      <c r="I160" s="161" t="s">
        <v>48</v>
      </c>
      <c r="J160" s="161" t="s">
        <v>50</v>
      </c>
      <c r="K160" s="163"/>
      <c r="L160" s="164"/>
      <c r="M160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60" s="163"/>
      <c r="O160" s="170"/>
      <c r="P160" s="142"/>
      <c r="Q160" s="161" t="s">
        <v>78</v>
      </c>
      <c r="R160" s="161"/>
      <c r="S160" s="168" t="s">
        <v>497</v>
      </c>
    </row>
    <row r="161" spans="1:19" outlineLevel="1">
      <c r="A161" s="171" t="s">
        <v>640</v>
      </c>
      <c r="B161" s="168" t="s">
        <v>39</v>
      </c>
      <c r="C161" s="168" t="s">
        <v>284</v>
      </c>
      <c r="D161" s="161" t="s">
        <v>29</v>
      </c>
      <c r="E161" s="161" t="s">
        <v>33</v>
      </c>
      <c r="F161" s="161" t="s">
        <v>20</v>
      </c>
      <c r="G161" s="162">
        <v>0</v>
      </c>
      <c r="H161" s="162" t="s">
        <v>35</v>
      </c>
      <c r="I161" s="161" t="s">
        <v>48</v>
      </c>
      <c r="J161" s="161" t="s">
        <v>50</v>
      </c>
      <c r="K161" s="163"/>
      <c r="L161" s="163"/>
      <c r="M161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61" s="163"/>
      <c r="O161" s="170"/>
      <c r="P161" s="142"/>
      <c r="Q161" s="142" t="s">
        <v>78</v>
      </c>
      <c r="R161" s="161"/>
      <c r="S161" s="168" t="s">
        <v>497</v>
      </c>
    </row>
    <row r="162" spans="1:19" outlineLevel="1">
      <c r="A162" s="171" t="s">
        <v>640</v>
      </c>
      <c r="B162" s="168" t="s">
        <v>39</v>
      </c>
      <c r="C162" s="168" t="s">
        <v>284</v>
      </c>
      <c r="D162" s="161" t="s">
        <v>30</v>
      </c>
      <c r="E162" s="161" t="s">
        <v>33</v>
      </c>
      <c r="F162" s="161" t="s">
        <v>20</v>
      </c>
      <c r="G162" s="162">
        <v>0</v>
      </c>
      <c r="H162" s="162" t="s">
        <v>35</v>
      </c>
      <c r="I162" s="161" t="s">
        <v>48</v>
      </c>
      <c r="J162" s="161" t="s">
        <v>50</v>
      </c>
      <c r="K162" s="163"/>
      <c r="L162" s="163"/>
      <c r="M162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62" s="163"/>
      <c r="O162" s="170"/>
      <c r="P162" s="142"/>
      <c r="Q162" s="142" t="s">
        <v>78</v>
      </c>
      <c r="R162" s="161"/>
      <c r="S162" s="168" t="s">
        <v>497</v>
      </c>
    </row>
    <row r="163" spans="1:19">
      <c r="A163" s="126" t="s">
        <v>642</v>
      </c>
      <c r="B163" s="46" t="s">
        <v>39</v>
      </c>
      <c r="C163" s="165" t="s">
        <v>285</v>
      </c>
      <c r="D163" s="158" t="s">
        <v>18</v>
      </c>
      <c r="E163" s="158" t="s">
        <v>33</v>
      </c>
      <c r="F163" s="158" t="s">
        <v>20</v>
      </c>
      <c r="G163" s="156">
        <v>0</v>
      </c>
      <c r="H163" s="156" t="s">
        <v>646</v>
      </c>
      <c r="I163" s="159" t="s">
        <v>542</v>
      </c>
      <c r="J163" s="159" t="s">
        <v>50</v>
      </c>
      <c r="K163" s="166">
        <v>45931</v>
      </c>
      <c r="L163" s="160">
        <v>46052</v>
      </c>
      <c r="M163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88</v>
      </c>
      <c r="N163" s="160"/>
      <c r="O163" s="167"/>
      <c r="P163" s="143"/>
      <c r="Q163" s="158" t="s">
        <v>78</v>
      </c>
      <c r="R163" s="158"/>
      <c r="S163" s="165" t="s">
        <v>496</v>
      </c>
    </row>
    <row r="164" spans="1:19" outlineLevel="1">
      <c r="A164" s="171" t="s">
        <v>640</v>
      </c>
      <c r="B164" s="168" t="s">
        <v>39</v>
      </c>
      <c r="C164" s="168" t="s">
        <v>286</v>
      </c>
      <c r="D164" s="161" t="s">
        <v>22</v>
      </c>
      <c r="E164" s="161" t="s">
        <v>33</v>
      </c>
      <c r="F164" s="161" t="s">
        <v>20</v>
      </c>
      <c r="G164" s="162">
        <v>0</v>
      </c>
      <c r="H164" s="162" t="s">
        <v>646</v>
      </c>
      <c r="I164" s="161" t="s">
        <v>542</v>
      </c>
      <c r="J164" s="161" t="s">
        <v>50</v>
      </c>
      <c r="K164" s="163">
        <v>45931</v>
      </c>
      <c r="L164" s="163">
        <v>46052</v>
      </c>
      <c r="M164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88</v>
      </c>
      <c r="N164" s="163"/>
      <c r="O164" s="170" t="s">
        <v>43</v>
      </c>
      <c r="P164" s="161" t="s">
        <v>108</v>
      </c>
      <c r="Q164" s="161" t="s">
        <v>78</v>
      </c>
      <c r="R164" s="161"/>
      <c r="S164" s="168" t="s">
        <v>497</v>
      </c>
    </row>
    <row r="165" spans="1:19" outlineLevel="1">
      <c r="A165" s="171" t="s">
        <v>640</v>
      </c>
      <c r="B165" s="168" t="s">
        <v>39</v>
      </c>
      <c r="C165" s="168" t="s">
        <v>286</v>
      </c>
      <c r="D165" s="161" t="s">
        <v>28</v>
      </c>
      <c r="E165" s="161" t="s">
        <v>33</v>
      </c>
      <c r="F165" s="161" t="s">
        <v>20</v>
      </c>
      <c r="G165" s="162">
        <v>0</v>
      </c>
      <c r="H165" s="162" t="s">
        <v>646</v>
      </c>
      <c r="I165" s="161" t="s">
        <v>542</v>
      </c>
      <c r="J165" s="161" t="s">
        <v>50</v>
      </c>
      <c r="K165" s="163"/>
      <c r="L165" s="164"/>
      <c r="M165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65" s="163"/>
      <c r="O165" s="170"/>
      <c r="P165" s="142"/>
      <c r="Q165" s="161" t="s">
        <v>78</v>
      </c>
      <c r="R165" s="161"/>
      <c r="S165" s="168" t="s">
        <v>497</v>
      </c>
    </row>
    <row r="166" spans="1:19" outlineLevel="1">
      <c r="A166" s="171" t="s">
        <v>640</v>
      </c>
      <c r="B166" s="168" t="s">
        <v>39</v>
      </c>
      <c r="C166" s="168" t="s">
        <v>286</v>
      </c>
      <c r="D166" s="161" t="s">
        <v>29</v>
      </c>
      <c r="E166" s="161" t="s">
        <v>33</v>
      </c>
      <c r="F166" s="161" t="s">
        <v>20</v>
      </c>
      <c r="G166" s="162">
        <v>0</v>
      </c>
      <c r="H166" s="162" t="s">
        <v>646</v>
      </c>
      <c r="I166" s="161" t="s">
        <v>542</v>
      </c>
      <c r="J166" s="161" t="s">
        <v>50</v>
      </c>
      <c r="K166" s="163"/>
      <c r="L166" s="163"/>
      <c r="M166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66" s="163"/>
      <c r="O166" s="170"/>
      <c r="P166" s="142"/>
      <c r="Q166" s="142" t="s">
        <v>78</v>
      </c>
      <c r="R166" s="161"/>
      <c r="S166" s="168" t="s">
        <v>497</v>
      </c>
    </row>
    <row r="167" spans="1:19" outlineLevel="1">
      <c r="A167" s="171" t="s">
        <v>640</v>
      </c>
      <c r="B167" s="168" t="s">
        <v>39</v>
      </c>
      <c r="C167" s="168" t="s">
        <v>286</v>
      </c>
      <c r="D167" s="161" t="s">
        <v>30</v>
      </c>
      <c r="E167" s="161" t="s">
        <v>33</v>
      </c>
      <c r="F167" s="161" t="s">
        <v>20</v>
      </c>
      <c r="G167" s="162">
        <v>0</v>
      </c>
      <c r="H167" s="162" t="s">
        <v>646</v>
      </c>
      <c r="I167" s="161" t="s">
        <v>542</v>
      </c>
      <c r="J167" s="161" t="s">
        <v>50</v>
      </c>
      <c r="K167" s="163"/>
      <c r="L167" s="163"/>
      <c r="M167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67" s="163"/>
      <c r="O167" s="170"/>
      <c r="P167" s="142"/>
      <c r="Q167" s="142" t="s">
        <v>78</v>
      </c>
      <c r="R167" s="161"/>
      <c r="S167" s="168" t="s">
        <v>497</v>
      </c>
    </row>
    <row r="168" spans="1:19">
      <c r="A168" s="126" t="s">
        <v>640</v>
      </c>
      <c r="B168" s="46" t="s">
        <v>39</v>
      </c>
      <c r="C168" s="165" t="s">
        <v>501</v>
      </c>
      <c r="D168" s="158" t="s">
        <v>18</v>
      </c>
      <c r="E168" s="158" t="s">
        <v>58</v>
      </c>
      <c r="F168" s="158" t="s">
        <v>20</v>
      </c>
      <c r="G168" s="156">
        <v>0</v>
      </c>
      <c r="H168" s="156" t="s">
        <v>646</v>
      </c>
      <c r="I168" s="159" t="s">
        <v>542</v>
      </c>
      <c r="J168" s="159" t="s">
        <v>50</v>
      </c>
      <c r="K168" s="166"/>
      <c r="L168" s="160">
        <v>45946</v>
      </c>
      <c r="M168" s="158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68" s="160"/>
      <c r="O168" s="167"/>
      <c r="P168" s="143"/>
      <c r="Q168" s="158" t="s">
        <v>78</v>
      </c>
      <c r="R168" s="158"/>
      <c r="S168" s="165" t="s">
        <v>285</v>
      </c>
    </row>
    <row r="169" spans="1:19" outlineLevel="1">
      <c r="A169" s="171" t="s">
        <v>640</v>
      </c>
      <c r="B169" s="168" t="s">
        <v>39</v>
      </c>
      <c r="C169" s="168" t="s">
        <v>502</v>
      </c>
      <c r="D169" s="161" t="s">
        <v>22</v>
      </c>
      <c r="E169" s="161" t="s">
        <v>58</v>
      </c>
      <c r="F169" s="161" t="s">
        <v>20</v>
      </c>
      <c r="G169" s="162">
        <v>0</v>
      </c>
      <c r="H169" s="162" t="s">
        <v>646</v>
      </c>
      <c r="I169" s="161" t="s">
        <v>542</v>
      </c>
      <c r="J169" s="161" t="s">
        <v>50</v>
      </c>
      <c r="K169" s="163"/>
      <c r="L169" s="163"/>
      <c r="M169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69" s="163"/>
      <c r="O169" s="170"/>
      <c r="P169" s="161"/>
      <c r="Q169" s="161" t="s">
        <v>78</v>
      </c>
      <c r="R169" s="161"/>
      <c r="S169" s="168" t="s">
        <v>286</v>
      </c>
    </row>
    <row r="170" spans="1:19" outlineLevel="1">
      <c r="A170" s="171" t="s">
        <v>640</v>
      </c>
      <c r="B170" s="168" t="s">
        <v>39</v>
      </c>
      <c r="C170" s="168" t="s">
        <v>502</v>
      </c>
      <c r="D170" s="161" t="s">
        <v>28</v>
      </c>
      <c r="E170" s="161" t="s">
        <v>58</v>
      </c>
      <c r="F170" s="161" t="s">
        <v>20</v>
      </c>
      <c r="G170" s="162">
        <v>0</v>
      </c>
      <c r="H170" s="162" t="s">
        <v>646</v>
      </c>
      <c r="I170" s="161" t="s">
        <v>542</v>
      </c>
      <c r="J170" s="161" t="s">
        <v>50</v>
      </c>
      <c r="K170" s="163"/>
      <c r="L170" s="164"/>
      <c r="M170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70" s="163"/>
      <c r="O170" s="170"/>
      <c r="P170" s="142"/>
      <c r="Q170" s="161" t="s">
        <v>78</v>
      </c>
      <c r="R170" s="161"/>
      <c r="S170" s="168" t="s">
        <v>286</v>
      </c>
    </row>
    <row r="171" spans="1:19" outlineLevel="1">
      <c r="A171" s="171" t="s">
        <v>640</v>
      </c>
      <c r="B171" s="168" t="s">
        <v>39</v>
      </c>
      <c r="C171" s="168" t="s">
        <v>502</v>
      </c>
      <c r="D171" s="161" t="s">
        <v>29</v>
      </c>
      <c r="E171" s="161" t="s">
        <v>58</v>
      </c>
      <c r="F171" s="161" t="s">
        <v>20</v>
      </c>
      <c r="G171" s="162">
        <v>0</v>
      </c>
      <c r="H171" s="162" t="s">
        <v>646</v>
      </c>
      <c r="I171" s="161" t="s">
        <v>542</v>
      </c>
      <c r="J171" s="161" t="s">
        <v>50</v>
      </c>
      <c r="K171" s="163"/>
      <c r="L171" s="163"/>
      <c r="M171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71" s="163"/>
      <c r="O171" s="170"/>
      <c r="P171" s="142"/>
      <c r="Q171" s="142" t="s">
        <v>78</v>
      </c>
      <c r="R171" s="161"/>
      <c r="S171" s="168" t="s">
        <v>286</v>
      </c>
    </row>
    <row r="172" spans="1:19" outlineLevel="1">
      <c r="A172" s="171" t="s">
        <v>640</v>
      </c>
      <c r="B172" s="168" t="s">
        <v>39</v>
      </c>
      <c r="C172" s="168" t="s">
        <v>502</v>
      </c>
      <c r="D172" s="161" t="s">
        <v>30</v>
      </c>
      <c r="E172" s="161" t="s">
        <v>58</v>
      </c>
      <c r="F172" s="161" t="s">
        <v>20</v>
      </c>
      <c r="G172" s="162">
        <v>0</v>
      </c>
      <c r="H172" s="162" t="s">
        <v>646</v>
      </c>
      <c r="I172" s="161" t="s">
        <v>542</v>
      </c>
      <c r="J172" s="161" t="s">
        <v>50</v>
      </c>
      <c r="K172" s="163"/>
      <c r="L172" s="163"/>
      <c r="M172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72" s="163"/>
      <c r="O172" s="170"/>
      <c r="P172" s="142"/>
      <c r="Q172" s="142" t="s">
        <v>78</v>
      </c>
      <c r="R172" s="161"/>
      <c r="S172" s="168" t="s">
        <v>286</v>
      </c>
    </row>
    <row r="173" spans="1:19">
      <c r="A173" s="126" t="s">
        <v>640</v>
      </c>
      <c r="B173" s="46" t="s">
        <v>39</v>
      </c>
      <c r="C173" s="165" t="s">
        <v>289</v>
      </c>
      <c r="D173" s="158" t="s">
        <v>18</v>
      </c>
      <c r="E173" s="158" t="s">
        <v>58</v>
      </c>
      <c r="F173" s="158" t="s">
        <v>20</v>
      </c>
      <c r="G173" s="156">
        <v>0</v>
      </c>
      <c r="H173" s="156" t="s">
        <v>646</v>
      </c>
      <c r="I173" s="159" t="s">
        <v>542</v>
      </c>
      <c r="J173" s="159" t="s">
        <v>50</v>
      </c>
      <c r="K173" s="166"/>
      <c r="L173" s="160">
        <v>45946</v>
      </c>
      <c r="M173" s="158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73" s="160"/>
      <c r="O173" s="167"/>
      <c r="P173" s="143"/>
      <c r="Q173" s="158" t="s">
        <v>78</v>
      </c>
      <c r="R173" s="158"/>
      <c r="S173" s="165" t="s">
        <v>285</v>
      </c>
    </row>
    <row r="174" spans="1:19" outlineLevel="1">
      <c r="A174" s="171" t="s">
        <v>640</v>
      </c>
      <c r="B174" s="168" t="s">
        <v>39</v>
      </c>
      <c r="C174" s="168" t="s">
        <v>290</v>
      </c>
      <c r="D174" s="161" t="s">
        <v>22</v>
      </c>
      <c r="E174" s="161" t="s">
        <v>58</v>
      </c>
      <c r="F174" s="161" t="s">
        <v>20</v>
      </c>
      <c r="G174" s="162">
        <v>0</v>
      </c>
      <c r="H174" s="162" t="s">
        <v>646</v>
      </c>
      <c r="I174" s="161" t="s">
        <v>542</v>
      </c>
      <c r="J174" s="161" t="s">
        <v>50</v>
      </c>
      <c r="K174" s="163"/>
      <c r="L174" s="163"/>
      <c r="M174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74" s="163"/>
      <c r="O174" s="170"/>
      <c r="P174" s="161"/>
      <c r="Q174" s="161" t="s">
        <v>78</v>
      </c>
      <c r="R174" s="161"/>
      <c r="S174" s="168" t="s">
        <v>286</v>
      </c>
    </row>
    <row r="175" spans="1:19" outlineLevel="1">
      <c r="A175" s="171" t="s">
        <v>640</v>
      </c>
      <c r="B175" s="168" t="s">
        <v>39</v>
      </c>
      <c r="C175" s="168" t="s">
        <v>290</v>
      </c>
      <c r="D175" s="161" t="s">
        <v>28</v>
      </c>
      <c r="E175" s="161" t="s">
        <v>58</v>
      </c>
      <c r="F175" s="161" t="s">
        <v>20</v>
      </c>
      <c r="G175" s="162">
        <v>0</v>
      </c>
      <c r="H175" s="162" t="s">
        <v>646</v>
      </c>
      <c r="I175" s="161" t="s">
        <v>542</v>
      </c>
      <c r="J175" s="161" t="s">
        <v>50</v>
      </c>
      <c r="K175" s="163"/>
      <c r="L175" s="164"/>
      <c r="M175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75" s="163"/>
      <c r="O175" s="170"/>
      <c r="P175" s="142"/>
      <c r="Q175" s="161" t="s">
        <v>78</v>
      </c>
      <c r="R175" s="161"/>
      <c r="S175" s="168" t="s">
        <v>286</v>
      </c>
    </row>
    <row r="176" spans="1:19" outlineLevel="1">
      <c r="A176" s="171" t="s">
        <v>640</v>
      </c>
      <c r="B176" s="168" t="s">
        <v>39</v>
      </c>
      <c r="C176" s="168" t="s">
        <v>290</v>
      </c>
      <c r="D176" s="161" t="s">
        <v>29</v>
      </c>
      <c r="E176" s="161" t="s">
        <v>58</v>
      </c>
      <c r="F176" s="161" t="s">
        <v>20</v>
      </c>
      <c r="G176" s="162">
        <v>0</v>
      </c>
      <c r="H176" s="162" t="s">
        <v>646</v>
      </c>
      <c r="I176" s="161" t="s">
        <v>542</v>
      </c>
      <c r="J176" s="161" t="s">
        <v>50</v>
      </c>
      <c r="K176" s="163"/>
      <c r="L176" s="163"/>
      <c r="M176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76" s="163"/>
      <c r="O176" s="170"/>
      <c r="P176" s="142"/>
      <c r="Q176" s="142" t="s">
        <v>78</v>
      </c>
      <c r="R176" s="161"/>
      <c r="S176" s="168" t="s">
        <v>286</v>
      </c>
    </row>
    <row r="177" spans="1:19" outlineLevel="1">
      <c r="A177" s="171" t="s">
        <v>640</v>
      </c>
      <c r="B177" s="168" t="s">
        <v>39</v>
      </c>
      <c r="C177" s="168" t="s">
        <v>290</v>
      </c>
      <c r="D177" s="161" t="s">
        <v>30</v>
      </c>
      <c r="E177" s="161" t="s">
        <v>58</v>
      </c>
      <c r="F177" s="161" t="s">
        <v>20</v>
      </c>
      <c r="G177" s="162">
        <v>0</v>
      </c>
      <c r="H177" s="162" t="s">
        <v>646</v>
      </c>
      <c r="I177" s="161" t="s">
        <v>542</v>
      </c>
      <c r="J177" s="161" t="s">
        <v>50</v>
      </c>
      <c r="K177" s="163"/>
      <c r="L177" s="163"/>
      <c r="M177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77" s="163"/>
      <c r="O177" s="170"/>
      <c r="P177" s="142"/>
      <c r="Q177" s="142" t="s">
        <v>78</v>
      </c>
      <c r="R177" s="161"/>
      <c r="S177" s="168" t="s">
        <v>286</v>
      </c>
    </row>
    <row r="178" spans="1:19">
      <c r="A178" s="126" t="s">
        <v>642</v>
      </c>
      <c r="B178" s="46" t="s">
        <v>39</v>
      </c>
      <c r="C178" s="165" t="s">
        <v>291</v>
      </c>
      <c r="D178" s="158" t="s">
        <v>18</v>
      </c>
      <c r="E178" s="158" t="s">
        <v>33</v>
      </c>
      <c r="F178" s="158" t="s">
        <v>20</v>
      </c>
      <c r="G178" s="156">
        <v>0.25</v>
      </c>
      <c r="H178" s="156" t="s">
        <v>48</v>
      </c>
      <c r="I178" s="159" t="s">
        <v>48</v>
      </c>
      <c r="J178" s="159" t="s">
        <v>50</v>
      </c>
      <c r="K178" s="166">
        <v>45931</v>
      </c>
      <c r="L178" s="160">
        <v>46173</v>
      </c>
      <c r="M178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173</v>
      </c>
      <c r="N178" s="160">
        <v>45918</v>
      </c>
      <c r="O178" s="167"/>
      <c r="P178" s="143"/>
      <c r="Q178" s="158" t="s">
        <v>78</v>
      </c>
      <c r="R178" s="158"/>
      <c r="S178" s="165" t="s">
        <v>496</v>
      </c>
    </row>
    <row r="179" spans="1:19" outlineLevel="1">
      <c r="A179" s="171" t="s">
        <v>640</v>
      </c>
      <c r="B179" s="168" t="s">
        <v>16</v>
      </c>
      <c r="C179" s="168" t="s">
        <v>503</v>
      </c>
      <c r="D179" s="161" t="s">
        <v>22</v>
      </c>
      <c r="E179" s="161" t="s">
        <v>33</v>
      </c>
      <c r="F179" s="161" t="s">
        <v>20</v>
      </c>
      <c r="G179" s="162">
        <v>0.25</v>
      </c>
      <c r="H179" s="162" t="s">
        <v>48</v>
      </c>
      <c r="I179" s="161" t="s">
        <v>48</v>
      </c>
      <c r="J179" s="161" t="s">
        <v>50</v>
      </c>
      <c r="K179" s="163">
        <v>46034</v>
      </c>
      <c r="L179" s="163">
        <v>46173</v>
      </c>
      <c r="M179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100</v>
      </c>
      <c r="N179" s="163"/>
      <c r="O179" s="170" t="s">
        <v>26</v>
      </c>
      <c r="P179" s="161" t="s">
        <v>26</v>
      </c>
      <c r="Q179" s="161" t="s">
        <v>78</v>
      </c>
      <c r="R179" s="161" t="s">
        <v>615</v>
      </c>
      <c r="S179" s="168" t="s">
        <v>497</v>
      </c>
    </row>
    <row r="180" spans="1:19" outlineLevel="1">
      <c r="A180" s="171" t="s">
        <v>640</v>
      </c>
      <c r="B180" s="168" t="s">
        <v>39</v>
      </c>
      <c r="C180" s="168" t="s">
        <v>292</v>
      </c>
      <c r="D180" s="161" t="s">
        <v>28</v>
      </c>
      <c r="E180" s="161" t="s">
        <v>33</v>
      </c>
      <c r="F180" s="161" t="s">
        <v>20</v>
      </c>
      <c r="G180" s="162">
        <v>0</v>
      </c>
      <c r="H180" s="162" t="s">
        <v>48</v>
      </c>
      <c r="I180" s="161" t="s">
        <v>48</v>
      </c>
      <c r="J180" s="161" t="s">
        <v>50</v>
      </c>
      <c r="K180" s="163"/>
      <c r="L180" s="164"/>
      <c r="M180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80" s="163"/>
      <c r="O180" s="170"/>
      <c r="P180" s="142"/>
      <c r="Q180" s="161" t="s">
        <v>78</v>
      </c>
      <c r="R180" s="161"/>
      <c r="S180" s="168" t="s">
        <v>497</v>
      </c>
    </row>
    <row r="181" spans="1:19" outlineLevel="1">
      <c r="A181" s="171" t="s">
        <v>640</v>
      </c>
      <c r="B181" s="168" t="s">
        <v>39</v>
      </c>
      <c r="C181" s="168" t="s">
        <v>292</v>
      </c>
      <c r="D181" s="161" t="s">
        <v>29</v>
      </c>
      <c r="E181" s="161" t="s">
        <v>33</v>
      </c>
      <c r="F181" s="161" t="s">
        <v>20</v>
      </c>
      <c r="G181" s="162">
        <v>0</v>
      </c>
      <c r="H181" s="162" t="s">
        <v>48</v>
      </c>
      <c r="I181" s="161" t="s">
        <v>48</v>
      </c>
      <c r="J181" s="161" t="s">
        <v>50</v>
      </c>
      <c r="K181" s="163"/>
      <c r="L181" s="163"/>
      <c r="M181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81" s="163"/>
      <c r="O181" s="170"/>
      <c r="P181" s="142"/>
      <c r="Q181" s="142" t="s">
        <v>78</v>
      </c>
      <c r="R181" s="161"/>
      <c r="S181" s="168" t="s">
        <v>497</v>
      </c>
    </row>
    <row r="182" spans="1:19" outlineLevel="1">
      <c r="A182" s="171" t="s">
        <v>640</v>
      </c>
      <c r="B182" s="168" t="s">
        <v>39</v>
      </c>
      <c r="C182" s="168" t="s">
        <v>292</v>
      </c>
      <c r="D182" s="161" t="s">
        <v>30</v>
      </c>
      <c r="E182" s="161" t="s">
        <v>33</v>
      </c>
      <c r="F182" s="161" t="s">
        <v>20</v>
      </c>
      <c r="G182" s="162">
        <v>0</v>
      </c>
      <c r="H182" s="162" t="s">
        <v>48</v>
      </c>
      <c r="I182" s="161" t="s">
        <v>48</v>
      </c>
      <c r="J182" s="161" t="s">
        <v>50</v>
      </c>
      <c r="K182" s="163"/>
      <c r="L182" s="163"/>
      <c r="M182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82" s="163"/>
      <c r="O182" s="170"/>
      <c r="P182" s="142"/>
      <c r="Q182" s="142" t="s">
        <v>78</v>
      </c>
      <c r="R182" s="161"/>
      <c r="S182" s="168" t="s">
        <v>497</v>
      </c>
    </row>
    <row r="183" spans="1:19">
      <c r="A183" s="126" t="s">
        <v>642</v>
      </c>
      <c r="B183" s="46" t="s">
        <v>39</v>
      </c>
      <c r="C183" s="165" t="s">
        <v>293</v>
      </c>
      <c r="D183" s="158" t="s">
        <v>18</v>
      </c>
      <c r="E183" s="158" t="s">
        <v>58</v>
      </c>
      <c r="F183" s="158" t="s">
        <v>20</v>
      </c>
      <c r="G183" s="156">
        <v>0.25</v>
      </c>
      <c r="H183" s="156" t="s">
        <v>48</v>
      </c>
      <c r="I183" s="159" t="s">
        <v>48</v>
      </c>
      <c r="J183" s="159" t="s">
        <v>50</v>
      </c>
      <c r="K183" s="166">
        <v>46034</v>
      </c>
      <c r="L183" s="160">
        <v>46173</v>
      </c>
      <c r="M183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100</v>
      </c>
      <c r="N183" s="160">
        <v>45918</v>
      </c>
      <c r="O183" s="167"/>
      <c r="P183" s="143"/>
      <c r="Q183" s="158" t="s">
        <v>78</v>
      </c>
      <c r="R183" s="158"/>
      <c r="S183" s="165" t="s">
        <v>291</v>
      </c>
    </row>
    <row r="184" spans="1:19" outlineLevel="1">
      <c r="A184" s="171" t="s">
        <v>640</v>
      </c>
      <c r="B184" s="168" t="s">
        <v>16</v>
      </c>
      <c r="C184" s="168" t="s">
        <v>504</v>
      </c>
      <c r="D184" s="161" t="s">
        <v>22</v>
      </c>
      <c r="E184" s="161" t="s">
        <v>58</v>
      </c>
      <c r="F184" s="161" t="s">
        <v>20</v>
      </c>
      <c r="G184" s="162">
        <v>0.25</v>
      </c>
      <c r="H184" s="162" t="s">
        <v>48</v>
      </c>
      <c r="I184" s="161" t="s">
        <v>48</v>
      </c>
      <c r="J184" s="161" t="s">
        <v>50</v>
      </c>
      <c r="K184" s="163">
        <v>46034</v>
      </c>
      <c r="L184" s="163">
        <v>46173</v>
      </c>
      <c r="M184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100</v>
      </c>
      <c r="N184" s="163"/>
      <c r="O184" s="170" t="s">
        <v>26</v>
      </c>
      <c r="P184" s="161" t="s">
        <v>26</v>
      </c>
      <c r="Q184" s="161" t="s">
        <v>78</v>
      </c>
      <c r="R184" s="161" t="s">
        <v>615</v>
      </c>
      <c r="S184" s="168" t="s">
        <v>503</v>
      </c>
    </row>
    <row r="185" spans="1:19" outlineLevel="1">
      <c r="A185" s="171" t="s">
        <v>640</v>
      </c>
      <c r="B185" s="168" t="s">
        <v>39</v>
      </c>
      <c r="C185" s="168" t="s">
        <v>294</v>
      </c>
      <c r="D185" s="161" t="s">
        <v>28</v>
      </c>
      <c r="E185" s="161" t="s">
        <v>58</v>
      </c>
      <c r="F185" s="161" t="s">
        <v>20</v>
      </c>
      <c r="G185" s="162">
        <v>0</v>
      </c>
      <c r="H185" s="162" t="s">
        <v>48</v>
      </c>
      <c r="I185" s="161" t="s">
        <v>48</v>
      </c>
      <c r="J185" s="161" t="s">
        <v>50</v>
      </c>
      <c r="K185" s="163"/>
      <c r="L185" s="164"/>
      <c r="M185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85" s="163"/>
      <c r="O185" s="170"/>
      <c r="P185" s="142"/>
      <c r="Q185" s="161" t="s">
        <v>78</v>
      </c>
      <c r="R185" s="161"/>
      <c r="S185" s="168" t="s">
        <v>292</v>
      </c>
    </row>
    <row r="186" spans="1:19" outlineLevel="1">
      <c r="A186" s="171" t="s">
        <v>640</v>
      </c>
      <c r="B186" s="168" t="s">
        <v>39</v>
      </c>
      <c r="C186" s="168" t="s">
        <v>294</v>
      </c>
      <c r="D186" s="161" t="s">
        <v>29</v>
      </c>
      <c r="E186" s="161" t="s">
        <v>58</v>
      </c>
      <c r="F186" s="161" t="s">
        <v>20</v>
      </c>
      <c r="G186" s="162">
        <v>0</v>
      </c>
      <c r="H186" s="162" t="s">
        <v>48</v>
      </c>
      <c r="I186" s="161" t="s">
        <v>48</v>
      </c>
      <c r="J186" s="161" t="s">
        <v>50</v>
      </c>
      <c r="K186" s="163"/>
      <c r="L186" s="163"/>
      <c r="M186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86" s="163"/>
      <c r="O186" s="170"/>
      <c r="P186" s="142"/>
      <c r="Q186" s="142" t="s">
        <v>78</v>
      </c>
      <c r="R186" s="161"/>
      <c r="S186" s="168" t="s">
        <v>292</v>
      </c>
    </row>
    <row r="187" spans="1:19" outlineLevel="1">
      <c r="A187" s="171" t="s">
        <v>640</v>
      </c>
      <c r="B187" s="168" t="s">
        <v>39</v>
      </c>
      <c r="C187" s="168" t="s">
        <v>294</v>
      </c>
      <c r="D187" s="161" t="s">
        <v>30</v>
      </c>
      <c r="E187" s="161" t="s">
        <v>58</v>
      </c>
      <c r="F187" s="161" t="s">
        <v>20</v>
      </c>
      <c r="G187" s="162">
        <v>0</v>
      </c>
      <c r="H187" s="162" t="s">
        <v>48</v>
      </c>
      <c r="I187" s="161" t="s">
        <v>48</v>
      </c>
      <c r="J187" s="161" t="s">
        <v>50</v>
      </c>
      <c r="K187" s="163"/>
      <c r="L187" s="163"/>
      <c r="M187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87" s="163"/>
      <c r="O187" s="170"/>
      <c r="P187" s="142"/>
      <c r="Q187" s="142" t="s">
        <v>78</v>
      </c>
      <c r="R187" s="161"/>
      <c r="S187" s="168" t="s">
        <v>292</v>
      </c>
    </row>
    <row r="188" spans="1:19">
      <c r="A188" s="126" t="s">
        <v>642</v>
      </c>
      <c r="B188" s="46" t="s">
        <v>39</v>
      </c>
      <c r="C188" s="165" t="s">
        <v>295</v>
      </c>
      <c r="D188" s="158" t="s">
        <v>18</v>
      </c>
      <c r="E188" s="158" t="s">
        <v>58</v>
      </c>
      <c r="F188" s="158" t="s">
        <v>20</v>
      </c>
      <c r="G188" s="156">
        <v>0.25</v>
      </c>
      <c r="H188" s="156" t="s">
        <v>48</v>
      </c>
      <c r="I188" s="159" t="s">
        <v>48</v>
      </c>
      <c r="J188" s="159" t="s">
        <v>50</v>
      </c>
      <c r="K188" s="166">
        <v>46034</v>
      </c>
      <c r="L188" s="160">
        <v>46173</v>
      </c>
      <c r="M188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100</v>
      </c>
      <c r="N188" s="160">
        <v>45918</v>
      </c>
      <c r="O188" s="167"/>
      <c r="P188" s="143"/>
      <c r="Q188" s="158" t="s">
        <v>78</v>
      </c>
      <c r="R188" s="158"/>
      <c r="S188" s="165" t="s">
        <v>291</v>
      </c>
    </row>
    <row r="189" spans="1:19" outlineLevel="1">
      <c r="A189" s="171" t="s">
        <v>640</v>
      </c>
      <c r="B189" s="168" t="s">
        <v>16</v>
      </c>
      <c r="C189" s="168" t="s">
        <v>505</v>
      </c>
      <c r="D189" s="161" t="s">
        <v>22</v>
      </c>
      <c r="E189" s="161" t="s">
        <v>58</v>
      </c>
      <c r="F189" s="161" t="s">
        <v>20</v>
      </c>
      <c r="G189" s="162">
        <v>0.25</v>
      </c>
      <c r="H189" s="162" t="s">
        <v>48</v>
      </c>
      <c r="I189" s="161" t="s">
        <v>48</v>
      </c>
      <c r="J189" s="161" t="s">
        <v>50</v>
      </c>
      <c r="K189" s="163">
        <v>46034</v>
      </c>
      <c r="L189" s="163">
        <v>46173</v>
      </c>
      <c r="M189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100</v>
      </c>
      <c r="N189" s="163"/>
      <c r="O189" s="170" t="s">
        <v>26</v>
      </c>
      <c r="P189" s="161" t="s">
        <v>26</v>
      </c>
      <c r="Q189" s="161" t="s">
        <v>78</v>
      </c>
      <c r="R189" s="161" t="s">
        <v>615</v>
      </c>
      <c r="S189" s="168" t="s">
        <v>503</v>
      </c>
    </row>
    <row r="190" spans="1:19" outlineLevel="1">
      <c r="A190" s="171" t="s">
        <v>640</v>
      </c>
      <c r="B190" s="168" t="s">
        <v>39</v>
      </c>
      <c r="C190" s="168" t="s">
        <v>296</v>
      </c>
      <c r="D190" s="161" t="s">
        <v>28</v>
      </c>
      <c r="E190" s="161" t="s">
        <v>58</v>
      </c>
      <c r="F190" s="161" t="s">
        <v>20</v>
      </c>
      <c r="G190" s="162">
        <v>0</v>
      </c>
      <c r="H190" s="162" t="s">
        <v>48</v>
      </c>
      <c r="I190" s="161" t="s">
        <v>48</v>
      </c>
      <c r="J190" s="161" t="s">
        <v>50</v>
      </c>
      <c r="K190" s="163"/>
      <c r="L190" s="164"/>
      <c r="M190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90" s="163"/>
      <c r="O190" s="170"/>
      <c r="P190" s="142"/>
      <c r="Q190" s="161" t="s">
        <v>78</v>
      </c>
      <c r="R190" s="161"/>
      <c r="S190" s="168" t="s">
        <v>292</v>
      </c>
    </row>
    <row r="191" spans="1:19" outlineLevel="1">
      <c r="A191" s="171" t="s">
        <v>640</v>
      </c>
      <c r="B191" s="168" t="s">
        <v>39</v>
      </c>
      <c r="C191" s="168" t="s">
        <v>296</v>
      </c>
      <c r="D191" s="161" t="s">
        <v>29</v>
      </c>
      <c r="E191" s="161" t="s">
        <v>58</v>
      </c>
      <c r="F191" s="161" t="s">
        <v>20</v>
      </c>
      <c r="G191" s="162">
        <v>0</v>
      </c>
      <c r="H191" s="162" t="s">
        <v>48</v>
      </c>
      <c r="I191" s="161" t="s">
        <v>48</v>
      </c>
      <c r="J191" s="161" t="s">
        <v>50</v>
      </c>
      <c r="K191" s="163"/>
      <c r="L191" s="163"/>
      <c r="M191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91" s="163"/>
      <c r="O191" s="170"/>
      <c r="P191" s="142"/>
      <c r="Q191" s="142" t="s">
        <v>78</v>
      </c>
      <c r="R191" s="161"/>
      <c r="S191" s="168" t="s">
        <v>292</v>
      </c>
    </row>
    <row r="192" spans="1:19" outlineLevel="1">
      <c r="A192" s="171" t="s">
        <v>640</v>
      </c>
      <c r="B192" s="168" t="s">
        <v>39</v>
      </c>
      <c r="C192" s="168" t="s">
        <v>296</v>
      </c>
      <c r="D192" s="161" t="s">
        <v>30</v>
      </c>
      <c r="E192" s="161" t="s">
        <v>58</v>
      </c>
      <c r="F192" s="161" t="s">
        <v>20</v>
      </c>
      <c r="G192" s="162">
        <v>0</v>
      </c>
      <c r="H192" s="162" t="s">
        <v>48</v>
      </c>
      <c r="I192" s="161" t="s">
        <v>48</v>
      </c>
      <c r="J192" s="161" t="s">
        <v>50</v>
      </c>
      <c r="K192" s="163"/>
      <c r="L192" s="163"/>
      <c r="M192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92" s="163"/>
      <c r="O192" s="170"/>
      <c r="P192" s="142"/>
      <c r="Q192" s="142" t="s">
        <v>78</v>
      </c>
      <c r="R192" s="161"/>
      <c r="S192" s="168" t="s">
        <v>292</v>
      </c>
    </row>
    <row r="193" spans="1:19">
      <c r="A193" s="126" t="s">
        <v>642</v>
      </c>
      <c r="B193" s="46" t="s">
        <v>39</v>
      </c>
      <c r="C193" s="165" t="s">
        <v>297</v>
      </c>
      <c r="D193" s="158" t="s">
        <v>18</v>
      </c>
      <c r="E193" s="158" t="s">
        <v>58</v>
      </c>
      <c r="F193" s="158" t="s">
        <v>20</v>
      </c>
      <c r="G193" s="156">
        <v>0.25</v>
      </c>
      <c r="H193" s="156" t="s">
        <v>48</v>
      </c>
      <c r="I193" s="159" t="s">
        <v>48</v>
      </c>
      <c r="J193" s="159" t="s">
        <v>50</v>
      </c>
      <c r="K193" s="166">
        <v>46034</v>
      </c>
      <c r="L193" s="160">
        <v>46173</v>
      </c>
      <c r="M193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100</v>
      </c>
      <c r="N193" s="160">
        <v>45918</v>
      </c>
      <c r="O193" s="167"/>
      <c r="P193" s="143"/>
      <c r="Q193" s="158" t="s">
        <v>78</v>
      </c>
      <c r="R193" s="158"/>
      <c r="S193" s="165" t="s">
        <v>291</v>
      </c>
    </row>
    <row r="194" spans="1:19" outlineLevel="1">
      <c r="A194" s="171" t="s">
        <v>640</v>
      </c>
      <c r="B194" s="168" t="s">
        <v>16</v>
      </c>
      <c r="C194" s="168" t="s">
        <v>506</v>
      </c>
      <c r="D194" s="161" t="s">
        <v>22</v>
      </c>
      <c r="E194" s="161" t="s">
        <v>58</v>
      </c>
      <c r="F194" s="161" t="s">
        <v>20</v>
      </c>
      <c r="G194" s="162">
        <v>0.25</v>
      </c>
      <c r="H194" s="162" t="s">
        <v>48</v>
      </c>
      <c r="I194" s="161" t="s">
        <v>48</v>
      </c>
      <c r="J194" s="161" t="s">
        <v>50</v>
      </c>
      <c r="K194" s="163">
        <v>46034</v>
      </c>
      <c r="L194" s="163">
        <v>46173</v>
      </c>
      <c r="M194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100</v>
      </c>
      <c r="N194" s="163"/>
      <c r="O194" s="170" t="s">
        <v>26</v>
      </c>
      <c r="P194" s="161" t="s">
        <v>26</v>
      </c>
      <c r="Q194" s="161" t="s">
        <v>78</v>
      </c>
      <c r="R194" s="161" t="s">
        <v>615</v>
      </c>
      <c r="S194" s="168" t="s">
        <v>503</v>
      </c>
    </row>
    <row r="195" spans="1:19" outlineLevel="1">
      <c r="A195" s="171" t="s">
        <v>640</v>
      </c>
      <c r="B195" s="168" t="s">
        <v>39</v>
      </c>
      <c r="C195" s="168" t="s">
        <v>298</v>
      </c>
      <c r="D195" s="161" t="s">
        <v>28</v>
      </c>
      <c r="E195" s="161" t="s">
        <v>58</v>
      </c>
      <c r="F195" s="161" t="s">
        <v>20</v>
      </c>
      <c r="G195" s="162">
        <v>0</v>
      </c>
      <c r="H195" s="162" t="s">
        <v>48</v>
      </c>
      <c r="I195" s="161" t="s">
        <v>48</v>
      </c>
      <c r="J195" s="161" t="s">
        <v>50</v>
      </c>
      <c r="K195" s="163"/>
      <c r="L195" s="164"/>
      <c r="M195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95" s="163"/>
      <c r="O195" s="170"/>
      <c r="P195" s="142"/>
      <c r="Q195" s="161" t="s">
        <v>78</v>
      </c>
      <c r="R195" s="161"/>
      <c r="S195" s="168" t="s">
        <v>292</v>
      </c>
    </row>
    <row r="196" spans="1:19" outlineLevel="1">
      <c r="A196" s="171" t="s">
        <v>640</v>
      </c>
      <c r="B196" s="168" t="s">
        <v>39</v>
      </c>
      <c r="C196" s="168" t="s">
        <v>298</v>
      </c>
      <c r="D196" s="161" t="s">
        <v>29</v>
      </c>
      <c r="E196" s="161" t="s">
        <v>58</v>
      </c>
      <c r="F196" s="161" t="s">
        <v>20</v>
      </c>
      <c r="G196" s="162">
        <v>0</v>
      </c>
      <c r="H196" s="162" t="s">
        <v>48</v>
      </c>
      <c r="I196" s="161" t="s">
        <v>48</v>
      </c>
      <c r="J196" s="161" t="s">
        <v>50</v>
      </c>
      <c r="K196" s="163"/>
      <c r="L196" s="163"/>
      <c r="M196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96" s="163"/>
      <c r="O196" s="170"/>
      <c r="P196" s="142"/>
      <c r="Q196" s="142" t="s">
        <v>78</v>
      </c>
      <c r="R196" s="161"/>
      <c r="S196" s="168" t="s">
        <v>292</v>
      </c>
    </row>
    <row r="197" spans="1:19" outlineLevel="1">
      <c r="A197" s="171" t="s">
        <v>640</v>
      </c>
      <c r="B197" s="168" t="s">
        <v>39</v>
      </c>
      <c r="C197" s="168" t="s">
        <v>298</v>
      </c>
      <c r="D197" s="161" t="s">
        <v>30</v>
      </c>
      <c r="E197" s="161" t="s">
        <v>58</v>
      </c>
      <c r="F197" s="161" t="s">
        <v>20</v>
      </c>
      <c r="G197" s="162">
        <v>0</v>
      </c>
      <c r="H197" s="162" t="s">
        <v>48</v>
      </c>
      <c r="I197" s="161" t="s">
        <v>48</v>
      </c>
      <c r="J197" s="161" t="s">
        <v>50</v>
      </c>
      <c r="K197" s="163"/>
      <c r="L197" s="163"/>
      <c r="M197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197" s="163"/>
      <c r="O197" s="170"/>
      <c r="P197" s="142"/>
      <c r="Q197" s="142" t="s">
        <v>78</v>
      </c>
      <c r="R197" s="161"/>
      <c r="S197" s="168" t="s">
        <v>292</v>
      </c>
    </row>
    <row r="198" spans="1:19">
      <c r="A198" s="126" t="s">
        <v>642</v>
      </c>
      <c r="B198" s="46" t="s">
        <v>39</v>
      </c>
      <c r="C198" s="165" t="s">
        <v>299</v>
      </c>
      <c r="D198" s="158" t="s">
        <v>18</v>
      </c>
      <c r="E198" s="158" t="s">
        <v>58</v>
      </c>
      <c r="F198" s="158" t="s">
        <v>20</v>
      </c>
      <c r="G198" s="156">
        <v>0.25</v>
      </c>
      <c r="H198" s="156" t="s">
        <v>48</v>
      </c>
      <c r="I198" s="159" t="s">
        <v>48</v>
      </c>
      <c r="J198" s="159" t="s">
        <v>50</v>
      </c>
      <c r="K198" s="166">
        <v>46034</v>
      </c>
      <c r="L198" s="160">
        <v>46173</v>
      </c>
      <c r="M198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100</v>
      </c>
      <c r="N198" s="160">
        <v>45919</v>
      </c>
      <c r="O198" s="167"/>
      <c r="P198" s="143"/>
      <c r="Q198" s="158" t="s">
        <v>78</v>
      </c>
      <c r="R198" s="158"/>
      <c r="S198" s="165" t="s">
        <v>291</v>
      </c>
    </row>
    <row r="199" spans="1:19" outlineLevel="1">
      <c r="A199" s="171" t="s">
        <v>640</v>
      </c>
      <c r="B199" s="168" t="s">
        <v>16</v>
      </c>
      <c r="C199" s="168" t="s">
        <v>508</v>
      </c>
      <c r="D199" s="161" t="s">
        <v>22</v>
      </c>
      <c r="E199" s="161" t="s">
        <v>58</v>
      </c>
      <c r="F199" s="161" t="s">
        <v>20</v>
      </c>
      <c r="G199" s="162">
        <v>0.25</v>
      </c>
      <c r="H199" s="162" t="s">
        <v>48</v>
      </c>
      <c r="I199" s="161" t="s">
        <v>48</v>
      </c>
      <c r="J199" s="161" t="s">
        <v>50</v>
      </c>
      <c r="K199" s="163">
        <v>46034</v>
      </c>
      <c r="L199" s="163">
        <v>46173</v>
      </c>
      <c r="M199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100</v>
      </c>
      <c r="N199" s="163"/>
      <c r="O199" s="170" t="s">
        <v>26</v>
      </c>
      <c r="P199" s="161" t="s">
        <v>26</v>
      </c>
      <c r="Q199" s="161" t="s">
        <v>78</v>
      </c>
      <c r="R199" s="161"/>
      <c r="S199" s="168" t="s">
        <v>503</v>
      </c>
    </row>
    <row r="200" spans="1:19" outlineLevel="1">
      <c r="A200" s="171" t="s">
        <v>640</v>
      </c>
      <c r="B200" s="168" t="s">
        <v>39</v>
      </c>
      <c r="C200" s="168" t="s">
        <v>300</v>
      </c>
      <c r="D200" s="161" t="s">
        <v>28</v>
      </c>
      <c r="E200" s="161" t="s">
        <v>58</v>
      </c>
      <c r="F200" s="161" t="s">
        <v>20</v>
      </c>
      <c r="G200" s="162">
        <v>0</v>
      </c>
      <c r="H200" s="162" t="s">
        <v>48</v>
      </c>
      <c r="I200" s="161" t="s">
        <v>48</v>
      </c>
      <c r="J200" s="161" t="s">
        <v>50</v>
      </c>
      <c r="K200" s="163"/>
      <c r="L200" s="164"/>
      <c r="M200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200" s="163"/>
      <c r="O200" s="170"/>
      <c r="P200" s="142"/>
      <c r="Q200" s="161" t="s">
        <v>78</v>
      </c>
      <c r="R200" s="161"/>
      <c r="S200" s="168" t="s">
        <v>292</v>
      </c>
    </row>
    <row r="201" spans="1:19" outlineLevel="1">
      <c r="A201" s="171" t="s">
        <v>640</v>
      </c>
      <c r="B201" s="168" t="s">
        <v>39</v>
      </c>
      <c r="C201" s="168" t="s">
        <v>300</v>
      </c>
      <c r="D201" s="161" t="s">
        <v>29</v>
      </c>
      <c r="E201" s="161" t="s">
        <v>58</v>
      </c>
      <c r="F201" s="161" t="s">
        <v>20</v>
      </c>
      <c r="G201" s="162">
        <v>0</v>
      </c>
      <c r="H201" s="162" t="s">
        <v>48</v>
      </c>
      <c r="I201" s="161" t="s">
        <v>48</v>
      </c>
      <c r="J201" s="161" t="s">
        <v>50</v>
      </c>
      <c r="K201" s="163"/>
      <c r="L201" s="163"/>
      <c r="M201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201" s="163"/>
      <c r="O201" s="170"/>
      <c r="P201" s="142"/>
      <c r="Q201" s="142" t="s">
        <v>78</v>
      </c>
      <c r="R201" s="161"/>
      <c r="S201" s="168" t="s">
        <v>292</v>
      </c>
    </row>
    <row r="202" spans="1:19" outlineLevel="1">
      <c r="A202" s="171" t="s">
        <v>640</v>
      </c>
      <c r="B202" s="168" t="s">
        <v>39</v>
      </c>
      <c r="C202" s="168" t="s">
        <v>300</v>
      </c>
      <c r="D202" s="161" t="s">
        <v>30</v>
      </c>
      <c r="E202" s="161" t="s">
        <v>58</v>
      </c>
      <c r="F202" s="161" t="s">
        <v>20</v>
      </c>
      <c r="G202" s="162">
        <v>0</v>
      </c>
      <c r="H202" s="162" t="s">
        <v>48</v>
      </c>
      <c r="I202" s="161" t="s">
        <v>48</v>
      </c>
      <c r="J202" s="161" t="s">
        <v>50</v>
      </c>
      <c r="K202" s="163"/>
      <c r="L202" s="163"/>
      <c r="M202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202" s="163"/>
      <c r="O202" s="170"/>
      <c r="P202" s="142"/>
      <c r="Q202" s="142" t="s">
        <v>78</v>
      </c>
      <c r="R202" s="161"/>
      <c r="S202" s="168" t="s">
        <v>292</v>
      </c>
    </row>
    <row r="203" spans="1:19">
      <c r="A203" s="126" t="s">
        <v>642</v>
      </c>
      <c r="B203" s="46" t="s">
        <v>39</v>
      </c>
      <c r="C203" s="165" t="s">
        <v>301</v>
      </c>
      <c r="D203" s="158" t="s">
        <v>18</v>
      </c>
      <c r="E203" s="158" t="s">
        <v>58</v>
      </c>
      <c r="F203" s="158" t="s">
        <v>20</v>
      </c>
      <c r="G203" s="156">
        <v>1</v>
      </c>
      <c r="H203" s="156" t="s">
        <v>35</v>
      </c>
      <c r="I203" s="159" t="s">
        <v>48</v>
      </c>
      <c r="J203" s="159" t="s">
        <v>50</v>
      </c>
      <c r="K203" s="166">
        <v>45931</v>
      </c>
      <c r="L203" s="160">
        <v>45931</v>
      </c>
      <c r="M203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</v>
      </c>
      <c r="N203" s="160">
        <v>45918</v>
      </c>
      <c r="O203" s="167"/>
      <c r="P203" s="143"/>
      <c r="Q203" s="158" t="s">
        <v>78</v>
      </c>
      <c r="R203" s="158"/>
      <c r="S203" s="165" t="s">
        <v>291</v>
      </c>
    </row>
    <row r="204" spans="1:19" outlineLevel="1">
      <c r="A204" s="171" t="s">
        <v>640</v>
      </c>
      <c r="B204" s="168" t="s">
        <v>16</v>
      </c>
      <c r="C204" s="168" t="s">
        <v>302</v>
      </c>
      <c r="D204" s="161" t="s">
        <v>22</v>
      </c>
      <c r="E204" s="161" t="s">
        <v>58</v>
      </c>
      <c r="F204" s="161" t="s">
        <v>20</v>
      </c>
      <c r="G204" s="162">
        <v>1</v>
      </c>
      <c r="H204" s="162" t="s">
        <v>35</v>
      </c>
      <c r="I204" s="161" t="s">
        <v>48</v>
      </c>
      <c r="J204" s="161" t="s">
        <v>50</v>
      </c>
      <c r="K204" s="163">
        <v>45931</v>
      </c>
      <c r="L204" s="163">
        <v>45931</v>
      </c>
      <c r="M204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</v>
      </c>
      <c r="N204" s="163"/>
      <c r="O204" s="170" t="s">
        <v>108</v>
      </c>
      <c r="P204" s="161" t="s">
        <v>108</v>
      </c>
      <c r="Q204" s="161" t="s">
        <v>78</v>
      </c>
      <c r="R204" s="161" t="s">
        <v>615</v>
      </c>
      <c r="S204" s="168" t="s">
        <v>503</v>
      </c>
    </row>
    <row r="205" spans="1:19" outlineLevel="1">
      <c r="A205" s="171" t="s">
        <v>640</v>
      </c>
      <c r="B205" s="168" t="s">
        <v>39</v>
      </c>
      <c r="C205" s="168" t="s">
        <v>302</v>
      </c>
      <c r="D205" s="161" t="s">
        <v>28</v>
      </c>
      <c r="E205" s="161" t="s">
        <v>58</v>
      </c>
      <c r="F205" s="161" t="s">
        <v>20</v>
      </c>
      <c r="G205" s="162">
        <v>0</v>
      </c>
      <c r="H205" s="162" t="s">
        <v>35</v>
      </c>
      <c r="I205" s="161" t="s">
        <v>48</v>
      </c>
      <c r="J205" s="161" t="s">
        <v>50</v>
      </c>
      <c r="K205" s="163"/>
      <c r="L205" s="164"/>
      <c r="M205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205" s="163"/>
      <c r="O205" s="170"/>
      <c r="P205" s="142"/>
      <c r="Q205" s="161" t="s">
        <v>78</v>
      </c>
      <c r="R205" s="161"/>
      <c r="S205" s="168" t="s">
        <v>292</v>
      </c>
    </row>
    <row r="206" spans="1:19" outlineLevel="1">
      <c r="A206" s="171" t="s">
        <v>640</v>
      </c>
      <c r="B206" s="168" t="s">
        <v>39</v>
      </c>
      <c r="C206" s="168" t="s">
        <v>302</v>
      </c>
      <c r="D206" s="161" t="s">
        <v>29</v>
      </c>
      <c r="E206" s="161" t="s">
        <v>58</v>
      </c>
      <c r="F206" s="161" t="s">
        <v>20</v>
      </c>
      <c r="G206" s="162">
        <v>0</v>
      </c>
      <c r="H206" s="162" t="s">
        <v>35</v>
      </c>
      <c r="I206" s="161" t="s">
        <v>48</v>
      </c>
      <c r="J206" s="161" t="s">
        <v>50</v>
      </c>
      <c r="K206" s="163"/>
      <c r="L206" s="163"/>
      <c r="M206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206" s="163"/>
      <c r="O206" s="170"/>
      <c r="P206" s="142"/>
      <c r="Q206" s="142" t="s">
        <v>78</v>
      </c>
      <c r="R206" s="161"/>
      <c r="S206" s="168" t="s">
        <v>292</v>
      </c>
    </row>
    <row r="207" spans="1:19" outlineLevel="1">
      <c r="A207" s="171" t="s">
        <v>640</v>
      </c>
      <c r="B207" s="168" t="s">
        <v>39</v>
      </c>
      <c r="C207" s="168" t="s">
        <v>302</v>
      </c>
      <c r="D207" s="161" t="s">
        <v>30</v>
      </c>
      <c r="E207" s="161" t="s">
        <v>58</v>
      </c>
      <c r="F207" s="161" t="s">
        <v>20</v>
      </c>
      <c r="G207" s="162">
        <v>0</v>
      </c>
      <c r="H207" s="162" t="s">
        <v>35</v>
      </c>
      <c r="I207" s="161" t="s">
        <v>48</v>
      </c>
      <c r="J207" s="161" t="s">
        <v>50</v>
      </c>
      <c r="K207" s="163"/>
      <c r="L207" s="163"/>
      <c r="M207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207" s="163"/>
      <c r="O207" s="170"/>
      <c r="P207" s="142"/>
      <c r="Q207" s="142" t="s">
        <v>78</v>
      </c>
      <c r="R207" s="161"/>
      <c r="S207" s="168" t="s">
        <v>292</v>
      </c>
    </row>
    <row r="208" spans="1:19">
      <c r="A208" s="126" t="s">
        <v>642</v>
      </c>
      <c r="B208" s="46" t="s">
        <v>39</v>
      </c>
      <c r="C208" s="165" t="s">
        <v>303</v>
      </c>
      <c r="D208" s="158" t="s">
        <v>18</v>
      </c>
      <c r="E208" s="158" t="s">
        <v>58</v>
      </c>
      <c r="F208" s="158" t="s">
        <v>20</v>
      </c>
      <c r="G208" s="156">
        <v>1</v>
      </c>
      <c r="H208" s="156" t="s">
        <v>35</v>
      </c>
      <c r="I208" s="159" t="s">
        <v>48</v>
      </c>
      <c r="J208" s="159" t="s">
        <v>50</v>
      </c>
      <c r="K208" s="166">
        <v>45931</v>
      </c>
      <c r="L208" s="160">
        <v>45931</v>
      </c>
      <c r="M208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</v>
      </c>
      <c r="N208" s="160">
        <v>45918</v>
      </c>
      <c r="O208" s="167"/>
      <c r="P208" s="143"/>
      <c r="Q208" s="158" t="s">
        <v>78</v>
      </c>
      <c r="R208" s="158"/>
      <c r="S208" s="165" t="s">
        <v>291</v>
      </c>
    </row>
    <row r="209" spans="1:19" outlineLevel="1">
      <c r="A209" s="171" t="s">
        <v>640</v>
      </c>
      <c r="B209" s="168" t="s">
        <v>16</v>
      </c>
      <c r="C209" s="168" t="s">
        <v>304</v>
      </c>
      <c r="D209" s="161" t="s">
        <v>22</v>
      </c>
      <c r="E209" s="161" t="s">
        <v>58</v>
      </c>
      <c r="F209" s="161" t="s">
        <v>20</v>
      </c>
      <c r="G209" s="162">
        <v>1</v>
      </c>
      <c r="H209" s="162" t="s">
        <v>35</v>
      </c>
      <c r="I209" s="161" t="s">
        <v>48</v>
      </c>
      <c r="J209" s="161" t="s">
        <v>50</v>
      </c>
      <c r="K209" s="163">
        <v>45931</v>
      </c>
      <c r="L209" s="163">
        <v>45931</v>
      </c>
      <c r="M209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</v>
      </c>
      <c r="N209" s="163"/>
      <c r="O209" s="170" t="s">
        <v>108</v>
      </c>
      <c r="P209" s="161" t="s">
        <v>108</v>
      </c>
      <c r="Q209" s="161" t="s">
        <v>78</v>
      </c>
      <c r="R209" s="161" t="s">
        <v>615</v>
      </c>
      <c r="S209" s="168" t="s">
        <v>503</v>
      </c>
    </row>
    <row r="210" spans="1:19" outlineLevel="1">
      <c r="A210" s="171" t="s">
        <v>640</v>
      </c>
      <c r="B210" s="168" t="s">
        <v>39</v>
      </c>
      <c r="C210" s="168" t="s">
        <v>304</v>
      </c>
      <c r="D210" s="161" t="s">
        <v>28</v>
      </c>
      <c r="E210" s="161" t="s">
        <v>58</v>
      </c>
      <c r="F210" s="161" t="s">
        <v>20</v>
      </c>
      <c r="G210" s="162">
        <v>0</v>
      </c>
      <c r="H210" s="162" t="s">
        <v>35</v>
      </c>
      <c r="I210" s="161" t="s">
        <v>48</v>
      </c>
      <c r="J210" s="161" t="s">
        <v>50</v>
      </c>
      <c r="K210" s="163"/>
      <c r="L210" s="164"/>
      <c r="M210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210" s="163"/>
      <c r="O210" s="170"/>
      <c r="P210" s="142"/>
      <c r="Q210" s="161" t="s">
        <v>78</v>
      </c>
      <c r="R210" s="161"/>
      <c r="S210" s="168" t="s">
        <v>292</v>
      </c>
    </row>
    <row r="211" spans="1:19" outlineLevel="1">
      <c r="A211" s="171" t="s">
        <v>640</v>
      </c>
      <c r="B211" s="168" t="s">
        <v>39</v>
      </c>
      <c r="C211" s="168" t="s">
        <v>304</v>
      </c>
      <c r="D211" s="161" t="s">
        <v>29</v>
      </c>
      <c r="E211" s="161" t="s">
        <v>58</v>
      </c>
      <c r="F211" s="161" t="s">
        <v>20</v>
      </c>
      <c r="G211" s="162">
        <v>0</v>
      </c>
      <c r="H211" s="162" t="s">
        <v>35</v>
      </c>
      <c r="I211" s="161" t="s">
        <v>48</v>
      </c>
      <c r="J211" s="161" t="s">
        <v>50</v>
      </c>
      <c r="K211" s="163"/>
      <c r="L211" s="163"/>
      <c r="M211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211" s="163"/>
      <c r="O211" s="170"/>
      <c r="P211" s="142"/>
      <c r="Q211" s="142" t="s">
        <v>78</v>
      </c>
      <c r="R211" s="161"/>
      <c r="S211" s="168" t="s">
        <v>292</v>
      </c>
    </row>
    <row r="212" spans="1:19" outlineLevel="1">
      <c r="A212" s="171" t="s">
        <v>640</v>
      </c>
      <c r="B212" s="168" t="s">
        <v>39</v>
      </c>
      <c r="C212" s="168" t="s">
        <v>304</v>
      </c>
      <c r="D212" s="161" t="s">
        <v>30</v>
      </c>
      <c r="E212" s="161" t="s">
        <v>58</v>
      </c>
      <c r="F212" s="161" t="s">
        <v>20</v>
      </c>
      <c r="G212" s="162">
        <v>0</v>
      </c>
      <c r="H212" s="162" t="s">
        <v>35</v>
      </c>
      <c r="I212" s="161" t="s">
        <v>48</v>
      </c>
      <c r="J212" s="161" t="s">
        <v>50</v>
      </c>
      <c r="K212" s="163"/>
      <c r="L212" s="163"/>
      <c r="M212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212" s="163"/>
      <c r="O212" s="170"/>
      <c r="P212" s="142"/>
      <c r="Q212" s="142" t="s">
        <v>78</v>
      </c>
      <c r="R212" s="161"/>
      <c r="S212" s="168" t="s">
        <v>292</v>
      </c>
    </row>
    <row r="213" spans="1:19">
      <c r="A213" s="126" t="s">
        <v>642</v>
      </c>
      <c r="B213" s="46" t="s">
        <v>647</v>
      </c>
      <c r="C213" s="165" t="s">
        <v>509</v>
      </c>
      <c r="D213" s="158" t="s">
        <v>18</v>
      </c>
      <c r="E213" s="158" t="s">
        <v>19</v>
      </c>
      <c r="F213" s="158" t="s">
        <v>20</v>
      </c>
      <c r="G213" s="156">
        <v>0.22</v>
      </c>
      <c r="H213" s="156" t="s">
        <v>35</v>
      </c>
      <c r="I213" s="159" t="s">
        <v>96</v>
      </c>
      <c r="J213" s="159" t="s">
        <v>97</v>
      </c>
      <c r="K213" s="166">
        <v>45931</v>
      </c>
      <c r="L213" s="160">
        <v>46295</v>
      </c>
      <c r="M213" s="158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213" s="160"/>
      <c r="O213" s="167"/>
      <c r="P213" s="143"/>
      <c r="Q213" s="158" t="s">
        <v>95</v>
      </c>
      <c r="R213" s="158"/>
      <c r="S213" s="177"/>
    </row>
    <row r="214" spans="1:19" outlineLevel="1">
      <c r="A214" s="171" t="s">
        <v>640</v>
      </c>
      <c r="B214" s="168" t="s">
        <v>94</v>
      </c>
      <c r="C214" s="168" t="s">
        <v>510</v>
      </c>
      <c r="D214" s="161" t="s">
        <v>22</v>
      </c>
      <c r="E214" s="161" t="s">
        <v>19</v>
      </c>
      <c r="F214" s="161" t="s">
        <v>20</v>
      </c>
      <c r="G214" s="162">
        <v>1</v>
      </c>
      <c r="H214" s="162" t="s">
        <v>35</v>
      </c>
      <c r="I214" s="161" t="s">
        <v>96</v>
      </c>
      <c r="J214" s="161" t="s">
        <v>97</v>
      </c>
      <c r="K214" s="163">
        <v>45931</v>
      </c>
      <c r="L214" s="163">
        <v>45931</v>
      </c>
      <c r="M214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</v>
      </c>
      <c r="N214" s="163"/>
      <c r="O214" s="170" t="s">
        <v>108</v>
      </c>
      <c r="P214" s="161" t="s">
        <v>108</v>
      </c>
      <c r="Q214" s="161" t="s">
        <v>95</v>
      </c>
      <c r="R214" s="161" t="s">
        <v>616</v>
      </c>
      <c r="S214" s="178"/>
    </row>
    <row r="215" spans="1:19" outlineLevel="1">
      <c r="A215" s="171" t="s">
        <v>640</v>
      </c>
      <c r="B215" s="168" t="s">
        <v>94</v>
      </c>
      <c r="C215" s="168" t="s">
        <v>510</v>
      </c>
      <c r="D215" s="161" t="s">
        <v>28</v>
      </c>
      <c r="E215" s="161" t="s">
        <v>19</v>
      </c>
      <c r="F215" s="161" t="s">
        <v>20</v>
      </c>
      <c r="G215" s="162">
        <v>0</v>
      </c>
      <c r="H215" s="162" t="s">
        <v>35</v>
      </c>
      <c r="I215" s="161" t="s">
        <v>96</v>
      </c>
      <c r="J215" s="161" t="s">
        <v>97</v>
      </c>
      <c r="K215" s="163"/>
      <c r="L215" s="164"/>
      <c r="M215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215" s="163"/>
      <c r="O215" s="170"/>
      <c r="P215" s="142"/>
      <c r="Q215" s="161" t="s">
        <v>95</v>
      </c>
      <c r="R215" s="161"/>
      <c r="S215" s="178"/>
    </row>
    <row r="216" spans="1:19" outlineLevel="1">
      <c r="A216" s="171" t="s">
        <v>640</v>
      </c>
      <c r="B216" s="168" t="s">
        <v>94</v>
      </c>
      <c r="C216" s="168" t="s">
        <v>510</v>
      </c>
      <c r="D216" s="161" t="s">
        <v>29</v>
      </c>
      <c r="E216" s="161" t="s">
        <v>19</v>
      </c>
      <c r="F216" s="161" t="s">
        <v>20</v>
      </c>
      <c r="G216" s="162">
        <v>0</v>
      </c>
      <c r="H216" s="162" t="s">
        <v>35</v>
      </c>
      <c r="I216" s="161" t="s">
        <v>96</v>
      </c>
      <c r="J216" s="161" t="s">
        <v>97</v>
      </c>
      <c r="K216" s="163"/>
      <c r="L216" s="163"/>
      <c r="M216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216" s="163"/>
      <c r="O216" s="170"/>
      <c r="P216" s="142"/>
      <c r="Q216" s="142" t="s">
        <v>95</v>
      </c>
      <c r="R216" s="161"/>
      <c r="S216" s="178"/>
    </row>
    <row r="217" spans="1:19" outlineLevel="1">
      <c r="A217" s="171" t="s">
        <v>640</v>
      </c>
      <c r="B217" s="168" t="s">
        <v>94</v>
      </c>
      <c r="C217" s="168" t="s">
        <v>510</v>
      </c>
      <c r="D217" s="161" t="s">
        <v>30</v>
      </c>
      <c r="E217" s="161" t="s">
        <v>19</v>
      </c>
      <c r="F217" s="161" t="s">
        <v>20</v>
      </c>
      <c r="G217" s="162">
        <v>0</v>
      </c>
      <c r="H217" s="162" t="s">
        <v>35</v>
      </c>
      <c r="I217" s="161" t="s">
        <v>96</v>
      </c>
      <c r="J217" s="161" t="s">
        <v>97</v>
      </c>
      <c r="K217" s="163"/>
      <c r="L217" s="163"/>
      <c r="M217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217" s="163"/>
      <c r="O217" s="170"/>
      <c r="P217" s="142"/>
      <c r="Q217" s="142" t="s">
        <v>95</v>
      </c>
      <c r="R217" s="161"/>
      <c r="S217" s="178"/>
    </row>
    <row r="218" spans="1:19">
      <c r="A218" s="126" t="s">
        <v>642</v>
      </c>
      <c r="B218" s="46" t="s">
        <v>94</v>
      </c>
      <c r="C218" s="165" t="s">
        <v>512</v>
      </c>
      <c r="D218" s="158" t="s">
        <v>18</v>
      </c>
      <c r="E218" s="158" t="s">
        <v>33</v>
      </c>
      <c r="F218" s="158" t="s">
        <v>20</v>
      </c>
      <c r="G218" s="156">
        <v>0</v>
      </c>
      <c r="H218" s="156" t="s">
        <v>569</v>
      </c>
      <c r="I218" s="159" t="s">
        <v>229</v>
      </c>
      <c r="J218" s="159" t="s">
        <v>97</v>
      </c>
      <c r="K218" s="166">
        <v>45931</v>
      </c>
      <c r="L218" s="160">
        <v>46295</v>
      </c>
      <c r="M218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261</v>
      </c>
      <c r="N218" s="160"/>
      <c r="O218" s="167"/>
      <c r="P218" s="143"/>
      <c r="Q218" s="158" t="s">
        <v>95</v>
      </c>
      <c r="R218" s="158"/>
      <c r="S218" s="165" t="s">
        <v>509</v>
      </c>
    </row>
    <row r="219" spans="1:19" outlineLevel="1">
      <c r="A219" s="171" t="s">
        <v>640</v>
      </c>
      <c r="B219" s="168" t="s">
        <v>94</v>
      </c>
      <c r="C219" s="168" t="s">
        <v>513</v>
      </c>
      <c r="D219" s="161" t="s">
        <v>22</v>
      </c>
      <c r="E219" s="161" t="s">
        <v>33</v>
      </c>
      <c r="F219" s="161" t="s">
        <v>20</v>
      </c>
      <c r="G219" s="162">
        <v>0</v>
      </c>
      <c r="H219" s="162" t="s">
        <v>569</v>
      </c>
      <c r="I219" s="161" t="s">
        <v>229</v>
      </c>
      <c r="J219" s="161" t="s">
        <v>97</v>
      </c>
      <c r="K219" s="163"/>
      <c r="L219" s="163"/>
      <c r="M219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219" s="163"/>
      <c r="O219" s="170"/>
      <c r="P219" s="161"/>
      <c r="Q219" s="161" t="s">
        <v>95</v>
      </c>
      <c r="R219" s="161"/>
      <c r="S219" s="168" t="s">
        <v>510</v>
      </c>
    </row>
    <row r="220" spans="1:19" outlineLevel="1">
      <c r="A220" s="171" t="s">
        <v>640</v>
      </c>
      <c r="B220" s="168" t="s">
        <v>94</v>
      </c>
      <c r="C220" s="168" t="s">
        <v>513</v>
      </c>
      <c r="D220" s="161" t="s">
        <v>28</v>
      </c>
      <c r="E220" s="161" t="s">
        <v>33</v>
      </c>
      <c r="F220" s="161" t="s">
        <v>20</v>
      </c>
      <c r="G220" s="162">
        <v>0</v>
      </c>
      <c r="H220" s="162" t="s">
        <v>569</v>
      </c>
      <c r="I220" s="161" t="s">
        <v>229</v>
      </c>
      <c r="J220" s="161" t="s">
        <v>97</v>
      </c>
      <c r="K220" s="163"/>
      <c r="L220" s="164"/>
      <c r="M220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220" s="163"/>
      <c r="O220" s="170"/>
      <c r="P220" s="142"/>
      <c r="Q220" s="161" t="s">
        <v>95</v>
      </c>
      <c r="R220" s="161"/>
      <c r="S220" s="168" t="s">
        <v>510</v>
      </c>
    </row>
    <row r="221" spans="1:19" outlineLevel="1">
      <c r="A221" s="171" t="s">
        <v>640</v>
      </c>
      <c r="B221" s="168" t="s">
        <v>94</v>
      </c>
      <c r="C221" s="168" t="s">
        <v>513</v>
      </c>
      <c r="D221" s="161" t="s">
        <v>29</v>
      </c>
      <c r="E221" s="161" t="s">
        <v>33</v>
      </c>
      <c r="F221" s="161" t="s">
        <v>20</v>
      </c>
      <c r="G221" s="162">
        <v>0</v>
      </c>
      <c r="H221" s="162" t="s">
        <v>569</v>
      </c>
      <c r="I221" s="161" t="s">
        <v>229</v>
      </c>
      <c r="J221" s="161" t="s">
        <v>97</v>
      </c>
      <c r="K221" s="163"/>
      <c r="L221" s="163"/>
      <c r="M221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221" s="163"/>
      <c r="O221" s="170"/>
      <c r="P221" s="142"/>
      <c r="Q221" s="142" t="s">
        <v>95</v>
      </c>
      <c r="R221" s="161"/>
      <c r="S221" s="168" t="s">
        <v>510</v>
      </c>
    </row>
    <row r="222" spans="1:19" outlineLevel="1">
      <c r="A222" s="171" t="s">
        <v>640</v>
      </c>
      <c r="B222" s="168" t="s">
        <v>94</v>
      </c>
      <c r="C222" s="168" t="s">
        <v>513</v>
      </c>
      <c r="D222" s="161" t="s">
        <v>30</v>
      </c>
      <c r="E222" s="161" t="s">
        <v>33</v>
      </c>
      <c r="F222" s="161" t="s">
        <v>20</v>
      </c>
      <c r="G222" s="162">
        <v>0</v>
      </c>
      <c r="H222" s="162" t="s">
        <v>569</v>
      </c>
      <c r="I222" s="161" t="s">
        <v>229</v>
      </c>
      <c r="J222" s="161" t="s">
        <v>97</v>
      </c>
      <c r="K222" s="163"/>
      <c r="L222" s="163"/>
      <c r="M222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222" s="163"/>
      <c r="O222" s="170"/>
      <c r="P222" s="142"/>
      <c r="Q222" s="142" t="s">
        <v>95</v>
      </c>
      <c r="R222" s="161"/>
      <c r="S222" s="168" t="s">
        <v>510</v>
      </c>
    </row>
    <row r="223" spans="1:19">
      <c r="A223" s="126" t="s">
        <v>642</v>
      </c>
      <c r="B223" s="46" t="s">
        <v>94</v>
      </c>
      <c r="C223" s="165" t="s">
        <v>515</v>
      </c>
      <c r="D223" s="158" t="s">
        <v>18</v>
      </c>
      <c r="E223" s="158" t="s">
        <v>33</v>
      </c>
      <c r="F223" s="158" t="s">
        <v>20</v>
      </c>
      <c r="G223" s="156">
        <v>0.25</v>
      </c>
      <c r="H223" s="156" t="s">
        <v>469</v>
      </c>
      <c r="I223" s="159" t="s">
        <v>96</v>
      </c>
      <c r="J223" s="159" t="s">
        <v>97</v>
      </c>
      <c r="K223" s="166">
        <v>45931</v>
      </c>
      <c r="L223" s="160">
        <v>46295</v>
      </c>
      <c r="M223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261</v>
      </c>
      <c r="N223" s="160"/>
      <c r="O223" s="167"/>
      <c r="P223" s="143"/>
      <c r="Q223" s="158" t="s">
        <v>95</v>
      </c>
      <c r="R223" s="158"/>
      <c r="S223" s="165" t="s">
        <v>509</v>
      </c>
    </row>
    <row r="224" spans="1:19" outlineLevel="1">
      <c r="A224" s="171" t="s">
        <v>640</v>
      </c>
      <c r="B224" s="168" t="s">
        <v>94</v>
      </c>
      <c r="C224" s="168" t="s">
        <v>516</v>
      </c>
      <c r="D224" s="161" t="s">
        <v>22</v>
      </c>
      <c r="E224" s="161" t="s">
        <v>33</v>
      </c>
      <c r="F224" s="161" t="s">
        <v>20</v>
      </c>
      <c r="G224" s="162">
        <v>0.25</v>
      </c>
      <c r="H224" s="162" t="s">
        <v>469</v>
      </c>
      <c r="I224" s="161" t="s">
        <v>96</v>
      </c>
      <c r="J224" s="161" t="s">
        <v>97</v>
      </c>
      <c r="K224" s="163">
        <v>45931</v>
      </c>
      <c r="L224" s="163">
        <v>46295</v>
      </c>
      <c r="M224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261</v>
      </c>
      <c r="N224" s="163"/>
      <c r="O224" s="170" t="s">
        <v>26</v>
      </c>
      <c r="P224" s="161" t="s">
        <v>26</v>
      </c>
      <c r="Q224" s="161" t="s">
        <v>95</v>
      </c>
      <c r="R224" s="161" t="s">
        <v>616</v>
      </c>
      <c r="S224" s="168" t="s">
        <v>510</v>
      </c>
    </row>
    <row r="225" spans="1:19" outlineLevel="1">
      <c r="A225" s="171" t="s">
        <v>640</v>
      </c>
      <c r="B225" s="168" t="s">
        <v>94</v>
      </c>
      <c r="C225" s="168" t="s">
        <v>516</v>
      </c>
      <c r="D225" s="161" t="s">
        <v>28</v>
      </c>
      <c r="E225" s="161" t="s">
        <v>33</v>
      </c>
      <c r="F225" s="161" t="s">
        <v>20</v>
      </c>
      <c r="G225" s="162">
        <v>0</v>
      </c>
      <c r="H225" s="162" t="s">
        <v>469</v>
      </c>
      <c r="I225" s="161" t="s">
        <v>96</v>
      </c>
      <c r="J225" s="161" t="s">
        <v>97</v>
      </c>
      <c r="K225" s="163"/>
      <c r="L225" s="164"/>
      <c r="M225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225" s="163"/>
      <c r="O225" s="170"/>
      <c r="P225" s="142"/>
      <c r="Q225" s="161" t="s">
        <v>95</v>
      </c>
      <c r="R225" s="161"/>
      <c r="S225" s="168" t="s">
        <v>510</v>
      </c>
    </row>
    <row r="226" spans="1:19" outlineLevel="1">
      <c r="A226" s="171" t="s">
        <v>640</v>
      </c>
      <c r="B226" s="168" t="s">
        <v>94</v>
      </c>
      <c r="C226" s="168" t="s">
        <v>516</v>
      </c>
      <c r="D226" s="161" t="s">
        <v>29</v>
      </c>
      <c r="E226" s="161" t="s">
        <v>33</v>
      </c>
      <c r="F226" s="161" t="s">
        <v>20</v>
      </c>
      <c r="G226" s="162">
        <v>0</v>
      </c>
      <c r="H226" s="162" t="s">
        <v>469</v>
      </c>
      <c r="I226" s="161" t="s">
        <v>96</v>
      </c>
      <c r="J226" s="161" t="s">
        <v>97</v>
      </c>
      <c r="K226" s="163"/>
      <c r="L226" s="163"/>
      <c r="M226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226" s="163"/>
      <c r="O226" s="170"/>
      <c r="P226" s="142"/>
      <c r="Q226" s="142" t="s">
        <v>95</v>
      </c>
      <c r="R226" s="161"/>
      <c r="S226" s="168" t="s">
        <v>510</v>
      </c>
    </row>
    <row r="227" spans="1:19" outlineLevel="1">
      <c r="A227" s="171" t="s">
        <v>640</v>
      </c>
      <c r="B227" s="168" t="s">
        <v>94</v>
      </c>
      <c r="C227" s="168" t="s">
        <v>516</v>
      </c>
      <c r="D227" s="161" t="s">
        <v>30</v>
      </c>
      <c r="E227" s="161" t="s">
        <v>33</v>
      </c>
      <c r="F227" s="161" t="s">
        <v>20</v>
      </c>
      <c r="G227" s="162">
        <v>0</v>
      </c>
      <c r="H227" s="162" t="s">
        <v>469</v>
      </c>
      <c r="I227" s="161" t="s">
        <v>96</v>
      </c>
      <c r="J227" s="161" t="s">
        <v>97</v>
      </c>
      <c r="K227" s="163"/>
      <c r="L227" s="163"/>
      <c r="M227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227" s="163"/>
      <c r="O227" s="170"/>
      <c r="P227" s="142"/>
      <c r="Q227" s="142" t="s">
        <v>95</v>
      </c>
      <c r="R227" s="161"/>
      <c r="S227" s="168" t="s">
        <v>510</v>
      </c>
    </row>
    <row r="228" spans="1:19">
      <c r="A228" s="126" t="s">
        <v>642</v>
      </c>
      <c r="B228" s="46" t="s">
        <v>94</v>
      </c>
      <c r="C228" s="165" t="s">
        <v>310</v>
      </c>
      <c r="D228" s="158" t="s">
        <v>18</v>
      </c>
      <c r="E228" s="158" t="s">
        <v>58</v>
      </c>
      <c r="F228" s="158" t="s">
        <v>20</v>
      </c>
      <c r="G228" s="156">
        <v>0.25</v>
      </c>
      <c r="H228" s="156" t="s">
        <v>569</v>
      </c>
      <c r="I228" s="159" t="s">
        <v>96</v>
      </c>
      <c r="J228" s="159" t="s">
        <v>97</v>
      </c>
      <c r="K228" s="166">
        <v>45931</v>
      </c>
      <c r="L228" s="160">
        <v>46295</v>
      </c>
      <c r="M228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261</v>
      </c>
      <c r="N228" s="160"/>
      <c r="O228" s="167"/>
      <c r="P228" s="143"/>
      <c r="Q228" s="158" t="s">
        <v>95</v>
      </c>
      <c r="R228" s="158"/>
      <c r="S228" s="165" t="s">
        <v>515</v>
      </c>
    </row>
    <row r="229" spans="1:19" outlineLevel="1">
      <c r="A229" s="171" t="s">
        <v>640</v>
      </c>
      <c r="B229" s="168" t="s">
        <v>94</v>
      </c>
      <c r="C229" s="168" t="s">
        <v>517</v>
      </c>
      <c r="D229" s="161" t="s">
        <v>22</v>
      </c>
      <c r="E229" s="161" t="s">
        <v>58</v>
      </c>
      <c r="F229" s="161" t="s">
        <v>20</v>
      </c>
      <c r="G229" s="162">
        <v>0.25</v>
      </c>
      <c r="H229" s="162" t="s">
        <v>569</v>
      </c>
      <c r="I229" s="161" t="s">
        <v>96</v>
      </c>
      <c r="J229" s="161" t="s">
        <v>97</v>
      </c>
      <c r="K229" s="163">
        <v>45931</v>
      </c>
      <c r="L229" s="163">
        <v>46295</v>
      </c>
      <c r="M229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261</v>
      </c>
      <c r="N229" s="163"/>
      <c r="O229" s="170" t="s">
        <v>26</v>
      </c>
      <c r="P229" s="161" t="s">
        <v>26</v>
      </c>
      <c r="Q229" s="161" t="s">
        <v>95</v>
      </c>
      <c r="R229" s="161" t="s">
        <v>616</v>
      </c>
      <c r="S229" s="168" t="s">
        <v>516</v>
      </c>
    </row>
    <row r="230" spans="1:19" outlineLevel="1">
      <c r="A230" s="171" t="s">
        <v>640</v>
      </c>
      <c r="B230" s="168" t="s">
        <v>94</v>
      </c>
      <c r="C230" s="168" t="s">
        <v>517</v>
      </c>
      <c r="D230" s="161" t="s">
        <v>28</v>
      </c>
      <c r="E230" s="161" t="s">
        <v>58</v>
      </c>
      <c r="F230" s="161" t="s">
        <v>20</v>
      </c>
      <c r="G230" s="162">
        <v>0</v>
      </c>
      <c r="H230" s="162" t="s">
        <v>569</v>
      </c>
      <c r="I230" s="161" t="s">
        <v>96</v>
      </c>
      <c r="J230" s="161" t="s">
        <v>97</v>
      </c>
      <c r="K230" s="163"/>
      <c r="L230" s="164"/>
      <c r="M230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230" s="163"/>
      <c r="O230" s="170"/>
      <c r="P230" s="142"/>
      <c r="Q230" s="161" t="s">
        <v>95</v>
      </c>
      <c r="R230" s="161"/>
      <c r="S230" s="168" t="s">
        <v>516</v>
      </c>
    </row>
    <row r="231" spans="1:19" outlineLevel="1">
      <c r="A231" s="171" t="s">
        <v>640</v>
      </c>
      <c r="B231" s="168" t="s">
        <v>94</v>
      </c>
      <c r="C231" s="168" t="s">
        <v>517</v>
      </c>
      <c r="D231" s="161" t="s">
        <v>29</v>
      </c>
      <c r="E231" s="161" t="s">
        <v>58</v>
      </c>
      <c r="F231" s="161" t="s">
        <v>20</v>
      </c>
      <c r="G231" s="162">
        <v>0</v>
      </c>
      <c r="H231" s="162" t="s">
        <v>569</v>
      </c>
      <c r="I231" s="161" t="s">
        <v>96</v>
      </c>
      <c r="J231" s="161" t="s">
        <v>97</v>
      </c>
      <c r="K231" s="163"/>
      <c r="L231" s="163"/>
      <c r="M231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231" s="163"/>
      <c r="O231" s="170"/>
      <c r="P231" s="142"/>
      <c r="Q231" s="142" t="s">
        <v>95</v>
      </c>
      <c r="R231" s="161"/>
      <c r="S231" s="168" t="s">
        <v>516</v>
      </c>
    </row>
    <row r="232" spans="1:19" outlineLevel="1">
      <c r="A232" s="171" t="s">
        <v>640</v>
      </c>
      <c r="B232" s="168" t="s">
        <v>94</v>
      </c>
      <c r="C232" s="168" t="s">
        <v>517</v>
      </c>
      <c r="D232" s="161" t="s">
        <v>30</v>
      </c>
      <c r="E232" s="161" t="s">
        <v>58</v>
      </c>
      <c r="F232" s="161" t="s">
        <v>20</v>
      </c>
      <c r="G232" s="162">
        <v>0</v>
      </c>
      <c r="H232" s="162" t="s">
        <v>569</v>
      </c>
      <c r="I232" s="161" t="s">
        <v>96</v>
      </c>
      <c r="J232" s="161" t="s">
        <v>97</v>
      </c>
      <c r="K232" s="163"/>
      <c r="L232" s="163"/>
      <c r="M232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232" s="163"/>
      <c r="O232" s="170"/>
      <c r="P232" s="142"/>
      <c r="Q232" s="142" t="s">
        <v>95</v>
      </c>
      <c r="R232" s="161"/>
      <c r="S232" s="168" t="s">
        <v>516</v>
      </c>
    </row>
    <row r="233" spans="1:19">
      <c r="A233" s="126" t="s">
        <v>642</v>
      </c>
      <c r="B233" s="46" t="s">
        <v>94</v>
      </c>
      <c r="C233" s="165" t="s">
        <v>312</v>
      </c>
      <c r="D233" s="158" t="s">
        <v>18</v>
      </c>
      <c r="E233" s="158" t="s">
        <v>58</v>
      </c>
      <c r="F233" s="158" t="s">
        <v>20</v>
      </c>
      <c r="G233" s="156">
        <v>0.25</v>
      </c>
      <c r="H233" s="156" t="s">
        <v>569</v>
      </c>
      <c r="I233" s="159" t="s">
        <v>96</v>
      </c>
      <c r="J233" s="159" t="s">
        <v>97</v>
      </c>
      <c r="K233" s="166">
        <v>45931</v>
      </c>
      <c r="L233" s="160">
        <v>46295</v>
      </c>
      <c r="M233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261</v>
      </c>
      <c r="N233" s="160"/>
      <c r="O233" s="167"/>
      <c r="P233" s="143"/>
      <c r="Q233" s="158" t="s">
        <v>95</v>
      </c>
      <c r="R233" s="158"/>
      <c r="S233" s="165" t="s">
        <v>515</v>
      </c>
    </row>
    <row r="234" spans="1:19" outlineLevel="1">
      <c r="A234" s="171" t="s">
        <v>640</v>
      </c>
      <c r="B234" s="168" t="s">
        <v>94</v>
      </c>
      <c r="C234" s="168" t="s">
        <v>518</v>
      </c>
      <c r="D234" s="161" t="s">
        <v>22</v>
      </c>
      <c r="E234" s="161" t="s">
        <v>58</v>
      </c>
      <c r="F234" s="161" t="s">
        <v>20</v>
      </c>
      <c r="G234" s="162">
        <v>0.25</v>
      </c>
      <c r="H234" s="162" t="s">
        <v>569</v>
      </c>
      <c r="I234" s="161" t="s">
        <v>96</v>
      </c>
      <c r="J234" s="161" t="s">
        <v>97</v>
      </c>
      <c r="K234" s="163">
        <v>45931</v>
      </c>
      <c r="L234" s="163">
        <v>46295</v>
      </c>
      <c r="M234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261</v>
      </c>
      <c r="N234" s="163"/>
      <c r="O234" s="170" t="s">
        <v>26</v>
      </c>
      <c r="P234" s="161" t="s">
        <v>26</v>
      </c>
      <c r="Q234" s="161" t="s">
        <v>95</v>
      </c>
      <c r="R234" s="161" t="s">
        <v>616</v>
      </c>
      <c r="S234" s="168" t="s">
        <v>516</v>
      </c>
    </row>
    <row r="235" spans="1:19" outlineLevel="1">
      <c r="A235" s="171" t="s">
        <v>640</v>
      </c>
      <c r="B235" s="168" t="s">
        <v>94</v>
      </c>
      <c r="C235" s="168" t="s">
        <v>518</v>
      </c>
      <c r="D235" s="161" t="s">
        <v>28</v>
      </c>
      <c r="E235" s="161" t="s">
        <v>58</v>
      </c>
      <c r="F235" s="161" t="s">
        <v>20</v>
      </c>
      <c r="G235" s="162">
        <v>0</v>
      </c>
      <c r="H235" s="162" t="s">
        <v>569</v>
      </c>
      <c r="I235" s="161" t="s">
        <v>96</v>
      </c>
      <c r="J235" s="161" t="s">
        <v>97</v>
      </c>
      <c r="K235" s="163"/>
      <c r="L235" s="164"/>
      <c r="M235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235" s="163"/>
      <c r="O235" s="170"/>
      <c r="P235" s="142"/>
      <c r="Q235" s="161" t="s">
        <v>95</v>
      </c>
      <c r="R235" s="161"/>
      <c r="S235" s="168" t="s">
        <v>516</v>
      </c>
    </row>
    <row r="236" spans="1:19" outlineLevel="1">
      <c r="A236" s="171" t="s">
        <v>640</v>
      </c>
      <c r="B236" s="168" t="s">
        <v>94</v>
      </c>
      <c r="C236" s="168" t="s">
        <v>518</v>
      </c>
      <c r="D236" s="161" t="s">
        <v>29</v>
      </c>
      <c r="E236" s="161" t="s">
        <v>58</v>
      </c>
      <c r="F236" s="161" t="s">
        <v>20</v>
      </c>
      <c r="G236" s="162">
        <v>0</v>
      </c>
      <c r="H236" s="162" t="s">
        <v>569</v>
      </c>
      <c r="I236" s="161" t="s">
        <v>96</v>
      </c>
      <c r="J236" s="161" t="s">
        <v>97</v>
      </c>
      <c r="K236" s="163"/>
      <c r="L236" s="163"/>
      <c r="M236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236" s="163"/>
      <c r="O236" s="170"/>
      <c r="P236" s="142"/>
      <c r="Q236" s="142" t="s">
        <v>95</v>
      </c>
      <c r="R236" s="161"/>
      <c r="S236" s="168" t="s">
        <v>516</v>
      </c>
    </row>
    <row r="237" spans="1:19" outlineLevel="1">
      <c r="A237" s="171" t="s">
        <v>640</v>
      </c>
      <c r="B237" s="168" t="s">
        <v>94</v>
      </c>
      <c r="C237" s="168" t="s">
        <v>518</v>
      </c>
      <c r="D237" s="161" t="s">
        <v>30</v>
      </c>
      <c r="E237" s="161" t="s">
        <v>58</v>
      </c>
      <c r="F237" s="161" t="s">
        <v>20</v>
      </c>
      <c r="G237" s="162">
        <v>0</v>
      </c>
      <c r="H237" s="162" t="s">
        <v>569</v>
      </c>
      <c r="I237" s="161" t="s">
        <v>96</v>
      </c>
      <c r="J237" s="161" t="s">
        <v>97</v>
      </c>
      <c r="K237" s="163"/>
      <c r="L237" s="163"/>
      <c r="M237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237" s="163"/>
      <c r="O237" s="170"/>
      <c r="P237" s="142"/>
      <c r="Q237" s="142" t="s">
        <v>95</v>
      </c>
      <c r="R237" s="161"/>
      <c r="S237" s="168" t="s">
        <v>516</v>
      </c>
    </row>
    <row r="238" spans="1:19">
      <c r="A238" s="126" t="s">
        <v>642</v>
      </c>
      <c r="B238" s="46" t="s">
        <v>94</v>
      </c>
      <c r="C238" s="165" t="s">
        <v>314</v>
      </c>
      <c r="D238" s="158" t="s">
        <v>18</v>
      </c>
      <c r="E238" s="158" t="s">
        <v>58</v>
      </c>
      <c r="F238" s="158" t="s">
        <v>20</v>
      </c>
      <c r="G238" s="156">
        <v>0.25</v>
      </c>
      <c r="H238" s="156" t="s">
        <v>569</v>
      </c>
      <c r="I238" s="159" t="s">
        <v>96</v>
      </c>
      <c r="J238" s="159" t="s">
        <v>97</v>
      </c>
      <c r="K238" s="166">
        <v>45931</v>
      </c>
      <c r="L238" s="160">
        <v>46295</v>
      </c>
      <c r="M238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261</v>
      </c>
      <c r="N238" s="160"/>
      <c r="O238" s="167"/>
      <c r="P238" s="143"/>
      <c r="Q238" s="158" t="s">
        <v>95</v>
      </c>
      <c r="R238" s="158"/>
      <c r="S238" s="165" t="s">
        <v>515</v>
      </c>
    </row>
    <row r="239" spans="1:19" outlineLevel="1">
      <c r="A239" s="171" t="s">
        <v>640</v>
      </c>
      <c r="B239" s="168" t="s">
        <v>94</v>
      </c>
      <c r="C239" s="168" t="s">
        <v>519</v>
      </c>
      <c r="D239" s="161" t="s">
        <v>22</v>
      </c>
      <c r="E239" s="161" t="s">
        <v>58</v>
      </c>
      <c r="F239" s="161" t="s">
        <v>20</v>
      </c>
      <c r="G239" s="162">
        <v>0.25</v>
      </c>
      <c r="H239" s="162" t="s">
        <v>569</v>
      </c>
      <c r="I239" s="161" t="s">
        <v>96</v>
      </c>
      <c r="J239" s="161" t="s">
        <v>97</v>
      </c>
      <c r="K239" s="163">
        <v>45931</v>
      </c>
      <c r="L239" s="163">
        <v>46295</v>
      </c>
      <c r="M239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261</v>
      </c>
      <c r="N239" s="163"/>
      <c r="O239" s="170" t="s">
        <v>26</v>
      </c>
      <c r="P239" s="161" t="s">
        <v>26</v>
      </c>
      <c r="Q239" s="161" t="s">
        <v>95</v>
      </c>
      <c r="R239" s="161" t="s">
        <v>616</v>
      </c>
      <c r="S239" s="168" t="s">
        <v>516</v>
      </c>
    </row>
    <row r="240" spans="1:19" outlineLevel="1">
      <c r="A240" s="171" t="s">
        <v>640</v>
      </c>
      <c r="B240" s="168" t="s">
        <v>94</v>
      </c>
      <c r="C240" s="168" t="s">
        <v>519</v>
      </c>
      <c r="D240" s="161" t="s">
        <v>28</v>
      </c>
      <c r="E240" s="161" t="s">
        <v>58</v>
      </c>
      <c r="F240" s="161" t="s">
        <v>20</v>
      </c>
      <c r="G240" s="162">
        <v>0</v>
      </c>
      <c r="H240" s="162" t="s">
        <v>569</v>
      </c>
      <c r="I240" s="161" t="s">
        <v>96</v>
      </c>
      <c r="J240" s="161" t="s">
        <v>97</v>
      </c>
      <c r="K240" s="163"/>
      <c r="L240" s="164"/>
      <c r="M240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240" s="163"/>
      <c r="O240" s="170"/>
      <c r="P240" s="142"/>
      <c r="Q240" s="161" t="s">
        <v>95</v>
      </c>
      <c r="R240" s="161"/>
      <c r="S240" s="168" t="s">
        <v>516</v>
      </c>
    </row>
    <row r="241" spans="1:19" outlineLevel="1">
      <c r="A241" s="171" t="s">
        <v>640</v>
      </c>
      <c r="B241" s="168" t="s">
        <v>94</v>
      </c>
      <c r="C241" s="168" t="s">
        <v>519</v>
      </c>
      <c r="D241" s="161" t="s">
        <v>29</v>
      </c>
      <c r="E241" s="161" t="s">
        <v>58</v>
      </c>
      <c r="F241" s="161" t="s">
        <v>20</v>
      </c>
      <c r="G241" s="162">
        <v>0</v>
      </c>
      <c r="H241" s="162" t="s">
        <v>569</v>
      </c>
      <c r="I241" s="161" t="s">
        <v>96</v>
      </c>
      <c r="J241" s="161" t="s">
        <v>97</v>
      </c>
      <c r="K241" s="163"/>
      <c r="L241" s="163"/>
      <c r="M241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241" s="163"/>
      <c r="O241" s="170"/>
      <c r="P241" s="142"/>
      <c r="Q241" s="142" t="s">
        <v>95</v>
      </c>
      <c r="R241" s="161"/>
      <c r="S241" s="168" t="s">
        <v>516</v>
      </c>
    </row>
    <row r="242" spans="1:19" outlineLevel="1">
      <c r="A242" s="171" t="s">
        <v>640</v>
      </c>
      <c r="B242" s="168" t="s">
        <v>94</v>
      </c>
      <c r="C242" s="168" t="s">
        <v>519</v>
      </c>
      <c r="D242" s="161" t="s">
        <v>30</v>
      </c>
      <c r="E242" s="161" t="s">
        <v>58</v>
      </c>
      <c r="F242" s="161" t="s">
        <v>20</v>
      </c>
      <c r="G242" s="162">
        <v>0</v>
      </c>
      <c r="H242" s="162" t="s">
        <v>569</v>
      </c>
      <c r="I242" s="161" t="s">
        <v>96</v>
      </c>
      <c r="J242" s="161" t="s">
        <v>97</v>
      </c>
      <c r="K242" s="163"/>
      <c r="L242" s="163"/>
      <c r="M242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242" s="163"/>
      <c r="O242" s="170"/>
      <c r="P242" s="142"/>
      <c r="Q242" s="142" t="s">
        <v>95</v>
      </c>
      <c r="R242" s="161"/>
      <c r="S242" s="168" t="s">
        <v>516</v>
      </c>
    </row>
    <row r="243" spans="1:19">
      <c r="A243" s="126" t="s">
        <v>642</v>
      </c>
      <c r="B243" s="46" t="s">
        <v>94</v>
      </c>
      <c r="C243" s="165" t="s">
        <v>316</v>
      </c>
      <c r="D243" s="158" t="s">
        <v>18</v>
      </c>
      <c r="E243" s="158" t="s">
        <v>58</v>
      </c>
      <c r="F243" s="158" t="s">
        <v>20</v>
      </c>
      <c r="G243" s="156">
        <v>0.25</v>
      </c>
      <c r="H243" s="156" t="s">
        <v>469</v>
      </c>
      <c r="I243" s="159" t="s">
        <v>96</v>
      </c>
      <c r="J243" s="159" t="s">
        <v>97</v>
      </c>
      <c r="K243" s="166">
        <v>45931</v>
      </c>
      <c r="L243" s="160">
        <v>46295</v>
      </c>
      <c r="M243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261</v>
      </c>
      <c r="N243" s="160"/>
      <c r="O243" s="167"/>
      <c r="P243" s="143"/>
      <c r="Q243" s="158" t="s">
        <v>95</v>
      </c>
      <c r="R243" s="158"/>
      <c r="S243" s="165" t="s">
        <v>515</v>
      </c>
    </row>
    <row r="244" spans="1:19" outlineLevel="1">
      <c r="A244" s="171" t="s">
        <v>640</v>
      </c>
      <c r="B244" s="168" t="s">
        <v>94</v>
      </c>
      <c r="C244" s="168" t="s">
        <v>520</v>
      </c>
      <c r="D244" s="161" t="s">
        <v>22</v>
      </c>
      <c r="E244" s="161" t="s">
        <v>58</v>
      </c>
      <c r="F244" s="161" t="s">
        <v>20</v>
      </c>
      <c r="G244" s="162">
        <v>0.25</v>
      </c>
      <c r="H244" s="162" t="s">
        <v>469</v>
      </c>
      <c r="I244" s="161" t="s">
        <v>96</v>
      </c>
      <c r="J244" s="161" t="s">
        <v>97</v>
      </c>
      <c r="K244" s="163">
        <v>45931</v>
      </c>
      <c r="L244" s="163">
        <v>46295</v>
      </c>
      <c r="M244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261</v>
      </c>
      <c r="N244" s="163"/>
      <c r="O244" s="170" t="s">
        <v>26</v>
      </c>
      <c r="P244" s="161" t="s">
        <v>26</v>
      </c>
      <c r="Q244" s="161" t="s">
        <v>95</v>
      </c>
      <c r="R244" s="161" t="s">
        <v>616</v>
      </c>
      <c r="S244" s="168" t="s">
        <v>516</v>
      </c>
    </row>
    <row r="245" spans="1:19" outlineLevel="1">
      <c r="A245" s="171" t="s">
        <v>640</v>
      </c>
      <c r="B245" s="168" t="s">
        <v>94</v>
      </c>
      <c r="C245" s="168" t="s">
        <v>520</v>
      </c>
      <c r="D245" s="161" t="s">
        <v>28</v>
      </c>
      <c r="E245" s="161" t="s">
        <v>58</v>
      </c>
      <c r="F245" s="161" t="s">
        <v>20</v>
      </c>
      <c r="G245" s="162">
        <v>0</v>
      </c>
      <c r="H245" s="162" t="s">
        <v>469</v>
      </c>
      <c r="I245" s="161" t="s">
        <v>96</v>
      </c>
      <c r="J245" s="161" t="s">
        <v>97</v>
      </c>
      <c r="K245" s="163"/>
      <c r="L245" s="164"/>
      <c r="M245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245" s="163"/>
      <c r="O245" s="170"/>
      <c r="P245" s="142"/>
      <c r="Q245" s="161" t="s">
        <v>95</v>
      </c>
      <c r="R245" s="161"/>
      <c r="S245" s="168" t="s">
        <v>516</v>
      </c>
    </row>
    <row r="246" spans="1:19" outlineLevel="1">
      <c r="A246" s="171" t="s">
        <v>640</v>
      </c>
      <c r="B246" s="168" t="s">
        <v>94</v>
      </c>
      <c r="C246" s="168" t="s">
        <v>520</v>
      </c>
      <c r="D246" s="161" t="s">
        <v>29</v>
      </c>
      <c r="E246" s="161" t="s">
        <v>58</v>
      </c>
      <c r="F246" s="161" t="s">
        <v>20</v>
      </c>
      <c r="G246" s="162">
        <v>0</v>
      </c>
      <c r="H246" s="162" t="s">
        <v>469</v>
      </c>
      <c r="I246" s="161" t="s">
        <v>96</v>
      </c>
      <c r="J246" s="161" t="s">
        <v>97</v>
      </c>
      <c r="K246" s="163"/>
      <c r="L246" s="163"/>
      <c r="M246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246" s="163"/>
      <c r="O246" s="170"/>
      <c r="P246" s="142"/>
      <c r="Q246" s="142" t="s">
        <v>95</v>
      </c>
      <c r="R246" s="161"/>
      <c r="S246" s="168" t="s">
        <v>516</v>
      </c>
    </row>
    <row r="247" spans="1:19" outlineLevel="1">
      <c r="A247" s="171" t="s">
        <v>640</v>
      </c>
      <c r="B247" s="168" t="s">
        <v>94</v>
      </c>
      <c r="C247" s="168" t="s">
        <v>520</v>
      </c>
      <c r="D247" s="161" t="s">
        <v>30</v>
      </c>
      <c r="E247" s="161" t="s">
        <v>58</v>
      </c>
      <c r="F247" s="161" t="s">
        <v>20</v>
      </c>
      <c r="G247" s="162">
        <v>0</v>
      </c>
      <c r="H247" s="162" t="s">
        <v>469</v>
      </c>
      <c r="I247" s="161" t="s">
        <v>96</v>
      </c>
      <c r="J247" s="161" t="s">
        <v>97</v>
      </c>
      <c r="K247" s="163"/>
      <c r="L247" s="163"/>
      <c r="M247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247" s="163"/>
      <c r="O247" s="170"/>
      <c r="P247" s="142"/>
      <c r="Q247" s="142" t="s">
        <v>95</v>
      </c>
      <c r="R247" s="161"/>
      <c r="S247" s="168" t="s">
        <v>516</v>
      </c>
    </row>
    <row r="248" spans="1:19">
      <c r="A248" s="126" t="s">
        <v>642</v>
      </c>
      <c r="B248" s="46" t="s">
        <v>94</v>
      </c>
      <c r="C248" s="165" t="s">
        <v>318</v>
      </c>
      <c r="D248" s="158" t="s">
        <v>18</v>
      </c>
      <c r="E248" s="158" t="s">
        <v>58</v>
      </c>
      <c r="F248" s="158" t="s">
        <v>20</v>
      </c>
      <c r="G248" s="156">
        <v>0.25</v>
      </c>
      <c r="H248" s="156" t="s">
        <v>469</v>
      </c>
      <c r="I248" s="159" t="s">
        <v>96</v>
      </c>
      <c r="J248" s="159" t="s">
        <v>97</v>
      </c>
      <c r="K248" s="166">
        <v>45931</v>
      </c>
      <c r="L248" s="160">
        <v>46295</v>
      </c>
      <c r="M248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261</v>
      </c>
      <c r="N248" s="160"/>
      <c r="O248" s="167"/>
      <c r="P248" s="143"/>
      <c r="Q248" s="158" t="s">
        <v>95</v>
      </c>
      <c r="R248" s="158"/>
      <c r="S248" s="165" t="s">
        <v>515</v>
      </c>
    </row>
    <row r="249" spans="1:19" outlineLevel="1">
      <c r="A249" s="171" t="s">
        <v>640</v>
      </c>
      <c r="B249" s="168" t="s">
        <v>94</v>
      </c>
      <c r="C249" s="168" t="s">
        <v>521</v>
      </c>
      <c r="D249" s="161" t="s">
        <v>22</v>
      </c>
      <c r="E249" s="161" t="s">
        <v>58</v>
      </c>
      <c r="F249" s="161" t="s">
        <v>20</v>
      </c>
      <c r="G249" s="162">
        <v>0.25</v>
      </c>
      <c r="H249" s="162" t="s">
        <v>469</v>
      </c>
      <c r="I249" s="161" t="s">
        <v>96</v>
      </c>
      <c r="J249" s="161" t="s">
        <v>97</v>
      </c>
      <c r="K249" s="163">
        <v>45931</v>
      </c>
      <c r="L249" s="163">
        <v>46295</v>
      </c>
      <c r="M249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261</v>
      </c>
      <c r="N249" s="163"/>
      <c r="O249" s="170" t="s">
        <v>26</v>
      </c>
      <c r="P249" s="161" t="s">
        <v>26</v>
      </c>
      <c r="Q249" s="161" t="s">
        <v>95</v>
      </c>
      <c r="R249" s="161" t="s">
        <v>616</v>
      </c>
      <c r="S249" s="168" t="s">
        <v>516</v>
      </c>
    </row>
    <row r="250" spans="1:19" outlineLevel="1">
      <c r="A250" s="171" t="s">
        <v>640</v>
      </c>
      <c r="B250" s="168" t="s">
        <v>94</v>
      </c>
      <c r="C250" s="168" t="s">
        <v>521</v>
      </c>
      <c r="D250" s="161" t="s">
        <v>28</v>
      </c>
      <c r="E250" s="161" t="s">
        <v>58</v>
      </c>
      <c r="F250" s="161" t="s">
        <v>20</v>
      </c>
      <c r="G250" s="162">
        <v>0</v>
      </c>
      <c r="H250" s="162" t="s">
        <v>469</v>
      </c>
      <c r="I250" s="161" t="s">
        <v>96</v>
      </c>
      <c r="J250" s="161" t="s">
        <v>97</v>
      </c>
      <c r="K250" s="163"/>
      <c r="L250" s="164"/>
      <c r="M250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250" s="163"/>
      <c r="O250" s="170"/>
      <c r="P250" s="142"/>
      <c r="Q250" s="161" t="s">
        <v>95</v>
      </c>
      <c r="R250" s="161"/>
      <c r="S250" s="168" t="s">
        <v>516</v>
      </c>
    </row>
    <row r="251" spans="1:19" outlineLevel="1">
      <c r="A251" s="171" t="s">
        <v>640</v>
      </c>
      <c r="B251" s="168" t="s">
        <v>94</v>
      </c>
      <c r="C251" s="168" t="s">
        <v>521</v>
      </c>
      <c r="D251" s="161" t="s">
        <v>29</v>
      </c>
      <c r="E251" s="161" t="s">
        <v>58</v>
      </c>
      <c r="F251" s="161" t="s">
        <v>20</v>
      </c>
      <c r="G251" s="162">
        <v>0</v>
      </c>
      <c r="H251" s="162" t="s">
        <v>469</v>
      </c>
      <c r="I251" s="161" t="s">
        <v>96</v>
      </c>
      <c r="J251" s="161" t="s">
        <v>97</v>
      </c>
      <c r="K251" s="163"/>
      <c r="L251" s="163"/>
      <c r="M251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251" s="163"/>
      <c r="O251" s="170"/>
      <c r="P251" s="142"/>
      <c r="Q251" s="142" t="s">
        <v>95</v>
      </c>
      <c r="R251" s="161"/>
      <c r="S251" s="168" t="s">
        <v>516</v>
      </c>
    </row>
    <row r="252" spans="1:19" outlineLevel="1">
      <c r="A252" s="171" t="s">
        <v>640</v>
      </c>
      <c r="B252" s="168" t="s">
        <v>94</v>
      </c>
      <c r="C252" s="168" t="s">
        <v>521</v>
      </c>
      <c r="D252" s="161" t="s">
        <v>30</v>
      </c>
      <c r="E252" s="161" t="s">
        <v>58</v>
      </c>
      <c r="F252" s="161" t="s">
        <v>20</v>
      </c>
      <c r="G252" s="162">
        <v>0</v>
      </c>
      <c r="H252" s="162" t="s">
        <v>469</v>
      </c>
      <c r="I252" s="161" t="s">
        <v>96</v>
      </c>
      <c r="J252" s="161" t="s">
        <v>97</v>
      </c>
      <c r="K252" s="163"/>
      <c r="L252" s="163"/>
      <c r="M252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252" s="163"/>
      <c r="O252" s="170"/>
      <c r="P252" s="142"/>
      <c r="Q252" s="142" t="s">
        <v>95</v>
      </c>
      <c r="R252" s="161"/>
      <c r="S252" s="168" t="s">
        <v>516</v>
      </c>
    </row>
    <row r="253" spans="1:19">
      <c r="A253" s="126" t="s">
        <v>642</v>
      </c>
      <c r="B253" s="46" t="s">
        <v>94</v>
      </c>
      <c r="C253" s="165" t="s">
        <v>522</v>
      </c>
      <c r="D253" s="158" t="s">
        <v>18</v>
      </c>
      <c r="E253" s="158" t="s">
        <v>58</v>
      </c>
      <c r="F253" s="158" t="s">
        <v>20</v>
      </c>
      <c r="G253" s="156">
        <v>0.25</v>
      </c>
      <c r="H253" s="156" t="s">
        <v>469</v>
      </c>
      <c r="I253" s="159" t="s">
        <v>96</v>
      </c>
      <c r="J253" s="159" t="s">
        <v>97</v>
      </c>
      <c r="K253" s="166">
        <v>45931</v>
      </c>
      <c r="L253" s="160">
        <v>46295</v>
      </c>
      <c r="M253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261</v>
      </c>
      <c r="N253" s="160"/>
      <c r="O253" s="167"/>
      <c r="P253" s="143"/>
      <c r="Q253" s="158" t="s">
        <v>95</v>
      </c>
      <c r="R253" s="158"/>
      <c r="S253" s="165" t="s">
        <v>515</v>
      </c>
    </row>
    <row r="254" spans="1:19" outlineLevel="1">
      <c r="A254" s="171" t="s">
        <v>640</v>
      </c>
      <c r="B254" s="168" t="s">
        <v>94</v>
      </c>
      <c r="C254" s="168" t="s">
        <v>523</v>
      </c>
      <c r="D254" s="161" t="s">
        <v>22</v>
      </c>
      <c r="E254" s="161" t="s">
        <v>58</v>
      </c>
      <c r="F254" s="161" t="s">
        <v>20</v>
      </c>
      <c r="G254" s="162">
        <v>0.25</v>
      </c>
      <c r="H254" s="162" t="s">
        <v>469</v>
      </c>
      <c r="I254" s="161" t="s">
        <v>96</v>
      </c>
      <c r="J254" s="161" t="s">
        <v>97</v>
      </c>
      <c r="K254" s="163">
        <v>45931</v>
      </c>
      <c r="L254" s="163">
        <v>46295</v>
      </c>
      <c r="M254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261</v>
      </c>
      <c r="N254" s="163"/>
      <c r="O254" s="170" t="s">
        <v>26</v>
      </c>
      <c r="P254" s="161" t="s">
        <v>26</v>
      </c>
      <c r="Q254" s="161" t="s">
        <v>95</v>
      </c>
      <c r="R254" s="161" t="s">
        <v>616</v>
      </c>
      <c r="S254" s="168" t="s">
        <v>516</v>
      </c>
    </row>
    <row r="255" spans="1:19" outlineLevel="1">
      <c r="A255" s="171" t="s">
        <v>640</v>
      </c>
      <c r="B255" s="168" t="s">
        <v>94</v>
      </c>
      <c r="C255" s="168" t="s">
        <v>523</v>
      </c>
      <c r="D255" s="161" t="s">
        <v>28</v>
      </c>
      <c r="E255" s="161" t="s">
        <v>58</v>
      </c>
      <c r="F255" s="161" t="s">
        <v>20</v>
      </c>
      <c r="G255" s="162">
        <v>0</v>
      </c>
      <c r="H255" s="162" t="s">
        <v>469</v>
      </c>
      <c r="I255" s="161" t="s">
        <v>96</v>
      </c>
      <c r="J255" s="161" t="s">
        <v>97</v>
      </c>
      <c r="K255" s="163"/>
      <c r="L255" s="164"/>
      <c r="M255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255" s="163"/>
      <c r="O255" s="170"/>
      <c r="P255" s="142"/>
      <c r="Q255" s="161" t="s">
        <v>95</v>
      </c>
      <c r="R255" s="161"/>
      <c r="S255" s="168" t="s">
        <v>516</v>
      </c>
    </row>
    <row r="256" spans="1:19" outlineLevel="1">
      <c r="A256" s="171" t="s">
        <v>640</v>
      </c>
      <c r="B256" s="168" t="s">
        <v>94</v>
      </c>
      <c r="C256" s="168" t="s">
        <v>523</v>
      </c>
      <c r="D256" s="161" t="s">
        <v>29</v>
      </c>
      <c r="E256" s="161" t="s">
        <v>58</v>
      </c>
      <c r="F256" s="161" t="s">
        <v>20</v>
      </c>
      <c r="G256" s="162">
        <v>0</v>
      </c>
      <c r="H256" s="162" t="s">
        <v>469</v>
      </c>
      <c r="I256" s="161" t="s">
        <v>96</v>
      </c>
      <c r="J256" s="161" t="s">
        <v>97</v>
      </c>
      <c r="K256" s="163"/>
      <c r="L256" s="163"/>
      <c r="M256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256" s="163"/>
      <c r="O256" s="170"/>
      <c r="P256" s="142"/>
      <c r="Q256" s="142" t="s">
        <v>95</v>
      </c>
      <c r="R256" s="161"/>
      <c r="S256" s="168" t="s">
        <v>516</v>
      </c>
    </row>
    <row r="257" spans="1:19" outlineLevel="1">
      <c r="A257" s="171" t="s">
        <v>640</v>
      </c>
      <c r="B257" s="168" t="s">
        <v>94</v>
      </c>
      <c r="C257" s="168" t="s">
        <v>523</v>
      </c>
      <c r="D257" s="161" t="s">
        <v>30</v>
      </c>
      <c r="E257" s="161" t="s">
        <v>58</v>
      </c>
      <c r="F257" s="161" t="s">
        <v>20</v>
      </c>
      <c r="G257" s="162">
        <v>0</v>
      </c>
      <c r="H257" s="162" t="s">
        <v>469</v>
      </c>
      <c r="I257" s="161" t="s">
        <v>96</v>
      </c>
      <c r="J257" s="161" t="s">
        <v>97</v>
      </c>
      <c r="K257" s="163"/>
      <c r="L257" s="163"/>
      <c r="M257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257" s="163"/>
      <c r="O257" s="170"/>
      <c r="P257" s="142"/>
      <c r="Q257" s="142" t="s">
        <v>95</v>
      </c>
      <c r="R257" s="161"/>
      <c r="S257" s="168" t="s">
        <v>516</v>
      </c>
    </row>
    <row r="258" spans="1:19">
      <c r="A258" s="126" t="s">
        <v>642</v>
      </c>
      <c r="B258" s="119"/>
      <c r="C258" s="172" t="s">
        <v>648</v>
      </c>
      <c r="D258" s="141"/>
      <c r="E258" s="172" t="s">
        <v>19</v>
      </c>
      <c r="F258" s="172" t="s">
        <v>105</v>
      </c>
      <c r="G258" s="173">
        <v>0.28000000000000003</v>
      </c>
      <c r="H258" s="141"/>
      <c r="I258" s="141"/>
      <c r="J258" s="141"/>
      <c r="K258" s="174">
        <v>45748</v>
      </c>
      <c r="L258" s="174">
        <v>46290</v>
      </c>
      <c r="M258" s="172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258" s="174"/>
      <c r="O258" s="141"/>
      <c r="P258" s="141"/>
      <c r="Q258" s="172" t="s">
        <v>648</v>
      </c>
      <c r="R258" s="45"/>
      <c r="S258" s="176"/>
    </row>
    <row r="259" spans="1:19">
      <c r="A259" s="126" t="s">
        <v>642</v>
      </c>
      <c r="B259" s="53" t="s">
        <v>16</v>
      </c>
      <c r="C259" s="165" t="s">
        <v>321</v>
      </c>
      <c r="D259" s="158" t="s">
        <v>18</v>
      </c>
      <c r="E259" s="158" t="s">
        <v>19</v>
      </c>
      <c r="F259" s="158" t="s">
        <v>105</v>
      </c>
      <c r="G259" s="156">
        <v>1</v>
      </c>
      <c r="H259" s="156" t="s">
        <v>23</v>
      </c>
      <c r="I259" s="159" t="s">
        <v>106</v>
      </c>
      <c r="J259" s="159" t="s">
        <v>25</v>
      </c>
      <c r="K259" s="166">
        <v>45870</v>
      </c>
      <c r="L259" s="160">
        <v>46142</v>
      </c>
      <c r="M259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195</v>
      </c>
      <c r="N259" s="160"/>
      <c r="O259" s="167"/>
      <c r="P259" s="143"/>
      <c r="Q259" s="158" t="s">
        <v>104</v>
      </c>
      <c r="R259" s="158"/>
      <c r="S259" s="177"/>
    </row>
    <row r="260" spans="1:19" outlineLevel="1">
      <c r="A260" s="171" t="s">
        <v>640</v>
      </c>
      <c r="B260" s="168" t="s">
        <v>16</v>
      </c>
      <c r="C260" s="168" t="s">
        <v>322</v>
      </c>
      <c r="D260" s="161" t="s">
        <v>22</v>
      </c>
      <c r="E260" s="161" t="s">
        <v>19</v>
      </c>
      <c r="F260" s="161" t="s">
        <v>105</v>
      </c>
      <c r="G260" s="162">
        <v>1</v>
      </c>
      <c r="H260" s="162" t="s">
        <v>23</v>
      </c>
      <c r="I260" s="161" t="s">
        <v>106</v>
      </c>
      <c r="J260" s="161" t="s">
        <v>25</v>
      </c>
      <c r="K260" s="163">
        <v>45946</v>
      </c>
      <c r="L260" s="163">
        <v>45961</v>
      </c>
      <c r="M260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12</v>
      </c>
      <c r="N260" s="163">
        <v>46001</v>
      </c>
      <c r="O260" s="170" t="s">
        <v>108</v>
      </c>
      <c r="P260" s="161" t="s">
        <v>108</v>
      </c>
      <c r="Q260" s="161" t="s">
        <v>104</v>
      </c>
      <c r="R260" s="161"/>
      <c r="S260" s="178"/>
    </row>
    <row r="261" spans="1:19" outlineLevel="1">
      <c r="A261" s="171" t="s">
        <v>640</v>
      </c>
      <c r="B261" s="168" t="s">
        <v>16</v>
      </c>
      <c r="C261" s="168" t="s">
        <v>322</v>
      </c>
      <c r="D261" s="161" t="s">
        <v>28</v>
      </c>
      <c r="E261" s="161" t="s">
        <v>19</v>
      </c>
      <c r="F261" s="161" t="s">
        <v>105</v>
      </c>
      <c r="G261" s="162">
        <v>1</v>
      </c>
      <c r="H261" s="162" t="s">
        <v>23</v>
      </c>
      <c r="I261" s="161" t="s">
        <v>106</v>
      </c>
      <c r="J261" s="161" t="s">
        <v>25</v>
      </c>
      <c r="K261" s="163">
        <v>45962</v>
      </c>
      <c r="L261" s="164">
        <v>46081</v>
      </c>
      <c r="M261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85</v>
      </c>
      <c r="N261" s="163"/>
      <c r="O261" s="170" t="s">
        <v>43</v>
      </c>
      <c r="P261" s="142" t="s">
        <v>132</v>
      </c>
      <c r="Q261" s="161" t="s">
        <v>104</v>
      </c>
      <c r="R261" s="161"/>
      <c r="S261" s="178"/>
    </row>
    <row r="262" spans="1:19" outlineLevel="1">
      <c r="A262" s="171" t="s">
        <v>640</v>
      </c>
      <c r="B262" s="168" t="s">
        <v>16</v>
      </c>
      <c r="C262" s="168" t="s">
        <v>322</v>
      </c>
      <c r="D262" s="161" t="s">
        <v>29</v>
      </c>
      <c r="E262" s="161" t="s">
        <v>19</v>
      </c>
      <c r="F262" s="161" t="s">
        <v>105</v>
      </c>
      <c r="G262" s="162">
        <v>0</v>
      </c>
      <c r="H262" s="162" t="s">
        <v>23</v>
      </c>
      <c r="I262" s="161" t="s">
        <v>106</v>
      </c>
      <c r="J262" s="161" t="s">
        <v>25</v>
      </c>
      <c r="K262" s="163">
        <v>45964</v>
      </c>
      <c r="L262" s="163">
        <v>46112</v>
      </c>
      <c r="M262" s="161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107</v>
      </c>
      <c r="N262" s="163"/>
      <c r="O262" s="170" t="s">
        <v>43</v>
      </c>
      <c r="P262" s="142" t="s">
        <v>223</v>
      </c>
      <c r="Q262" s="142" t="s">
        <v>104</v>
      </c>
      <c r="R262" s="161"/>
      <c r="S262" s="178"/>
    </row>
    <row r="263" spans="1:19" outlineLevel="1">
      <c r="A263" s="171" t="s">
        <v>640</v>
      </c>
      <c r="B263" s="168" t="s">
        <v>16</v>
      </c>
      <c r="C263" s="168" t="s">
        <v>322</v>
      </c>
      <c r="D263" s="161" t="s">
        <v>30</v>
      </c>
      <c r="E263" s="161" t="s">
        <v>19</v>
      </c>
      <c r="F263" s="161" t="s">
        <v>105</v>
      </c>
      <c r="G263" s="162">
        <v>0</v>
      </c>
      <c r="H263" s="162" t="s">
        <v>23</v>
      </c>
      <c r="I263" s="161" t="s">
        <v>106</v>
      </c>
      <c r="J263" s="161" t="s">
        <v>25</v>
      </c>
      <c r="K263" s="163"/>
      <c r="L263" s="163"/>
      <c r="M263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263" s="163"/>
      <c r="O263" s="170"/>
      <c r="P263" s="142"/>
      <c r="Q263" s="142" t="s">
        <v>104</v>
      </c>
      <c r="R263" s="161"/>
      <c r="S263" s="178"/>
    </row>
    <row r="264" spans="1:19">
      <c r="A264" s="126" t="s">
        <v>640</v>
      </c>
      <c r="B264" s="46" t="s">
        <v>16</v>
      </c>
      <c r="C264" s="165" t="s">
        <v>323</v>
      </c>
      <c r="D264" s="158" t="s">
        <v>18</v>
      </c>
      <c r="E264" s="158" t="s">
        <v>33</v>
      </c>
      <c r="F264" s="158" t="s">
        <v>105</v>
      </c>
      <c r="G264" s="156">
        <v>1</v>
      </c>
      <c r="H264" s="156" t="s">
        <v>23</v>
      </c>
      <c r="I264" s="159" t="s">
        <v>106</v>
      </c>
      <c r="J264" s="159" t="s">
        <v>25</v>
      </c>
      <c r="K264" s="166">
        <v>45870</v>
      </c>
      <c r="L264" s="160">
        <v>45874</v>
      </c>
      <c r="M264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3</v>
      </c>
      <c r="N264" s="160">
        <v>45888</v>
      </c>
      <c r="O264" s="167"/>
      <c r="P264" s="143"/>
      <c r="Q264" s="158" t="s">
        <v>104</v>
      </c>
      <c r="R264" s="158"/>
      <c r="S264" s="165" t="s">
        <v>321</v>
      </c>
    </row>
    <row r="265" spans="1:19" outlineLevel="1">
      <c r="A265" s="171" t="s">
        <v>640</v>
      </c>
      <c r="B265" s="168" t="s">
        <v>16</v>
      </c>
      <c r="C265" s="168" t="s">
        <v>324</v>
      </c>
      <c r="D265" s="161" t="s">
        <v>22</v>
      </c>
      <c r="E265" s="161" t="s">
        <v>33</v>
      </c>
      <c r="F265" s="161" t="s">
        <v>105</v>
      </c>
      <c r="G265" s="162">
        <v>1</v>
      </c>
      <c r="H265" s="162" t="s">
        <v>23</v>
      </c>
      <c r="I265" s="161" t="s">
        <v>106</v>
      </c>
      <c r="J265" s="161" t="s">
        <v>25</v>
      </c>
      <c r="K265" s="163">
        <v>45870</v>
      </c>
      <c r="L265" s="163">
        <v>45870</v>
      </c>
      <c r="M265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</v>
      </c>
      <c r="N265" s="163"/>
      <c r="O265" s="170" t="s">
        <v>108</v>
      </c>
      <c r="P265" s="161" t="s">
        <v>108</v>
      </c>
      <c r="Q265" s="161" t="s">
        <v>104</v>
      </c>
      <c r="R265" s="161"/>
      <c r="S265" s="168" t="s">
        <v>322</v>
      </c>
    </row>
    <row r="266" spans="1:19" outlineLevel="1">
      <c r="A266" s="171" t="s">
        <v>640</v>
      </c>
      <c r="B266" s="168" t="s">
        <v>16</v>
      </c>
      <c r="C266" s="168" t="s">
        <v>324</v>
      </c>
      <c r="D266" s="161" t="s">
        <v>28</v>
      </c>
      <c r="E266" s="161" t="s">
        <v>33</v>
      </c>
      <c r="F266" s="161" t="s">
        <v>105</v>
      </c>
      <c r="G266" s="162">
        <v>1</v>
      </c>
      <c r="H266" s="162" t="s">
        <v>23</v>
      </c>
      <c r="I266" s="161" t="s">
        <v>106</v>
      </c>
      <c r="J266" s="161" t="s">
        <v>25</v>
      </c>
      <c r="K266" s="163">
        <v>45962</v>
      </c>
      <c r="L266" s="164">
        <v>46081</v>
      </c>
      <c r="M266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85</v>
      </c>
      <c r="N266" s="163"/>
      <c r="O266" s="170" t="s">
        <v>43</v>
      </c>
      <c r="P266" s="142" t="s">
        <v>132</v>
      </c>
      <c r="Q266" s="161" t="s">
        <v>104</v>
      </c>
      <c r="R266" s="161"/>
      <c r="S266" s="168" t="s">
        <v>322</v>
      </c>
    </row>
    <row r="267" spans="1:19" outlineLevel="1">
      <c r="A267" s="171" t="s">
        <v>640</v>
      </c>
      <c r="B267" s="168" t="s">
        <v>16</v>
      </c>
      <c r="C267" s="168" t="s">
        <v>324</v>
      </c>
      <c r="D267" s="161" t="s">
        <v>29</v>
      </c>
      <c r="E267" s="161" t="s">
        <v>33</v>
      </c>
      <c r="F267" s="161" t="s">
        <v>105</v>
      </c>
      <c r="G267" s="162">
        <v>0</v>
      </c>
      <c r="H267" s="162" t="s">
        <v>23</v>
      </c>
      <c r="I267" s="161" t="s">
        <v>106</v>
      </c>
      <c r="J267" s="161" t="s">
        <v>25</v>
      </c>
      <c r="K267" s="163">
        <v>45964</v>
      </c>
      <c r="L267" s="163">
        <v>46112</v>
      </c>
      <c r="M267" s="161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107</v>
      </c>
      <c r="N267" s="163"/>
      <c r="O267" s="170" t="s">
        <v>43</v>
      </c>
      <c r="P267" s="142" t="s">
        <v>223</v>
      </c>
      <c r="Q267" s="142" t="s">
        <v>104</v>
      </c>
      <c r="R267" s="161"/>
      <c r="S267" s="168" t="s">
        <v>322</v>
      </c>
    </row>
    <row r="268" spans="1:19" outlineLevel="1">
      <c r="A268" s="171" t="s">
        <v>640</v>
      </c>
      <c r="B268" s="168" t="s">
        <v>16</v>
      </c>
      <c r="C268" s="168" t="s">
        <v>324</v>
      </c>
      <c r="D268" s="161" t="s">
        <v>30</v>
      </c>
      <c r="E268" s="161" t="s">
        <v>33</v>
      </c>
      <c r="F268" s="161" t="s">
        <v>105</v>
      </c>
      <c r="G268" s="162">
        <v>0</v>
      </c>
      <c r="H268" s="162" t="s">
        <v>23</v>
      </c>
      <c r="I268" s="161" t="s">
        <v>106</v>
      </c>
      <c r="J268" s="161" t="s">
        <v>25</v>
      </c>
      <c r="K268" s="163"/>
      <c r="L268" s="163"/>
      <c r="M268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268" s="163"/>
      <c r="O268" s="170"/>
      <c r="P268" s="142"/>
      <c r="Q268" s="142" t="s">
        <v>104</v>
      </c>
      <c r="R268" s="161"/>
      <c r="S268" s="168" t="s">
        <v>322</v>
      </c>
    </row>
    <row r="269" spans="1:19">
      <c r="A269" s="126" t="s">
        <v>642</v>
      </c>
      <c r="B269" s="53" t="s">
        <v>16</v>
      </c>
      <c r="C269" s="165" t="s">
        <v>325</v>
      </c>
      <c r="D269" s="158" t="s">
        <v>18</v>
      </c>
      <c r="E269" s="158" t="s">
        <v>33</v>
      </c>
      <c r="F269" s="158" t="s">
        <v>105</v>
      </c>
      <c r="G269" s="156">
        <v>1</v>
      </c>
      <c r="H269" s="156" t="s">
        <v>23</v>
      </c>
      <c r="I269" s="159" t="s">
        <v>106</v>
      </c>
      <c r="J269" s="159" t="s">
        <v>25</v>
      </c>
      <c r="K269" s="166">
        <v>45870</v>
      </c>
      <c r="L269" s="160">
        <v>46142</v>
      </c>
      <c r="M269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195</v>
      </c>
      <c r="N269" s="160">
        <v>46001</v>
      </c>
      <c r="O269" s="167"/>
      <c r="P269" s="143"/>
      <c r="Q269" s="158" t="s">
        <v>104</v>
      </c>
      <c r="R269" s="158"/>
      <c r="S269" s="165" t="s">
        <v>321</v>
      </c>
    </row>
    <row r="270" spans="1:19" outlineLevel="1">
      <c r="A270" s="171" t="s">
        <v>640</v>
      </c>
      <c r="B270" s="168" t="s">
        <v>16</v>
      </c>
      <c r="C270" s="168" t="s">
        <v>326</v>
      </c>
      <c r="D270" s="161" t="s">
        <v>22</v>
      </c>
      <c r="E270" s="161" t="s">
        <v>33</v>
      </c>
      <c r="F270" s="161" t="s">
        <v>105</v>
      </c>
      <c r="G270" s="162">
        <v>1</v>
      </c>
      <c r="H270" s="162" t="s">
        <v>23</v>
      </c>
      <c r="I270" s="161" t="s">
        <v>106</v>
      </c>
      <c r="J270" s="161" t="s">
        <v>25</v>
      </c>
      <c r="K270" s="163">
        <v>45870</v>
      </c>
      <c r="L270" s="163">
        <v>45870</v>
      </c>
      <c r="M270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</v>
      </c>
      <c r="N270" s="163"/>
      <c r="O270" s="170" t="s">
        <v>108</v>
      </c>
      <c r="P270" s="161" t="s">
        <v>108</v>
      </c>
      <c r="Q270" s="161" t="s">
        <v>104</v>
      </c>
      <c r="R270" s="161"/>
      <c r="S270" s="168" t="s">
        <v>322</v>
      </c>
    </row>
    <row r="271" spans="1:19" outlineLevel="1">
      <c r="A271" s="171" t="s">
        <v>640</v>
      </c>
      <c r="B271" s="168" t="s">
        <v>16</v>
      </c>
      <c r="C271" s="168" t="s">
        <v>326</v>
      </c>
      <c r="D271" s="161" t="s">
        <v>28</v>
      </c>
      <c r="E271" s="161" t="s">
        <v>33</v>
      </c>
      <c r="F271" s="161" t="s">
        <v>105</v>
      </c>
      <c r="G271" s="162">
        <v>1</v>
      </c>
      <c r="H271" s="162" t="s">
        <v>23</v>
      </c>
      <c r="I271" s="161" t="s">
        <v>106</v>
      </c>
      <c r="J271" s="161" t="s">
        <v>25</v>
      </c>
      <c r="K271" s="163">
        <v>45962</v>
      </c>
      <c r="L271" s="164">
        <v>46081</v>
      </c>
      <c r="M271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85</v>
      </c>
      <c r="N271" s="163"/>
      <c r="O271" s="170" t="s">
        <v>43</v>
      </c>
      <c r="P271" s="142" t="s">
        <v>132</v>
      </c>
      <c r="Q271" s="161" t="s">
        <v>104</v>
      </c>
      <c r="R271" s="161"/>
      <c r="S271" s="168" t="s">
        <v>322</v>
      </c>
    </row>
    <row r="272" spans="1:19" outlineLevel="1">
      <c r="A272" s="171" t="s">
        <v>640</v>
      </c>
      <c r="B272" s="168" t="s">
        <v>16</v>
      </c>
      <c r="C272" s="168" t="s">
        <v>326</v>
      </c>
      <c r="D272" s="161" t="s">
        <v>29</v>
      </c>
      <c r="E272" s="161" t="s">
        <v>33</v>
      </c>
      <c r="F272" s="161" t="s">
        <v>105</v>
      </c>
      <c r="G272" s="162">
        <v>0</v>
      </c>
      <c r="H272" s="162" t="s">
        <v>23</v>
      </c>
      <c r="I272" s="161" t="s">
        <v>106</v>
      </c>
      <c r="J272" s="161" t="s">
        <v>25</v>
      </c>
      <c r="K272" s="163">
        <v>45964</v>
      </c>
      <c r="L272" s="163">
        <v>46112</v>
      </c>
      <c r="M272" s="161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107</v>
      </c>
      <c r="N272" s="163"/>
      <c r="O272" s="170" t="s">
        <v>43</v>
      </c>
      <c r="P272" s="142" t="s">
        <v>223</v>
      </c>
      <c r="Q272" s="142" t="s">
        <v>104</v>
      </c>
      <c r="R272" s="161"/>
      <c r="S272" s="168" t="s">
        <v>322</v>
      </c>
    </row>
    <row r="273" spans="1:19" outlineLevel="1">
      <c r="A273" s="171" t="s">
        <v>640</v>
      </c>
      <c r="B273" s="168" t="s">
        <v>16</v>
      </c>
      <c r="C273" s="168" t="s">
        <v>326</v>
      </c>
      <c r="D273" s="161" t="s">
        <v>30</v>
      </c>
      <c r="E273" s="161" t="s">
        <v>33</v>
      </c>
      <c r="F273" s="161" t="s">
        <v>105</v>
      </c>
      <c r="G273" s="162">
        <v>0</v>
      </c>
      <c r="H273" s="162" t="s">
        <v>23</v>
      </c>
      <c r="I273" s="161" t="s">
        <v>106</v>
      </c>
      <c r="J273" s="161" t="s">
        <v>25</v>
      </c>
      <c r="K273" s="163"/>
      <c r="L273" s="163"/>
      <c r="M273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273" s="163"/>
      <c r="O273" s="170"/>
      <c r="P273" s="142"/>
      <c r="Q273" s="142" t="s">
        <v>104</v>
      </c>
      <c r="R273" s="161"/>
      <c r="S273" s="168" t="s">
        <v>322</v>
      </c>
    </row>
    <row r="274" spans="1:19">
      <c r="A274" s="126" t="s">
        <v>642</v>
      </c>
      <c r="B274" s="46" t="s">
        <v>16</v>
      </c>
      <c r="C274" s="165" t="s">
        <v>327</v>
      </c>
      <c r="D274" s="158" t="s">
        <v>18</v>
      </c>
      <c r="E274" s="158" t="s">
        <v>58</v>
      </c>
      <c r="F274" s="158" t="s">
        <v>105</v>
      </c>
      <c r="G274" s="156">
        <v>1</v>
      </c>
      <c r="H274" s="156" t="s">
        <v>23</v>
      </c>
      <c r="I274" s="159" t="s">
        <v>113</v>
      </c>
      <c r="J274" s="159" t="s">
        <v>25</v>
      </c>
      <c r="K274" s="166">
        <v>45870</v>
      </c>
      <c r="L274" s="160">
        <v>46142</v>
      </c>
      <c r="M274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195</v>
      </c>
      <c r="N274" s="160"/>
      <c r="O274" s="167"/>
      <c r="P274" s="143"/>
      <c r="Q274" s="158" t="s">
        <v>104</v>
      </c>
      <c r="R274" s="158"/>
      <c r="S274" s="165" t="s">
        <v>325</v>
      </c>
    </row>
    <row r="275" spans="1:19" outlineLevel="1">
      <c r="A275" s="171" t="s">
        <v>640</v>
      </c>
      <c r="B275" s="168" t="s">
        <v>16</v>
      </c>
      <c r="C275" s="168" t="s">
        <v>328</v>
      </c>
      <c r="D275" s="161" t="s">
        <v>22</v>
      </c>
      <c r="E275" s="161" t="s">
        <v>58</v>
      </c>
      <c r="F275" s="161" t="s">
        <v>105</v>
      </c>
      <c r="G275" s="162">
        <v>1</v>
      </c>
      <c r="H275" s="162" t="s">
        <v>23</v>
      </c>
      <c r="I275" s="161" t="s">
        <v>113</v>
      </c>
      <c r="J275" s="161" t="s">
        <v>25</v>
      </c>
      <c r="K275" s="163">
        <v>45870</v>
      </c>
      <c r="L275" s="163">
        <v>45945</v>
      </c>
      <c r="M275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54</v>
      </c>
      <c r="N275" s="163"/>
      <c r="O275" s="170" t="s">
        <v>108</v>
      </c>
      <c r="P275" s="161" t="s">
        <v>108</v>
      </c>
      <c r="Q275" s="161" t="s">
        <v>104</v>
      </c>
      <c r="R275" s="161"/>
      <c r="S275" s="168" t="s">
        <v>326</v>
      </c>
    </row>
    <row r="276" spans="1:19" outlineLevel="1">
      <c r="A276" s="171" t="s">
        <v>640</v>
      </c>
      <c r="B276" s="168" t="s">
        <v>16</v>
      </c>
      <c r="C276" s="168" t="s">
        <v>328</v>
      </c>
      <c r="D276" s="161" t="s">
        <v>28</v>
      </c>
      <c r="E276" s="161" t="s">
        <v>58</v>
      </c>
      <c r="F276" s="161" t="s">
        <v>105</v>
      </c>
      <c r="G276" s="162">
        <v>1</v>
      </c>
      <c r="H276" s="162" t="s">
        <v>23</v>
      </c>
      <c r="I276" s="161" t="s">
        <v>113</v>
      </c>
      <c r="J276" s="161" t="s">
        <v>25</v>
      </c>
      <c r="K276" s="163">
        <v>46327</v>
      </c>
      <c r="L276" s="164">
        <v>46081</v>
      </c>
      <c r="M276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0</v>
      </c>
      <c r="N276" s="163"/>
      <c r="O276" s="170"/>
      <c r="P276" s="142"/>
      <c r="Q276" s="161" t="s">
        <v>104</v>
      </c>
      <c r="R276" s="161"/>
      <c r="S276" s="168" t="s">
        <v>326</v>
      </c>
    </row>
    <row r="277" spans="1:19" outlineLevel="1">
      <c r="A277" s="171" t="s">
        <v>640</v>
      </c>
      <c r="B277" s="168" t="s">
        <v>16</v>
      </c>
      <c r="C277" s="168" t="s">
        <v>328</v>
      </c>
      <c r="D277" s="161" t="s">
        <v>29</v>
      </c>
      <c r="E277" s="161" t="s">
        <v>58</v>
      </c>
      <c r="F277" s="161" t="s">
        <v>105</v>
      </c>
      <c r="G277" s="162">
        <v>0</v>
      </c>
      <c r="H277" s="162" t="s">
        <v>23</v>
      </c>
      <c r="I277" s="161" t="s">
        <v>113</v>
      </c>
      <c r="J277" s="161" t="s">
        <v>25</v>
      </c>
      <c r="K277" s="163">
        <v>45946</v>
      </c>
      <c r="L277" s="163">
        <v>46142</v>
      </c>
      <c r="M277" s="161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141</v>
      </c>
      <c r="N277" s="163"/>
      <c r="O277" s="170" t="s">
        <v>43</v>
      </c>
      <c r="P277" s="142" t="s">
        <v>29</v>
      </c>
      <c r="Q277" s="142" t="s">
        <v>104</v>
      </c>
      <c r="R277" s="161"/>
      <c r="S277" s="168" t="s">
        <v>326</v>
      </c>
    </row>
    <row r="278" spans="1:19" outlineLevel="1">
      <c r="A278" s="171" t="s">
        <v>640</v>
      </c>
      <c r="B278" s="168" t="s">
        <v>16</v>
      </c>
      <c r="C278" s="168" t="s">
        <v>328</v>
      </c>
      <c r="D278" s="161" t="s">
        <v>30</v>
      </c>
      <c r="E278" s="161" t="s">
        <v>58</v>
      </c>
      <c r="F278" s="161" t="s">
        <v>105</v>
      </c>
      <c r="G278" s="162">
        <v>0</v>
      </c>
      <c r="H278" s="162" t="s">
        <v>23</v>
      </c>
      <c r="I278" s="161" t="s">
        <v>113</v>
      </c>
      <c r="J278" s="161" t="s">
        <v>25</v>
      </c>
      <c r="K278" s="163"/>
      <c r="L278" s="163"/>
      <c r="M278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278" s="163"/>
      <c r="O278" s="170"/>
      <c r="P278" s="142"/>
      <c r="Q278" s="142" t="s">
        <v>104</v>
      </c>
      <c r="R278" s="161"/>
      <c r="S278" s="168" t="s">
        <v>326</v>
      </c>
    </row>
    <row r="279" spans="1:19">
      <c r="A279" s="126" t="s">
        <v>640</v>
      </c>
      <c r="B279" s="46" t="s">
        <v>16</v>
      </c>
      <c r="C279" s="165" t="s">
        <v>329</v>
      </c>
      <c r="D279" s="158" t="s">
        <v>18</v>
      </c>
      <c r="E279" s="158" t="s">
        <v>33</v>
      </c>
      <c r="F279" s="158" t="s">
        <v>105</v>
      </c>
      <c r="G279" s="156">
        <v>1</v>
      </c>
      <c r="H279" s="156" t="s">
        <v>23</v>
      </c>
      <c r="I279" s="159" t="s">
        <v>106</v>
      </c>
      <c r="J279" s="159" t="s">
        <v>25</v>
      </c>
      <c r="K279" s="166">
        <v>45870</v>
      </c>
      <c r="L279" s="160">
        <v>45870</v>
      </c>
      <c r="M279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</v>
      </c>
      <c r="N279" s="160">
        <v>45888</v>
      </c>
      <c r="O279" s="167"/>
      <c r="P279" s="143"/>
      <c r="Q279" s="158" t="s">
        <v>104</v>
      </c>
      <c r="R279" s="158"/>
      <c r="S279" s="165" t="s">
        <v>321</v>
      </c>
    </row>
    <row r="280" spans="1:19" outlineLevel="1">
      <c r="A280" s="171" t="s">
        <v>640</v>
      </c>
      <c r="B280" s="168" t="s">
        <v>16</v>
      </c>
      <c r="C280" s="168" t="s">
        <v>330</v>
      </c>
      <c r="D280" s="161" t="s">
        <v>22</v>
      </c>
      <c r="E280" s="161" t="s">
        <v>33</v>
      </c>
      <c r="F280" s="161" t="s">
        <v>105</v>
      </c>
      <c r="G280" s="162">
        <v>1</v>
      </c>
      <c r="H280" s="162" t="s">
        <v>23</v>
      </c>
      <c r="I280" s="161" t="s">
        <v>106</v>
      </c>
      <c r="J280" s="161" t="s">
        <v>25</v>
      </c>
      <c r="K280" s="163">
        <v>45870</v>
      </c>
      <c r="L280" s="163">
        <v>45870</v>
      </c>
      <c r="M280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</v>
      </c>
      <c r="N280" s="163"/>
      <c r="O280" s="170" t="s">
        <v>108</v>
      </c>
      <c r="P280" s="161" t="s">
        <v>108</v>
      </c>
      <c r="Q280" s="161" t="s">
        <v>104</v>
      </c>
      <c r="R280" s="161"/>
      <c r="S280" s="168" t="s">
        <v>322</v>
      </c>
    </row>
    <row r="281" spans="1:19" outlineLevel="1">
      <c r="A281" s="171" t="s">
        <v>640</v>
      </c>
      <c r="B281" s="168" t="s">
        <v>16</v>
      </c>
      <c r="C281" s="168" t="s">
        <v>330</v>
      </c>
      <c r="D281" s="161" t="s">
        <v>28</v>
      </c>
      <c r="E281" s="161" t="s">
        <v>33</v>
      </c>
      <c r="F281" s="161" t="s">
        <v>105</v>
      </c>
      <c r="G281" s="162">
        <v>1</v>
      </c>
      <c r="H281" s="162" t="s">
        <v>23</v>
      </c>
      <c r="I281" s="161" t="s">
        <v>106</v>
      </c>
      <c r="J281" s="161" t="s">
        <v>25</v>
      </c>
      <c r="K281" s="163">
        <v>45962</v>
      </c>
      <c r="L281" s="164">
        <v>46081</v>
      </c>
      <c r="M281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85</v>
      </c>
      <c r="N281" s="163"/>
      <c r="O281" s="170" t="s">
        <v>43</v>
      </c>
      <c r="P281" s="142" t="s">
        <v>132</v>
      </c>
      <c r="Q281" s="161" t="s">
        <v>104</v>
      </c>
      <c r="R281" s="161"/>
      <c r="S281" s="168" t="s">
        <v>322</v>
      </c>
    </row>
    <row r="282" spans="1:19" outlineLevel="1">
      <c r="A282" s="171" t="s">
        <v>640</v>
      </c>
      <c r="B282" s="168" t="s">
        <v>16</v>
      </c>
      <c r="C282" s="168" t="s">
        <v>330</v>
      </c>
      <c r="D282" s="161" t="s">
        <v>29</v>
      </c>
      <c r="E282" s="161" t="s">
        <v>33</v>
      </c>
      <c r="F282" s="161" t="s">
        <v>105</v>
      </c>
      <c r="G282" s="162">
        <v>0</v>
      </c>
      <c r="H282" s="162" t="s">
        <v>23</v>
      </c>
      <c r="I282" s="161" t="s">
        <v>106</v>
      </c>
      <c r="J282" s="161" t="s">
        <v>25</v>
      </c>
      <c r="K282" s="163">
        <v>45964</v>
      </c>
      <c r="L282" s="163">
        <v>46112</v>
      </c>
      <c r="M282" s="161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107</v>
      </c>
      <c r="N282" s="163"/>
      <c r="O282" s="170" t="s">
        <v>43</v>
      </c>
      <c r="P282" s="142" t="s">
        <v>223</v>
      </c>
      <c r="Q282" s="142" t="s">
        <v>104</v>
      </c>
      <c r="R282" s="161"/>
      <c r="S282" s="168" t="s">
        <v>322</v>
      </c>
    </row>
    <row r="283" spans="1:19" outlineLevel="1">
      <c r="A283" s="171" t="s">
        <v>640</v>
      </c>
      <c r="B283" s="168" t="s">
        <v>16</v>
      </c>
      <c r="C283" s="168" t="s">
        <v>330</v>
      </c>
      <c r="D283" s="161" t="s">
        <v>30</v>
      </c>
      <c r="E283" s="161" t="s">
        <v>33</v>
      </c>
      <c r="F283" s="161" t="s">
        <v>105</v>
      </c>
      <c r="G283" s="162">
        <v>0</v>
      </c>
      <c r="H283" s="162" t="s">
        <v>23</v>
      </c>
      <c r="I283" s="161" t="s">
        <v>106</v>
      </c>
      <c r="J283" s="161" t="s">
        <v>25</v>
      </c>
      <c r="K283" s="163"/>
      <c r="L283" s="163"/>
      <c r="M283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283" s="163"/>
      <c r="O283" s="170"/>
      <c r="P283" s="142"/>
      <c r="Q283" s="142" t="s">
        <v>104</v>
      </c>
      <c r="R283" s="161"/>
      <c r="S283" s="168" t="s">
        <v>322</v>
      </c>
    </row>
    <row r="284" spans="1:19">
      <c r="A284" s="126" t="s">
        <v>642</v>
      </c>
      <c r="B284" s="46" t="s">
        <v>39</v>
      </c>
      <c r="C284" s="165" t="s">
        <v>331</v>
      </c>
      <c r="D284" s="158" t="s">
        <v>18</v>
      </c>
      <c r="E284" s="158" t="s">
        <v>19</v>
      </c>
      <c r="F284" s="158" t="s">
        <v>105</v>
      </c>
      <c r="G284" s="156">
        <v>0.41</v>
      </c>
      <c r="H284" s="156" t="s">
        <v>23</v>
      </c>
      <c r="I284" s="159" t="s">
        <v>526</v>
      </c>
      <c r="J284" s="159" t="s">
        <v>527</v>
      </c>
      <c r="K284" s="166"/>
      <c r="L284" s="160"/>
      <c r="M284" s="158"/>
      <c r="N284" s="160"/>
      <c r="O284" s="167"/>
      <c r="P284" s="143"/>
      <c r="Q284" s="158" t="s">
        <v>115</v>
      </c>
      <c r="R284" s="158"/>
      <c r="S284" s="177"/>
    </row>
    <row r="285" spans="1:19" outlineLevel="1">
      <c r="A285" s="171" t="s">
        <v>640</v>
      </c>
      <c r="B285" s="168" t="s">
        <v>39</v>
      </c>
      <c r="C285" s="168" t="s">
        <v>332</v>
      </c>
      <c r="D285" s="161" t="s">
        <v>22</v>
      </c>
      <c r="E285" s="161" t="s">
        <v>19</v>
      </c>
      <c r="F285" s="161" t="s">
        <v>105</v>
      </c>
      <c r="G285" s="162">
        <v>0</v>
      </c>
      <c r="H285" s="162" t="s">
        <v>23</v>
      </c>
      <c r="I285" s="161" t="s">
        <v>526</v>
      </c>
      <c r="J285" s="161" t="s">
        <v>527</v>
      </c>
      <c r="K285" s="163"/>
      <c r="L285" s="163"/>
      <c r="M285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285" s="163"/>
      <c r="O285" s="170"/>
      <c r="P285" s="161"/>
      <c r="Q285" s="161" t="s">
        <v>115</v>
      </c>
      <c r="R285" s="161"/>
      <c r="S285" s="178"/>
    </row>
    <row r="286" spans="1:19" outlineLevel="1">
      <c r="A286" s="171" t="s">
        <v>640</v>
      </c>
      <c r="B286" s="168" t="s">
        <v>39</v>
      </c>
      <c r="C286" s="168" t="s">
        <v>332</v>
      </c>
      <c r="D286" s="161" t="s">
        <v>28</v>
      </c>
      <c r="E286" s="161" t="s">
        <v>19</v>
      </c>
      <c r="F286" s="161" t="s">
        <v>105</v>
      </c>
      <c r="G286" s="162">
        <v>0</v>
      </c>
      <c r="H286" s="162" t="s">
        <v>23</v>
      </c>
      <c r="I286" s="161" t="s">
        <v>526</v>
      </c>
      <c r="J286" s="161" t="s">
        <v>527</v>
      </c>
      <c r="K286" s="163"/>
      <c r="L286" s="164"/>
      <c r="M286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286" s="163"/>
      <c r="O286" s="170"/>
      <c r="P286" s="142"/>
      <c r="Q286" s="161" t="s">
        <v>115</v>
      </c>
      <c r="R286" s="161"/>
      <c r="S286" s="178"/>
    </row>
    <row r="287" spans="1:19" outlineLevel="1">
      <c r="A287" s="171" t="s">
        <v>640</v>
      </c>
      <c r="B287" s="168" t="s">
        <v>39</v>
      </c>
      <c r="C287" s="168" t="s">
        <v>332</v>
      </c>
      <c r="D287" s="161" t="s">
        <v>29</v>
      </c>
      <c r="E287" s="161" t="s">
        <v>19</v>
      </c>
      <c r="F287" s="161" t="s">
        <v>105</v>
      </c>
      <c r="G287" s="162">
        <v>0</v>
      </c>
      <c r="H287" s="162" t="s">
        <v>23</v>
      </c>
      <c r="I287" s="161" t="s">
        <v>526</v>
      </c>
      <c r="J287" s="161" t="s">
        <v>527</v>
      </c>
      <c r="K287" s="163"/>
      <c r="L287" s="163"/>
      <c r="M287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287" s="163"/>
      <c r="O287" s="170"/>
      <c r="P287" s="142"/>
      <c r="Q287" s="142" t="s">
        <v>115</v>
      </c>
      <c r="R287" s="161"/>
      <c r="S287" s="178"/>
    </row>
    <row r="288" spans="1:19" outlineLevel="1">
      <c r="A288" s="171" t="s">
        <v>640</v>
      </c>
      <c r="B288" s="168" t="s">
        <v>39</v>
      </c>
      <c r="C288" s="168" t="s">
        <v>332</v>
      </c>
      <c r="D288" s="161" t="s">
        <v>30</v>
      </c>
      <c r="E288" s="161" t="s">
        <v>19</v>
      </c>
      <c r="F288" s="161" t="s">
        <v>105</v>
      </c>
      <c r="G288" s="162">
        <v>0</v>
      </c>
      <c r="H288" s="162" t="s">
        <v>23</v>
      </c>
      <c r="I288" s="161" t="s">
        <v>526</v>
      </c>
      <c r="J288" s="161" t="s">
        <v>527</v>
      </c>
      <c r="K288" s="163"/>
      <c r="L288" s="163"/>
      <c r="M288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288" s="163"/>
      <c r="O288" s="170"/>
      <c r="P288" s="142"/>
      <c r="Q288" s="142" t="s">
        <v>115</v>
      </c>
      <c r="R288" s="161"/>
      <c r="S288" s="178"/>
    </row>
    <row r="289" spans="1:19">
      <c r="A289" s="126" t="s">
        <v>642</v>
      </c>
      <c r="B289" s="46" t="s">
        <v>39</v>
      </c>
      <c r="C289" s="165" t="s">
        <v>333</v>
      </c>
      <c r="D289" s="158" t="s">
        <v>18</v>
      </c>
      <c r="E289" s="158" t="s">
        <v>33</v>
      </c>
      <c r="F289" s="158" t="s">
        <v>105</v>
      </c>
      <c r="G289" s="156">
        <v>0.5</v>
      </c>
      <c r="H289" s="156" t="s">
        <v>23</v>
      </c>
      <c r="I289" s="159" t="s">
        <v>526</v>
      </c>
      <c r="J289" s="159" t="s">
        <v>527</v>
      </c>
      <c r="K289" s="166"/>
      <c r="L289" s="160"/>
      <c r="M289" s="158"/>
      <c r="N289" s="160"/>
      <c r="O289" s="167"/>
      <c r="P289" s="143"/>
      <c r="Q289" s="158" t="s">
        <v>115</v>
      </c>
      <c r="R289" s="158"/>
      <c r="S289" s="165" t="s">
        <v>331</v>
      </c>
    </row>
    <row r="290" spans="1:19" outlineLevel="1">
      <c r="A290" s="171" t="s">
        <v>640</v>
      </c>
      <c r="B290" s="168" t="s">
        <v>39</v>
      </c>
      <c r="C290" s="168" t="s">
        <v>334</v>
      </c>
      <c r="D290" s="161" t="s">
        <v>22</v>
      </c>
      <c r="E290" s="161" t="s">
        <v>33</v>
      </c>
      <c r="F290" s="161" t="s">
        <v>105</v>
      </c>
      <c r="G290" s="162">
        <v>0.5</v>
      </c>
      <c r="H290" s="162" t="s">
        <v>23</v>
      </c>
      <c r="I290" s="161" t="s">
        <v>526</v>
      </c>
      <c r="J290" s="161" t="s">
        <v>527</v>
      </c>
      <c r="K290" s="163">
        <v>46146</v>
      </c>
      <c r="L290" s="163">
        <v>46234</v>
      </c>
      <c r="M290" s="169" cm="1">
        <f t="array" ref="M290"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65</v>
      </c>
      <c r="N290" s="163"/>
      <c r="O290" s="161" t="s">
        <v>26</v>
      </c>
      <c r="P290" s="161" t="s">
        <v>649</v>
      </c>
      <c r="Q290" s="161" t="s">
        <v>115</v>
      </c>
      <c r="R290" s="161"/>
      <c r="S290" s="168" t="s">
        <v>332</v>
      </c>
    </row>
    <row r="291" spans="1:19" outlineLevel="1">
      <c r="A291" s="171" t="s">
        <v>640</v>
      </c>
      <c r="B291" s="168" t="s">
        <v>39</v>
      </c>
      <c r="C291" s="168" t="s">
        <v>334</v>
      </c>
      <c r="D291" s="161" t="s">
        <v>28</v>
      </c>
      <c r="E291" s="161" t="s">
        <v>33</v>
      </c>
      <c r="F291" s="161" t="s">
        <v>105</v>
      </c>
      <c r="G291" s="162">
        <v>0</v>
      </c>
      <c r="H291" s="162" t="s">
        <v>23</v>
      </c>
      <c r="I291" s="161" t="s">
        <v>526</v>
      </c>
      <c r="J291" s="161" t="s">
        <v>527</v>
      </c>
      <c r="K291" s="163"/>
      <c r="L291" s="164"/>
      <c r="M291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291" s="163"/>
      <c r="O291" s="170"/>
      <c r="P291" s="142"/>
      <c r="Q291" s="161" t="s">
        <v>115</v>
      </c>
      <c r="R291" s="161" t="s">
        <v>650</v>
      </c>
      <c r="S291" s="168" t="s">
        <v>332</v>
      </c>
    </row>
    <row r="292" spans="1:19" outlineLevel="1">
      <c r="A292" s="171" t="s">
        <v>640</v>
      </c>
      <c r="B292" s="168" t="s">
        <v>39</v>
      </c>
      <c r="C292" s="168" t="s">
        <v>334</v>
      </c>
      <c r="D292" s="161" t="s">
        <v>29</v>
      </c>
      <c r="E292" s="161" t="s">
        <v>33</v>
      </c>
      <c r="F292" s="161" t="s">
        <v>105</v>
      </c>
      <c r="G292" s="162">
        <v>0</v>
      </c>
      <c r="H292" s="162" t="s">
        <v>23</v>
      </c>
      <c r="I292" s="161" t="s">
        <v>526</v>
      </c>
      <c r="J292" s="161" t="s">
        <v>527</v>
      </c>
      <c r="K292" s="163"/>
      <c r="L292" s="163"/>
      <c r="M292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292" s="163"/>
      <c r="O292" s="170"/>
      <c r="P292" s="142"/>
      <c r="Q292" s="142" t="s">
        <v>115</v>
      </c>
      <c r="R292" s="180" t="s">
        <v>650</v>
      </c>
      <c r="S292" s="168" t="s">
        <v>332</v>
      </c>
    </row>
    <row r="293" spans="1:19" outlineLevel="1">
      <c r="A293" s="171" t="s">
        <v>640</v>
      </c>
      <c r="B293" s="168" t="s">
        <v>39</v>
      </c>
      <c r="C293" s="168" t="s">
        <v>334</v>
      </c>
      <c r="D293" s="161" t="s">
        <v>30</v>
      </c>
      <c r="E293" s="161" t="s">
        <v>33</v>
      </c>
      <c r="F293" s="161" t="s">
        <v>105</v>
      </c>
      <c r="G293" s="162">
        <v>0</v>
      </c>
      <c r="H293" s="162" t="s">
        <v>23</v>
      </c>
      <c r="I293" s="161" t="s">
        <v>526</v>
      </c>
      <c r="J293" s="161" t="s">
        <v>527</v>
      </c>
      <c r="K293" s="163"/>
      <c r="L293" s="163"/>
      <c r="M293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293" s="163"/>
      <c r="O293" s="170"/>
      <c r="P293" s="142"/>
      <c r="Q293" s="142" t="s">
        <v>115</v>
      </c>
      <c r="R293" s="161" t="s">
        <v>650</v>
      </c>
      <c r="S293" s="168" t="s">
        <v>332</v>
      </c>
    </row>
    <row r="294" spans="1:19">
      <c r="A294" s="126" t="s">
        <v>642</v>
      </c>
      <c r="B294" s="46" t="s">
        <v>119</v>
      </c>
      <c r="C294" s="165" t="s">
        <v>335</v>
      </c>
      <c r="D294" s="158" t="s">
        <v>18</v>
      </c>
      <c r="E294" s="158" t="s">
        <v>58</v>
      </c>
      <c r="F294" s="158" t="s">
        <v>105</v>
      </c>
      <c r="G294" s="156">
        <v>0.5</v>
      </c>
      <c r="H294" s="156" t="s">
        <v>35</v>
      </c>
      <c r="I294" s="159" t="s">
        <v>121</v>
      </c>
      <c r="J294" s="159" t="s">
        <v>37</v>
      </c>
      <c r="K294" s="166">
        <v>46036</v>
      </c>
      <c r="L294" s="160">
        <v>46195</v>
      </c>
      <c r="M294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114</v>
      </c>
      <c r="N294" s="160"/>
      <c r="O294" s="167"/>
      <c r="P294" s="143"/>
      <c r="Q294" s="158" t="s">
        <v>115</v>
      </c>
      <c r="R294" s="158"/>
      <c r="S294" s="165" t="s">
        <v>333</v>
      </c>
    </row>
    <row r="295" spans="1:19" outlineLevel="1">
      <c r="A295" s="171" t="s">
        <v>640</v>
      </c>
      <c r="B295" s="168" t="s">
        <v>119</v>
      </c>
      <c r="C295" s="168" t="s">
        <v>336</v>
      </c>
      <c r="D295" s="161" t="s">
        <v>22</v>
      </c>
      <c r="E295" s="161" t="s">
        <v>58</v>
      </c>
      <c r="F295" s="161" t="s">
        <v>105</v>
      </c>
      <c r="G295" s="162">
        <v>0.5</v>
      </c>
      <c r="H295" s="162" t="s">
        <v>35</v>
      </c>
      <c r="I295" s="161" t="s">
        <v>121</v>
      </c>
      <c r="J295" s="161" t="s">
        <v>37</v>
      </c>
      <c r="K295" s="163">
        <v>46058</v>
      </c>
      <c r="L295" s="163">
        <v>46188</v>
      </c>
      <c r="M295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54</v>
      </c>
      <c r="N295" s="163"/>
      <c r="O295" s="170" t="s">
        <v>26</v>
      </c>
      <c r="P295" s="161" t="s">
        <v>108</v>
      </c>
      <c r="Q295" s="161" t="s">
        <v>115</v>
      </c>
      <c r="R295" s="161"/>
      <c r="S295" s="168" t="s">
        <v>334</v>
      </c>
    </row>
    <row r="296" spans="1:19" outlineLevel="1">
      <c r="A296" s="171" t="s">
        <v>640</v>
      </c>
      <c r="B296" s="168" t="s">
        <v>119</v>
      </c>
      <c r="C296" s="168" t="s">
        <v>336</v>
      </c>
      <c r="D296" s="161" t="s">
        <v>28</v>
      </c>
      <c r="E296" s="161" t="s">
        <v>58</v>
      </c>
      <c r="F296" s="161" t="s">
        <v>105</v>
      </c>
      <c r="G296" s="162">
        <v>0</v>
      </c>
      <c r="H296" s="162" t="s">
        <v>35</v>
      </c>
      <c r="I296" s="161" t="s">
        <v>121</v>
      </c>
      <c r="J296" s="161" t="s">
        <v>37</v>
      </c>
      <c r="K296" s="163"/>
      <c r="L296" s="164"/>
      <c r="M296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296" s="163"/>
      <c r="O296" s="170" t="s">
        <v>43</v>
      </c>
      <c r="P296" s="142" t="s">
        <v>28</v>
      </c>
      <c r="Q296" s="161" t="s">
        <v>115</v>
      </c>
      <c r="R296" s="161"/>
      <c r="S296" s="168" t="s">
        <v>334</v>
      </c>
    </row>
    <row r="297" spans="1:19" outlineLevel="1">
      <c r="A297" s="171" t="s">
        <v>642</v>
      </c>
      <c r="B297" s="168" t="s">
        <v>119</v>
      </c>
      <c r="C297" s="168" t="s">
        <v>336</v>
      </c>
      <c r="D297" s="161" t="s">
        <v>29</v>
      </c>
      <c r="E297" s="161" t="s">
        <v>58</v>
      </c>
      <c r="F297" s="161" t="s">
        <v>105</v>
      </c>
      <c r="G297" s="162">
        <v>0</v>
      </c>
      <c r="H297" s="162" t="s">
        <v>35</v>
      </c>
      <c r="I297" s="161" t="s">
        <v>121</v>
      </c>
      <c r="J297" s="161" t="s">
        <v>37</v>
      </c>
      <c r="K297" s="163"/>
      <c r="L297" s="163"/>
      <c r="M297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297" s="163"/>
      <c r="O297" s="170" t="s">
        <v>43</v>
      </c>
      <c r="P297" s="142" t="s">
        <v>223</v>
      </c>
      <c r="Q297" s="142" t="s">
        <v>115</v>
      </c>
      <c r="R297" s="161"/>
      <c r="S297" s="168" t="s">
        <v>334</v>
      </c>
    </row>
    <row r="298" spans="1:19" outlineLevel="1">
      <c r="A298" s="171" t="s">
        <v>640</v>
      </c>
      <c r="B298" s="168" t="s">
        <v>119</v>
      </c>
      <c r="C298" s="168" t="s">
        <v>336</v>
      </c>
      <c r="D298" s="161" t="s">
        <v>30</v>
      </c>
      <c r="E298" s="161" t="s">
        <v>58</v>
      </c>
      <c r="F298" s="161" t="s">
        <v>105</v>
      </c>
      <c r="G298" s="162">
        <v>0</v>
      </c>
      <c r="H298" s="162" t="s">
        <v>35</v>
      </c>
      <c r="I298" s="161" t="s">
        <v>121</v>
      </c>
      <c r="J298" s="161" t="s">
        <v>37</v>
      </c>
      <c r="K298" s="163"/>
      <c r="L298" s="163"/>
      <c r="M298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298" s="163"/>
      <c r="O298" s="170" t="s">
        <v>43</v>
      </c>
      <c r="P298" s="142" t="s">
        <v>226</v>
      </c>
      <c r="Q298" s="142" t="s">
        <v>115</v>
      </c>
      <c r="R298" s="161"/>
      <c r="S298" s="168" t="s">
        <v>334</v>
      </c>
    </row>
    <row r="299" spans="1:19">
      <c r="A299" s="126" t="s">
        <v>642</v>
      </c>
      <c r="B299" s="46" t="s">
        <v>119</v>
      </c>
      <c r="C299" s="165" t="s">
        <v>337</v>
      </c>
      <c r="D299" s="158" t="s">
        <v>18</v>
      </c>
      <c r="E299" s="158" t="s">
        <v>58</v>
      </c>
      <c r="F299" s="158" t="s">
        <v>105</v>
      </c>
      <c r="G299" s="156">
        <v>1</v>
      </c>
      <c r="H299" s="156" t="s">
        <v>35</v>
      </c>
      <c r="I299" s="159" t="s">
        <v>124</v>
      </c>
      <c r="J299" s="159" t="s">
        <v>50</v>
      </c>
      <c r="K299" s="166">
        <v>45931</v>
      </c>
      <c r="L299" s="160">
        <v>46142</v>
      </c>
      <c r="M299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152</v>
      </c>
      <c r="N299" s="160">
        <v>45944</v>
      </c>
      <c r="O299" s="167"/>
      <c r="P299" s="143"/>
      <c r="Q299" s="158" t="s">
        <v>115</v>
      </c>
      <c r="R299" s="158"/>
      <c r="S299" s="165" t="s">
        <v>333</v>
      </c>
    </row>
    <row r="300" spans="1:19" outlineLevel="1">
      <c r="A300" s="171" t="s">
        <v>640</v>
      </c>
      <c r="B300" s="168" t="s">
        <v>119</v>
      </c>
      <c r="C300" s="168" t="s">
        <v>338</v>
      </c>
      <c r="D300" s="161" t="s">
        <v>22</v>
      </c>
      <c r="E300" s="161" t="s">
        <v>58</v>
      </c>
      <c r="F300" s="161" t="s">
        <v>105</v>
      </c>
      <c r="G300" s="162">
        <v>1</v>
      </c>
      <c r="H300" s="162" t="s">
        <v>35</v>
      </c>
      <c r="I300" s="161" t="s">
        <v>124</v>
      </c>
      <c r="J300" s="161" t="s">
        <v>50</v>
      </c>
      <c r="K300" s="163">
        <v>45931</v>
      </c>
      <c r="L300" s="163">
        <v>46014</v>
      </c>
      <c r="M300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60</v>
      </c>
      <c r="N300" s="163"/>
      <c r="O300" s="170" t="s">
        <v>108</v>
      </c>
      <c r="P300" s="161" t="s">
        <v>108</v>
      </c>
      <c r="Q300" s="161" t="s">
        <v>115</v>
      </c>
      <c r="R300" s="161"/>
      <c r="S300" s="168" t="s">
        <v>334</v>
      </c>
    </row>
    <row r="301" spans="1:19" outlineLevel="1">
      <c r="A301" s="171" t="s">
        <v>640</v>
      </c>
      <c r="B301" s="168" t="s">
        <v>119</v>
      </c>
      <c r="C301" s="168" t="s">
        <v>338</v>
      </c>
      <c r="D301" s="161" t="s">
        <v>28</v>
      </c>
      <c r="E301" s="161" t="s">
        <v>58</v>
      </c>
      <c r="F301" s="161" t="s">
        <v>105</v>
      </c>
      <c r="G301" s="162">
        <v>1</v>
      </c>
      <c r="H301" s="162" t="s">
        <v>35</v>
      </c>
      <c r="I301" s="161" t="s">
        <v>124</v>
      </c>
      <c r="J301" s="161" t="s">
        <v>50</v>
      </c>
      <c r="K301" s="163">
        <v>46069</v>
      </c>
      <c r="L301" s="164">
        <v>46142</v>
      </c>
      <c r="M301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54</v>
      </c>
      <c r="N301" s="163"/>
      <c r="O301" s="170" t="s">
        <v>43</v>
      </c>
      <c r="P301" s="142" t="s">
        <v>28</v>
      </c>
      <c r="Q301" s="161" t="s">
        <v>115</v>
      </c>
      <c r="R301" s="161"/>
      <c r="S301" s="168" t="s">
        <v>334</v>
      </c>
    </row>
    <row r="302" spans="1:19" outlineLevel="1">
      <c r="A302" s="171" t="s">
        <v>640</v>
      </c>
      <c r="B302" s="168" t="s">
        <v>119</v>
      </c>
      <c r="C302" s="168" t="s">
        <v>338</v>
      </c>
      <c r="D302" s="161" t="s">
        <v>29</v>
      </c>
      <c r="E302" s="161" t="s">
        <v>58</v>
      </c>
      <c r="F302" s="161" t="s">
        <v>105</v>
      </c>
      <c r="G302" s="162">
        <v>0</v>
      </c>
      <c r="H302" s="162" t="s">
        <v>35</v>
      </c>
      <c r="I302" s="161" t="s">
        <v>124</v>
      </c>
      <c r="J302" s="161" t="s">
        <v>50</v>
      </c>
      <c r="K302" s="163">
        <v>45946</v>
      </c>
      <c r="L302" s="163">
        <v>46022</v>
      </c>
      <c r="M302" s="161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55</v>
      </c>
      <c r="N302" s="163"/>
      <c r="O302" s="170" t="s">
        <v>43</v>
      </c>
      <c r="P302" s="142" t="s">
        <v>223</v>
      </c>
      <c r="Q302" s="142" t="s">
        <v>115</v>
      </c>
      <c r="R302" s="161"/>
      <c r="S302" s="168" t="s">
        <v>334</v>
      </c>
    </row>
    <row r="303" spans="1:19" outlineLevel="1">
      <c r="A303" s="171" t="s">
        <v>640</v>
      </c>
      <c r="B303" s="168" t="s">
        <v>119</v>
      </c>
      <c r="C303" s="168" t="s">
        <v>338</v>
      </c>
      <c r="D303" s="161" t="s">
        <v>30</v>
      </c>
      <c r="E303" s="161" t="s">
        <v>58</v>
      </c>
      <c r="F303" s="161" t="s">
        <v>105</v>
      </c>
      <c r="G303" s="162">
        <v>0</v>
      </c>
      <c r="H303" s="162" t="s">
        <v>35</v>
      </c>
      <c r="I303" s="161" t="s">
        <v>124</v>
      </c>
      <c r="J303" s="161" t="s">
        <v>50</v>
      </c>
      <c r="K303" s="163"/>
      <c r="L303" s="163"/>
      <c r="M303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303" s="163"/>
      <c r="O303" s="170"/>
      <c r="P303" s="142"/>
      <c r="Q303" s="142" t="s">
        <v>115</v>
      </c>
      <c r="R303" s="161"/>
      <c r="S303" s="168" t="s">
        <v>334</v>
      </c>
    </row>
    <row r="304" spans="1:19">
      <c r="A304" s="126" t="s">
        <v>640</v>
      </c>
      <c r="B304" s="46" t="s">
        <v>119</v>
      </c>
      <c r="C304" s="165" t="s">
        <v>339</v>
      </c>
      <c r="D304" s="158" t="s">
        <v>18</v>
      </c>
      <c r="E304" s="158" t="s">
        <v>126</v>
      </c>
      <c r="F304" s="158" t="s">
        <v>105</v>
      </c>
      <c r="G304" s="156">
        <v>1</v>
      </c>
      <c r="H304" s="156" t="s">
        <v>35</v>
      </c>
      <c r="I304" s="159" t="s">
        <v>124</v>
      </c>
      <c r="J304" s="159" t="s">
        <v>50</v>
      </c>
      <c r="K304" s="166">
        <v>45931</v>
      </c>
      <c r="L304" s="160">
        <v>45931</v>
      </c>
      <c r="M304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</v>
      </c>
      <c r="N304" s="160">
        <v>45944</v>
      </c>
      <c r="O304" s="167"/>
      <c r="P304" s="143"/>
      <c r="Q304" s="158" t="s">
        <v>115</v>
      </c>
      <c r="R304" s="158"/>
      <c r="S304" s="165" t="s">
        <v>337</v>
      </c>
    </row>
    <row r="305" spans="1:19" outlineLevel="1">
      <c r="A305" s="171" t="s">
        <v>640</v>
      </c>
      <c r="B305" s="168" t="s">
        <v>119</v>
      </c>
      <c r="C305" s="168" t="s">
        <v>340</v>
      </c>
      <c r="D305" s="161" t="s">
        <v>22</v>
      </c>
      <c r="E305" s="161" t="s">
        <v>126</v>
      </c>
      <c r="F305" s="161" t="s">
        <v>105</v>
      </c>
      <c r="G305" s="162">
        <v>1</v>
      </c>
      <c r="H305" s="162" t="s">
        <v>35</v>
      </c>
      <c r="I305" s="161" t="s">
        <v>124</v>
      </c>
      <c r="J305" s="161" t="s">
        <v>50</v>
      </c>
      <c r="K305" s="163">
        <v>45931</v>
      </c>
      <c r="L305" s="163">
        <v>46014</v>
      </c>
      <c r="M305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</v>
      </c>
      <c r="N305" s="163"/>
      <c r="O305" s="170" t="s">
        <v>108</v>
      </c>
      <c r="P305" s="161" t="s">
        <v>108</v>
      </c>
      <c r="Q305" s="161" t="s">
        <v>115</v>
      </c>
      <c r="R305" s="161"/>
      <c r="S305" s="168" t="s">
        <v>338</v>
      </c>
    </row>
    <row r="306" spans="1:19" outlineLevel="1">
      <c r="A306" s="171" t="s">
        <v>640</v>
      </c>
      <c r="B306" s="168" t="s">
        <v>119</v>
      </c>
      <c r="C306" s="168" t="s">
        <v>340</v>
      </c>
      <c r="D306" s="161" t="s">
        <v>28</v>
      </c>
      <c r="E306" s="161" t="s">
        <v>126</v>
      </c>
      <c r="F306" s="161" t="s">
        <v>105</v>
      </c>
      <c r="G306" s="162">
        <v>1</v>
      </c>
      <c r="H306" s="162" t="s">
        <v>35</v>
      </c>
      <c r="I306" s="161" t="s">
        <v>124</v>
      </c>
      <c r="J306" s="161" t="s">
        <v>50</v>
      </c>
      <c r="K306" s="163">
        <v>46069</v>
      </c>
      <c r="L306" s="164">
        <v>46142</v>
      </c>
      <c r="M306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0</v>
      </c>
      <c r="N306" s="163"/>
      <c r="O306" s="170"/>
      <c r="P306" s="142"/>
      <c r="Q306" s="161" t="s">
        <v>115</v>
      </c>
      <c r="R306" s="161"/>
      <c r="S306" s="168" t="s">
        <v>338</v>
      </c>
    </row>
    <row r="307" spans="1:19" outlineLevel="1">
      <c r="A307" s="171" t="s">
        <v>640</v>
      </c>
      <c r="B307" s="168" t="s">
        <v>119</v>
      </c>
      <c r="C307" s="168" t="s">
        <v>340</v>
      </c>
      <c r="D307" s="161" t="s">
        <v>29</v>
      </c>
      <c r="E307" s="161" t="s">
        <v>126</v>
      </c>
      <c r="F307" s="161" t="s">
        <v>105</v>
      </c>
      <c r="G307" s="162">
        <v>0</v>
      </c>
      <c r="H307" s="162" t="s">
        <v>35</v>
      </c>
      <c r="I307" s="161" t="s">
        <v>124</v>
      </c>
      <c r="J307" s="161" t="s">
        <v>50</v>
      </c>
      <c r="K307" s="163"/>
      <c r="L307" s="163"/>
      <c r="M307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307" s="163"/>
      <c r="O307" s="170"/>
      <c r="P307" s="142"/>
      <c r="Q307" s="142" t="s">
        <v>115</v>
      </c>
      <c r="R307" s="161"/>
      <c r="S307" s="168" t="s">
        <v>338</v>
      </c>
    </row>
    <row r="308" spans="1:19" outlineLevel="1">
      <c r="A308" s="171" t="s">
        <v>640</v>
      </c>
      <c r="B308" s="168" t="s">
        <v>119</v>
      </c>
      <c r="C308" s="168" t="s">
        <v>340</v>
      </c>
      <c r="D308" s="161" t="s">
        <v>30</v>
      </c>
      <c r="E308" s="161" t="s">
        <v>126</v>
      </c>
      <c r="F308" s="161" t="s">
        <v>105</v>
      </c>
      <c r="G308" s="162">
        <v>0</v>
      </c>
      <c r="H308" s="162" t="s">
        <v>35</v>
      </c>
      <c r="I308" s="161" t="s">
        <v>124</v>
      </c>
      <c r="J308" s="161" t="s">
        <v>50</v>
      </c>
      <c r="K308" s="163"/>
      <c r="L308" s="163"/>
      <c r="M308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308" s="163"/>
      <c r="O308" s="170"/>
      <c r="P308" s="142"/>
      <c r="Q308" s="142" t="s">
        <v>115</v>
      </c>
      <c r="R308" s="161"/>
      <c r="S308" s="168" t="s">
        <v>338</v>
      </c>
    </row>
    <row r="309" spans="1:19">
      <c r="A309" s="126" t="s">
        <v>640</v>
      </c>
      <c r="B309" s="46" t="s">
        <v>119</v>
      </c>
      <c r="C309" s="165" t="s">
        <v>617</v>
      </c>
      <c r="D309" s="158" t="s">
        <v>18</v>
      </c>
      <c r="E309" s="158" t="s">
        <v>126</v>
      </c>
      <c r="F309" s="158" t="s">
        <v>105</v>
      </c>
      <c r="G309" s="156">
        <v>1</v>
      </c>
      <c r="H309" s="156" t="s">
        <v>35</v>
      </c>
      <c r="I309" s="159" t="s">
        <v>124</v>
      </c>
      <c r="J309" s="159" t="s">
        <v>50</v>
      </c>
      <c r="K309" s="166">
        <v>45931</v>
      </c>
      <c r="L309" s="160">
        <v>45931</v>
      </c>
      <c r="M309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</v>
      </c>
      <c r="N309" s="160">
        <v>45944</v>
      </c>
      <c r="O309" s="167"/>
      <c r="P309" s="143"/>
      <c r="Q309" s="158" t="s">
        <v>115</v>
      </c>
      <c r="R309" s="158"/>
      <c r="S309" s="165" t="s">
        <v>337</v>
      </c>
    </row>
    <row r="310" spans="1:19" outlineLevel="1">
      <c r="A310" s="171" t="s">
        <v>640</v>
      </c>
      <c r="B310" s="168" t="s">
        <v>119</v>
      </c>
      <c r="C310" s="168" t="s">
        <v>618</v>
      </c>
      <c r="D310" s="161" t="s">
        <v>22</v>
      </c>
      <c r="E310" s="161" t="s">
        <v>126</v>
      </c>
      <c r="F310" s="161" t="s">
        <v>105</v>
      </c>
      <c r="G310" s="162">
        <v>1</v>
      </c>
      <c r="H310" s="162" t="s">
        <v>35</v>
      </c>
      <c r="I310" s="161" t="s">
        <v>124</v>
      </c>
      <c r="J310" s="161" t="s">
        <v>50</v>
      </c>
      <c r="K310" s="163">
        <v>45931</v>
      </c>
      <c r="L310" s="163">
        <v>46014</v>
      </c>
      <c r="M310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</v>
      </c>
      <c r="N310" s="163"/>
      <c r="O310" s="170" t="s">
        <v>108</v>
      </c>
      <c r="P310" s="161" t="s">
        <v>108</v>
      </c>
      <c r="Q310" s="161" t="s">
        <v>115</v>
      </c>
      <c r="R310" s="161"/>
      <c r="S310" s="168" t="s">
        <v>338</v>
      </c>
    </row>
    <row r="311" spans="1:19" outlineLevel="1">
      <c r="A311" s="171" t="s">
        <v>640</v>
      </c>
      <c r="B311" s="168" t="s">
        <v>119</v>
      </c>
      <c r="C311" s="168" t="s">
        <v>618</v>
      </c>
      <c r="D311" s="161" t="s">
        <v>28</v>
      </c>
      <c r="E311" s="161" t="s">
        <v>126</v>
      </c>
      <c r="F311" s="161" t="s">
        <v>105</v>
      </c>
      <c r="G311" s="162">
        <v>1</v>
      </c>
      <c r="H311" s="162" t="s">
        <v>35</v>
      </c>
      <c r="I311" s="161" t="s">
        <v>124</v>
      </c>
      <c r="J311" s="161" t="s">
        <v>50</v>
      </c>
      <c r="K311" s="163">
        <v>46069</v>
      </c>
      <c r="L311" s="164">
        <v>46142</v>
      </c>
      <c r="M311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0</v>
      </c>
      <c r="N311" s="163"/>
      <c r="O311" s="170"/>
      <c r="P311" s="142"/>
      <c r="Q311" s="161" t="s">
        <v>115</v>
      </c>
      <c r="R311" s="161"/>
      <c r="S311" s="168" t="s">
        <v>338</v>
      </c>
    </row>
    <row r="312" spans="1:19" outlineLevel="1">
      <c r="A312" s="171" t="s">
        <v>640</v>
      </c>
      <c r="B312" s="168" t="s">
        <v>119</v>
      </c>
      <c r="C312" s="168" t="s">
        <v>618</v>
      </c>
      <c r="D312" s="161" t="s">
        <v>29</v>
      </c>
      <c r="E312" s="161" t="s">
        <v>126</v>
      </c>
      <c r="F312" s="161" t="s">
        <v>105</v>
      </c>
      <c r="G312" s="162">
        <v>0</v>
      </c>
      <c r="H312" s="162" t="s">
        <v>35</v>
      </c>
      <c r="I312" s="161" t="s">
        <v>124</v>
      </c>
      <c r="J312" s="161" t="s">
        <v>50</v>
      </c>
      <c r="K312" s="163"/>
      <c r="L312" s="163"/>
      <c r="M312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312" s="163"/>
      <c r="O312" s="170"/>
      <c r="P312" s="142"/>
      <c r="Q312" s="142" t="s">
        <v>115</v>
      </c>
      <c r="R312" s="161"/>
      <c r="S312" s="168" t="s">
        <v>338</v>
      </c>
    </row>
    <row r="313" spans="1:19" outlineLevel="1">
      <c r="A313" s="171" t="s">
        <v>640</v>
      </c>
      <c r="B313" s="168" t="s">
        <v>119</v>
      </c>
      <c r="C313" s="168" t="s">
        <v>618</v>
      </c>
      <c r="D313" s="161" t="s">
        <v>30</v>
      </c>
      <c r="E313" s="161" t="s">
        <v>126</v>
      </c>
      <c r="F313" s="161" t="s">
        <v>105</v>
      </c>
      <c r="G313" s="162">
        <v>0</v>
      </c>
      <c r="H313" s="162" t="s">
        <v>35</v>
      </c>
      <c r="I313" s="161" t="s">
        <v>124</v>
      </c>
      <c r="J313" s="161" t="s">
        <v>50</v>
      </c>
      <c r="K313" s="163"/>
      <c r="L313" s="163"/>
      <c r="M313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313" s="163"/>
      <c r="O313" s="170"/>
      <c r="P313" s="142"/>
      <c r="Q313" s="142" t="s">
        <v>115</v>
      </c>
      <c r="R313" s="161"/>
      <c r="S313" s="168" t="s">
        <v>338</v>
      </c>
    </row>
    <row r="314" spans="1:19">
      <c r="A314" s="126" t="s">
        <v>640</v>
      </c>
      <c r="B314" s="46" t="s">
        <v>119</v>
      </c>
      <c r="C314" s="165" t="s">
        <v>619</v>
      </c>
      <c r="D314" s="158" t="s">
        <v>18</v>
      </c>
      <c r="E314" s="158" t="s">
        <v>126</v>
      </c>
      <c r="F314" s="158" t="s">
        <v>105</v>
      </c>
      <c r="G314" s="156">
        <v>1</v>
      </c>
      <c r="H314" s="156" t="s">
        <v>35</v>
      </c>
      <c r="I314" s="159" t="s">
        <v>124</v>
      </c>
      <c r="J314" s="159" t="s">
        <v>50</v>
      </c>
      <c r="K314" s="166">
        <v>45931</v>
      </c>
      <c r="L314" s="160">
        <v>45931</v>
      </c>
      <c r="M314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</v>
      </c>
      <c r="N314" s="160">
        <v>45944</v>
      </c>
      <c r="O314" s="167"/>
      <c r="P314" s="143"/>
      <c r="Q314" s="158" t="s">
        <v>115</v>
      </c>
      <c r="R314" s="158"/>
      <c r="S314" s="165" t="s">
        <v>337</v>
      </c>
    </row>
    <row r="315" spans="1:19" outlineLevel="1">
      <c r="A315" s="171" t="s">
        <v>640</v>
      </c>
      <c r="B315" s="168" t="s">
        <v>119</v>
      </c>
      <c r="C315" s="168" t="s">
        <v>620</v>
      </c>
      <c r="D315" s="161" t="s">
        <v>22</v>
      </c>
      <c r="E315" s="161" t="s">
        <v>126</v>
      </c>
      <c r="F315" s="161" t="s">
        <v>105</v>
      </c>
      <c r="G315" s="162">
        <v>1</v>
      </c>
      <c r="H315" s="162" t="s">
        <v>35</v>
      </c>
      <c r="I315" s="161" t="s">
        <v>124</v>
      </c>
      <c r="J315" s="161" t="s">
        <v>50</v>
      </c>
      <c r="K315" s="163">
        <v>45931</v>
      </c>
      <c r="L315" s="163">
        <v>46014</v>
      </c>
      <c r="M315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</v>
      </c>
      <c r="N315" s="163"/>
      <c r="O315" s="170" t="s">
        <v>108</v>
      </c>
      <c r="P315" s="161" t="s">
        <v>108</v>
      </c>
      <c r="Q315" s="161" t="s">
        <v>115</v>
      </c>
      <c r="R315" s="161"/>
      <c r="S315" s="168" t="s">
        <v>338</v>
      </c>
    </row>
    <row r="316" spans="1:19" outlineLevel="1">
      <c r="A316" s="171" t="s">
        <v>640</v>
      </c>
      <c r="B316" s="168" t="s">
        <v>119</v>
      </c>
      <c r="C316" s="168" t="s">
        <v>620</v>
      </c>
      <c r="D316" s="161" t="s">
        <v>28</v>
      </c>
      <c r="E316" s="161" t="s">
        <v>126</v>
      </c>
      <c r="F316" s="161" t="s">
        <v>105</v>
      </c>
      <c r="G316" s="162">
        <v>1</v>
      </c>
      <c r="H316" s="162" t="s">
        <v>35</v>
      </c>
      <c r="I316" s="161" t="s">
        <v>124</v>
      </c>
      <c r="J316" s="161" t="s">
        <v>50</v>
      </c>
      <c r="K316" s="163">
        <v>46069</v>
      </c>
      <c r="L316" s="164">
        <v>46142</v>
      </c>
      <c r="M316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0</v>
      </c>
      <c r="N316" s="163"/>
      <c r="O316" s="170"/>
      <c r="P316" s="142"/>
      <c r="Q316" s="161" t="s">
        <v>115</v>
      </c>
      <c r="R316" s="161"/>
      <c r="S316" s="168" t="s">
        <v>338</v>
      </c>
    </row>
    <row r="317" spans="1:19" outlineLevel="1">
      <c r="A317" s="171" t="s">
        <v>640</v>
      </c>
      <c r="B317" s="168" t="s">
        <v>119</v>
      </c>
      <c r="C317" s="168" t="s">
        <v>620</v>
      </c>
      <c r="D317" s="161" t="s">
        <v>29</v>
      </c>
      <c r="E317" s="161" t="s">
        <v>126</v>
      </c>
      <c r="F317" s="161" t="s">
        <v>105</v>
      </c>
      <c r="G317" s="162">
        <v>0</v>
      </c>
      <c r="H317" s="162" t="s">
        <v>35</v>
      </c>
      <c r="I317" s="161" t="s">
        <v>124</v>
      </c>
      <c r="J317" s="161" t="s">
        <v>50</v>
      </c>
      <c r="K317" s="163"/>
      <c r="L317" s="163"/>
      <c r="M317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317" s="163"/>
      <c r="O317" s="170"/>
      <c r="P317" s="142"/>
      <c r="Q317" s="142" t="s">
        <v>115</v>
      </c>
      <c r="R317" s="161"/>
      <c r="S317" s="168" t="s">
        <v>338</v>
      </c>
    </row>
    <row r="318" spans="1:19" outlineLevel="1">
      <c r="A318" s="171" t="s">
        <v>640</v>
      </c>
      <c r="B318" s="168" t="s">
        <v>119</v>
      </c>
      <c r="C318" s="168" t="s">
        <v>620</v>
      </c>
      <c r="D318" s="161" t="s">
        <v>30</v>
      </c>
      <c r="E318" s="161" t="s">
        <v>126</v>
      </c>
      <c r="F318" s="161" t="s">
        <v>105</v>
      </c>
      <c r="G318" s="162">
        <v>0</v>
      </c>
      <c r="H318" s="162" t="s">
        <v>35</v>
      </c>
      <c r="I318" s="161" t="s">
        <v>124</v>
      </c>
      <c r="J318" s="161" t="s">
        <v>50</v>
      </c>
      <c r="K318" s="163"/>
      <c r="L318" s="163"/>
      <c r="M318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318" s="163"/>
      <c r="O318" s="170"/>
      <c r="P318" s="142"/>
      <c r="Q318" s="142" t="s">
        <v>115</v>
      </c>
      <c r="R318" s="161"/>
      <c r="S318" s="168" t="s">
        <v>338</v>
      </c>
    </row>
    <row r="319" spans="1:19">
      <c r="A319" s="126" t="s">
        <v>640</v>
      </c>
      <c r="B319" s="46" t="s">
        <v>119</v>
      </c>
      <c r="C319" s="165" t="s">
        <v>621</v>
      </c>
      <c r="D319" s="158" t="s">
        <v>18</v>
      </c>
      <c r="E319" s="158" t="s">
        <v>126</v>
      </c>
      <c r="F319" s="158" t="s">
        <v>105</v>
      </c>
      <c r="G319" s="156">
        <v>1</v>
      </c>
      <c r="H319" s="156" t="s">
        <v>35</v>
      </c>
      <c r="I319" s="159" t="s">
        <v>124</v>
      </c>
      <c r="J319" s="159" t="s">
        <v>50</v>
      </c>
      <c r="K319" s="166">
        <v>45931</v>
      </c>
      <c r="L319" s="160">
        <v>45932</v>
      </c>
      <c r="M319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2</v>
      </c>
      <c r="N319" s="160">
        <v>45944</v>
      </c>
      <c r="O319" s="167"/>
      <c r="P319" s="143"/>
      <c r="Q319" s="158" t="s">
        <v>115</v>
      </c>
      <c r="R319" s="158"/>
      <c r="S319" s="165" t="s">
        <v>337</v>
      </c>
    </row>
    <row r="320" spans="1:19" outlineLevel="1">
      <c r="A320" s="171" t="s">
        <v>640</v>
      </c>
      <c r="B320" s="168" t="s">
        <v>119</v>
      </c>
      <c r="C320" s="168" t="s">
        <v>651</v>
      </c>
      <c r="D320" s="161" t="s">
        <v>22</v>
      </c>
      <c r="E320" s="161" t="s">
        <v>126</v>
      </c>
      <c r="F320" s="161" t="s">
        <v>105</v>
      </c>
      <c r="G320" s="162">
        <v>1</v>
      </c>
      <c r="H320" s="162" t="s">
        <v>35</v>
      </c>
      <c r="I320" s="161" t="s">
        <v>124</v>
      </c>
      <c r="J320" s="161" t="s">
        <v>50</v>
      </c>
      <c r="K320" s="163">
        <v>45931</v>
      </c>
      <c r="L320" s="163">
        <v>46014</v>
      </c>
      <c r="M320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</v>
      </c>
      <c r="N320" s="163"/>
      <c r="O320" s="170" t="s">
        <v>108</v>
      </c>
      <c r="P320" s="161" t="s">
        <v>108</v>
      </c>
      <c r="Q320" s="161" t="s">
        <v>115</v>
      </c>
      <c r="R320" s="161"/>
      <c r="S320" s="168" t="s">
        <v>338</v>
      </c>
    </row>
    <row r="321" spans="1:19" outlineLevel="1">
      <c r="A321" s="171" t="s">
        <v>640</v>
      </c>
      <c r="B321" s="168" t="s">
        <v>119</v>
      </c>
      <c r="C321" s="168" t="s">
        <v>651</v>
      </c>
      <c r="D321" s="161" t="s">
        <v>28</v>
      </c>
      <c r="E321" s="161" t="s">
        <v>126</v>
      </c>
      <c r="F321" s="161" t="s">
        <v>105</v>
      </c>
      <c r="G321" s="162">
        <v>1</v>
      </c>
      <c r="H321" s="162" t="s">
        <v>35</v>
      </c>
      <c r="I321" s="161" t="s">
        <v>124</v>
      </c>
      <c r="J321" s="161" t="s">
        <v>50</v>
      </c>
      <c r="K321" s="163">
        <v>46069</v>
      </c>
      <c r="L321" s="164">
        <v>46142</v>
      </c>
      <c r="M321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0</v>
      </c>
      <c r="N321" s="163"/>
      <c r="O321" s="170"/>
      <c r="P321" s="142"/>
      <c r="Q321" s="161" t="s">
        <v>115</v>
      </c>
      <c r="R321" s="161"/>
      <c r="S321" s="168" t="s">
        <v>338</v>
      </c>
    </row>
    <row r="322" spans="1:19" outlineLevel="1">
      <c r="A322" s="171" t="s">
        <v>640</v>
      </c>
      <c r="B322" s="168" t="s">
        <v>119</v>
      </c>
      <c r="C322" s="168" t="s">
        <v>651</v>
      </c>
      <c r="D322" s="161" t="s">
        <v>29</v>
      </c>
      <c r="E322" s="161" t="s">
        <v>126</v>
      </c>
      <c r="F322" s="161" t="s">
        <v>105</v>
      </c>
      <c r="G322" s="162">
        <v>0</v>
      </c>
      <c r="H322" s="162" t="s">
        <v>35</v>
      </c>
      <c r="I322" s="161" t="s">
        <v>124</v>
      </c>
      <c r="J322" s="161" t="s">
        <v>50</v>
      </c>
      <c r="K322" s="163"/>
      <c r="L322" s="163"/>
      <c r="M322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322" s="163"/>
      <c r="O322" s="170"/>
      <c r="P322" s="142"/>
      <c r="Q322" s="142" t="s">
        <v>115</v>
      </c>
      <c r="R322" s="161"/>
      <c r="S322" s="168" t="s">
        <v>338</v>
      </c>
    </row>
    <row r="323" spans="1:19" outlineLevel="1">
      <c r="A323" s="171" t="s">
        <v>640</v>
      </c>
      <c r="B323" s="168" t="s">
        <v>119</v>
      </c>
      <c r="C323" s="168" t="s">
        <v>651</v>
      </c>
      <c r="D323" s="161" t="s">
        <v>30</v>
      </c>
      <c r="E323" s="161" t="s">
        <v>126</v>
      </c>
      <c r="F323" s="161" t="s">
        <v>105</v>
      </c>
      <c r="G323" s="162">
        <v>0</v>
      </c>
      <c r="H323" s="162" t="s">
        <v>35</v>
      </c>
      <c r="I323" s="161" t="s">
        <v>124</v>
      </c>
      <c r="J323" s="161" t="s">
        <v>50</v>
      </c>
      <c r="K323" s="163"/>
      <c r="L323" s="163"/>
      <c r="M323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323" s="163"/>
      <c r="O323" s="170"/>
      <c r="P323" s="142"/>
      <c r="Q323" s="142" t="s">
        <v>115</v>
      </c>
      <c r="R323" s="161"/>
      <c r="S323" s="168" t="s">
        <v>338</v>
      </c>
    </row>
    <row r="324" spans="1:19">
      <c r="A324" s="126" t="s">
        <v>640</v>
      </c>
      <c r="B324" s="46" t="s">
        <v>119</v>
      </c>
      <c r="C324" s="165" t="s">
        <v>622</v>
      </c>
      <c r="D324" s="158" t="s">
        <v>18</v>
      </c>
      <c r="E324" s="158" t="s">
        <v>126</v>
      </c>
      <c r="F324" s="158" t="s">
        <v>105</v>
      </c>
      <c r="G324" s="156">
        <v>1</v>
      </c>
      <c r="H324" s="156" t="s">
        <v>35</v>
      </c>
      <c r="I324" s="159" t="s">
        <v>124</v>
      </c>
      <c r="J324" s="159" t="s">
        <v>50</v>
      </c>
      <c r="K324" s="166">
        <v>45931</v>
      </c>
      <c r="L324" s="160">
        <v>45931</v>
      </c>
      <c r="M324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</v>
      </c>
      <c r="N324" s="160">
        <v>45944</v>
      </c>
      <c r="O324" s="167"/>
      <c r="P324" s="143"/>
      <c r="Q324" s="158" t="s">
        <v>115</v>
      </c>
      <c r="R324" s="158"/>
      <c r="S324" s="165" t="s">
        <v>337</v>
      </c>
    </row>
    <row r="325" spans="1:19" outlineLevel="1">
      <c r="A325" s="171" t="s">
        <v>640</v>
      </c>
      <c r="B325" s="168" t="s">
        <v>119</v>
      </c>
      <c r="C325" s="168" t="s">
        <v>623</v>
      </c>
      <c r="D325" s="161" t="s">
        <v>22</v>
      </c>
      <c r="E325" s="161" t="s">
        <v>126</v>
      </c>
      <c r="F325" s="161" t="s">
        <v>105</v>
      </c>
      <c r="G325" s="162">
        <v>1</v>
      </c>
      <c r="H325" s="162" t="s">
        <v>35</v>
      </c>
      <c r="I325" s="161" t="s">
        <v>124</v>
      </c>
      <c r="J325" s="161" t="s">
        <v>50</v>
      </c>
      <c r="K325" s="163">
        <v>45931</v>
      </c>
      <c r="L325" s="163">
        <v>46014</v>
      </c>
      <c r="M325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</v>
      </c>
      <c r="N325" s="163"/>
      <c r="O325" s="170" t="s">
        <v>108</v>
      </c>
      <c r="P325" s="161" t="s">
        <v>108</v>
      </c>
      <c r="Q325" s="161" t="s">
        <v>115</v>
      </c>
      <c r="R325" s="161"/>
      <c r="S325" s="168" t="s">
        <v>338</v>
      </c>
    </row>
    <row r="326" spans="1:19" outlineLevel="1">
      <c r="A326" s="171" t="s">
        <v>640</v>
      </c>
      <c r="B326" s="168" t="s">
        <v>119</v>
      </c>
      <c r="C326" s="168" t="s">
        <v>623</v>
      </c>
      <c r="D326" s="161" t="s">
        <v>28</v>
      </c>
      <c r="E326" s="161" t="s">
        <v>126</v>
      </c>
      <c r="F326" s="161" t="s">
        <v>105</v>
      </c>
      <c r="G326" s="162">
        <v>1</v>
      </c>
      <c r="H326" s="162" t="s">
        <v>35</v>
      </c>
      <c r="I326" s="161" t="s">
        <v>124</v>
      </c>
      <c r="J326" s="161" t="s">
        <v>50</v>
      </c>
      <c r="K326" s="163">
        <v>46069</v>
      </c>
      <c r="L326" s="164">
        <v>46142</v>
      </c>
      <c r="M326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0</v>
      </c>
      <c r="N326" s="163"/>
      <c r="O326" s="170"/>
      <c r="P326" s="142"/>
      <c r="Q326" s="161" t="s">
        <v>115</v>
      </c>
      <c r="R326" s="161"/>
      <c r="S326" s="168" t="s">
        <v>338</v>
      </c>
    </row>
    <row r="327" spans="1:19" outlineLevel="1">
      <c r="A327" s="171" t="s">
        <v>640</v>
      </c>
      <c r="B327" s="168" t="s">
        <v>119</v>
      </c>
      <c r="C327" s="168" t="s">
        <v>623</v>
      </c>
      <c r="D327" s="161" t="s">
        <v>29</v>
      </c>
      <c r="E327" s="161" t="s">
        <v>126</v>
      </c>
      <c r="F327" s="161" t="s">
        <v>105</v>
      </c>
      <c r="G327" s="162">
        <v>0</v>
      </c>
      <c r="H327" s="162" t="s">
        <v>35</v>
      </c>
      <c r="I327" s="161" t="s">
        <v>124</v>
      </c>
      <c r="J327" s="161" t="s">
        <v>50</v>
      </c>
      <c r="K327" s="163"/>
      <c r="L327" s="163"/>
      <c r="M327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327" s="163"/>
      <c r="O327" s="170"/>
      <c r="P327" s="142"/>
      <c r="Q327" s="142" t="s">
        <v>115</v>
      </c>
      <c r="R327" s="161"/>
      <c r="S327" s="168" t="s">
        <v>338</v>
      </c>
    </row>
    <row r="328" spans="1:19" outlineLevel="1">
      <c r="A328" s="171" t="s">
        <v>640</v>
      </c>
      <c r="B328" s="168" t="s">
        <v>119</v>
      </c>
      <c r="C328" s="168" t="s">
        <v>623</v>
      </c>
      <c r="D328" s="161" t="s">
        <v>30</v>
      </c>
      <c r="E328" s="161" t="s">
        <v>126</v>
      </c>
      <c r="F328" s="161" t="s">
        <v>105</v>
      </c>
      <c r="G328" s="162">
        <v>0</v>
      </c>
      <c r="H328" s="162" t="s">
        <v>35</v>
      </c>
      <c r="I328" s="161" t="s">
        <v>124</v>
      </c>
      <c r="J328" s="161" t="s">
        <v>50</v>
      </c>
      <c r="K328" s="163"/>
      <c r="L328" s="163"/>
      <c r="M328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328" s="163"/>
      <c r="O328" s="170"/>
      <c r="P328" s="142"/>
      <c r="Q328" s="142" t="s">
        <v>115</v>
      </c>
      <c r="R328" s="161"/>
      <c r="S328" s="168" t="s">
        <v>338</v>
      </c>
    </row>
    <row r="329" spans="1:19">
      <c r="A329" s="126" t="s">
        <v>642</v>
      </c>
      <c r="B329" s="46" t="s">
        <v>39</v>
      </c>
      <c r="C329" s="165" t="s">
        <v>349</v>
      </c>
      <c r="D329" s="158" t="s">
        <v>18</v>
      </c>
      <c r="E329" s="158" t="s">
        <v>33</v>
      </c>
      <c r="F329" s="158" t="s">
        <v>105</v>
      </c>
      <c r="G329" s="156">
        <v>0</v>
      </c>
      <c r="H329" s="156" t="s">
        <v>23</v>
      </c>
      <c r="I329" s="159" t="s">
        <v>526</v>
      </c>
      <c r="J329" s="159" t="s">
        <v>527</v>
      </c>
      <c r="K329" s="166"/>
      <c r="L329" s="160"/>
      <c r="M329" s="158"/>
      <c r="N329" s="160"/>
      <c r="O329" s="167"/>
      <c r="P329" s="143"/>
      <c r="Q329" s="158" t="s">
        <v>115</v>
      </c>
      <c r="R329" s="158"/>
      <c r="S329" s="165" t="s">
        <v>331</v>
      </c>
    </row>
    <row r="330" spans="1:19" outlineLevel="1">
      <c r="A330" s="171" t="s">
        <v>640</v>
      </c>
      <c r="B330" s="168" t="s">
        <v>39</v>
      </c>
      <c r="C330" s="168" t="s">
        <v>350</v>
      </c>
      <c r="D330" s="161" t="s">
        <v>22</v>
      </c>
      <c r="E330" s="161" t="s">
        <v>33</v>
      </c>
      <c r="F330" s="161" t="s">
        <v>105</v>
      </c>
      <c r="G330" s="162">
        <v>0.5</v>
      </c>
      <c r="H330" s="162" t="s">
        <v>23</v>
      </c>
      <c r="I330" s="161" t="s">
        <v>526</v>
      </c>
      <c r="J330" s="161" t="s">
        <v>527</v>
      </c>
      <c r="K330" s="163">
        <v>46146</v>
      </c>
      <c r="L330" s="163">
        <v>46234</v>
      </c>
      <c r="M330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65</v>
      </c>
      <c r="N330" s="163"/>
      <c r="O330" s="161" t="s">
        <v>26</v>
      </c>
      <c r="P330" s="161" t="s">
        <v>649</v>
      </c>
      <c r="Q330" s="161" t="s">
        <v>115</v>
      </c>
      <c r="R330" s="161"/>
      <c r="S330" s="168" t="s">
        <v>332</v>
      </c>
    </row>
    <row r="331" spans="1:19" outlineLevel="1">
      <c r="A331" s="171" t="s">
        <v>640</v>
      </c>
      <c r="B331" s="168" t="s">
        <v>39</v>
      </c>
      <c r="C331" s="168" t="s">
        <v>350</v>
      </c>
      <c r="D331" s="161" t="s">
        <v>28</v>
      </c>
      <c r="E331" s="161" t="s">
        <v>33</v>
      </c>
      <c r="F331" s="161" t="s">
        <v>105</v>
      </c>
      <c r="G331" s="162">
        <v>0</v>
      </c>
      <c r="H331" s="162" t="s">
        <v>23</v>
      </c>
      <c r="I331" s="161" t="s">
        <v>526</v>
      </c>
      <c r="J331" s="161" t="s">
        <v>527</v>
      </c>
      <c r="K331" s="163"/>
      <c r="L331" s="164"/>
      <c r="M331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331" s="163"/>
      <c r="O331" s="170"/>
      <c r="P331" s="142"/>
      <c r="Q331" s="161" t="s">
        <v>115</v>
      </c>
      <c r="R331" s="161" t="s">
        <v>650</v>
      </c>
      <c r="S331" s="168" t="s">
        <v>332</v>
      </c>
    </row>
    <row r="332" spans="1:19" outlineLevel="1">
      <c r="A332" s="171" t="s">
        <v>640</v>
      </c>
      <c r="B332" s="168" t="s">
        <v>39</v>
      </c>
      <c r="C332" s="168" t="s">
        <v>350</v>
      </c>
      <c r="D332" s="161" t="s">
        <v>29</v>
      </c>
      <c r="E332" s="161" t="s">
        <v>33</v>
      </c>
      <c r="F332" s="161" t="s">
        <v>105</v>
      </c>
      <c r="G332" s="162">
        <v>0</v>
      </c>
      <c r="H332" s="162" t="s">
        <v>23</v>
      </c>
      <c r="I332" s="161" t="s">
        <v>526</v>
      </c>
      <c r="J332" s="161" t="s">
        <v>527</v>
      </c>
      <c r="K332" s="163"/>
      <c r="L332" s="163"/>
      <c r="M332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332" s="163"/>
      <c r="O332" s="170"/>
      <c r="P332" s="142"/>
      <c r="Q332" s="142" t="s">
        <v>115</v>
      </c>
      <c r="R332" s="161" t="s">
        <v>650</v>
      </c>
      <c r="S332" s="168" t="s">
        <v>332</v>
      </c>
    </row>
    <row r="333" spans="1:19" outlineLevel="1">
      <c r="A333" s="171" t="s">
        <v>640</v>
      </c>
      <c r="B333" s="168" t="s">
        <v>39</v>
      </c>
      <c r="C333" s="168" t="s">
        <v>350</v>
      </c>
      <c r="D333" s="161" t="s">
        <v>30</v>
      </c>
      <c r="E333" s="161" t="s">
        <v>33</v>
      </c>
      <c r="F333" s="161" t="s">
        <v>105</v>
      </c>
      <c r="G333" s="162">
        <v>0</v>
      </c>
      <c r="H333" s="162" t="s">
        <v>23</v>
      </c>
      <c r="I333" s="161" t="s">
        <v>526</v>
      </c>
      <c r="J333" s="161" t="s">
        <v>527</v>
      </c>
      <c r="K333" s="163"/>
      <c r="L333" s="163"/>
      <c r="M333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333" s="163"/>
      <c r="O333" s="170"/>
      <c r="P333" s="142"/>
      <c r="Q333" s="142" t="s">
        <v>115</v>
      </c>
      <c r="R333" s="161" t="s">
        <v>650</v>
      </c>
      <c r="S333" s="168" t="s">
        <v>332</v>
      </c>
    </row>
    <row r="334" spans="1:19">
      <c r="A334" s="126" t="s">
        <v>642</v>
      </c>
      <c r="B334" s="46" t="s">
        <v>39</v>
      </c>
      <c r="C334" s="165" t="s">
        <v>351</v>
      </c>
      <c r="D334" s="158" t="s">
        <v>18</v>
      </c>
      <c r="E334" s="158" t="s">
        <v>33</v>
      </c>
      <c r="F334" s="158" t="s">
        <v>105</v>
      </c>
      <c r="G334" s="156">
        <v>0</v>
      </c>
      <c r="H334" s="156" t="s">
        <v>23</v>
      </c>
      <c r="I334" s="159" t="s">
        <v>526</v>
      </c>
      <c r="J334" s="159" t="s">
        <v>527</v>
      </c>
      <c r="K334" s="166"/>
      <c r="L334" s="160"/>
      <c r="M334" s="158"/>
      <c r="N334" s="160"/>
      <c r="O334" s="167"/>
      <c r="P334" s="143"/>
      <c r="Q334" s="158" t="s">
        <v>115</v>
      </c>
      <c r="R334" s="158"/>
      <c r="S334" s="165" t="s">
        <v>331</v>
      </c>
    </row>
    <row r="335" spans="1:19" outlineLevel="1">
      <c r="A335" s="171" t="s">
        <v>640</v>
      </c>
      <c r="B335" s="168" t="s">
        <v>39</v>
      </c>
      <c r="C335" s="168" t="s">
        <v>352</v>
      </c>
      <c r="D335" s="161" t="s">
        <v>22</v>
      </c>
      <c r="E335" s="161" t="s">
        <v>33</v>
      </c>
      <c r="F335" s="161" t="s">
        <v>105</v>
      </c>
      <c r="G335" s="162">
        <v>0.5</v>
      </c>
      <c r="H335" s="162" t="s">
        <v>23</v>
      </c>
      <c r="I335" s="161" t="s">
        <v>526</v>
      </c>
      <c r="J335" s="161" t="s">
        <v>527</v>
      </c>
      <c r="K335" s="163">
        <v>46146</v>
      </c>
      <c r="L335" s="163">
        <v>46234</v>
      </c>
      <c r="M335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44</v>
      </c>
      <c r="N335" s="163"/>
      <c r="O335" s="161" t="s">
        <v>26</v>
      </c>
      <c r="P335" s="161" t="s">
        <v>649</v>
      </c>
      <c r="Q335" s="161" t="s">
        <v>115</v>
      </c>
      <c r="R335" s="161"/>
      <c r="S335" s="168" t="s">
        <v>332</v>
      </c>
    </row>
    <row r="336" spans="1:19" outlineLevel="1">
      <c r="A336" s="171" t="s">
        <v>640</v>
      </c>
      <c r="B336" s="168" t="s">
        <v>39</v>
      </c>
      <c r="C336" s="168" t="s">
        <v>352</v>
      </c>
      <c r="D336" s="161" t="s">
        <v>28</v>
      </c>
      <c r="E336" s="161" t="s">
        <v>33</v>
      </c>
      <c r="F336" s="161" t="s">
        <v>105</v>
      </c>
      <c r="G336" s="162">
        <v>0</v>
      </c>
      <c r="H336" s="162" t="s">
        <v>23</v>
      </c>
      <c r="I336" s="161" t="s">
        <v>526</v>
      </c>
      <c r="J336" s="161" t="s">
        <v>527</v>
      </c>
      <c r="K336" s="163"/>
      <c r="L336" s="164"/>
      <c r="M336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336" s="163"/>
      <c r="O336" s="170"/>
      <c r="P336" s="142"/>
      <c r="Q336" s="161" t="s">
        <v>115</v>
      </c>
      <c r="R336" s="181" t="s">
        <v>650</v>
      </c>
      <c r="S336" s="168" t="s">
        <v>332</v>
      </c>
    </row>
    <row r="337" spans="1:19" outlineLevel="1">
      <c r="A337" s="171" t="s">
        <v>640</v>
      </c>
      <c r="B337" s="168" t="s">
        <v>39</v>
      </c>
      <c r="C337" s="168" t="s">
        <v>352</v>
      </c>
      <c r="D337" s="161" t="s">
        <v>29</v>
      </c>
      <c r="E337" s="161" t="s">
        <v>33</v>
      </c>
      <c r="F337" s="161" t="s">
        <v>105</v>
      </c>
      <c r="G337" s="162">
        <v>0</v>
      </c>
      <c r="H337" s="162" t="s">
        <v>23</v>
      </c>
      <c r="I337" s="161" t="s">
        <v>526</v>
      </c>
      <c r="J337" s="161" t="s">
        <v>527</v>
      </c>
      <c r="K337" s="163"/>
      <c r="L337" s="163"/>
      <c r="M337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337" s="163"/>
      <c r="O337" s="170"/>
      <c r="P337" s="142"/>
      <c r="Q337" s="142" t="s">
        <v>115</v>
      </c>
      <c r="R337" s="161" t="s">
        <v>650</v>
      </c>
      <c r="S337" s="168" t="s">
        <v>332</v>
      </c>
    </row>
    <row r="338" spans="1:19" outlineLevel="1">
      <c r="A338" s="171" t="s">
        <v>640</v>
      </c>
      <c r="B338" s="168" t="s">
        <v>39</v>
      </c>
      <c r="C338" s="168" t="s">
        <v>352</v>
      </c>
      <c r="D338" s="161" t="s">
        <v>30</v>
      </c>
      <c r="E338" s="161" t="s">
        <v>33</v>
      </c>
      <c r="F338" s="161" t="s">
        <v>105</v>
      </c>
      <c r="G338" s="162">
        <v>0</v>
      </c>
      <c r="H338" s="162" t="s">
        <v>23</v>
      </c>
      <c r="I338" s="161" t="s">
        <v>526</v>
      </c>
      <c r="J338" s="161" t="s">
        <v>527</v>
      </c>
      <c r="K338" s="163"/>
      <c r="L338" s="163"/>
      <c r="M338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338" s="163"/>
      <c r="O338" s="170"/>
      <c r="P338" s="142"/>
      <c r="Q338" s="142" t="s">
        <v>115</v>
      </c>
      <c r="R338" s="161" t="s">
        <v>650</v>
      </c>
      <c r="S338" s="168" t="s">
        <v>332</v>
      </c>
    </row>
    <row r="339" spans="1:19">
      <c r="A339" s="126" t="s">
        <v>642</v>
      </c>
      <c r="B339" s="56" t="s">
        <v>39</v>
      </c>
      <c r="C339" s="165" t="s">
        <v>528</v>
      </c>
      <c r="D339" s="158" t="s">
        <v>18</v>
      </c>
      <c r="E339" s="158" t="s">
        <v>33</v>
      </c>
      <c r="F339" s="158" t="s">
        <v>105</v>
      </c>
      <c r="G339" s="156">
        <v>0</v>
      </c>
      <c r="H339" s="156" t="s">
        <v>23</v>
      </c>
      <c r="I339" s="159" t="s">
        <v>526</v>
      </c>
      <c r="J339" s="159" t="s">
        <v>527</v>
      </c>
      <c r="K339" s="166"/>
      <c r="L339" s="160"/>
      <c r="M339" s="158"/>
      <c r="N339" s="160"/>
      <c r="O339" s="167"/>
      <c r="P339" s="143"/>
      <c r="Q339" s="158" t="s">
        <v>115</v>
      </c>
      <c r="R339" s="158"/>
      <c r="S339" s="165" t="s">
        <v>331</v>
      </c>
    </row>
    <row r="340" spans="1:19" outlineLevel="1">
      <c r="A340" s="171" t="s">
        <v>640</v>
      </c>
      <c r="B340" s="168" t="s">
        <v>39</v>
      </c>
      <c r="C340" s="168" t="s">
        <v>529</v>
      </c>
      <c r="D340" s="161" t="s">
        <v>22</v>
      </c>
      <c r="E340" s="161" t="s">
        <v>33</v>
      </c>
      <c r="F340" s="161" t="s">
        <v>105</v>
      </c>
      <c r="G340" s="162">
        <v>0.5</v>
      </c>
      <c r="H340" s="162" t="s">
        <v>23</v>
      </c>
      <c r="I340" s="161" t="s">
        <v>526</v>
      </c>
      <c r="J340" s="161" t="s">
        <v>527</v>
      </c>
      <c r="K340" s="163">
        <v>46146</v>
      </c>
      <c r="L340" s="163">
        <v>46234</v>
      </c>
      <c r="M340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44</v>
      </c>
      <c r="N340" s="163"/>
      <c r="O340" s="161" t="s">
        <v>26</v>
      </c>
      <c r="P340" s="161" t="s">
        <v>649</v>
      </c>
      <c r="Q340" s="161" t="s">
        <v>115</v>
      </c>
      <c r="R340" s="161"/>
      <c r="S340" s="168" t="s">
        <v>332</v>
      </c>
    </row>
    <row r="341" spans="1:19" outlineLevel="1">
      <c r="A341" s="171" t="s">
        <v>640</v>
      </c>
      <c r="B341" s="168" t="s">
        <v>39</v>
      </c>
      <c r="C341" s="168" t="s">
        <v>529</v>
      </c>
      <c r="D341" s="161" t="s">
        <v>28</v>
      </c>
      <c r="E341" s="161" t="s">
        <v>33</v>
      </c>
      <c r="F341" s="161" t="s">
        <v>105</v>
      </c>
      <c r="G341" s="162">
        <v>0</v>
      </c>
      <c r="H341" s="162" t="s">
        <v>23</v>
      </c>
      <c r="I341" s="161" t="s">
        <v>526</v>
      </c>
      <c r="J341" s="161" t="s">
        <v>527</v>
      </c>
      <c r="K341" s="163"/>
      <c r="L341" s="164"/>
      <c r="M341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341" s="163"/>
      <c r="O341" s="170"/>
      <c r="P341" s="142"/>
      <c r="Q341" s="161" t="s">
        <v>115</v>
      </c>
      <c r="R341" s="161" t="s">
        <v>650</v>
      </c>
      <c r="S341" s="168" t="s">
        <v>332</v>
      </c>
    </row>
    <row r="342" spans="1:19" outlineLevel="1">
      <c r="A342" s="171" t="s">
        <v>640</v>
      </c>
      <c r="B342" s="168" t="s">
        <v>39</v>
      </c>
      <c r="C342" s="168" t="s">
        <v>529</v>
      </c>
      <c r="D342" s="161" t="s">
        <v>29</v>
      </c>
      <c r="E342" s="161" t="s">
        <v>33</v>
      </c>
      <c r="F342" s="161" t="s">
        <v>105</v>
      </c>
      <c r="G342" s="162">
        <v>0</v>
      </c>
      <c r="H342" s="162" t="s">
        <v>23</v>
      </c>
      <c r="I342" s="161" t="s">
        <v>526</v>
      </c>
      <c r="J342" s="161" t="s">
        <v>527</v>
      </c>
      <c r="K342" s="163"/>
      <c r="L342" s="163"/>
      <c r="M342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342" s="163"/>
      <c r="O342" s="170"/>
      <c r="P342" s="142"/>
      <c r="Q342" s="142" t="s">
        <v>115</v>
      </c>
      <c r="R342" s="161" t="s">
        <v>650</v>
      </c>
      <c r="S342" s="168" t="s">
        <v>332</v>
      </c>
    </row>
    <row r="343" spans="1:19" outlineLevel="1">
      <c r="A343" s="171" t="s">
        <v>640</v>
      </c>
      <c r="B343" s="168" t="s">
        <v>39</v>
      </c>
      <c r="C343" s="168" t="s">
        <v>529</v>
      </c>
      <c r="D343" s="161" t="s">
        <v>30</v>
      </c>
      <c r="E343" s="161" t="s">
        <v>33</v>
      </c>
      <c r="F343" s="161" t="s">
        <v>105</v>
      </c>
      <c r="G343" s="162">
        <v>0</v>
      </c>
      <c r="H343" s="162" t="s">
        <v>23</v>
      </c>
      <c r="I343" s="161" t="s">
        <v>526</v>
      </c>
      <c r="J343" s="161" t="s">
        <v>527</v>
      </c>
      <c r="K343" s="163"/>
      <c r="L343" s="163"/>
      <c r="M343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343" s="163"/>
      <c r="O343" s="170"/>
      <c r="P343" s="142"/>
      <c r="Q343" s="142" t="s">
        <v>115</v>
      </c>
      <c r="R343" s="161" t="s">
        <v>650</v>
      </c>
      <c r="S343" s="168" t="s">
        <v>332</v>
      </c>
    </row>
    <row r="344" spans="1:19">
      <c r="A344" s="126" t="s">
        <v>640</v>
      </c>
      <c r="B344" s="46" t="s">
        <v>39</v>
      </c>
      <c r="C344" s="165" t="s">
        <v>355</v>
      </c>
      <c r="D344" s="158" t="s">
        <v>18</v>
      </c>
      <c r="E344" s="158" t="s">
        <v>33</v>
      </c>
      <c r="F344" s="158" t="s">
        <v>105</v>
      </c>
      <c r="G344" s="156">
        <v>0</v>
      </c>
      <c r="H344" s="156" t="s">
        <v>23</v>
      </c>
      <c r="I344" s="159" t="s">
        <v>526</v>
      </c>
      <c r="J344" s="159" t="s">
        <v>527</v>
      </c>
      <c r="K344" s="166"/>
      <c r="L344" s="160"/>
      <c r="M344" s="158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344" s="160"/>
      <c r="O344" s="167"/>
      <c r="P344" s="143"/>
      <c r="Q344" s="158" t="s">
        <v>115</v>
      </c>
      <c r="R344" s="158"/>
      <c r="S344" s="165" t="s">
        <v>331</v>
      </c>
    </row>
    <row r="345" spans="1:19" outlineLevel="1">
      <c r="A345" s="171" t="s">
        <v>640</v>
      </c>
      <c r="B345" s="168" t="s">
        <v>39</v>
      </c>
      <c r="C345" s="168" t="s">
        <v>356</v>
      </c>
      <c r="D345" s="161" t="s">
        <v>22</v>
      </c>
      <c r="E345" s="161" t="s">
        <v>33</v>
      </c>
      <c r="F345" s="161" t="s">
        <v>105</v>
      </c>
      <c r="G345" s="162">
        <v>0.5</v>
      </c>
      <c r="H345" s="162" t="s">
        <v>23</v>
      </c>
      <c r="I345" s="161" t="s">
        <v>526</v>
      </c>
      <c r="J345" s="161" t="s">
        <v>527</v>
      </c>
      <c r="K345" s="163">
        <v>46146</v>
      </c>
      <c r="L345" s="163">
        <v>46234</v>
      </c>
      <c r="M345" s="169" cm="1">
        <f t="array" ref="M345"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0</v>
      </c>
      <c r="N345" s="163"/>
      <c r="O345" s="161" t="s">
        <v>26</v>
      </c>
      <c r="P345" s="161" t="s">
        <v>649</v>
      </c>
      <c r="Q345" s="161" t="s">
        <v>115</v>
      </c>
      <c r="R345" s="161"/>
      <c r="S345" s="168" t="s">
        <v>332</v>
      </c>
    </row>
    <row r="346" spans="1:19" outlineLevel="1">
      <c r="A346" s="171" t="s">
        <v>640</v>
      </c>
      <c r="B346" s="168" t="s">
        <v>39</v>
      </c>
      <c r="C346" s="168" t="s">
        <v>356</v>
      </c>
      <c r="D346" s="161" t="s">
        <v>28</v>
      </c>
      <c r="E346" s="161" t="s">
        <v>33</v>
      </c>
      <c r="F346" s="161" t="s">
        <v>105</v>
      </c>
      <c r="G346" s="162">
        <v>0</v>
      </c>
      <c r="H346" s="162" t="s">
        <v>23</v>
      </c>
      <c r="I346" s="161" t="s">
        <v>526</v>
      </c>
      <c r="J346" s="161" t="s">
        <v>527</v>
      </c>
      <c r="K346" s="163"/>
      <c r="L346" s="164"/>
      <c r="M346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346" s="163"/>
      <c r="O346" s="170"/>
      <c r="P346" s="142"/>
      <c r="Q346" s="161" t="s">
        <v>115</v>
      </c>
      <c r="R346" s="161" t="s">
        <v>650</v>
      </c>
      <c r="S346" s="168" t="s">
        <v>332</v>
      </c>
    </row>
    <row r="347" spans="1:19" outlineLevel="1">
      <c r="A347" s="171" t="s">
        <v>640</v>
      </c>
      <c r="B347" s="168" t="s">
        <v>39</v>
      </c>
      <c r="C347" s="168" t="s">
        <v>356</v>
      </c>
      <c r="D347" s="161" t="s">
        <v>29</v>
      </c>
      <c r="E347" s="161" t="s">
        <v>33</v>
      </c>
      <c r="F347" s="161" t="s">
        <v>105</v>
      </c>
      <c r="G347" s="162">
        <v>0</v>
      </c>
      <c r="H347" s="162" t="s">
        <v>23</v>
      </c>
      <c r="I347" s="161" t="s">
        <v>526</v>
      </c>
      <c r="J347" s="161" t="s">
        <v>527</v>
      </c>
      <c r="K347" s="163"/>
      <c r="L347" s="163"/>
      <c r="M347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347" s="163"/>
      <c r="O347" s="170"/>
      <c r="P347" s="142"/>
      <c r="Q347" s="142" t="s">
        <v>115</v>
      </c>
      <c r="R347" s="161" t="s">
        <v>650</v>
      </c>
      <c r="S347" s="168" t="s">
        <v>332</v>
      </c>
    </row>
    <row r="348" spans="1:19" outlineLevel="1">
      <c r="A348" s="171" t="s">
        <v>640</v>
      </c>
      <c r="B348" s="168" t="s">
        <v>39</v>
      </c>
      <c r="C348" s="168" t="s">
        <v>356</v>
      </c>
      <c r="D348" s="161" t="s">
        <v>30</v>
      </c>
      <c r="E348" s="161" t="s">
        <v>33</v>
      </c>
      <c r="F348" s="161" t="s">
        <v>105</v>
      </c>
      <c r="G348" s="162">
        <v>0</v>
      </c>
      <c r="H348" s="162" t="s">
        <v>23</v>
      </c>
      <c r="I348" s="161" t="s">
        <v>526</v>
      </c>
      <c r="J348" s="161" t="s">
        <v>527</v>
      </c>
      <c r="K348" s="163"/>
      <c r="L348" s="163"/>
      <c r="M348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348" s="163"/>
      <c r="O348" s="170"/>
      <c r="P348" s="142"/>
      <c r="Q348" s="142" t="s">
        <v>115</v>
      </c>
      <c r="R348" s="161" t="s">
        <v>650</v>
      </c>
      <c r="S348" s="168" t="s">
        <v>332</v>
      </c>
    </row>
    <row r="349" spans="1:19">
      <c r="A349" s="126" t="s">
        <v>642</v>
      </c>
      <c r="B349" s="46" t="s">
        <v>39</v>
      </c>
      <c r="C349" s="165" t="s">
        <v>357</v>
      </c>
      <c r="D349" s="158" t="s">
        <v>18</v>
      </c>
      <c r="E349" s="158" t="s">
        <v>33</v>
      </c>
      <c r="F349" s="158" t="s">
        <v>105</v>
      </c>
      <c r="G349" s="156">
        <v>1</v>
      </c>
      <c r="H349" s="156" t="s">
        <v>359</v>
      </c>
      <c r="I349" s="159" t="s">
        <v>139</v>
      </c>
      <c r="J349" s="159" t="s">
        <v>527</v>
      </c>
      <c r="K349" s="166">
        <v>46034</v>
      </c>
      <c r="L349" s="160">
        <v>46203</v>
      </c>
      <c r="M349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122</v>
      </c>
      <c r="N349" s="160">
        <v>46127</v>
      </c>
      <c r="O349" s="167"/>
      <c r="P349" s="143"/>
      <c r="Q349" s="158" t="s">
        <v>115</v>
      </c>
      <c r="R349" s="158"/>
      <c r="S349" s="165" t="s">
        <v>331</v>
      </c>
    </row>
    <row r="350" spans="1:19" outlineLevel="1">
      <c r="A350" s="171" t="s">
        <v>640</v>
      </c>
      <c r="B350" s="168" t="s">
        <v>39</v>
      </c>
      <c r="C350" s="168" t="s">
        <v>358</v>
      </c>
      <c r="D350" s="161" t="s">
        <v>22</v>
      </c>
      <c r="E350" s="161" t="s">
        <v>33</v>
      </c>
      <c r="F350" s="161" t="s">
        <v>105</v>
      </c>
      <c r="G350" s="162">
        <v>0.75</v>
      </c>
      <c r="H350" s="162" t="s">
        <v>359</v>
      </c>
      <c r="I350" s="161" t="s">
        <v>139</v>
      </c>
      <c r="J350" s="161" t="s">
        <v>527</v>
      </c>
      <c r="K350" s="163">
        <v>46034</v>
      </c>
      <c r="L350" s="163">
        <v>46099</v>
      </c>
      <c r="M350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48</v>
      </c>
      <c r="N350" s="163"/>
      <c r="O350" s="170" t="s">
        <v>108</v>
      </c>
      <c r="P350" s="161" t="s">
        <v>108</v>
      </c>
      <c r="Q350" s="161" t="s">
        <v>115</v>
      </c>
      <c r="R350" s="161" t="s">
        <v>652</v>
      </c>
      <c r="S350" s="168" t="s">
        <v>332</v>
      </c>
    </row>
    <row r="351" spans="1:19" outlineLevel="1">
      <c r="A351" s="171" t="s">
        <v>640</v>
      </c>
      <c r="B351" s="168" t="s">
        <v>39</v>
      </c>
      <c r="C351" s="168" t="s">
        <v>358</v>
      </c>
      <c r="D351" s="161" t="s">
        <v>28</v>
      </c>
      <c r="E351" s="161" t="s">
        <v>33</v>
      </c>
      <c r="F351" s="161" t="s">
        <v>105</v>
      </c>
      <c r="G351" s="162">
        <v>0</v>
      </c>
      <c r="H351" s="162" t="s">
        <v>359</v>
      </c>
      <c r="I351" s="161" t="s">
        <v>139</v>
      </c>
      <c r="J351" s="161" t="s">
        <v>527</v>
      </c>
      <c r="K351" s="163"/>
      <c r="L351" s="164"/>
      <c r="M351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351" s="163"/>
      <c r="O351" s="170" t="s">
        <v>650</v>
      </c>
      <c r="P351" s="142"/>
      <c r="Q351" s="161" t="s">
        <v>115</v>
      </c>
      <c r="R351" s="161"/>
      <c r="S351" s="168" t="s">
        <v>332</v>
      </c>
    </row>
    <row r="352" spans="1:19" outlineLevel="1">
      <c r="A352" s="171" t="s">
        <v>640</v>
      </c>
      <c r="B352" s="168" t="s">
        <v>39</v>
      </c>
      <c r="C352" s="168" t="s">
        <v>358</v>
      </c>
      <c r="D352" s="161" t="s">
        <v>29</v>
      </c>
      <c r="E352" s="161" t="s">
        <v>33</v>
      </c>
      <c r="F352" s="161" t="s">
        <v>105</v>
      </c>
      <c r="G352" s="162">
        <v>0</v>
      </c>
      <c r="H352" s="162" t="s">
        <v>359</v>
      </c>
      <c r="I352" s="161" t="s">
        <v>139</v>
      </c>
      <c r="J352" s="161" t="s">
        <v>527</v>
      </c>
      <c r="K352" s="163"/>
      <c r="L352" s="163"/>
      <c r="M352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352" s="163"/>
      <c r="O352" s="170" t="s">
        <v>650</v>
      </c>
      <c r="P352" s="142"/>
      <c r="Q352" s="142" t="s">
        <v>115</v>
      </c>
      <c r="R352" s="161"/>
      <c r="S352" s="168" t="s">
        <v>332</v>
      </c>
    </row>
    <row r="353" spans="1:19" outlineLevel="1">
      <c r="A353" s="171" t="s">
        <v>640</v>
      </c>
      <c r="B353" s="168" t="s">
        <v>39</v>
      </c>
      <c r="C353" s="168" t="s">
        <v>358</v>
      </c>
      <c r="D353" s="161" t="s">
        <v>30</v>
      </c>
      <c r="E353" s="161" t="s">
        <v>33</v>
      </c>
      <c r="F353" s="161" t="s">
        <v>105</v>
      </c>
      <c r="G353" s="162">
        <v>0</v>
      </c>
      <c r="H353" s="162" t="s">
        <v>359</v>
      </c>
      <c r="I353" s="161" t="s">
        <v>139</v>
      </c>
      <c r="J353" s="161" t="s">
        <v>527</v>
      </c>
      <c r="K353" s="163"/>
      <c r="L353" s="163"/>
      <c r="M353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353" s="163"/>
      <c r="O353" s="170" t="s">
        <v>650</v>
      </c>
      <c r="P353" s="142"/>
      <c r="Q353" s="142" t="s">
        <v>115</v>
      </c>
      <c r="R353" s="161"/>
      <c r="S353" s="168" t="s">
        <v>332</v>
      </c>
    </row>
    <row r="354" spans="1:19">
      <c r="A354" s="126" t="s">
        <v>642</v>
      </c>
      <c r="B354" s="46" t="s">
        <v>39</v>
      </c>
      <c r="C354" s="165" t="s">
        <v>360</v>
      </c>
      <c r="D354" s="158" t="s">
        <v>18</v>
      </c>
      <c r="E354" s="158" t="s">
        <v>33</v>
      </c>
      <c r="F354" s="158" t="s">
        <v>105</v>
      </c>
      <c r="G354" s="156">
        <v>0.5</v>
      </c>
      <c r="H354" s="156" t="s">
        <v>359</v>
      </c>
      <c r="I354" s="159" t="s">
        <v>653</v>
      </c>
      <c r="J354" s="159" t="s">
        <v>527</v>
      </c>
      <c r="K354" s="166">
        <v>46073</v>
      </c>
      <c r="L354" s="160">
        <v>46203</v>
      </c>
      <c r="M354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93</v>
      </c>
      <c r="N354" s="160"/>
      <c r="O354" s="167"/>
      <c r="P354" s="143"/>
      <c r="Q354" s="158" t="s">
        <v>115</v>
      </c>
      <c r="R354" s="158"/>
      <c r="S354" s="165" t="s">
        <v>331</v>
      </c>
    </row>
    <row r="355" spans="1:19" outlineLevel="1">
      <c r="A355" s="171" t="s">
        <v>640</v>
      </c>
      <c r="B355" s="168" t="s">
        <v>39</v>
      </c>
      <c r="C355" s="168" t="s">
        <v>361</v>
      </c>
      <c r="D355" s="161" t="s">
        <v>22</v>
      </c>
      <c r="E355" s="161" t="s">
        <v>33</v>
      </c>
      <c r="F355" s="161" t="s">
        <v>105</v>
      </c>
      <c r="G355" s="162">
        <v>0.5</v>
      </c>
      <c r="H355" s="162" t="s">
        <v>359</v>
      </c>
      <c r="I355" s="161" t="s">
        <v>653</v>
      </c>
      <c r="J355" s="161" t="s">
        <v>527</v>
      </c>
      <c r="K355" s="163">
        <v>46073</v>
      </c>
      <c r="L355" s="163">
        <v>46150</v>
      </c>
      <c r="M355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56</v>
      </c>
      <c r="N355" s="163"/>
      <c r="O355" s="170" t="s">
        <v>26</v>
      </c>
      <c r="P355" s="161" t="s">
        <v>26</v>
      </c>
      <c r="Q355" s="161" t="s">
        <v>115</v>
      </c>
      <c r="R355" s="161" t="s">
        <v>654</v>
      </c>
      <c r="S355" s="168" t="s">
        <v>332</v>
      </c>
    </row>
    <row r="356" spans="1:19" outlineLevel="1">
      <c r="A356" s="171" t="s">
        <v>640</v>
      </c>
      <c r="B356" s="168" t="s">
        <v>39</v>
      </c>
      <c r="C356" s="168" t="s">
        <v>361</v>
      </c>
      <c r="D356" s="161" t="s">
        <v>28</v>
      </c>
      <c r="E356" s="161" t="s">
        <v>33</v>
      </c>
      <c r="F356" s="161" t="s">
        <v>105</v>
      </c>
      <c r="G356" s="162">
        <v>0</v>
      </c>
      <c r="H356" s="162" t="s">
        <v>359</v>
      </c>
      <c r="I356" s="161" t="s">
        <v>653</v>
      </c>
      <c r="J356" s="161" t="s">
        <v>527</v>
      </c>
      <c r="K356" s="163"/>
      <c r="L356" s="164"/>
      <c r="M356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356" s="163"/>
      <c r="O356" s="170" t="s">
        <v>650</v>
      </c>
      <c r="P356" s="142"/>
      <c r="Q356" s="161" t="s">
        <v>115</v>
      </c>
      <c r="R356" s="161"/>
      <c r="S356" s="168" t="s">
        <v>332</v>
      </c>
    </row>
    <row r="357" spans="1:19" outlineLevel="1">
      <c r="A357" s="171" t="s">
        <v>640</v>
      </c>
      <c r="B357" s="168" t="s">
        <v>39</v>
      </c>
      <c r="C357" s="168" t="s">
        <v>361</v>
      </c>
      <c r="D357" s="161" t="s">
        <v>29</v>
      </c>
      <c r="E357" s="161" t="s">
        <v>33</v>
      </c>
      <c r="F357" s="161" t="s">
        <v>105</v>
      </c>
      <c r="G357" s="162">
        <v>0</v>
      </c>
      <c r="H357" s="162" t="s">
        <v>359</v>
      </c>
      <c r="I357" s="161" t="s">
        <v>653</v>
      </c>
      <c r="J357" s="161" t="s">
        <v>527</v>
      </c>
      <c r="K357" s="163"/>
      <c r="L357" s="163"/>
      <c r="M357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357" s="163"/>
      <c r="O357" s="170" t="s">
        <v>650</v>
      </c>
      <c r="P357" s="142"/>
      <c r="Q357" s="142" t="s">
        <v>115</v>
      </c>
      <c r="R357" s="161"/>
      <c r="S357" s="168" t="s">
        <v>332</v>
      </c>
    </row>
    <row r="358" spans="1:19" outlineLevel="1">
      <c r="A358" s="171" t="s">
        <v>640</v>
      </c>
      <c r="B358" s="168" t="s">
        <v>39</v>
      </c>
      <c r="C358" s="168" t="s">
        <v>361</v>
      </c>
      <c r="D358" s="161" t="s">
        <v>30</v>
      </c>
      <c r="E358" s="161" t="s">
        <v>33</v>
      </c>
      <c r="F358" s="161" t="s">
        <v>105</v>
      </c>
      <c r="G358" s="162">
        <v>0</v>
      </c>
      <c r="H358" s="162" t="s">
        <v>359</v>
      </c>
      <c r="I358" s="161" t="s">
        <v>653</v>
      </c>
      <c r="J358" s="161" t="s">
        <v>527</v>
      </c>
      <c r="K358" s="163"/>
      <c r="L358" s="163"/>
      <c r="M358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358" s="163"/>
      <c r="O358" s="170" t="s">
        <v>650</v>
      </c>
      <c r="P358" s="142"/>
      <c r="Q358" s="142" t="s">
        <v>115</v>
      </c>
      <c r="R358" s="161"/>
      <c r="S358" s="168" t="s">
        <v>332</v>
      </c>
    </row>
    <row r="359" spans="1:19">
      <c r="A359" s="126" t="s">
        <v>642</v>
      </c>
      <c r="B359" s="46" t="s">
        <v>39</v>
      </c>
      <c r="C359" s="165" t="s">
        <v>362</v>
      </c>
      <c r="D359" s="158" t="s">
        <v>18</v>
      </c>
      <c r="E359" s="158" t="s">
        <v>19</v>
      </c>
      <c r="F359" s="158" t="s">
        <v>105</v>
      </c>
      <c r="G359" s="156">
        <v>0</v>
      </c>
      <c r="H359" s="156" t="s">
        <v>569</v>
      </c>
      <c r="I359" s="159" t="s">
        <v>229</v>
      </c>
      <c r="J359" s="159" t="s">
        <v>532</v>
      </c>
      <c r="K359" s="166">
        <v>46113</v>
      </c>
      <c r="L359" s="160">
        <v>46190</v>
      </c>
      <c r="M359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56</v>
      </c>
      <c r="N359" s="160"/>
      <c r="O359" s="167"/>
      <c r="P359" s="143"/>
      <c r="Q359" s="158" t="s">
        <v>141</v>
      </c>
      <c r="R359" s="158"/>
      <c r="S359" s="177"/>
    </row>
    <row r="360" spans="1:19" outlineLevel="1">
      <c r="A360" s="171" t="s">
        <v>640</v>
      </c>
      <c r="B360" s="168" t="s">
        <v>39</v>
      </c>
      <c r="C360" s="168" t="s">
        <v>363</v>
      </c>
      <c r="D360" s="161" t="s">
        <v>22</v>
      </c>
      <c r="E360" s="161" t="s">
        <v>19</v>
      </c>
      <c r="F360" s="161" t="s">
        <v>105</v>
      </c>
      <c r="G360" s="162">
        <v>0</v>
      </c>
      <c r="H360" s="162" t="s">
        <v>569</v>
      </c>
      <c r="I360" s="161" t="s">
        <v>229</v>
      </c>
      <c r="J360" s="161" t="s">
        <v>532</v>
      </c>
      <c r="K360" s="163"/>
      <c r="L360" s="163"/>
      <c r="M360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360" s="163"/>
      <c r="O360" s="170"/>
      <c r="P360" s="161"/>
      <c r="Q360" s="161" t="s">
        <v>141</v>
      </c>
      <c r="R360" s="161"/>
      <c r="S360" s="178"/>
    </row>
    <row r="361" spans="1:19" outlineLevel="1">
      <c r="A361" s="171" t="s">
        <v>640</v>
      </c>
      <c r="B361" s="168" t="s">
        <v>39</v>
      </c>
      <c r="C361" s="168" t="s">
        <v>363</v>
      </c>
      <c r="D361" s="161" t="s">
        <v>28</v>
      </c>
      <c r="E361" s="161" t="s">
        <v>19</v>
      </c>
      <c r="F361" s="161" t="s">
        <v>105</v>
      </c>
      <c r="G361" s="162">
        <v>0</v>
      </c>
      <c r="H361" s="162" t="s">
        <v>569</v>
      </c>
      <c r="I361" s="161" t="s">
        <v>229</v>
      </c>
      <c r="J361" s="161" t="s">
        <v>532</v>
      </c>
      <c r="K361" s="163"/>
      <c r="L361" s="164"/>
      <c r="M361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361" s="163"/>
      <c r="O361" s="170"/>
      <c r="P361" s="142"/>
      <c r="Q361" s="161" t="s">
        <v>141</v>
      </c>
      <c r="R361" s="161"/>
      <c r="S361" s="178"/>
    </row>
    <row r="362" spans="1:19" outlineLevel="1">
      <c r="A362" s="171" t="s">
        <v>640</v>
      </c>
      <c r="B362" s="168" t="s">
        <v>39</v>
      </c>
      <c r="C362" s="168" t="s">
        <v>363</v>
      </c>
      <c r="D362" s="161" t="s">
        <v>29</v>
      </c>
      <c r="E362" s="161" t="s">
        <v>19</v>
      </c>
      <c r="F362" s="161" t="s">
        <v>105</v>
      </c>
      <c r="G362" s="162">
        <v>0</v>
      </c>
      <c r="H362" s="162" t="s">
        <v>569</v>
      </c>
      <c r="I362" s="161" t="s">
        <v>229</v>
      </c>
      <c r="J362" s="161" t="s">
        <v>532</v>
      </c>
      <c r="K362" s="163"/>
      <c r="L362" s="163"/>
      <c r="M362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362" s="163"/>
      <c r="O362" s="170"/>
      <c r="P362" s="142"/>
      <c r="Q362" s="142" t="s">
        <v>141</v>
      </c>
      <c r="R362" s="161"/>
      <c r="S362" s="178"/>
    </row>
    <row r="363" spans="1:19" outlineLevel="1">
      <c r="A363" s="171" t="s">
        <v>640</v>
      </c>
      <c r="B363" s="168" t="s">
        <v>39</v>
      </c>
      <c r="C363" s="168" t="s">
        <v>363</v>
      </c>
      <c r="D363" s="161" t="s">
        <v>30</v>
      </c>
      <c r="E363" s="161" t="s">
        <v>19</v>
      </c>
      <c r="F363" s="161" t="s">
        <v>105</v>
      </c>
      <c r="G363" s="162">
        <v>0</v>
      </c>
      <c r="H363" s="162" t="s">
        <v>569</v>
      </c>
      <c r="I363" s="161" t="s">
        <v>229</v>
      </c>
      <c r="J363" s="161" t="s">
        <v>532</v>
      </c>
      <c r="K363" s="163"/>
      <c r="L363" s="163"/>
      <c r="M363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363" s="163"/>
      <c r="O363" s="170"/>
      <c r="P363" s="142"/>
      <c r="Q363" s="142" t="s">
        <v>141</v>
      </c>
      <c r="R363" s="161"/>
      <c r="S363" s="178"/>
    </row>
    <row r="364" spans="1:19">
      <c r="A364" s="126" t="s">
        <v>642</v>
      </c>
      <c r="B364" s="46" t="s">
        <v>39</v>
      </c>
      <c r="C364" s="165" t="s">
        <v>364</v>
      </c>
      <c r="D364" s="158" t="s">
        <v>18</v>
      </c>
      <c r="E364" s="158" t="s">
        <v>33</v>
      </c>
      <c r="F364" s="158" t="s">
        <v>105</v>
      </c>
      <c r="G364" s="156">
        <v>0</v>
      </c>
      <c r="H364" s="156" t="s">
        <v>569</v>
      </c>
      <c r="I364" s="159" t="s">
        <v>229</v>
      </c>
      <c r="J364" s="159" t="s">
        <v>532</v>
      </c>
      <c r="K364" s="166">
        <v>46113</v>
      </c>
      <c r="L364" s="160">
        <v>46190</v>
      </c>
      <c r="M364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56</v>
      </c>
      <c r="N364" s="160"/>
      <c r="O364" s="167"/>
      <c r="P364" s="143"/>
      <c r="Q364" s="158" t="s">
        <v>141</v>
      </c>
      <c r="R364" s="158"/>
      <c r="S364" s="165" t="s">
        <v>362</v>
      </c>
    </row>
    <row r="365" spans="1:19" outlineLevel="1">
      <c r="A365" s="171" t="s">
        <v>640</v>
      </c>
      <c r="B365" s="168" t="s">
        <v>39</v>
      </c>
      <c r="C365" s="168" t="s">
        <v>365</v>
      </c>
      <c r="D365" s="161" t="s">
        <v>22</v>
      </c>
      <c r="E365" s="161" t="s">
        <v>33</v>
      </c>
      <c r="F365" s="161" t="s">
        <v>105</v>
      </c>
      <c r="G365" s="162">
        <v>0</v>
      </c>
      <c r="H365" s="162" t="s">
        <v>569</v>
      </c>
      <c r="I365" s="161" t="s">
        <v>229</v>
      </c>
      <c r="J365" s="161" t="s">
        <v>532</v>
      </c>
      <c r="K365" s="163">
        <v>46113</v>
      </c>
      <c r="L365" s="163">
        <v>46190</v>
      </c>
      <c r="M365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56</v>
      </c>
      <c r="N365" s="163"/>
      <c r="O365" s="170" t="s">
        <v>43</v>
      </c>
      <c r="P365" s="161" t="s">
        <v>26</v>
      </c>
      <c r="Q365" s="161" t="s">
        <v>141</v>
      </c>
      <c r="R365" s="161" t="s">
        <v>655</v>
      </c>
      <c r="S365" s="168" t="s">
        <v>363</v>
      </c>
    </row>
    <row r="366" spans="1:19" outlineLevel="1">
      <c r="A366" s="171" t="s">
        <v>640</v>
      </c>
      <c r="B366" s="168" t="s">
        <v>39</v>
      </c>
      <c r="C366" s="168" t="s">
        <v>365</v>
      </c>
      <c r="D366" s="161" t="s">
        <v>28</v>
      </c>
      <c r="E366" s="161" t="s">
        <v>33</v>
      </c>
      <c r="F366" s="161" t="s">
        <v>105</v>
      </c>
      <c r="G366" s="162">
        <v>0</v>
      </c>
      <c r="H366" s="162" t="s">
        <v>569</v>
      </c>
      <c r="I366" s="161" t="s">
        <v>229</v>
      </c>
      <c r="J366" s="161" t="s">
        <v>532</v>
      </c>
      <c r="K366" s="163">
        <v>46113</v>
      </c>
      <c r="L366" s="164">
        <v>46188</v>
      </c>
      <c r="M366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54</v>
      </c>
      <c r="N366" s="163"/>
      <c r="O366" s="170" t="s">
        <v>43</v>
      </c>
      <c r="P366" s="142" t="s">
        <v>28</v>
      </c>
      <c r="Q366" s="161" t="s">
        <v>141</v>
      </c>
      <c r="R366" s="161"/>
      <c r="S366" s="168" t="s">
        <v>363</v>
      </c>
    </row>
    <row r="367" spans="1:19" outlineLevel="1">
      <c r="A367" s="171" t="s">
        <v>640</v>
      </c>
      <c r="B367" s="168" t="s">
        <v>39</v>
      </c>
      <c r="C367" s="168" t="s">
        <v>365</v>
      </c>
      <c r="D367" s="161" t="s">
        <v>29</v>
      </c>
      <c r="E367" s="161" t="s">
        <v>33</v>
      </c>
      <c r="F367" s="161" t="s">
        <v>105</v>
      </c>
      <c r="G367" s="162">
        <v>0</v>
      </c>
      <c r="H367" s="162" t="s">
        <v>569</v>
      </c>
      <c r="I367" s="161" t="s">
        <v>229</v>
      </c>
      <c r="J367" s="161" t="s">
        <v>532</v>
      </c>
      <c r="K367" s="163"/>
      <c r="L367" s="163"/>
      <c r="M367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367" s="163"/>
      <c r="O367" s="170"/>
      <c r="P367" s="142"/>
      <c r="Q367" s="142" t="s">
        <v>141</v>
      </c>
      <c r="R367" s="161"/>
      <c r="S367" s="168" t="s">
        <v>363</v>
      </c>
    </row>
    <row r="368" spans="1:19" outlineLevel="1">
      <c r="A368" s="171" t="s">
        <v>640</v>
      </c>
      <c r="B368" s="168" t="s">
        <v>39</v>
      </c>
      <c r="C368" s="168" t="s">
        <v>365</v>
      </c>
      <c r="D368" s="161" t="s">
        <v>30</v>
      </c>
      <c r="E368" s="161" t="s">
        <v>33</v>
      </c>
      <c r="F368" s="161" t="s">
        <v>105</v>
      </c>
      <c r="G368" s="162">
        <v>0</v>
      </c>
      <c r="H368" s="162" t="s">
        <v>569</v>
      </c>
      <c r="I368" s="161" t="s">
        <v>229</v>
      </c>
      <c r="J368" s="161" t="s">
        <v>532</v>
      </c>
      <c r="K368" s="163"/>
      <c r="L368" s="163"/>
      <c r="M368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368" s="163"/>
      <c r="O368" s="170"/>
      <c r="P368" s="142"/>
      <c r="Q368" s="142" t="s">
        <v>141</v>
      </c>
      <c r="R368" s="161"/>
      <c r="S368" s="168" t="s">
        <v>363</v>
      </c>
    </row>
    <row r="369" spans="1:19">
      <c r="A369" s="126" t="s">
        <v>642</v>
      </c>
      <c r="B369" s="46" t="s">
        <v>39</v>
      </c>
      <c r="C369" s="165" t="s">
        <v>533</v>
      </c>
      <c r="D369" s="158" t="s">
        <v>18</v>
      </c>
      <c r="E369" s="158" t="s">
        <v>33</v>
      </c>
      <c r="F369" s="158" t="s">
        <v>105</v>
      </c>
      <c r="G369" s="156">
        <v>0</v>
      </c>
      <c r="H369" s="156" t="s">
        <v>569</v>
      </c>
      <c r="I369" s="159" t="s">
        <v>229</v>
      </c>
      <c r="J369" s="159" t="s">
        <v>532</v>
      </c>
      <c r="K369" s="166">
        <v>46113</v>
      </c>
      <c r="L369" s="160">
        <v>46190</v>
      </c>
      <c r="M369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56</v>
      </c>
      <c r="N369" s="160"/>
      <c r="O369" s="167"/>
      <c r="P369" s="143"/>
      <c r="Q369" s="158" t="s">
        <v>141</v>
      </c>
      <c r="R369" s="158"/>
      <c r="S369" s="165" t="s">
        <v>362</v>
      </c>
    </row>
    <row r="370" spans="1:19" outlineLevel="1">
      <c r="A370" s="171" t="s">
        <v>640</v>
      </c>
      <c r="B370" s="168" t="s">
        <v>39</v>
      </c>
      <c r="C370" s="168" t="s">
        <v>534</v>
      </c>
      <c r="D370" s="161" t="s">
        <v>22</v>
      </c>
      <c r="E370" s="161" t="s">
        <v>33</v>
      </c>
      <c r="F370" s="161" t="s">
        <v>105</v>
      </c>
      <c r="G370" s="162">
        <v>0</v>
      </c>
      <c r="H370" s="162" t="s">
        <v>569</v>
      </c>
      <c r="I370" s="161" t="s">
        <v>229</v>
      </c>
      <c r="J370" s="161" t="s">
        <v>532</v>
      </c>
      <c r="K370" s="163">
        <v>46113</v>
      </c>
      <c r="L370" s="163">
        <v>46190</v>
      </c>
      <c r="M370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56</v>
      </c>
      <c r="N370" s="163"/>
      <c r="O370" s="170" t="s">
        <v>43</v>
      </c>
      <c r="P370" s="161" t="s">
        <v>26</v>
      </c>
      <c r="Q370" s="161" t="s">
        <v>141</v>
      </c>
      <c r="R370" s="161" t="s">
        <v>656</v>
      </c>
      <c r="S370" s="168" t="s">
        <v>363</v>
      </c>
    </row>
    <row r="371" spans="1:19" outlineLevel="1">
      <c r="A371" s="171" t="s">
        <v>640</v>
      </c>
      <c r="B371" s="168" t="s">
        <v>39</v>
      </c>
      <c r="C371" s="168" t="s">
        <v>534</v>
      </c>
      <c r="D371" s="161" t="s">
        <v>28</v>
      </c>
      <c r="E371" s="161" t="s">
        <v>33</v>
      </c>
      <c r="F371" s="161" t="s">
        <v>105</v>
      </c>
      <c r="G371" s="162">
        <v>0</v>
      </c>
      <c r="H371" s="162" t="s">
        <v>569</v>
      </c>
      <c r="I371" s="161" t="s">
        <v>229</v>
      </c>
      <c r="J371" s="161" t="s">
        <v>532</v>
      </c>
      <c r="K371" s="163">
        <v>46113</v>
      </c>
      <c r="L371" s="164">
        <v>46188</v>
      </c>
      <c r="M371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54</v>
      </c>
      <c r="N371" s="163"/>
      <c r="O371" s="170" t="s">
        <v>43</v>
      </c>
      <c r="P371" s="142" t="s">
        <v>28</v>
      </c>
      <c r="Q371" s="161" t="s">
        <v>141</v>
      </c>
      <c r="R371" s="161"/>
      <c r="S371" s="168" t="s">
        <v>363</v>
      </c>
    </row>
    <row r="372" spans="1:19" outlineLevel="1">
      <c r="A372" s="171" t="s">
        <v>640</v>
      </c>
      <c r="B372" s="168" t="s">
        <v>39</v>
      </c>
      <c r="C372" s="168" t="s">
        <v>534</v>
      </c>
      <c r="D372" s="161" t="s">
        <v>29</v>
      </c>
      <c r="E372" s="161" t="s">
        <v>33</v>
      </c>
      <c r="F372" s="161" t="s">
        <v>105</v>
      </c>
      <c r="G372" s="162">
        <v>0</v>
      </c>
      <c r="H372" s="162" t="s">
        <v>569</v>
      </c>
      <c r="I372" s="161" t="s">
        <v>229</v>
      </c>
      <c r="J372" s="161" t="s">
        <v>532</v>
      </c>
      <c r="K372" s="163"/>
      <c r="L372" s="163"/>
      <c r="M372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372" s="163"/>
      <c r="O372" s="170"/>
      <c r="P372" s="142"/>
      <c r="Q372" s="142" t="s">
        <v>141</v>
      </c>
      <c r="R372" s="161"/>
      <c r="S372" s="168" t="s">
        <v>363</v>
      </c>
    </row>
    <row r="373" spans="1:19" outlineLevel="1">
      <c r="A373" s="171" t="s">
        <v>640</v>
      </c>
      <c r="B373" s="168" t="s">
        <v>39</v>
      </c>
      <c r="C373" s="168" t="s">
        <v>534</v>
      </c>
      <c r="D373" s="161" t="s">
        <v>30</v>
      </c>
      <c r="E373" s="161" t="s">
        <v>33</v>
      </c>
      <c r="F373" s="161" t="s">
        <v>105</v>
      </c>
      <c r="G373" s="162">
        <v>0</v>
      </c>
      <c r="H373" s="162" t="s">
        <v>569</v>
      </c>
      <c r="I373" s="161" t="s">
        <v>229</v>
      </c>
      <c r="J373" s="161" t="s">
        <v>532</v>
      </c>
      <c r="K373" s="163"/>
      <c r="L373" s="163"/>
      <c r="M373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373" s="163"/>
      <c r="O373" s="170"/>
      <c r="P373" s="142"/>
      <c r="Q373" s="142" t="s">
        <v>141</v>
      </c>
      <c r="R373" s="161"/>
      <c r="S373" s="168" t="s">
        <v>363</v>
      </c>
    </row>
    <row r="374" spans="1:19">
      <c r="A374" s="126" t="s">
        <v>642</v>
      </c>
      <c r="B374" s="46" t="s">
        <v>39</v>
      </c>
      <c r="C374" s="165" t="s">
        <v>368</v>
      </c>
      <c r="D374" s="158" t="s">
        <v>18</v>
      </c>
      <c r="E374" s="158" t="s">
        <v>19</v>
      </c>
      <c r="F374" s="158" t="s">
        <v>105</v>
      </c>
      <c r="G374" s="156">
        <v>0.17</v>
      </c>
      <c r="H374" s="156" t="s">
        <v>657</v>
      </c>
      <c r="I374" s="159" t="s">
        <v>658</v>
      </c>
      <c r="J374" s="159" t="s">
        <v>139</v>
      </c>
      <c r="K374" s="166">
        <v>45945</v>
      </c>
      <c r="L374" s="160">
        <v>46290</v>
      </c>
      <c r="M374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248</v>
      </c>
      <c r="N374" s="160"/>
      <c r="O374" s="167"/>
      <c r="P374" s="143"/>
      <c r="Q374" s="158" t="s">
        <v>146</v>
      </c>
      <c r="R374" s="158"/>
      <c r="S374" s="177"/>
    </row>
    <row r="375" spans="1:19" outlineLevel="1">
      <c r="A375" s="171" t="s">
        <v>640</v>
      </c>
      <c r="B375" s="168" t="s">
        <v>39</v>
      </c>
      <c r="C375" s="168" t="s">
        <v>369</v>
      </c>
      <c r="D375" s="161" t="s">
        <v>22</v>
      </c>
      <c r="E375" s="161" t="s">
        <v>19</v>
      </c>
      <c r="F375" s="161" t="s">
        <v>105</v>
      </c>
      <c r="G375" s="162">
        <v>0</v>
      </c>
      <c r="H375" s="162" t="s">
        <v>657</v>
      </c>
      <c r="I375" s="161" t="s">
        <v>658</v>
      </c>
      <c r="J375" s="161" t="s">
        <v>139</v>
      </c>
      <c r="K375" s="163">
        <v>45946</v>
      </c>
      <c r="L375" s="163">
        <v>46203</v>
      </c>
      <c r="M375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184</v>
      </c>
      <c r="N375" s="163"/>
      <c r="O375" s="170" t="s">
        <v>43</v>
      </c>
      <c r="P375" s="161" t="s">
        <v>26</v>
      </c>
      <c r="Q375" s="161" t="s">
        <v>146</v>
      </c>
      <c r="R375" s="161"/>
      <c r="S375" s="178"/>
    </row>
    <row r="376" spans="1:19" outlineLevel="1">
      <c r="A376" s="171" t="s">
        <v>640</v>
      </c>
      <c r="B376" s="168" t="s">
        <v>39</v>
      </c>
      <c r="C376" s="168" t="s">
        <v>369</v>
      </c>
      <c r="D376" s="161" t="s">
        <v>28</v>
      </c>
      <c r="E376" s="161" t="s">
        <v>19</v>
      </c>
      <c r="F376" s="161" t="s">
        <v>105</v>
      </c>
      <c r="G376" s="162">
        <v>0</v>
      </c>
      <c r="H376" s="162" t="s">
        <v>657</v>
      </c>
      <c r="I376" s="161" t="s">
        <v>658</v>
      </c>
      <c r="J376" s="161" t="s">
        <v>139</v>
      </c>
      <c r="K376" s="163"/>
      <c r="L376" s="164"/>
      <c r="M376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376" s="163"/>
      <c r="O376" s="170"/>
      <c r="P376" s="142"/>
      <c r="Q376" s="161" t="s">
        <v>146</v>
      </c>
      <c r="R376" s="161"/>
      <c r="S376" s="178"/>
    </row>
    <row r="377" spans="1:19" outlineLevel="1">
      <c r="A377" s="171" t="s">
        <v>640</v>
      </c>
      <c r="B377" s="168" t="s">
        <v>39</v>
      </c>
      <c r="C377" s="168" t="s">
        <v>369</v>
      </c>
      <c r="D377" s="161" t="s">
        <v>29</v>
      </c>
      <c r="E377" s="161" t="s">
        <v>19</v>
      </c>
      <c r="F377" s="161" t="s">
        <v>105</v>
      </c>
      <c r="G377" s="162">
        <v>0</v>
      </c>
      <c r="H377" s="162" t="s">
        <v>657</v>
      </c>
      <c r="I377" s="161" t="s">
        <v>658</v>
      </c>
      <c r="J377" s="161" t="s">
        <v>139</v>
      </c>
      <c r="K377" s="163"/>
      <c r="L377" s="163"/>
      <c r="M377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377" s="163"/>
      <c r="O377" s="170"/>
      <c r="P377" s="142"/>
      <c r="Q377" s="142" t="s">
        <v>146</v>
      </c>
      <c r="R377" s="161"/>
      <c r="S377" s="178"/>
    </row>
    <row r="378" spans="1:19" outlineLevel="1">
      <c r="A378" s="171" t="s">
        <v>640</v>
      </c>
      <c r="B378" s="168" t="s">
        <v>39</v>
      </c>
      <c r="C378" s="168" t="s">
        <v>369</v>
      </c>
      <c r="D378" s="161" t="s">
        <v>30</v>
      </c>
      <c r="E378" s="161" t="s">
        <v>19</v>
      </c>
      <c r="F378" s="161" t="s">
        <v>105</v>
      </c>
      <c r="G378" s="162">
        <v>0</v>
      </c>
      <c r="H378" s="162" t="s">
        <v>657</v>
      </c>
      <c r="I378" s="161" t="s">
        <v>658</v>
      </c>
      <c r="J378" s="161" t="s">
        <v>139</v>
      </c>
      <c r="K378" s="163"/>
      <c r="L378" s="163"/>
      <c r="M378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378" s="163"/>
      <c r="O378" s="170"/>
      <c r="P378" s="142"/>
      <c r="Q378" s="142" t="s">
        <v>146</v>
      </c>
      <c r="R378" s="161"/>
      <c r="S378" s="178"/>
    </row>
    <row r="379" spans="1:19">
      <c r="A379" s="126" t="s">
        <v>640</v>
      </c>
      <c r="B379" s="46" t="s">
        <v>39</v>
      </c>
      <c r="C379" s="165" t="s">
        <v>537</v>
      </c>
      <c r="D379" s="158" t="s">
        <v>18</v>
      </c>
      <c r="E379" s="158" t="s">
        <v>33</v>
      </c>
      <c r="F379" s="158" t="s">
        <v>105</v>
      </c>
      <c r="G379" s="156">
        <v>0</v>
      </c>
      <c r="H379" s="156" t="s">
        <v>657</v>
      </c>
      <c r="I379" s="159" t="s">
        <v>229</v>
      </c>
      <c r="J379" s="159" t="s">
        <v>139</v>
      </c>
      <c r="K379" s="166"/>
      <c r="L379" s="160"/>
      <c r="M379" s="158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379" s="160"/>
      <c r="O379" s="167"/>
      <c r="P379" s="143"/>
      <c r="Q379" s="158" t="s">
        <v>146</v>
      </c>
      <c r="R379" s="158"/>
      <c r="S379" s="165" t="s">
        <v>368</v>
      </c>
    </row>
    <row r="380" spans="1:19" outlineLevel="1">
      <c r="A380" s="171" t="s">
        <v>640</v>
      </c>
      <c r="B380" s="168" t="s">
        <v>39</v>
      </c>
      <c r="C380" s="168" t="s">
        <v>538</v>
      </c>
      <c r="D380" s="161" t="s">
        <v>22</v>
      </c>
      <c r="E380" s="161" t="s">
        <v>33</v>
      </c>
      <c r="F380" s="161" t="s">
        <v>105</v>
      </c>
      <c r="G380" s="162">
        <v>0</v>
      </c>
      <c r="H380" s="162" t="s">
        <v>657</v>
      </c>
      <c r="I380" s="161" t="s">
        <v>229</v>
      </c>
      <c r="J380" s="161" t="s">
        <v>139</v>
      </c>
      <c r="K380" s="163"/>
      <c r="L380" s="163"/>
      <c r="M380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380" s="163"/>
      <c r="O380" s="170"/>
      <c r="P380" s="161"/>
      <c r="Q380" s="161" t="s">
        <v>146</v>
      </c>
      <c r="R380" s="161"/>
      <c r="S380" s="168" t="s">
        <v>369</v>
      </c>
    </row>
    <row r="381" spans="1:19" outlineLevel="1">
      <c r="A381" s="171" t="s">
        <v>640</v>
      </c>
      <c r="B381" s="168" t="s">
        <v>39</v>
      </c>
      <c r="C381" s="168" t="s">
        <v>538</v>
      </c>
      <c r="D381" s="161" t="s">
        <v>28</v>
      </c>
      <c r="E381" s="161" t="s">
        <v>33</v>
      </c>
      <c r="F381" s="161" t="s">
        <v>105</v>
      </c>
      <c r="G381" s="162">
        <v>0</v>
      </c>
      <c r="H381" s="162" t="s">
        <v>657</v>
      </c>
      <c r="I381" s="161" t="s">
        <v>229</v>
      </c>
      <c r="J381" s="161" t="s">
        <v>139</v>
      </c>
      <c r="K381" s="163"/>
      <c r="L381" s="164"/>
      <c r="M381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381" s="163"/>
      <c r="O381" s="170"/>
      <c r="P381" s="142"/>
      <c r="Q381" s="161" t="s">
        <v>146</v>
      </c>
      <c r="R381" s="161"/>
      <c r="S381" s="168" t="s">
        <v>369</v>
      </c>
    </row>
    <row r="382" spans="1:19" outlineLevel="1">
      <c r="A382" s="171" t="s">
        <v>640</v>
      </c>
      <c r="B382" s="168" t="s">
        <v>39</v>
      </c>
      <c r="C382" s="168" t="s">
        <v>538</v>
      </c>
      <c r="D382" s="161" t="s">
        <v>29</v>
      </c>
      <c r="E382" s="161" t="s">
        <v>33</v>
      </c>
      <c r="F382" s="161" t="s">
        <v>105</v>
      </c>
      <c r="G382" s="162">
        <v>0</v>
      </c>
      <c r="H382" s="162" t="s">
        <v>657</v>
      </c>
      <c r="I382" s="161" t="s">
        <v>229</v>
      </c>
      <c r="J382" s="161" t="s">
        <v>139</v>
      </c>
      <c r="K382" s="163"/>
      <c r="L382" s="163"/>
      <c r="M382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382" s="163"/>
      <c r="O382" s="170"/>
      <c r="P382" s="142"/>
      <c r="Q382" s="142" t="s">
        <v>146</v>
      </c>
      <c r="R382" s="161"/>
      <c r="S382" s="168" t="s">
        <v>369</v>
      </c>
    </row>
    <row r="383" spans="1:19" outlineLevel="1">
      <c r="A383" s="171" t="s">
        <v>640</v>
      </c>
      <c r="B383" s="168" t="s">
        <v>39</v>
      </c>
      <c r="C383" s="168" t="s">
        <v>538</v>
      </c>
      <c r="D383" s="161" t="s">
        <v>30</v>
      </c>
      <c r="E383" s="161" t="s">
        <v>33</v>
      </c>
      <c r="F383" s="161" t="s">
        <v>105</v>
      </c>
      <c r="G383" s="162">
        <v>0</v>
      </c>
      <c r="H383" s="162" t="s">
        <v>657</v>
      </c>
      <c r="I383" s="161" t="s">
        <v>229</v>
      </c>
      <c r="J383" s="161" t="s">
        <v>139</v>
      </c>
      <c r="K383" s="163"/>
      <c r="L383" s="163"/>
      <c r="M383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383" s="163"/>
      <c r="O383" s="170"/>
      <c r="P383" s="142"/>
      <c r="Q383" s="142" t="s">
        <v>146</v>
      </c>
      <c r="R383" s="161"/>
      <c r="S383" s="168" t="s">
        <v>369</v>
      </c>
    </row>
    <row r="384" spans="1:19">
      <c r="A384" s="126" t="s">
        <v>640</v>
      </c>
      <c r="B384" s="46" t="s">
        <v>39</v>
      </c>
      <c r="C384" s="165" t="s">
        <v>373</v>
      </c>
      <c r="D384" s="158" t="s">
        <v>18</v>
      </c>
      <c r="E384" s="158" t="s">
        <v>58</v>
      </c>
      <c r="F384" s="158" t="s">
        <v>105</v>
      </c>
      <c r="G384" s="156">
        <v>0</v>
      </c>
      <c r="H384" s="156" t="s">
        <v>657</v>
      </c>
      <c r="I384" s="159" t="s">
        <v>229</v>
      </c>
      <c r="J384" s="159" t="s">
        <v>139</v>
      </c>
      <c r="K384" s="166"/>
      <c r="L384" s="160"/>
      <c r="M384" s="158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384" s="160"/>
      <c r="O384" s="167"/>
      <c r="P384" s="143"/>
      <c r="Q384" s="158" t="s">
        <v>146</v>
      </c>
      <c r="R384" s="158"/>
      <c r="S384" s="165" t="s">
        <v>537</v>
      </c>
    </row>
    <row r="385" spans="1:19" outlineLevel="1">
      <c r="A385" s="171" t="s">
        <v>640</v>
      </c>
      <c r="B385" s="168" t="s">
        <v>39</v>
      </c>
      <c r="C385" s="168" t="s">
        <v>374</v>
      </c>
      <c r="D385" s="161" t="s">
        <v>22</v>
      </c>
      <c r="E385" s="161" t="s">
        <v>58</v>
      </c>
      <c r="F385" s="161" t="s">
        <v>105</v>
      </c>
      <c r="G385" s="162">
        <v>0</v>
      </c>
      <c r="H385" s="162" t="s">
        <v>657</v>
      </c>
      <c r="I385" s="161" t="s">
        <v>229</v>
      </c>
      <c r="J385" s="161" t="s">
        <v>139</v>
      </c>
      <c r="K385" s="163"/>
      <c r="L385" s="163"/>
      <c r="M385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385" s="163"/>
      <c r="O385" s="170"/>
      <c r="P385" s="161"/>
      <c r="Q385" s="161" t="s">
        <v>146</v>
      </c>
      <c r="R385" s="161"/>
      <c r="S385" s="168" t="s">
        <v>538</v>
      </c>
    </row>
    <row r="386" spans="1:19" outlineLevel="1">
      <c r="A386" s="171" t="s">
        <v>640</v>
      </c>
      <c r="B386" s="168" t="s">
        <v>39</v>
      </c>
      <c r="C386" s="168" t="s">
        <v>374</v>
      </c>
      <c r="D386" s="161" t="s">
        <v>28</v>
      </c>
      <c r="E386" s="161" t="s">
        <v>58</v>
      </c>
      <c r="F386" s="161" t="s">
        <v>105</v>
      </c>
      <c r="G386" s="162">
        <v>0</v>
      </c>
      <c r="H386" s="162" t="s">
        <v>657</v>
      </c>
      <c r="I386" s="161" t="s">
        <v>229</v>
      </c>
      <c r="J386" s="161" t="s">
        <v>139</v>
      </c>
      <c r="K386" s="163"/>
      <c r="L386" s="164"/>
      <c r="M386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386" s="163"/>
      <c r="O386" s="170"/>
      <c r="P386" s="142"/>
      <c r="Q386" s="161" t="s">
        <v>146</v>
      </c>
      <c r="R386" s="161"/>
      <c r="S386" s="168" t="s">
        <v>538</v>
      </c>
    </row>
    <row r="387" spans="1:19" outlineLevel="1">
      <c r="A387" s="171" t="s">
        <v>640</v>
      </c>
      <c r="B387" s="168" t="s">
        <v>39</v>
      </c>
      <c r="C387" s="168" t="s">
        <v>374</v>
      </c>
      <c r="D387" s="161" t="s">
        <v>29</v>
      </c>
      <c r="E387" s="161" t="s">
        <v>58</v>
      </c>
      <c r="F387" s="161" t="s">
        <v>105</v>
      </c>
      <c r="G387" s="162">
        <v>0</v>
      </c>
      <c r="H387" s="162" t="s">
        <v>657</v>
      </c>
      <c r="I387" s="161" t="s">
        <v>229</v>
      </c>
      <c r="J387" s="161" t="s">
        <v>139</v>
      </c>
      <c r="K387" s="163"/>
      <c r="L387" s="163"/>
      <c r="M387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387" s="163"/>
      <c r="O387" s="170"/>
      <c r="P387" s="142"/>
      <c r="Q387" s="142" t="s">
        <v>146</v>
      </c>
      <c r="R387" s="161"/>
      <c r="S387" s="168" t="s">
        <v>538</v>
      </c>
    </row>
    <row r="388" spans="1:19" outlineLevel="1">
      <c r="A388" s="171" t="s">
        <v>640</v>
      </c>
      <c r="B388" s="168" t="s">
        <v>39</v>
      </c>
      <c r="C388" s="168" t="s">
        <v>374</v>
      </c>
      <c r="D388" s="161" t="s">
        <v>30</v>
      </c>
      <c r="E388" s="161" t="s">
        <v>58</v>
      </c>
      <c r="F388" s="161" t="s">
        <v>105</v>
      </c>
      <c r="G388" s="162">
        <v>0</v>
      </c>
      <c r="H388" s="162" t="s">
        <v>657</v>
      </c>
      <c r="I388" s="161" t="s">
        <v>229</v>
      </c>
      <c r="J388" s="161" t="s">
        <v>139</v>
      </c>
      <c r="K388" s="163"/>
      <c r="L388" s="163"/>
      <c r="M388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388" s="163"/>
      <c r="O388" s="170"/>
      <c r="P388" s="142"/>
      <c r="Q388" s="142" t="s">
        <v>146</v>
      </c>
      <c r="R388" s="161"/>
      <c r="S388" s="168" t="s">
        <v>538</v>
      </c>
    </row>
    <row r="389" spans="1:19">
      <c r="A389" s="126" t="s">
        <v>640</v>
      </c>
      <c r="B389" s="46" t="s">
        <v>39</v>
      </c>
      <c r="C389" s="165" t="s">
        <v>375</v>
      </c>
      <c r="D389" s="158" t="s">
        <v>18</v>
      </c>
      <c r="E389" s="158" t="s">
        <v>58</v>
      </c>
      <c r="F389" s="158" t="s">
        <v>105</v>
      </c>
      <c r="G389" s="156">
        <v>0</v>
      </c>
      <c r="H389" s="156" t="s">
        <v>657</v>
      </c>
      <c r="I389" s="159" t="s">
        <v>229</v>
      </c>
      <c r="J389" s="159" t="s">
        <v>139</v>
      </c>
      <c r="K389" s="166"/>
      <c r="L389" s="160"/>
      <c r="M389" s="158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389" s="160"/>
      <c r="O389" s="167"/>
      <c r="P389" s="143"/>
      <c r="Q389" s="158" t="s">
        <v>146</v>
      </c>
      <c r="R389" s="158"/>
      <c r="S389" s="165" t="s">
        <v>537</v>
      </c>
    </row>
    <row r="390" spans="1:19" outlineLevel="1">
      <c r="A390" s="171" t="s">
        <v>640</v>
      </c>
      <c r="B390" s="168" t="s">
        <v>39</v>
      </c>
      <c r="C390" s="168" t="s">
        <v>376</v>
      </c>
      <c r="D390" s="161" t="s">
        <v>22</v>
      </c>
      <c r="E390" s="161" t="s">
        <v>58</v>
      </c>
      <c r="F390" s="161" t="s">
        <v>105</v>
      </c>
      <c r="G390" s="162">
        <v>0</v>
      </c>
      <c r="H390" s="162" t="s">
        <v>657</v>
      </c>
      <c r="I390" s="161" t="s">
        <v>229</v>
      </c>
      <c r="J390" s="161" t="s">
        <v>139</v>
      </c>
      <c r="K390" s="163"/>
      <c r="L390" s="163"/>
      <c r="M390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390" s="163"/>
      <c r="O390" s="170"/>
      <c r="P390" s="161"/>
      <c r="Q390" s="161" t="s">
        <v>146</v>
      </c>
      <c r="R390" s="161"/>
      <c r="S390" s="168" t="s">
        <v>538</v>
      </c>
    </row>
    <row r="391" spans="1:19" outlineLevel="1">
      <c r="A391" s="171" t="s">
        <v>640</v>
      </c>
      <c r="B391" s="168" t="s">
        <v>39</v>
      </c>
      <c r="C391" s="168" t="s">
        <v>376</v>
      </c>
      <c r="D391" s="161" t="s">
        <v>28</v>
      </c>
      <c r="E391" s="161" t="s">
        <v>58</v>
      </c>
      <c r="F391" s="161" t="s">
        <v>105</v>
      </c>
      <c r="G391" s="162">
        <v>0</v>
      </c>
      <c r="H391" s="162" t="s">
        <v>657</v>
      </c>
      <c r="I391" s="161" t="s">
        <v>229</v>
      </c>
      <c r="J391" s="161" t="s">
        <v>139</v>
      </c>
      <c r="K391" s="163"/>
      <c r="L391" s="164"/>
      <c r="M391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391" s="163"/>
      <c r="O391" s="170"/>
      <c r="P391" s="142"/>
      <c r="Q391" s="161" t="s">
        <v>146</v>
      </c>
      <c r="R391" s="161"/>
      <c r="S391" s="168" t="s">
        <v>538</v>
      </c>
    </row>
    <row r="392" spans="1:19" outlineLevel="1">
      <c r="A392" s="171" t="s">
        <v>640</v>
      </c>
      <c r="B392" s="168" t="s">
        <v>39</v>
      </c>
      <c r="C392" s="168" t="s">
        <v>376</v>
      </c>
      <c r="D392" s="161" t="s">
        <v>29</v>
      </c>
      <c r="E392" s="161" t="s">
        <v>58</v>
      </c>
      <c r="F392" s="161" t="s">
        <v>105</v>
      </c>
      <c r="G392" s="162">
        <v>0</v>
      </c>
      <c r="H392" s="162" t="s">
        <v>657</v>
      </c>
      <c r="I392" s="161" t="s">
        <v>229</v>
      </c>
      <c r="J392" s="161" t="s">
        <v>139</v>
      </c>
      <c r="K392" s="163"/>
      <c r="L392" s="163"/>
      <c r="M392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392" s="163"/>
      <c r="O392" s="170"/>
      <c r="P392" s="142"/>
      <c r="Q392" s="142" t="s">
        <v>146</v>
      </c>
      <c r="R392" s="161"/>
      <c r="S392" s="168" t="s">
        <v>538</v>
      </c>
    </row>
    <row r="393" spans="1:19" outlineLevel="1">
      <c r="A393" s="171" t="s">
        <v>640</v>
      </c>
      <c r="B393" s="168" t="s">
        <v>39</v>
      </c>
      <c r="C393" s="168" t="s">
        <v>376</v>
      </c>
      <c r="D393" s="161" t="s">
        <v>30</v>
      </c>
      <c r="E393" s="161" t="s">
        <v>58</v>
      </c>
      <c r="F393" s="161" t="s">
        <v>105</v>
      </c>
      <c r="G393" s="162">
        <v>0</v>
      </c>
      <c r="H393" s="162" t="s">
        <v>657</v>
      </c>
      <c r="I393" s="161" t="s">
        <v>229</v>
      </c>
      <c r="J393" s="161" t="s">
        <v>139</v>
      </c>
      <c r="K393" s="163"/>
      <c r="L393" s="163"/>
      <c r="M393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393" s="163"/>
      <c r="O393" s="170"/>
      <c r="P393" s="142"/>
      <c r="Q393" s="142" t="s">
        <v>146</v>
      </c>
      <c r="R393" s="161"/>
      <c r="S393" s="168" t="s">
        <v>538</v>
      </c>
    </row>
    <row r="394" spans="1:19">
      <c r="A394" s="126" t="s">
        <v>640</v>
      </c>
      <c r="B394" s="46" t="s">
        <v>39</v>
      </c>
      <c r="C394" s="165" t="s">
        <v>540</v>
      </c>
      <c r="D394" s="158" t="s">
        <v>18</v>
      </c>
      <c r="E394" s="158" t="s">
        <v>33</v>
      </c>
      <c r="F394" s="158" t="s">
        <v>105</v>
      </c>
      <c r="G394" s="156">
        <v>0</v>
      </c>
      <c r="H394" s="156" t="s">
        <v>147</v>
      </c>
      <c r="I394" s="159" t="s">
        <v>542</v>
      </c>
      <c r="J394" s="159" t="s">
        <v>139</v>
      </c>
      <c r="K394" s="166">
        <v>46127</v>
      </c>
      <c r="L394" s="160"/>
      <c r="M394" s="158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394" s="160"/>
      <c r="O394" s="167"/>
      <c r="P394" s="143"/>
      <c r="Q394" s="158" t="s">
        <v>146</v>
      </c>
      <c r="R394" s="158"/>
      <c r="S394" s="165" t="s">
        <v>368</v>
      </c>
    </row>
    <row r="395" spans="1:19" outlineLevel="1">
      <c r="A395" s="171" t="s">
        <v>640</v>
      </c>
      <c r="B395" s="168" t="s">
        <v>39</v>
      </c>
      <c r="C395" s="168" t="s">
        <v>541</v>
      </c>
      <c r="D395" s="161" t="s">
        <v>22</v>
      </c>
      <c r="E395" s="161" t="s">
        <v>33</v>
      </c>
      <c r="F395" s="161" t="s">
        <v>105</v>
      </c>
      <c r="G395" s="162">
        <v>0</v>
      </c>
      <c r="H395" s="162" t="s">
        <v>147</v>
      </c>
      <c r="I395" s="161" t="s">
        <v>542</v>
      </c>
      <c r="J395" s="161" t="s">
        <v>139</v>
      </c>
      <c r="K395" s="163"/>
      <c r="L395" s="163"/>
      <c r="M395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395" s="163"/>
      <c r="O395" s="170"/>
      <c r="P395" s="161"/>
      <c r="Q395" s="161" t="s">
        <v>146</v>
      </c>
      <c r="R395" s="161" t="s">
        <v>615</v>
      </c>
      <c r="S395" s="168" t="s">
        <v>369</v>
      </c>
    </row>
    <row r="396" spans="1:19" outlineLevel="1">
      <c r="A396" s="171" t="s">
        <v>640</v>
      </c>
      <c r="B396" s="168" t="s">
        <v>39</v>
      </c>
      <c r="C396" s="168" t="s">
        <v>541</v>
      </c>
      <c r="D396" s="161" t="s">
        <v>28</v>
      </c>
      <c r="E396" s="161" t="s">
        <v>33</v>
      </c>
      <c r="F396" s="161" t="s">
        <v>105</v>
      </c>
      <c r="G396" s="162">
        <v>0</v>
      </c>
      <c r="H396" s="162" t="s">
        <v>147</v>
      </c>
      <c r="I396" s="161" t="s">
        <v>542</v>
      </c>
      <c r="J396" s="161" t="s">
        <v>139</v>
      </c>
      <c r="K396" s="163"/>
      <c r="L396" s="164"/>
      <c r="M396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396" s="163"/>
      <c r="O396" s="170"/>
      <c r="P396" s="142"/>
      <c r="Q396" s="161" t="s">
        <v>146</v>
      </c>
      <c r="R396" s="161" t="s">
        <v>615</v>
      </c>
      <c r="S396" s="168" t="s">
        <v>369</v>
      </c>
    </row>
    <row r="397" spans="1:19" outlineLevel="1">
      <c r="A397" s="171" t="s">
        <v>640</v>
      </c>
      <c r="B397" s="168" t="s">
        <v>39</v>
      </c>
      <c r="C397" s="168" t="s">
        <v>541</v>
      </c>
      <c r="D397" s="161" t="s">
        <v>29</v>
      </c>
      <c r="E397" s="161" t="s">
        <v>33</v>
      </c>
      <c r="F397" s="161" t="s">
        <v>105</v>
      </c>
      <c r="G397" s="162">
        <v>0</v>
      </c>
      <c r="H397" s="162" t="s">
        <v>147</v>
      </c>
      <c r="I397" s="161" t="s">
        <v>542</v>
      </c>
      <c r="J397" s="161" t="s">
        <v>139</v>
      </c>
      <c r="K397" s="163"/>
      <c r="L397" s="163"/>
      <c r="M397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397" s="163"/>
      <c r="O397" s="170"/>
      <c r="P397" s="142"/>
      <c r="Q397" s="142" t="s">
        <v>146</v>
      </c>
      <c r="R397" s="161"/>
      <c r="S397" s="168" t="s">
        <v>369</v>
      </c>
    </row>
    <row r="398" spans="1:19" outlineLevel="1">
      <c r="A398" s="171" t="s">
        <v>640</v>
      </c>
      <c r="B398" s="168" t="s">
        <v>39</v>
      </c>
      <c r="C398" s="168" t="s">
        <v>541</v>
      </c>
      <c r="D398" s="161" t="s">
        <v>30</v>
      </c>
      <c r="E398" s="161" t="s">
        <v>33</v>
      </c>
      <c r="F398" s="161" t="s">
        <v>105</v>
      </c>
      <c r="G398" s="162">
        <v>0</v>
      </c>
      <c r="H398" s="162" t="s">
        <v>147</v>
      </c>
      <c r="I398" s="161" t="s">
        <v>542</v>
      </c>
      <c r="J398" s="161" t="s">
        <v>139</v>
      </c>
      <c r="K398" s="163"/>
      <c r="L398" s="163"/>
      <c r="M398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398" s="163"/>
      <c r="O398" s="170"/>
      <c r="P398" s="142"/>
      <c r="Q398" s="142" t="s">
        <v>146</v>
      </c>
      <c r="R398" s="161"/>
      <c r="S398" s="168" t="s">
        <v>369</v>
      </c>
    </row>
    <row r="399" spans="1:19" ht="75">
      <c r="A399" s="126" t="s">
        <v>640</v>
      </c>
      <c r="B399" s="46" t="s">
        <v>39</v>
      </c>
      <c r="C399" s="165" t="s">
        <v>379</v>
      </c>
      <c r="D399" s="158" t="s">
        <v>18</v>
      </c>
      <c r="E399" s="158" t="s">
        <v>58</v>
      </c>
      <c r="F399" s="158" t="s">
        <v>105</v>
      </c>
      <c r="G399" s="156">
        <v>0</v>
      </c>
      <c r="H399" s="156" t="s">
        <v>147</v>
      </c>
      <c r="I399" s="159" t="s">
        <v>542</v>
      </c>
      <c r="J399" s="159" t="s">
        <v>139</v>
      </c>
      <c r="K399" s="166">
        <v>46127</v>
      </c>
      <c r="L399" s="160">
        <v>46234</v>
      </c>
      <c r="M399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0</v>
      </c>
      <c r="N399" s="160"/>
      <c r="O399" s="167"/>
      <c r="P399" s="143"/>
      <c r="Q399" s="158" t="s">
        <v>146</v>
      </c>
      <c r="R399" s="175" t="s">
        <v>659</v>
      </c>
      <c r="S399" s="165" t="s">
        <v>540</v>
      </c>
    </row>
    <row r="400" spans="1:19" outlineLevel="1">
      <c r="A400" s="171" t="s">
        <v>640</v>
      </c>
      <c r="B400" s="168" t="s">
        <v>39</v>
      </c>
      <c r="C400" s="168" t="s">
        <v>380</v>
      </c>
      <c r="D400" s="161" t="s">
        <v>22</v>
      </c>
      <c r="E400" s="161" t="s">
        <v>58</v>
      </c>
      <c r="F400" s="161" t="s">
        <v>105</v>
      </c>
      <c r="G400" s="162">
        <v>0</v>
      </c>
      <c r="H400" s="162" t="s">
        <v>147</v>
      </c>
      <c r="I400" s="161" t="s">
        <v>542</v>
      </c>
      <c r="J400" s="161" t="s">
        <v>139</v>
      </c>
      <c r="K400" s="163"/>
      <c r="L400" s="163"/>
      <c r="M400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00" s="163"/>
      <c r="O400" s="170"/>
      <c r="P400" s="161"/>
      <c r="Q400" s="161" t="s">
        <v>146</v>
      </c>
      <c r="R400" s="161"/>
      <c r="S400" s="168" t="s">
        <v>541</v>
      </c>
    </row>
    <row r="401" spans="1:19" outlineLevel="1">
      <c r="A401" s="171" t="s">
        <v>640</v>
      </c>
      <c r="B401" s="168" t="s">
        <v>39</v>
      </c>
      <c r="C401" s="168" t="s">
        <v>380</v>
      </c>
      <c r="D401" s="161" t="s">
        <v>28</v>
      </c>
      <c r="E401" s="161" t="s">
        <v>58</v>
      </c>
      <c r="F401" s="161" t="s">
        <v>105</v>
      </c>
      <c r="G401" s="162">
        <v>0</v>
      </c>
      <c r="H401" s="162" t="s">
        <v>147</v>
      </c>
      <c r="I401" s="161" t="s">
        <v>542</v>
      </c>
      <c r="J401" s="161" t="s">
        <v>139</v>
      </c>
      <c r="K401" s="163"/>
      <c r="L401" s="164"/>
      <c r="M401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01" s="163"/>
      <c r="O401" s="170"/>
      <c r="P401" s="142"/>
      <c r="Q401" s="161" t="s">
        <v>146</v>
      </c>
      <c r="R401" s="161"/>
      <c r="S401" s="168" t="s">
        <v>541</v>
      </c>
    </row>
    <row r="402" spans="1:19" outlineLevel="1">
      <c r="A402" s="171" t="s">
        <v>640</v>
      </c>
      <c r="B402" s="168" t="s">
        <v>39</v>
      </c>
      <c r="C402" s="168" t="s">
        <v>380</v>
      </c>
      <c r="D402" s="161" t="s">
        <v>29</v>
      </c>
      <c r="E402" s="161" t="s">
        <v>58</v>
      </c>
      <c r="F402" s="161" t="s">
        <v>105</v>
      </c>
      <c r="G402" s="162">
        <v>0</v>
      </c>
      <c r="H402" s="162" t="s">
        <v>147</v>
      </c>
      <c r="I402" s="161" t="s">
        <v>542</v>
      </c>
      <c r="J402" s="161" t="s">
        <v>139</v>
      </c>
      <c r="K402" s="163"/>
      <c r="L402" s="163"/>
      <c r="M402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02" s="163"/>
      <c r="O402" s="170"/>
      <c r="P402" s="142"/>
      <c r="Q402" s="142" t="s">
        <v>146</v>
      </c>
      <c r="R402" s="161"/>
      <c r="S402" s="168" t="s">
        <v>541</v>
      </c>
    </row>
    <row r="403" spans="1:19" outlineLevel="1">
      <c r="A403" s="171" t="s">
        <v>640</v>
      </c>
      <c r="B403" s="168" t="s">
        <v>39</v>
      </c>
      <c r="C403" s="168" t="s">
        <v>380</v>
      </c>
      <c r="D403" s="161" t="s">
        <v>30</v>
      </c>
      <c r="E403" s="161" t="s">
        <v>58</v>
      </c>
      <c r="F403" s="161" t="s">
        <v>105</v>
      </c>
      <c r="G403" s="162">
        <v>0</v>
      </c>
      <c r="H403" s="162" t="s">
        <v>147</v>
      </c>
      <c r="I403" s="161" t="s">
        <v>542</v>
      </c>
      <c r="J403" s="161" t="s">
        <v>139</v>
      </c>
      <c r="K403" s="163"/>
      <c r="L403" s="163"/>
      <c r="M403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03" s="163"/>
      <c r="O403" s="170"/>
      <c r="P403" s="142"/>
      <c r="Q403" s="142" t="s">
        <v>146</v>
      </c>
      <c r="R403" s="161"/>
      <c r="S403" s="168" t="s">
        <v>541</v>
      </c>
    </row>
    <row r="404" spans="1:19">
      <c r="A404" s="126" t="s">
        <v>640</v>
      </c>
      <c r="B404" s="165" t="s">
        <v>39</v>
      </c>
      <c r="C404" s="165" t="s">
        <v>543</v>
      </c>
      <c r="D404" s="158" t="s">
        <v>18</v>
      </c>
      <c r="E404" s="158" t="s">
        <v>58</v>
      </c>
      <c r="F404" s="158" t="s">
        <v>105</v>
      </c>
      <c r="G404" s="156">
        <v>0</v>
      </c>
      <c r="H404" s="156" t="s">
        <v>147</v>
      </c>
      <c r="I404" s="159" t="s">
        <v>542</v>
      </c>
      <c r="J404" s="159" t="s">
        <v>139</v>
      </c>
      <c r="K404" s="166"/>
      <c r="L404" s="160"/>
      <c r="M404" s="158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04" s="160"/>
      <c r="O404" s="167"/>
      <c r="P404" s="143"/>
      <c r="Q404" s="158" t="s">
        <v>146</v>
      </c>
      <c r="R404" s="158"/>
      <c r="S404" s="165" t="s">
        <v>540</v>
      </c>
    </row>
    <row r="405" spans="1:19" outlineLevel="1">
      <c r="A405" s="171" t="s">
        <v>640</v>
      </c>
      <c r="B405" s="168" t="s">
        <v>39</v>
      </c>
      <c r="C405" s="168" t="s">
        <v>544</v>
      </c>
      <c r="D405" s="161" t="s">
        <v>22</v>
      </c>
      <c r="E405" s="161" t="s">
        <v>58</v>
      </c>
      <c r="F405" s="161" t="s">
        <v>105</v>
      </c>
      <c r="G405" s="162">
        <v>0</v>
      </c>
      <c r="H405" s="162" t="s">
        <v>147</v>
      </c>
      <c r="I405" s="161" t="s">
        <v>542</v>
      </c>
      <c r="J405" s="161" t="s">
        <v>139</v>
      </c>
      <c r="K405" s="163"/>
      <c r="L405" s="163"/>
      <c r="M405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05" s="163"/>
      <c r="O405" s="170"/>
      <c r="P405" s="161"/>
      <c r="Q405" s="161" t="s">
        <v>146</v>
      </c>
      <c r="R405" s="161"/>
      <c r="S405" s="168" t="s">
        <v>541</v>
      </c>
    </row>
    <row r="406" spans="1:19" outlineLevel="1">
      <c r="A406" s="171" t="s">
        <v>640</v>
      </c>
      <c r="B406" s="168" t="s">
        <v>39</v>
      </c>
      <c r="C406" s="168" t="s">
        <v>544</v>
      </c>
      <c r="D406" s="161" t="s">
        <v>28</v>
      </c>
      <c r="E406" s="161" t="s">
        <v>58</v>
      </c>
      <c r="F406" s="161" t="s">
        <v>105</v>
      </c>
      <c r="G406" s="162">
        <v>0</v>
      </c>
      <c r="H406" s="162" t="s">
        <v>147</v>
      </c>
      <c r="I406" s="161" t="s">
        <v>542</v>
      </c>
      <c r="J406" s="161" t="s">
        <v>139</v>
      </c>
      <c r="K406" s="163"/>
      <c r="L406" s="164"/>
      <c r="M406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06" s="163"/>
      <c r="O406" s="170"/>
      <c r="P406" s="142"/>
      <c r="Q406" s="161" t="s">
        <v>146</v>
      </c>
      <c r="R406" s="161"/>
      <c r="S406" s="168" t="s">
        <v>541</v>
      </c>
    </row>
    <row r="407" spans="1:19" outlineLevel="1">
      <c r="A407" s="171" t="s">
        <v>640</v>
      </c>
      <c r="B407" s="168" t="s">
        <v>39</v>
      </c>
      <c r="C407" s="168" t="s">
        <v>544</v>
      </c>
      <c r="D407" s="161" t="s">
        <v>29</v>
      </c>
      <c r="E407" s="161" t="s">
        <v>58</v>
      </c>
      <c r="F407" s="161" t="s">
        <v>105</v>
      </c>
      <c r="G407" s="162">
        <v>0</v>
      </c>
      <c r="H407" s="162" t="s">
        <v>147</v>
      </c>
      <c r="I407" s="161" t="s">
        <v>542</v>
      </c>
      <c r="J407" s="161" t="s">
        <v>139</v>
      </c>
      <c r="K407" s="163"/>
      <c r="L407" s="163"/>
      <c r="M407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07" s="163"/>
      <c r="O407" s="170"/>
      <c r="P407" s="142"/>
      <c r="Q407" s="142" t="s">
        <v>146</v>
      </c>
      <c r="R407" s="161"/>
      <c r="S407" s="168" t="s">
        <v>541</v>
      </c>
    </row>
    <row r="408" spans="1:19" outlineLevel="1">
      <c r="A408" s="171" t="s">
        <v>640</v>
      </c>
      <c r="B408" s="168" t="s">
        <v>39</v>
      </c>
      <c r="C408" s="168" t="s">
        <v>544</v>
      </c>
      <c r="D408" s="161" t="s">
        <v>30</v>
      </c>
      <c r="E408" s="161" t="s">
        <v>58</v>
      </c>
      <c r="F408" s="161" t="s">
        <v>105</v>
      </c>
      <c r="G408" s="162">
        <v>0</v>
      </c>
      <c r="H408" s="162" t="s">
        <v>147</v>
      </c>
      <c r="I408" s="161" t="s">
        <v>542</v>
      </c>
      <c r="J408" s="161" t="s">
        <v>139</v>
      </c>
      <c r="K408" s="163"/>
      <c r="L408" s="163"/>
      <c r="M408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08" s="163"/>
      <c r="O408" s="170"/>
      <c r="P408" s="142"/>
      <c r="Q408" s="142" t="s">
        <v>146</v>
      </c>
      <c r="R408" s="161"/>
      <c r="S408" s="168" t="s">
        <v>541</v>
      </c>
    </row>
    <row r="409" spans="1:19">
      <c r="A409" s="126" t="s">
        <v>640</v>
      </c>
      <c r="B409" s="165" t="s">
        <v>39</v>
      </c>
      <c r="C409" s="165" t="s">
        <v>545</v>
      </c>
      <c r="D409" s="158" t="s">
        <v>18</v>
      </c>
      <c r="E409" s="158" t="s">
        <v>58</v>
      </c>
      <c r="F409" s="158" t="s">
        <v>105</v>
      </c>
      <c r="G409" s="156">
        <v>0</v>
      </c>
      <c r="H409" s="156" t="s">
        <v>147</v>
      </c>
      <c r="I409" s="159" t="s">
        <v>542</v>
      </c>
      <c r="J409" s="159" t="s">
        <v>139</v>
      </c>
      <c r="K409" s="166"/>
      <c r="L409" s="160"/>
      <c r="M409" s="158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09" s="160"/>
      <c r="O409" s="167"/>
      <c r="P409" s="143"/>
      <c r="Q409" s="158" t="s">
        <v>146</v>
      </c>
      <c r="R409" s="158"/>
      <c r="S409" s="165" t="s">
        <v>540</v>
      </c>
    </row>
    <row r="410" spans="1:19" outlineLevel="1">
      <c r="A410" s="171" t="s">
        <v>640</v>
      </c>
      <c r="B410" s="168" t="s">
        <v>39</v>
      </c>
      <c r="C410" s="168" t="s">
        <v>546</v>
      </c>
      <c r="D410" s="161" t="s">
        <v>22</v>
      </c>
      <c r="E410" s="161" t="s">
        <v>58</v>
      </c>
      <c r="F410" s="161" t="s">
        <v>105</v>
      </c>
      <c r="G410" s="162">
        <v>0</v>
      </c>
      <c r="H410" s="162" t="s">
        <v>147</v>
      </c>
      <c r="I410" s="161" t="s">
        <v>542</v>
      </c>
      <c r="J410" s="161" t="s">
        <v>139</v>
      </c>
      <c r="K410" s="163"/>
      <c r="L410" s="163"/>
      <c r="M410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10" s="163"/>
      <c r="O410" s="170"/>
      <c r="P410" s="161"/>
      <c r="Q410" s="161" t="s">
        <v>146</v>
      </c>
      <c r="R410" s="161"/>
      <c r="S410" s="168" t="s">
        <v>541</v>
      </c>
    </row>
    <row r="411" spans="1:19" outlineLevel="1">
      <c r="A411" s="171" t="s">
        <v>640</v>
      </c>
      <c r="B411" s="168" t="s">
        <v>39</v>
      </c>
      <c r="C411" s="168" t="s">
        <v>546</v>
      </c>
      <c r="D411" s="161" t="s">
        <v>28</v>
      </c>
      <c r="E411" s="161" t="s">
        <v>58</v>
      </c>
      <c r="F411" s="161" t="s">
        <v>105</v>
      </c>
      <c r="G411" s="162">
        <v>0</v>
      </c>
      <c r="H411" s="162" t="s">
        <v>147</v>
      </c>
      <c r="I411" s="161" t="s">
        <v>542</v>
      </c>
      <c r="J411" s="161" t="s">
        <v>139</v>
      </c>
      <c r="K411" s="163"/>
      <c r="L411" s="164"/>
      <c r="M411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11" s="163"/>
      <c r="O411" s="170"/>
      <c r="P411" s="142"/>
      <c r="Q411" s="161" t="s">
        <v>146</v>
      </c>
      <c r="R411" s="161"/>
      <c r="S411" s="168" t="s">
        <v>541</v>
      </c>
    </row>
    <row r="412" spans="1:19" outlineLevel="1">
      <c r="A412" s="171" t="s">
        <v>640</v>
      </c>
      <c r="B412" s="168" t="s">
        <v>39</v>
      </c>
      <c r="C412" s="168" t="s">
        <v>546</v>
      </c>
      <c r="D412" s="161" t="s">
        <v>29</v>
      </c>
      <c r="E412" s="161" t="s">
        <v>58</v>
      </c>
      <c r="F412" s="161" t="s">
        <v>105</v>
      </c>
      <c r="G412" s="162">
        <v>0</v>
      </c>
      <c r="H412" s="162" t="s">
        <v>147</v>
      </c>
      <c r="I412" s="161" t="s">
        <v>542</v>
      </c>
      <c r="J412" s="161" t="s">
        <v>139</v>
      </c>
      <c r="K412" s="163"/>
      <c r="L412" s="163"/>
      <c r="M412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12" s="163"/>
      <c r="O412" s="170"/>
      <c r="P412" s="142"/>
      <c r="Q412" s="142" t="s">
        <v>146</v>
      </c>
      <c r="R412" s="161"/>
      <c r="S412" s="168" t="s">
        <v>541</v>
      </c>
    </row>
    <row r="413" spans="1:19" outlineLevel="1">
      <c r="A413" s="171" t="s">
        <v>640</v>
      </c>
      <c r="B413" s="168" t="s">
        <v>39</v>
      </c>
      <c r="C413" s="168" t="s">
        <v>546</v>
      </c>
      <c r="D413" s="161" t="s">
        <v>30</v>
      </c>
      <c r="E413" s="161" t="s">
        <v>58</v>
      </c>
      <c r="F413" s="161" t="s">
        <v>105</v>
      </c>
      <c r="G413" s="162">
        <v>0</v>
      </c>
      <c r="H413" s="162" t="s">
        <v>147</v>
      </c>
      <c r="I413" s="161" t="s">
        <v>542</v>
      </c>
      <c r="J413" s="161" t="s">
        <v>139</v>
      </c>
      <c r="K413" s="163"/>
      <c r="L413" s="163"/>
      <c r="M413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13" s="163"/>
      <c r="O413" s="170"/>
      <c r="P413" s="142"/>
      <c r="Q413" s="142" t="s">
        <v>146</v>
      </c>
      <c r="R413" s="161"/>
      <c r="S413" s="168" t="s">
        <v>541</v>
      </c>
    </row>
    <row r="414" spans="1:19">
      <c r="A414" s="126" t="s">
        <v>640</v>
      </c>
      <c r="B414" s="46" t="s">
        <v>39</v>
      </c>
      <c r="C414" s="165" t="s">
        <v>547</v>
      </c>
      <c r="D414" s="158" t="s">
        <v>18</v>
      </c>
      <c r="E414" s="158" t="s">
        <v>58</v>
      </c>
      <c r="F414" s="158" t="s">
        <v>105</v>
      </c>
      <c r="G414" s="156">
        <v>0</v>
      </c>
      <c r="H414" s="156" t="s">
        <v>147</v>
      </c>
      <c r="I414" s="159" t="s">
        <v>542</v>
      </c>
      <c r="J414" s="159" t="s">
        <v>139</v>
      </c>
      <c r="K414" s="166"/>
      <c r="L414" s="160"/>
      <c r="M414" s="158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14" s="160"/>
      <c r="O414" s="167"/>
      <c r="P414" s="143"/>
      <c r="Q414" s="158" t="s">
        <v>146</v>
      </c>
      <c r="R414" s="158"/>
      <c r="S414" s="165" t="s">
        <v>540</v>
      </c>
    </row>
    <row r="415" spans="1:19" outlineLevel="1">
      <c r="A415" s="171" t="s">
        <v>640</v>
      </c>
      <c r="B415" s="168" t="s">
        <v>39</v>
      </c>
      <c r="C415" s="168" t="s">
        <v>548</v>
      </c>
      <c r="D415" s="161" t="s">
        <v>22</v>
      </c>
      <c r="E415" s="161" t="s">
        <v>58</v>
      </c>
      <c r="F415" s="161" t="s">
        <v>105</v>
      </c>
      <c r="G415" s="162">
        <v>0</v>
      </c>
      <c r="H415" s="162" t="s">
        <v>147</v>
      </c>
      <c r="I415" s="161" t="s">
        <v>542</v>
      </c>
      <c r="J415" s="161" t="s">
        <v>139</v>
      </c>
      <c r="K415" s="163"/>
      <c r="L415" s="163"/>
      <c r="M415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15" s="163"/>
      <c r="O415" s="170"/>
      <c r="P415" s="161"/>
      <c r="Q415" s="161" t="s">
        <v>146</v>
      </c>
      <c r="R415" s="161" t="s">
        <v>626</v>
      </c>
      <c r="S415" s="168" t="s">
        <v>541</v>
      </c>
    </row>
    <row r="416" spans="1:19" outlineLevel="1">
      <c r="A416" s="171" t="s">
        <v>640</v>
      </c>
      <c r="B416" s="168" t="s">
        <v>39</v>
      </c>
      <c r="C416" s="168" t="s">
        <v>548</v>
      </c>
      <c r="D416" s="161" t="s">
        <v>28</v>
      </c>
      <c r="E416" s="161" t="s">
        <v>58</v>
      </c>
      <c r="F416" s="161" t="s">
        <v>105</v>
      </c>
      <c r="G416" s="162">
        <v>0</v>
      </c>
      <c r="H416" s="162" t="s">
        <v>147</v>
      </c>
      <c r="I416" s="161" t="s">
        <v>542</v>
      </c>
      <c r="J416" s="161" t="s">
        <v>139</v>
      </c>
      <c r="K416" s="163"/>
      <c r="L416" s="164"/>
      <c r="M416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16" s="163"/>
      <c r="O416" s="170"/>
      <c r="P416" s="142"/>
      <c r="Q416" s="161" t="s">
        <v>146</v>
      </c>
      <c r="R416" s="161"/>
      <c r="S416" s="168" t="s">
        <v>541</v>
      </c>
    </row>
    <row r="417" spans="1:19" outlineLevel="1">
      <c r="A417" s="171" t="s">
        <v>640</v>
      </c>
      <c r="B417" s="168" t="s">
        <v>39</v>
      </c>
      <c r="C417" s="168" t="s">
        <v>548</v>
      </c>
      <c r="D417" s="161" t="s">
        <v>29</v>
      </c>
      <c r="E417" s="161" t="s">
        <v>58</v>
      </c>
      <c r="F417" s="161" t="s">
        <v>105</v>
      </c>
      <c r="G417" s="162">
        <v>0</v>
      </c>
      <c r="H417" s="162" t="s">
        <v>147</v>
      </c>
      <c r="I417" s="161" t="s">
        <v>542</v>
      </c>
      <c r="J417" s="161" t="s">
        <v>139</v>
      </c>
      <c r="K417" s="163"/>
      <c r="L417" s="163"/>
      <c r="M417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17" s="163"/>
      <c r="O417" s="170"/>
      <c r="P417" s="142"/>
      <c r="Q417" s="142" t="s">
        <v>146</v>
      </c>
      <c r="R417" s="161"/>
      <c r="S417" s="168" t="s">
        <v>541</v>
      </c>
    </row>
    <row r="418" spans="1:19" outlineLevel="1">
      <c r="A418" s="171" t="s">
        <v>640</v>
      </c>
      <c r="B418" s="168" t="s">
        <v>39</v>
      </c>
      <c r="C418" s="168" t="s">
        <v>548</v>
      </c>
      <c r="D418" s="161" t="s">
        <v>30</v>
      </c>
      <c r="E418" s="161" t="s">
        <v>58</v>
      </c>
      <c r="F418" s="161" t="s">
        <v>105</v>
      </c>
      <c r="G418" s="162">
        <v>0</v>
      </c>
      <c r="H418" s="162" t="s">
        <v>147</v>
      </c>
      <c r="I418" s="161" t="s">
        <v>542</v>
      </c>
      <c r="J418" s="161" t="s">
        <v>139</v>
      </c>
      <c r="K418" s="163"/>
      <c r="L418" s="163"/>
      <c r="M418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18" s="163"/>
      <c r="O418" s="170"/>
      <c r="P418" s="142"/>
      <c r="Q418" s="142" t="s">
        <v>146</v>
      </c>
      <c r="R418" s="161"/>
      <c r="S418" s="168" t="s">
        <v>541</v>
      </c>
    </row>
    <row r="419" spans="1:19">
      <c r="A419" s="126" t="s">
        <v>640</v>
      </c>
      <c r="B419" s="46" t="s">
        <v>39</v>
      </c>
      <c r="C419" s="165" t="s">
        <v>549</v>
      </c>
      <c r="D419" s="158" t="s">
        <v>18</v>
      </c>
      <c r="E419" s="158" t="s">
        <v>58</v>
      </c>
      <c r="F419" s="158" t="s">
        <v>105</v>
      </c>
      <c r="G419" s="156">
        <v>0</v>
      </c>
      <c r="H419" s="156" t="s">
        <v>147</v>
      </c>
      <c r="I419" s="159" t="s">
        <v>542</v>
      </c>
      <c r="J419" s="159" t="s">
        <v>139</v>
      </c>
      <c r="K419" s="166"/>
      <c r="L419" s="160"/>
      <c r="M419" s="158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19" s="160"/>
      <c r="O419" s="167"/>
      <c r="P419" s="143"/>
      <c r="Q419" s="158" t="s">
        <v>146</v>
      </c>
      <c r="R419" s="158"/>
      <c r="S419" s="165" t="s">
        <v>540</v>
      </c>
    </row>
    <row r="420" spans="1:19" outlineLevel="1">
      <c r="A420" s="171" t="s">
        <v>640</v>
      </c>
      <c r="B420" s="168" t="s">
        <v>39</v>
      </c>
      <c r="C420" s="168" t="s">
        <v>550</v>
      </c>
      <c r="D420" s="161" t="s">
        <v>22</v>
      </c>
      <c r="E420" s="161" t="s">
        <v>58</v>
      </c>
      <c r="F420" s="161" t="s">
        <v>105</v>
      </c>
      <c r="G420" s="162">
        <v>0</v>
      </c>
      <c r="H420" s="162" t="s">
        <v>147</v>
      </c>
      <c r="I420" s="161" t="s">
        <v>542</v>
      </c>
      <c r="J420" s="161" t="s">
        <v>139</v>
      </c>
      <c r="K420" s="163"/>
      <c r="L420" s="163"/>
      <c r="M420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20" s="163"/>
      <c r="O420" s="170"/>
      <c r="P420" s="161"/>
      <c r="Q420" s="161" t="s">
        <v>146</v>
      </c>
      <c r="R420" s="161" t="s">
        <v>626</v>
      </c>
      <c r="S420" s="168" t="s">
        <v>541</v>
      </c>
    </row>
    <row r="421" spans="1:19" outlineLevel="1">
      <c r="A421" s="171" t="s">
        <v>640</v>
      </c>
      <c r="B421" s="168" t="s">
        <v>39</v>
      </c>
      <c r="C421" s="168" t="s">
        <v>550</v>
      </c>
      <c r="D421" s="161" t="s">
        <v>28</v>
      </c>
      <c r="E421" s="161" t="s">
        <v>58</v>
      </c>
      <c r="F421" s="161" t="s">
        <v>105</v>
      </c>
      <c r="G421" s="162">
        <v>0</v>
      </c>
      <c r="H421" s="162" t="s">
        <v>147</v>
      </c>
      <c r="I421" s="161" t="s">
        <v>542</v>
      </c>
      <c r="J421" s="161" t="s">
        <v>139</v>
      </c>
      <c r="K421" s="163"/>
      <c r="L421" s="164"/>
      <c r="M421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21" s="163"/>
      <c r="O421" s="170"/>
      <c r="P421" s="142"/>
      <c r="Q421" s="161" t="s">
        <v>146</v>
      </c>
      <c r="R421" s="161"/>
      <c r="S421" s="168" t="s">
        <v>541</v>
      </c>
    </row>
    <row r="422" spans="1:19" outlineLevel="1">
      <c r="A422" s="171" t="s">
        <v>640</v>
      </c>
      <c r="B422" s="168" t="s">
        <v>39</v>
      </c>
      <c r="C422" s="168" t="s">
        <v>550</v>
      </c>
      <c r="D422" s="161" t="s">
        <v>29</v>
      </c>
      <c r="E422" s="161" t="s">
        <v>58</v>
      </c>
      <c r="F422" s="161" t="s">
        <v>105</v>
      </c>
      <c r="G422" s="162">
        <v>0</v>
      </c>
      <c r="H422" s="162" t="s">
        <v>147</v>
      </c>
      <c r="I422" s="161" t="s">
        <v>542</v>
      </c>
      <c r="J422" s="161" t="s">
        <v>139</v>
      </c>
      <c r="K422" s="163"/>
      <c r="L422" s="163"/>
      <c r="M422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22" s="163"/>
      <c r="O422" s="170"/>
      <c r="P422" s="142"/>
      <c r="Q422" s="142" t="s">
        <v>146</v>
      </c>
      <c r="R422" s="161"/>
      <c r="S422" s="168" t="s">
        <v>541</v>
      </c>
    </row>
    <row r="423" spans="1:19" outlineLevel="1">
      <c r="A423" s="171" t="s">
        <v>640</v>
      </c>
      <c r="B423" s="168" t="s">
        <v>39</v>
      </c>
      <c r="C423" s="168" t="s">
        <v>550</v>
      </c>
      <c r="D423" s="161" t="s">
        <v>30</v>
      </c>
      <c r="E423" s="161" t="s">
        <v>58</v>
      </c>
      <c r="F423" s="161" t="s">
        <v>105</v>
      </c>
      <c r="G423" s="162">
        <v>0</v>
      </c>
      <c r="H423" s="162" t="s">
        <v>147</v>
      </c>
      <c r="I423" s="161" t="s">
        <v>542</v>
      </c>
      <c r="J423" s="161" t="s">
        <v>139</v>
      </c>
      <c r="K423" s="163"/>
      <c r="L423" s="163"/>
      <c r="M423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23" s="163"/>
      <c r="O423" s="170"/>
      <c r="P423" s="142"/>
      <c r="Q423" s="142" t="s">
        <v>146</v>
      </c>
      <c r="R423" s="161"/>
      <c r="S423" s="168" t="s">
        <v>541</v>
      </c>
    </row>
    <row r="424" spans="1:19">
      <c r="A424" s="126" t="s">
        <v>642</v>
      </c>
      <c r="B424" s="46" t="s">
        <v>39</v>
      </c>
      <c r="C424" s="165" t="s">
        <v>551</v>
      </c>
      <c r="D424" s="158" t="s">
        <v>18</v>
      </c>
      <c r="E424" s="158" t="s">
        <v>33</v>
      </c>
      <c r="F424" s="158" t="s">
        <v>105</v>
      </c>
      <c r="G424" s="156">
        <v>0.21</v>
      </c>
      <c r="H424" s="156" t="s">
        <v>147</v>
      </c>
      <c r="I424" s="159" t="s">
        <v>158</v>
      </c>
      <c r="J424" s="159" t="s">
        <v>139</v>
      </c>
      <c r="K424" s="166">
        <v>45945</v>
      </c>
      <c r="L424" s="160">
        <v>46203</v>
      </c>
      <c r="M424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185</v>
      </c>
      <c r="N424" s="160"/>
      <c r="O424" s="167"/>
      <c r="P424" s="143"/>
      <c r="Q424" s="158" t="s">
        <v>146</v>
      </c>
      <c r="R424" s="158"/>
      <c r="S424" s="165" t="s">
        <v>368</v>
      </c>
    </row>
    <row r="425" spans="1:19" outlineLevel="1">
      <c r="A425" s="171" t="s">
        <v>640</v>
      </c>
      <c r="B425" s="168" t="s">
        <v>39</v>
      </c>
      <c r="C425" s="168" t="s">
        <v>552</v>
      </c>
      <c r="D425" s="161" t="s">
        <v>22</v>
      </c>
      <c r="E425" s="161" t="s">
        <v>33</v>
      </c>
      <c r="F425" s="161" t="s">
        <v>105</v>
      </c>
      <c r="G425" s="162">
        <v>0</v>
      </c>
      <c r="H425" s="162" t="s">
        <v>147</v>
      </c>
      <c r="I425" s="161" t="s">
        <v>158</v>
      </c>
      <c r="J425" s="161" t="s">
        <v>139</v>
      </c>
      <c r="K425" s="163">
        <v>46034</v>
      </c>
      <c r="L425" s="163">
        <v>46203</v>
      </c>
      <c r="M425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122</v>
      </c>
      <c r="N425" s="163"/>
      <c r="O425" s="170" t="s">
        <v>43</v>
      </c>
      <c r="P425" s="161" t="s">
        <v>26</v>
      </c>
      <c r="Q425" s="161" t="s">
        <v>146</v>
      </c>
      <c r="R425" s="161" t="s">
        <v>615</v>
      </c>
      <c r="S425" s="168" t="s">
        <v>369</v>
      </c>
    </row>
    <row r="426" spans="1:19" outlineLevel="1">
      <c r="A426" s="171" t="s">
        <v>640</v>
      </c>
      <c r="B426" s="168" t="s">
        <v>39</v>
      </c>
      <c r="C426" s="168" t="s">
        <v>552</v>
      </c>
      <c r="D426" s="161" t="s">
        <v>28</v>
      </c>
      <c r="E426" s="161" t="s">
        <v>33</v>
      </c>
      <c r="F426" s="161" t="s">
        <v>105</v>
      </c>
      <c r="G426" s="162">
        <v>0</v>
      </c>
      <c r="H426" s="162" t="s">
        <v>147</v>
      </c>
      <c r="I426" s="161" t="s">
        <v>158</v>
      </c>
      <c r="J426" s="161" t="s">
        <v>139</v>
      </c>
      <c r="K426" s="163">
        <v>46127</v>
      </c>
      <c r="L426" s="164">
        <v>46203</v>
      </c>
      <c r="M426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55</v>
      </c>
      <c r="N426" s="163"/>
      <c r="O426" s="170" t="s">
        <v>43</v>
      </c>
      <c r="P426" s="142" t="s">
        <v>28</v>
      </c>
      <c r="Q426" s="161" t="s">
        <v>146</v>
      </c>
      <c r="R426" s="161" t="s">
        <v>615</v>
      </c>
      <c r="S426" s="168" t="s">
        <v>369</v>
      </c>
    </row>
    <row r="427" spans="1:19" outlineLevel="1">
      <c r="A427" s="171" t="s">
        <v>640</v>
      </c>
      <c r="B427" s="168" t="s">
        <v>39</v>
      </c>
      <c r="C427" s="168" t="s">
        <v>552</v>
      </c>
      <c r="D427" s="161" t="s">
        <v>29</v>
      </c>
      <c r="E427" s="161" t="s">
        <v>33</v>
      </c>
      <c r="F427" s="161" t="s">
        <v>105</v>
      </c>
      <c r="G427" s="162">
        <v>0</v>
      </c>
      <c r="H427" s="162" t="s">
        <v>147</v>
      </c>
      <c r="I427" s="161" t="s">
        <v>158</v>
      </c>
      <c r="J427" s="161" t="s">
        <v>139</v>
      </c>
      <c r="K427" s="163"/>
      <c r="L427" s="163"/>
      <c r="M427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27" s="163"/>
      <c r="O427" s="170"/>
      <c r="P427" s="142"/>
      <c r="Q427" s="142" t="s">
        <v>146</v>
      </c>
      <c r="R427" s="161"/>
      <c r="S427" s="168" t="s">
        <v>369</v>
      </c>
    </row>
    <row r="428" spans="1:19" outlineLevel="1">
      <c r="A428" s="171" t="s">
        <v>640</v>
      </c>
      <c r="B428" s="168" t="s">
        <v>39</v>
      </c>
      <c r="C428" s="168" t="s">
        <v>552</v>
      </c>
      <c r="D428" s="161" t="s">
        <v>30</v>
      </c>
      <c r="E428" s="161" t="s">
        <v>33</v>
      </c>
      <c r="F428" s="161" t="s">
        <v>105</v>
      </c>
      <c r="G428" s="162">
        <v>0</v>
      </c>
      <c r="H428" s="162" t="s">
        <v>147</v>
      </c>
      <c r="I428" s="161" t="s">
        <v>158</v>
      </c>
      <c r="J428" s="161" t="s">
        <v>139</v>
      </c>
      <c r="K428" s="163"/>
      <c r="L428" s="163"/>
      <c r="M428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28" s="163"/>
      <c r="O428" s="170"/>
      <c r="P428" s="142"/>
      <c r="Q428" s="142" t="s">
        <v>146</v>
      </c>
      <c r="R428" s="161"/>
      <c r="S428" s="168" t="s">
        <v>369</v>
      </c>
    </row>
    <row r="429" spans="1:19">
      <c r="A429" s="126" t="s">
        <v>642</v>
      </c>
      <c r="B429" s="46" t="s">
        <v>39</v>
      </c>
      <c r="C429" s="165" t="s">
        <v>387</v>
      </c>
      <c r="D429" s="158" t="s">
        <v>18</v>
      </c>
      <c r="E429" s="158" t="s">
        <v>58</v>
      </c>
      <c r="F429" s="158" t="s">
        <v>105</v>
      </c>
      <c r="G429" s="156">
        <v>0.5</v>
      </c>
      <c r="H429" s="156" t="s">
        <v>147</v>
      </c>
      <c r="I429" s="159" t="s">
        <v>158</v>
      </c>
      <c r="J429" s="159" t="s">
        <v>139</v>
      </c>
      <c r="K429" s="166">
        <v>46036</v>
      </c>
      <c r="L429" s="160">
        <v>46189</v>
      </c>
      <c r="M429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91</v>
      </c>
      <c r="N429" s="160"/>
      <c r="O429" s="167"/>
      <c r="P429" s="143"/>
      <c r="Q429" s="158" t="s">
        <v>146</v>
      </c>
      <c r="R429" s="158"/>
      <c r="S429" s="165" t="s">
        <v>551</v>
      </c>
    </row>
    <row r="430" spans="1:19" outlineLevel="1">
      <c r="A430" s="171" t="s">
        <v>640</v>
      </c>
      <c r="B430" s="168" t="s">
        <v>39</v>
      </c>
      <c r="C430" s="168" t="s">
        <v>388</v>
      </c>
      <c r="D430" s="161" t="s">
        <v>22</v>
      </c>
      <c r="E430" s="161" t="s">
        <v>58</v>
      </c>
      <c r="F430" s="161" t="s">
        <v>105</v>
      </c>
      <c r="G430" s="162">
        <v>0.5</v>
      </c>
      <c r="H430" s="162" t="s">
        <v>147</v>
      </c>
      <c r="I430" s="161" t="s">
        <v>158</v>
      </c>
      <c r="J430" s="161" t="s">
        <v>139</v>
      </c>
      <c r="K430" s="163">
        <v>46036</v>
      </c>
      <c r="L430" s="163">
        <v>46189</v>
      </c>
      <c r="M430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91</v>
      </c>
      <c r="N430" s="163"/>
      <c r="O430" s="170" t="s">
        <v>26</v>
      </c>
      <c r="P430" s="161" t="s">
        <v>26</v>
      </c>
      <c r="Q430" s="161" t="s">
        <v>146</v>
      </c>
      <c r="R430" s="161"/>
      <c r="S430" s="168" t="s">
        <v>552</v>
      </c>
    </row>
    <row r="431" spans="1:19" outlineLevel="1">
      <c r="A431" s="171" t="s">
        <v>640</v>
      </c>
      <c r="B431" s="168" t="s">
        <v>39</v>
      </c>
      <c r="C431" s="168" t="s">
        <v>388</v>
      </c>
      <c r="D431" s="161" t="s">
        <v>28</v>
      </c>
      <c r="E431" s="161" t="s">
        <v>58</v>
      </c>
      <c r="F431" s="161" t="s">
        <v>105</v>
      </c>
      <c r="G431" s="162">
        <v>0</v>
      </c>
      <c r="H431" s="162" t="s">
        <v>147</v>
      </c>
      <c r="I431" s="161" t="s">
        <v>158</v>
      </c>
      <c r="J431" s="161" t="s">
        <v>139</v>
      </c>
      <c r="K431" s="163"/>
      <c r="L431" s="164"/>
      <c r="M431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31" s="163"/>
      <c r="O431" s="170"/>
      <c r="P431" s="142"/>
      <c r="Q431" s="161" t="s">
        <v>146</v>
      </c>
      <c r="R431" s="161"/>
      <c r="S431" s="168" t="s">
        <v>552</v>
      </c>
    </row>
    <row r="432" spans="1:19" outlineLevel="1">
      <c r="A432" s="171" t="s">
        <v>640</v>
      </c>
      <c r="B432" s="168" t="s">
        <v>39</v>
      </c>
      <c r="C432" s="168" t="s">
        <v>388</v>
      </c>
      <c r="D432" s="161" t="s">
        <v>29</v>
      </c>
      <c r="E432" s="161" t="s">
        <v>58</v>
      </c>
      <c r="F432" s="161" t="s">
        <v>105</v>
      </c>
      <c r="G432" s="162">
        <v>0</v>
      </c>
      <c r="H432" s="162" t="s">
        <v>147</v>
      </c>
      <c r="I432" s="161" t="s">
        <v>158</v>
      </c>
      <c r="J432" s="161" t="s">
        <v>139</v>
      </c>
      <c r="K432" s="163"/>
      <c r="L432" s="163"/>
      <c r="M432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32" s="163"/>
      <c r="O432" s="170"/>
      <c r="P432" s="142"/>
      <c r="Q432" s="142" t="s">
        <v>146</v>
      </c>
      <c r="R432" s="161"/>
      <c r="S432" s="168" t="s">
        <v>552</v>
      </c>
    </row>
    <row r="433" spans="1:19" outlineLevel="1">
      <c r="A433" s="171" t="s">
        <v>640</v>
      </c>
      <c r="B433" s="168" t="s">
        <v>39</v>
      </c>
      <c r="C433" s="168" t="s">
        <v>388</v>
      </c>
      <c r="D433" s="161" t="s">
        <v>30</v>
      </c>
      <c r="E433" s="161" t="s">
        <v>58</v>
      </c>
      <c r="F433" s="161" t="s">
        <v>105</v>
      </c>
      <c r="G433" s="162">
        <v>0</v>
      </c>
      <c r="H433" s="162" t="s">
        <v>147</v>
      </c>
      <c r="I433" s="161" t="s">
        <v>158</v>
      </c>
      <c r="J433" s="161" t="s">
        <v>139</v>
      </c>
      <c r="K433" s="163"/>
      <c r="L433" s="163"/>
      <c r="M433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33" s="163"/>
      <c r="O433" s="170"/>
      <c r="P433" s="142"/>
      <c r="Q433" s="142" t="s">
        <v>146</v>
      </c>
      <c r="R433" s="161"/>
      <c r="S433" s="168" t="s">
        <v>552</v>
      </c>
    </row>
    <row r="434" spans="1:19">
      <c r="A434" s="126" t="s">
        <v>640</v>
      </c>
      <c r="B434" s="46" t="s">
        <v>39</v>
      </c>
      <c r="C434" s="165" t="s">
        <v>553</v>
      </c>
      <c r="D434" s="158" t="s">
        <v>18</v>
      </c>
      <c r="E434" s="158" t="s">
        <v>58</v>
      </c>
      <c r="F434" s="158" t="s">
        <v>105</v>
      </c>
      <c r="G434" s="156">
        <v>0</v>
      </c>
      <c r="H434" s="156" t="s">
        <v>147</v>
      </c>
      <c r="I434" s="159" t="s">
        <v>229</v>
      </c>
      <c r="J434" s="159" t="s">
        <v>139</v>
      </c>
      <c r="K434" s="166"/>
      <c r="L434" s="160"/>
      <c r="M434" s="158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34" s="160"/>
      <c r="O434" s="167"/>
      <c r="P434" s="143"/>
      <c r="Q434" s="158" t="s">
        <v>146</v>
      </c>
      <c r="R434" s="158"/>
      <c r="S434" s="165" t="s">
        <v>551</v>
      </c>
    </row>
    <row r="435" spans="1:19" outlineLevel="1">
      <c r="A435" s="171" t="s">
        <v>640</v>
      </c>
      <c r="B435" s="168" t="s">
        <v>39</v>
      </c>
      <c r="C435" s="168" t="s">
        <v>554</v>
      </c>
      <c r="D435" s="161" t="s">
        <v>22</v>
      </c>
      <c r="E435" s="161" t="s">
        <v>58</v>
      </c>
      <c r="F435" s="161" t="s">
        <v>105</v>
      </c>
      <c r="G435" s="162">
        <v>0</v>
      </c>
      <c r="H435" s="162" t="s">
        <v>147</v>
      </c>
      <c r="I435" s="161" t="s">
        <v>229</v>
      </c>
      <c r="J435" s="161" t="s">
        <v>139</v>
      </c>
      <c r="K435" s="163"/>
      <c r="L435" s="163"/>
      <c r="M435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35" s="163"/>
      <c r="O435" s="170"/>
      <c r="P435" s="161"/>
      <c r="Q435" s="161" t="s">
        <v>146</v>
      </c>
      <c r="R435" s="161"/>
      <c r="S435" s="168" t="s">
        <v>552</v>
      </c>
    </row>
    <row r="436" spans="1:19" outlineLevel="1">
      <c r="A436" s="171" t="s">
        <v>640</v>
      </c>
      <c r="B436" s="168" t="s">
        <v>39</v>
      </c>
      <c r="C436" s="168" t="s">
        <v>554</v>
      </c>
      <c r="D436" s="161" t="s">
        <v>28</v>
      </c>
      <c r="E436" s="161" t="s">
        <v>58</v>
      </c>
      <c r="F436" s="161" t="s">
        <v>105</v>
      </c>
      <c r="G436" s="162">
        <v>0</v>
      </c>
      <c r="H436" s="162" t="s">
        <v>147</v>
      </c>
      <c r="I436" s="161" t="s">
        <v>229</v>
      </c>
      <c r="J436" s="161" t="s">
        <v>139</v>
      </c>
      <c r="K436" s="163"/>
      <c r="L436" s="164"/>
      <c r="M436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36" s="163"/>
      <c r="O436" s="170"/>
      <c r="P436" s="142"/>
      <c r="Q436" s="161" t="s">
        <v>146</v>
      </c>
      <c r="R436" s="161"/>
      <c r="S436" s="168" t="s">
        <v>552</v>
      </c>
    </row>
    <row r="437" spans="1:19" outlineLevel="1">
      <c r="A437" s="171" t="s">
        <v>640</v>
      </c>
      <c r="B437" s="168" t="s">
        <v>39</v>
      </c>
      <c r="C437" s="168" t="s">
        <v>554</v>
      </c>
      <c r="D437" s="161" t="s">
        <v>29</v>
      </c>
      <c r="E437" s="161" t="s">
        <v>58</v>
      </c>
      <c r="F437" s="161" t="s">
        <v>105</v>
      </c>
      <c r="G437" s="162">
        <v>0</v>
      </c>
      <c r="H437" s="162" t="s">
        <v>147</v>
      </c>
      <c r="I437" s="161" t="s">
        <v>229</v>
      </c>
      <c r="J437" s="161" t="s">
        <v>139</v>
      </c>
      <c r="K437" s="163"/>
      <c r="L437" s="163"/>
      <c r="M437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37" s="163"/>
      <c r="O437" s="170"/>
      <c r="P437" s="142"/>
      <c r="Q437" s="142" t="s">
        <v>146</v>
      </c>
      <c r="R437" s="161"/>
      <c r="S437" s="168" t="s">
        <v>552</v>
      </c>
    </row>
    <row r="438" spans="1:19" outlineLevel="1">
      <c r="A438" s="171" t="s">
        <v>640</v>
      </c>
      <c r="B438" s="168" t="s">
        <v>39</v>
      </c>
      <c r="C438" s="168" t="s">
        <v>554</v>
      </c>
      <c r="D438" s="161" t="s">
        <v>30</v>
      </c>
      <c r="E438" s="161" t="s">
        <v>58</v>
      </c>
      <c r="F438" s="161" t="s">
        <v>105</v>
      </c>
      <c r="G438" s="162">
        <v>0</v>
      </c>
      <c r="H438" s="162" t="s">
        <v>147</v>
      </c>
      <c r="I438" s="161" t="s">
        <v>229</v>
      </c>
      <c r="J438" s="161" t="s">
        <v>139</v>
      </c>
      <c r="K438" s="163"/>
      <c r="L438" s="163"/>
      <c r="M438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38" s="163"/>
      <c r="O438" s="170"/>
      <c r="P438" s="142"/>
      <c r="Q438" s="142" t="s">
        <v>146</v>
      </c>
      <c r="R438" s="161"/>
      <c r="S438" s="168" t="s">
        <v>552</v>
      </c>
    </row>
    <row r="439" spans="1:19">
      <c r="A439" s="126" t="s">
        <v>640</v>
      </c>
      <c r="B439" s="46" t="s">
        <v>39</v>
      </c>
      <c r="C439" s="165" t="s">
        <v>660</v>
      </c>
      <c r="D439" s="158" t="s">
        <v>18</v>
      </c>
      <c r="E439" s="158" t="s">
        <v>58</v>
      </c>
      <c r="F439" s="158" t="s">
        <v>105</v>
      </c>
      <c r="G439" s="156">
        <v>0</v>
      </c>
      <c r="H439" s="156" t="s">
        <v>147</v>
      </c>
      <c r="I439" s="159" t="s">
        <v>229</v>
      </c>
      <c r="J439" s="159" t="s">
        <v>139</v>
      </c>
      <c r="K439" s="166"/>
      <c r="L439" s="160"/>
      <c r="M439" s="158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39" s="160"/>
      <c r="O439" s="167"/>
      <c r="P439" s="143"/>
      <c r="Q439" s="158" t="s">
        <v>146</v>
      </c>
      <c r="R439" s="158"/>
      <c r="S439" s="165" t="s">
        <v>551</v>
      </c>
    </row>
    <row r="440" spans="1:19" outlineLevel="1">
      <c r="A440" s="171" t="s">
        <v>640</v>
      </c>
      <c r="B440" s="168" t="s">
        <v>39</v>
      </c>
      <c r="C440" s="168" t="s">
        <v>661</v>
      </c>
      <c r="D440" s="161" t="s">
        <v>22</v>
      </c>
      <c r="E440" s="161" t="s">
        <v>58</v>
      </c>
      <c r="F440" s="161" t="s">
        <v>105</v>
      </c>
      <c r="G440" s="162">
        <v>0</v>
      </c>
      <c r="H440" s="162" t="s">
        <v>147</v>
      </c>
      <c r="I440" s="161" t="s">
        <v>229</v>
      </c>
      <c r="J440" s="161" t="s">
        <v>139</v>
      </c>
      <c r="K440" s="163"/>
      <c r="L440" s="163"/>
      <c r="M440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40" s="163"/>
      <c r="O440" s="170"/>
      <c r="P440" s="161"/>
      <c r="Q440" s="161" t="s">
        <v>146</v>
      </c>
      <c r="R440" s="161"/>
      <c r="S440" s="168" t="s">
        <v>552</v>
      </c>
    </row>
    <row r="441" spans="1:19" outlineLevel="1">
      <c r="A441" s="171" t="s">
        <v>640</v>
      </c>
      <c r="B441" s="168" t="s">
        <v>39</v>
      </c>
      <c r="C441" s="168" t="s">
        <v>661</v>
      </c>
      <c r="D441" s="161" t="s">
        <v>28</v>
      </c>
      <c r="E441" s="161" t="s">
        <v>58</v>
      </c>
      <c r="F441" s="161" t="s">
        <v>105</v>
      </c>
      <c r="G441" s="162">
        <v>0</v>
      </c>
      <c r="H441" s="162" t="s">
        <v>147</v>
      </c>
      <c r="I441" s="161" t="s">
        <v>229</v>
      </c>
      <c r="J441" s="161" t="s">
        <v>139</v>
      </c>
      <c r="K441" s="163"/>
      <c r="L441" s="164"/>
      <c r="M441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41" s="163"/>
      <c r="O441" s="170"/>
      <c r="P441" s="142"/>
      <c r="Q441" s="161" t="s">
        <v>146</v>
      </c>
      <c r="R441" s="161"/>
      <c r="S441" s="168" t="s">
        <v>552</v>
      </c>
    </row>
    <row r="442" spans="1:19" outlineLevel="1">
      <c r="A442" s="171" t="s">
        <v>640</v>
      </c>
      <c r="B442" s="168" t="s">
        <v>39</v>
      </c>
      <c r="C442" s="168" t="s">
        <v>661</v>
      </c>
      <c r="D442" s="161" t="s">
        <v>29</v>
      </c>
      <c r="E442" s="161" t="s">
        <v>58</v>
      </c>
      <c r="F442" s="161" t="s">
        <v>105</v>
      </c>
      <c r="G442" s="162">
        <v>0</v>
      </c>
      <c r="H442" s="162" t="s">
        <v>147</v>
      </c>
      <c r="I442" s="161" t="s">
        <v>229</v>
      </c>
      <c r="J442" s="161" t="s">
        <v>139</v>
      </c>
      <c r="K442" s="163"/>
      <c r="L442" s="163"/>
      <c r="M442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42" s="163"/>
      <c r="O442" s="170"/>
      <c r="P442" s="142"/>
      <c r="Q442" s="142" t="s">
        <v>146</v>
      </c>
      <c r="R442" s="161"/>
      <c r="S442" s="168" t="s">
        <v>552</v>
      </c>
    </row>
    <row r="443" spans="1:19" outlineLevel="1">
      <c r="A443" s="171" t="s">
        <v>640</v>
      </c>
      <c r="B443" s="168" t="s">
        <v>39</v>
      </c>
      <c r="C443" s="168" t="s">
        <v>661</v>
      </c>
      <c r="D443" s="161" t="s">
        <v>30</v>
      </c>
      <c r="E443" s="161" t="s">
        <v>58</v>
      </c>
      <c r="F443" s="161" t="s">
        <v>105</v>
      </c>
      <c r="G443" s="162">
        <v>0</v>
      </c>
      <c r="H443" s="162" t="s">
        <v>147</v>
      </c>
      <c r="I443" s="161" t="s">
        <v>229</v>
      </c>
      <c r="J443" s="161" t="s">
        <v>139</v>
      </c>
      <c r="K443" s="163"/>
      <c r="L443" s="163"/>
      <c r="M443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43" s="163"/>
      <c r="O443" s="170"/>
      <c r="P443" s="142"/>
      <c r="Q443" s="142" t="s">
        <v>146</v>
      </c>
      <c r="R443" s="161"/>
      <c r="S443" s="168" t="s">
        <v>552</v>
      </c>
    </row>
    <row r="444" spans="1:19">
      <c r="A444" s="126" t="s">
        <v>642</v>
      </c>
      <c r="B444" s="46" t="s">
        <v>39</v>
      </c>
      <c r="C444" s="165" t="s">
        <v>393</v>
      </c>
      <c r="D444" s="158" t="s">
        <v>18</v>
      </c>
      <c r="E444" s="158" t="s">
        <v>33</v>
      </c>
      <c r="F444" s="158" t="s">
        <v>105</v>
      </c>
      <c r="G444" s="156">
        <v>0.56999999999999995</v>
      </c>
      <c r="H444" s="156" t="s">
        <v>147</v>
      </c>
      <c r="I444" s="159" t="s">
        <v>542</v>
      </c>
      <c r="J444" s="159" t="s">
        <v>139</v>
      </c>
      <c r="K444" s="166">
        <v>45946</v>
      </c>
      <c r="L444" s="160">
        <v>46188</v>
      </c>
      <c r="M444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173</v>
      </c>
      <c r="N444" s="160"/>
      <c r="O444" s="167"/>
      <c r="P444" s="143"/>
      <c r="Q444" s="158" t="s">
        <v>146</v>
      </c>
      <c r="R444" s="158"/>
      <c r="S444" s="165" t="s">
        <v>368</v>
      </c>
    </row>
    <row r="445" spans="1:19" outlineLevel="1">
      <c r="A445" s="171" t="s">
        <v>640</v>
      </c>
      <c r="B445" s="168" t="s">
        <v>39</v>
      </c>
      <c r="C445" s="168" t="s">
        <v>394</v>
      </c>
      <c r="D445" s="161" t="s">
        <v>22</v>
      </c>
      <c r="E445" s="161" t="s">
        <v>33</v>
      </c>
      <c r="F445" s="161" t="s">
        <v>105</v>
      </c>
      <c r="G445" s="162">
        <v>0</v>
      </c>
      <c r="H445" s="162" t="s">
        <v>147</v>
      </c>
      <c r="I445" s="161" t="s">
        <v>542</v>
      </c>
      <c r="J445" s="161" t="s">
        <v>139</v>
      </c>
      <c r="K445" s="163">
        <v>46034</v>
      </c>
      <c r="L445" s="163">
        <v>46111</v>
      </c>
      <c r="M445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56</v>
      </c>
      <c r="N445" s="163"/>
      <c r="O445" s="170" t="s">
        <v>43</v>
      </c>
      <c r="P445" s="161" t="s">
        <v>108</v>
      </c>
      <c r="Q445" s="161" t="s">
        <v>146</v>
      </c>
      <c r="R445" s="161"/>
      <c r="S445" s="168" t="s">
        <v>369</v>
      </c>
    </row>
    <row r="446" spans="1:19" outlineLevel="1">
      <c r="A446" s="171" t="s">
        <v>640</v>
      </c>
      <c r="B446" s="168" t="s">
        <v>39</v>
      </c>
      <c r="C446" s="168" t="s">
        <v>394</v>
      </c>
      <c r="D446" s="161" t="s">
        <v>28</v>
      </c>
      <c r="E446" s="161" t="s">
        <v>33</v>
      </c>
      <c r="F446" s="161" t="s">
        <v>105</v>
      </c>
      <c r="G446" s="162">
        <v>0</v>
      </c>
      <c r="H446" s="162" t="s">
        <v>147</v>
      </c>
      <c r="I446" s="161" t="s">
        <v>542</v>
      </c>
      <c r="J446" s="161" t="s">
        <v>139</v>
      </c>
      <c r="K446" s="163">
        <v>46113</v>
      </c>
      <c r="L446" s="164">
        <v>46188</v>
      </c>
      <c r="M446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54</v>
      </c>
      <c r="N446" s="163"/>
      <c r="O446" s="170" t="s">
        <v>43</v>
      </c>
      <c r="P446" s="142" t="s">
        <v>28</v>
      </c>
      <c r="Q446" s="161" t="s">
        <v>146</v>
      </c>
      <c r="R446" s="161"/>
      <c r="S446" s="168" t="s">
        <v>369</v>
      </c>
    </row>
    <row r="447" spans="1:19" outlineLevel="1">
      <c r="A447" s="171" t="s">
        <v>640</v>
      </c>
      <c r="B447" s="168" t="s">
        <v>39</v>
      </c>
      <c r="C447" s="168" t="s">
        <v>394</v>
      </c>
      <c r="D447" s="161" t="s">
        <v>29</v>
      </c>
      <c r="E447" s="161" t="s">
        <v>33</v>
      </c>
      <c r="F447" s="161" t="s">
        <v>105</v>
      </c>
      <c r="G447" s="162">
        <v>0</v>
      </c>
      <c r="H447" s="162" t="s">
        <v>147</v>
      </c>
      <c r="I447" s="161" t="s">
        <v>542</v>
      </c>
      <c r="J447" s="161" t="s">
        <v>139</v>
      </c>
      <c r="K447" s="163"/>
      <c r="L447" s="163"/>
      <c r="M447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47" s="163"/>
      <c r="O447" s="170"/>
      <c r="P447" s="142"/>
      <c r="Q447" s="142" t="s">
        <v>146</v>
      </c>
      <c r="R447" s="161"/>
      <c r="S447" s="168" t="s">
        <v>369</v>
      </c>
    </row>
    <row r="448" spans="1:19" outlineLevel="1">
      <c r="A448" s="171" t="s">
        <v>640</v>
      </c>
      <c r="B448" s="168" t="s">
        <v>39</v>
      </c>
      <c r="C448" s="168" t="s">
        <v>394</v>
      </c>
      <c r="D448" s="161" t="s">
        <v>30</v>
      </c>
      <c r="E448" s="161" t="s">
        <v>33</v>
      </c>
      <c r="F448" s="161" t="s">
        <v>105</v>
      </c>
      <c r="G448" s="162">
        <v>0</v>
      </c>
      <c r="H448" s="162" t="s">
        <v>147</v>
      </c>
      <c r="I448" s="161" t="s">
        <v>542</v>
      </c>
      <c r="J448" s="161" t="s">
        <v>139</v>
      </c>
      <c r="K448" s="163"/>
      <c r="L448" s="163"/>
      <c r="M448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48" s="163"/>
      <c r="O448" s="170"/>
      <c r="P448" s="142"/>
      <c r="Q448" s="142" t="s">
        <v>146</v>
      </c>
      <c r="R448" s="161"/>
      <c r="S448" s="168" t="s">
        <v>369</v>
      </c>
    </row>
    <row r="449" spans="1:19">
      <c r="A449" s="126" t="s">
        <v>642</v>
      </c>
      <c r="B449" s="46" t="s">
        <v>39</v>
      </c>
      <c r="C449" s="165" t="s">
        <v>396</v>
      </c>
      <c r="D449" s="158" t="s">
        <v>18</v>
      </c>
      <c r="E449" s="158" t="s">
        <v>58</v>
      </c>
      <c r="F449" s="158" t="s">
        <v>105</v>
      </c>
      <c r="G449" s="156">
        <v>0.75</v>
      </c>
      <c r="H449" s="156" t="s">
        <v>147</v>
      </c>
      <c r="I449" s="159" t="s">
        <v>542</v>
      </c>
      <c r="J449" s="159" t="s">
        <v>139</v>
      </c>
      <c r="K449" s="166">
        <v>46035</v>
      </c>
      <c r="L449" s="160">
        <v>46100</v>
      </c>
      <c r="M449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48</v>
      </c>
      <c r="N449" s="160">
        <v>46100</v>
      </c>
      <c r="O449" s="167"/>
      <c r="P449" s="143"/>
      <c r="Q449" s="158" t="s">
        <v>146</v>
      </c>
      <c r="R449" s="158"/>
      <c r="S449" s="165" t="s">
        <v>393</v>
      </c>
    </row>
    <row r="450" spans="1:19" outlineLevel="1">
      <c r="A450" s="171" t="s">
        <v>640</v>
      </c>
      <c r="B450" s="168" t="s">
        <v>39</v>
      </c>
      <c r="C450" s="168" t="s">
        <v>397</v>
      </c>
      <c r="D450" s="161" t="s">
        <v>22</v>
      </c>
      <c r="E450" s="161" t="s">
        <v>58</v>
      </c>
      <c r="F450" s="161" t="s">
        <v>105</v>
      </c>
      <c r="G450" s="162">
        <v>0.75</v>
      </c>
      <c r="H450" s="162" t="s">
        <v>147</v>
      </c>
      <c r="I450" s="161" t="s">
        <v>542</v>
      </c>
      <c r="J450" s="161" t="s">
        <v>139</v>
      </c>
      <c r="K450" s="163">
        <v>46035</v>
      </c>
      <c r="L450" s="163">
        <v>46100</v>
      </c>
      <c r="M450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48</v>
      </c>
      <c r="N450" s="163">
        <v>46100</v>
      </c>
      <c r="O450" s="170" t="s">
        <v>26</v>
      </c>
      <c r="P450" s="161" t="s">
        <v>108</v>
      </c>
      <c r="Q450" s="161" t="s">
        <v>146</v>
      </c>
      <c r="R450" s="161" t="s">
        <v>627</v>
      </c>
      <c r="S450" s="168" t="s">
        <v>394</v>
      </c>
    </row>
    <row r="451" spans="1:19" outlineLevel="1">
      <c r="A451" s="171" t="s">
        <v>640</v>
      </c>
      <c r="B451" s="168" t="s">
        <v>39</v>
      </c>
      <c r="C451" s="168" t="s">
        <v>397</v>
      </c>
      <c r="D451" s="161" t="s">
        <v>28</v>
      </c>
      <c r="E451" s="161" t="s">
        <v>58</v>
      </c>
      <c r="F451" s="161" t="s">
        <v>105</v>
      </c>
      <c r="G451" s="162">
        <v>0</v>
      </c>
      <c r="H451" s="162" t="s">
        <v>147</v>
      </c>
      <c r="I451" s="161" t="s">
        <v>542</v>
      </c>
      <c r="J451" s="161" t="s">
        <v>139</v>
      </c>
      <c r="K451" s="163"/>
      <c r="L451" s="164"/>
      <c r="M451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51" s="163"/>
      <c r="O451" s="170"/>
      <c r="P451" s="142"/>
      <c r="Q451" s="161" t="s">
        <v>146</v>
      </c>
      <c r="R451" s="161"/>
      <c r="S451" s="168" t="s">
        <v>394</v>
      </c>
    </row>
    <row r="452" spans="1:19" outlineLevel="1">
      <c r="A452" s="171" t="s">
        <v>640</v>
      </c>
      <c r="B452" s="168" t="s">
        <v>39</v>
      </c>
      <c r="C452" s="168" t="s">
        <v>397</v>
      </c>
      <c r="D452" s="161" t="s">
        <v>29</v>
      </c>
      <c r="E452" s="161" t="s">
        <v>58</v>
      </c>
      <c r="F452" s="161" t="s">
        <v>105</v>
      </c>
      <c r="G452" s="162">
        <v>0</v>
      </c>
      <c r="H452" s="162" t="s">
        <v>147</v>
      </c>
      <c r="I452" s="161" t="s">
        <v>542</v>
      </c>
      <c r="J452" s="161" t="s">
        <v>139</v>
      </c>
      <c r="K452" s="163"/>
      <c r="L452" s="163"/>
      <c r="M452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52" s="163"/>
      <c r="O452" s="170"/>
      <c r="P452" s="142"/>
      <c r="Q452" s="142" t="s">
        <v>146</v>
      </c>
      <c r="R452" s="161"/>
      <c r="S452" s="168" t="s">
        <v>394</v>
      </c>
    </row>
    <row r="453" spans="1:19" outlineLevel="1">
      <c r="A453" s="171" t="s">
        <v>640</v>
      </c>
      <c r="B453" s="168" t="s">
        <v>39</v>
      </c>
      <c r="C453" s="168" t="s">
        <v>397</v>
      </c>
      <c r="D453" s="161" t="s">
        <v>30</v>
      </c>
      <c r="E453" s="161" t="s">
        <v>58</v>
      </c>
      <c r="F453" s="161" t="s">
        <v>105</v>
      </c>
      <c r="G453" s="162">
        <v>0</v>
      </c>
      <c r="H453" s="162" t="s">
        <v>147</v>
      </c>
      <c r="I453" s="161" t="s">
        <v>542</v>
      </c>
      <c r="J453" s="161" t="s">
        <v>139</v>
      </c>
      <c r="K453" s="163"/>
      <c r="L453" s="163"/>
      <c r="M453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53" s="163"/>
      <c r="O453" s="170"/>
      <c r="P453" s="142"/>
      <c r="Q453" s="142" t="s">
        <v>146</v>
      </c>
      <c r="R453" s="161"/>
      <c r="S453" s="168" t="s">
        <v>394</v>
      </c>
    </row>
    <row r="454" spans="1:19">
      <c r="A454" s="126" t="s">
        <v>642</v>
      </c>
      <c r="B454" s="46" t="s">
        <v>39</v>
      </c>
      <c r="C454" s="165" t="s">
        <v>398</v>
      </c>
      <c r="D454" s="158" t="s">
        <v>18</v>
      </c>
      <c r="E454" s="158" t="s">
        <v>58</v>
      </c>
      <c r="F454" s="158" t="s">
        <v>105</v>
      </c>
      <c r="G454" s="156">
        <v>0.75</v>
      </c>
      <c r="H454" s="156" t="s">
        <v>147</v>
      </c>
      <c r="I454" s="159" t="s">
        <v>542</v>
      </c>
      <c r="J454" s="159" t="s">
        <v>139</v>
      </c>
      <c r="K454" s="166">
        <v>46035</v>
      </c>
      <c r="L454" s="160">
        <v>46100</v>
      </c>
      <c r="M454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48</v>
      </c>
      <c r="N454" s="160">
        <v>46100</v>
      </c>
      <c r="O454" s="167"/>
      <c r="P454" s="143"/>
      <c r="Q454" s="158" t="s">
        <v>146</v>
      </c>
      <c r="R454" s="158"/>
      <c r="S454" s="165" t="s">
        <v>393</v>
      </c>
    </row>
    <row r="455" spans="1:19" outlineLevel="1">
      <c r="A455" s="171" t="s">
        <v>640</v>
      </c>
      <c r="B455" s="168" t="s">
        <v>39</v>
      </c>
      <c r="C455" s="168" t="s">
        <v>399</v>
      </c>
      <c r="D455" s="161" t="s">
        <v>22</v>
      </c>
      <c r="E455" s="161" t="s">
        <v>58</v>
      </c>
      <c r="F455" s="161" t="s">
        <v>105</v>
      </c>
      <c r="G455" s="162">
        <v>0.75</v>
      </c>
      <c r="H455" s="162" t="s">
        <v>147</v>
      </c>
      <c r="I455" s="161" t="s">
        <v>542</v>
      </c>
      <c r="J455" s="161" t="s">
        <v>139</v>
      </c>
      <c r="K455" s="163">
        <v>46035</v>
      </c>
      <c r="L455" s="163">
        <v>46100</v>
      </c>
      <c r="M455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48</v>
      </c>
      <c r="N455" s="163">
        <v>46100</v>
      </c>
      <c r="O455" s="170" t="s">
        <v>26</v>
      </c>
      <c r="P455" s="161" t="s">
        <v>108</v>
      </c>
      <c r="Q455" s="161" t="s">
        <v>146</v>
      </c>
      <c r="R455" s="161" t="s">
        <v>627</v>
      </c>
      <c r="S455" s="168" t="s">
        <v>394</v>
      </c>
    </row>
    <row r="456" spans="1:19" outlineLevel="1">
      <c r="A456" s="171" t="s">
        <v>640</v>
      </c>
      <c r="B456" s="168" t="s">
        <v>39</v>
      </c>
      <c r="C456" s="168" t="s">
        <v>399</v>
      </c>
      <c r="D456" s="161" t="s">
        <v>28</v>
      </c>
      <c r="E456" s="161" t="s">
        <v>58</v>
      </c>
      <c r="F456" s="161" t="s">
        <v>105</v>
      </c>
      <c r="G456" s="162">
        <v>0</v>
      </c>
      <c r="H456" s="162" t="s">
        <v>147</v>
      </c>
      <c r="I456" s="161" t="s">
        <v>542</v>
      </c>
      <c r="J456" s="161" t="s">
        <v>139</v>
      </c>
      <c r="K456" s="163"/>
      <c r="L456" s="164"/>
      <c r="M456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56" s="163"/>
      <c r="O456" s="170"/>
      <c r="P456" s="142"/>
      <c r="Q456" s="161" t="s">
        <v>146</v>
      </c>
      <c r="R456" s="161"/>
      <c r="S456" s="168" t="s">
        <v>394</v>
      </c>
    </row>
    <row r="457" spans="1:19" outlineLevel="1">
      <c r="A457" s="171" t="s">
        <v>640</v>
      </c>
      <c r="B457" s="168" t="s">
        <v>39</v>
      </c>
      <c r="C457" s="168" t="s">
        <v>399</v>
      </c>
      <c r="D457" s="161" t="s">
        <v>29</v>
      </c>
      <c r="E457" s="161" t="s">
        <v>58</v>
      </c>
      <c r="F457" s="161" t="s">
        <v>105</v>
      </c>
      <c r="G457" s="162">
        <v>0</v>
      </c>
      <c r="H457" s="162" t="s">
        <v>147</v>
      </c>
      <c r="I457" s="161" t="s">
        <v>542</v>
      </c>
      <c r="J457" s="161" t="s">
        <v>139</v>
      </c>
      <c r="K457" s="163"/>
      <c r="L457" s="163"/>
      <c r="M457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57" s="163"/>
      <c r="O457" s="170"/>
      <c r="P457" s="142"/>
      <c r="Q457" s="142" t="s">
        <v>146</v>
      </c>
      <c r="R457" s="161"/>
      <c r="S457" s="168" t="s">
        <v>394</v>
      </c>
    </row>
    <row r="458" spans="1:19" outlineLevel="1">
      <c r="A458" s="171" t="s">
        <v>640</v>
      </c>
      <c r="B458" s="168" t="s">
        <v>39</v>
      </c>
      <c r="C458" s="168" t="s">
        <v>399</v>
      </c>
      <c r="D458" s="161" t="s">
        <v>30</v>
      </c>
      <c r="E458" s="161" t="s">
        <v>58</v>
      </c>
      <c r="F458" s="161" t="s">
        <v>105</v>
      </c>
      <c r="G458" s="162">
        <v>0</v>
      </c>
      <c r="H458" s="162" t="s">
        <v>147</v>
      </c>
      <c r="I458" s="161" t="s">
        <v>542</v>
      </c>
      <c r="J458" s="161" t="s">
        <v>139</v>
      </c>
      <c r="K458" s="163"/>
      <c r="L458" s="163"/>
      <c r="M458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58" s="163"/>
      <c r="O458" s="170"/>
      <c r="P458" s="142"/>
      <c r="Q458" s="142" t="s">
        <v>146</v>
      </c>
      <c r="R458" s="161"/>
      <c r="S458" s="168" t="s">
        <v>394</v>
      </c>
    </row>
    <row r="459" spans="1:19">
      <c r="A459" s="126" t="s">
        <v>642</v>
      </c>
      <c r="B459" s="46" t="s">
        <v>39</v>
      </c>
      <c r="C459" s="165" t="s">
        <v>400</v>
      </c>
      <c r="D459" s="158" t="s">
        <v>18</v>
      </c>
      <c r="E459" s="158" t="s">
        <v>58</v>
      </c>
      <c r="F459" s="158" t="s">
        <v>105</v>
      </c>
      <c r="G459" s="156">
        <v>1</v>
      </c>
      <c r="H459" s="156" t="s">
        <v>46</v>
      </c>
      <c r="I459" s="159" t="s">
        <v>542</v>
      </c>
      <c r="J459" s="159" t="s">
        <v>139</v>
      </c>
      <c r="K459" s="166"/>
      <c r="L459" s="160"/>
      <c r="M459" s="158"/>
      <c r="N459" s="160"/>
      <c r="O459" s="167"/>
      <c r="P459" s="143"/>
      <c r="Q459" s="158" t="s">
        <v>146</v>
      </c>
      <c r="R459" s="158"/>
      <c r="S459" s="165" t="s">
        <v>393</v>
      </c>
    </row>
    <row r="460" spans="1:19" outlineLevel="1">
      <c r="A460" s="171" t="s">
        <v>640</v>
      </c>
      <c r="B460" s="168" t="s">
        <v>39</v>
      </c>
      <c r="C460" s="168" t="s">
        <v>401</v>
      </c>
      <c r="D460" s="161" t="s">
        <v>22</v>
      </c>
      <c r="E460" s="161" t="s">
        <v>58</v>
      </c>
      <c r="F460" s="161" t="s">
        <v>105</v>
      </c>
      <c r="G460" s="162">
        <v>1</v>
      </c>
      <c r="H460" s="162" t="s">
        <v>46</v>
      </c>
      <c r="I460" s="161" t="s">
        <v>542</v>
      </c>
      <c r="J460" s="161" t="s">
        <v>139</v>
      </c>
      <c r="K460" s="163">
        <v>46055</v>
      </c>
      <c r="L460" s="163">
        <v>46100</v>
      </c>
      <c r="M460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34</v>
      </c>
      <c r="N460" s="163">
        <v>46100</v>
      </c>
      <c r="O460" s="170" t="s">
        <v>108</v>
      </c>
      <c r="P460" s="161" t="s">
        <v>108</v>
      </c>
      <c r="Q460" s="161" t="s">
        <v>146</v>
      </c>
      <c r="R460" s="161" t="s">
        <v>662</v>
      </c>
      <c r="S460" s="168" t="s">
        <v>394</v>
      </c>
    </row>
    <row r="461" spans="1:19" outlineLevel="1">
      <c r="A461" s="171" t="s">
        <v>640</v>
      </c>
      <c r="B461" s="168" t="s">
        <v>39</v>
      </c>
      <c r="C461" s="168" t="s">
        <v>401</v>
      </c>
      <c r="D461" s="161" t="s">
        <v>28</v>
      </c>
      <c r="E461" s="161" t="s">
        <v>58</v>
      </c>
      <c r="F461" s="161" t="s">
        <v>105</v>
      </c>
      <c r="G461" s="162">
        <v>0</v>
      </c>
      <c r="H461" s="162" t="s">
        <v>46</v>
      </c>
      <c r="I461" s="161" t="s">
        <v>542</v>
      </c>
      <c r="J461" s="161" t="s">
        <v>139</v>
      </c>
      <c r="K461" s="163"/>
      <c r="L461" s="164"/>
      <c r="M461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61" s="163"/>
      <c r="O461" s="170"/>
      <c r="P461" s="142"/>
      <c r="Q461" s="161" t="s">
        <v>146</v>
      </c>
      <c r="R461" s="161" t="s">
        <v>629</v>
      </c>
      <c r="S461" s="168" t="s">
        <v>394</v>
      </c>
    </row>
    <row r="462" spans="1:19" outlineLevel="1">
      <c r="A462" s="171" t="s">
        <v>640</v>
      </c>
      <c r="B462" s="168" t="s">
        <v>39</v>
      </c>
      <c r="C462" s="168" t="s">
        <v>401</v>
      </c>
      <c r="D462" s="161" t="s">
        <v>29</v>
      </c>
      <c r="E462" s="161" t="s">
        <v>58</v>
      </c>
      <c r="F462" s="161" t="s">
        <v>105</v>
      </c>
      <c r="G462" s="162">
        <v>0</v>
      </c>
      <c r="H462" s="162" t="s">
        <v>46</v>
      </c>
      <c r="I462" s="161" t="s">
        <v>542</v>
      </c>
      <c r="J462" s="161" t="s">
        <v>139</v>
      </c>
      <c r="K462" s="163"/>
      <c r="L462" s="163"/>
      <c r="M462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62" s="163"/>
      <c r="O462" s="170"/>
      <c r="P462" s="142"/>
      <c r="Q462" s="142" t="s">
        <v>146</v>
      </c>
      <c r="R462" s="161" t="s">
        <v>629</v>
      </c>
      <c r="S462" s="168" t="s">
        <v>394</v>
      </c>
    </row>
    <row r="463" spans="1:19" outlineLevel="1">
      <c r="A463" s="171" t="s">
        <v>640</v>
      </c>
      <c r="B463" s="168" t="s">
        <v>39</v>
      </c>
      <c r="C463" s="168" t="s">
        <v>401</v>
      </c>
      <c r="D463" s="161" t="s">
        <v>30</v>
      </c>
      <c r="E463" s="161" t="s">
        <v>58</v>
      </c>
      <c r="F463" s="161" t="s">
        <v>105</v>
      </c>
      <c r="G463" s="162">
        <v>0</v>
      </c>
      <c r="H463" s="162" t="s">
        <v>46</v>
      </c>
      <c r="I463" s="161" t="s">
        <v>542</v>
      </c>
      <c r="J463" s="161" t="s">
        <v>139</v>
      </c>
      <c r="K463" s="163"/>
      <c r="L463" s="163"/>
      <c r="M463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63" s="163"/>
      <c r="O463" s="170"/>
      <c r="P463" s="142"/>
      <c r="Q463" s="142" t="s">
        <v>146</v>
      </c>
      <c r="R463" s="161" t="s">
        <v>629</v>
      </c>
      <c r="S463" s="168" t="s">
        <v>394</v>
      </c>
    </row>
    <row r="464" spans="1:19">
      <c r="A464" s="126" t="s">
        <v>640</v>
      </c>
      <c r="B464" s="46" t="s">
        <v>39</v>
      </c>
      <c r="C464" s="165" t="s">
        <v>402</v>
      </c>
      <c r="D464" s="158" t="s">
        <v>18</v>
      </c>
      <c r="E464" s="158" t="s">
        <v>58</v>
      </c>
      <c r="F464" s="158" t="s">
        <v>105</v>
      </c>
      <c r="G464" s="156">
        <v>0</v>
      </c>
      <c r="H464" s="156" t="s">
        <v>147</v>
      </c>
      <c r="I464" s="159" t="s">
        <v>229</v>
      </c>
      <c r="J464" s="159" t="s">
        <v>139</v>
      </c>
      <c r="K464" s="166"/>
      <c r="L464" s="160"/>
      <c r="M464" s="158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64" s="160"/>
      <c r="O464" s="167"/>
      <c r="P464" s="143"/>
      <c r="Q464" s="158" t="s">
        <v>146</v>
      </c>
      <c r="R464" s="158"/>
      <c r="S464" s="165" t="s">
        <v>393</v>
      </c>
    </row>
    <row r="465" spans="1:19" outlineLevel="1">
      <c r="A465" s="171" t="s">
        <v>640</v>
      </c>
      <c r="B465" s="168" t="s">
        <v>39</v>
      </c>
      <c r="C465" s="168" t="s">
        <v>403</v>
      </c>
      <c r="D465" s="161" t="s">
        <v>22</v>
      </c>
      <c r="E465" s="161" t="s">
        <v>58</v>
      </c>
      <c r="F465" s="161" t="s">
        <v>105</v>
      </c>
      <c r="G465" s="162">
        <v>0</v>
      </c>
      <c r="H465" s="162" t="s">
        <v>147</v>
      </c>
      <c r="I465" s="161" t="s">
        <v>229</v>
      </c>
      <c r="J465" s="161" t="s">
        <v>139</v>
      </c>
      <c r="K465" s="163"/>
      <c r="L465" s="163"/>
      <c r="M465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65" s="163"/>
      <c r="O465" s="170"/>
      <c r="P465" s="161"/>
      <c r="Q465" s="161" t="s">
        <v>146</v>
      </c>
      <c r="R465" s="161" t="s">
        <v>630</v>
      </c>
      <c r="S465" s="168" t="s">
        <v>394</v>
      </c>
    </row>
    <row r="466" spans="1:19" outlineLevel="1">
      <c r="A466" s="171" t="s">
        <v>640</v>
      </c>
      <c r="B466" s="168" t="s">
        <v>39</v>
      </c>
      <c r="C466" s="168" t="s">
        <v>403</v>
      </c>
      <c r="D466" s="161" t="s">
        <v>28</v>
      </c>
      <c r="E466" s="161" t="s">
        <v>58</v>
      </c>
      <c r="F466" s="161" t="s">
        <v>105</v>
      </c>
      <c r="G466" s="162">
        <v>0</v>
      </c>
      <c r="H466" s="162" t="s">
        <v>147</v>
      </c>
      <c r="I466" s="161" t="s">
        <v>229</v>
      </c>
      <c r="J466" s="161" t="s">
        <v>139</v>
      </c>
      <c r="K466" s="163"/>
      <c r="L466" s="164"/>
      <c r="M466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66" s="163"/>
      <c r="O466" s="170"/>
      <c r="P466" s="142"/>
      <c r="Q466" s="161" t="s">
        <v>146</v>
      </c>
      <c r="R466" s="161"/>
      <c r="S466" s="168" t="s">
        <v>394</v>
      </c>
    </row>
    <row r="467" spans="1:19" outlineLevel="1">
      <c r="A467" s="171" t="s">
        <v>640</v>
      </c>
      <c r="B467" s="168" t="s">
        <v>39</v>
      </c>
      <c r="C467" s="168" t="s">
        <v>403</v>
      </c>
      <c r="D467" s="161" t="s">
        <v>29</v>
      </c>
      <c r="E467" s="161" t="s">
        <v>58</v>
      </c>
      <c r="F467" s="161" t="s">
        <v>105</v>
      </c>
      <c r="G467" s="162">
        <v>0</v>
      </c>
      <c r="H467" s="162" t="s">
        <v>147</v>
      </c>
      <c r="I467" s="161" t="s">
        <v>229</v>
      </c>
      <c r="J467" s="161" t="s">
        <v>139</v>
      </c>
      <c r="K467" s="163"/>
      <c r="L467" s="163"/>
      <c r="M467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67" s="163"/>
      <c r="O467" s="170"/>
      <c r="P467" s="142"/>
      <c r="Q467" s="142" t="s">
        <v>146</v>
      </c>
      <c r="R467" s="161"/>
      <c r="S467" s="168" t="s">
        <v>394</v>
      </c>
    </row>
    <row r="468" spans="1:19" outlineLevel="1">
      <c r="A468" s="171" t="s">
        <v>640</v>
      </c>
      <c r="B468" s="168" t="s">
        <v>39</v>
      </c>
      <c r="C468" s="168" t="s">
        <v>403</v>
      </c>
      <c r="D468" s="161" t="s">
        <v>30</v>
      </c>
      <c r="E468" s="161" t="s">
        <v>58</v>
      </c>
      <c r="F468" s="161" t="s">
        <v>105</v>
      </c>
      <c r="G468" s="162">
        <v>0</v>
      </c>
      <c r="H468" s="162" t="s">
        <v>147</v>
      </c>
      <c r="I468" s="161" t="s">
        <v>229</v>
      </c>
      <c r="J468" s="161" t="s">
        <v>139</v>
      </c>
      <c r="K468" s="163"/>
      <c r="L468" s="163"/>
      <c r="M468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68" s="163"/>
      <c r="O468" s="170"/>
      <c r="P468" s="142"/>
      <c r="Q468" s="142" t="s">
        <v>146</v>
      </c>
      <c r="R468" s="161"/>
      <c r="S468" s="168" t="s">
        <v>394</v>
      </c>
    </row>
    <row r="469" spans="1:19">
      <c r="A469" s="126" t="s">
        <v>642</v>
      </c>
      <c r="B469" s="119"/>
      <c r="C469" s="172" t="s">
        <v>663</v>
      </c>
      <c r="D469" s="141"/>
      <c r="E469" s="172" t="s">
        <v>19</v>
      </c>
      <c r="F469" s="172" t="s">
        <v>170</v>
      </c>
      <c r="G469" s="173">
        <v>0.2</v>
      </c>
      <c r="H469" s="141"/>
      <c r="I469" s="141"/>
      <c r="J469" s="141"/>
      <c r="K469" s="174">
        <v>45852</v>
      </c>
      <c r="L469" s="174">
        <v>46568</v>
      </c>
      <c r="M469" s="172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69" s="174"/>
      <c r="O469" s="141"/>
      <c r="P469" s="141"/>
      <c r="Q469" s="172" t="s">
        <v>663</v>
      </c>
      <c r="R469" s="45"/>
      <c r="S469" s="176"/>
    </row>
    <row r="470" spans="1:19">
      <c r="A470" s="126" t="s">
        <v>642</v>
      </c>
      <c r="B470" s="165" t="s">
        <v>168</v>
      </c>
      <c r="C470" s="165" t="s">
        <v>558</v>
      </c>
      <c r="D470" s="158" t="s">
        <v>18</v>
      </c>
      <c r="E470" s="158" t="s">
        <v>19</v>
      </c>
      <c r="F470" s="158" t="s">
        <v>170</v>
      </c>
      <c r="G470" s="156">
        <v>0.5</v>
      </c>
      <c r="H470" s="156" t="s">
        <v>48</v>
      </c>
      <c r="I470" s="159" t="s">
        <v>171</v>
      </c>
      <c r="J470" s="159" t="s">
        <v>97</v>
      </c>
      <c r="K470" s="166">
        <v>45946</v>
      </c>
      <c r="L470" s="160">
        <v>45946</v>
      </c>
      <c r="M470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</v>
      </c>
      <c r="N470" s="160"/>
      <c r="O470" s="167"/>
      <c r="P470" s="143"/>
      <c r="Q470" s="158" t="s">
        <v>169</v>
      </c>
      <c r="R470" s="158"/>
      <c r="S470" s="177"/>
    </row>
    <row r="471" spans="1:19" outlineLevel="1">
      <c r="A471" s="171" t="s">
        <v>640</v>
      </c>
      <c r="B471" s="168" t="s">
        <v>168</v>
      </c>
      <c r="C471" s="168" t="s">
        <v>559</v>
      </c>
      <c r="D471" s="161" t="s">
        <v>22</v>
      </c>
      <c r="E471" s="161" t="s">
        <v>19</v>
      </c>
      <c r="F471" s="161" t="s">
        <v>170</v>
      </c>
      <c r="G471" s="162">
        <v>0.5</v>
      </c>
      <c r="H471" s="162" t="s">
        <v>48</v>
      </c>
      <c r="I471" s="161" t="s">
        <v>171</v>
      </c>
      <c r="J471" s="161" t="s">
        <v>97</v>
      </c>
      <c r="K471" s="163">
        <v>45946</v>
      </c>
      <c r="L471" s="163"/>
      <c r="M471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71" s="163"/>
      <c r="O471" s="170"/>
      <c r="P471" s="161"/>
      <c r="Q471" s="161" t="s">
        <v>169</v>
      </c>
      <c r="R471" s="161"/>
      <c r="S471" s="178"/>
    </row>
    <row r="472" spans="1:19" outlineLevel="1">
      <c r="A472" s="171" t="s">
        <v>640</v>
      </c>
      <c r="B472" s="168" t="s">
        <v>168</v>
      </c>
      <c r="C472" s="168" t="s">
        <v>559</v>
      </c>
      <c r="D472" s="161" t="s">
        <v>28</v>
      </c>
      <c r="E472" s="161" t="s">
        <v>19</v>
      </c>
      <c r="F472" s="161" t="s">
        <v>170</v>
      </c>
      <c r="G472" s="162">
        <v>0</v>
      </c>
      <c r="H472" s="162" t="s">
        <v>48</v>
      </c>
      <c r="I472" s="161" t="s">
        <v>171</v>
      </c>
      <c r="J472" s="161" t="s">
        <v>97</v>
      </c>
      <c r="K472" s="163"/>
      <c r="L472" s="164"/>
      <c r="M472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72" s="163"/>
      <c r="O472" s="170"/>
      <c r="P472" s="142"/>
      <c r="Q472" s="161" t="s">
        <v>169</v>
      </c>
      <c r="R472" s="161"/>
      <c r="S472" s="178"/>
    </row>
    <row r="473" spans="1:19" outlineLevel="1">
      <c r="A473" s="171" t="s">
        <v>640</v>
      </c>
      <c r="B473" s="168" t="s">
        <v>168</v>
      </c>
      <c r="C473" s="168" t="s">
        <v>559</v>
      </c>
      <c r="D473" s="161" t="s">
        <v>29</v>
      </c>
      <c r="E473" s="161" t="s">
        <v>19</v>
      </c>
      <c r="F473" s="161" t="s">
        <v>170</v>
      </c>
      <c r="G473" s="162">
        <v>0</v>
      </c>
      <c r="H473" s="162" t="s">
        <v>48</v>
      </c>
      <c r="I473" s="161" t="s">
        <v>171</v>
      </c>
      <c r="J473" s="161" t="s">
        <v>97</v>
      </c>
      <c r="K473" s="163"/>
      <c r="L473" s="163"/>
      <c r="M473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73" s="163"/>
      <c r="O473" s="170"/>
      <c r="P473" s="142"/>
      <c r="Q473" s="142" t="s">
        <v>169</v>
      </c>
      <c r="R473" s="161"/>
      <c r="S473" s="178"/>
    </row>
    <row r="474" spans="1:19" outlineLevel="1">
      <c r="A474" s="171" t="s">
        <v>640</v>
      </c>
      <c r="B474" s="168" t="s">
        <v>168</v>
      </c>
      <c r="C474" s="168" t="s">
        <v>559</v>
      </c>
      <c r="D474" s="161" t="s">
        <v>30</v>
      </c>
      <c r="E474" s="161" t="s">
        <v>19</v>
      </c>
      <c r="F474" s="161" t="s">
        <v>170</v>
      </c>
      <c r="G474" s="162">
        <v>0</v>
      </c>
      <c r="H474" s="162" t="s">
        <v>48</v>
      </c>
      <c r="I474" s="161" t="s">
        <v>171</v>
      </c>
      <c r="J474" s="161" t="s">
        <v>97</v>
      </c>
      <c r="K474" s="163"/>
      <c r="L474" s="163"/>
      <c r="M474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74" s="163"/>
      <c r="O474" s="170"/>
      <c r="P474" s="142"/>
      <c r="Q474" s="142" t="s">
        <v>169</v>
      </c>
      <c r="R474" s="161"/>
      <c r="S474" s="178"/>
    </row>
    <row r="475" spans="1:19">
      <c r="A475" s="126" t="s">
        <v>640</v>
      </c>
      <c r="B475" s="46" t="s">
        <v>168</v>
      </c>
      <c r="C475" s="165" t="s">
        <v>407</v>
      </c>
      <c r="D475" s="158" t="s">
        <v>18</v>
      </c>
      <c r="E475" s="158" t="s">
        <v>33</v>
      </c>
      <c r="F475" s="158" t="s">
        <v>170</v>
      </c>
      <c r="G475" s="156">
        <v>0.5</v>
      </c>
      <c r="H475" s="156" t="s">
        <v>498</v>
      </c>
      <c r="I475" s="159" t="s">
        <v>173</v>
      </c>
      <c r="J475" s="159" t="s">
        <v>50</v>
      </c>
      <c r="K475" s="166"/>
      <c r="L475" s="160"/>
      <c r="M475" s="158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75" s="160"/>
      <c r="O475" s="167"/>
      <c r="P475" s="143"/>
      <c r="Q475" s="158" t="s">
        <v>169</v>
      </c>
      <c r="R475" s="158"/>
      <c r="S475" s="165" t="s">
        <v>558</v>
      </c>
    </row>
    <row r="476" spans="1:19" outlineLevel="1">
      <c r="A476" s="171" t="s">
        <v>640</v>
      </c>
      <c r="B476" s="168" t="s">
        <v>168</v>
      </c>
      <c r="C476" s="168" t="s">
        <v>408</v>
      </c>
      <c r="D476" s="161" t="s">
        <v>22</v>
      </c>
      <c r="E476" s="161" t="s">
        <v>33</v>
      </c>
      <c r="F476" s="161" t="s">
        <v>170</v>
      </c>
      <c r="G476" s="162">
        <v>0.5</v>
      </c>
      <c r="H476" s="162" t="s">
        <v>498</v>
      </c>
      <c r="I476" s="161" t="s">
        <v>173</v>
      </c>
      <c r="J476" s="161" t="s">
        <v>50</v>
      </c>
      <c r="K476" s="163">
        <v>45949</v>
      </c>
      <c r="L476" s="163">
        <v>45991</v>
      </c>
      <c r="M476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139</v>
      </c>
      <c r="N476" s="163"/>
      <c r="O476" s="170" t="s">
        <v>26</v>
      </c>
      <c r="P476" s="161" t="s">
        <v>26</v>
      </c>
      <c r="Q476" s="161" t="s">
        <v>169</v>
      </c>
      <c r="R476" s="161"/>
      <c r="S476" s="168" t="s">
        <v>559</v>
      </c>
    </row>
    <row r="477" spans="1:19" outlineLevel="1">
      <c r="A477" s="171" t="s">
        <v>640</v>
      </c>
      <c r="B477" s="168" t="s">
        <v>168</v>
      </c>
      <c r="C477" s="168" t="s">
        <v>408</v>
      </c>
      <c r="D477" s="161" t="s">
        <v>28</v>
      </c>
      <c r="E477" s="161" t="s">
        <v>33</v>
      </c>
      <c r="F477" s="161" t="s">
        <v>170</v>
      </c>
      <c r="G477" s="162">
        <v>0</v>
      </c>
      <c r="H477" s="162" t="s">
        <v>498</v>
      </c>
      <c r="I477" s="161" t="s">
        <v>173</v>
      </c>
      <c r="J477" s="161" t="s">
        <v>50</v>
      </c>
      <c r="K477" s="163"/>
      <c r="L477" s="164"/>
      <c r="M477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77" s="163"/>
      <c r="O477" s="170"/>
      <c r="P477" s="142"/>
      <c r="Q477" s="161" t="s">
        <v>169</v>
      </c>
      <c r="R477" s="161"/>
      <c r="S477" s="168" t="s">
        <v>559</v>
      </c>
    </row>
    <row r="478" spans="1:19" outlineLevel="1">
      <c r="A478" s="171" t="s">
        <v>640</v>
      </c>
      <c r="B478" s="168" t="s">
        <v>168</v>
      </c>
      <c r="C478" s="168" t="s">
        <v>408</v>
      </c>
      <c r="D478" s="161" t="s">
        <v>29</v>
      </c>
      <c r="E478" s="161" t="s">
        <v>33</v>
      </c>
      <c r="F478" s="161" t="s">
        <v>170</v>
      </c>
      <c r="G478" s="162">
        <v>0</v>
      </c>
      <c r="H478" s="162" t="s">
        <v>498</v>
      </c>
      <c r="I478" s="161" t="s">
        <v>173</v>
      </c>
      <c r="J478" s="161" t="s">
        <v>50</v>
      </c>
      <c r="K478" s="163"/>
      <c r="L478" s="163"/>
      <c r="M478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78" s="163"/>
      <c r="O478" s="170"/>
      <c r="P478" s="142"/>
      <c r="Q478" s="142" t="s">
        <v>169</v>
      </c>
      <c r="R478" s="161"/>
      <c r="S478" s="168" t="s">
        <v>559</v>
      </c>
    </row>
    <row r="479" spans="1:19" outlineLevel="1">
      <c r="A479" s="171" t="s">
        <v>640</v>
      </c>
      <c r="B479" s="168" t="s">
        <v>168</v>
      </c>
      <c r="C479" s="168" t="s">
        <v>408</v>
      </c>
      <c r="D479" s="161" t="s">
        <v>30</v>
      </c>
      <c r="E479" s="161" t="s">
        <v>33</v>
      </c>
      <c r="F479" s="161" t="s">
        <v>170</v>
      </c>
      <c r="G479" s="162">
        <v>0</v>
      </c>
      <c r="H479" s="162" t="s">
        <v>498</v>
      </c>
      <c r="I479" s="161" t="s">
        <v>173</v>
      </c>
      <c r="J479" s="161" t="s">
        <v>50</v>
      </c>
      <c r="K479" s="163"/>
      <c r="L479" s="163"/>
      <c r="M479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79" s="163"/>
      <c r="O479" s="170"/>
      <c r="P479" s="142"/>
      <c r="Q479" s="142" t="s">
        <v>169</v>
      </c>
      <c r="R479" s="161"/>
      <c r="S479" s="168" t="s">
        <v>559</v>
      </c>
    </row>
    <row r="480" spans="1:19">
      <c r="A480" s="126" t="s">
        <v>642</v>
      </c>
      <c r="B480" s="165" t="s">
        <v>44</v>
      </c>
      <c r="C480" s="165" t="s">
        <v>409</v>
      </c>
      <c r="D480" s="158" t="s">
        <v>18</v>
      </c>
      <c r="E480" s="158" t="s">
        <v>19</v>
      </c>
      <c r="F480" s="158" t="s">
        <v>170</v>
      </c>
      <c r="G480" s="156">
        <v>1</v>
      </c>
      <c r="H480" s="156" t="s">
        <v>46</v>
      </c>
      <c r="I480" s="159" t="s">
        <v>47</v>
      </c>
      <c r="J480" s="159" t="s">
        <v>48</v>
      </c>
      <c r="K480" s="166">
        <v>45852</v>
      </c>
      <c r="L480" s="160">
        <v>46001</v>
      </c>
      <c r="M480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108</v>
      </c>
      <c r="N480" s="160">
        <v>45918</v>
      </c>
      <c r="O480" s="167"/>
      <c r="P480" s="143"/>
      <c r="Q480" s="158" t="s">
        <v>174</v>
      </c>
      <c r="R480" s="158"/>
      <c r="S480" s="177"/>
    </row>
    <row r="481" spans="1:19" outlineLevel="1">
      <c r="A481" s="171" t="s">
        <v>640</v>
      </c>
      <c r="B481" s="168" t="s">
        <v>44</v>
      </c>
      <c r="C481" s="168" t="s">
        <v>410</v>
      </c>
      <c r="D481" s="161" t="s">
        <v>22</v>
      </c>
      <c r="E481" s="161" t="s">
        <v>19</v>
      </c>
      <c r="F481" s="161" t="s">
        <v>170</v>
      </c>
      <c r="G481" s="162">
        <v>1</v>
      </c>
      <c r="H481" s="162" t="s">
        <v>46</v>
      </c>
      <c r="I481" s="161" t="s">
        <v>47</v>
      </c>
      <c r="J481" s="161" t="s">
        <v>48</v>
      </c>
      <c r="K481" s="163">
        <v>45972</v>
      </c>
      <c r="L481" s="163">
        <v>46001</v>
      </c>
      <c r="M481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22</v>
      </c>
      <c r="N481" s="163">
        <v>46050</v>
      </c>
      <c r="O481" s="170" t="s">
        <v>108</v>
      </c>
      <c r="P481" s="161" t="s">
        <v>108</v>
      </c>
      <c r="Q481" s="161" t="s">
        <v>174</v>
      </c>
      <c r="R481" s="161"/>
      <c r="S481" s="178"/>
    </row>
    <row r="482" spans="1:19" outlineLevel="1">
      <c r="A482" s="171" t="s">
        <v>640</v>
      </c>
      <c r="B482" s="168" t="s">
        <v>44</v>
      </c>
      <c r="C482" s="168" t="s">
        <v>410</v>
      </c>
      <c r="D482" s="161" t="s">
        <v>28</v>
      </c>
      <c r="E482" s="161" t="s">
        <v>19</v>
      </c>
      <c r="F482" s="161" t="s">
        <v>170</v>
      </c>
      <c r="G482" s="162">
        <v>0.5</v>
      </c>
      <c r="H482" s="162" t="s">
        <v>46</v>
      </c>
      <c r="I482" s="161" t="s">
        <v>47</v>
      </c>
      <c r="J482" s="161" t="s">
        <v>48</v>
      </c>
      <c r="K482" s="163"/>
      <c r="L482" s="164"/>
      <c r="M482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82" s="163"/>
      <c r="O482" s="170"/>
      <c r="P482" s="142"/>
      <c r="Q482" s="161" t="s">
        <v>174</v>
      </c>
      <c r="R482" s="161" t="s">
        <v>631</v>
      </c>
      <c r="S482" s="178"/>
    </row>
    <row r="483" spans="1:19" outlineLevel="1">
      <c r="A483" s="171" t="s">
        <v>640</v>
      </c>
      <c r="B483" s="168" t="s">
        <v>44</v>
      </c>
      <c r="C483" s="168" t="s">
        <v>410</v>
      </c>
      <c r="D483" s="161" t="s">
        <v>29</v>
      </c>
      <c r="E483" s="161" t="s">
        <v>19</v>
      </c>
      <c r="F483" s="161" t="s">
        <v>170</v>
      </c>
      <c r="G483" s="162">
        <v>0</v>
      </c>
      <c r="H483" s="162" t="s">
        <v>46</v>
      </c>
      <c r="I483" s="161" t="s">
        <v>47</v>
      </c>
      <c r="J483" s="161" t="s">
        <v>48</v>
      </c>
      <c r="K483" s="163"/>
      <c r="L483" s="163"/>
      <c r="M483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83" s="163"/>
      <c r="O483" s="170"/>
      <c r="P483" s="142"/>
      <c r="Q483" s="142" t="s">
        <v>174</v>
      </c>
      <c r="R483" s="161" t="s">
        <v>631</v>
      </c>
      <c r="S483" s="178"/>
    </row>
    <row r="484" spans="1:19" outlineLevel="1">
      <c r="A484" s="171" t="s">
        <v>640</v>
      </c>
      <c r="B484" s="168" t="s">
        <v>44</v>
      </c>
      <c r="C484" s="168" t="s">
        <v>410</v>
      </c>
      <c r="D484" s="161" t="s">
        <v>30</v>
      </c>
      <c r="E484" s="161" t="s">
        <v>19</v>
      </c>
      <c r="F484" s="161" t="s">
        <v>170</v>
      </c>
      <c r="G484" s="162">
        <v>0</v>
      </c>
      <c r="H484" s="162" t="s">
        <v>46</v>
      </c>
      <c r="I484" s="161" t="s">
        <v>47</v>
      </c>
      <c r="J484" s="161" t="s">
        <v>48</v>
      </c>
      <c r="K484" s="163"/>
      <c r="L484" s="163"/>
      <c r="M484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84" s="163"/>
      <c r="O484" s="170"/>
      <c r="P484" s="142"/>
      <c r="Q484" s="142" t="s">
        <v>174</v>
      </c>
      <c r="R484" s="161" t="s">
        <v>631</v>
      </c>
      <c r="S484" s="178"/>
    </row>
    <row r="485" spans="1:19">
      <c r="A485" s="126" t="s">
        <v>640</v>
      </c>
      <c r="B485" s="46" t="s">
        <v>44</v>
      </c>
      <c r="C485" s="165" t="s">
        <v>411</v>
      </c>
      <c r="D485" s="158" t="s">
        <v>18</v>
      </c>
      <c r="E485" s="158" t="s">
        <v>33</v>
      </c>
      <c r="F485" s="158" t="s">
        <v>170</v>
      </c>
      <c r="G485" s="156">
        <v>1</v>
      </c>
      <c r="H485" s="156" t="s">
        <v>46</v>
      </c>
      <c r="I485" s="159" t="s">
        <v>47</v>
      </c>
      <c r="J485" s="159" t="s">
        <v>48</v>
      </c>
      <c r="K485" s="166">
        <v>45852</v>
      </c>
      <c r="L485" s="160">
        <v>45852</v>
      </c>
      <c r="M485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</v>
      </c>
      <c r="N485" s="160">
        <v>45918</v>
      </c>
      <c r="O485" s="167"/>
      <c r="P485" s="143"/>
      <c r="Q485" s="158" t="s">
        <v>174</v>
      </c>
      <c r="R485" s="158"/>
      <c r="S485" s="165" t="s">
        <v>409</v>
      </c>
    </row>
    <row r="486" spans="1:19" outlineLevel="1">
      <c r="A486" s="171" t="s">
        <v>640</v>
      </c>
      <c r="B486" s="168" t="s">
        <v>44</v>
      </c>
      <c r="C486" s="168" t="s">
        <v>412</v>
      </c>
      <c r="D486" s="161" t="s">
        <v>22</v>
      </c>
      <c r="E486" s="161" t="s">
        <v>33</v>
      </c>
      <c r="F486" s="161" t="s">
        <v>170</v>
      </c>
      <c r="G486" s="162">
        <v>1</v>
      </c>
      <c r="H486" s="162" t="s">
        <v>46</v>
      </c>
      <c r="I486" s="161" t="s">
        <v>47</v>
      </c>
      <c r="J486" s="161" t="s">
        <v>48</v>
      </c>
      <c r="K486" s="163">
        <v>45972</v>
      </c>
      <c r="L486" s="163">
        <v>46001</v>
      </c>
      <c r="M486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22</v>
      </c>
      <c r="N486" s="163">
        <v>46050</v>
      </c>
      <c r="O486" s="170" t="s">
        <v>108</v>
      </c>
      <c r="P486" s="161" t="s">
        <v>108</v>
      </c>
      <c r="Q486" s="161" t="s">
        <v>174</v>
      </c>
      <c r="R486" s="161"/>
      <c r="S486" s="168" t="s">
        <v>410</v>
      </c>
    </row>
    <row r="487" spans="1:19" outlineLevel="1">
      <c r="A487" s="171" t="s">
        <v>640</v>
      </c>
      <c r="B487" s="168" t="s">
        <v>44</v>
      </c>
      <c r="C487" s="168" t="s">
        <v>412</v>
      </c>
      <c r="D487" s="161" t="s">
        <v>28</v>
      </c>
      <c r="E487" s="161" t="s">
        <v>33</v>
      </c>
      <c r="F487" s="161" t="s">
        <v>170</v>
      </c>
      <c r="G487" s="162">
        <v>0.5</v>
      </c>
      <c r="H487" s="162" t="s">
        <v>46</v>
      </c>
      <c r="I487" s="161" t="s">
        <v>47</v>
      </c>
      <c r="J487" s="161" t="s">
        <v>48</v>
      </c>
      <c r="K487" s="163"/>
      <c r="L487" s="164"/>
      <c r="M487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87" s="163"/>
      <c r="O487" s="170"/>
      <c r="P487" s="142"/>
      <c r="Q487" s="161" t="s">
        <v>174</v>
      </c>
      <c r="R487" s="161" t="s">
        <v>631</v>
      </c>
      <c r="S487" s="168" t="s">
        <v>410</v>
      </c>
    </row>
    <row r="488" spans="1:19" outlineLevel="1">
      <c r="A488" s="171" t="s">
        <v>640</v>
      </c>
      <c r="B488" s="168" t="s">
        <v>44</v>
      </c>
      <c r="C488" s="168" t="s">
        <v>412</v>
      </c>
      <c r="D488" s="161" t="s">
        <v>29</v>
      </c>
      <c r="E488" s="161" t="s">
        <v>33</v>
      </c>
      <c r="F488" s="161" t="s">
        <v>170</v>
      </c>
      <c r="G488" s="162">
        <v>0</v>
      </c>
      <c r="H488" s="162" t="s">
        <v>46</v>
      </c>
      <c r="I488" s="161" t="s">
        <v>47</v>
      </c>
      <c r="J488" s="161" t="s">
        <v>48</v>
      </c>
      <c r="K488" s="163"/>
      <c r="L488" s="163"/>
      <c r="M488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88" s="163"/>
      <c r="O488" s="170"/>
      <c r="P488" s="142"/>
      <c r="Q488" s="142" t="s">
        <v>174</v>
      </c>
      <c r="R488" s="161" t="s">
        <v>631</v>
      </c>
      <c r="S488" s="168" t="s">
        <v>410</v>
      </c>
    </row>
    <row r="489" spans="1:19" outlineLevel="1">
      <c r="A489" s="171" t="s">
        <v>640</v>
      </c>
      <c r="B489" s="168" t="s">
        <v>44</v>
      </c>
      <c r="C489" s="168" t="s">
        <v>412</v>
      </c>
      <c r="D489" s="161" t="s">
        <v>30</v>
      </c>
      <c r="E489" s="161" t="s">
        <v>33</v>
      </c>
      <c r="F489" s="161" t="s">
        <v>170</v>
      </c>
      <c r="G489" s="162">
        <v>0</v>
      </c>
      <c r="H489" s="162" t="s">
        <v>46</v>
      </c>
      <c r="I489" s="161" t="s">
        <v>47</v>
      </c>
      <c r="J489" s="161" t="s">
        <v>48</v>
      </c>
      <c r="K489" s="163"/>
      <c r="L489" s="163"/>
      <c r="M489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89" s="163"/>
      <c r="O489" s="170"/>
      <c r="P489" s="142"/>
      <c r="Q489" s="142" t="s">
        <v>174</v>
      </c>
      <c r="R489" s="161" t="s">
        <v>631</v>
      </c>
      <c r="S489" s="168" t="s">
        <v>410</v>
      </c>
    </row>
    <row r="490" spans="1:19">
      <c r="A490" s="126" t="s">
        <v>640</v>
      </c>
      <c r="B490" s="46" t="s">
        <v>44</v>
      </c>
      <c r="C490" s="165" t="s">
        <v>560</v>
      </c>
      <c r="D490" s="158" t="s">
        <v>18</v>
      </c>
      <c r="E490" s="158" t="s">
        <v>33</v>
      </c>
      <c r="F490" s="158" t="s">
        <v>170</v>
      </c>
      <c r="G490" s="156">
        <v>1</v>
      </c>
      <c r="H490" s="156" t="s">
        <v>46</v>
      </c>
      <c r="I490" s="159" t="s">
        <v>47</v>
      </c>
      <c r="J490" s="159" t="s">
        <v>48</v>
      </c>
      <c r="K490" s="166">
        <v>45852</v>
      </c>
      <c r="L490" s="160">
        <v>45852</v>
      </c>
      <c r="M490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</v>
      </c>
      <c r="N490" s="160">
        <v>45918</v>
      </c>
      <c r="O490" s="167"/>
      <c r="P490" s="143"/>
      <c r="Q490" s="158" t="s">
        <v>174</v>
      </c>
      <c r="R490" s="158"/>
      <c r="S490" s="165" t="s">
        <v>409</v>
      </c>
    </row>
    <row r="491" spans="1:19" outlineLevel="1">
      <c r="A491" s="171" t="s">
        <v>640</v>
      </c>
      <c r="B491" s="168" t="s">
        <v>44</v>
      </c>
      <c r="C491" s="168" t="s">
        <v>561</v>
      </c>
      <c r="D491" s="161" t="s">
        <v>22</v>
      </c>
      <c r="E491" s="161" t="s">
        <v>33</v>
      </c>
      <c r="F491" s="161" t="s">
        <v>170</v>
      </c>
      <c r="G491" s="162">
        <v>1</v>
      </c>
      <c r="H491" s="162" t="s">
        <v>46</v>
      </c>
      <c r="I491" s="161" t="s">
        <v>47</v>
      </c>
      <c r="J491" s="161" t="s">
        <v>48</v>
      </c>
      <c r="K491" s="163">
        <v>45972</v>
      </c>
      <c r="L491" s="163">
        <v>46001</v>
      </c>
      <c r="M491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22</v>
      </c>
      <c r="N491" s="163">
        <v>46050</v>
      </c>
      <c r="O491" s="170" t="s">
        <v>108</v>
      </c>
      <c r="P491" s="161" t="s">
        <v>108</v>
      </c>
      <c r="Q491" s="161" t="s">
        <v>174</v>
      </c>
      <c r="R491" s="161"/>
      <c r="S491" s="168" t="s">
        <v>410</v>
      </c>
    </row>
    <row r="492" spans="1:19" outlineLevel="1">
      <c r="A492" s="171" t="s">
        <v>640</v>
      </c>
      <c r="B492" s="168" t="s">
        <v>44</v>
      </c>
      <c r="C492" s="168" t="s">
        <v>561</v>
      </c>
      <c r="D492" s="161" t="s">
        <v>28</v>
      </c>
      <c r="E492" s="161" t="s">
        <v>33</v>
      </c>
      <c r="F492" s="161" t="s">
        <v>170</v>
      </c>
      <c r="G492" s="162">
        <v>0.5</v>
      </c>
      <c r="H492" s="162" t="s">
        <v>46</v>
      </c>
      <c r="I492" s="161" t="s">
        <v>47</v>
      </c>
      <c r="J492" s="161" t="s">
        <v>48</v>
      </c>
      <c r="K492" s="163"/>
      <c r="L492" s="164"/>
      <c r="M492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92" s="163"/>
      <c r="O492" s="170"/>
      <c r="P492" s="142"/>
      <c r="Q492" s="161" t="s">
        <v>174</v>
      </c>
      <c r="R492" s="161" t="s">
        <v>631</v>
      </c>
      <c r="S492" s="168" t="s">
        <v>410</v>
      </c>
    </row>
    <row r="493" spans="1:19" outlineLevel="1">
      <c r="A493" s="171" t="s">
        <v>640</v>
      </c>
      <c r="B493" s="168" t="s">
        <v>44</v>
      </c>
      <c r="C493" s="168" t="s">
        <v>561</v>
      </c>
      <c r="D493" s="161" t="s">
        <v>29</v>
      </c>
      <c r="E493" s="161" t="s">
        <v>33</v>
      </c>
      <c r="F493" s="161" t="s">
        <v>170</v>
      </c>
      <c r="G493" s="162">
        <v>0</v>
      </c>
      <c r="H493" s="162" t="s">
        <v>46</v>
      </c>
      <c r="I493" s="161" t="s">
        <v>47</v>
      </c>
      <c r="J493" s="161" t="s">
        <v>48</v>
      </c>
      <c r="K493" s="163"/>
      <c r="L493" s="163"/>
      <c r="M493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93" s="163"/>
      <c r="O493" s="170"/>
      <c r="P493" s="142"/>
      <c r="Q493" s="142" t="s">
        <v>174</v>
      </c>
      <c r="R493" s="161" t="s">
        <v>631</v>
      </c>
      <c r="S493" s="168" t="s">
        <v>410</v>
      </c>
    </row>
    <row r="494" spans="1:19" outlineLevel="1">
      <c r="A494" s="171" t="s">
        <v>640</v>
      </c>
      <c r="B494" s="168" t="s">
        <v>44</v>
      </c>
      <c r="C494" s="168" t="s">
        <v>561</v>
      </c>
      <c r="D494" s="161" t="s">
        <v>30</v>
      </c>
      <c r="E494" s="161" t="s">
        <v>33</v>
      </c>
      <c r="F494" s="161" t="s">
        <v>170</v>
      </c>
      <c r="G494" s="162">
        <v>0</v>
      </c>
      <c r="H494" s="162" t="s">
        <v>46</v>
      </c>
      <c r="I494" s="161" t="s">
        <v>47</v>
      </c>
      <c r="J494" s="161" t="s">
        <v>48</v>
      </c>
      <c r="K494" s="163"/>
      <c r="L494" s="163"/>
      <c r="M494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94" s="163"/>
      <c r="O494" s="170"/>
      <c r="P494" s="142"/>
      <c r="Q494" s="142" t="s">
        <v>174</v>
      </c>
      <c r="R494" s="161" t="s">
        <v>631</v>
      </c>
      <c r="S494" s="168" t="s">
        <v>410</v>
      </c>
    </row>
    <row r="495" spans="1:19">
      <c r="A495" s="126" t="s">
        <v>640</v>
      </c>
      <c r="B495" s="46" t="s">
        <v>44</v>
      </c>
      <c r="C495" s="165" t="s">
        <v>562</v>
      </c>
      <c r="D495" s="158" t="s">
        <v>18</v>
      </c>
      <c r="E495" s="158" t="s">
        <v>33</v>
      </c>
      <c r="F495" s="158" t="s">
        <v>170</v>
      </c>
      <c r="G495" s="156">
        <v>1</v>
      </c>
      <c r="H495" s="156" t="s">
        <v>46</v>
      </c>
      <c r="I495" s="159" t="s">
        <v>47</v>
      </c>
      <c r="J495" s="159" t="s">
        <v>48</v>
      </c>
      <c r="K495" s="166">
        <v>45852</v>
      </c>
      <c r="L495" s="160">
        <v>45852</v>
      </c>
      <c r="M495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</v>
      </c>
      <c r="N495" s="160">
        <v>45918</v>
      </c>
      <c r="O495" s="167"/>
      <c r="P495" s="143"/>
      <c r="Q495" s="158" t="s">
        <v>174</v>
      </c>
      <c r="R495" s="158"/>
      <c r="S495" s="165" t="s">
        <v>409</v>
      </c>
    </row>
    <row r="496" spans="1:19" outlineLevel="1">
      <c r="A496" s="171" t="s">
        <v>640</v>
      </c>
      <c r="B496" s="168" t="s">
        <v>44</v>
      </c>
      <c r="C496" s="168" t="s">
        <v>563</v>
      </c>
      <c r="D496" s="161" t="s">
        <v>22</v>
      </c>
      <c r="E496" s="161" t="s">
        <v>33</v>
      </c>
      <c r="F496" s="161" t="s">
        <v>170</v>
      </c>
      <c r="G496" s="162">
        <v>1</v>
      </c>
      <c r="H496" s="162" t="s">
        <v>46</v>
      </c>
      <c r="I496" s="161" t="s">
        <v>47</v>
      </c>
      <c r="J496" s="161" t="s">
        <v>48</v>
      </c>
      <c r="K496" s="163">
        <v>45972</v>
      </c>
      <c r="L496" s="163">
        <v>46001</v>
      </c>
      <c r="M496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22</v>
      </c>
      <c r="N496" s="163">
        <v>46050</v>
      </c>
      <c r="O496" s="170" t="s">
        <v>108</v>
      </c>
      <c r="P496" s="161" t="s">
        <v>108</v>
      </c>
      <c r="Q496" s="161" t="s">
        <v>174</v>
      </c>
      <c r="R496" s="161"/>
      <c r="S496" s="168" t="s">
        <v>410</v>
      </c>
    </row>
    <row r="497" spans="1:19" outlineLevel="1">
      <c r="A497" s="171" t="s">
        <v>640</v>
      </c>
      <c r="B497" s="168" t="s">
        <v>44</v>
      </c>
      <c r="C497" s="168" t="s">
        <v>563</v>
      </c>
      <c r="D497" s="161" t="s">
        <v>28</v>
      </c>
      <c r="E497" s="161" t="s">
        <v>33</v>
      </c>
      <c r="F497" s="161" t="s">
        <v>170</v>
      </c>
      <c r="G497" s="162">
        <v>0.5</v>
      </c>
      <c r="H497" s="162" t="s">
        <v>46</v>
      </c>
      <c r="I497" s="161" t="s">
        <v>47</v>
      </c>
      <c r="J497" s="161" t="s">
        <v>48</v>
      </c>
      <c r="K497" s="163"/>
      <c r="L497" s="164"/>
      <c r="M497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97" s="163"/>
      <c r="O497" s="170"/>
      <c r="P497" s="142"/>
      <c r="Q497" s="161" t="s">
        <v>174</v>
      </c>
      <c r="R497" s="161" t="s">
        <v>631</v>
      </c>
      <c r="S497" s="168" t="s">
        <v>410</v>
      </c>
    </row>
    <row r="498" spans="1:19" outlineLevel="1">
      <c r="A498" s="171" t="s">
        <v>640</v>
      </c>
      <c r="B498" s="168" t="s">
        <v>44</v>
      </c>
      <c r="C498" s="168" t="s">
        <v>563</v>
      </c>
      <c r="D498" s="161" t="s">
        <v>29</v>
      </c>
      <c r="E498" s="161" t="s">
        <v>33</v>
      </c>
      <c r="F498" s="161" t="s">
        <v>170</v>
      </c>
      <c r="G498" s="162">
        <v>0</v>
      </c>
      <c r="H498" s="162" t="s">
        <v>46</v>
      </c>
      <c r="I498" s="161" t="s">
        <v>47</v>
      </c>
      <c r="J498" s="161" t="s">
        <v>48</v>
      </c>
      <c r="K498" s="163"/>
      <c r="L498" s="163"/>
      <c r="M498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98" s="163"/>
      <c r="O498" s="170"/>
      <c r="P498" s="142"/>
      <c r="Q498" s="142" t="s">
        <v>174</v>
      </c>
      <c r="R498" s="161" t="s">
        <v>631</v>
      </c>
      <c r="S498" s="168" t="s">
        <v>410</v>
      </c>
    </row>
    <row r="499" spans="1:19" outlineLevel="1">
      <c r="A499" s="171" t="s">
        <v>640</v>
      </c>
      <c r="B499" s="168" t="s">
        <v>44</v>
      </c>
      <c r="C499" s="168" t="s">
        <v>563</v>
      </c>
      <c r="D499" s="161" t="s">
        <v>30</v>
      </c>
      <c r="E499" s="161" t="s">
        <v>33</v>
      </c>
      <c r="F499" s="161" t="s">
        <v>170</v>
      </c>
      <c r="G499" s="162">
        <v>0</v>
      </c>
      <c r="H499" s="162" t="s">
        <v>46</v>
      </c>
      <c r="I499" s="161" t="s">
        <v>47</v>
      </c>
      <c r="J499" s="161" t="s">
        <v>48</v>
      </c>
      <c r="K499" s="163"/>
      <c r="L499" s="163"/>
      <c r="M499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499" s="163"/>
      <c r="O499" s="170"/>
      <c r="P499" s="142"/>
      <c r="Q499" s="142" t="s">
        <v>174</v>
      </c>
      <c r="R499" s="161" t="s">
        <v>631</v>
      </c>
      <c r="S499" s="168" t="s">
        <v>410</v>
      </c>
    </row>
    <row r="500" spans="1:19">
      <c r="A500" s="126" t="s">
        <v>640</v>
      </c>
      <c r="B500" s="46" t="s">
        <v>44</v>
      </c>
      <c r="C500" s="165" t="s">
        <v>417</v>
      </c>
      <c r="D500" s="158" t="s">
        <v>18</v>
      </c>
      <c r="E500" s="158" t="s">
        <v>33</v>
      </c>
      <c r="F500" s="158" t="s">
        <v>170</v>
      </c>
      <c r="G500" s="156">
        <v>1</v>
      </c>
      <c r="H500" s="156" t="s">
        <v>46</v>
      </c>
      <c r="I500" s="159" t="s">
        <v>47</v>
      </c>
      <c r="J500" s="159" t="s">
        <v>48</v>
      </c>
      <c r="K500" s="166">
        <v>45852</v>
      </c>
      <c r="L500" s="160">
        <v>45852</v>
      </c>
      <c r="M500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</v>
      </c>
      <c r="N500" s="160">
        <v>45918</v>
      </c>
      <c r="O500" s="167"/>
      <c r="P500" s="143"/>
      <c r="Q500" s="158" t="s">
        <v>174</v>
      </c>
      <c r="R500" s="158"/>
      <c r="S500" s="165" t="s">
        <v>409</v>
      </c>
    </row>
    <row r="501" spans="1:19" outlineLevel="1">
      <c r="A501" s="171" t="s">
        <v>640</v>
      </c>
      <c r="B501" s="168" t="s">
        <v>44</v>
      </c>
      <c r="C501" s="168" t="s">
        <v>418</v>
      </c>
      <c r="D501" s="161" t="s">
        <v>22</v>
      </c>
      <c r="E501" s="161" t="s">
        <v>33</v>
      </c>
      <c r="F501" s="161" t="s">
        <v>170</v>
      </c>
      <c r="G501" s="162">
        <v>1</v>
      </c>
      <c r="H501" s="162" t="s">
        <v>46</v>
      </c>
      <c r="I501" s="161" t="s">
        <v>47</v>
      </c>
      <c r="J501" s="161" t="s">
        <v>48</v>
      </c>
      <c r="K501" s="163">
        <v>45972</v>
      </c>
      <c r="L501" s="163">
        <v>46001</v>
      </c>
      <c r="M501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22</v>
      </c>
      <c r="N501" s="163">
        <v>46050</v>
      </c>
      <c r="O501" s="170" t="s">
        <v>108</v>
      </c>
      <c r="P501" s="161" t="s">
        <v>108</v>
      </c>
      <c r="Q501" s="161" t="s">
        <v>174</v>
      </c>
      <c r="R501" s="161"/>
      <c r="S501" s="168" t="s">
        <v>410</v>
      </c>
    </row>
    <row r="502" spans="1:19" outlineLevel="1">
      <c r="A502" s="171" t="s">
        <v>640</v>
      </c>
      <c r="B502" s="168" t="s">
        <v>44</v>
      </c>
      <c r="C502" s="168" t="s">
        <v>418</v>
      </c>
      <c r="D502" s="161" t="s">
        <v>28</v>
      </c>
      <c r="E502" s="161" t="s">
        <v>33</v>
      </c>
      <c r="F502" s="161" t="s">
        <v>170</v>
      </c>
      <c r="G502" s="162">
        <v>0.5</v>
      </c>
      <c r="H502" s="162" t="s">
        <v>46</v>
      </c>
      <c r="I502" s="161" t="s">
        <v>47</v>
      </c>
      <c r="J502" s="161" t="s">
        <v>48</v>
      </c>
      <c r="K502" s="163"/>
      <c r="L502" s="164"/>
      <c r="M502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502" s="163"/>
      <c r="O502" s="170"/>
      <c r="P502" s="142"/>
      <c r="Q502" s="161" t="s">
        <v>174</v>
      </c>
      <c r="R502" s="161" t="s">
        <v>631</v>
      </c>
      <c r="S502" s="168" t="s">
        <v>410</v>
      </c>
    </row>
    <row r="503" spans="1:19" outlineLevel="1">
      <c r="A503" s="171" t="s">
        <v>640</v>
      </c>
      <c r="B503" s="168" t="s">
        <v>44</v>
      </c>
      <c r="C503" s="168" t="s">
        <v>418</v>
      </c>
      <c r="D503" s="161" t="s">
        <v>29</v>
      </c>
      <c r="E503" s="161" t="s">
        <v>33</v>
      </c>
      <c r="F503" s="161" t="s">
        <v>170</v>
      </c>
      <c r="G503" s="162">
        <v>0</v>
      </c>
      <c r="H503" s="162" t="s">
        <v>46</v>
      </c>
      <c r="I503" s="161" t="s">
        <v>47</v>
      </c>
      <c r="J503" s="161" t="s">
        <v>48</v>
      </c>
      <c r="K503" s="163"/>
      <c r="L503" s="163"/>
      <c r="M503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503" s="163"/>
      <c r="O503" s="170"/>
      <c r="P503" s="142"/>
      <c r="Q503" s="142" t="s">
        <v>174</v>
      </c>
      <c r="R503" s="161" t="s">
        <v>631</v>
      </c>
      <c r="S503" s="168" t="s">
        <v>410</v>
      </c>
    </row>
    <row r="504" spans="1:19" outlineLevel="1">
      <c r="A504" s="171" t="s">
        <v>640</v>
      </c>
      <c r="B504" s="168" t="s">
        <v>44</v>
      </c>
      <c r="C504" s="168" t="s">
        <v>418</v>
      </c>
      <c r="D504" s="161" t="s">
        <v>30</v>
      </c>
      <c r="E504" s="161" t="s">
        <v>33</v>
      </c>
      <c r="F504" s="161" t="s">
        <v>170</v>
      </c>
      <c r="G504" s="162">
        <v>0</v>
      </c>
      <c r="H504" s="162" t="s">
        <v>46</v>
      </c>
      <c r="I504" s="161" t="s">
        <v>47</v>
      </c>
      <c r="J504" s="161" t="s">
        <v>48</v>
      </c>
      <c r="K504" s="163"/>
      <c r="L504" s="163"/>
      <c r="M504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504" s="163"/>
      <c r="O504" s="170"/>
      <c r="P504" s="142"/>
      <c r="Q504" s="142" t="s">
        <v>174</v>
      </c>
      <c r="R504" s="161" t="s">
        <v>631</v>
      </c>
      <c r="S504" s="168" t="s">
        <v>410</v>
      </c>
    </row>
    <row r="505" spans="1:19">
      <c r="A505" s="126" t="s">
        <v>640</v>
      </c>
      <c r="B505" s="46" t="s">
        <v>44</v>
      </c>
      <c r="C505" s="165" t="s">
        <v>564</v>
      </c>
      <c r="D505" s="158" t="s">
        <v>18</v>
      </c>
      <c r="E505" s="158" t="s">
        <v>33</v>
      </c>
      <c r="F505" s="158" t="s">
        <v>170</v>
      </c>
      <c r="G505" s="156">
        <v>1</v>
      </c>
      <c r="H505" s="156" t="s">
        <v>46</v>
      </c>
      <c r="I505" s="159" t="s">
        <v>47</v>
      </c>
      <c r="J505" s="159" t="s">
        <v>48</v>
      </c>
      <c r="K505" s="166">
        <v>45852</v>
      </c>
      <c r="L505" s="160">
        <v>45852</v>
      </c>
      <c r="M505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</v>
      </c>
      <c r="N505" s="160">
        <v>45918</v>
      </c>
      <c r="O505" s="167"/>
      <c r="P505" s="143"/>
      <c r="Q505" s="158" t="s">
        <v>174</v>
      </c>
      <c r="R505" s="158"/>
      <c r="S505" s="165" t="s">
        <v>409</v>
      </c>
    </row>
    <row r="506" spans="1:19" outlineLevel="1">
      <c r="A506" s="171" t="s">
        <v>640</v>
      </c>
      <c r="B506" s="168" t="s">
        <v>44</v>
      </c>
      <c r="C506" s="168" t="s">
        <v>565</v>
      </c>
      <c r="D506" s="161" t="s">
        <v>22</v>
      </c>
      <c r="E506" s="161" t="s">
        <v>33</v>
      </c>
      <c r="F506" s="161" t="s">
        <v>170</v>
      </c>
      <c r="G506" s="162">
        <v>1</v>
      </c>
      <c r="H506" s="162" t="s">
        <v>46</v>
      </c>
      <c r="I506" s="161" t="s">
        <v>47</v>
      </c>
      <c r="J506" s="161" t="s">
        <v>48</v>
      </c>
      <c r="K506" s="163">
        <v>45972</v>
      </c>
      <c r="L506" s="163">
        <v>46001</v>
      </c>
      <c r="M506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22</v>
      </c>
      <c r="N506" s="163">
        <v>46050</v>
      </c>
      <c r="O506" s="170" t="s">
        <v>108</v>
      </c>
      <c r="P506" s="161" t="s">
        <v>108</v>
      </c>
      <c r="Q506" s="161" t="s">
        <v>174</v>
      </c>
      <c r="R506" s="161"/>
      <c r="S506" s="168" t="s">
        <v>410</v>
      </c>
    </row>
    <row r="507" spans="1:19" outlineLevel="1">
      <c r="A507" s="171" t="s">
        <v>640</v>
      </c>
      <c r="B507" s="168" t="s">
        <v>44</v>
      </c>
      <c r="C507" s="168" t="s">
        <v>565</v>
      </c>
      <c r="D507" s="161" t="s">
        <v>28</v>
      </c>
      <c r="E507" s="161" t="s">
        <v>33</v>
      </c>
      <c r="F507" s="161" t="s">
        <v>170</v>
      </c>
      <c r="G507" s="162">
        <v>0.5</v>
      </c>
      <c r="H507" s="162" t="s">
        <v>46</v>
      </c>
      <c r="I507" s="161" t="s">
        <v>47</v>
      </c>
      <c r="J507" s="161" t="s">
        <v>48</v>
      </c>
      <c r="K507" s="163"/>
      <c r="L507" s="164"/>
      <c r="M507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507" s="163"/>
      <c r="O507" s="170"/>
      <c r="P507" s="142"/>
      <c r="Q507" s="161" t="s">
        <v>174</v>
      </c>
      <c r="R507" s="161" t="s">
        <v>631</v>
      </c>
      <c r="S507" s="168" t="s">
        <v>410</v>
      </c>
    </row>
    <row r="508" spans="1:19" outlineLevel="1">
      <c r="A508" s="171" t="s">
        <v>640</v>
      </c>
      <c r="B508" s="168" t="s">
        <v>44</v>
      </c>
      <c r="C508" s="168" t="s">
        <v>565</v>
      </c>
      <c r="D508" s="161" t="s">
        <v>29</v>
      </c>
      <c r="E508" s="161" t="s">
        <v>33</v>
      </c>
      <c r="F508" s="161" t="s">
        <v>170</v>
      </c>
      <c r="G508" s="162">
        <v>0</v>
      </c>
      <c r="H508" s="162" t="s">
        <v>46</v>
      </c>
      <c r="I508" s="161" t="s">
        <v>47</v>
      </c>
      <c r="J508" s="161" t="s">
        <v>48</v>
      </c>
      <c r="K508" s="163"/>
      <c r="L508" s="163"/>
      <c r="M508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508" s="163"/>
      <c r="O508" s="170"/>
      <c r="P508" s="142"/>
      <c r="Q508" s="142" t="s">
        <v>174</v>
      </c>
      <c r="R508" s="161" t="s">
        <v>631</v>
      </c>
      <c r="S508" s="168" t="s">
        <v>410</v>
      </c>
    </row>
    <row r="509" spans="1:19" outlineLevel="1">
      <c r="A509" s="171" t="s">
        <v>640</v>
      </c>
      <c r="B509" s="168" t="s">
        <v>44</v>
      </c>
      <c r="C509" s="168" t="s">
        <v>565</v>
      </c>
      <c r="D509" s="161" t="s">
        <v>30</v>
      </c>
      <c r="E509" s="161" t="s">
        <v>33</v>
      </c>
      <c r="F509" s="161" t="s">
        <v>170</v>
      </c>
      <c r="G509" s="162">
        <v>0</v>
      </c>
      <c r="H509" s="162" t="s">
        <v>46</v>
      </c>
      <c r="I509" s="161" t="s">
        <v>47</v>
      </c>
      <c r="J509" s="161" t="s">
        <v>48</v>
      </c>
      <c r="K509" s="163"/>
      <c r="L509" s="163"/>
      <c r="M509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509" s="163"/>
      <c r="O509" s="170"/>
      <c r="P509" s="142"/>
      <c r="Q509" s="142" t="s">
        <v>174</v>
      </c>
      <c r="R509" s="161" t="s">
        <v>631</v>
      </c>
      <c r="S509" s="168" t="s">
        <v>410</v>
      </c>
    </row>
    <row r="510" spans="1:19">
      <c r="A510" s="126" t="s">
        <v>640</v>
      </c>
      <c r="B510" s="46" t="s">
        <v>44</v>
      </c>
      <c r="C510" s="165" t="s">
        <v>421</v>
      </c>
      <c r="D510" s="158" t="s">
        <v>18</v>
      </c>
      <c r="E510" s="158" t="s">
        <v>33</v>
      </c>
      <c r="F510" s="158" t="s">
        <v>170</v>
      </c>
      <c r="G510" s="156">
        <v>1</v>
      </c>
      <c r="H510" s="156" t="s">
        <v>46</v>
      </c>
      <c r="I510" s="159" t="s">
        <v>47</v>
      </c>
      <c r="J510" s="159" t="s">
        <v>48</v>
      </c>
      <c r="K510" s="166">
        <v>45852</v>
      </c>
      <c r="L510" s="160">
        <v>45852</v>
      </c>
      <c r="M510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</v>
      </c>
      <c r="N510" s="160"/>
      <c r="O510" s="167"/>
      <c r="P510" s="143"/>
      <c r="Q510" s="158" t="s">
        <v>174</v>
      </c>
      <c r="R510" s="158"/>
      <c r="S510" s="165" t="s">
        <v>409</v>
      </c>
    </row>
    <row r="511" spans="1:19" outlineLevel="1">
      <c r="A511" s="171" t="s">
        <v>640</v>
      </c>
      <c r="B511" s="168" t="s">
        <v>44</v>
      </c>
      <c r="C511" s="168" t="s">
        <v>422</v>
      </c>
      <c r="D511" s="161" t="s">
        <v>22</v>
      </c>
      <c r="E511" s="161" t="s">
        <v>33</v>
      </c>
      <c r="F511" s="161" t="s">
        <v>170</v>
      </c>
      <c r="G511" s="162">
        <v>1</v>
      </c>
      <c r="H511" s="162" t="s">
        <v>46</v>
      </c>
      <c r="I511" s="161" t="s">
        <v>47</v>
      </c>
      <c r="J511" s="161" t="s">
        <v>48</v>
      </c>
      <c r="K511" s="163">
        <v>45972</v>
      </c>
      <c r="L511" s="163">
        <v>46001</v>
      </c>
      <c r="M511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22</v>
      </c>
      <c r="N511" s="163">
        <v>46050</v>
      </c>
      <c r="O511" s="170" t="s">
        <v>108</v>
      </c>
      <c r="P511" s="161" t="s">
        <v>108</v>
      </c>
      <c r="Q511" s="161" t="s">
        <v>174</v>
      </c>
      <c r="R511" s="161"/>
      <c r="S511" s="168" t="s">
        <v>410</v>
      </c>
    </row>
    <row r="512" spans="1:19" outlineLevel="1">
      <c r="A512" s="171" t="s">
        <v>640</v>
      </c>
      <c r="B512" s="168" t="s">
        <v>44</v>
      </c>
      <c r="C512" s="168" t="s">
        <v>422</v>
      </c>
      <c r="D512" s="161" t="s">
        <v>28</v>
      </c>
      <c r="E512" s="161" t="s">
        <v>33</v>
      </c>
      <c r="F512" s="161" t="s">
        <v>170</v>
      </c>
      <c r="G512" s="162">
        <v>0.5</v>
      </c>
      <c r="H512" s="162" t="s">
        <v>46</v>
      </c>
      <c r="I512" s="161" t="s">
        <v>47</v>
      </c>
      <c r="J512" s="161" t="s">
        <v>48</v>
      </c>
      <c r="K512" s="163"/>
      <c r="L512" s="164"/>
      <c r="M512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512" s="163"/>
      <c r="O512" s="170"/>
      <c r="P512" s="142"/>
      <c r="Q512" s="161" t="s">
        <v>174</v>
      </c>
      <c r="R512" s="161" t="s">
        <v>631</v>
      </c>
      <c r="S512" s="168" t="s">
        <v>410</v>
      </c>
    </row>
    <row r="513" spans="1:19" outlineLevel="1">
      <c r="A513" s="171" t="s">
        <v>640</v>
      </c>
      <c r="B513" s="168" t="s">
        <v>44</v>
      </c>
      <c r="C513" s="168" t="s">
        <v>422</v>
      </c>
      <c r="D513" s="161" t="s">
        <v>29</v>
      </c>
      <c r="E513" s="161" t="s">
        <v>33</v>
      </c>
      <c r="F513" s="161" t="s">
        <v>170</v>
      </c>
      <c r="G513" s="162">
        <v>0</v>
      </c>
      <c r="H513" s="162" t="s">
        <v>46</v>
      </c>
      <c r="I513" s="161" t="s">
        <v>47</v>
      </c>
      <c r="J513" s="161" t="s">
        <v>48</v>
      </c>
      <c r="K513" s="163"/>
      <c r="L513" s="163"/>
      <c r="M513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513" s="163"/>
      <c r="O513" s="170"/>
      <c r="P513" s="142"/>
      <c r="Q513" s="142" t="s">
        <v>174</v>
      </c>
      <c r="R513" s="161" t="s">
        <v>631</v>
      </c>
      <c r="S513" s="168" t="s">
        <v>410</v>
      </c>
    </row>
    <row r="514" spans="1:19" outlineLevel="1">
      <c r="A514" s="171" t="s">
        <v>640</v>
      </c>
      <c r="B514" s="168" t="s">
        <v>44</v>
      </c>
      <c r="C514" s="168" t="s">
        <v>422</v>
      </c>
      <c r="D514" s="161" t="s">
        <v>30</v>
      </c>
      <c r="E514" s="161" t="s">
        <v>33</v>
      </c>
      <c r="F514" s="161" t="s">
        <v>170</v>
      </c>
      <c r="G514" s="162">
        <v>0</v>
      </c>
      <c r="H514" s="162" t="s">
        <v>46</v>
      </c>
      <c r="I514" s="161" t="s">
        <v>47</v>
      </c>
      <c r="J514" s="161" t="s">
        <v>48</v>
      </c>
      <c r="K514" s="163"/>
      <c r="L514" s="163"/>
      <c r="M514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514" s="163"/>
      <c r="O514" s="170"/>
      <c r="P514" s="142"/>
      <c r="Q514" s="142" t="s">
        <v>174</v>
      </c>
      <c r="R514" s="161" t="s">
        <v>631</v>
      </c>
      <c r="S514" s="168" t="s">
        <v>410</v>
      </c>
    </row>
    <row r="515" spans="1:19">
      <c r="A515" s="126" t="s">
        <v>642</v>
      </c>
      <c r="B515" s="46" t="s">
        <v>39</v>
      </c>
      <c r="C515" s="165" t="s">
        <v>566</v>
      </c>
      <c r="D515" s="158" t="s">
        <v>18</v>
      </c>
      <c r="E515" s="158" t="s">
        <v>19</v>
      </c>
      <c r="F515" s="158" t="s">
        <v>170</v>
      </c>
      <c r="G515" s="156">
        <v>0.25</v>
      </c>
      <c r="H515" s="156" t="s">
        <v>664</v>
      </c>
      <c r="I515" s="159" t="s">
        <v>665</v>
      </c>
      <c r="J515" s="159" t="s">
        <v>97</v>
      </c>
      <c r="K515" s="166">
        <v>46132</v>
      </c>
      <c r="L515" s="160">
        <v>46211</v>
      </c>
      <c r="M515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118</v>
      </c>
      <c r="N515" s="160"/>
      <c r="O515" s="167"/>
      <c r="P515" s="143"/>
      <c r="Q515" s="158" t="s">
        <v>182</v>
      </c>
      <c r="R515" s="158"/>
      <c r="S515" s="177"/>
    </row>
    <row r="516" spans="1:19" outlineLevel="1">
      <c r="A516" s="171" t="s">
        <v>640</v>
      </c>
      <c r="B516" s="168" t="s">
        <v>39</v>
      </c>
      <c r="C516" s="168" t="s">
        <v>567</v>
      </c>
      <c r="D516" s="161" t="s">
        <v>22</v>
      </c>
      <c r="E516" s="161" t="s">
        <v>19</v>
      </c>
      <c r="F516" s="161" t="s">
        <v>170</v>
      </c>
      <c r="G516" s="162">
        <v>0.25</v>
      </c>
      <c r="H516" s="162" t="s">
        <v>664</v>
      </c>
      <c r="I516" s="161" t="s">
        <v>665</v>
      </c>
      <c r="J516" s="161" t="s">
        <v>97</v>
      </c>
      <c r="K516" s="163">
        <v>46132</v>
      </c>
      <c r="L516" s="163">
        <v>46134</v>
      </c>
      <c r="M516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52</v>
      </c>
      <c r="N516" s="163"/>
      <c r="O516" s="170" t="s">
        <v>26</v>
      </c>
      <c r="P516" s="161" t="s">
        <v>108</v>
      </c>
      <c r="Q516" s="161" t="s">
        <v>182</v>
      </c>
      <c r="R516" s="161" t="s">
        <v>615</v>
      </c>
      <c r="S516" s="178"/>
    </row>
    <row r="517" spans="1:19" outlineLevel="1">
      <c r="A517" s="171" t="s">
        <v>640</v>
      </c>
      <c r="B517" s="168" t="s">
        <v>39</v>
      </c>
      <c r="C517" s="168" t="s">
        <v>567</v>
      </c>
      <c r="D517" s="161" t="s">
        <v>28</v>
      </c>
      <c r="E517" s="161" t="s">
        <v>19</v>
      </c>
      <c r="F517" s="161" t="s">
        <v>170</v>
      </c>
      <c r="G517" s="162">
        <v>0.5</v>
      </c>
      <c r="H517" s="162" t="s">
        <v>664</v>
      </c>
      <c r="I517" s="161" t="s">
        <v>665</v>
      </c>
      <c r="J517" s="161" t="s">
        <v>97</v>
      </c>
      <c r="K517" s="163"/>
      <c r="L517" s="164"/>
      <c r="M517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517" s="163"/>
      <c r="O517" s="170"/>
      <c r="P517" s="142"/>
      <c r="Q517" s="161" t="s">
        <v>182</v>
      </c>
      <c r="R517" s="161" t="s">
        <v>615</v>
      </c>
      <c r="S517" s="178"/>
    </row>
    <row r="518" spans="1:19" outlineLevel="1">
      <c r="A518" s="171" t="s">
        <v>640</v>
      </c>
      <c r="B518" s="168" t="s">
        <v>39</v>
      </c>
      <c r="C518" s="168" t="s">
        <v>567</v>
      </c>
      <c r="D518" s="161" t="s">
        <v>29</v>
      </c>
      <c r="E518" s="161" t="s">
        <v>19</v>
      </c>
      <c r="F518" s="161" t="s">
        <v>170</v>
      </c>
      <c r="G518" s="162">
        <v>0</v>
      </c>
      <c r="H518" s="162" t="s">
        <v>664</v>
      </c>
      <c r="I518" s="161" t="s">
        <v>665</v>
      </c>
      <c r="J518" s="161" t="s">
        <v>97</v>
      </c>
      <c r="K518" s="163"/>
      <c r="L518" s="163"/>
      <c r="M518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518" s="163"/>
      <c r="O518" s="170"/>
      <c r="P518" s="142"/>
      <c r="Q518" s="142" t="s">
        <v>182</v>
      </c>
      <c r="R518" s="161"/>
      <c r="S518" s="178"/>
    </row>
    <row r="519" spans="1:19" outlineLevel="1">
      <c r="A519" s="171" t="s">
        <v>640</v>
      </c>
      <c r="B519" s="168" t="s">
        <v>39</v>
      </c>
      <c r="C519" s="168" t="s">
        <v>567</v>
      </c>
      <c r="D519" s="161" t="s">
        <v>30</v>
      </c>
      <c r="E519" s="161" t="s">
        <v>19</v>
      </c>
      <c r="F519" s="161" t="s">
        <v>170</v>
      </c>
      <c r="G519" s="162">
        <v>0</v>
      </c>
      <c r="H519" s="162" t="s">
        <v>664</v>
      </c>
      <c r="I519" s="161" t="s">
        <v>665</v>
      </c>
      <c r="J519" s="161" t="s">
        <v>97</v>
      </c>
      <c r="K519" s="163"/>
      <c r="L519" s="163"/>
      <c r="M519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519" s="163"/>
      <c r="O519" s="170"/>
      <c r="P519" s="142"/>
      <c r="Q519" s="142" t="s">
        <v>182</v>
      </c>
      <c r="R519" s="161"/>
      <c r="S519" s="178"/>
    </row>
    <row r="520" spans="1:19">
      <c r="A520" s="126" t="s">
        <v>642</v>
      </c>
      <c r="B520" s="165" t="s">
        <v>184</v>
      </c>
      <c r="C520" s="165" t="s">
        <v>426</v>
      </c>
      <c r="D520" s="158" t="s">
        <v>18</v>
      </c>
      <c r="E520" s="158" t="s">
        <v>19</v>
      </c>
      <c r="F520" s="158" t="s">
        <v>170</v>
      </c>
      <c r="G520" s="156">
        <v>0.15</v>
      </c>
      <c r="H520" s="156" t="s">
        <v>666</v>
      </c>
      <c r="I520" s="159" t="s">
        <v>571</v>
      </c>
      <c r="J520" s="159" t="s">
        <v>48</v>
      </c>
      <c r="K520" s="166">
        <v>45931</v>
      </c>
      <c r="L520" s="160">
        <v>46568</v>
      </c>
      <c r="M520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456</v>
      </c>
      <c r="N520" s="160"/>
      <c r="O520" s="167"/>
      <c r="P520" s="143"/>
      <c r="Q520" s="158" t="s">
        <v>185</v>
      </c>
      <c r="R520" s="158"/>
      <c r="S520" s="177"/>
    </row>
    <row r="521" spans="1:19" outlineLevel="1">
      <c r="A521" s="171" t="s">
        <v>640</v>
      </c>
      <c r="B521" s="168" t="s">
        <v>184</v>
      </c>
      <c r="C521" s="168" t="s">
        <v>427</v>
      </c>
      <c r="D521" s="161" t="s">
        <v>22</v>
      </c>
      <c r="E521" s="161" t="s">
        <v>19</v>
      </c>
      <c r="F521" s="161" t="s">
        <v>170</v>
      </c>
      <c r="G521" s="162">
        <v>1</v>
      </c>
      <c r="H521" s="162" t="s">
        <v>666</v>
      </c>
      <c r="I521" s="161" t="s">
        <v>571</v>
      </c>
      <c r="J521" s="161" t="s">
        <v>48</v>
      </c>
      <c r="K521" s="163">
        <v>45931</v>
      </c>
      <c r="L521" s="163">
        <v>45931</v>
      </c>
      <c r="M521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</v>
      </c>
      <c r="N521" s="163"/>
      <c r="O521" s="170" t="s">
        <v>108</v>
      </c>
      <c r="P521" s="161" t="s">
        <v>108</v>
      </c>
      <c r="Q521" s="161" t="s">
        <v>185</v>
      </c>
      <c r="R521" s="161"/>
      <c r="S521" s="178"/>
    </row>
    <row r="522" spans="1:19" outlineLevel="1">
      <c r="A522" s="171" t="s">
        <v>640</v>
      </c>
      <c r="B522" s="168" t="s">
        <v>184</v>
      </c>
      <c r="C522" s="168" t="s">
        <v>427</v>
      </c>
      <c r="D522" s="161" t="s">
        <v>28</v>
      </c>
      <c r="E522" s="161" t="s">
        <v>19</v>
      </c>
      <c r="F522" s="161" t="s">
        <v>170</v>
      </c>
      <c r="G522" s="162">
        <v>0</v>
      </c>
      <c r="H522" s="162" t="s">
        <v>666</v>
      </c>
      <c r="I522" s="161" t="s">
        <v>571</v>
      </c>
      <c r="J522" s="161" t="s">
        <v>48</v>
      </c>
      <c r="K522" s="163"/>
      <c r="L522" s="164"/>
      <c r="M522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522" s="163"/>
      <c r="O522" s="170"/>
      <c r="P522" s="142"/>
      <c r="Q522" s="161" t="s">
        <v>185</v>
      </c>
      <c r="R522" s="161"/>
      <c r="S522" s="178"/>
    </row>
    <row r="523" spans="1:19" outlineLevel="1">
      <c r="A523" s="171" t="s">
        <v>640</v>
      </c>
      <c r="B523" s="168" t="s">
        <v>184</v>
      </c>
      <c r="C523" s="168" t="s">
        <v>427</v>
      </c>
      <c r="D523" s="161" t="s">
        <v>29</v>
      </c>
      <c r="E523" s="161" t="s">
        <v>19</v>
      </c>
      <c r="F523" s="161" t="s">
        <v>170</v>
      </c>
      <c r="G523" s="162">
        <v>0</v>
      </c>
      <c r="H523" s="162" t="s">
        <v>666</v>
      </c>
      <c r="I523" s="161" t="s">
        <v>571</v>
      </c>
      <c r="J523" s="161" t="s">
        <v>48</v>
      </c>
      <c r="K523" s="163"/>
      <c r="L523" s="163"/>
      <c r="M523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523" s="163"/>
      <c r="O523" s="170"/>
      <c r="P523" s="142"/>
      <c r="Q523" s="142" t="s">
        <v>185</v>
      </c>
      <c r="R523" s="161"/>
      <c r="S523" s="178"/>
    </row>
    <row r="524" spans="1:19" outlineLevel="1">
      <c r="A524" s="171" t="s">
        <v>640</v>
      </c>
      <c r="B524" s="168" t="s">
        <v>184</v>
      </c>
      <c r="C524" s="168" t="s">
        <v>427</v>
      </c>
      <c r="D524" s="161" t="s">
        <v>30</v>
      </c>
      <c r="E524" s="161" t="s">
        <v>19</v>
      </c>
      <c r="F524" s="161" t="s">
        <v>170</v>
      </c>
      <c r="G524" s="162">
        <v>0</v>
      </c>
      <c r="H524" s="162" t="s">
        <v>666</v>
      </c>
      <c r="I524" s="161" t="s">
        <v>571</v>
      </c>
      <c r="J524" s="161" t="s">
        <v>48</v>
      </c>
      <c r="K524" s="163"/>
      <c r="L524" s="163"/>
      <c r="M524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524" s="163"/>
      <c r="O524" s="170"/>
      <c r="P524" s="142"/>
      <c r="Q524" s="142" t="s">
        <v>185</v>
      </c>
      <c r="R524" s="161"/>
      <c r="S524" s="178"/>
    </row>
    <row r="525" spans="1:19">
      <c r="A525" s="126" t="s">
        <v>642</v>
      </c>
      <c r="B525" s="165" t="s">
        <v>184</v>
      </c>
      <c r="C525" s="165" t="s">
        <v>572</v>
      </c>
      <c r="D525" s="158" t="s">
        <v>18</v>
      </c>
      <c r="E525" s="158" t="s">
        <v>33</v>
      </c>
      <c r="F525" s="158" t="s">
        <v>170</v>
      </c>
      <c r="G525" s="156">
        <v>0</v>
      </c>
      <c r="H525" s="156" t="s">
        <v>666</v>
      </c>
      <c r="I525" s="159" t="s">
        <v>571</v>
      </c>
      <c r="J525" s="159" t="s">
        <v>48</v>
      </c>
      <c r="K525" s="166">
        <v>45931</v>
      </c>
      <c r="L525" s="160">
        <v>46387</v>
      </c>
      <c r="M525" s="158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525" s="160"/>
      <c r="O525" s="167"/>
      <c r="P525" s="143"/>
      <c r="Q525" s="158" t="s">
        <v>185</v>
      </c>
      <c r="R525" s="158"/>
      <c r="S525" s="165" t="s">
        <v>426</v>
      </c>
    </row>
    <row r="526" spans="1:19" outlineLevel="1">
      <c r="A526" s="171" t="s">
        <v>640</v>
      </c>
      <c r="B526" s="168" t="s">
        <v>184</v>
      </c>
      <c r="C526" s="168" t="s">
        <v>573</v>
      </c>
      <c r="D526" s="161" t="s">
        <v>22</v>
      </c>
      <c r="E526" s="161" t="s">
        <v>33</v>
      </c>
      <c r="F526" s="161" t="s">
        <v>170</v>
      </c>
      <c r="G526" s="162">
        <v>1</v>
      </c>
      <c r="H526" s="162" t="s">
        <v>666</v>
      </c>
      <c r="I526" s="161" t="s">
        <v>571</v>
      </c>
      <c r="J526" s="161" t="s">
        <v>48</v>
      </c>
      <c r="K526" s="163">
        <v>45931</v>
      </c>
      <c r="L526" s="163">
        <v>45931</v>
      </c>
      <c r="M526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</v>
      </c>
      <c r="N526" s="163"/>
      <c r="O526" s="170" t="s">
        <v>108</v>
      </c>
      <c r="P526" s="161" t="s">
        <v>108</v>
      </c>
      <c r="Q526" s="161" t="s">
        <v>185</v>
      </c>
      <c r="R526" s="161"/>
      <c r="S526" s="168" t="s">
        <v>427</v>
      </c>
    </row>
    <row r="527" spans="1:19" outlineLevel="1">
      <c r="A527" s="171" t="s">
        <v>640</v>
      </c>
      <c r="B527" s="168" t="s">
        <v>184</v>
      </c>
      <c r="C527" s="168" t="s">
        <v>573</v>
      </c>
      <c r="D527" s="161" t="s">
        <v>28</v>
      </c>
      <c r="E527" s="161" t="s">
        <v>33</v>
      </c>
      <c r="F527" s="161" t="s">
        <v>170</v>
      </c>
      <c r="G527" s="162">
        <v>0</v>
      </c>
      <c r="H527" s="162" t="s">
        <v>666</v>
      </c>
      <c r="I527" s="161" t="s">
        <v>571</v>
      </c>
      <c r="J527" s="161" t="s">
        <v>48</v>
      </c>
      <c r="K527" s="163"/>
      <c r="L527" s="164"/>
      <c r="M527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527" s="163"/>
      <c r="O527" s="170"/>
      <c r="P527" s="142"/>
      <c r="Q527" s="161" t="s">
        <v>185</v>
      </c>
      <c r="R527" s="161"/>
      <c r="S527" s="168" t="s">
        <v>427</v>
      </c>
    </row>
    <row r="528" spans="1:19" outlineLevel="1">
      <c r="A528" s="171" t="s">
        <v>640</v>
      </c>
      <c r="B528" s="168" t="s">
        <v>184</v>
      </c>
      <c r="C528" s="168" t="s">
        <v>573</v>
      </c>
      <c r="D528" s="161" t="s">
        <v>29</v>
      </c>
      <c r="E528" s="161" t="s">
        <v>33</v>
      </c>
      <c r="F528" s="161" t="s">
        <v>170</v>
      </c>
      <c r="G528" s="162">
        <v>0</v>
      </c>
      <c r="H528" s="162" t="s">
        <v>666</v>
      </c>
      <c r="I528" s="161" t="s">
        <v>571</v>
      </c>
      <c r="J528" s="161" t="s">
        <v>48</v>
      </c>
      <c r="K528" s="163"/>
      <c r="L528" s="163"/>
      <c r="M528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528" s="163"/>
      <c r="O528" s="170"/>
      <c r="P528" s="142"/>
      <c r="Q528" s="142" t="s">
        <v>185</v>
      </c>
      <c r="R528" s="161"/>
      <c r="S528" s="168" t="s">
        <v>427</v>
      </c>
    </row>
    <row r="529" spans="1:19" outlineLevel="1">
      <c r="A529" s="171" t="s">
        <v>640</v>
      </c>
      <c r="B529" s="168" t="s">
        <v>184</v>
      </c>
      <c r="C529" s="168" t="s">
        <v>573</v>
      </c>
      <c r="D529" s="161" t="s">
        <v>30</v>
      </c>
      <c r="E529" s="161" t="s">
        <v>33</v>
      </c>
      <c r="F529" s="161" t="s">
        <v>170</v>
      </c>
      <c r="G529" s="162">
        <v>0</v>
      </c>
      <c r="H529" s="162" t="s">
        <v>666</v>
      </c>
      <c r="I529" s="161" t="s">
        <v>571</v>
      </c>
      <c r="J529" s="161" t="s">
        <v>48</v>
      </c>
      <c r="K529" s="163"/>
      <c r="L529" s="163"/>
      <c r="M529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529" s="163"/>
      <c r="O529" s="170"/>
      <c r="P529" s="142"/>
      <c r="Q529" s="142" t="s">
        <v>185</v>
      </c>
      <c r="R529" s="161"/>
      <c r="S529" s="168" t="s">
        <v>427</v>
      </c>
    </row>
    <row r="530" spans="1:19">
      <c r="A530" s="126" t="s">
        <v>642</v>
      </c>
      <c r="B530" s="46" t="s">
        <v>184</v>
      </c>
      <c r="C530" s="165" t="s">
        <v>429</v>
      </c>
      <c r="D530" s="158" t="s">
        <v>18</v>
      </c>
      <c r="E530" s="158" t="s">
        <v>58</v>
      </c>
      <c r="F530" s="158" t="s">
        <v>170</v>
      </c>
      <c r="G530" s="156">
        <v>0</v>
      </c>
      <c r="H530" s="156" t="s">
        <v>666</v>
      </c>
      <c r="I530" s="159" t="s">
        <v>571</v>
      </c>
      <c r="J530" s="159" t="s">
        <v>48</v>
      </c>
      <c r="K530" s="166">
        <v>45946</v>
      </c>
      <c r="L530" s="160">
        <v>46387</v>
      </c>
      <c r="M530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316</v>
      </c>
      <c r="N530" s="160"/>
      <c r="O530" s="167"/>
      <c r="P530" s="143"/>
      <c r="Q530" s="158" t="s">
        <v>185</v>
      </c>
      <c r="R530" s="158"/>
      <c r="S530" s="165" t="s">
        <v>572</v>
      </c>
    </row>
    <row r="531" spans="1:19" outlineLevel="1">
      <c r="A531" s="171" t="s">
        <v>640</v>
      </c>
      <c r="B531" s="168" t="s">
        <v>184</v>
      </c>
      <c r="C531" s="168" t="s">
        <v>574</v>
      </c>
      <c r="D531" s="161" t="s">
        <v>22</v>
      </c>
      <c r="E531" s="161" t="s">
        <v>58</v>
      </c>
      <c r="F531" s="161" t="s">
        <v>170</v>
      </c>
      <c r="G531" s="162">
        <v>0</v>
      </c>
      <c r="H531" s="162" t="s">
        <v>666</v>
      </c>
      <c r="I531" s="161" t="s">
        <v>571</v>
      </c>
      <c r="J531" s="161" t="s">
        <v>48</v>
      </c>
      <c r="K531" s="163">
        <v>45946</v>
      </c>
      <c r="L531" s="163">
        <v>46022</v>
      </c>
      <c r="M531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55</v>
      </c>
      <c r="N531" s="163"/>
      <c r="O531" s="170" t="s">
        <v>43</v>
      </c>
      <c r="P531" s="161" t="s">
        <v>108</v>
      </c>
      <c r="Q531" s="161" t="s">
        <v>185</v>
      </c>
      <c r="R531" s="161" t="s">
        <v>634</v>
      </c>
      <c r="S531" s="168" t="s">
        <v>573</v>
      </c>
    </row>
    <row r="532" spans="1:19" outlineLevel="1">
      <c r="A532" s="171" t="s">
        <v>640</v>
      </c>
      <c r="B532" s="168" t="s">
        <v>184</v>
      </c>
      <c r="C532" s="168" t="s">
        <v>574</v>
      </c>
      <c r="D532" s="161" t="s">
        <v>28</v>
      </c>
      <c r="E532" s="161" t="s">
        <v>58</v>
      </c>
      <c r="F532" s="161" t="s">
        <v>170</v>
      </c>
      <c r="G532" s="162">
        <v>0</v>
      </c>
      <c r="H532" s="162" t="s">
        <v>666</v>
      </c>
      <c r="I532" s="161" t="s">
        <v>571</v>
      </c>
      <c r="J532" s="161" t="s">
        <v>48</v>
      </c>
      <c r="K532" s="163">
        <v>46023</v>
      </c>
      <c r="L532" s="164">
        <v>46387</v>
      </c>
      <c r="M532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261</v>
      </c>
      <c r="N532" s="163"/>
      <c r="O532" s="170" t="s">
        <v>43</v>
      </c>
      <c r="P532" s="142" t="s">
        <v>28</v>
      </c>
      <c r="Q532" s="161" t="s">
        <v>185</v>
      </c>
      <c r="R532" s="161"/>
      <c r="S532" s="168" t="s">
        <v>573</v>
      </c>
    </row>
    <row r="533" spans="1:19" outlineLevel="1">
      <c r="A533" s="171" t="s">
        <v>640</v>
      </c>
      <c r="B533" s="168" t="s">
        <v>184</v>
      </c>
      <c r="C533" s="168" t="s">
        <v>574</v>
      </c>
      <c r="D533" s="161" t="s">
        <v>29</v>
      </c>
      <c r="E533" s="161" t="s">
        <v>58</v>
      </c>
      <c r="F533" s="161" t="s">
        <v>170</v>
      </c>
      <c r="G533" s="162">
        <v>0</v>
      </c>
      <c r="H533" s="162" t="s">
        <v>666</v>
      </c>
      <c r="I533" s="161" t="s">
        <v>571</v>
      </c>
      <c r="J533" s="161" t="s">
        <v>48</v>
      </c>
      <c r="K533" s="163"/>
      <c r="L533" s="163"/>
      <c r="M533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533" s="163"/>
      <c r="O533" s="170"/>
      <c r="P533" s="142"/>
      <c r="Q533" s="142" t="s">
        <v>185</v>
      </c>
      <c r="R533" s="161"/>
      <c r="S533" s="168" t="s">
        <v>573</v>
      </c>
    </row>
    <row r="534" spans="1:19" outlineLevel="1">
      <c r="A534" s="171" t="s">
        <v>640</v>
      </c>
      <c r="B534" s="168" t="s">
        <v>184</v>
      </c>
      <c r="C534" s="168" t="s">
        <v>574</v>
      </c>
      <c r="D534" s="161" t="s">
        <v>30</v>
      </c>
      <c r="E534" s="161" t="s">
        <v>58</v>
      </c>
      <c r="F534" s="161" t="s">
        <v>170</v>
      </c>
      <c r="G534" s="162">
        <v>0</v>
      </c>
      <c r="H534" s="162" t="s">
        <v>666</v>
      </c>
      <c r="I534" s="161" t="s">
        <v>571</v>
      </c>
      <c r="J534" s="161" t="s">
        <v>48</v>
      </c>
      <c r="K534" s="163"/>
      <c r="L534" s="163"/>
      <c r="M534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534" s="163"/>
      <c r="O534" s="170"/>
      <c r="P534" s="142"/>
      <c r="Q534" s="142" t="s">
        <v>185</v>
      </c>
      <c r="R534" s="161"/>
      <c r="S534" s="168" t="s">
        <v>573</v>
      </c>
    </row>
    <row r="535" spans="1:19">
      <c r="A535" s="126" t="s">
        <v>642</v>
      </c>
      <c r="B535" s="46" t="s">
        <v>184</v>
      </c>
      <c r="C535" s="165" t="s">
        <v>439</v>
      </c>
      <c r="D535" s="158" t="s">
        <v>18</v>
      </c>
      <c r="E535" s="158" t="s">
        <v>58</v>
      </c>
      <c r="F535" s="158" t="s">
        <v>170</v>
      </c>
      <c r="G535" s="156">
        <v>0</v>
      </c>
      <c r="H535" s="156" t="s">
        <v>666</v>
      </c>
      <c r="I535" s="159" t="s">
        <v>571</v>
      </c>
      <c r="J535" s="159" t="s">
        <v>48</v>
      </c>
      <c r="K535" s="166">
        <v>45946</v>
      </c>
      <c r="L535" s="160">
        <v>46173</v>
      </c>
      <c r="M535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162</v>
      </c>
      <c r="N535" s="160"/>
      <c r="O535" s="167"/>
      <c r="P535" s="143"/>
      <c r="Q535" s="158" t="s">
        <v>185</v>
      </c>
      <c r="R535" s="158"/>
      <c r="S535" s="165" t="s">
        <v>572</v>
      </c>
    </row>
    <row r="536" spans="1:19" outlineLevel="1">
      <c r="A536" s="171" t="s">
        <v>640</v>
      </c>
      <c r="B536" s="168" t="s">
        <v>184</v>
      </c>
      <c r="C536" s="168" t="s">
        <v>575</v>
      </c>
      <c r="D536" s="161" t="s">
        <v>22</v>
      </c>
      <c r="E536" s="161" t="s">
        <v>58</v>
      </c>
      <c r="F536" s="161" t="s">
        <v>170</v>
      </c>
      <c r="G536" s="162">
        <v>0</v>
      </c>
      <c r="H536" s="162" t="s">
        <v>666</v>
      </c>
      <c r="I536" s="161" t="s">
        <v>571</v>
      </c>
      <c r="J536" s="161" t="s">
        <v>48</v>
      </c>
      <c r="K536" s="163">
        <v>45946</v>
      </c>
      <c r="L536" s="163">
        <v>46173</v>
      </c>
      <c r="M536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162</v>
      </c>
      <c r="N536" s="163"/>
      <c r="O536" s="170" t="s">
        <v>43</v>
      </c>
      <c r="P536" s="161" t="s">
        <v>26</v>
      </c>
      <c r="Q536" s="161" t="s">
        <v>185</v>
      </c>
      <c r="R536" s="161" t="s">
        <v>634</v>
      </c>
      <c r="S536" s="168" t="s">
        <v>573</v>
      </c>
    </row>
    <row r="537" spans="1:19" outlineLevel="1">
      <c r="A537" s="171" t="s">
        <v>640</v>
      </c>
      <c r="B537" s="168" t="s">
        <v>184</v>
      </c>
      <c r="C537" s="168" t="s">
        <v>575</v>
      </c>
      <c r="D537" s="161" t="s">
        <v>28</v>
      </c>
      <c r="E537" s="161" t="s">
        <v>58</v>
      </c>
      <c r="F537" s="161" t="s">
        <v>170</v>
      </c>
      <c r="G537" s="162">
        <v>0</v>
      </c>
      <c r="H537" s="162" t="s">
        <v>666</v>
      </c>
      <c r="I537" s="161" t="s">
        <v>571</v>
      </c>
      <c r="J537" s="161" t="s">
        <v>48</v>
      </c>
      <c r="K537" s="163"/>
      <c r="L537" s="164"/>
      <c r="M537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537" s="163"/>
      <c r="O537" s="170"/>
      <c r="P537" s="142"/>
      <c r="Q537" s="161" t="s">
        <v>185</v>
      </c>
      <c r="R537" s="161"/>
      <c r="S537" s="168" t="s">
        <v>573</v>
      </c>
    </row>
    <row r="538" spans="1:19" outlineLevel="1">
      <c r="A538" s="171" t="s">
        <v>640</v>
      </c>
      <c r="B538" s="168" t="s">
        <v>184</v>
      </c>
      <c r="C538" s="168" t="s">
        <v>575</v>
      </c>
      <c r="D538" s="161" t="s">
        <v>29</v>
      </c>
      <c r="E538" s="161" t="s">
        <v>58</v>
      </c>
      <c r="F538" s="161" t="s">
        <v>170</v>
      </c>
      <c r="G538" s="162">
        <v>0</v>
      </c>
      <c r="H538" s="162" t="s">
        <v>666</v>
      </c>
      <c r="I538" s="161" t="s">
        <v>571</v>
      </c>
      <c r="J538" s="161" t="s">
        <v>48</v>
      </c>
      <c r="K538" s="163"/>
      <c r="L538" s="163"/>
      <c r="M538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538" s="163"/>
      <c r="O538" s="170"/>
      <c r="P538" s="142"/>
      <c r="Q538" s="142" t="s">
        <v>185</v>
      </c>
      <c r="R538" s="161"/>
      <c r="S538" s="168" t="s">
        <v>573</v>
      </c>
    </row>
    <row r="539" spans="1:19" outlineLevel="1">
      <c r="A539" s="171" t="s">
        <v>640</v>
      </c>
      <c r="B539" s="168" t="s">
        <v>184</v>
      </c>
      <c r="C539" s="168" t="s">
        <v>575</v>
      </c>
      <c r="D539" s="161" t="s">
        <v>30</v>
      </c>
      <c r="E539" s="161" t="s">
        <v>58</v>
      </c>
      <c r="F539" s="161" t="s">
        <v>170</v>
      </c>
      <c r="G539" s="162">
        <v>0</v>
      </c>
      <c r="H539" s="162" t="s">
        <v>666</v>
      </c>
      <c r="I539" s="161" t="s">
        <v>571</v>
      </c>
      <c r="J539" s="161" t="s">
        <v>48</v>
      </c>
      <c r="K539" s="163"/>
      <c r="L539" s="163"/>
      <c r="M539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539" s="163"/>
      <c r="O539" s="170"/>
      <c r="P539" s="142"/>
      <c r="Q539" s="142" t="s">
        <v>185</v>
      </c>
      <c r="R539" s="161"/>
      <c r="S539" s="168" t="s">
        <v>573</v>
      </c>
    </row>
    <row r="540" spans="1:19">
      <c r="A540" s="126" t="s">
        <v>642</v>
      </c>
      <c r="B540" s="165" t="s">
        <v>184</v>
      </c>
      <c r="C540" s="165" t="s">
        <v>576</v>
      </c>
      <c r="D540" s="158"/>
      <c r="E540" s="158" t="s">
        <v>58</v>
      </c>
      <c r="F540" s="158" t="s">
        <v>170</v>
      </c>
      <c r="G540" s="156">
        <v>0</v>
      </c>
      <c r="H540" s="156" t="s">
        <v>666</v>
      </c>
      <c r="I540" s="159" t="s">
        <v>571</v>
      </c>
      <c r="J540" s="159" t="s">
        <v>48</v>
      </c>
      <c r="K540" s="166">
        <v>45931</v>
      </c>
      <c r="L540" s="160">
        <v>46203</v>
      </c>
      <c r="M540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195</v>
      </c>
      <c r="N540" s="160"/>
      <c r="O540" s="167"/>
      <c r="P540" s="143"/>
      <c r="Q540" s="158" t="s">
        <v>185</v>
      </c>
      <c r="R540" s="158"/>
      <c r="S540" s="165" t="s">
        <v>572</v>
      </c>
    </row>
    <row r="541" spans="1:19" outlineLevel="1">
      <c r="A541" s="171" t="s">
        <v>640</v>
      </c>
      <c r="B541" s="168" t="s">
        <v>184</v>
      </c>
      <c r="C541" s="168" t="s">
        <v>577</v>
      </c>
      <c r="D541" s="161" t="s">
        <v>22</v>
      </c>
      <c r="E541" s="161" t="s">
        <v>58</v>
      </c>
      <c r="F541" s="161" t="s">
        <v>170</v>
      </c>
      <c r="G541" s="162">
        <v>0</v>
      </c>
      <c r="H541" s="162" t="s">
        <v>666</v>
      </c>
      <c r="I541" s="161" t="s">
        <v>571</v>
      </c>
      <c r="J541" s="161" t="s">
        <v>48</v>
      </c>
      <c r="K541" s="163">
        <v>45931</v>
      </c>
      <c r="L541" s="163">
        <v>46173</v>
      </c>
      <c r="M541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173</v>
      </c>
      <c r="N541" s="163"/>
      <c r="O541" s="170" t="s">
        <v>43</v>
      </c>
      <c r="P541" s="161" t="s">
        <v>26</v>
      </c>
      <c r="Q541" s="161" t="s">
        <v>185</v>
      </c>
      <c r="R541" s="161"/>
      <c r="S541" s="168" t="s">
        <v>573</v>
      </c>
    </row>
    <row r="542" spans="1:19" outlineLevel="1">
      <c r="A542" s="171" t="s">
        <v>640</v>
      </c>
      <c r="B542" s="168" t="s">
        <v>184</v>
      </c>
      <c r="C542" s="168" t="s">
        <v>577</v>
      </c>
      <c r="D542" s="161" t="s">
        <v>28</v>
      </c>
      <c r="E542" s="161" t="s">
        <v>58</v>
      </c>
      <c r="F542" s="161" t="s">
        <v>170</v>
      </c>
      <c r="G542" s="162">
        <v>0</v>
      </c>
      <c r="H542" s="162" t="s">
        <v>666</v>
      </c>
      <c r="I542" s="161" t="s">
        <v>571</v>
      </c>
      <c r="J542" s="161" t="s">
        <v>48</v>
      </c>
      <c r="K542" s="163">
        <v>46174</v>
      </c>
      <c r="L542" s="164">
        <v>46203</v>
      </c>
      <c r="M542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22</v>
      </c>
      <c r="N542" s="163"/>
      <c r="O542" s="170"/>
      <c r="P542" s="142" t="s">
        <v>27</v>
      </c>
      <c r="Q542" s="161" t="s">
        <v>185</v>
      </c>
      <c r="R542" s="161"/>
      <c r="S542" s="168" t="s">
        <v>573</v>
      </c>
    </row>
    <row r="543" spans="1:19" outlineLevel="1">
      <c r="A543" s="171" t="s">
        <v>640</v>
      </c>
      <c r="B543" s="168" t="s">
        <v>184</v>
      </c>
      <c r="C543" s="168" t="s">
        <v>577</v>
      </c>
      <c r="D543" s="161" t="s">
        <v>29</v>
      </c>
      <c r="E543" s="161" t="s">
        <v>58</v>
      </c>
      <c r="F543" s="161" t="s">
        <v>170</v>
      </c>
      <c r="G543" s="162">
        <v>0</v>
      </c>
      <c r="H543" s="162" t="s">
        <v>666</v>
      </c>
      <c r="I543" s="161" t="s">
        <v>571</v>
      </c>
      <c r="J543" s="161" t="s">
        <v>48</v>
      </c>
      <c r="K543" s="163">
        <v>46174</v>
      </c>
      <c r="L543" s="163">
        <v>46203</v>
      </c>
      <c r="M543" s="161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22</v>
      </c>
      <c r="N543" s="163"/>
      <c r="O543" s="170"/>
      <c r="P543" s="142" t="s">
        <v>27</v>
      </c>
      <c r="Q543" s="142" t="s">
        <v>185</v>
      </c>
      <c r="R543" s="161"/>
      <c r="S543" s="168" t="s">
        <v>573</v>
      </c>
    </row>
    <row r="544" spans="1:19" outlineLevel="1">
      <c r="A544" s="171" t="s">
        <v>640</v>
      </c>
      <c r="B544" s="168" t="s">
        <v>184</v>
      </c>
      <c r="C544" s="168" t="s">
        <v>577</v>
      </c>
      <c r="D544" s="161" t="s">
        <v>30</v>
      </c>
      <c r="E544" s="161" t="s">
        <v>58</v>
      </c>
      <c r="F544" s="161" t="s">
        <v>170</v>
      </c>
      <c r="G544" s="162">
        <v>0</v>
      </c>
      <c r="H544" s="162" t="s">
        <v>666</v>
      </c>
      <c r="I544" s="161" t="s">
        <v>571</v>
      </c>
      <c r="J544" s="161" t="s">
        <v>48</v>
      </c>
      <c r="K544" s="163">
        <v>46174</v>
      </c>
      <c r="L544" s="163">
        <v>46203</v>
      </c>
      <c r="M544" s="161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22</v>
      </c>
      <c r="N544" s="163"/>
      <c r="O544" s="170"/>
      <c r="P544" s="142" t="s">
        <v>27</v>
      </c>
      <c r="Q544" s="142" t="s">
        <v>185</v>
      </c>
      <c r="R544" s="161"/>
      <c r="S544" s="168" t="s">
        <v>573</v>
      </c>
    </row>
    <row r="545" spans="1:19">
      <c r="A545" s="126" t="s">
        <v>642</v>
      </c>
      <c r="B545" s="46" t="s">
        <v>184</v>
      </c>
      <c r="C545" s="165" t="s">
        <v>578</v>
      </c>
      <c r="D545" s="158" t="s">
        <v>18</v>
      </c>
      <c r="E545" s="158" t="s">
        <v>33</v>
      </c>
      <c r="F545" s="158" t="s">
        <v>170</v>
      </c>
      <c r="G545" s="156">
        <v>0.18</v>
      </c>
      <c r="H545" s="156" t="s">
        <v>666</v>
      </c>
      <c r="I545" s="159" t="s">
        <v>189</v>
      </c>
      <c r="J545" s="159" t="s">
        <v>25</v>
      </c>
      <c r="K545" s="166">
        <v>45931</v>
      </c>
      <c r="L545" s="160">
        <v>46387</v>
      </c>
      <c r="M545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327</v>
      </c>
      <c r="N545" s="160"/>
      <c r="O545" s="167"/>
      <c r="P545" s="143"/>
      <c r="Q545" s="158" t="s">
        <v>185</v>
      </c>
      <c r="R545" s="158"/>
      <c r="S545" s="165" t="s">
        <v>426</v>
      </c>
    </row>
    <row r="546" spans="1:19" outlineLevel="1">
      <c r="A546" s="171" t="s">
        <v>640</v>
      </c>
      <c r="B546" s="168" t="s">
        <v>184</v>
      </c>
      <c r="C546" s="168" t="s">
        <v>579</v>
      </c>
      <c r="D546" s="161" t="s">
        <v>22</v>
      </c>
      <c r="E546" s="161" t="s">
        <v>33</v>
      </c>
      <c r="F546" s="161" t="s">
        <v>170</v>
      </c>
      <c r="G546" s="162">
        <v>0.5</v>
      </c>
      <c r="H546" s="162" t="s">
        <v>666</v>
      </c>
      <c r="I546" s="161" t="s">
        <v>189</v>
      </c>
      <c r="J546" s="161" t="s">
        <v>25</v>
      </c>
      <c r="K546" s="163">
        <v>46029</v>
      </c>
      <c r="L546" s="163">
        <v>46097</v>
      </c>
      <c r="M546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49</v>
      </c>
      <c r="N546" s="163"/>
      <c r="O546" s="170" t="s">
        <v>26</v>
      </c>
      <c r="P546" s="161" t="s">
        <v>108</v>
      </c>
      <c r="Q546" s="161" t="s">
        <v>185</v>
      </c>
      <c r="R546" s="161"/>
      <c r="S546" s="168" t="s">
        <v>427</v>
      </c>
    </row>
    <row r="547" spans="1:19" outlineLevel="1">
      <c r="A547" s="171" t="s">
        <v>640</v>
      </c>
      <c r="B547" s="168" t="s">
        <v>184</v>
      </c>
      <c r="C547" s="168" t="s">
        <v>579</v>
      </c>
      <c r="D547" s="161" t="s">
        <v>28</v>
      </c>
      <c r="E547" s="161" t="s">
        <v>33</v>
      </c>
      <c r="F547" s="161" t="s">
        <v>170</v>
      </c>
      <c r="G547" s="162">
        <v>0</v>
      </c>
      <c r="H547" s="162" t="s">
        <v>666</v>
      </c>
      <c r="I547" s="161" t="s">
        <v>189</v>
      </c>
      <c r="J547" s="161" t="s">
        <v>25</v>
      </c>
      <c r="K547" s="163">
        <v>46113</v>
      </c>
      <c r="L547" s="164">
        <v>46188</v>
      </c>
      <c r="M547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54</v>
      </c>
      <c r="N547" s="163"/>
      <c r="O547" s="170" t="s">
        <v>43</v>
      </c>
      <c r="P547" s="142" t="s">
        <v>28</v>
      </c>
      <c r="Q547" s="161" t="s">
        <v>185</v>
      </c>
      <c r="R547" s="161"/>
      <c r="S547" s="168" t="s">
        <v>427</v>
      </c>
    </row>
    <row r="548" spans="1:19" outlineLevel="1">
      <c r="A548" s="171" t="s">
        <v>640</v>
      </c>
      <c r="B548" s="168" t="s">
        <v>184</v>
      </c>
      <c r="C548" s="168" t="s">
        <v>579</v>
      </c>
      <c r="D548" s="161" t="s">
        <v>29</v>
      </c>
      <c r="E548" s="161" t="s">
        <v>33</v>
      </c>
      <c r="F548" s="161" t="s">
        <v>170</v>
      </c>
      <c r="G548" s="162">
        <v>0</v>
      </c>
      <c r="H548" s="162" t="s">
        <v>666</v>
      </c>
      <c r="I548" s="161" t="s">
        <v>189</v>
      </c>
      <c r="J548" s="161" t="s">
        <v>25</v>
      </c>
      <c r="K548" s="163">
        <v>46113</v>
      </c>
      <c r="L548" s="163">
        <v>46188</v>
      </c>
      <c r="M548" s="161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54</v>
      </c>
      <c r="N548" s="163"/>
      <c r="O548" s="170" t="s">
        <v>43</v>
      </c>
      <c r="P548" s="142" t="s">
        <v>29</v>
      </c>
      <c r="Q548" s="142" t="s">
        <v>185</v>
      </c>
      <c r="R548" s="161"/>
      <c r="S548" s="168" t="s">
        <v>427</v>
      </c>
    </row>
    <row r="549" spans="1:19" outlineLevel="1">
      <c r="A549" s="171" t="s">
        <v>640</v>
      </c>
      <c r="B549" s="168" t="s">
        <v>184</v>
      </c>
      <c r="C549" s="168" t="s">
        <v>579</v>
      </c>
      <c r="D549" s="161" t="s">
        <v>30</v>
      </c>
      <c r="E549" s="161" t="s">
        <v>33</v>
      </c>
      <c r="F549" s="161" t="s">
        <v>170</v>
      </c>
      <c r="G549" s="162">
        <v>0</v>
      </c>
      <c r="H549" s="162" t="s">
        <v>666</v>
      </c>
      <c r="I549" s="161" t="s">
        <v>189</v>
      </c>
      <c r="J549" s="161" t="s">
        <v>25</v>
      </c>
      <c r="K549" s="163"/>
      <c r="L549" s="163"/>
      <c r="M549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549" s="163"/>
      <c r="O549" s="170"/>
      <c r="P549" s="142"/>
      <c r="Q549" s="142" t="s">
        <v>185</v>
      </c>
      <c r="R549" s="161"/>
      <c r="S549" s="168" t="s">
        <v>427</v>
      </c>
    </row>
    <row r="550" spans="1:19">
      <c r="A550" s="126" t="s">
        <v>642</v>
      </c>
      <c r="B550" s="165" t="s">
        <v>184</v>
      </c>
      <c r="C550" s="165" t="s">
        <v>580</v>
      </c>
      <c r="D550" s="158"/>
      <c r="E550" s="158" t="s">
        <v>58</v>
      </c>
      <c r="F550" s="158" t="s">
        <v>170</v>
      </c>
      <c r="G550" s="156">
        <v>0</v>
      </c>
      <c r="H550" s="156" t="s">
        <v>666</v>
      </c>
      <c r="I550" s="159" t="s">
        <v>189</v>
      </c>
      <c r="J550" s="159" t="s">
        <v>25</v>
      </c>
      <c r="K550" s="166">
        <v>45931</v>
      </c>
      <c r="L550" s="160">
        <v>46387</v>
      </c>
      <c r="M550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327</v>
      </c>
      <c r="N550" s="160"/>
      <c r="O550" s="167"/>
      <c r="P550" s="143"/>
      <c r="Q550" s="158" t="s">
        <v>185</v>
      </c>
      <c r="R550" s="158"/>
      <c r="S550" s="165" t="s">
        <v>578</v>
      </c>
    </row>
    <row r="551" spans="1:19" outlineLevel="1">
      <c r="A551" s="171" t="s">
        <v>640</v>
      </c>
      <c r="B551" s="168" t="s">
        <v>184</v>
      </c>
      <c r="C551" s="168" t="s">
        <v>581</v>
      </c>
      <c r="D551" s="161" t="s">
        <v>22</v>
      </c>
      <c r="E551" s="161" t="s">
        <v>58</v>
      </c>
      <c r="F551" s="161" t="s">
        <v>170</v>
      </c>
      <c r="G551" s="162">
        <v>0</v>
      </c>
      <c r="H551" s="162" t="s">
        <v>666</v>
      </c>
      <c r="I551" s="161" t="s">
        <v>189</v>
      </c>
      <c r="J551" s="161" t="s">
        <v>25</v>
      </c>
      <c r="K551" s="163">
        <v>45931</v>
      </c>
      <c r="L551" s="163">
        <v>46142</v>
      </c>
      <c r="M551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152</v>
      </c>
      <c r="N551" s="163"/>
      <c r="O551" s="170" t="s">
        <v>43</v>
      </c>
      <c r="P551" s="161" t="s">
        <v>26</v>
      </c>
      <c r="Q551" s="161" t="s">
        <v>185</v>
      </c>
      <c r="R551" s="161"/>
      <c r="S551" s="168" t="s">
        <v>579</v>
      </c>
    </row>
    <row r="552" spans="1:19" outlineLevel="1">
      <c r="A552" s="171" t="s">
        <v>640</v>
      </c>
      <c r="B552" s="168" t="s">
        <v>184</v>
      </c>
      <c r="C552" s="168" t="s">
        <v>581</v>
      </c>
      <c r="D552" s="161" t="s">
        <v>28</v>
      </c>
      <c r="E552" s="161" t="s">
        <v>58</v>
      </c>
      <c r="F552" s="161" t="s">
        <v>170</v>
      </c>
      <c r="G552" s="162">
        <v>0</v>
      </c>
      <c r="H552" s="162" t="s">
        <v>666</v>
      </c>
      <c r="I552" s="161" t="s">
        <v>189</v>
      </c>
      <c r="J552" s="161" t="s">
        <v>25</v>
      </c>
      <c r="K552" s="163">
        <v>46082</v>
      </c>
      <c r="L552" s="164">
        <v>46387</v>
      </c>
      <c r="M552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219</v>
      </c>
      <c r="N552" s="163"/>
      <c r="O552" s="170" t="s">
        <v>43</v>
      </c>
      <c r="P552" s="142" t="s">
        <v>28</v>
      </c>
      <c r="Q552" s="161" t="s">
        <v>185</v>
      </c>
      <c r="R552" s="161"/>
      <c r="S552" s="168" t="s">
        <v>579</v>
      </c>
    </row>
    <row r="553" spans="1:19" outlineLevel="1">
      <c r="A553" s="171" t="s">
        <v>640</v>
      </c>
      <c r="B553" s="168" t="s">
        <v>184</v>
      </c>
      <c r="C553" s="168" t="s">
        <v>581</v>
      </c>
      <c r="D553" s="161" t="s">
        <v>29</v>
      </c>
      <c r="E553" s="161" t="s">
        <v>58</v>
      </c>
      <c r="F553" s="161" t="s">
        <v>170</v>
      </c>
      <c r="G553" s="162">
        <v>0</v>
      </c>
      <c r="H553" s="162" t="s">
        <v>666</v>
      </c>
      <c r="I553" s="161" t="s">
        <v>189</v>
      </c>
      <c r="J553" s="161" t="s">
        <v>25</v>
      </c>
      <c r="K553" s="163"/>
      <c r="L553" s="163"/>
      <c r="M553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553" s="163"/>
      <c r="O553" s="170"/>
      <c r="P553" s="142"/>
      <c r="Q553" s="142" t="s">
        <v>185</v>
      </c>
      <c r="R553" s="161"/>
      <c r="S553" s="168" t="s">
        <v>579</v>
      </c>
    </row>
    <row r="554" spans="1:19" outlineLevel="1">
      <c r="A554" s="171" t="s">
        <v>640</v>
      </c>
      <c r="B554" s="168" t="s">
        <v>184</v>
      </c>
      <c r="C554" s="168" t="s">
        <v>581</v>
      </c>
      <c r="D554" s="161" t="s">
        <v>30</v>
      </c>
      <c r="E554" s="161" t="s">
        <v>58</v>
      </c>
      <c r="F554" s="161" t="s">
        <v>170</v>
      </c>
      <c r="G554" s="162">
        <v>0</v>
      </c>
      <c r="H554" s="162" t="s">
        <v>666</v>
      </c>
      <c r="I554" s="161" t="s">
        <v>189</v>
      </c>
      <c r="J554" s="161" t="s">
        <v>25</v>
      </c>
      <c r="K554" s="163"/>
      <c r="L554" s="163"/>
      <c r="M554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554" s="163"/>
      <c r="O554" s="170"/>
      <c r="P554" s="142"/>
      <c r="Q554" s="142" t="s">
        <v>185</v>
      </c>
      <c r="R554" s="161"/>
      <c r="S554" s="168" t="s">
        <v>579</v>
      </c>
    </row>
    <row r="555" spans="1:19">
      <c r="A555" s="126" t="s">
        <v>642</v>
      </c>
      <c r="B555" s="165" t="s">
        <v>184</v>
      </c>
      <c r="C555" s="165" t="s">
        <v>582</v>
      </c>
      <c r="D555" s="158"/>
      <c r="E555" s="158" t="s">
        <v>58</v>
      </c>
      <c r="F555" s="158" t="s">
        <v>170</v>
      </c>
      <c r="G555" s="156">
        <v>0.25</v>
      </c>
      <c r="H555" s="156" t="s">
        <v>666</v>
      </c>
      <c r="I555" s="159" t="s">
        <v>189</v>
      </c>
      <c r="J555" s="159" t="s">
        <v>25</v>
      </c>
      <c r="K555" s="166">
        <v>45931</v>
      </c>
      <c r="L555" s="160">
        <v>46387</v>
      </c>
      <c r="M555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327</v>
      </c>
      <c r="N555" s="160"/>
      <c r="O555" s="167"/>
      <c r="P555" s="143"/>
      <c r="Q555" s="158" t="s">
        <v>185</v>
      </c>
      <c r="R555" s="158"/>
      <c r="S555" s="165" t="s">
        <v>578</v>
      </c>
    </row>
    <row r="556" spans="1:19" outlineLevel="1">
      <c r="A556" s="171" t="s">
        <v>640</v>
      </c>
      <c r="B556" s="168" t="s">
        <v>184</v>
      </c>
      <c r="C556" s="168" t="s">
        <v>583</v>
      </c>
      <c r="D556" s="161" t="s">
        <v>22</v>
      </c>
      <c r="E556" s="161" t="s">
        <v>58</v>
      </c>
      <c r="F556" s="161" t="s">
        <v>170</v>
      </c>
      <c r="G556" s="162">
        <v>0.25</v>
      </c>
      <c r="H556" s="162" t="s">
        <v>666</v>
      </c>
      <c r="I556" s="161" t="s">
        <v>189</v>
      </c>
      <c r="J556" s="161" t="s">
        <v>25</v>
      </c>
      <c r="K556" s="163">
        <v>45931</v>
      </c>
      <c r="L556" s="163">
        <v>46142</v>
      </c>
      <c r="M556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152</v>
      </c>
      <c r="N556" s="163"/>
      <c r="O556" s="170" t="s">
        <v>26</v>
      </c>
      <c r="P556" s="161" t="s">
        <v>26</v>
      </c>
      <c r="Q556" s="161" t="s">
        <v>185</v>
      </c>
      <c r="R556" s="161"/>
      <c r="S556" s="168" t="s">
        <v>579</v>
      </c>
    </row>
    <row r="557" spans="1:19" outlineLevel="1">
      <c r="A557" s="171" t="s">
        <v>640</v>
      </c>
      <c r="B557" s="168" t="s">
        <v>184</v>
      </c>
      <c r="C557" s="168" t="s">
        <v>583</v>
      </c>
      <c r="D557" s="161" t="s">
        <v>28</v>
      </c>
      <c r="E557" s="161" t="s">
        <v>58</v>
      </c>
      <c r="F557" s="161" t="s">
        <v>170</v>
      </c>
      <c r="G557" s="162">
        <v>0</v>
      </c>
      <c r="H557" s="162" t="s">
        <v>666</v>
      </c>
      <c r="I557" s="161" t="s">
        <v>189</v>
      </c>
      <c r="J557" s="161" t="s">
        <v>25</v>
      </c>
      <c r="K557" s="163">
        <v>46082</v>
      </c>
      <c r="L557" s="164">
        <v>46387</v>
      </c>
      <c r="M557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219</v>
      </c>
      <c r="N557" s="163"/>
      <c r="O557" s="170" t="s">
        <v>43</v>
      </c>
      <c r="P557" s="142" t="s">
        <v>28</v>
      </c>
      <c r="Q557" s="161" t="s">
        <v>185</v>
      </c>
      <c r="R557" s="161"/>
      <c r="S557" s="168" t="s">
        <v>579</v>
      </c>
    </row>
    <row r="558" spans="1:19" outlineLevel="1">
      <c r="A558" s="171" t="s">
        <v>640</v>
      </c>
      <c r="B558" s="168" t="s">
        <v>184</v>
      </c>
      <c r="C558" s="168" t="s">
        <v>583</v>
      </c>
      <c r="D558" s="161" t="s">
        <v>29</v>
      </c>
      <c r="E558" s="161" t="s">
        <v>58</v>
      </c>
      <c r="F558" s="161" t="s">
        <v>170</v>
      </c>
      <c r="G558" s="162">
        <v>0</v>
      </c>
      <c r="H558" s="162" t="s">
        <v>666</v>
      </c>
      <c r="I558" s="161" t="s">
        <v>189</v>
      </c>
      <c r="J558" s="161" t="s">
        <v>25</v>
      </c>
      <c r="K558" s="163"/>
      <c r="L558" s="163"/>
      <c r="M558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558" s="163"/>
      <c r="O558" s="170"/>
      <c r="P558" s="142"/>
      <c r="Q558" s="142" t="s">
        <v>185</v>
      </c>
      <c r="R558" s="161"/>
      <c r="S558" s="168" t="s">
        <v>579</v>
      </c>
    </row>
    <row r="559" spans="1:19" outlineLevel="1">
      <c r="A559" s="171" t="s">
        <v>640</v>
      </c>
      <c r="B559" s="168" t="s">
        <v>184</v>
      </c>
      <c r="C559" s="168" t="s">
        <v>583</v>
      </c>
      <c r="D559" s="161" t="s">
        <v>30</v>
      </c>
      <c r="E559" s="161" t="s">
        <v>58</v>
      </c>
      <c r="F559" s="161" t="s">
        <v>170</v>
      </c>
      <c r="G559" s="162">
        <v>0</v>
      </c>
      <c r="H559" s="162" t="s">
        <v>666</v>
      </c>
      <c r="I559" s="161" t="s">
        <v>189</v>
      </c>
      <c r="J559" s="161" t="s">
        <v>25</v>
      </c>
      <c r="K559" s="163"/>
      <c r="L559" s="163"/>
      <c r="M559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559" s="163"/>
      <c r="O559" s="170"/>
      <c r="P559" s="142"/>
      <c r="Q559" s="142" t="s">
        <v>185</v>
      </c>
      <c r="R559" s="161"/>
      <c r="S559" s="168" t="s">
        <v>579</v>
      </c>
    </row>
    <row r="560" spans="1:19">
      <c r="A560" s="126" t="s">
        <v>642</v>
      </c>
      <c r="B560" s="46" t="s">
        <v>184</v>
      </c>
      <c r="C560" s="165" t="s">
        <v>584</v>
      </c>
      <c r="D560" s="158" t="s">
        <v>18</v>
      </c>
      <c r="E560" s="158" t="s">
        <v>33</v>
      </c>
      <c r="F560" s="158" t="s">
        <v>170</v>
      </c>
      <c r="G560" s="156">
        <v>0.33</v>
      </c>
      <c r="H560" s="156" t="s">
        <v>666</v>
      </c>
      <c r="I560" s="159"/>
      <c r="J560" s="159" t="s">
        <v>25</v>
      </c>
      <c r="K560" s="166">
        <v>45946</v>
      </c>
      <c r="L560" s="160">
        <v>46142</v>
      </c>
      <c r="M560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141</v>
      </c>
      <c r="N560" s="160"/>
      <c r="O560" s="167"/>
      <c r="P560" s="143"/>
      <c r="Q560" s="158" t="s">
        <v>185</v>
      </c>
      <c r="R560" s="158"/>
      <c r="S560" s="165" t="s">
        <v>426</v>
      </c>
    </row>
    <row r="561" spans="1:19" outlineLevel="1">
      <c r="A561" s="171" t="s">
        <v>640</v>
      </c>
      <c r="B561" s="168" t="s">
        <v>184</v>
      </c>
      <c r="C561" s="168" t="s">
        <v>585</v>
      </c>
      <c r="D561" s="161" t="s">
        <v>22</v>
      </c>
      <c r="E561" s="161" t="s">
        <v>33</v>
      </c>
      <c r="F561" s="161" t="s">
        <v>170</v>
      </c>
      <c r="G561" s="162">
        <v>0.25</v>
      </c>
      <c r="H561" s="162" t="s">
        <v>666</v>
      </c>
      <c r="I561" s="161"/>
      <c r="J561" s="161" t="s">
        <v>25</v>
      </c>
      <c r="K561" s="163">
        <v>45946</v>
      </c>
      <c r="L561" s="163">
        <v>46142</v>
      </c>
      <c r="M561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141</v>
      </c>
      <c r="N561" s="163"/>
      <c r="O561" s="170" t="s">
        <v>26</v>
      </c>
      <c r="P561" s="161" t="s">
        <v>26</v>
      </c>
      <c r="Q561" s="161" t="s">
        <v>185</v>
      </c>
      <c r="R561" s="161"/>
      <c r="S561" s="168" t="s">
        <v>427</v>
      </c>
    </row>
    <row r="562" spans="1:19" outlineLevel="1">
      <c r="A562" s="171" t="s">
        <v>640</v>
      </c>
      <c r="B562" s="168" t="s">
        <v>184</v>
      </c>
      <c r="C562" s="168" t="s">
        <v>585</v>
      </c>
      <c r="D562" s="161" t="s">
        <v>28</v>
      </c>
      <c r="E562" s="161" t="s">
        <v>33</v>
      </c>
      <c r="F562" s="161" t="s">
        <v>170</v>
      </c>
      <c r="G562" s="162">
        <v>0</v>
      </c>
      <c r="H562" s="162" t="s">
        <v>666</v>
      </c>
      <c r="I562" s="161"/>
      <c r="J562" s="161" t="s">
        <v>25</v>
      </c>
      <c r="K562" s="163"/>
      <c r="L562" s="164"/>
      <c r="M562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562" s="163"/>
      <c r="O562" s="170"/>
      <c r="P562" s="142"/>
      <c r="Q562" s="161" t="s">
        <v>185</v>
      </c>
      <c r="R562" s="161"/>
      <c r="S562" s="168" t="s">
        <v>427</v>
      </c>
    </row>
    <row r="563" spans="1:19" outlineLevel="1">
      <c r="A563" s="171" t="s">
        <v>640</v>
      </c>
      <c r="B563" s="168" t="s">
        <v>184</v>
      </c>
      <c r="C563" s="168" t="s">
        <v>585</v>
      </c>
      <c r="D563" s="161" t="s">
        <v>29</v>
      </c>
      <c r="E563" s="161" t="s">
        <v>33</v>
      </c>
      <c r="F563" s="161" t="s">
        <v>170</v>
      </c>
      <c r="G563" s="162">
        <v>0</v>
      </c>
      <c r="H563" s="162" t="s">
        <v>666</v>
      </c>
      <c r="I563" s="161"/>
      <c r="J563" s="161" t="s">
        <v>25</v>
      </c>
      <c r="K563" s="163"/>
      <c r="L563" s="163"/>
      <c r="M563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563" s="163"/>
      <c r="O563" s="170"/>
      <c r="P563" s="142"/>
      <c r="Q563" s="142" t="s">
        <v>185</v>
      </c>
      <c r="R563" s="161"/>
      <c r="S563" s="168" t="s">
        <v>427</v>
      </c>
    </row>
    <row r="564" spans="1:19" outlineLevel="1">
      <c r="A564" s="171" t="s">
        <v>640</v>
      </c>
      <c r="B564" s="168" t="s">
        <v>184</v>
      </c>
      <c r="C564" s="168" t="s">
        <v>585</v>
      </c>
      <c r="D564" s="161" t="s">
        <v>30</v>
      </c>
      <c r="E564" s="161" t="s">
        <v>33</v>
      </c>
      <c r="F564" s="161" t="s">
        <v>170</v>
      </c>
      <c r="G564" s="162">
        <v>0</v>
      </c>
      <c r="H564" s="162" t="s">
        <v>666</v>
      </c>
      <c r="I564" s="161"/>
      <c r="J564" s="161" t="s">
        <v>25</v>
      </c>
      <c r="K564" s="163"/>
      <c r="L564" s="163"/>
      <c r="M564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564" s="163"/>
      <c r="O564" s="170"/>
      <c r="P564" s="142"/>
      <c r="Q564" s="142" t="s">
        <v>185</v>
      </c>
      <c r="R564" s="161"/>
      <c r="S564" s="168" t="s">
        <v>427</v>
      </c>
    </row>
    <row r="565" spans="1:19">
      <c r="A565" s="126" t="s">
        <v>642</v>
      </c>
      <c r="B565" s="46" t="s">
        <v>184</v>
      </c>
      <c r="C565" s="165" t="s">
        <v>586</v>
      </c>
      <c r="D565" s="158" t="s">
        <v>18</v>
      </c>
      <c r="E565" s="158" t="s">
        <v>58</v>
      </c>
      <c r="F565" s="158" t="s">
        <v>170</v>
      </c>
      <c r="G565" s="156">
        <v>0.25</v>
      </c>
      <c r="H565" s="156" t="s">
        <v>666</v>
      </c>
      <c r="I565" s="159"/>
      <c r="J565" s="159" t="s">
        <v>25</v>
      </c>
      <c r="K565" s="166">
        <v>45946</v>
      </c>
      <c r="L565" s="160">
        <v>46142</v>
      </c>
      <c r="M565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141</v>
      </c>
      <c r="N565" s="160"/>
      <c r="O565" s="167"/>
      <c r="P565" s="143"/>
      <c r="Q565" s="158" t="s">
        <v>185</v>
      </c>
      <c r="R565" s="158"/>
      <c r="S565" s="165" t="s">
        <v>584</v>
      </c>
    </row>
    <row r="566" spans="1:19" outlineLevel="1">
      <c r="A566" s="171" t="s">
        <v>640</v>
      </c>
      <c r="B566" s="168" t="s">
        <v>184</v>
      </c>
      <c r="C566" s="168" t="s">
        <v>587</v>
      </c>
      <c r="D566" s="161" t="s">
        <v>22</v>
      </c>
      <c r="E566" s="161" t="s">
        <v>58</v>
      </c>
      <c r="F566" s="161" t="s">
        <v>170</v>
      </c>
      <c r="G566" s="162">
        <v>0.25</v>
      </c>
      <c r="H566" s="162" t="s">
        <v>666</v>
      </c>
      <c r="I566" s="161"/>
      <c r="J566" s="161" t="s">
        <v>25</v>
      </c>
      <c r="K566" s="163">
        <v>45946</v>
      </c>
      <c r="L566" s="163">
        <v>46142</v>
      </c>
      <c r="M566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141</v>
      </c>
      <c r="N566" s="163"/>
      <c r="O566" s="170" t="s">
        <v>26</v>
      </c>
      <c r="P566" s="161" t="s">
        <v>26</v>
      </c>
      <c r="Q566" s="161" t="s">
        <v>185</v>
      </c>
      <c r="R566" s="161"/>
      <c r="S566" s="168" t="s">
        <v>585</v>
      </c>
    </row>
    <row r="567" spans="1:19" outlineLevel="1">
      <c r="A567" s="171" t="s">
        <v>640</v>
      </c>
      <c r="B567" s="168" t="s">
        <v>184</v>
      </c>
      <c r="C567" s="168" t="s">
        <v>587</v>
      </c>
      <c r="D567" s="161" t="s">
        <v>28</v>
      </c>
      <c r="E567" s="161" t="s">
        <v>58</v>
      </c>
      <c r="F567" s="161" t="s">
        <v>170</v>
      </c>
      <c r="G567" s="162">
        <v>0</v>
      </c>
      <c r="H567" s="162" t="s">
        <v>666</v>
      </c>
      <c r="I567" s="161"/>
      <c r="J567" s="161" t="s">
        <v>25</v>
      </c>
      <c r="K567" s="163"/>
      <c r="L567" s="164"/>
      <c r="M567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567" s="163"/>
      <c r="O567" s="170"/>
      <c r="P567" s="142"/>
      <c r="Q567" s="161" t="s">
        <v>185</v>
      </c>
      <c r="R567" s="161"/>
      <c r="S567" s="168" t="s">
        <v>585</v>
      </c>
    </row>
    <row r="568" spans="1:19" outlineLevel="1">
      <c r="A568" s="171" t="s">
        <v>640</v>
      </c>
      <c r="B568" s="168" t="s">
        <v>184</v>
      </c>
      <c r="C568" s="168" t="s">
        <v>587</v>
      </c>
      <c r="D568" s="161" t="s">
        <v>29</v>
      </c>
      <c r="E568" s="161" t="s">
        <v>58</v>
      </c>
      <c r="F568" s="161" t="s">
        <v>170</v>
      </c>
      <c r="G568" s="162">
        <v>0</v>
      </c>
      <c r="H568" s="162" t="s">
        <v>666</v>
      </c>
      <c r="I568" s="161"/>
      <c r="J568" s="161" t="s">
        <v>25</v>
      </c>
      <c r="K568" s="163"/>
      <c r="L568" s="163"/>
      <c r="M568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568" s="163"/>
      <c r="O568" s="170"/>
      <c r="P568" s="142"/>
      <c r="Q568" s="142" t="s">
        <v>185</v>
      </c>
      <c r="R568" s="161"/>
      <c r="S568" s="168" t="s">
        <v>585</v>
      </c>
    </row>
    <row r="569" spans="1:19" outlineLevel="1">
      <c r="A569" s="171" t="s">
        <v>640</v>
      </c>
      <c r="B569" s="168" t="s">
        <v>184</v>
      </c>
      <c r="C569" s="168" t="s">
        <v>587</v>
      </c>
      <c r="D569" s="161" t="s">
        <v>30</v>
      </c>
      <c r="E569" s="161" t="s">
        <v>58</v>
      </c>
      <c r="F569" s="161" t="s">
        <v>170</v>
      </c>
      <c r="G569" s="162">
        <v>0</v>
      </c>
      <c r="H569" s="162" t="s">
        <v>666</v>
      </c>
      <c r="I569" s="161"/>
      <c r="J569" s="161" t="s">
        <v>25</v>
      </c>
      <c r="K569" s="163"/>
      <c r="L569" s="163"/>
      <c r="M569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569" s="163"/>
      <c r="O569" s="170"/>
      <c r="P569" s="142"/>
      <c r="Q569" s="142" t="s">
        <v>185</v>
      </c>
      <c r="R569" s="161"/>
      <c r="S569" s="168" t="s">
        <v>585</v>
      </c>
    </row>
    <row r="570" spans="1:19">
      <c r="A570" s="126" t="s">
        <v>642</v>
      </c>
      <c r="B570" s="46" t="s">
        <v>184</v>
      </c>
      <c r="C570" s="165" t="s">
        <v>588</v>
      </c>
      <c r="D570" s="158" t="s">
        <v>18</v>
      </c>
      <c r="E570" s="158" t="s">
        <v>58</v>
      </c>
      <c r="F570" s="158" t="s">
        <v>170</v>
      </c>
      <c r="G570" s="156">
        <v>0.5</v>
      </c>
      <c r="H570" s="156" t="s">
        <v>666</v>
      </c>
      <c r="I570" s="159"/>
      <c r="J570" s="159" t="s">
        <v>25</v>
      </c>
      <c r="K570" s="166">
        <v>45946</v>
      </c>
      <c r="L570" s="160">
        <v>46142</v>
      </c>
      <c r="M570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141</v>
      </c>
      <c r="N570" s="160"/>
      <c r="O570" s="167"/>
      <c r="P570" s="143"/>
      <c r="Q570" s="158" t="s">
        <v>185</v>
      </c>
      <c r="R570" s="158"/>
      <c r="S570" s="165" t="s">
        <v>584</v>
      </c>
    </row>
    <row r="571" spans="1:19" outlineLevel="1">
      <c r="A571" s="171" t="s">
        <v>640</v>
      </c>
      <c r="B571" s="168" t="s">
        <v>184</v>
      </c>
      <c r="C571" s="168" t="s">
        <v>589</v>
      </c>
      <c r="D571" s="161" t="s">
        <v>22</v>
      </c>
      <c r="E571" s="161" t="s">
        <v>58</v>
      </c>
      <c r="F571" s="161" t="s">
        <v>170</v>
      </c>
      <c r="G571" s="162">
        <v>0.5</v>
      </c>
      <c r="H571" s="162" t="s">
        <v>666</v>
      </c>
      <c r="I571" s="161"/>
      <c r="J571" s="161" t="s">
        <v>25</v>
      </c>
      <c r="K571" s="163">
        <v>45946</v>
      </c>
      <c r="L571" s="163">
        <v>46142</v>
      </c>
      <c r="M571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141</v>
      </c>
      <c r="N571" s="163"/>
      <c r="O571" s="170" t="s">
        <v>26</v>
      </c>
      <c r="P571" s="161" t="s">
        <v>26</v>
      </c>
      <c r="Q571" s="161" t="s">
        <v>185</v>
      </c>
      <c r="R571" s="161"/>
      <c r="S571" s="168" t="s">
        <v>585</v>
      </c>
    </row>
    <row r="572" spans="1:19" outlineLevel="1">
      <c r="A572" s="171" t="s">
        <v>640</v>
      </c>
      <c r="B572" s="168" t="s">
        <v>184</v>
      </c>
      <c r="C572" s="168" t="s">
        <v>589</v>
      </c>
      <c r="D572" s="161" t="s">
        <v>28</v>
      </c>
      <c r="E572" s="161" t="s">
        <v>58</v>
      </c>
      <c r="F572" s="161" t="s">
        <v>170</v>
      </c>
      <c r="G572" s="162">
        <v>0</v>
      </c>
      <c r="H572" s="162" t="s">
        <v>666</v>
      </c>
      <c r="I572" s="161"/>
      <c r="J572" s="161" t="s">
        <v>25</v>
      </c>
      <c r="K572" s="163"/>
      <c r="L572" s="164"/>
      <c r="M572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572" s="163"/>
      <c r="O572" s="170"/>
      <c r="P572" s="142"/>
      <c r="Q572" s="161" t="s">
        <v>185</v>
      </c>
      <c r="R572" s="161"/>
      <c r="S572" s="168" t="s">
        <v>585</v>
      </c>
    </row>
    <row r="573" spans="1:19" outlineLevel="1">
      <c r="A573" s="171" t="s">
        <v>640</v>
      </c>
      <c r="B573" s="168" t="s">
        <v>184</v>
      </c>
      <c r="C573" s="168" t="s">
        <v>589</v>
      </c>
      <c r="D573" s="161" t="s">
        <v>29</v>
      </c>
      <c r="E573" s="161" t="s">
        <v>58</v>
      </c>
      <c r="F573" s="161" t="s">
        <v>170</v>
      </c>
      <c r="G573" s="162">
        <v>0</v>
      </c>
      <c r="H573" s="162" t="s">
        <v>666</v>
      </c>
      <c r="I573" s="161"/>
      <c r="J573" s="161" t="s">
        <v>25</v>
      </c>
      <c r="K573" s="163"/>
      <c r="L573" s="163"/>
      <c r="M573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573" s="163"/>
      <c r="O573" s="170"/>
      <c r="P573" s="142"/>
      <c r="Q573" s="142" t="s">
        <v>185</v>
      </c>
      <c r="R573" s="161"/>
      <c r="S573" s="168" t="s">
        <v>585</v>
      </c>
    </row>
    <row r="574" spans="1:19" outlineLevel="1">
      <c r="A574" s="171" t="s">
        <v>640</v>
      </c>
      <c r="B574" s="168" t="s">
        <v>184</v>
      </c>
      <c r="C574" s="168" t="s">
        <v>589</v>
      </c>
      <c r="D574" s="161" t="s">
        <v>30</v>
      </c>
      <c r="E574" s="161" t="s">
        <v>58</v>
      </c>
      <c r="F574" s="161" t="s">
        <v>170</v>
      </c>
      <c r="G574" s="162">
        <v>0</v>
      </c>
      <c r="H574" s="162" t="s">
        <v>666</v>
      </c>
      <c r="I574" s="161"/>
      <c r="J574" s="161" t="s">
        <v>25</v>
      </c>
      <c r="K574" s="163"/>
      <c r="L574" s="163"/>
      <c r="M574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574" s="163"/>
      <c r="O574" s="170"/>
      <c r="P574" s="142"/>
      <c r="Q574" s="142" t="s">
        <v>185</v>
      </c>
      <c r="R574" s="161"/>
      <c r="S574" s="168" t="s">
        <v>585</v>
      </c>
    </row>
    <row r="575" spans="1:19">
      <c r="A575" s="126" t="s">
        <v>642</v>
      </c>
      <c r="B575" s="46" t="s">
        <v>184</v>
      </c>
      <c r="C575" s="165" t="s">
        <v>590</v>
      </c>
      <c r="D575" s="158" t="s">
        <v>18</v>
      </c>
      <c r="E575" s="158" t="s">
        <v>33</v>
      </c>
      <c r="F575" s="158" t="s">
        <v>170</v>
      </c>
      <c r="G575" s="156">
        <v>0.11</v>
      </c>
      <c r="H575" s="156" t="s">
        <v>666</v>
      </c>
      <c r="I575" s="159" t="s">
        <v>186</v>
      </c>
      <c r="J575" s="159" t="s">
        <v>25</v>
      </c>
      <c r="K575" s="166">
        <v>45931</v>
      </c>
      <c r="L575" s="160">
        <v>46568</v>
      </c>
      <c r="M575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456</v>
      </c>
      <c r="N575" s="160"/>
      <c r="O575" s="167"/>
      <c r="P575" s="143"/>
      <c r="Q575" s="158" t="s">
        <v>185</v>
      </c>
      <c r="R575" s="158"/>
      <c r="S575" s="165" t="s">
        <v>426</v>
      </c>
    </row>
    <row r="576" spans="1:19" outlineLevel="1">
      <c r="A576" s="171" t="s">
        <v>640</v>
      </c>
      <c r="B576" s="168" t="s">
        <v>184</v>
      </c>
      <c r="C576" s="168" t="s">
        <v>591</v>
      </c>
      <c r="D576" s="161" t="s">
        <v>22</v>
      </c>
      <c r="E576" s="161" t="s">
        <v>33</v>
      </c>
      <c r="F576" s="161" t="s">
        <v>170</v>
      </c>
      <c r="G576" s="162">
        <v>0.25</v>
      </c>
      <c r="H576" s="162" t="s">
        <v>666</v>
      </c>
      <c r="I576" s="161" t="s">
        <v>186</v>
      </c>
      <c r="J576" s="161" t="s">
        <v>25</v>
      </c>
      <c r="K576" s="163">
        <v>45931</v>
      </c>
      <c r="L576" s="163"/>
      <c r="M576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576" s="163"/>
      <c r="O576" s="170"/>
      <c r="P576" s="161"/>
      <c r="Q576" s="161" t="s">
        <v>185</v>
      </c>
      <c r="R576" s="161"/>
      <c r="S576" s="168" t="s">
        <v>427</v>
      </c>
    </row>
    <row r="577" spans="1:19" outlineLevel="1">
      <c r="A577" s="171" t="s">
        <v>640</v>
      </c>
      <c r="B577" s="168" t="s">
        <v>184</v>
      </c>
      <c r="C577" s="168" t="s">
        <v>591</v>
      </c>
      <c r="D577" s="161" t="s">
        <v>28</v>
      </c>
      <c r="E577" s="161" t="s">
        <v>33</v>
      </c>
      <c r="F577" s="161" t="s">
        <v>170</v>
      </c>
      <c r="G577" s="162">
        <v>0</v>
      </c>
      <c r="H577" s="162" t="s">
        <v>666</v>
      </c>
      <c r="I577" s="161" t="s">
        <v>186</v>
      </c>
      <c r="J577" s="161" t="s">
        <v>25</v>
      </c>
      <c r="K577" s="163"/>
      <c r="L577" s="164"/>
      <c r="M577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577" s="163"/>
      <c r="O577" s="170"/>
      <c r="P577" s="142"/>
      <c r="Q577" s="161" t="s">
        <v>185</v>
      </c>
      <c r="R577" s="161"/>
      <c r="S577" s="168" t="s">
        <v>427</v>
      </c>
    </row>
    <row r="578" spans="1:19" outlineLevel="1">
      <c r="A578" s="171" t="s">
        <v>640</v>
      </c>
      <c r="B578" s="168" t="s">
        <v>184</v>
      </c>
      <c r="C578" s="168" t="s">
        <v>591</v>
      </c>
      <c r="D578" s="161" t="s">
        <v>29</v>
      </c>
      <c r="E578" s="161" t="s">
        <v>33</v>
      </c>
      <c r="F578" s="161" t="s">
        <v>170</v>
      </c>
      <c r="G578" s="162">
        <v>0</v>
      </c>
      <c r="H578" s="162" t="s">
        <v>666</v>
      </c>
      <c r="I578" s="161" t="s">
        <v>186</v>
      </c>
      <c r="J578" s="161" t="s">
        <v>25</v>
      </c>
      <c r="K578" s="163"/>
      <c r="L578" s="163"/>
      <c r="M578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578" s="163"/>
      <c r="O578" s="170"/>
      <c r="P578" s="142"/>
      <c r="Q578" s="142" t="s">
        <v>185</v>
      </c>
      <c r="R578" s="161"/>
      <c r="S578" s="168" t="s">
        <v>427</v>
      </c>
    </row>
    <row r="579" spans="1:19" outlineLevel="1">
      <c r="A579" s="171" t="s">
        <v>640</v>
      </c>
      <c r="B579" s="168" t="s">
        <v>184</v>
      </c>
      <c r="C579" s="168" t="s">
        <v>591</v>
      </c>
      <c r="D579" s="161" t="s">
        <v>30</v>
      </c>
      <c r="E579" s="161" t="s">
        <v>33</v>
      </c>
      <c r="F579" s="161" t="s">
        <v>170</v>
      </c>
      <c r="G579" s="162">
        <v>0</v>
      </c>
      <c r="H579" s="162" t="s">
        <v>666</v>
      </c>
      <c r="I579" s="161" t="s">
        <v>186</v>
      </c>
      <c r="J579" s="161" t="s">
        <v>25</v>
      </c>
      <c r="K579" s="163"/>
      <c r="L579" s="163"/>
      <c r="M579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579" s="163"/>
      <c r="O579" s="170"/>
      <c r="P579" s="142"/>
      <c r="Q579" s="142" t="s">
        <v>185</v>
      </c>
      <c r="R579" s="161"/>
      <c r="S579" s="168" t="s">
        <v>427</v>
      </c>
    </row>
    <row r="580" spans="1:19">
      <c r="A580" s="126" t="s">
        <v>642</v>
      </c>
      <c r="B580" s="165" t="s">
        <v>184</v>
      </c>
      <c r="C580" s="165" t="s">
        <v>592</v>
      </c>
      <c r="D580" s="158"/>
      <c r="E580" s="158" t="s">
        <v>58</v>
      </c>
      <c r="F580" s="158" t="s">
        <v>170</v>
      </c>
      <c r="G580" s="156">
        <v>0.5</v>
      </c>
      <c r="H580" s="156" t="s">
        <v>666</v>
      </c>
      <c r="I580" s="159" t="s">
        <v>186</v>
      </c>
      <c r="J580" s="159" t="s">
        <v>25</v>
      </c>
      <c r="K580" s="166">
        <v>45931</v>
      </c>
      <c r="L580" s="160">
        <v>46142</v>
      </c>
      <c r="M580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152</v>
      </c>
      <c r="N580" s="160"/>
      <c r="O580" s="167"/>
      <c r="P580" s="143"/>
      <c r="Q580" s="158" t="s">
        <v>185</v>
      </c>
      <c r="R580" s="158"/>
      <c r="S580" s="165" t="s">
        <v>590</v>
      </c>
    </row>
    <row r="581" spans="1:19" outlineLevel="1">
      <c r="A581" s="171" t="s">
        <v>640</v>
      </c>
      <c r="B581" s="168" t="s">
        <v>184</v>
      </c>
      <c r="C581" s="168" t="s">
        <v>593</v>
      </c>
      <c r="D581" s="161" t="s">
        <v>22</v>
      </c>
      <c r="E581" s="161" t="s">
        <v>58</v>
      </c>
      <c r="F581" s="161" t="s">
        <v>170</v>
      </c>
      <c r="G581" s="162">
        <v>0.5</v>
      </c>
      <c r="H581" s="162" t="s">
        <v>666</v>
      </c>
      <c r="I581" s="161" t="s">
        <v>186</v>
      </c>
      <c r="J581" s="161" t="s">
        <v>25</v>
      </c>
      <c r="K581" s="163">
        <v>45931</v>
      </c>
      <c r="L581" s="163">
        <v>46142</v>
      </c>
      <c r="M581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152</v>
      </c>
      <c r="N581" s="163"/>
      <c r="O581" s="170" t="s">
        <v>26</v>
      </c>
      <c r="P581" s="161" t="s">
        <v>26</v>
      </c>
      <c r="Q581" s="161" t="s">
        <v>185</v>
      </c>
      <c r="R581" s="161"/>
      <c r="S581" s="168" t="s">
        <v>591</v>
      </c>
    </row>
    <row r="582" spans="1:19" outlineLevel="1">
      <c r="A582" s="171" t="s">
        <v>640</v>
      </c>
      <c r="B582" s="168" t="s">
        <v>184</v>
      </c>
      <c r="C582" s="168" t="s">
        <v>593</v>
      </c>
      <c r="D582" s="161" t="s">
        <v>28</v>
      </c>
      <c r="E582" s="161" t="s">
        <v>58</v>
      </c>
      <c r="F582" s="161" t="s">
        <v>170</v>
      </c>
      <c r="G582" s="162">
        <v>0</v>
      </c>
      <c r="H582" s="162" t="s">
        <v>666</v>
      </c>
      <c r="I582" s="161" t="s">
        <v>186</v>
      </c>
      <c r="J582" s="161" t="s">
        <v>25</v>
      </c>
      <c r="K582" s="163"/>
      <c r="L582" s="164"/>
      <c r="M582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582" s="163"/>
      <c r="O582" s="170"/>
      <c r="P582" s="142"/>
      <c r="Q582" s="161" t="s">
        <v>185</v>
      </c>
      <c r="R582" s="161"/>
      <c r="S582" s="168" t="s">
        <v>591</v>
      </c>
    </row>
    <row r="583" spans="1:19" outlineLevel="1">
      <c r="A583" s="171" t="s">
        <v>640</v>
      </c>
      <c r="B583" s="168" t="s">
        <v>184</v>
      </c>
      <c r="C583" s="168" t="s">
        <v>593</v>
      </c>
      <c r="D583" s="161" t="s">
        <v>29</v>
      </c>
      <c r="E583" s="161" t="s">
        <v>58</v>
      </c>
      <c r="F583" s="161" t="s">
        <v>170</v>
      </c>
      <c r="G583" s="162">
        <v>0</v>
      </c>
      <c r="H583" s="162" t="s">
        <v>666</v>
      </c>
      <c r="I583" s="161" t="s">
        <v>186</v>
      </c>
      <c r="J583" s="161" t="s">
        <v>25</v>
      </c>
      <c r="K583" s="163"/>
      <c r="L583" s="163"/>
      <c r="M583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583" s="163"/>
      <c r="O583" s="170"/>
      <c r="P583" s="142"/>
      <c r="Q583" s="142" t="s">
        <v>185</v>
      </c>
      <c r="R583" s="161"/>
      <c r="S583" s="168" t="s">
        <v>591</v>
      </c>
    </row>
    <row r="584" spans="1:19" outlineLevel="1">
      <c r="A584" s="171" t="s">
        <v>640</v>
      </c>
      <c r="B584" s="168" t="s">
        <v>184</v>
      </c>
      <c r="C584" s="168" t="s">
        <v>593</v>
      </c>
      <c r="D584" s="161" t="s">
        <v>30</v>
      </c>
      <c r="E584" s="161" t="s">
        <v>58</v>
      </c>
      <c r="F584" s="161" t="s">
        <v>170</v>
      </c>
      <c r="G584" s="162">
        <v>0</v>
      </c>
      <c r="H584" s="162" t="s">
        <v>666</v>
      </c>
      <c r="I584" s="161" t="s">
        <v>186</v>
      </c>
      <c r="J584" s="161" t="s">
        <v>25</v>
      </c>
      <c r="K584" s="163"/>
      <c r="L584" s="163"/>
      <c r="M584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584" s="163"/>
      <c r="O584" s="170"/>
      <c r="P584" s="142"/>
      <c r="Q584" s="142" t="s">
        <v>185</v>
      </c>
      <c r="R584" s="161"/>
      <c r="S584" s="168" t="s">
        <v>591</v>
      </c>
    </row>
    <row r="585" spans="1:19">
      <c r="A585" s="126" t="s">
        <v>642</v>
      </c>
      <c r="B585" s="46" t="s">
        <v>184</v>
      </c>
      <c r="C585" s="165" t="s">
        <v>594</v>
      </c>
      <c r="D585" s="158" t="s">
        <v>18</v>
      </c>
      <c r="E585" s="158" t="s">
        <v>58</v>
      </c>
      <c r="F585" s="158" t="s">
        <v>170</v>
      </c>
      <c r="G585" s="156">
        <v>0</v>
      </c>
      <c r="H585" s="156" t="s">
        <v>666</v>
      </c>
      <c r="I585" s="159" t="s">
        <v>186</v>
      </c>
      <c r="J585" s="159" t="s">
        <v>25</v>
      </c>
      <c r="K585" s="166">
        <v>46113</v>
      </c>
      <c r="L585" s="160">
        <v>46388</v>
      </c>
      <c r="M585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198</v>
      </c>
      <c r="N585" s="160"/>
      <c r="O585" s="167"/>
      <c r="P585" s="143"/>
      <c r="Q585" s="158" t="s">
        <v>185</v>
      </c>
      <c r="R585" s="158"/>
      <c r="S585" s="165" t="s">
        <v>590</v>
      </c>
    </row>
    <row r="586" spans="1:19" outlineLevel="1">
      <c r="A586" s="171" t="s">
        <v>640</v>
      </c>
      <c r="B586" s="168" t="s">
        <v>184</v>
      </c>
      <c r="C586" s="168" t="s">
        <v>595</v>
      </c>
      <c r="D586" s="161" t="s">
        <v>22</v>
      </c>
      <c r="E586" s="161" t="s">
        <v>58</v>
      </c>
      <c r="F586" s="161" t="s">
        <v>170</v>
      </c>
      <c r="G586" s="162">
        <v>0</v>
      </c>
      <c r="H586" s="162" t="s">
        <v>666</v>
      </c>
      <c r="I586" s="161" t="s">
        <v>186</v>
      </c>
      <c r="J586" s="161" t="s">
        <v>25</v>
      </c>
      <c r="K586" s="163">
        <v>46113</v>
      </c>
      <c r="L586" s="163">
        <v>46388</v>
      </c>
      <c r="M586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198</v>
      </c>
      <c r="N586" s="163"/>
      <c r="O586" s="170" t="s">
        <v>43</v>
      </c>
      <c r="P586" s="161" t="s">
        <v>26</v>
      </c>
      <c r="Q586" s="161" t="s">
        <v>185</v>
      </c>
      <c r="R586" s="161"/>
      <c r="S586" s="168" t="s">
        <v>591</v>
      </c>
    </row>
    <row r="587" spans="1:19" outlineLevel="1">
      <c r="A587" s="171" t="s">
        <v>640</v>
      </c>
      <c r="B587" s="168" t="s">
        <v>184</v>
      </c>
      <c r="C587" s="168" t="s">
        <v>595</v>
      </c>
      <c r="D587" s="161" t="s">
        <v>28</v>
      </c>
      <c r="E587" s="161" t="s">
        <v>58</v>
      </c>
      <c r="F587" s="161" t="s">
        <v>170</v>
      </c>
      <c r="G587" s="162">
        <v>0</v>
      </c>
      <c r="H587" s="162" t="s">
        <v>666</v>
      </c>
      <c r="I587" s="161" t="s">
        <v>186</v>
      </c>
      <c r="J587" s="161" t="s">
        <v>25</v>
      </c>
      <c r="K587" s="163"/>
      <c r="L587" s="164"/>
      <c r="M587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587" s="163"/>
      <c r="O587" s="170"/>
      <c r="P587" s="142"/>
      <c r="Q587" s="161" t="s">
        <v>185</v>
      </c>
      <c r="R587" s="161"/>
      <c r="S587" s="168" t="s">
        <v>591</v>
      </c>
    </row>
    <row r="588" spans="1:19" outlineLevel="1">
      <c r="A588" s="171" t="s">
        <v>640</v>
      </c>
      <c r="B588" s="168" t="s">
        <v>184</v>
      </c>
      <c r="C588" s="168" t="s">
        <v>595</v>
      </c>
      <c r="D588" s="161" t="s">
        <v>29</v>
      </c>
      <c r="E588" s="161" t="s">
        <v>58</v>
      </c>
      <c r="F588" s="161" t="s">
        <v>170</v>
      </c>
      <c r="G588" s="162">
        <v>0</v>
      </c>
      <c r="H588" s="162" t="s">
        <v>666</v>
      </c>
      <c r="I588" s="161" t="s">
        <v>186</v>
      </c>
      <c r="J588" s="161" t="s">
        <v>25</v>
      </c>
      <c r="K588" s="163"/>
      <c r="L588" s="163"/>
      <c r="M588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588" s="163"/>
      <c r="O588" s="170"/>
      <c r="P588" s="142"/>
      <c r="Q588" s="142" t="s">
        <v>185</v>
      </c>
      <c r="R588" s="161"/>
      <c r="S588" s="168" t="s">
        <v>591</v>
      </c>
    </row>
    <row r="589" spans="1:19" outlineLevel="1">
      <c r="A589" s="171" t="s">
        <v>640</v>
      </c>
      <c r="B589" s="168" t="s">
        <v>184</v>
      </c>
      <c r="C589" s="168" t="s">
        <v>595</v>
      </c>
      <c r="D589" s="161" t="s">
        <v>30</v>
      </c>
      <c r="E589" s="161" t="s">
        <v>58</v>
      </c>
      <c r="F589" s="161" t="s">
        <v>170</v>
      </c>
      <c r="G589" s="162">
        <v>0</v>
      </c>
      <c r="H589" s="162" t="s">
        <v>666</v>
      </c>
      <c r="I589" s="161" t="s">
        <v>186</v>
      </c>
      <c r="J589" s="161" t="s">
        <v>25</v>
      </c>
      <c r="K589" s="163"/>
      <c r="L589" s="163"/>
      <c r="M589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589" s="163"/>
      <c r="O589" s="170"/>
      <c r="P589" s="142"/>
      <c r="Q589" s="142" t="s">
        <v>185</v>
      </c>
      <c r="R589" s="161"/>
      <c r="S589" s="168" t="s">
        <v>591</v>
      </c>
    </row>
    <row r="590" spans="1:19">
      <c r="A590" s="126" t="s">
        <v>642</v>
      </c>
      <c r="B590" s="46" t="s">
        <v>184</v>
      </c>
      <c r="C590" s="165" t="s">
        <v>596</v>
      </c>
      <c r="D590" s="158" t="s">
        <v>18</v>
      </c>
      <c r="E590" s="158" t="s">
        <v>58</v>
      </c>
      <c r="F590" s="158" t="s">
        <v>170</v>
      </c>
      <c r="G590" s="156">
        <v>0</v>
      </c>
      <c r="H590" s="156" t="s">
        <v>666</v>
      </c>
      <c r="I590" s="159" t="s">
        <v>186</v>
      </c>
      <c r="J590" s="159" t="s">
        <v>25</v>
      </c>
      <c r="K590" s="166">
        <v>45946</v>
      </c>
      <c r="L590" s="160">
        <v>45946</v>
      </c>
      <c r="M590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0</v>
      </c>
      <c r="N590" s="160"/>
      <c r="O590" s="167"/>
      <c r="P590" s="143"/>
      <c r="Q590" s="158" t="s">
        <v>185</v>
      </c>
      <c r="R590" s="158"/>
      <c r="S590" s="165" t="s">
        <v>590</v>
      </c>
    </row>
    <row r="591" spans="1:19" outlineLevel="1">
      <c r="A591" s="171" t="s">
        <v>640</v>
      </c>
      <c r="B591" s="168" t="s">
        <v>184</v>
      </c>
      <c r="C591" s="168" t="s">
        <v>597</v>
      </c>
      <c r="D591" s="161" t="s">
        <v>22</v>
      </c>
      <c r="E591" s="161" t="s">
        <v>58</v>
      </c>
      <c r="F591" s="161" t="s">
        <v>170</v>
      </c>
      <c r="G591" s="162">
        <v>0</v>
      </c>
      <c r="H591" s="162" t="s">
        <v>666</v>
      </c>
      <c r="I591" s="161" t="s">
        <v>186</v>
      </c>
      <c r="J591" s="161" t="s">
        <v>25</v>
      </c>
      <c r="K591" s="163"/>
      <c r="L591" s="163"/>
      <c r="M591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591" s="163"/>
      <c r="O591" s="170"/>
      <c r="P591" s="161"/>
      <c r="Q591" s="161" t="s">
        <v>185</v>
      </c>
      <c r="R591" s="161"/>
      <c r="S591" s="168" t="s">
        <v>591</v>
      </c>
    </row>
    <row r="592" spans="1:19" outlineLevel="1">
      <c r="A592" s="171" t="s">
        <v>640</v>
      </c>
      <c r="B592" s="168" t="s">
        <v>184</v>
      </c>
      <c r="C592" s="168" t="s">
        <v>597</v>
      </c>
      <c r="D592" s="161" t="s">
        <v>28</v>
      </c>
      <c r="E592" s="161" t="s">
        <v>58</v>
      </c>
      <c r="F592" s="161" t="s">
        <v>170</v>
      </c>
      <c r="G592" s="162">
        <v>0</v>
      </c>
      <c r="H592" s="162" t="s">
        <v>666</v>
      </c>
      <c r="I592" s="161" t="s">
        <v>186</v>
      </c>
      <c r="J592" s="161" t="s">
        <v>25</v>
      </c>
      <c r="K592" s="163"/>
      <c r="L592" s="164"/>
      <c r="M592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592" s="163"/>
      <c r="O592" s="170"/>
      <c r="P592" s="142"/>
      <c r="Q592" s="161" t="s">
        <v>185</v>
      </c>
      <c r="R592" s="161"/>
      <c r="S592" s="168" t="s">
        <v>591</v>
      </c>
    </row>
    <row r="593" spans="1:19" outlineLevel="1">
      <c r="A593" s="171" t="s">
        <v>640</v>
      </c>
      <c r="B593" s="168" t="s">
        <v>184</v>
      </c>
      <c r="C593" s="168" t="s">
        <v>597</v>
      </c>
      <c r="D593" s="161" t="s">
        <v>29</v>
      </c>
      <c r="E593" s="161" t="s">
        <v>58</v>
      </c>
      <c r="F593" s="161" t="s">
        <v>170</v>
      </c>
      <c r="G593" s="162">
        <v>0</v>
      </c>
      <c r="H593" s="162" t="s">
        <v>666</v>
      </c>
      <c r="I593" s="161" t="s">
        <v>186</v>
      </c>
      <c r="J593" s="161" t="s">
        <v>25</v>
      </c>
      <c r="K593" s="163"/>
      <c r="L593" s="163"/>
      <c r="M593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593" s="163"/>
      <c r="O593" s="170"/>
      <c r="P593" s="142"/>
      <c r="Q593" s="142" t="s">
        <v>185</v>
      </c>
      <c r="R593" s="161"/>
      <c r="S593" s="168" t="s">
        <v>591</v>
      </c>
    </row>
    <row r="594" spans="1:19" outlineLevel="1">
      <c r="A594" s="171" t="s">
        <v>640</v>
      </c>
      <c r="B594" s="168" t="s">
        <v>184</v>
      </c>
      <c r="C594" s="168" t="s">
        <v>597</v>
      </c>
      <c r="D594" s="161" t="s">
        <v>30</v>
      </c>
      <c r="E594" s="161" t="s">
        <v>58</v>
      </c>
      <c r="F594" s="161" t="s">
        <v>170</v>
      </c>
      <c r="G594" s="162">
        <v>0</v>
      </c>
      <c r="H594" s="162" t="s">
        <v>666</v>
      </c>
      <c r="I594" s="161" t="s">
        <v>186</v>
      </c>
      <c r="J594" s="161" t="s">
        <v>25</v>
      </c>
      <c r="K594" s="163"/>
      <c r="L594" s="163"/>
      <c r="M594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594" s="163"/>
      <c r="O594" s="170"/>
      <c r="P594" s="142"/>
      <c r="Q594" s="142" t="s">
        <v>185</v>
      </c>
      <c r="R594" s="161"/>
      <c r="S594" s="168" t="s">
        <v>591</v>
      </c>
    </row>
    <row r="595" spans="1:19">
      <c r="A595" s="126" t="s">
        <v>642</v>
      </c>
      <c r="B595" s="46" t="s">
        <v>184</v>
      </c>
      <c r="C595" s="165" t="s">
        <v>445</v>
      </c>
      <c r="D595" s="158" t="s">
        <v>18</v>
      </c>
      <c r="E595" s="158" t="s">
        <v>58</v>
      </c>
      <c r="F595" s="158" t="s">
        <v>170</v>
      </c>
      <c r="G595" s="156">
        <v>0</v>
      </c>
      <c r="H595" s="156" t="s">
        <v>666</v>
      </c>
      <c r="I595" s="159" t="s">
        <v>186</v>
      </c>
      <c r="J595" s="159" t="s">
        <v>25</v>
      </c>
      <c r="K595" s="166">
        <v>46023</v>
      </c>
      <c r="L595" s="160">
        <v>46568</v>
      </c>
      <c r="M595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390</v>
      </c>
      <c r="N595" s="160"/>
      <c r="O595" s="167"/>
      <c r="P595" s="143"/>
      <c r="Q595" s="158" t="s">
        <v>185</v>
      </c>
      <c r="R595" s="158"/>
      <c r="S595" s="165" t="s">
        <v>590</v>
      </c>
    </row>
    <row r="596" spans="1:19" outlineLevel="1">
      <c r="A596" s="171" t="s">
        <v>640</v>
      </c>
      <c r="B596" s="168" t="s">
        <v>184</v>
      </c>
      <c r="C596" s="168" t="s">
        <v>598</v>
      </c>
      <c r="D596" s="161" t="s">
        <v>22</v>
      </c>
      <c r="E596" s="161" t="s">
        <v>58</v>
      </c>
      <c r="F596" s="161" t="s">
        <v>170</v>
      </c>
      <c r="G596" s="162">
        <v>0</v>
      </c>
      <c r="H596" s="162" t="s">
        <v>666</v>
      </c>
      <c r="I596" s="161" t="s">
        <v>186</v>
      </c>
      <c r="J596" s="161" t="s">
        <v>25</v>
      </c>
      <c r="K596" s="163">
        <v>46023</v>
      </c>
      <c r="L596" s="163">
        <v>46387</v>
      </c>
      <c r="M596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261</v>
      </c>
      <c r="N596" s="163"/>
      <c r="O596" s="170" t="s">
        <v>43</v>
      </c>
      <c r="P596" s="161" t="s">
        <v>26</v>
      </c>
      <c r="Q596" s="161" t="s">
        <v>185</v>
      </c>
      <c r="R596" s="161" t="s">
        <v>634</v>
      </c>
      <c r="S596" s="168" t="s">
        <v>591</v>
      </c>
    </row>
    <row r="597" spans="1:19" outlineLevel="1">
      <c r="A597" s="171" t="s">
        <v>640</v>
      </c>
      <c r="B597" s="168" t="s">
        <v>184</v>
      </c>
      <c r="C597" s="168" t="s">
        <v>598</v>
      </c>
      <c r="D597" s="161" t="s">
        <v>28</v>
      </c>
      <c r="E597" s="161" t="s">
        <v>58</v>
      </c>
      <c r="F597" s="161" t="s">
        <v>170</v>
      </c>
      <c r="G597" s="162">
        <v>0</v>
      </c>
      <c r="H597" s="162" t="s">
        <v>666</v>
      </c>
      <c r="I597" s="161" t="s">
        <v>186</v>
      </c>
      <c r="J597" s="161" t="s">
        <v>25</v>
      </c>
      <c r="K597" s="163">
        <v>46388</v>
      </c>
      <c r="L597" s="164">
        <v>46568</v>
      </c>
      <c r="M597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129</v>
      </c>
      <c r="N597" s="163"/>
      <c r="O597" s="170"/>
      <c r="P597" s="142" t="s">
        <v>27</v>
      </c>
      <c r="Q597" s="161" t="s">
        <v>185</v>
      </c>
      <c r="R597" s="161"/>
      <c r="S597" s="168" t="s">
        <v>591</v>
      </c>
    </row>
    <row r="598" spans="1:19" outlineLevel="1">
      <c r="A598" s="171" t="s">
        <v>640</v>
      </c>
      <c r="B598" s="168" t="s">
        <v>184</v>
      </c>
      <c r="C598" s="168" t="s">
        <v>598</v>
      </c>
      <c r="D598" s="161" t="s">
        <v>29</v>
      </c>
      <c r="E598" s="161" t="s">
        <v>58</v>
      </c>
      <c r="F598" s="161" t="s">
        <v>170</v>
      </c>
      <c r="G598" s="162">
        <v>0</v>
      </c>
      <c r="H598" s="162" t="s">
        <v>666</v>
      </c>
      <c r="I598" s="161" t="s">
        <v>186</v>
      </c>
      <c r="J598" s="161" t="s">
        <v>25</v>
      </c>
      <c r="K598" s="163">
        <v>46388</v>
      </c>
      <c r="L598" s="163">
        <v>46568</v>
      </c>
      <c r="M598" s="161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129</v>
      </c>
      <c r="N598" s="163"/>
      <c r="O598" s="170"/>
      <c r="P598" s="142" t="s">
        <v>27</v>
      </c>
      <c r="Q598" s="142" t="s">
        <v>185</v>
      </c>
      <c r="R598" s="161"/>
      <c r="S598" s="168" t="s">
        <v>591</v>
      </c>
    </row>
    <row r="599" spans="1:19" outlineLevel="1">
      <c r="A599" s="171" t="s">
        <v>640</v>
      </c>
      <c r="B599" s="168" t="s">
        <v>184</v>
      </c>
      <c r="C599" s="168" t="s">
        <v>598</v>
      </c>
      <c r="D599" s="161" t="s">
        <v>30</v>
      </c>
      <c r="E599" s="161" t="s">
        <v>58</v>
      </c>
      <c r="F599" s="161" t="s">
        <v>170</v>
      </c>
      <c r="G599" s="162">
        <v>0</v>
      </c>
      <c r="H599" s="162" t="s">
        <v>666</v>
      </c>
      <c r="I599" s="161" t="s">
        <v>186</v>
      </c>
      <c r="J599" s="161" t="s">
        <v>25</v>
      </c>
      <c r="K599" s="163">
        <v>46388</v>
      </c>
      <c r="L599" s="163">
        <v>46568</v>
      </c>
      <c r="M599" s="161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129</v>
      </c>
      <c r="N599" s="163"/>
      <c r="O599" s="170"/>
      <c r="P599" s="142" t="s">
        <v>27</v>
      </c>
      <c r="Q599" s="142" t="s">
        <v>185</v>
      </c>
      <c r="R599" s="161"/>
      <c r="S599" s="168" t="s">
        <v>591</v>
      </c>
    </row>
    <row r="600" spans="1:19">
      <c r="A600" s="126" t="s">
        <v>642</v>
      </c>
      <c r="B600" s="46" t="s">
        <v>184</v>
      </c>
      <c r="C600" s="165" t="s">
        <v>599</v>
      </c>
      <c r="D600" s="158" t="s">
        <v>18</v>
      </c>
      <c r="E600" s="158" t="s">
        <v>58</v>
      </c>
      <c r="F600" s="158" t="s">
        <v>170</v>
      </c>
      <c r="G600" s="156">
        <v>0</v>
      </c>
      <c r="H600" s="156" t="s">
        <v>666</v>
      </c>
      <c r="I600" s="159" t="s">
        <v>186</v>
      </c>
      <c r="J600" s="159" t="s">
        <v>25</v>
      </c>
      <c r="K600" s="166">
        <v>45946</v>
      </c>
      <c r="L600" s="160">
        <v>45946</v>
      </c>
      <c r="M600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0</v>
      </c>
      <c r="N600" s="160"/>
      <c r="O600" s="167"/>
      <c r="P600" s="143"/>
      <c r="Q600" s="158" t="s">
        <v>185</v>
      </c>
      <c r="R600" s="158"/>
      <c r="S600" s="165" t="s">
        <v>590</v>
      </c>
    </row>
    <row r="601" spans="1:19" outlineLevel="1">
      <c r="A601" s="171" t="s">
        <v>640</v>
      </c>
      <c r="B601" s="168" t="s">
        <v>184</v>
      </c>
      <c r="C601" s="168" t="s">
        <v>600</v>
      </c>
      <c r="D601" s="161" t="s">
        <v>22</v>
      </c>
      <c r="E601" s="161" t="s">
        <v>58</v>
      </c>
      <c r="F601" s="161" t="s">
        <v>170</v>
      </c>
      <c r="G601" s="162">
        <v>0</v>
      </c>
      <c r="H601" s="162" t="s">
        <v>666</v>
      </c>
      <c r="I601" s="161" t="s">
        <v>186</v>
      </c>
      <c r="J601" s="161" t="s">
        <v>25</v>
      </c>
      <c r="K601" s="163"/>
      <c r="L601" s="163"/>
      <c r="M601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601" s="163"/>
      <c r="O601" s="170"/>
      <c r="P601" s="161"/>
      <c r="Q601" s="161" t="s">
        <v>185</v>
      </c>
      <c r="R601" s="161" t="s">
        <v>634</v>
      </c>
      <c r="S601" s="168" t="s">
        <v>591</v>
      </c>
    </row>
    <row r="602" spans="1:19" outlineLevel="1">
      <c r="A602" s="171" t="s">
        <v>640</v>
      </c>
      <c r="B602" s="168" t="s">
        <v>184</v>
      </c>
      <c r="C602" s="168" t="s">
        <v>600</v>
      </c>
      <c r="D602" s="161" t="s">
        <v>28</v>
      </c>
      <c r="E602" s="161" t="s">
        <v>58</v>
      </c>
      <c r="F602" s="161" t="s">
        <v>170</v>
      </c>
      <c r="G602" s="162">
        <v>0</v>
      </c>
      <c r="H602" s="162" t="s">
        <v>666</v>
      </c>
      <c r="I602" s="161" t="s">
        <v>186</v>
      </c>
      <c r="J602" s="161" t="s">
        <v>25</v>
      </c>
      <c r="K602" s="163"/>
      <c r="L602" s="164"/>
      <c r="M602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602" s="163"/>
      <c r="O602" s="170"/>
      <c r="P602" s="142"/>
      <c r="Q602" s="161" t="s">
        <v>185</v>
      </c>
      <c r="R602" s="161"/>
      <c r="S602" s="168" t="s">
        <v>591</v>
      </c>
    </row>
    <row r="603" spans="1:19" outlineLevel="1">
      <c r="A603" s="171" t="s">
        <v>640</v>
      </c>
      <c r="B603" s="168" t="s">
        <v>184</v>
      </c>
      <c r="C603" s="168" t="s">
        <v>600</v>
      </c>
      <c r="D603" s="161" t="s">
        <v>29</v>
      </c>
      <c r="E603" s="161" t="s">
        <v>58</v>
      </c>
      <c r="F603" s="161" t="s">
        <v>170</v>
      </c>
      <c r="G603" s="162">
        <v>0</v>
      </c>
      <c r="H603" s="162" t="s">
        <v>666</v>
      </c>
      <c r="I603" s="161" t="s">
        <v>186</v>
      </c>
      <c r="J603" s="161" t="s">
        <v>25</v>
      </c>
      <c r="K603" s="163"/>
      <c r="L603" s="163"/>
      <c r="M603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603" s="163"/>
      <c r="O603" s="170"/>
      <c r="P603" s="142"/>
      <c r="Q603" s="142" t="s">
        <v>185</v>
      </c>
      <c r="R603" s="161"/>
      <c r="S603" s="168" t="s">
        <v>591</v>
      </c>
    </row>
    <row r="604" spans="1:19" outlineLevel="1">
      <c r="A604" s="171" t="s">
        <v>640</v>
      </c>
      <c r="B604" s="168" t="s">
        <v>184</v>
      </c>
      <c r="C604" s="168" t="s">
        <v>600</v>
      </c>
      <c r="D604" s="161" t="s">
        <v>30</v>
      </c>
      <c r="E604" s="161" t="s">
        <v>58</v>
      </c>
      <c r="F604" s="161" t="s">
        <v>170</v>
      </c>
      <c r="G604" s="162">
        <v>0</v>
      </c>
      <c r="H604" s="162" t="s">
        <v>666</v>
      </c>
      <c r="I604" s="161" t="s">
        <v>186</v>
      </c>
      <c r="J604" s="161" t="s">
        <v>25</v>
      </c>
      <c r="K604" s="163"/>
      <c r="L604" s="163"/>
      <c r="M604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604" s="163"/>
      <c r="O604" s="170"/>
      <c r="P604" s="142"/>
      <c r="Q604" s="142" t="s">
        <v>185</v>
      </c>
      <c r="R604" s="161"/>
      <c r="S604" s="168" t="s">
        <v>591</v>
      </c>
    </row>
    <row r="605" spans="1:19">
      <c r="A605" s="126" t="s">
        <v>642</v>
      </c>
      <c r="B605" s="46" t="s">
        <v>184</v>
      </c>
      <c r="C605" s="165" t="s">
        <v>601</v>
      </c>
      <c r="D605" s="158" t="s">
        <v>18</v>
      </c>
      <c r="E605" s="158" t="s">
        <v>58</v>
      </c>
      <c r="F605" s="158" t="s">
        <v>170</v>
      </c>
      <c r="G605" s="156">
        <v>0</v>
      </c>
      <c r="H605" s="156" t="s">
        <v>666</v>
      </c>
      <c r="I605" s="159" t="s">
        <v>186</v>
      </c>
      <c r="J605" s="159" t="s">
        <v>25</v>
      </c>
      <c r="K605" s="166">
        <v>46037</v>
      </c>
      <c r="L605" s="160">
        <v>46204</v>
      </c>
      <c r="M605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120</v>
      </c>
      <c r="N605" s="160"/>
      <c r="O605" s="167"/>
      <c r="P605" s="143"/>
      <c r="Q605" s="158" t="s">
        <v>185</v>
      </c>
      <c r="R605" s="158"/>
      <c r="S605" s="165" t="s">
        <v>590</v>
      </c>
    </row>
    <row r="606" spans="1:19" outlineLevel="1">
      <c r="A606" s="171" t="s">
        <v>640</v>
      </c>
      <c r="B606" s="168" t="s">
        <v>184</v>
      </c>
      <c r="C606" s="168" t="s">
        <v>602</v>
      </c>
      <c r="D606" s="161" t="s">
        <v>22</v>
      </c>
      <c r="E606" s="161" t="s">
        <v>58</v>
      </c>
      <c r="F606" s="161" t="s">
        <v>170</v>
      </c>
      <c r="G606" s="162">
        <v>0</v>
      </c>
      <c r="H606" s="162" t="s">
        <v>666</v>
      </c>
      <c r="I606" s="161" t="s">
        <v>186</v>
      </c>
      <c r="J606" s="161" t="s">
        <v>25</v>
      </c>
      <c r="K606" s="163">
        <v>46037</v>
      </c>
      <c r="L606" s="163">
        <v>46112</v>
      </c>
      <c r="M606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54</v>
      </c>
      <c r="N606" s="163"/>
      <c r="O606" s="170" t="s">
        <v>43</v>
      </c>
      <c r="P606" s="161" t="s">
        <v>108</v>
      </c>
      <c r="Q606" s="161" t="s">
        <v>185</v>
      </c>
      <c r="R606" s="161"/>
      <c r="S606" s="168" t="s">
        <v>591</v>
      </c>
    </row>
    <row r="607" spans="1:19" outlineLevel="1">
      <c r="A607" s="171" t="s">
        <v>640</v>
      </c>
      <c r="B607" s="168" t="s">
        <v>184</v>
      </c>
      <c r="C607" s="168" t="s">
        <v>602</v>
      </c>
      <c r="D607" s="161" t="s">
        <v>28</v>
      </c>
      <c r="E607" s="161" t="s">
        <v>58</v>
      </c>
      <c r="F607" s="161" t="s">
        <v>170</v>
      </c>
      <c r="G607" s="162">
        <v>0</v>
      </c>
      <c r="H607" s="162" t="s">
        <v>666</v>
      </c>
      <c r="I607" s="161" t="s">
        <v>186</v>
      </c>
      <c r="J607" s="161" t="s">
        <v>25</v>
      </c>
      <c r="K607" s="163">
        <v>46113</v>
      </c>
      <c r="L607" s="164">
        <v>46204</v>
      </c>
      <c r="M607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66</v>
      </c>
      <c r="N607" s="163"/>
      <c r="O607" s="170" t="s">
        <v>43</v>
      </c>
      <c r="P607" s="142" t="s">
        <v>28</v>
      </c>
      <c r="Q607" s="161" t="s">
        <v>185</v>
      </c>
      <c r="R607" s="161"/>
      <c r="S607" s="168" t="s">
        <v>591</v>
      </c>
    </row>
    <row r="608" spans="1:19" outlineLevel="1">
      <c r="A608" s="171" t="s">
        <v>640</v>
      </c>
      <c r="B608" s="168" t="s">
        <v>184</v>
      </c>
      <c r="C608" s="168" t="s">
        <v>602</v>
      </c>
      <c r="D608" s="161" t="s">
        <v>29</v>
      </c>
      <c r="E608" s="161" t="s">
        <v>58</v>
      </c>
      <c r="F608" s="161" t="s">
        <v>170</v>
      </c>
      <c r="G608" s="162">
        <v>0</v>
      </c>
      <c r="H608" s="162" t="s">
        <v>666</v>
      </c>
      <c r="I608" s="161" t="s">
        <v>186</v>
      </c>
      <c r="J608" s="161" t="s">
        <v>25</v>
      </c>
      <c r="K608" s="163">
        <v>46113</v>
      </c>
      <c r="L608" s="163">
        <v>46204</v>
      </c>
      <c r="M608" s="161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66</v>
      </c>
      <c r="N608" s="163"/>
      <c r="O608" s="170" t="s">
        <v>43</v>
      </c>
      <c r="P608" s="142" t="s">
        <v>29</v>
      </c>
      <c r="Q608" s="142" t="s">
        <v>185</v>
      </c>
      <c r="R608" s="161"/>
      <c r="S608" s="168" t="s">
        <v>591</v>
      </c>
    </row>
    <row r="609" spans="1:19" outlineLevel="1">
      <c r="A609" s="171" t="s">
        <v>640</v>
      </c>
      <c r="B609" s="168" t="s">
        <v>184</v>
      </c>
      <c r="C609" s="168" t="s">
        <v>602</v>
      </c>
      <c r="D609" s="161" t="s">
        <v>30</v>
      </c>
      <c r="E609" s="161" t="s">
        <v>58</v>
      </c>
      <c r="F609" s="161" t="s">
        <v>170</v>
      </c>
      <c r="G609" s="162">
        <v>0</v>
      </c>
      <c r="H609" s="162" t="s">
        <v>666</v>
      </c>
      <c r="I609" s="161" t="s">
        <v>186</v>
      </c>
      <c r="J609" s="161" t="s">
        <v>25</v>
      </c>
      <c r="K609" s="163">
        <v>46113</v>
      </c>
      <c r="L609" s="163">
        <v>46204</v>
      </c>
      <c r="M609" s="161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66</v>
      </c>
      <c r="N609" s="163"/>
      <c r="O609" s="170" t="s">
        <v>43</v>
      </c>
      <c r="P609" s="142" t="s">
        <v>30</v>
      </c>
      <c r="Q609" s="142" t="s">
        <v>185</v>
      </c>
      <c r="R609" s="161"/>
      <c r="S609" s="168" t="s">
        <v>591</v>
      </c>
    </row>
    <row r="610" spans="1:19">
      <c r="A610" s="126" t="s">
        <v>642</v>
      </c>
      <c r="B610" s="46" t="s">
        <v>39</v>
      </c>
      <c r="C610" s="165" t="s">
        <v>603</v>
      </c>
      <c r="D610" s="158" t="s">
        <v>18</v>
      </c>
      <c r="E610" s="158" t="s">
        <v>19</v>
      </c>
      <c r="F610" s="158" t="s">
        <v>170</v>
      </c>
      <c r="G610" s="156">
        <v>0</v>
      </c>
      <c r="H610" s="156" t="s">
        <v>147</v>
      </c>
      <c r="I610" s="159" t="s">
        <v>229</v>
      </c>
      <c r="J610" s="159" t="s">
        <v>139</v>
      </c>
      <c r="K610" s="166"/>
      <c r="L610" s="160"/>
      <c r="M610" s="158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610" s="160"/>
      <c r="O610" s="167"/>
      <c r="P610" s="143"/>
      <c r="Q610" s="158" t="s">
        <v>200</v>
      </c>
      <c r="R610" s="158"/>
      <c r="S610" s="177"/>
    </row>
    <row r="611" spans="1:19" outlineLevel="1">
      <c r="A611" s="171" t="s">
        <v>640</v>
      </c>
      <c r="B611" s="168" t="s">
        <v>39</v>
      </c>
      <c r="C611" s="168" t="s">
        <v>604</v>
      </c>
      <c r="D611" s="161" t="s">
        <v>22</v>
      </c>
      <c r="E611" s="161" t="s">
        <v>19</v>
      </c>
      <c r="F611" s="161" t="s">
        <v>170</v>
      </c>
      <c r="G611" s="162">
        <v>0</v>
      </c>
      <c r="H611" s="162" t="s">
        <v>147</v>
      </c>
      <c r="I611" s="161" t="s">
        <v>229</v>
      </c>
      <c r="J611" s="161" t="s">
        <v>139</v>
      </c>
      <c r="K611" s="163"/>
      <c r="L611" s="163"/>
      <c r="M611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611" s="163"/>
      <c r="O611" s="170" t="s">
        <v>43</v>
      </c>
      <c r="P611" s="161" t="s">
        <v>26</v>
      </c>
      <c r="Q611" s="161" t="s">
        <v>200</v>
      </c>
      <c r="R611" s="161" t="s">
        <v>615</v>
      </c>
      <c r="S611" s="178"/>
    </row>
    <row r="612" spans="1:19" outlineLevel="1">
      <c r="A612" s="171" t="s">
        <v>640</v>
      </c>
      <c r="B612" s="168" t="s">
        <v>39</v>
      </c>
      <c r="C612" s="168" t="s">
        <v>604</v>
      </c>
      <c r="D612" s="161" t="s">
        <v>28</v>
      </c>
      <c r="E612" s="161" t="s">
        <v>19</v>
      </c>
      <c r="F612" s="161" t="s">
        <v>170</v>
      </c>
      <c r="G612" s="162">
        <v>0</v>
      </c>
      <c r="H612" s="162" t="s">
        <v>147</v>
      </c>
      <c r="I612" s="161" t="s">
        <v>229</v>
      </c>
      <c r="J612" s="161" t="s">
        <v>139</v>
      </c>
      <c r="K612" s="163"/>
      <c r="L612" s="164"/>
      <c r="M612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612" s="163"/>
      <c r="O612" s="170"/>
      <c r="P612" s="142"/>
      <c r="Q612" s="161" t="s">
        <v>200</v>
      </c>
      <c r="R612" s="161" t="s">
        <v>615</v>
      </c>
      <c r="S612" s="178"/>
    </row>
    <row r="613" spans="1:19" outlineLevel="1">
      <c r="A613" s="171" t="s">
        <v>640</v>
      </c>
      <c r="B613" s="168" t="s">
        <v>39</v>
      </c>
      <c r="C613" s="168" t="s">
        <v>604</v>
      </c>
      <c r="D613" s="161" t="s">
        <v>29</v>
      </c>
      <c r="E613" s="161" t="s">
        <v>19</v>
      </c>
      <c r="F613" s="161" t="s">
        <v>170</v>
      </c>
      <c r="G613" s="162">
        <v>0</v>
      </c>
      <c r="H613" s="162" t="s">
        <v>147</v>
      </c>
      <c r="I613" s="161" t="s">
        <v>229</v>
      </c>
      <c r="J613" s="161" t="s">
        <v>139</v>
      </c>
      <c r="K613" s="163"/>
      <c r="L613" s="163"/>
      <c r="M613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613" s="163"/>
      <c r="O613" s="170"/>
      <c r="P613" s="142"/>
      <c r="Q613" s="142" t="s">
        <v>200</v>
      </c>
      <c r="R613" s="161"/>
      <c r="S613" s="178"/>
    </row>
    <row r="614" spans="1:19" outlineLevel="1">
      <c r="A614" s="171" t="s">
        <v>640</v>
      </c>
      <c r="B614" s="168" t="s">
        <v>39</v>
      </c>
      <c r="C614" s="168" t="s">
        <v>604</v>
      </c>
      <c r="D614" s="161" t="s">
        <v>30</v>
      </c>
      <c r="E614" s="161" t="s">
        <v>19</v>
      </c>
      <c r="F614" s="161" t="s">
        <v>170</v>
      </c>
      <c r="G614" s="162">
        <v>0</v>
      </c>
      <c r="H614" s="162" t="s">
        <v>147</v>
      </c>
      <c r="I614" s="161" t="s">
        <v>229</v>
      </c>
      <c r="J614" s="161" t="s">
        <v>139</v>
      </c>
      <c r="K614" s="163"/>
      <c r="L614" s="163"/>
      <c r="M614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614" s="163"/>
      <c r="O614" s="170"/>
      <c r="P614" s="142"/>
      <c r="Q614" s="142" t="s">
        <v>200</v>
      </c>
      <c r="R614" s="161"/>
      <c r="S614" s="178"/>
    </row>
    <row r="615" spans="1:19">
      <c r="A615" s="126" t="s">
        <v>642</v>
      </c>
      <c r="B615" s="46" t="s">
        <v>39</v>
      </c>
      <c r="C615" s="165" t="s">
        <v>605</v>
      </c>
      <c r="D615" s="158" t="s">
        <v>18</v>
      </c>
      <c r="E615" s="158" t="s">
        <v>19</v>
      </c>
      <c r="F615" s="158" t="s">
        <v>170</v>
      </c>
      <c r="G615" s="156">
        <v>1</v>
      </c>
      <c r="H615" s="156" t="s">
        <v>147</v>
      </c>
      <c r="I615" s="159" t="s">
        <v>542</v>
      </c>
      <c r="J615" s="159" t="s">
        <v>139</v>
      </c>
      <c r="K615" s="166">
        <v>46042</v>
      </c>
      <c r="L615" s="160">
        <v>46203</v>
      </c>
      <c r="M615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116</v>
      </c>
      <c r="N615" s="160">
        <v>46100</v>
      </c>
      <c r="O615" s="167"/>
      <c r="P615" s="143"/>
      <c r="Q615" s="158" t="s">
        <v>202</v>
      </c>
      <c r="R615" s="158"/>
      <c r="S615" s="177"/>
    </row>
    <row r="616" spans="1:19" outlineLevel="1">
      <c r="A616" s="171" t="s">
        <v>640</v>
      </c>
      <c r="B616" s="168" t="s">
        <v>39</v>
      </c>
      <c r="C616" s="168" t="s">
        <v>606</v>
      </c>
      <c r="D616" s="161" t="s">
        <v>22</v>
      </c>
      <c r="E616" s="161" t="s">
        <v>19</v>
      </c>
      <c r="F616" s="161" t="s">
        <v>170</v>
      </c>
      <c r="G616" s="162">
        <v>1</v>
      </c>
      <c r="H616" s="162" t="s">
        <v>147</v>
      </c>
      <c r="I616" s="161" t="s">
        <v>542</v>
      </c>
      <c r="J616" s="161" t="s">
        <v>139</v>
      </c>
      <c r="K616" s="163">
        <v>46042</v>
      </c>
      <c r="L616" s="163">
        <v>46078</v>
      </c>
      <c r="M616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27</v>
      </c>
      <c r="N616" s="163"/>
      <c r="O616" s="170" t="s">
        <v>108</v>
      </c>
      <c r="P616" s="161" t="s">
        <v>108</v>
      </c>
      <c r="Q616" s="161" t="s">
        <v>202</v>
      </c>
      <c r="R616" s="161" t="s">
        <v>627</v>
      </c>
      <c r="S616" s="178"/>
    </row>
    <row r="617" spans="1:19" outlineLevel="1">
      <c r="A617" s="171" t="s">
        <v>640</v>
      </c>
      <c r="B617" s="168" t="s">
        <v>39</v>
      </c>
      <c r="C617" s="168" t="s">
        <v>606</v>
      </c>
      <c r="D617" s="161" t="s">
        <v>28</v>
      </c>
      <c r="E617" s="161" t="s">
        <v>19</v>
      </c>
      <c r="F617" s="161" t="s">
        <v>170</v>
      </c>
      <c r="G617" s="162">
        <v>0.25</v>
      </c>
      <c r="H617" s="162" t="s">
        <v>147</v>
      </c>
      <c r="I617" s="161" t="s">
        <v>542</v>
      </c>
      <c r="J617" s="161" t="s">
        <v>139</v>
      </c>
      <c r="K617" s="163">
        <v>46127</v>
      </c>
      <c r="L617" s="164">
        <v>46203</v>
      </c>
      <c r="M617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55</v>
      </c>
      <c r="N617" s="163"/>
      <c r="O617" s="170" t="s">
        <v>43</v>
      </c>
      <c r="P617" s="142" t="s">
        <v>28</v>
      </c>
      <c r="Q617" s="161" t="s">
        <v>202</v>
      </c>
      <c r="R617" s="161"/>
      <c r="S617" s="178"/>
    </row>
    <row r="618" spans="1:19" outlineLevel="1">
      <c r="A618" s="171" t="s">
        <v>640</v>
      </c>
      <c r="B618" s="168" t="s">
        <v>39</v>
      </c>
      <c r="C618" s="168" t="s">
        <v>606</v>
      </c>
      <c r="D618" s="161" t="s">
        <v>29</v>
      </c>
      <c r="E618" s="161" t="s">
        <v>19</v>
      </c>
      <c r="F618" s="161" t="s">
        <v>170</v>
      </c>
      <c r="G618" s="162">
        <v>0</v>
      </c>
      <c r="H618" s="162" t="s">
        <v>147</v>
      </c>
      <c r="I618" s="161" t="s">
        <v>542</v>
      </c>
      <c r="J618" s="161" t="s">
        <v>139</v>
      </c>
      <c r="K618" s="163"/>
      <c r="L618" s="163"/>
      <c r="M618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618" s="163"/>
      <c r="O618" s="170"/>
      <c r="P618" s="142"/>
      <c r="Q618" s="142" t="s">
        <v>202</v>
      </c>
      <c r="R618" s="161"/>
      <c r="S618" s="178"/>
    </row>
    <row r="619" spans="1:19" outlineLevel="1">
      <c r="A619" s="171" t="s">
        <v>640</v>
      </c>
      <c r="B619" s="168" t="s">
        <v>39</v>
      </c>
      <c r="C619" s="168" t="s">
        <v>606</v>
      </c>
      <c r="D619" s="161" t="s">
        <v>30</v>
      </c>
      <c r="E619" s="161" t="s">
        <v>19</v>
      </c>
      <c r="F619" s="161" t="s">
        <v>170</v>
      </c>
      <c r="G619" s="162">
        <v>0</v>
      </c>
      <c r="H619" s="162" t="s">
        <v>147</v>
      </c>
      <c r="I619" s="161" t="s">
        <v>542</v>
      </c>
      <c r="J619" s="161" t="s">
        <v>139</v>
      </c>
      <c r="K619" s="163"/>
      <c r="L619" s="163"/>
      <c r="M619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619" s="163"/>
      <c r="O619" s="170"/>
      <c r="P619" s="142"/>
      <c r="Q619" s="142" t="s">
        <v>202</v>
      </c>
      <c r="R619" s="161"/>
      <c r="S619" s="178"/>
    </row>
    <row r="620" spans="1:19">
      <c r="A620" s="126" t="s">
        <v>642</v>
      </c>
      <c r="B620" s="46" t="s">
        <v>39</v>
      </c>
      <c r="C620" s="165" t="s">
        <v>607</v>
      </c>
      <c r="D620" s="158" t="s">
        <v>18</v>
      </c>
      <c r="E620" s="158" t="s">
        <v>19</v>
      </c>
      <c r="F620" s="158" t="s">
        <v>170</v>
      </c>
      <c r="G620" s="156">
        <v>0.25</v>
      </c>
      <c r="H620" s="156" t="s">
        <v>667</v>
      </c>
      <c r="I620" s="159" t="s">
        <v>609</v>
      </c>
      <c r="J620" s="159" t="s">
        <v>139</v>
      </c>
      <c r="K620" s="166">
        <v>46143</v>
      </c>
      <c r="L620" s="160">
        <v>46326</v>
      </c>
      <c r="M620" s="158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55</v>
      </c>
      <c r="N620" s="160"/>
      <c r="O620" s="167"/>
      <c r="P620" s="143"/>
      <c r="Q620" s="165" t="s">
        <v>668</v>
      </c>
      <c r="R620" s="158"/>
      <c r="S620" s="177"/>
    </row>
    <row r="621" spans="1:19" outlineLevel="1">
      <c r="A621" s="171" t="s">
        <v>640</v>
      </c>
      <c r="B621" s="168" t="s">
        <v>39</v>
      </c>
      <c r="C621" s="168" t="s">
        <v>608</v>
      </c>
      <c r="D621" s="161" t="s">
        <v>22</v>
      </c>
      <c r="E621" s="161" t="s">
        <v>19</v>
      </c>
      <c r="F621" s="161" t="s">
        <v>170</v>
      </c>
      <c r="G621" s="162">
        <v>0.25</v>
      </c>
      <c r="H621" s="162" t="s">
        <v>667</v>
      </c>
      <c r="I621" s="161" t="s">
        <v>609</v>
      </c>
      <c r="J621" s="161" t="s">
        <v>139</v>
      </c>
      <c r="K621" s="163">
        <v>46143</v>
      </c>
      <c r="L621" s="163">
        <v>46326</v>
      </c>
      <c r="M621" s="169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>0</v>
      </c>
      <c r="N621" s="163"/>
      <c r="O621" s="170"/>
      <c r="P621" s="161"/>
      <c r="Q621" s="161" t="s">
        <v>668</v>
      </c>
      <c r="R621" s="161" t="s">
        <v>615</v>
      </c>
      <c r="S621" s="178"/>
    </row>
    <row r="622" spans="1:19" outlineLevel="1">
      <c r="A622" s="171" t="s">
        <v>640</v>
      </c>
      <c r="B622" s="168" t="s">
        <v>39</v>
      </c>
      <c r="C622" s="168" t="s">
        <v>608</v>
      </c>
      <c r="D622" s="161" t="s">
        <v>28</v>
      </c>
      <c r="E622" s="161" t="s">
        <v>19</v>
      </c>
      <c r="F622" s="161" t="s">
        <v>170</v>
      </c>
      <c r="G622" s="162">
        <v>0</v>
      </c>
      <c r="H622" s="162" t="s">
        <v>667</v>
      </c>
      <c r="I622" s="161" t="s">
        <v>609</v>
      </c>
      <c r="J622" s="161" t="s">
        <v>139</v>
      </c>
      <c r="K622" s="163"/>
      <c r="L622" s="164"/>
      <c r="M622" s="169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622" s="163"/>
      <c r="O622" s="170"/>
      <c r="P622" s="142"/>
      <c r="Q622" s="161" t="s">
        <v>668</v>
      </c>
      <c r="R622" s="161"/>
      <c r="S622" s="178"/>
    </row>
    <row r="623" spans="1:19" outlineLevel="1">
      <c r="A623" s="171" t="s">
        <v>640</v>
      </c>
      <c r="B623" s="168" t="s">
        <v>39</v>
      </c>
      <c r="C623" s="168" t="s">
        <v>608</v>
      </c>
      <c r="D623" s="161" t="s">
        <v>29</v>
      </c>
      <c r="E623" s="161" t="s">
        <v>19</v>
      </c>
      <c r="F623" s="161" t="s">
        <v>170</v>
      </c>
      <c r="G623" s="162">
        <v>0</v>
      </c>
      <c r="H623" s="162" t="s">
        <v>667</v>
      </c>
      <c r="I623" s="161" t="s">
        <v>609</v>
      </c>
      <c r="J623" s="161" t="s">
        <v>139</v>
      </c>
      <c r="K623" s="163"/>
      <c r="L623" s="163"/>
      <c r="M623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623" s="163"/>
      <c r="O623" s="170"/>
      <c r="P623" s="142"/>
      <c r="Q623" s="161" t="s">
        <v>668</v>
      </c>
      <c r="R623" s="161"/>
      <c r="S623" s="178"/>
    </row>
    <row r="624" spans="1:19" outlineLevel="1">
      <c r="A624" s="171" t="s">
        <v>640</v>
      </c>
      <c r="B624" s="168" t="s">
        <v>39</v>
      </c>
      <c r="C624" s="168" t="s">
        <v>608</v>
      </c>
      <c r="D624" s="161" t="s">
        <v>30</v>
      </c>
      <c r="E624" s="161" t="s">
        <v>19</v>
      </c>
      <c r="F624" s="161" t="s">
        <v>170</v>
      </c>
      <c r="G624" s="162">
        <v>0</v>
      </c>
      <c r="H624" s="162" t="s">
        <v>667</v>
      </c>
      <c r="I624" s="161" t="s">
        <v>609</v>
      </c>
      <c r="J624" s="161" t="s">
        <v>139</v>
      </c>
      <c r="K624" s="163"/>
      <c r="L624" s="163"/>
      <c r="M624" s="161" t="str">
        <f>_xlfn.LET(_xlpm.k,TRIM(tbl_DataDraftApril26[[#This Row],[Initiative]])&amp;"♦"&amp;TRIM(tbl_DataDraftApril26[[#This Row],[Process]])&amp;"♦"&amp;TRIM(tbl_DataDraftApril26[[#This Row],[Phase]])&amp;"♦"&amp;TRIM(tbl_DataDraftApril26[[#This Row],[Process level]])&amp;"♦"&amp;TRIM(tbl_DataDraftApril26[[#This Row],[Process Group]]),_xlpm.s,tbl_DataDraftApril26[[#This Row],[Start]],_xlpm.e,tbl_DataDraftApril26[[#This Row],[End]],IF(OR(_xlpm.s="",_xlpm.e=""),"",_xlfn.XLOOKUP(_xlpm.k,task_table_13_4_26!$R$2:$R$612,task_table_13_4_26!$L$2:$L$612,"")))</f>
        <v/>
      </c>
      <c r="N624" s="163"/>
      <c r="O624" s="170"/>
      <c r="P624" s="142"/>
      <c r="Q624" s="161" t="s">
        <v>668</v>
      </c>
      <c r="R624" s="161"/>
      <c r="S624" s="178"/>
    </row>
  </sheetData>
  <pageMargins left="0.7" right="0.7" top="0.75" bottom="0.75" header="0.3" footer="0.3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CD5C8-3324-413E-AAB2-87D1EDD34710}">
  <dimension ref="A1:E521"/>
  <sheetViews>
    <sheetView workbookViewId="0">
      <pane ySplit="1" topLeftCell="A262" activePane="bottomLeft" state="frozen"/>
      <selection pane="bottomLeft" activeCell="C13" sqref="C13"/>
    </sheetView>
  </sheetViews>
  <sheetFormatPr defaultColWidth="8.85546875" defaultRowHeight="15"/>
  <cols>
    <col min="1" max="1" width="10.85546875" bestFit="1" customWidth="1"/>
    <col min="2" max="2" width="13.7109375" bestFit="1" customWidth="1"/>
    <col min="3" max="3" width="18.140625" bestFit="1" customWidth="1"/>
    <col min="4" max="4" width="22" bestFit="1" customWidth="1"/>
    <col min="5" max="5" width="19.42578125" bestFit="1" customWidth="1"/>
    <col min="6" max="9" width="11.42578125" bestFit="1" customWidth="1"/>
  </cols>
  <sheetData>
    <row r="1" spans="1:5" ht="30">
      <c r="A1" s="132" t="s">
        <v>204</v>
      </c>
      <c r="B1" s="124" t="s">
        <v>22</v>
      </c>
      <c r="C1" s="124" t="s">
        <v>28</v>
      </c>
      <c r="D1" s="124" t="s">
        <v>30</v>
      </c>
      <c r="E1" s="124" t="s">
        <v>29</v>
      </c>
    </row>
    <row r="2" spans="1:5">
      <c r="A2" s="131">
        <v>45870</v>
      </c>
      <c r="B2" s="125" cm="1">
        <f t="array" ref="B2">SUMPRODUCT((tbl_DataDraftApril26[Phase]=B$1)*(ISNUMBER(tbl_DataDraftApril26[Start]))*(ISNUMBER(tbl_DataDraftApril26[End]))*($A2&gt;tbl_DataDraftApril26[Start])*($A2&lt;tbl_DataDraftApril26[End]))</f>
        <v>0</v>
      </c>
      <c r="C2" s="125" cm="1">
        <f t="array" ref="C2">SUMPRODUCT((tbl_DataDraftApril26[Phase]=C$1)*(ISNUMBER(tbl_DataDraftApril26[Start]))*(ISNUMBER(tbl_DataDraftApril26[End]))*($A2&gt;tbl_DataDraftApril26[Start])*($A2&lt;tbl_DataDraftApril26[End]))</f>
        <v>0</v>
      </c>
      <c r="D2" s="125" cm="1">
        <f t="array" ref="D2">SUMPRODUCT((tbl_DataDraftApril26[Phase]=D$1)*(ISNUMBER(tbl_DataDraftApril26[Start]))*(ISNUMBER(tbl_DataDraftApril26[End]))*($A2&gt;tbl_DataDraftApril26[Start])*($A2&lt;tbl_DataDraftApril26[End]))</f>
        <v>0</v>
      </c>
      <c r="E2" s="125" cm="1">
        <f t="array" ref="E2">SUMPRODUCT((tbl_DataDraftApril26[Phase]=E$1)*(ISNUMBER(tbl_DataDraftApril26[Start]))*(ISNUMBER(tbl_DataDraftApril26[End]))*($A2&gt;tbl_DataDraftApril26[Start])*($A2&lt;tbl_DataDraftApril26[End]))</f>
        <v>0</v>
      </c>
    </row>
    <row r="3" spans="1:5">
      <c r="A3" s="131">
        <v>45871</v>
      </c>
      <c r="B3" s="125" cm="1">
        <f t="array" ref="B3">SUMPRODUCT((tbl_DataDraftApril26[Phase]=B$1)*(ISNUMBER(tbl_DataDraftApril26[Start]))*(ISNUMBER(tbl_DataDraftApril26[End]))*($A3&gt;tbl_DataDraftApril26[Start])*($A3&lt;tbl_DataDraftApril26[End]))</f>
        <v>1</v>
      </c>
      <c r="C3" s="125" cm="1">
        <f t="array" ref="C3">SUMPRODUCT((tbl_DataDraftApril26[Phase]=C$1)*(ISNUMBER(tbl_DataDraftApril26[Start]))*(ISNUMBER(tbl_DataDraftApril26[End]))*($A3&gt;tbl_DataDraftApril26[Start])*($A3&lt;tbl_DataDraftApril26[End]))</f>
        <v>0</v>
      </c>
      <c r="D3" s="125" cm="1">
        <f t="array" ref="D3">SUMPRODUCT((tbl_DataDraftApril26[Phase]=D$1)*(ISNUMBER(tbl_DataDraftApril26[Start]))*(ISNUMBER(tbl_DataDraftApril26[End]))*($A3&gt;tbl_DataDraftApril26[Start])*($A3&lt;tbl_DataDraftApril26[End]))</f>
        <v>0</v>
      </c>
      <c r="E3" s="125" cm="1">
        <f t="array" ref="E3">SUMPRODUCT((tbl_DataDraftApril26[Phase]=E$1)*(ISNUMBER(tbl_DataDraftApril26[Start]))*(ISNUMBER(tbl_DataDraftApril26[End]))*($A3&gt;tbl_DataDraftApril26[Start])*($A3&lt;tbl_DataDraftApril26[End]))</f>
        <v>0</v>
      </c>
    </row>
    <row r="4" spans="1:5">
      <c r="A4" s="131">
        <v>45872</v>
      </c>
      <c r="B4" s="125" cm="1">
        <f t="array" ref="B4">SUMPRODUCT((tbl_DataDraftApril26[Phase]=B$1)*(ISNUMBER(tbl_DataDraftApril26[Start]))*(ISNUMBER(tbl_DataDraftApril26[End]))*($A4&gt;tbl_DataDraftApril26[Start])*($A4&lt;tbl_DataDraftApril26[End]))</f>
        <v>1</v>
      </c>
      <c r="C4" s="125" cm="1">
        <f t="array" ref="C4">SUMPRODUCT((tbl_DataDraftApril26[Phase]=C$1)*(ISNUMBER(tbl_DataDraftApril26[Start]))*(ISNUMBER(tbl_DataDraftApril26[End]))*($A4&gt;tbl_DataDraftApril26[Start])*($A4&lt;tbl_DataDraftApril26[End]))</f>
        <v>0</v>
      </c>
      <c r="D4" s="125" cm="1">
        <f t="array" ref="D4">SUMPRODUCT((tbl_DataDraftApril26[Phase]=D$1)*(ISNUMBER(tbl_DataDraftApril26[Start]))*(ISNUMBER(tbl_DataDraftApril26[End]))*($A4&gt;tbl_DataDraftApril26[Start])*($A4&lt;tbl_DataDraftApril26[End]))</f>
        <v>0</v>
      </c>
      <c r="E4" s="125" cm="1">
        <f t="array" ref="E4">SUMPRODUCT((tbl_DataDraftApril26[Phase]=E$1)*(ISNUMBER(tbl_DataDraftApril26[Start]))*(ISNUMBER(tbl_DataDraftApril26[End]))*($A4&gt;tbl_DataDraftApril26[Start])*($A4&lt;tbl_DataDraftApril26[End]))</f>
        <v>0</v>
      </c>
    </row>
    <row r="5" spans="1:5">
      <c r="A5" s="131">
        <v>45873</v>
      </c>
      <c r="B5" s="125" cm="1">
        <f t="array" ref="B5">SUMPRODUCT((tbl_DataDraftApril26[Phase]=B$1)*(ISNUMBER(tbl_DataDraftApril26[Start]))*(ISNUMBER(tbl_DataDraftApril26[End]))*($A5&gt;tbl_DataDraftApril26[Start])*($A5&lt;tbl_DataDraftApril26[End]))</f>
        <v>1</v>
      </c>
      <c r="C5" s="125" cm="1">
        <f t="array" ref="C5">SUMPRODUCT((tbl_DataDraftApril26[Phase]=C$1)*(ISNUMBER(tbl_DataDraftApril26[Start]))*(ISNUMBER(tbl_DataDraftApril26[End]))*($A5&gt;tbl_DataDraftApril26[Start])*($A5&lt;tbl_DataDraftApril26[End]))</f>
        <v>0</v>
      </c>
      <c r="D5" s="125" cm="1">
        <f t="array" ref="D5">SUMPRODUCT((tbl_DataDraftApril26[Phase]=D$1)*(ISNUMBER(tbl_DataDraftApril26[Start]))*(ISNUMBER(tbl_DataDraftApril26[End]))*($A5&gt;tbl_DataDraftApril26[Start])*($A5&lt;tbl_DataDraftApril26[End]))</f>
        <v>0</v>
      </c>
      <c r="E5" s="125" cm="1">
        <f t="array" ref="E5">SUMPRODUCT((tbl_DataDraftApril26[Phase]=E$1)*(ISNUMBER(tbl_DataDraftApril26[Start]))*(ISNUMBER(tbl_DataDraftApril26[End]))*($A5&gt;tbl_DataDraftApril26[Start])*($A5&lt;tbl_DataDraftApril26[End]))</f>
        <v>0</v>
      </c>
    </row>
    <row r="6" spans="1:5">
      <c r="A6" s="131">
        <v>45874</v>
      </c>
      <c r="B6" s="125" cm="1">
        <f t="array" ref="B6">SUMPRODUCT((tbl_DataDraftApril26[Phase]=B$1)*(ISNUMBER(tbl_DataDraftApril26[Start]))*(ISNUMBER(tbl_DataDraftApril26[End]))*($A6&gt;tbl_DataDraftApril26[Start])*($A6&lt;tbl_DataDraftApril26[End]))</f>
        <v>2</v>
      </c>
      <c r="C6" s="125" cm="1">
        <f t="array" ref="C6">SUMPRODUCT((tbl_DataDraftApril26[Phase]=C$1)*(ISNUMBER(tbl_DataDraftApril26[Start]))*(ISNUMBER(tbl_DataDraftApril26[End]))*($A6&gt;tbl_DataDraftApril26[Start])*($A6&lt;tbl_DataDraftApril26[End]))</f>
        <v>0</v>
      </c>
      <c r="D6" s="125" cm="1">
        <f t="array" ref="D6">SUMPRODUCT((tbl_DataDraftApril26[Phase]=D$1)*(ISNUMBER(tbl_DataDraftApril26[Start]))*(ISNUMBER(tbl_DataDraftApril26[End]))*($A6&gt;tbl_DataDraftApril26[Start])*($A6&lt;tbl_DataDraftApril26[End]))</f>
        <v>0</v>
      </c>
      <c r="E6" s="125" cm="1">
        <f t="array" ref="E6">SUMPRODUCT((tbl_DataDraftApril26[Phase]=E$1)*(ISNUMBER(tbl_DataDraftApril26[Start]))*(ISNUMBER(tbl_DataDraftApril26[End]))*($A6&gt;tbl_DataDraftApril26[Start])*($A6&lt;tbl_DataDraftApril26[End]))</f>
        <v>0</v>
      </c>
    </row>
    <row r="7" spans="1:5">
      <c r="A7" s="131">
        <v>45875</v>
      </c>
      <c r="B7" s="125" cm="1">
        <f t="array" ref="B7">SUMPRODUCT((tbl_DataDraftApril26[Phase]=B$1)*(ISNUMBER(tbl_DataDraftApril26[Start]))*(ISNUMBER(tbl_DataDraftApril26[End]))*($A7&gt;tbl_DataDraftApril26[Start])*($A7&lt;tbl_DataDraftApril26[End]))</f>
        <v>2</v>
      </c>
      <c r="C7" s="125" cm="1">
        <f t="array" ref="C7">SUMPRODUCT((tbl_DataDraftApril26[Phase]=C$1)*(ISNUMBER(tbl_DataDraftApril26[Start]))*(ISNUMBER(tbl_DataDraftApril26[End]))*($A7&gt;tbl_DataDraftApril26[Start])*($A7&lt;tbl_DataDraftApril26[End]))</f>
        <v>0</v>
      </c>
      <c r="D7" s="125" cm="1">
        <f t="array" ref="D7">SUMPRODUCT((tbl_DataDraftApril26[Phase]=D$1)*(ISNUMBER(tbl_DataDraftApril26[Start]))*(ISNUMBER(tbl_DataDraftApril26[End]))*($A7&gt;tbl_DataDraftApril26[Start])*($A7&lt;tbl_DataDraftApril26[End]))</f>
        <v>0</v>
      </c>
      <c r="E7" s="125" cm="1">
        <f t="array" ref="E7">SUMPRODUCT((tbl_DataDraftApril26[Phase]=E$1)*(ISNUMBER(tbl_DataDraftApril26[Start]))*(ISNUMBER(tbl_DataDraftApril26[End]))*($A7&gt;tbl_DataDraftApril26[Start])*($A7&lt;tbl_DataDraftApril26[End]))</f>
        <v>0</v>
      </c>
    </row>
    <row r="8" spans="1:5">
      <c r="A8" s="131">
        <v>45876</v>
      </c>
      <c r="B8" s="125" cm="1">
        <f t="array" ref="B8">SUMPRODUCT((tbl_DataDraftApril26[Phase]=B$1)*(ISNUMBER(tbl_DataDraftApril26[Start]))*(ISNUMBER(tbl_DataDraftApril26[End]))*($A8&gt;tbl_DataDraftApril26[Start])*($A8&lt;tbl_DataDraftApril26[End]))</f>
        <v>2</v>
      </c>
      <c r="C8" s="125" cm="1">
        <f t="array" ref="C8">SUMPRODUCT((tbl_DataDraftApril26[Phase]=C$1)*(ISNUMBER(tbl_DataDraftApril26[Start]))*(ISNUMBER(tbl_DataDraftApril26[End]))*($A8&gt;tbl_DataDraftApril26[Start])*($A8&lt;tbl_DataDraftApril26[End]))</f>
        <v>0</v>
      </c>
      <c r="D8" s="125" cm="1">
        <f t="array" ref="D8">SUMPRODUCT((tbl_DataDraftApril26[Phase]=D$1)*(ISNUMBER(tbl_DataDraftApril26[Start]))*(ISNUMBER(tbl_DataDraftApril26[End]))*($A8&gt;tbl_DataDraftApril26[Start])*($A8&lt;tbl_DataDraftApril26[End]))</f>
        <v>0</v>
      </c>
      <c r="E8" s="125" cm="1">
        <f t="array" ref="E8">SUMPRODUCT((tbl_DataDraftApril26[Phase]=E$1)*(ISNUMBER(tbl_DataDraftApril26[Start]))*(ISNUMBER(tbl_DataDraftApril26[End]))*($A8&gt;tbl_DataDraftApril26[Start])*($A8&lt;tbl_DataDraftApril26[End]))</f>
        <v>0</v>
      </c>
    </row>
    <row r="9" spans="1:5">
      <c r="A9" s="131">
        <v>45877</v>
      </c>
      <c r="B9" s="125" cm="1">
        <f t="array" ref="B9">SUMPRODUCT((tbl_DataDraftApril26[Phase]=B$1)*(ISNUMBER(tbl_DataDraftApril26[Start]))*(ISNUMBER(tbl_DataDraftApril26[End]))*($A9&gt;tbl_DataDraftApril26[Start])*($A9&lt;tbl_DataDraftApril26[End]))</f>
        <v>2</v>
      </c>
      <c r="C9" s="125" cm="1">
        <f t="array" ref="C9">SUMPRODUCT((tbl_DataDraftApril26[Phase]=C$1)*(ISNUMBER(tbl_DataDraftApril26[Start]))*(ISNUMBER(tbl_DataDraftApril26[End]))*($A9&gt;tbl_DataDraftApril26[Start])*($A9&lt;tbl_DataDraftApril26[End]))</f>
        <v>0</v>
      </c>
      <c r="D9" s="125" cm="1">
        <f t="array" ref="D9">SUMPRODUCT((tbl_DataDraftApril26[Phase]=D$1)*(ISNUMBER(tbl_DataDraftApril26[Start]))*(ISNUMBER(tbl_DataDraftApril26[End]))*($A9&gt;tbl_DataDraftApril26[Start])*($A9&lt;tbl_DataDraftApril26[End]))</f>
        <v>0</v>
      </c>
      <c r="E9" s="125" cm="1">
        <f t="array" ref="E9">SUMPRODUCT((tbl_DataDraftApril26[Phase]=E$1)*(ISNUMBER(tbl_DataDraftApril26[Start]))*(ISNUMBER(tbl_DataDraftApril26[End]))*($A9&gt;tbl_DataDraftApril26[Start])*($A9&lt;tbl_DataDraftApril26[End]))</f>
        <v>0</v>
      </c>
    </row>
    <row r="10" spans="1:5">
      <c r="A10" s="131">
        <v>45878</v>
      </c>
      <c r="B10" s="125" cm="1">
        <f t="array" ref="B10">SUMPRODUCT((tbl_DataDraftApril26[Phase]=B$1)*(ISNUMBER(tbl_DataDraftApril26[Start]))*(ISNUMBER(tbl_DataDraftApril26[End]))*($A10&gt;tbl_DataDraftApril26[Start])*($A10&lt;tbl_DataDraftApril26[End]))</f>
        <v>2</v>
      </c>
      <c r="C10" s="125" cm="1">
        <f t="array" ref="C10">SUMPRODUCT((tbl_DataDraftApril26[Phase]=C$1)*(ISNUMBER(tbl_DataDraftApril26[Start]))*(ISNUMBER(tbl_DataDraftApril26[End]))*($A10&gt;tbl_DataDraftApril26[Start])*($A10&lt;tbl_DataDraftApril26[End]))</f>
        <v>0</v>
      </c>
      <c r="D10" s="125" cm="1">
        <f t="array" ref="D10">SUMPRODUCT((tbl_DataDraftApril26[Phase]=D$1)*(ISNUMBER(tbl_DataDraftApril26[Start]))*(ISNUMBER(tbl_DataDraftApril26[End]))*($A10&gt;tbl_DataDraftApril26[Start])*($A10&lt;tbl_DataDraftApril26[End]))</f>
        <v>0</v>
      </c>
      <c r="E10" s="125" cm="1">
        <f t="array" ref="E10">SUMPRODUCT((tbl_DataDraftApril26[Phase]=E$1)*(ISNUMBER(tbl_DataDraftApril26[Start]))*(ISNUMBER(tbl_DataDraftApril26[End]))*($A10&gt;tbl_DataDraftApril26[Start])*($A10&lt;tbl_DataDraftApril26[End]))</f>
        <v>0</v>
      </c>
    </row>
    <row r="11" spans="1:5">
      <c r="A11" s="131">
        <v>45879</v>
      </c>
      <c r="B11" s="125" cm="1">
        <f t="array" ref="B11">SUMPRODUCT((tbl_DataDraftApril26[Phase]=B$1)*(ISNUMBER(tbl_DataDraftApril26[Start]))*(ISNUMBER(tbl_DataDraftApril26[End]))*($A11&gt;tbl_DataDraftApril26[Start])*($A11&lt;tbl_DataDraftApril26[End]))</f>
        <v>2</v>
      </c>
      <c r="C11" s="125" cm="1">
        <f t="array" ref="C11">SUMPRODUCT((tbl_DataDraftApril26[Phase]=C$1)*(ISNUMBER(tbl_DataDraftApril26[Start]))*(ISNUMBER(tbl_DataDraftApril26[End]))*($A11&gt;tbl_DataDraftApril26[Start])*($A11&lt;tbl_DataDraftApril26[End]))</f>
        <v>0</v>
      </c>
      <c r="D11" s="125" cm="1">
        <f t="array" ref="D11">SUMPRODUCT((tbl_DataDraftApril26[Phase]=D$1)*(ISNUMBER(tbl_DataDraftApril26[Start]))*(ISNUMBER(tbl_DataDraftApril26[End]))*($A11&gt;tbl_DataDraftApril26[Start])*($A11&lt;tbl_DataDraftApril26[End]))</f>
        <v>0</v>
      </c>
      <c r="E11" s="125" cm="1">
        <f t="array" ref="E11">SUMPRODUCT((tbl_DataDraftApril26[Phase]=E$1)*(ISNUMBER(tbl_DataDraftApril26[Start]))*(ISNUMBER(tbl_DataDraftApril26[End]))*($A11&gt;tbl_DataDraftApril26[Start])*($A11&lt;tbl_DataDraftApril26[End]))</f>
        <v>0</v>
      </c>
    </row>
    <row r="12" spans="1:5">
      <c r="A12" s="131">
        <v>45880</v>
      </c>
      <c r="B12" s="125" cm="1">
        <f t="array" ref="B12">SUMPRODUCT((tbl_DataDraftApril26[Phase]=B$1)*(ISNUMBER(tbl_DataDraftApril26[Start]))*(ISNUMBER(tbl_DataDraftApril26[End]))*($A12&gt;tbl_DataDraftApril26[Start])*($A12&lt;tbl_DataDraftApril26[End]))</f>
        <v>2</v>
      </c>
      <c r="C12" s="125" cm="1">
        <f t="array" ref="C12">SUMPRODUCT((tbl_DataDraftApril26[Phase]=C$1)*(ISNUMBER(tbl_DataDraftApril26[Start]))*(ISNUMBER(tbl_DataDraftApril26[End]))*($A12&gt;tbl_DataDraftApril26[Start])*($A12&lt;tbl_DataDraftApril26[End]))</f>
        <v>0</v>
      </c>
      <c r="D12" s="125" cm="1">
        <f t="array" ref="D12">SUMPRODUCT((tbl_DataDraftApril26[Phase]=D$1)*(ISNUMBER(tbl_DataDraftApril26[Start]))*(ISNUMBER(tbl_DataDraftApril26[End]))*($A12&gt;tbl_DataDraftApril26[Start])*($A12&lt;tbl_DataDraftApril26[End]))</f>
        <v>0</v>
      </c>
      <c r="E12" s="125" cm="1">
        <f t="array" ref="E12">SUMPRODUCT((tbl_DataDraftApril26[Phase]=E$1)*(ISNUMBER(tbl_DataDraftApril26[Start]))*(ISNUMBER(tbl_DataDraftApril26[End]))*($A12&gt;tbl_DataDraftApril26[Start])*($A12&lt;tbl_DataDraftApril26[End]))</f>
        <v>0</v>
      </c>
    </row>
    <row r="13" spans="1:5">
      <c r="A13" s="131">
        <v>45881</v>
      </c>
      <c r="B13" s="125" cm="1">
        <f t="array" ref="B13">SUMPRODUCT((tbl_DataDraftApril26[Phase]=B$1)*(ISNUMBER(tbl_DataDraftApril26[Start]))*(ISNUMBER(tbl_DataDraftApril26[End]))*($A13&gt;tbl_DataDraftApril26[Start])*($A13&lt;tbl_DataDraftApril26[End]))</f>
        <v>2</v>
      </c>
      <c r="C13" s="125" cm="1">
        <f t="array" ref="C13">SUMPRODUCT((tbl_DataDraftApril26[Phase]=C$1)*(ISNUMBER(tbl_DataDraftApril26[Start]))*(ISNUMBER(tbl_DataDraftApril26[End]))*($A13&gt;tbl_DataDraftApril26[Start])*($A13&lt;tbl_DataDraftApril26[End]))</f>
        <v>0</v>
      </c>
      <c r="D13" s="125" cm="1">
        <f t="array" ref="D13">SUMPRODUCT((tbl_DataDraftApril26[Phase]=D$1)*(ISNUMBER(tbl_DataDraftApril26[Start]))*(ISNUMBER(tbl_DataDraftApril26[End]))*($A13&gt;tbl_DataDraftApril26[Start])*($A13&lt;tbl_DataDraftApril26[End]))</f>
        <v>0</v>
      </c>
      <c r="E13" s="125" cm="1">
        <f t="array" ref="E13">SUMPRODUCT((tbl_DataDraftApril26[Phase]=E$1)*(ISNUMBER(tbl_DataDraftApril26[Start]))*(ISNUMBER(tbl_DataDraftApril26[End]))*($A13&gt;tbl_DataDraftApril26[Start])*($A13&lt;tbl_DataDraftApril26[End]))</f>
        <v>0</v>
      </c>
    </row>
    <row r="14" spans="1:5">
      <c r="A14" s="131">
        <v>45882</v>
      </c>
      <c r="B14" s="125" cm="1">
        <f t="array" ref="B14">SUMPRODUCT((tbl_DataDraftApril26[Phase]=B$1)*(ISNUMBER(tbl_DataDraftApril26[Start]))*(ISNUMBER(tbl_DataDraftApril26[End]))*($A14&gt;tbl_DataDraftApril26[Start])*($A14&lt;tbl_DataDraftApril26[End]))</f>
        <v>2</v>
      </c>
      <c r="C14" s="125" cm="1">
        <f t="array" ref="C14">SUMPRODUCT((tbl_DataDraftApril26[Phase]=C$1)*(ISNUMBER(tbl_DataDraftApril26[Start]))*(ISNUMBER(tbl_DataDraftApril26[End]))*($A14&gt;tbl_DataDraftApril26[Start])*($A14&lt;tbl_DataDraftApril26[End]))</f>
        <v>0</v>
      </c>
      <c r="D14" s="125" cm="1">
        <f t="array" ref="D14">SUMPRODUCT((tbl_DataDraftApril26[Phase]=D$1)*(ISNUMBER(tbl_DataDraftApril26[Start]))*(ISNUMBER(tbl_DataDraftApril26[End]))*($A14&gt;tbl_DataDraftApril26[Start])*($A14&lt;tbl_DataDraftApril26[End]))</f>
        <v>0</v>
      </c>
      <c r="E14" s="125" cm="1">
        <f t="array" ref="E14">SUMPRODUCT((tbl_DataDraftApril26[Phase]=E$1)*(ISNUMBER(tbl_DataDraftApril26[Start]))*(ISNUMBER(tbl_DataDraftApril26[End]))*($A14&gt;tbl_DataDraftApril26[Start])*($A14&lt;tbl_DataDraftApril26[End]))</f>
        <v>0</v>
      </c>
    </row>
    <row r="15" spans="1:5">
      <c r="A15" s="131">
        <v>45883</v>
      </c>
      <c r="B15" s="125" cm="1">
        <f t="array" ref="B15">SUMPRODUCT((tbl_DataDraftApril26[Phase]=B$1)*(ISNUMBER(tbl_DataDraftApril26[Start]))*(ISNUMBER(tbl_DataDraftApril26[End]))*($A15&gt;tbl_DataDraftApril26[Start])*($A15&lt;tbl_DataDraftApril26[End]))</f>
        <v>2</v>
      </c>
      <c r="C15" s="125" cm="1">
        <f t="array" ref="C15">SUMPRODUCT((tbl_DataDraftApril26[Phase]=C$1)*(ISNUMBER(tbl_DataDraftApril26[Start]))*(ISNUMBER(tbl_DataDraftApril26[End]))*($A15&gt;tbl_DataDraftApril26[Start])*($A15&lt;tbl_DataDraftApril26[End]))</f>
        <v>0</v>
      </c>
      <c r="D15" s="125" cm="1">
        <f t="array" ref="D15">SUMPRODUCT((tbl_DataDraftApril26[Phase]=D$1)*(ISNUMBER(tbl_DataDraftApril26[Start]))*(ISNUMBER(tbl_DataDraftApril26[End]))*($A15&gt;tbl_DataDraftApril26[Start])*($A15&lt;tbl_DataDraftApril26[End]))</f>
        <v>0</v>
      </c>
      <c r="E15" s="125" cm="1">
        <f t="array" ref="E15">SUMPRODUCT((tbl_DataDraftApril26[Phase]=E$1)*(ISNUMBER(tbl_DataDraftApril26[Start]))*(ISNUMBER(tbl_DataDraftApril26[End]))*($A15&gt;tbl_DataDraftApril26[Start])*($A15&lt;tbl_DataDraftApril26[End]))</f>
        <v>0</v>
      </c>
    </row>
    <row r="16" spans="1:5">
      <c r="A16" s="131">
        <v>45884</v>
      </c>
      <c r="B16" s="125" cm="1">
        <f t="array" ref="B16">SUMPRODUCT((tbl_DataDraftApril26[Phase]=B$1)*(ISNUMBER(tbl_DataDraftApril26[Start]))*(ISNUMBER(tbl_DataDraftApril26[End]))*($A16&gt;tbl_DataDraftApril26[Start])*($A16&lt;tbl_DataDraftApril26[End]))</f>
        <v>2</v>
      </c>
      <c r="C16" s="125" cm="1">
        <f t="array" ref="C16">SUMPRODUCT((tbl_DataDraftApril26[Phase]=C$1)*(ISNUMBER(tbl_DataDraftApril26[Start]))*(ISNUMBER(tbl_DataDraftApril26[End]))*($A16&gt;tbl_DataDraftApril26[Start])*($A16&lt;tbl_DataDraftApril26[End]))</f>
        <v>0</v>
      </c>
      <c r="D16" s="125" cm="1">
        <f t="array" ref="D16">SUMPRODUCT((tbl_DataDraftApril26[Phase]=D$1)*(ISNUMBER(tbl_DataDraftApril26[Start]))*(ISNUMBER(tbl_DataDraftApril26[End]))*($A16&gt;tbl_DataDraftApril26[Start])*($A16&lt;tbl_DataDraftApril26[End]))</f>
        <v>0</v>
      </c>
      <c r="E16" s="125" cm="1">
        <f t="array" ref="E16">SUMPRODUCT((tbl_DataDraftApril26[Phase]=E$1)*(ISNUMBER(tbl_DataDraftApril26[Start]))*(ISNUMBER(tbl_DataDraftApril26[End]))*($A16&gt;tbl_DataDraftApril26[Start])*($A16&lt;tbl_DataDraftApril26[End]))</f>
        <v>0</v>
      </c>
    </row>
    <row r="17" spans="1:5">
      <c r="A17" s="131">
        <v>45885</v>
      </c>
      <c r="B17" s="125" cm="1">
        <f t="array" ref="B17">SUMPRODUCT((tbl_DataDraftApril26[Phase]=B$1)*(ISNUMBER(tbl_DataDraftApril26[Start]))*(ISNUMBER(tbl_DataDraftApril26[End]))*($A17&gt;tbl_DataDraftApril26[Start])*($A17&lt;tbl_DataDraftApril26[End]))</f>
        <v>2</v>
      </c>
      <c r="C17" s="125" cm="1">
        <f t="array" ref="C17">SUMPRODUCT((tbl_DataDraftApril26[Phase]=C$1)*(ISNUMBER(tbl_DataDraftApril26[Start]))*(ISNUMBER(tbl_DataDraftApril26[End]))*($A17&gt;tbl_DataDraftApril26[Start])*($A17&lt;tbl_DataDraftApril26[End]))</f>
        <v>0</v>
      </c>
      <c r="D17" s="125" cm="1">
        <f t="array" ref="D17">SUMPRODUCT((tbl_DataDraftApril26[Phase]=D$1)*(ISNUMBER(tbl_DataDraftApril26[Start]))*(ISNUMBER(tbl_DataDraftApril26[End]))*($A17&gt;tbl_DataDraftApril26[Start])*($A17&lt;tbl_DataDraftApril26[End]))</f>
        <v>0</v>
      </c>
      <c r="E17" s="125" cm="1">
        <f t="array" ref="E17">SUMPRODUCT((tbl_DataDraftApril26[Phase]=E$1)*(ISNUMBER(tbl_DataDraftApril26[Start]))*(ISNUMBER(tbl_DataDraftApril26[End]))*($A17&gt;tbl_DataDraftApril26[Start])*($A17&lt;tbl_DataDraftApril26[End]))</f>
        <v>0</v>
      </c>
    </row>
    <row r="18" spans="1:5">
      <c r="A18" s="131">
        <v>45886</v>
      </c>
      <c r="B18" s="125" cm="1">
        <f t="array" ref="B18">SUMPRODUCT((tbl_DataDraftApril26[Phase]=B$1)*(ISNUMBER(tbl_DataDraftApril26[Start]))*(ISNUMBER(tbl_DataDraftApril26[End]))*($A18&gt;tbl_DataDraftApril26[Start])*($A18&lt;tbl_DataDraftApril26[End]))</f>
        <v>2</v>
      </c>
      <c r="C18" s="125" cm="1">
        <f t="array" ref="C18">SUMPRODUCT((tbl_DataDraftApril26[Phase]=C$1)*(ISNUMBER(tbl_DataDraftApril26[Start]))*(ISNUMBER(tbl_DataDraftApril26[End]))*($A18&gt;tbl_DataDraftApril26[Start])*($A18&lt;tbl_DataDraftApril26[End]))</f>
        <v>0</v>
      </c>
      <c r="D18" s="125" cm="1">
        <f t="array" ref="D18">SUMPRODUCT((tbl_DataDraftApril26[Phase]=D$1)*(ISNUMBER(tbl_DataDraftApril26[Start]))*(ISNUMBER(tbl_DataDraftApril26[End]))*($A18&gt;tbl_DataDraftApril26[Start])*($A18&lt;tbl_DataDraftApril26[End]))</f>
        <v>0</v>
      </c>
      <c r="E18" s="125" cm="1">
        <f t="array" ref="E18">SUMPRODUCT((tbl_DataDraftApril26[Phase]=E$1)*(ISNUMBER(tbl_DataDraftApril26[Start]))*(ISNUMBER(tbl_DataDraftApril26[End]))*($A18&gt;tbl_DataDraftApril26[Start])*($A18&lt;tbl_DataDraftApril26[End]))</f>
        <v>0</v>
      </c>
    </row>
    <row r="19" spans="1:5">
      <c r="A19" s="131">
        <v>45887</v>
      </c>
      <c r="B19" s="125" cm="1">
        <f t="array" ref="B19">SUMPRODUCT((tbl_DataDraftApril26[Phase]=B$1)*(ISNUMBER(tbl_DataDraftApril26[Start]))*(ISNUMBER(tbl_DataDraftApril26[End]))*($A19&gt;tbl_DataDraftApril26[Start])*($A19&lt;tbl_DataDraftApril26[End]))</f>
        <v>2</v>
      </c>
      <c r="C19" s="125" cm="1">
        <f t="array" ref="C19">SUMPRODUCT((tbl_DataDraftApril26[Phase]=C$1)*(ISNUMBER(tbl_DataDraftApril26[Start]))*(ISNUMBER(tbl_DataDraftApril26[End]))*($A19&gt;tbl_DataDraftApril26[Start])*($A19&lt;tbl_DataDraftApril26[End]))</f>
        <v>0</v>
      </c>
      <c r="D19" s="125" cm="1">
        <f t="array" ref="D19">SUMPRODUCT((tbl_DataDraftApril26[Phase]=D$1)*(ISNUMBER(tbl_DataDraftApril26[Start]))*(ISNUMBER(tbl_DataDraftApril26[End]))*($A19&gt;tbl_DataDraftApril26[Start])*($A19&lt;tbl_DataDraftApril26[End]))</f>
        <v>0</v>
      </c>
      <c r="E19" s="125" cm="1">
        <f t="array" ref="E19">SUMPRODUCT((tbl_DataDraftApril26[Phase]=E$1)*(ISNUMBER(tbl_DataDraftApril26[Start]))*(ISNUMBER(tbl_DataDraftApril26[End]))*($A19&gt;tbl_DataDraftApril26[Start])*($A19&lt;tbl_DataDraftApril26[End]))</f>
        <v>0</v>
      </c>
    </row>
    <row r="20" spans="1:5">
      <c r="A20" s="131">
        <v>45888</v>
      </c>
      <c r="B20" s="125" cm="1">
        <f t="array" ref="B20">SUMPRODUCT((tbl_DataDraftApril26[Phase]=B$1)*(ISNUMBER(tbl_DataDraftApril26[Start]))*(ISNUMBER(tbl_DataDraftApril26[End]))*($A20&gt;tbl_DataDraftApril26[Start])*($A20&lt;tbl_DataDraftApril26[End]))</f>
        <v>2</v>
      </c>
      <c r="C20" s="125" cm="1">
        <f t="array" ref="C20">SUMPRODUCT((tbl_DataDraftApril26[Phase]=C$1)*(ISNUMBER(tbl_DataDraftApril26[Start]))*(ISNUMBER(tbl_DataDraftApril26[End]))*($A20&gt;tbl_DataDraftApril26[Start])*($A20&lt;tbl_DataDraftApril26[End]))</f>
        <v>0</v>
      </c>
      <c r="D20" s="125" cm="1">
        <f t="array" ref="D20">SUMPRODUCT((tbl_DataDraftApril26[Phase]=D$1)*(ISNUMBER(tbl_DataDraftApril26[Start]))*(ISNUMBER(tbl_DataDraftApril26[End]))*($A20&gt;tbl_DataDraftApril26[Start])*($A20&lt;tbl_DataDraftApril26[End]))</f>
        <v>0</v>
      </c>
      <c r="E20" s="125" cm="1">
        <f t="array" ref="E20">SUMPRODUCT((tbl_DataDraftApril26[Phase]=E$1)*(ISNUMBER(tbl_DataDraftApril26[Start]))*(ISNUMBER(tbl_DataDraftApril26[End]))*($A20&gt;tbl_DataDraftApril26[Start])*($A20&lt;tbl_DataDraftApril26[End]))</f>
        <v>0</v>
      </c>
    </row>
    <row r="21" spans="1:5">
      <c r="A21" s="131">
        <v>45889</v>
      </c>
      <c r="B21" s="125" cm="1">
        <f t="array" ref="B21">SUMPRODUCT((tbl_DataDraftApril26[Phase]=B$1)*(ISNUMBER(tbl_DataDraftApril26[Start]))*(ISNUMBER(tbl_DataDraftApril26[End]))*($A21&gt;tbl_DataDraftApril26[Start])*($A21&lt;tbl_DataDraftApril26[End]))</f>
        <v>2</v>
      </c>
      <c r="C21" s="125" cm="1">
        <f t="array" ref="C21">SUMPRODUCT((tbl_DataDraftApril26[Phase]=C$1)*(ISNUMBER(tbl_DataDraftApril26[Start]))*(ISNUMBER(tbl_DataDraftApril26[End]))*($A21&gt;tbl_DataDraftApril26[Start])*($A21&lt;tbl_DataDraftApril26[End]))</f>
        <v>0</v>
      </c>
      <c r="D21" s="125" cm="1">
        <f t="array" ref="D21">SUMPRODUCT((tbl_DataDraftApril26[Phase]=D$1)*(ISNUMBER(tbl_DataDraftApril26[Start]))*(ISNUMBER(tbl_DataDraftApril26[End]))*($A21&gt;tbl_DataDraftApril26[Start])*($A21&lt;tbl_DataDraftApril26[End]))</f>
        <v>0</v>
      </c>
      <c r="E21" s="125" cm="1">
        <f t="array" ref="E21">SUMPRODUCT((tbl_DataDraftApril26[Phase]=E$1)*(ISNUMBER(tbl_DataDraftApril26[Start]))*(ISNUMBER(tbl_DataDraftApril26[End]))*($A21&gt;tbl_DataDraftApril26[Start])*($A21&lt;tbl_DataDraftApril26[End]))</f>
        <v>0</v>
      </c>
    </row>
    <row r="22" spans="1:5">
      <c r="A22" s="131">
        <v>45890</v>
      </c>
      <c r="B22" s="125" cm="1">
        <f t="array" ref="B22">SUMPRODUCT((tbl_DataDraftApril26[Phase]=B$1)*(ISNUMBER(tbl_DataDraftApril26[Start]))*(ISNUMBER(tbl_DataDraftApril26[End]))*($A22&gt;tbl_DataDraftApril26[Start])*($A22&lt;tbl_DataDraftApril26[End]))</f>
        <v>2</v>
      </c>
      <c r="C22" s="125" cm="1">
        <f t="array" ref="C22">SUMPRODUCT((tbl_DataDraftApril26[Phase]=C$1)*(ISNUMBER(tbl_DataDraftApril26[Start]))*(ISNUMBER(tbl_DataDraftApril26[End]))*($A22&gt;tbl_DataDraftApril26[Start])*($A22&lt;tbl_DataDraftApril26[End]))</f>
        <v>0</v>
      </c>
      <c r="D22" s="125" cm="1">
        <f t="array" ref="D22">SUMPRODUCT((tbl_DataDraftApril26[Phase]=D$1)*(ISNUMBER(tbl_DataDraftApril26[Start]))*(ISNUMBER(tbl_DataDraftApril26[End]))*($A22&gt;tbl_DataDraftApril26[Start])*($A22&lt;tbl_DataDraftApril26[End]))</f>
        <v>0</v>
      </c>
      <c r="E22" s="125" cm="1">
        <f t="array" ref="E22">SUMPRODUCT((tbl_DataDraftApril26[Phase]=E$1)*(ISNUMBER(tbl_DataDraftApril26[Start]))*(ISNUMBER(tbl_DataDraftApril26[End]))*($A22&gt;tbl_DataDraftApril26[Start])*($A22&lt;tbl_DataDraftApril26[End]))</f>
        <v>0</v>
      </c>
    </row>
    <row r="23" spans="1:5">
      <c r="A23" s="131">
        <v>45891</v>
      </c>
      <c r="B23" s="125" cm="1">
        <f t="array" ref="B23">SUMPRODUCT((tbl_DataDraftApril26[Phase]=B$1)*(ISNUMBER(tbl_DataDraftApril26[Start]))*(ISNUMBER(tbl_DataDraftApril26[End]))*($A23&gt;tbl_DataDraftApril26[Start])*($A23&lt;tbl_DataDraftApril26[End]))</f>
        <v>2</v>
      </c>
      <c r="C23" s="125" cm="1">
        <f t="array" ref="C23">SUMPRODUCT((tbl_DataDraftApril26[Phase]=C$1)*(ISNUMBER(tbl_DataDraftApril26[Start]))*(ISNUMBER(tbl_DataDraftApril26[End]))*($A23&gt;tbl_DataDraftApril26[Start])*($A23&lt;tbl_DataDraftApril26[End]))</f>
        <v>0</v>
      </c>
      <c r="D23" s="125" cm="1">
        <f t="array" ref="D23">SUMPRODUCT((tbl_DataDraftApril26[Phase]=D$1)*(ISNUMBER(tbl_DataDraftApril26[Start]))*(ISNUMBER(tbl_DataDraftApril26[End]))*($A23&gt;tbl_DataDraftApril26[Start])*($A23&lt;tbl_DataDraftApril26[End]))</f>
        <v>0</v>
      </c>
      <c r="E23" s="125" cm="1">
        <f t="array" ref="E23">SUMPRODUCT((tbl_DataDraftApril26[Phase]=E$1)*(ISNUMBER(tbl_DataDraftApril26[Start]))*(ISNUMBER(tbl_DataDraftApril26[End]))*($A23&gt;tbl_DataDraftApril26[Start])*($A23&lt;tbl_DataDraftApril26[End]))</f>
        <v>0</v>
      </c>
    </row>
    <row r="24" spans="1:5">
      <c r="A24" s="131">
        <v>45892</v>
      </c>
      <c r="B24" s="125" cm="1">
        <f t="array" ref="B24">SUMPRODUCT((tbl_DataDraftApril26[Phase]=B$1)*(ISNUMBER(tbl_DataDraftApril26[Start]))*(ISNUMBER(tbl_DataDraftApril26[End]))*($A24&gt;tbl_DataDraftApril26[Start])*($A24&lt;tbl_DataDraftApril26[End]))</f>
        <v>2</v>
      </c>
      <c r="C24" s="125" cm="1">
        <f t="array" ref="C24">SUMPRODUCT((tbl_DataDraftApril26[Phase]=C$1)*(ISNUMBER(tbl_DataDraftApril26[Start]))*(ISNUMBER(tbl_DataDraftApril26[End]))*($A24&gt;tbl_DataDraftApril26[Start])*($A24&lt;tbl_DataDraftApril26[End]))</f>
        <v>0</v>
      </c>
      <c r="D24" s="125" cm="1">
        <f t="array" ref="D24">SUMPRODUCT((tbl_DataDraftApril26[Phase]=D$1)*(ISNUMBER(tbl_DataDraftApril26[Start]))*(ISNUMBER(tbl_DataDraftApril26[End]))*($A24&gt;tbl_DataDraftApril26[Start])*($A24&lt;tbl_DataDraftApril26[End]))</f>
        <v>0</v>
      </c>
      <c r="E24" s="125" cm="1">
        <f t="array" ref="E24">SUMPRODUCT((tbl_DataDraftApril26[Phase]=E$1)*(ISNUMBER(tbl_DataDraftApril26[Start]))*(ISNUMBER(tbl_DataDraftApril26[End]))*($A24&gt;tbl_DataDraftApril26[Start])*($A24&lt;tbl_DataDraftApril26[End]))</f>
        <v>0</v>
      </c>
    </row>
    <row r="25" spans="1:5">
      <c r="A25" s="131">
        <v>45893</v>
      </c>
      <c r="B25" s="125" cm="1">
        <f t="array" ref="B25">SUMPRODUCT((tbl_DataDraftApril26[Phase]=B$1)*(ISNUMBER(tbl_DataDraftApril26[Start]))*(ISNUMBER(tbl_DataDraftApril26[End]))*($A25&gt;tbl_DataDraftApril26[Start])*($A25&lt;tbl_DataDraftApril26[End]))</f>
        <v>2</v>
      </c>
      <c r="C25" s="125" cm="1">
        <f t="array" ref="C25">SUMPRODUCT((tbl_DataDraftApril26[Phase]=C$1)*(ISNUMBER(tbl_DataDraftApril26[Start]))*(ISNUMBER(tbl_DataDraftApril26[End]))*($A25&gt;tbl_DataDraftApril26[Start])*($A25&lt;tbl_DataDraftApril26[End]))</f>
        <v>0</v>
      </c>
      <c r="D25" s="125" cm="1">
        <f t="array" ref="D25">SUMPRODUCT((tbl_DataDraftApril26[Phase]=D$1)*(ISNUMBER(tbl_DataDraftApril26[Start]))*(ISNUMBER(tbl_DataDraftApril26[End]))*($A25&gt;tbl_DataDraftApril26[Start])*($A25&lt;tbl_DataDraftApril26[End]))</f>
        <v>0</v>
      </c>
      <c r="E25" s="125" cm="1">
        <f t="array" ref="E25">SUMPRODUCT((tbl_DataDraftApril26[Phase]=E$1)*(ISNUMBER(tbl_DataDraftApril26[Start]))*(ISNUMBER(tbl_DataDraftApril26[End]))*($A25&gt;tbl_DataDraftApril26[Start])*($A25&lt;tbl_DataDraftApril26[End]))</f>
        <v>0</v>
      </c>
    </row>
    <row r="26" spans="1:5">
      <c r="A26" s="131">
        <v>45894</v>
      </c>
      <c r="B26" s="125" cm="1">
        <f t="array" ref="B26">SUMPRODUCT((tbl_DataDraftApril26[Phase]=B$1)*(ISNUMBER(tbl_DataDraftApril26[Start]))*(ISNUMBER(tbl_DataDraftApril26[End]))*($A26&gt;tbl_DataDraftApril26[Start])*($A26&lt;tbl_DataDraftApril26[End]))</f>
        <v>2</v>
      </c>
      <c r="C26" s="125" cm="1">
        <f t="array" ref="C26">SUMPRODUCT((tbl_DataDraftApril26[Phase]=C$1)*(ISNUMBER(tbl_DataDraftApril26[Start]))*(ISNUMBER(tbl_DataDraftApril26[End]))*($A26&gt;tbl_DataDraftApril26[Start])*($A26&lt;tbl_DataDraftApril26[End]))</f>
        <v>0</v>
      </c>
      <c r="D26" s="125" cm="1">
        <f t="array" ref="D26">SUMPRODUCT((tbl_DataDraftApril26[Phase]=D$1)*(ISNUMBER(tbl_DataDraftApril26[Start]))*(ISNUMBER(tbl_DataDraftApril26[End]))*($A26&gt;tbl_DataDraftApril26[Start])*($A26&lt;tbl_DataDraftApril26[End]))</f>
        <v>0</v>
      </c>
      <c r="E26" s="125" cm="1">
        <f t="array" ref="E26">SUMPRODUCT((tbl_DataDraftApril26[Phase]=E$1)*(ISNUMBER(tbl_DataDraftApril26[Start]))*(ISNUMBER(tbl_DataDraftApril26[End]))*($A26&gt;tbl_DataDraftApril26[Start])*($A26&lt;tbl_DataDraftApril26[End]))</f>
        <v>0</v>
      </c>
    </row>
    <row r="27" spans="1:5">
      <c r="A27" s="131">
        <v>45895</v>
      </c>
      <c r="B27" s="125" cm="1">
        <f t="array" ref="B27">SUMPRODUCT((tbl_DataDraftApril26[Phase]=B$1)*(ISNUMBER(tbl_DataDraftApril26[Start]))*(ISNUMBER(tbl_DataDraftApril26[End]))*($A27&gt;tbl_DataDraftApril26[Start])*($A27&lt;tbl_DataDraftApril26[End]))</f>
        <v>2</v>
      </c>
      <c r="C27" s="125" cm="1">
        <f t="array" ref="C27">SUMPRODUCT((tbl_DataDraftApril26[Phase]=C$1)*(ISNUMBER(tbl_DataDraftApril26[Start]))*(ISNUMBER(tbl_DataDraftApril26[End]))*($A27&gt;tbl_DataDraftApril26[Start])*($A27&lt;tbl_DataDraftApril26[End]))</f>
        <v>0</v>
      </c>
      <c r="D27" s="125" cm="1">
        <f t="array" ref="D27">SUMPRODUCT((tbl_DataDraftApril26[Phase]=D$1)*(ISNUMBER(tbl_DataDraftApril26[Start]))*(ISNUMBER(tbl_DataDraftApril26[End]))*($A27&gt;tbl_DataDraftApril26[Start])*($A27&lt;tbl_DataDraftApril26[End]))</f>
        <v>0</v>
      </c>
      <c r="E27" s="125" cm="1">
        <f t="array" ref="E27">SUMPRODUCT((tbl_DataDraftApril26[Phase]=E$1)*(ISNUMBER(tbl_DataDraftApril26[Start]))*(ISNUMBER(tbl_DataDraftApril26[End]))*($A27&gt;tbl_DataDraftApril26[Start])*($A27&lt;tbl_DataDraftApril26[End]))</f>
        <v>0</v>
      </c>
    </row>
    <row r="28" spans="1:5">
      <c r="A28" s="131">
        <v>45896</v>
      </c>
      <c r="B28" s="125" cm="1">
        <f t="array" ref="B28">SUMPRODUCT((tbl_DataDraftApril26[Phase]=B$1)*(ISNUMBER(tbl_DataDraftApril26[Start]))*(ISNUMBER(tbl_DataDraftApril26[End]))*($A28&gt;tbl_DataDraftApril26[Start])*($A28&lt;tbl_DataDraftApril26[End]))</f>
        <v>2</v>
      </c>
      <c r="C28" s="125" cm="1">
        <f t="array" ref="C28">SUMPRODUCT((tbl_DataDraftApril26[Phase]=C$1)*(ISNUMBER(tbl_DataDraftApril26[Start]))*(ISNUMBER(tbl_DataDraftApril26[End]))*($A28&gt;tbl_DataDraftApril26[Start])*($A28&lt;tbl_DataDraftApril26[End]))</f>
        <v>0</v>
      </c>
      <c r="D28" s="125" cm="1">
        <f t="array" ref="D28">SUMPRODUCT((tbl_DataDraftApril26[Phase]=D$1)*(ISNUMBER(tbl_DataDraftApril26[Start]))*(ISNUMBER(tbl_DataDraftApril26[End]))*($A28&gt;tbl_DataDraftApril26[Start])*($A28&lt;tbl_DataDraftApril26[End]))</f>
        <v>0</v>
      </c>
      <c r="E28" s="125" cm="1">
        <f t="array" ref="E28">SUMPRODUCT((tbl_DataDraftApril26[Phase]=E$1)*(ISNUMBER(tbl_DataDraftApril26[Start]))*(ISNUMBER(tbl_DataDraftApril26[End]))*($A28&gt;tbl_DataDraftApril26[Start])*($A28&lt;tbl_DataDraftApril26[End]))</f>
        <v>0</v>
      </c>
    </row>
    <row r="29" spans="1:5">
      <c r="A29" s="131">
        <v>45897</v>
      </c>
      <c r="B29" s="125" cm="1">
        <f t="array" ref="B29">SUMPRODUCT((tbl_DataDraftApril26[Phase]=B$1)*(ISNUMBER(tbl_DataDraftApril26[Start]))*(ISNUMBER(tbl_DataDraftApril26[End]))*($A29&gt;tbl_DataDraftApril26[Start])*($A29&lt;tbl_DataDraftApril26[End]))</f>
        <v>2</v>
      </c>
      <c r="C29" s="125" cm="1">
        <f t="array" ref="C29">SUMPRODUCT((tbl_DataDraftApril26[Phase]=C$1)*(ISNUMBER(tbl_DataDraftApril26[Start]))*(ISNUMBER(tbl_DataDraftApril26[End]))*($A29&gt;tbl_DataDraftApril26[Start])*($A29&lt;tbl_DataDraftApril26[End]))</f>
        <v>0</v>
      </c>
      <c r="D29" s="125" cm="1">
        <f t="array" ref="D29">SUMPRODUCT((tbl_DataDraftApril26[Phase]=D$1)*(ISNUMBER(tbl_DataDraftApril26[Start]))*(ISNUMBER(tbl_DataDraftApril26[End]))*($A29&gt;tbl_DataDraftApril26[Start])*($A29&lt;tbl_DataDraftApril26[End]))</f>
        <v>0</v>
      </c>
      <c r="E29" s="125" cm="1">
        <f t="array" ref="E29">SUMPRODUCT((tbl_DataDraftApril26[Phase]=E$1)*(ISNUMBER(tbl_DataDraftApril26[Start]))*(ISNUMBER(tbl_DataDraftApril26[End]))*($A29&gt;tbl_DataDraftApril26[Start])*($A29&lt;tbl_DataDraftApril26[End]))</f>
        <v>0</v>
      </c>
    </row>
    <row r="30" spans="1:5">
      <c r="A30" s="131">
        <v>45898</v>
      </c>
      <c r="B30" s="125" cm="1">
        <f t="array" ref="B30">SUMPRODUCT((tbl_DataDraftApril26[Phase]=B$1)*(ISNUMBER(tbl_DataDraftApril26[Start]))*(ISNUMBER(tbl_DataDraftApril26[End]))*($A30&gt;tbl_DataDraftApril26[Start])*($A30&lt;tbl_DataDraftApril26[End]))</f>
        <v>2</v>
      </c>
      <c r="C30" s="125" cm="1">
        <f t="array" ref="C30">SUMPRODUCT((tbl_DataDraftApril26[Phase]=C$1)*(ISNUMBER(tbl_DataDraftApril26[Start]))*(ISNUMBER(tbl_DataDraftApril26[End]))*($A30&gt;tbl_DataDraftApril26[Start])*($A30&lt;tbl_DataDraftApril26[End]))</f>
        <v>0</v>
      </c>
      <c r="D30" s="125" cm="1">
        <f t="array" ref="D30">SUMPRODUCT((tbl_DataDraftApril26[Phase]=D$1)*(ISNUMBER(tbl_DataDraftApril26[Start]))*(ISNUMBER(tbl_DataDraftApril26[End]))*($A30&gt;tbl_DataDraftApril26[Start])*($A30&lt;tbl_DataDraftApril26[End]))</f>
        <v>0</v>
      </c>
      <c r="E30" s="125" cm="1">
        <f t="array" ref="E30">SUMPRODUCT((tbl_DataDraftApril26[Phase]=E$1)*(ISNUMBER(tbl_DataDraftApril26[Start]))*(ISNUMBER(tbl_DataDraftApril26[End]))*($A30&gt;tbl_DataDraftApril26[Start])*($A30&lt;tbl_DataDraftApril26[End]))</f>
        <v>0</v>
      </c>
    </row>
    <row r="31" spans="1:5">
      <c r="A31" s="131">
        <v>45899</v>
      </c>
      <c r="B31" s="125" cm="1">
        <f t="array" ref="B31">SUMPRODUCT((tbl_DataDraftApril26[Phase]=B$1)*(ISNUMBER(tbl_DataDraftApril26[Start]))*(ISNUMBER(tbl_DataDraftApril26[End]))*($A31&gt;tbl_DataDraftApril26[Start])*($A31&lt;tbl_DataDraftApril26[End]))</f>
        <v>1</v>
      </c>
      <c r="C31" s="125" cm="1">
        <f t="array" ref="C31">SUMPRODUCT((tbl_DataDraftApril26[Phase]=C$1)*(ISNUMBER(tbl_DataDraftApril26[Start]))*(ISNUMBER(tbl_DataDraftApril26[End]))*($A31&gt;tbl_DataDraftApril26[Start])*($A31&lt;tbl_DataDraftApril26[End]))</f>
        <v>0</v>
      </c>
      <c r="D31" s="125" cm="1">
        <f t="array" ref="D31">SUMPRODUCT((tbl_DataDraftApril26[Phase]=D$1)*(ISNUMBER(tbl_DataDraftApril26[Start]))*(ISNUMBER(tbl_DataDraftApril26[End]))*($A31&gt;tbl_DataDraftApril26[Start])*($A31&lt;tbl_DataDraftApril26[End]))</f>
        <v>0</v>
      </c>
      <c r="E31" s="125" cm="1">
        <f t="array" ref="E31">SUMPRODUCT((tbl_DataDraftApril26[Phase]=E$1)*(ISNUMBER(tbl_DataDraftApril26[Start]))*(ISNUMBER(tbl_DataDraftApril26[End]))*($A31&gt;tbl_DataDraftApril26[Start])*($A31&lt;tbl_DataDraftApril26[End]))</f>
        <v>0</v>
      </c>
    </row>
    <row r="32" spans="1:5">
      <c r="A32" s="131">
        <v>45900</v>
      </c>
      <c r="B32" s="125" cm="1">
        <f t="array" ref="B32">SUMPRODUCT((tbl_DataDraftApril26[Phase]=B$1)*(ISNUMBER(tbl_DataDraftApril26[Start]))*(ISNUMBER(tbl_DataDraftApril26[End]))*($A32&gt;tbl_DataDraftApril26[Start])*($A32&lt;tbl_DataDraftApril26[End]))</f>
        <v>1</v>
      </c>
      <c r="C32" s="125" cm="1">
        <f t="array" ref="C32">SUMPRODUCT((tbl_DataDraftApril26[Phase]=C$1)*(ISNUMBER(tbl_DataDraftApril26[Start]))*(ISNUMBER(tbl_DataDraftApril26[End]))*($A32&gt;tbl_DataDraftApril26[Start])*($A32&lt;tbl_DataDraftApril26[End]))</f>
        <v>0</v>
      </c>
      <c r="D32" s="125" cm="1">
        <f t="array" ref="D32">SUMPRODUCT((tbl_DataDraftApril26[Phase]=D$1)*(ISNUMBER(tbl_DataDraftApril26[Start]))*(ISNUMBER(tbl_DataDraftApril26[End]))*($A32&gt;tbl_DataDraftApril26[Start])*($A32&lt;tbl_DataDraftApril26[End]))</f>
        <v>0</v>
      </c>
      <c r="E32" s="125" cm="1">
        <f t="array" ref="E32">SUMPRODUCT((tbl_DataDraftApril26[Phase]=E$1)*(ISNUMBER(tbl_DataDraftApril26[Start]))*(ISNUMBER(tbl_DataDraftApril26[End]))*($A32&gt;tbl_DataDraftApril26[Start])*($A32&lt;tbl_DataDraftApril26[End]))</f>
        <v>0</v>
      </c>
    </row>
    <row r="33" spans="1:5">
      <c r="A33" s="131">
        <v>45901</v>
      </c>
      <c r="B33" s="125" cm="1">
        <f t="array" ref="B33">SUMPRODUCT((tbl_DataDraftApril26[Phase]=B$1)*(ISNUMBER(tbl_DataDraftApril26[Start]))*(ISNUMBER(tbl_DataDraftApril26[End]))*($A33&gt;tbl_DataDraftApril26[Start])*($A33&lt;tbl_DataDraftApril26[End]))</f>
        <v>1</v>
      </c>
      <c r="C33" s="125" cm="1">
        <f t="array" ref="C33">SUMPRODUCT((tbl_DataDraftApril26[Phase]=C$1)*(ISNUMBER(tbl_DataDraftApril26[Start]))*(ISNUMBER(tbl_DataDraftApril26[End]))*($A33&gt;tbl_DataDraftApril26[Start])*($A33&lt;tbl_DataDraftApril26[End]))</f>
        <v>0</v>
      </c>
      <c r="D33" s="125" cm="1">
        <f t="array" ref="D33">SUMPRODUCT((tbl_DataDraftApril26[Phase]=D$1)*(ISNUMBER(tbl_DataDraftApril26[Start]))*(ISNUMBER(tbl_DataDraftApril26[End]))*($A33&gt;tbl_DataDraftApril26[Start])*($A33&lt;tbl_DataDraftApril26[End]))</f>
        <v>0</v>
      </c>
      <c r="E33" s="125" cm="1">
        <f t="array" ref="E33">SUMPRODUCT((tbl_DataDraftApril26[Phase]=E$1)*(ISNUMBER(tbl_DataDraftApril26[Start]))*(ISNUMBER(tbl_DataDraftApril26[End]))*($A33&gt;tbl_DataDraftApril26[Start])*($A33&lt;tbl_DataDraftApril26[End]))</f>
        <v>0</v>
      </c>
    </row>
    <row r="34" spans="1:5">
      <c r="A34" s="131">
        <v>45902</v>
      </c>
      <c r="B34" s="125" cm="1">
        <f t="array" ref="B34">SUMPRODUCT((tbl_DataDraftApril26[Phase]=B$1)*(ISNUMBER(tbl_DataDraftApril26[Start]))*(ISNUMBER(tbl_DataDraftApril26[End]))*($A34&gt;tbl_DataDraftApril26[Start])*($A34&lt;tbl_DataDraftApril26[End]))</f>
        <v>1</v>
      </c>
      <c r="C34" s="125" cm="1">
        <f t="array" ref="C34">SUMPRODUCT((tbl_DataDraftApril26[Phase]=C$1)*(ISNUMBER(tbl_DataDraftApril26[Start]))*(ISNUMBER(tbl_DataDraftApril26[End]))*($A34&gt;tbl_DataDraftApril26[Start])*($A34&lt;tbl_DataDraftApril26[End]))</f>
        <v>0</v>
      </c>
      <c r="D34" s="125" cm="1">
        <f t="array" ref="D34">SUMPRODUCT((tbl_DataDraftApril26[Phase]=D$1)*(ISNUMBER(tbl_DataDraftApril26[Start]))*(ISNUMBER(tbl_DataDraftApril26[End]))*($A34&gt;tbl_DataDraftApril26[Start])*($A34&lt;tbl_DataDraftApril26[End]))</f>
        <v>0</v>
      </c>
      <c r="E34" s="125" cm="1">
        <f t="array" ref="E34">SUMPRODUCT((tbl_DataDraftApril26[Phase]=E$1)*(ISNUMBER(tbl_DataDraftApril26[Start]))*(ISNUMBER(tbl_DataDraftApril26[End]))*($A34&gt;tbl_DataDraftApril26[Start])*($A34&lt;tbl_DataDraftApril26[End]))</f>
        <v>0</v>
      </c>
    </row>
    <row r="35" spans="1:5">
      <c r="A35" s="131">
        <v>45903</v>
      </c>
      <c r="B35" s="125" cm="1">
        <f t="array" ref="B35">SUMPRODUCT((tbl_DataDraftApril26[Phase]=B$1)*(ISNUMBER(tbl_DataDraftApril26[Start]))*(ISNUMBER(tbl_DataDraftApril26[End]))*($A35&gt;tbl_DataDraftApril26[Start])*($A35&lt;tbl_DataDraftApril26[End]))</f>
        <v>1</v>
      </c>
      <c r="C35" s="125" cm="1">
        <f t="array" ref="C35">SUMPRODUCT((tbl_DataDraftApril26[Phase]=C$1)*(ISNUMBER(tbl_DataDraftApril26[Start]))*(ISNUMBER(tbl_DataDraftApril26[End]))*($A35&gt;tbl_DataDraftApril26[Start])*($A35&lt;tbl_DataDraftApril26[End]))</f>
        <v>0</v>
      </c>
      <c r="D35" s="125" cm="1">
        <f t="array" ref="D35">SUMPRODUCT((tbl_DataDraftApril26[Phase]=D$1)*(ISNUMBER(tbl_DataDraftApril26[Start]))*(ISNUMBER(tbl_DataDraftApril26[End]))*($A35&gt;tbl_DataDraftApril26[Start])*($A35&lt;tbl_DataDraftApril26[End]))</f>
        <v>0</v>
      </c>
      <c r="E35" s="125" cm="1">
        <f t="array" ref="E35">SUMPRODUCT((tbl_DataDraftApril26[Phase]=E$1)*(ISNUMBER(tbl_DataDraftApril26[Start]))*(ISNUMBER(tbl_DataDraftApril26[End]))*($A35&gt;tbl_DataDraftApril26[Start])*($A35&lt;tbl_DataDraftApril26[End]))</f>
        <v>0</v>
      </c>
    </row>
    <row r="36" spans="1:5">
      <c r="A36" s="131">
        <v>45904</v>
      </c>
      <c r="B36" s="125" cm="1">
        <f t="array" ref="B36">SUMPRODUCT((tbl_DataDraftApril26[Phase]=B$1)*(ISNUMBER(tbl_DataDraftApril26[Start]))*(ISNUMBER(tbl_DataDraftApril26[End]))*($A36&gt;tbl_DataDraftApril26[Start])*($A36&lt;tbl_DataDraftApril26[End]))</f>
        <v>1</v>
      </c>
      <c r="C36" s="125" cm="1">
        <f t="array" ref="C36">SUMPRODUCT((tbl_DataDraftApril26[Phase]=C$1)*(ISNUMBER(tbl_DataDraftApril26[Start]))*(ISNUMBER(tbl_DataDraftApril26[End]))*($A36&gt;tbl_DataDraftApril26[Start])*($A36&lt;tbl_DataDraftApril26[End]))</f>
        <v>0</v>
      </c>
      <c r="D36" s="125" cm="1">
        <f t="array" ref="D36">SUMPRODUCT((tbl_DataDraftApril26[Phase]=D$1)*(ISNUMBER(tbl_DataDraftApril26[Start]))*(ISNUMBER(tbl_DataDraftApril26[End]))*($A36&gt;tbl_DataDraftApril26[Start])*($A36&lt;tbl_DataDraftApril26[End]))</f>
        <v>0</v>
      </c>
      <c r="E36" s="125" cm="1">
        <f t="array" ref="E36">SUMPRODUCT((tbl_DataDraftApril26[Phase]=E$1)*(ISNUMBER(tbl_DataDraftApril26[Start]))*(ISNUMBER(tbl_DataDraftApril26[End]))*($A36&gt;tbl_DataDraftApril26[Start])*($A36&lt;tbl_DataDraftApril26[End]))</f>
        <v>0</v>
      </c>
    </row>
    <row r="37" spans="1:5">
      <c r="A37" s="131">
        <v>45905</v>
      </c>
      <c r="B37" s="125" cm="1">
        <f t="array" ref="B37">SUMPRODUCT((tbl_DataDraftApril26[Phase]=B$1)*(ISNUMBER(tbl_DataDraftApril26[Start]))*(ISNUMBER(tbl_DataDraftApril26[End]))*($A37&gt;tbl_DataDraftApril26[Start])*($A37&lt;tbl_DataDraftApril26[End]))</f>
        <v>1</v>
      </c>
      <c r="C37" s="125" cm="1">
        <f t="array" ref="C37">SUMPRODUCT((tbl_DataDraftApril26[Phase]=C$1)*(ISNUMBER(tbl_DataDraftApril26[Start]))*(ISNUMBER(tbl_DataDraftApril26[End]))*($A37&gt;tbl_DataDraftApril26[Start])*($A37&lt;tbl_DataDraftApril26[End]))</f>
        <v>0</v>
      </c>
      <c r="D37" s="125" cm="1">
        <f t="array" ref="D37">SUMPRODUCT((tbl_DataDraftApril26[Phase]=D$1)*(ISNUMBER(tbl_DataDraftApril26[Start]))*(ISNUMBER(tbl_DataDraftApril26[End]))*($A37&gt;tbl_DataDraftApril26[Start])*($A37&lt;tbl_DataDraftApril26[End]))</f>
        <v>0</v>
      </c>
      <c r="E37" s="125" cm="1">
        <f t="array" ref="E37">SUMPRODUCT((tbl_DataDraftApril26[Phase]=E$1)*(ISNUMBER(tbl_DataDraftApril26[Start]))*(ISNUMBER(tbl_DataDraftApril26[End]))*($A37&gt;tbl_DataDraftApril26[Start])*($A37&lt;tbl_DataDraftApril26[End]))</f>
        <v>0</v>
      </c>
    </row>
    <row r="38" spans="1:5">
      <c r="A38" s="131">
        <v>45906</v>
      </c>
      <c r="B38" s="125" cm="1">
        <f t="array" ref="B38">SUMPRODUCT((tbl_DataDraftApril26[Phase]=B$1)*(ISNUMBER(tbl_DataDraftApril26[Start]))*(ISNUMBER(tbl_DataDraftApril26[End]))*($A38&gt;tbl_DataDraftApril26[Start])*($A38&lt;tbl_DataDraftApril26[End]))</f>
        <v>1</v>
      </c>
      <c r="C38" s="125" cm="1">
        <f t="array" ref="C38">SUMPRODUCT((tbl_DataDraftApril26[Phase]=C$1)*(ISNUMBER(tbl_DataDraftApril26[Start]))*(ISNUMBER(tbl_DataDraftApril26[End]))*($A38&gt;tbl_DataDraftApril26[Start])*($A38&lt;tbl_DataDraftApril26[End]))</f>
        <v>0</v>
      </c>
      <c r="D38" s="125" cm="1">
        <f t="array" ref="D38">SUMPRODUCT((tbl_DataDraftApril26[Phase]=D$1)*(ISNUMBER(tbl_DataDraftApril26[Start]))*(ISNUMBER(tbl_DataDraftApril26[End]))*($A38&gt;tbl_DataDraftApril26[Start])*($A38&lt;tbl_DataDraftApril26[End]))</f>
        <v>0</v>
      </c>
      <c r="E38" s="125" cm="1">
        <f t="array" ref="E38">SUMPRODUCT((tbl_DataDraftApril26[Phase]=E$1)*(ISNUMBER(tbl_DataDraftApril26[Start]))*(ISNUMBER(tbl_DataDraftApril26[End]))*($A38&gt;tbl_DataDraftApril26[Start])*($A38&lt;tbl_DataDraftApril26[End]))</f>
        <v>0</v>
      </c>
    </row>
    <row r="39" spans="1:5">
      <c r="A39" s="131">
        <v>45907</v>
      </c>
      <c r="B39" s="125" cm="1">
        <f t="array" ref="B39">SUMPRODUCT((tbl_DataDraftApril26[Phase]=B$1)*(ISNUMBER(tbl_DataDraftApril26[Start]))*(ISNUMBER(tbl_DataDraftApril26[End]))*($A39&gt;tbl_DataDraftApril26[Start])*($A39&lt;tbl_DataDraftApril26[End]))</f>
        <v>1</v>
      </c>
      <c r="C39" s="125" cm="1">
        <f t="array" ref="C39">SUMPRODUCT((tbl_DataDraftApril26[Phase]=C$1)*(ISNUMBER(tbl_DataDraftApril26[Start]))*(ISNUMBER(tbl_DataDraftApril26[End]))*($A39&gt;tbl_DataDraftApril26[Start])*($A39&lt;tbl_DataDraftApril26[End]))</f>
        <v>0</v>
      </c>
      <c r="D39" s="125" cm="1">
        <f t="array" ref="D39">SUMPRODUCT((tbl_DataDraftApril26[Phase]=D$1)*(ISNUMBER(tbl_DataDraftApril26[Start]))*(ISNUMBER(tbl_DataDraftApril26[End]))*($A39&gt;tbl_DataDraftApril26[Start])*($A39&lt;tbl_DataDraftApril26[End]))</f>
        <v>0</v>
      </c>
      <c r="E39" s="125" cm="1">
        <f t="array" ref="E39">SUMPRODUCT((tbl_DataDraftApril26[Phase]=E$1)*(ISNUMBER(tbl_DataDraftApril26[Start]))*(ISNUMBER(tbl_DataDraftApril26[End]))*($A39&gt;tbl_DataDraftApril26[Start])*($A39&lt;tbl_DataDraftApril26[End]))</f>
        <v>0</v>
      </c>
    </row>
    <row r="40" spans="1:5">
      <c r="A40" s="131">
        <v>45908</v>
      </c>
      <c r="B40" s="125" cm="1">
        <f t="array" ref="B40">SUMPRODUCT((tbl_DataDraftApril26[Phase]=B$1)*(ISNUMBER(tbl_DataDraftApril26[Start]))*(ISNUMBER(tbl_DataDraftApril26[End]))*($A40&gt;tbl_DataDraftApril26[Start])*($A40&lt;tbl_DataDraftApril26[End]))</f>
        <v>1</v>
      </c>
      <c r="C40" s="125" cm="1">
        <f t="array" ref="C40">SUMPRODUCT((tbl_DataDraftApril26[Phase]=C$1)*(ISNUMBER(tbl_DataDraftApril26[Start]))*(ISNUMBER(tbl_DataDraftApril26[End]))*($A40&gt;tbl_DataDraftApril26[Start])*($A40&lt;tbl_DataDraftApril26[End]))</f>
        <v>0</v>
      </c>
      <c r="D40" s="125" cm="1">
        <f t="array" ref="D40">SUMPRODUCT((tbl_DataDraftApril26[Phase]=D$1)*(ISNUMBER(tbl_DataDraftApril26[Start]))*(ISNUMBER(tbl_DataDraftApril26[End]))*($A40&gt;tbl_DataDraftApril26[Start])*($A40&lt;tbl_DataDraftApril26[End]))</f>
        <v>0</v>
      </c>
      <c r="E40" s="125" cm="1">
        <f t="array" ref="E40">SUMPRODUCT((tbl_DataDraftApril26[Phase]=E$1)*(ISNUMBER(tbl_DataDraftApril26[Start]))*(ISNUMBER(tbl_DataDraftApril26[End]))*($A40&gt;tbl_DataDraftApril26[Start])*($A40&lt;tbl_DataDraftApril26[End]))</f>
        <v>0</v>
      </c>
    </row>
    <row r="41" spans="1:5">
      <c r="A41" s="131">
        <v>45909</v>
      </c>
      <c r="B41" s="125" cm="1">
        <f t="array" ref="B41">SUMPRODUCT((tbl_DataDraftApril26[Phase]=B$1)*(ISNUMBER(tbl_DataDraftApril26[Start]))*(ISNUMBER(tbl_DataDraftApril26[End]))*($A41&gt;tbl_DataDraftApril26[Start])*($A41&lt;tbl_DataDraftApril26[End]))</f>
        <v>1</v>
      </c>
      <c r="C41" s="125" cm="1">
        <f t="array" ref="C41">SUMPRODUCT((tbl_DataDraftApril26[Phase]=C$1)*(ISNUMBER(tbl_DataDraftApril26[Start]))*(ISNUMBER(tbl_DataDraftApril26[End]))*($A41&gt;tbl_DataDraftApril26[Start])*($A41&lt;tbl_DataDraftApril26[End]))</f>
        <v>0</v>
      </c>
      <c r="D41" s="125" cm="1">
        <f t="array" ref="D41">SUMPRODUCT((tbl_DataDraftApril26[Phase]=D$1)*(ISNUMBER(tbl_DataDraftApril26[Start]))*(ISNUMBER(tbl_DataDraftApril26[End]))*($A41&gt;tbl_DataDraftApril26[Start])*($A41&lt;tbl_DataDraftApril26[End]))</f>
        <v>0</v>
      </c>
      <c r="E41" s="125" cm="1">
        <f t="array" ref="E41">SUMPRODUCT((tbl_DataDraftApril26[Phase]=E$1)*(ISNUMBER(tbl_DataDraftApril26[Start]))*(ISNUMBER(tbl_DataDraftApril26[End]))*($A41&gt;tbl_DataDraftApril26[Start])*($A41&lt;tbl_DataDraftApril26[End]))</f>
        <v>0</v>
      </c>
    </row>
    <row r="42" spans="1:5">
      <c r="A42" s="131">
        <v>45910</v>
      </c>
      <c r="B42" s="125" cm="1">
        <f t="array" ref="B42">SUMPRODUCT((tbl_DataDraftApril26[Phase]=B$1)*(ISNUMBER(tbl_DataDraftApril26[Start]))*(ISNUMBER(tbl_DataDraftApril26[End]))*($A42&gt;tbl_DataDraftApril26[Start])*($A42&lt;tbl_DataDraftApril26[End]))</f>
        <v>1</v>
      </c>
      <c r="C42" s="125" cm="1">
        <f t="array" ref="C42">SUMPRODUCT((tbl_DataDraftApril26[Phase]=C$1)*(ISNUMBER(tbl_DataDraftApril26[Start]))*(ISNUMBER(tbl_DataDraftApril26[End]))*($A42&gt;tbl_DataDraftApril26[Start])*($A42&lt;tbl_DataDraftApril26[End]))</f>
        <v>0</v>
      </c>
      <c r="D42" s="125" cm="1">
        <f t="array" ref="D42">SUMPRODUCT((tbl_DataDraftApril26[Phase]=D$1)*(ISNUMBER(tbl_DataDraftApril26[Start]))*(ISNUMBER(tbl_DataDraftApril26[End]))*($A42&gt;tbl_DataDraftApril26[Start])*($A42&lt;tbl_DataDraftApril26[End]))</f>
        <v>0</v>
      </c>
      <c r="E42" s="125" cm="1">
        <f t="array" ref="E42">SUMPRODUCT((tbl_DataDraftApril26[Phase]=E$1)*(ISNUMBER(tbl_DataDraftApril26[Start]))*(ISNUMBER(tbl_DataDraftApril26[End]))*($A42&gt;tbl_DataDraftApril26[Start])*($A42&lt;tbl_DataDraftApril26[End]))</f>
        <v>0</v>
      </c>
    </row>
    <row r="43" spans="1:5">
      <c r="A43" s="131">
        <v>45911</v>
      </c>
      <c r="B43" s="125" cm="1">
        <f t="array" ref="B43">SUMPRODUCT((tbl_DataDraftApril26[Phase]=B$1)*(ISNUMBER(tbl_DataDraftApril26[Start]))*(ISNUMBER(tbl_DataDraftApril26[End]))*($A43&gt;tbl_DataDraftApril26[Start])*($A43&lt;tbl_DataDraftApril26[End]))</f>
        <v>1</v>
      </c>
      <c r="C43" s="125" cm="1">
        <f t="array" ref="C43">SUMPRODUCT((tbl_DataDraftApril26[Phase]=C$1)*(ISNUMBER(tbl_DataDraftApril26[Start]))*(ISNUMBER(tbl_DataDraftApril26[End]))*($A43&gt;tbl_DataDraftApril26[Start])*($A43&lt;tbl_DataDraftApril26[End]))</f>
        <v>0</v>
      </c>
      <c r="D43" s="125" cm="1">
        <f t="array" ref="D43">SUMPRODUCT((tbl_DataDraftApril26[Phase]=D$1)*(ISNUMBER(tbl_DataDraftApril26[Start]))*(ISNUMBER(tbl_DataDraftApril26[End]))*($A43&gt;tbl_DataDraftApril26[Start])*($A43&lt;tbl_DataDraftApril26[End]))</f>
        <v>0</v>
      </c>
      <c r="E43" s="125" cm="1">
        <f t="array" ref="E43">SUMPRODUCT((tbl_DataDraftApril26[Phase]=E$1)*(ISNUMBER(tbl_DataDraftApril26[Start]))*(ISNUMBER(tbl_DataDraftApril26[End]))*($A43&gt;tbl_DataDraftApril26[Start])*($A43&lt;tbl_DataDraftApril26[End]))</f>
        <v>0</v>
      </c>
    </row>
    <row r="44" spans="1:5">
      <c r="A44" s="131">
        <v>45912</v>
      </c>
      <c r="B44" s="125" cm="1">
        <f t="array" ref="B44">SUMPRODUCT((tbl_DataDraftApril26[Phase]=B$1)*(ISNUMBER(tbl_DataDraftApril26[Start]))*(ISNUMBER(tbl_DataDraftApril26[End]))*($A44&gt;tbl_DataDraftApril26[Start])*($A44&lt;tbl_DataDraftApril26[End]))</f>
        <v>1</v>
      </c>
      <c r="C44" s="125" cm="1">
        <f t="array" ref="C44">SUMPRODUCT((tbl_DataDraftApril26[Phase]=C$1)*(ISNUMBER(tbl_DataDraftApril26[Start]))*(ISNUMBER(tbl_DataDraftApril26[End]))*($A44&gt;tbl_DataDraftApril26[Start])*($A44&lt;tbl_DataDraftApril26[End]))</f>
        <v>0</v>
      </c>
      <c r="D44" s="125" cm="1">
        <f t="array" ref="D44">SUMPRODUCT((tbl_DataDraftApril26[Phase]=D$1)*(ISNUMBER(tbl_DataDraftApril26[Start]))*(ISNUMBER(tbl_DataDraftApril26[End]))*($A44&gt;tbl_DataDraftApril26[Start])*($A44&lt;tbl_DataDraftApril26[End]))</f>
        <v>0</v>
      </c>
      <c r="E44" s="125" cm="1">
        <f t="array" ref="E44">SUMPRODUCT((tbl_DataDraftApril26[Phase]=E$1)*(ISNUMBER(tbl_DataDraftApril26[Start]))*(ISNUMBER(tbl_DataDraftApril26[End]))*($A44&gt;tbl_DataDraftApril26[Start])*($A44&lt;tbl_DataDraftApril26[End]))</f>
        <v>0</v>
      </c>
    </row>
    <row r="45" spans="1:5">
      <c r="A45" s="131">
        <v>45913</v>
      </c>
      <c r="B45" s="125" cm="1">
        <f t="array" ref="B45">SUMPRODUCT((tbl_DataDraftApril26[Phase]=B$1)*(ISNUMBER(tbl_DataDraftApril26[Start]))*(ISNUMBER(tbl_DataDraftApril26[End]))*($A45&gt;tbl_DataDraftApril26[Start])*($A45&lt;tbl_DataDraftApril26[End]))</f>
        <v>1</v>
      </c>
      <c r="C45" s="125" cm="1">
        <f t="array" ref="C45">SUMPRODUCT((tbl_DataDraftApril26[Phase]=C$1)*(ISNUMBER(tbl_DataDraftApril26[Start]))*(ISNUMBER(tbl_DataDraftApril26[End]))*($A45&gt;tbl_DataDraftApril26[Start])*($A45&lt;tbl_DataDraftApril26[End]))</f>
        <v>0</v>
      </c>
      <c r="D45" s="125" cm="1">
        <f t="array" ref="D45">SUMPRODUCT((tbl_DataDraftApril26[Phase]=D$1)*(ISNUMBER(tbl_DataDraftApril26[Start]))*(ISNUMBER(tbl_DataDraftApril26[End]))*($A45&gt;tbl_DataDraftApril26[Start])*($A45&lt;tbl_DataDraftApril26[End]))</f>
        <v>0</v>
      </c>
      <c r="E45" s="125" cm="1">
        <f t="array" ref="E45">SUMPRODUCT((tbl_DataDraftApril26[Phase]=E$1)*(ISNUMBER(tbl_DataDraftApril26[Start]))*(ISNUMBER(tbl_DataDraftApril26[End]))*($A45&gt;tbl_DataDraftApril26[Start])*($A45&lt;tbl_DataDraftApril26[End]))</f>
        <v>0</v>
      </c>
    </row>
    <row r="46" spans="1:5">
      <c r="A46" s="131">
        <v>45914</v>
      </c>
      <c r="B46" s="125" cm="1">
        <f t="array" ref="B46">SUMPRODUCT((tbl_DataDraftApril26[Phase]=B$1)*(ISNUMBER(tbl_DataDraftApril26[Start]))*(ISNUMBER(tbl_DataDraftApril26[End]))*($A46&gt;tbl_DataDraftApril26[Start])*($A46&lt;tbl_DataDraftApril26[End]))</f>
        <v>1</v>
      </c>
      <c r="C46" s="125" cm="1">
        <f t="array" ref="C46">SUMPRODUCT((tbl_DataDraftApril26[Phase]=C$1)*(ISNUMBER(tbl_DataDraftApril26[Start]))*(ISNUMBER(tbl_DataDraftApril26[End]))*($A46&gt;tbl_DataDraftApril26[Start])*($A46&lt;tbl_DataDraftApril26[End]))</f>
        <v>0</v>
      </c>
      <c r="D46" s="125" cm="1">
        <f t="array" ref="D46">SUMPRODUCT((tbl_DataDraftApril26[Phase]=D$1)*(ISNUMBER(tbl_DataDraftApril26[Start]))*(ISNUMBER(tbl_DataDraftApril26[End]))*($A46&gt;tbl_DataDraftApril26[Start])*($A46&lt;tbl_DataDraftApril26[End]))</f>
        <v>0</v>
      </c>
      <c r="E46" s="125" cm="1">
        <f t="array" ref="E46">SUMPRODUCT((tbl_DataDraftApril26[Phase]=E$1)*(ISNUMBER(tbl_DataDraftApril26[Start]))*(ISNUMBER(tbl_DataDraftApril26[End]))*($A46&gt;tbl_DataDraftApril26[Start])*($A46&lt;tbl_DataDraftApril26[End]))</f>
        <v>0</v>
      </c>
    </row>
    <row r="47" spans="1:5">
      <c r="A47" s="131">
        <v>45915</v>
      </c>
      <c r="B47" s="125" cm="1">
        <f t="array" ref="B47">SUMPRODUCT((tbl_DataDraftApril26[Phase]=B$1)*(ISNUMBER(tbl_DataDraftApril26[Start]))*(ISNUMBER(tbl_DataDraftApril26[End]))*($A47&gt;tbl_DataDraftApril26[Start])*($A47&lt;tbl_DataDraftApril26[End]))</f>
        <v>1</v>
      </c>
      <c r="C47" s="125" cm="1">
        <f t="array" ref="C47">SUMPRODUCT((tbl_DataDraftApril26[Phase]=C$1)*(ISNUMBER(tbl_DataDraftApril26[Start]))*(ISNUMBER(tbl_DataDraftApril26[End]))*($A47&gt;tbl_DataDraftApril26[Start])*($A47&lt;tbl_DataDraftApril26[End]))</f>
        <v>0</v>
      </c>
      <c r="D47" s="125" cm="1">
        <f t="array" ref="D47">SUMPRODUCT((tbl_DataDraftApril26[Phase]=D$1)*(ISNUMBER(tbl_DataDraftApril26[Start]))*(ISNUMBER(tbl_DataDraftApril26[End]))*($A47&gt;tbl_DataDraftApril26[Start])*($A47&lt;tbl_DataDraftApril26[End]))</f>
        <v>0</v>
      </c>
      <c r="E47" s="125" cm="1">
        <f t="array" ref="E47">SUMPRODUCT((tbl_DataDraftApril26[Phase]=E$1)*(ISNUMBER(tbl_DataDraftApril26[Start]))*(ISNUMBER(tbl_DataDraftApril26[End]))*($A47&gt;tbl_DataDraftApril26[Start])*($A47&lt;tbl_DataDraftApril26[End]))</f>
        <v>0</v>
      </c>
    </row>
    <row r="48" spans="1:5">
      <c r="A48" s="131">
        <v>45916</v>
      </c>
      <c r="B48" s="125" cm="1">
        <f t="array" ref="B48">SUMPRODUCT((tbl_DataDraftApril26[Phase]=B$1)*(ISNUMBER(tbl_DataDraftApril26[Start]))*(ISNUMBER(tbl_DataDraftApril26[End]))*($A48&gt;tbl_DataDraftApril26[Start])*($A48&lt;tbl_DataDraftApril26[End]))</f>
        <v>1</v>
      </c>
      <c r="C48" s="125" cm="1">
        <f t="array" ref="C48">SUMPRODUCT((tbl_DataDraftApril26[Phase]=C$1)*(ISNUMBER(tbl_DataDraftApril26[Start]))*(ISNUMBER(tbl_DataDraftApril26[End]))*($A48&gt;tbl_DataDraftApril26[Start])*($A48&lt;tbl_DataDraftApril26[End]))</f>
        <v>0</v>
      </c>
      <c r="D48" s="125" cm="1">
        <f t="array" ref="D48">SUMPRODUCT((tbl_DataDraftApril26[Phase]=D$1)*(ISNUMBER(tbl_DataDraftApril26[Start]))*(ISNUMBER(tbl_DataDraftApril26[End]))*($A48&gt;tbl_DataDraftApril26[Start])*($A48&lt;tbl_DataDraftApril26[End]))</f>
        <v>0</v>
      </c>
      <c r="E48" s="125" cm="1">
        <f t="array" ref="E48">SUMPRODUCT((tbl_DataDraftApril26[Phase]=E$1)*(ISNUMBER(tbl_DataDraftApril26[Start]))*(ISNUMBER(tbl_DataDraftApril26[End]))*($A48&gt;tbl_DataDraftApril26[Start])*($A48&lt;tbl_DataDraftApril26[End]))</f>
        <v>0</v>
      </c>
    </row>
    <row r="49" spans="1:5">
      <c r="A49" s="131">
        <v>45917</v>
      </c>
      <c r="B49" s="125" cm="1">
        <f t="array" ref="B49">SUMPRODUCT((tbl_DataDraftApril26[Phase]=B$1)*(ISNUMBER(tbl_DataDraftApril26[Start]))*(ISNUMBER(tbl_DataDraftApril26[End]))*($A49&gt;tbl_DataDraftApril26[Start])*($A49&lt;tbl_DataDraftApril26[End]))</f>
        <v>1</v>
      </c>
      <c r="C49" s="125" cm="1">
        <f t="array" ref="C49">SUMPRODUCT((tbl_DataDraftApril26[Phase]=C$1)*(ISNUMBER(tbl_DataDraftApril26[Start]))*(ISNUMBER(tbl_DataDraftApril26[End]))*($A49&gt;tbl_DataDraftApril26[Start])*($A49&lt;tbl_DataDraftApril26[End]))</f>
        <v>0</v>
      </c>
      <c r="D49" s="125" cm="1">
        <f t="array" ref="D49">SUMPRODUCT((tbl_DataDraftApril26[Phase]=D$1)*(ISNUMBER(tbl_DataDraftApril26[Start]))*(ISNUMBER(tbl_DataDraftApril26[End]))*($A49&gt;tbl_DataDraftApril26[Start])*($A49&lt;tbl_DataDraftApril26[End]))</f>
        <v>0</v>
      </c>
      <c r="E49" s="125" cm="1">
        <f t="array" ref="E49">SUMPRODUCT((tbl_DataDraftApril26[Phase]=E$1)*(ISNUMBER(tbl_DataDraftApril26[Start]))*(ISNUMBER(tbl_DataDraftApril26[End]))*($A49&gt;tbl_DataDraftApril26[Start])*($A49&lt;tbl_DataDraftApril26[End]))</f>
        <v>0</v>
      </c>
    </row>
    <row r="50" spans="1:5">
      <c r="A50" s="131">
        <v>45918</v>
      </c>
      <c r="B50" s="125" cm="1">
        <f t="array" ref="B50">SUMPRODUCT((tbl_DataDraftApril26[Phase]=B$1)*(ISNUMBER(tbl_DataDraftApril26[Start]))*(ISNUMBER(tbl_DataDraftApril26[End]))*($A50&gt;tbl_DataDraftApril26[Start])*($A50&lt;tbl_DataDraftApril26[End]))</f>
        <v>1</v>
      </c>
      <c r="C50" s="125" cm="1">
        <f t="array" ref="C50">SUMPRODUCT((tbl_DataDraftApril26[Phase]=C$1)*(ISNUMBER(tbl_DataDraftApril26[Start]))*(ISNUMBER(tbl_DataDraftApril26[End]))*($A50&gt;tbl_DataDraftApril26[Start])*($A50&lt;tbl_DataDraftApril26[End]))</f>
        <v>0</v>
      </c>
      <c r="D50" s="125" cm="1">
        <f t="array" ref="D50">SUMPRODUCT((tbl_DataDraftApril26[Phase]=D$1)*(ISNUMBER(tbl_DataDraftApril26[Start]))*(ISNUMBER(tbl_DataDraftApril26[End]))*($A50&gt;tbl_DataDraftApril26[Start])*($A50&lt;tbl_DataDraftApril26[End]))</f>
        <v>0</v>
      </c>
      <c r="E50" s="125" cm="1">
        <f t="array" ref="E50">SUMPRODUCT((tbl_DataDraftApril26[Phase]=E$1)*(ISNUMBER(tbl_DataDraftApril26[Start]))*(ISNUMBER(tbl_DataDraftApril26[End]))*($A50&gt;tbl_DataDraftApril26[Start])*($A50&lt;tbl_DataDraftApril26[End]))</f>
        <v>0</v>
      </c>
    </row>
    <row r="51" spans="1:5">
      <c r="A51" s="131">
        <v>45919</v>
      </c>
      <c r="B51" s="125" cm="1">
        <f t="array" ref="B51">SUMPRODUCT((tbl_DataDraftApril26[Phase]=B$1)*(ISNUMBER(tbl_DataDraftApril26[Start]))*(ISNUMBER(tbl_DataDraftApril26[End]))*($A51&gt;tbl_DataDraftApril26[Start])*($A51&lt;tbl_DataDraftApril26[End]))</f>
        <v>1</v>
      </c>
      <c r="C51" s="125" cm="1">
        <f t="array" ref="C51">SUMPRODUCT((tbl_DataDraftApril26[Phase]=C$1)*(ISNUMBER(tbl_DataDraftApril26[Start]))*(ISNUMBER(tbl_DataDraftApril26[End]))*($A51&gt;tbl_DataDraftApril26[Start])*($A51&lt;tbl_DataDraftApril26[End]))</f>
        <v>0</v>
      </c>
      <c r="D51" s="125" cm="1">
        <f t="array" ref="D51">SUMPRODUCT((tbl_DataDraftApril26[Phase]=D$1)*(ISNUMBER(tbl_DataDraftApril26[Start]))*(ISNUMBER(tbl_DataDraftApril26[End]))*($A51&gt;tbl_DataDraftApril26[Start])*($A51&lt;tbl_DataDraftApril26[End]))</f>
        <v>0</v>
      </c>
      <c r="E51" s="125" cm="1">
        <f t="array" ref="E51">SUMPRODUCT((tbl_DataDraftApril26[Phase]=E$1)*(ISNUMBER(tbl_DataDraftApril26[Start]))*(ISNUMBER(tbl_DataDraftApril26[End]))*($A51&gt;tbl_DataDraftApril26[Start])*($A51&lt;tbl_DataDraftApril26[End]))</f>
        <v>0</v>
      </c>
    </row>
    <row r="52" spans="1:5">
      <c r="A52" s="131">
        <v>45920</v>
      </c>
      <c r="B52" s="125" cm="1">
        <f t="array" ref="B52">SUMPRODUCT((tbl_DataDraftApril26[Phase]=B$1)*(ISNUMBER(tbl_DataDraftApril26[Start]))*(ISNUMBER(tbl_DataDraftApril26[End]))*($A52&gt;tbl_DataDraftApril26[Start])*($A52&lt;tbl_DataDraftApril26[End]))</f>
        <v>1</v>
      </c>
      <c r="C52" s="125" cm="1">
        <f t="array" ref="C52">SUMPRODUCT((tbl_DataDraftApril26[Phase]=C$1)*(ISNUMBER(tbl_DataDraftApril26[Start]))*(ISNUMBER(tbl_DataDraftApril26[End]))*($A52&gt;tbl_DataDraftApril26[Start])*($A52&lt;tbl_DataDraftApril26[End]))</f>
        <v>0</v>
      </c>
      <c r="D52" s="125" cm="1">
        <f t="array" ref="D52">SUMPRODUCT((tbl_DataDraftApril26[Phase]=D$1)*(ISNUMBER(tbl_DataDraftApril26[Start]))*(ISNUMBER(tbl_DataDraftApril26[End]))*($A52&gt;tbl_DataDraftApril26[Start])*($A52&lt;tbl_DataDraftApril26[End]))</f>
        <v>0</v>
      </c>
      <c r="E52" s="125" cm="1">
        <f t="array" ref="E52">SUMPRODUCT((tbl_DataDraftApril26[Phase]=E$1)*(ISNUMBER(tbl_DataDraftApril26[Start]))*(ISNUMBER(tbl_DataDraftApril26[End]))*($A52&gt;tbl_DataDraftApril26[Start])*($A52&lt;tbl_DataDraftApril26[End]))</f>
        <v>0</v>
      </c>
    </row>
    <row r="53" spans="1:5">
      <c r="A53" s="131">
        <v>45921</v>
      </c>
      <c r="B53" s="125" cm="1">
        <f t="array" ref="B53">SUMPRODUCT((tbl_DataDraftApril26[Phase]=B$1)*(ISNUMBER(tbl_DataDraftApril26[Start]))*(ISNUMBER(tbl_DataDraftApril26[End]))*($A53&gt;tbl_DataDraftApril26[Start])*($A53&lt;tbl_DataDraftApril26[End]))</f>
        <v>1</v>
      </c>
      <c r="C53" s="125" cm="1">
        <f t="array" ref="C53">SUMPRODUCT((tbl_DataDraftApril26[Phase]=C$1)*(ISNUMBER(tbl_DataDraftApril26[Start]))*(ISNUMBER(tbl_DataDraftApril26[End]))*($A53&gt;tbl_DataDraftApril26[Start])*($A53&lt;tbl_DataDraftApril26[End]))</f>
        <v>0</v>
      </c>
      <c r="D53" s="125" cm="1">
        <f t="array" ref="D53">SUMPRODUCT((tbl_DataDraftApril26[Phase]=D$1)*(ISNUMBER(tbl_DataDraftApril26[Start]))*(ISNUMBER(tbl_DataDraftApril26[End]))*($A53&gt;tbl_DataDraftApril26[Start])*($A53&lt;tbl_DataDraftApril26[End]))</f>
        <v>0</v>
      </c>
      <c r="E53" s="125" cm="1">
        <f t="array" ref="E53">SUMPRODUCT((tbl_DataDraftApril26[Phase]=E$1)*(ISNUMBER(tbl_DataDraftApril26[Start]))*(ISNUMBER(tbl_DataDraftApril26[End]))*($A53&gt;tbl_DataDraftApril26[Start])*($A53&lt;tbl_DataDraftApril26[End]))</f>
        <v>0</v>
      </c>
    </row>
    <row r="54" spans="1:5">
      <c r="A54" s="131">
        <v>45922</v>
      </c>
      <c r="B54" s="125" cm="1">
        <f t="array" ref="B54">SUMPRODUCT((tbl_DataDraftApril26[Phase]=B$1)*(ISNUMBER(tbl_DataDraftApril26[Start]))*(ISNUMBER(tbl_DataDraftApril26[End]))*($A54&gt;tbl_DataDraftApril26[Start])*($A54&lt;tbl_DataDraftApril26[End]))</f>
        <v>1</v>
      </c>
      <c r="C54" s="125" cm="1">
        <f t="array" ref="C54">SUMPRODUCT((tbl_DataDraftApril26[Phase]=C$1)*(ISNUMBER(tbl_DataDraftApril26[Start]))*(ISNUMBER(tbl_DataDraftApril26[End]))*($A54&gt;tbl_DataDraftApril26[Start])*($A54&lt;tbl_DataDraftApril26[End]))</f>
        <v>0</v>
      </c>
      <c r="D54" s="125" cm="1">
        <f t="array" ref="D54">SUMPRODUCT((tbl_DataDraftApril26[Phase]=D$1)*(ISNUMBER(tbl_DataDraftApril26[Start]))*(ISNUMBER(tbl_DataDraftApril26[End]))*($A54&gt;tbl_DataDraftApril26[Start])*($A54&lt;tbl_DataDraftApril26[End]))</f>
        <v>0</v>
      </c>
      <c r="E54" s="125" cm="1">
        <f t="array" ref="E54">SUMPRODUCT((tbl_DataDraftApril26[Phase]=E$1)*(ISNUMBER(tbl_DataDraftApril26[Start]))*(ISNUMBER(tbl_DataDraftApril26[End]))*($A54&gt;tbl_DataDraftApril26[Start])*($A54&lt;tbl_DataDraftApril26[End]))</f>
        <v>0</v>
      </c>
    </row>
    <row r="55" spans="1:5">
      <c r="A55" s="131">
        <v>45923</v>
      </c>
      <c r="B55" s="125" cm="1">
        <f t="array" ref="B55">SUMPRODUCT((tbl_DataDraftApril26[Phase]=B$1)*(ISNUMBER(tbl_DataDraftApril26[Start]))*(ISNUMBER(tbl_DataDraftApril26[End]))*($A55&gt;tbl_DataDraftApril26[Start])*($A55&lt;tbl_DataDraftApril26[End]))</f>
        <v>1</v>
      </c>
      <c r="C55" s="125" cm="1">
        <f t="array" ref="C55">SUMPRODUCT((tbl_DataDraftApril26[Phase]=C$1)*(ISNUMBER(tbl_DataDraftApril26[Start]))*(ISNUMBER(tbl_DataDraftApril26[End]))*($A55&gt;tbl_DataDraftApril26[Start])*($A55&lt;tbl_DataDraftApril26[End]))</f>
        <v>0</v>
      </c>
      <c r="D55" s="125" cm="1">
        <f t="array" ref="D55">SUMPRODUCT((tbl_DataDraftApril26[Phase]=D$1)*(ISNUMBER(tbl_DataDraftApril26[Start]))*(ISNUMBER(tbl_DataDraftApril26[End]))*($A55&gt;tbl_DataDraftApril26[Start])*($A55&lt;tbl_DataDraftApril26[End]))</f>
        <v>0</v>
      </c>
      <c r="E55" s="125" cm="1">
        <f t="array" ref="E55">SUMPRODUCT((tbl_DataDraftApril26[Phase]=E$1)*(ISNUMBER(tbl_DataDraftApril26[Start]))*(ISNUMBER(tbl_DataDraftApril26[End]))*($A55&gt;tbl_DataDraftApril26[Start])*($A55&lt;tbl_DataDraftApril26[End]))</f>
        <v>0</v>
      </c>
    </row>
    <row r="56" spans="1:5">
      <c r="A56" s="131">
        <v>45924</v>
      </c>
      <c r="B56" s="125" cm="1">
        <f t="array" ref="B56">SUMPRODUCT((tbl_DataDraftApril26[Phase]=B$1)*(ISNUMBER(tbl_DataDraftApril26[Start]))*(ISNUMBER(tbl_DataDraftApril26[End]))*($A56&gt;tbl_DataDraftApril26[Start])*($A56&lt;tbl_DataDraftApril26[End]))</f>
        <v>1</v>
      </c>
      <c r="C56" s="125" cm="1">
        <f t="array" ref="C56">SUMPRODUCT((tbl_DataDraftApril26[Phase]=C$1)*(ISNUMBER(tbl_DataDraftApril26[Start]))*(ISNUMBER(tbl_DataDraftApril26[End]))*($A56&gt;tbl_DataDraftApril26[Start])*($A56&lt;tbl_DataDraftApril26[End]))</f>
        <v>0</v>
      </c>
      <c r="D56" s="125" cm="1">
        <f t="array" ref="D56">SUMPRODUCT((tbl_DataDraftApril26[Phase]=D$1)*(ISNUMBER(tbl_DataDraftApril26[Start]))*(ISNUMBER(tbl_DataDraftApril26[End]))*($A56&gt;tbl_DataDraftApril26[Start])*($A56&lt;tbl_DataDraftApril26[End]))</f>
        <v>0</v>
      </c>
      <c r="E56" s="125" cm="1">
        <f t="array" ref="E56">SUMPRODUCT((tbl_DataDraftApril26[Phase]=E$1)*(ISNUMBER(tbl_DataDraftApril26[Start]))*(ISNUMBER(tbl_DataDraftApril26[End]))*($A56&gt;tbl_DataDraftApril26[Start])*($A56&lt;tbl_DataDraftApril26[End]))</f>
        <v>0</v>
      </c>
    </row>
    <row r="57" spans="1:5">
      <c r="A57" s="131">
        <v>45925</v>
      </c>
      <c r="B57" s="125" cm="1">
        <f t="array" ref="B57">SUMPRODUCT((tbl_DataDraftApril26[Phase]=B$1)*(ISNUMBER(tbl_DataDraftApril26[Start]))*(ISNUMBER(tbl_DataDraftApril26[End]))*($A57&gt;tbl_DataDraftApril26[Start])*($A57&lt;tbl_DataDraftApril26[End]))</f>
        <v>1</v>
      </c>
      <c r="C57" s="125" cm="1">
        <f t="array" ref="C57">SUMPRODUCT((tbl_DataDraftApril26[Phase]=C$1)*(ISNUMBER(tbl_DataDraftApril26[Start]))*(ISNUMBER(tbl_DataDraftApril26[End]))*($A57&gt;tbl_DataDraftApril26[Start])*($A57&lt;tbl_DataDraftApril26[End]))</f>
        <v>0</v>
      </c>
      <c r="D57" s="125" cm="1">
        <f t="array" ref="D57">SUMPRODUCT((tbl_DataDraftApril26[Phase]=D$1)*(ISNUMBER(tbl_DataDraftApril26[Start]))*(ISNUMBER(tbl_DataDraftApril26[End]))*($A57&gt;tbl_DataDraftApril26[Start])*($A57&lt;tbl_DataDraftApril26[End]))</f>
        <v>0</v>
      </c>
      <c r="E57" s="125" cm="1">
        <f t="array" ref="E57">SUMPRODUCT((tbl_DataDraftApril26[Phase]=E$1)*(ISNUMBER(tbl_DataDraftApril26[Start]))*(ISNUMBER(tbl_DataDraftApril26[End]))*($A57&gt;tbl_DataDraftApril26[Start])*($A57&lt;tbl_DataDraftApril26[End]))</f>
        <v>0</v>
      </c>
    </row>
    <row r="58" spans="1:5">
      <c r="A58" s="131">
        <v>45926</v>
      </c>
      <c r="B58" s="125" cm="1">
        <f t="array" ref="B58">SUMPRODUCT((tbl_DataDraftApril26[Phase]=B$1)*(ISNUMBER(tbl_DataDraftApril26[Start]))*(ISNUMBER(tbl_DataDraftApril26[End]))*($A58&gt;tbl_DataDraftApril26[Start])*($A58&lt;tbl_DataDraftApril26[End]))</f>
        <v>1</v>
      </c>
      <c r="C58" s="125" cm="1">
        <f t="array" ref="C58">SUMPRODUCT((tbl_DataDraftApril26[Phase]=C$1)*(ISNUMBER(tbl_DataDraftApril26[Start]))*(ISNUMBER(tbl_DataDraftApril26[End]))*($A58&gt;tbl_DataDraftApril26[Start])*($A58&lt;tbl_DataDraftApril26[End]))</f>
        <v>0</v>
      </c>
      <c r="D58" s="125" cm="1">
        <f t="array" ref="D58">SUMPRODUCT((tbl_DataDraftApril26[Phase]=D$1)*(ISNUMBER(tbl_DataDraftApril26[Start]))*(ISNUMBER(tbl_DataDraftApril26[End]))*($A58&gt;tbl_DataDraftApril26[Start])*($A58&lt;tbl_DataDraftApril26[End]))</f>
        <v>0</v>
      </c>
      <c r="E58" s="125" cm="1">
        <f t="array" ref="E58">SUMPRODUCT((tbl_DataDraftApril26[Phase]=E$1)*(ISNUMBER(tbl_DataDraftApril26[Start]))*(ISNUMBER(tbl_DataDraftApril26[End]))*($A58&gt;tbl_DataDraftApril26[Start])*($A58&lt;tbl_DataDraftApril26[End]))</f>
        <v>0</v>
      </c>
    </row>
    <row r="59" spans="1:5">
      <c r="A59" s="131">
        <v>45927</v>
      </c>
      <c r="B59" s="125" cm="1">
        <f t="array" ref="B59">SUMPRODUCT((tbl_DataDraftApril26[Phase]=B$1)*(ISNUMBER(tbl_DataDraftApril26[Start]))*(ISNUMBER(tbl_DataDraftApril26[End]))*($A59&gt;tbl_DataDraftApril26[Start])*($A59&lt;tbl_DataDraftApril26[End]))</f>
        <v>1</v>
      </c>
      <c r="C59" s="125" cm="1">
        <f t="array" ref="C59">SUMPRODUCT((tbl_DataDraftApril26[Phase]=C$1)*(ISNUMBER(tbl_DataDraftApril26[Start]))*(ISNUMBER(tbl_DataDraftApril26[End]))*($A59&gt;tbl_DataDraftApril26[Start])*($A59&lt;tbl_DataDraftApril26[End]))</f>
        <v>0</v>
      </c>
      <c r="D59" s="125" cm="1">
        <f t="array" ref="D59">SUMPRODUCT((tbl_DataDraftApril26[Phase]=D$1)*(ISNUMBER(tbl_DataDraftApril26[Start]))*(ISNUMBER(tbl_DataDraftApril26[End]))*($A59&gt;tbl_DataDraftApril26[Start])*($A59&lt;tbl_DataDraftApril26[End]))</f>
        <v>0</v>
      </c>
      <c r="E59" s="125" cm="1">
        <f t="array" ref="E59">SUMPRODUCT((tbl_DataDraftApril26[Phase]=E$1)*(ISNUMBER(tbl_DataDraftApril26[Start]))*(ISNUMBER(tbl_DataDraftApril26[End]))*($A59&gt;tbl_DataDraftApril26[Start])*($A59&lt;tbl_DataDraftApril26[End]))</f>
        <v>0</v>
      </c>
    </row>
    <row r="60" spans="1:5">
      <c r="A60" s="131">
        <v>45928</v>
      </c>
      <c r="B60" s="125" cm="1">
        <f t="array" ref="B60">SUMPRODUCT((tbl_DataDraftApril26[Phase]=B$1)*(ISNUMBER(tbl_DataDraftApril26[Start]))*(ISNUMBER(tbl_DataDraftApril26[End]))*($A60&gt;tbl_DataDraftApril26[Start])*($A60&lt;tbl_DataDraftApril26[End]))</f>
        <v>1</v>
      </c>
      <c r="C60" s="125" cm="1">
        <f t="array" ref="C60">SUMPRODUCT((tbl_DataDraftApril26[Phase]=C$1)*(ISNUMBER(tbl_DataDraftApril26[Start]))*(ISNUMBER(tbl_DataDraftApril26[End]))*($A60&gt;tbl_DataDraftApril26[Start])*($A60&lt;tbl_DataDraftApril26[End]))</f>
        <v>0</v>
      </c>
      <c r="D60" s="125" cm="1">
        <f t="array" ref="D60">SUMPRODUCT((tbl_DataDraftApril26[Phase]=D$1)*(ISNUMBER(tbl_DataDraftApril26[Start]))*(ISNUMBER(tbl_DataDraftApril26[End]))*($A60&gt;tbl_DataDraftApril26[Start])*($A60&lt;tbl_DataDraftApril26[End]))</f>
        <v>0</v>
      </c>
      <c r="E60" s="125" cm="1">
        <f t="array" ref="E60">SUMPRODUCT((tbl_DataDraftApril26[Phase]=E$1)*(ISNUMBER(tbl_DataDraftApril26[Start]))*(ISNUMBER(tbl_DataDraftApril26[End]))*($A60&gt;tbl_DataDraftApril26[Start])*($A60&lt;tbl_DataDraftApril26[End]))</f>
        <v>0</v>
      </c>
    </row>
    <row r="61" spans="1:5">
      <c r="A61" s="131">
        <v>45929</v>
      </c>
      <c r="B61" s="125" cm="1">
        <f t="array" ref="B61">SUMPRODUCT((tbl_DataDraftApril26[Phase]=B$1)*(ISNUMBER(tbl_DataDraftApril26[Start]))*(ISNUMBER(tbl_DataDraftApril26[End]))*($A61&gt;tbl_DataDraftApril26[Start])*($A61&lt;tbl_DataDraftApril26[End]))</f>
        <v>1</v>
      </c>
      <c r="C61" s="125" cm="1">
        <f t="array" ref="C61">SUMPRODUCT((tbl_DataDraftApril26[Phase]=C$1)*(ISNUMBER(tbl_DataDraftApril26[Start]))*(ISNUMBER(tbl_DataDraftApril26[End]))*($A61&gt;tbl_DataDraftApril26[Start])*($A61&lt;tbl_DataDraftApril26[End]))</f>
        <v>0</v>
      </c>
      <c r="D61" s="125" cm="1">
        <f t="array" ref="D61">SUMPRODUCT((tbl_DataDraftApril26[Phase]=D$1)*(ISNUMBER(tbl_DataDraftApril26[Start]))*(ISNUMBER(tbl_DataDraftApril26[End]))*($A61&gt;tbl_DataDraftApril26[Start])*($A61&lt;tbl_DataDraftApril26[End]))</f>
        <v>0</v>
      </c>
      <c r="E61" s="125" cm="1">
        <f t="array" ref="E61">SUMPRODUCT((tbl_DataDraftApril26[Phase]=E$1)*(ISNUMBER(tbl_DataDraftApril26[Start]))*(ISNUMBER(tbl_DataDraftApril26[End]))*($A61&gt;tbl_DataDraftApril26[Start])*($A61&lt;tbl_DataDraftApril26[End]))</f>
        <v>0</v>
      </c>
    </row>
    <row r="62" spans="1:5">
      <c r="A62" s="131">
        <v>45930</v>
      </c>
      <c r="B62" s="125" cm="1">
        <f t="array" ref="B62">SUMPRODUCT((tbl_DataDraftApril26[Phase]=B$1)*(ISNUMBER(tbl_DataDraftApril26[Start]))*(ISNUMBER(tbl_DataDraftApril26[End]))*($A62&gt;tbl_DataDraftApril26[Start])*($A62&lt;tbl_DataDraftApril26[End]))</f>
        <v>1</v>
      </c>
      <c r="C62" s="125" cm="1">
        <f t="array" ref="C62">SUMPRODUCT((tbl_DataDraftApril26[Phase]=C$1)*(ISNUMBER(tbl_DataDraftApril26[Start]))*(ISNUMBER(tbl_DataDraftApril26[End]))*($A62&gt;tbl_DataDraftApril26[Start])*($A62&lt;tbl_DataDraftApril26[End]))</f>
        <v>0</v>
      </c>
      <c r="D62" s="125" cm="1">
        <f t="array" ref="D62">SUMPRODUCT((tbl_DataDraftApril26[Phase]=D$1)*(ISNUMBER(tbl_DataDraftApril26[Start]))*(ISNUMBER(tbl_DataDraftApril26[End]))*($A62&gt;tbl_DataDraftApril26[Start])*($A62&lt;tbl_DataDraftApril26[End]))</f>
        <v>0</v>
      </c>
      <c r="E62" s="125" cm="1">
        <f t="array" ref="E62">SUMPRODUCT((tbl_DataDraftApril26[Phase]=E$1)*(ISNUMBER(tbl_DataDraftApril26[Start]))*(ISNUMBER(tbl_DataDraftApril26[End]))*($A62&gt;tbl_DataDraftApril26[Start])*($A62&lt;tbl_DataDraftApril26[End]))</f>
        <v>0</v>
      </c>
    </row>
    <row r="63" spans="1:5">
      <c r="A63" s="131">
        <v>45931</v>
      </c>
      <c r="B63" s="125" cm="1">
        <f t="array" ref="B63">SUMPRODUCT((tbl_DataDraftApril26[Phase]=B$1)*(ISNUMBER(tbl_DataDraftApril26[Start]))*(ISNUMBER(tbl_DataDraftApril26[End]))*($A63&gt;tbl_DataDraftApril26[Start])*($A63&lt;tbl_DataDraftApril26[End]))</f>
        <v>1</v>
      </c>
      <c r="C63" s="125" cm="1">
        <f t="array" ref="C63">SUMPRODUCT((tbl_DataDraftApril26[Phase]=C$1)*(ISNUMBER(tbl_DataDraftApril26[Start]))*(ISNUMBER(tbl_DataDraftApril26[End]))*($A63&gt;tbl_DataDraftApril26[Start])*($A63&lt;tbl_DataDraftApril26[End]))</f>
        <v>0</v>
      </c>
      <c r="D63" s="125" cm="1">
        <f t="array" ref="D63">SUMPRODUCT((tbl_DataDraftApril26[Phase]=D$1)*(ISNUMBER(tbl_DataDraftApril26[Start]))*(ISNUMBER(tbl_DataDraftApril26[End]))*($A63&gt;tbl_DataDraftApril26[Start])*($A63&lt;tbl_DataDraftApril26[End]))</f>
        <v>0</v>
      </c>
      <c r="E63" s="125" cm="1">
        <f t="array" ref="E63">SUMPRODUCT((tbl_DataDraftApril26[Phase]=E$1)*(ISNUMBER(tbl_DataDraftApril26[Start]))*(ISNUMBER(tbl_DataDraftApril26[End]))*($A63&gt;tbl_DataDraftApril26[Start])*($A63&lt;tbl_DataDraftApril26[End]))</f>
        <v>0</v>
      </c>
    </row>
    <row r="64" spans="1:5">
      <c r="A64" s="131">
        <v>45932</v>
      </c>
      <c r="B64" s="125" cm="1">
        <f t="array" ref="B64">SUMPRODUCT((tbl_DataDraftApril26[Phase]=B$1)*(ISNUMBER(tbl_DataDraftApril26[Start]))*(ISNUMBER(tbl_DataDraftApril26[End]))*($A64&gt;tbl_DataDraftApril26[Start])*($A64&lt;tbl_DataDraftApril26[End]))</f>
        <v>19</v>
      </c>
      <c r="C64" s="125" cm="1">
        <f t="array" ref="C64">SUMPRODUCT((tbl_DataDraftApril26[Phase]=C$1)*(ISNUMBER(tbl_DataDraftApril26[Start]))*(ISNUMBER(tbl_DataDraftApril26[End]))*($A64&gt;tbl_DataDraftApril26[Start])*($A64&lt;tbl_DataDraftApril26[End]))</f>
        <v>0</v>
      </c>
      <c r="D64" s="125" cm="1">
        <f t="array" ref="D64">SUMPRODUCT((tbl_DataDraftApril26[Phase]=D$1)*(ISNUMBER(tbl_DataDraftApril26[Start]))*(ISNUMBER(tbl_DataDraftApril26[End]))*($A64&gt;tbl_DataDraftApril26[Start])*($A64&lt;tbl_DataDraftApril26[End]))</f>
        <v>0</v>
      </c>
      <c r="E64" s="125" cm="1">
        <f t="array" ref="E64">SUMPRODUCT((tbl_DataDraftApril26[Phase]=E$1)*(ISNUMBER(tbl_DataDraftApril26[Start]))*(ISNUMBER(tbl_DataDraftApril26[End]))*($A64&gt;tbl_DataDraftApril26[Start])*($A64&lt;tbl_DataDraftApril26[End]))</f>
        <v>0</v>
      </c>
    </row>
    <row r="65" spans="1:5">
      <c r="A65" s="131">
        <v>45933</v>
      </c>
      <c r="B65" s="125" cm="1">
        <f t="array" ref="B65">SUMPRODUCT((tbl_DataDraftApril26[Phase]=B$1)*(ISNUMBER(tbl_DataDraftApril26[Start]))*(ISNUMBER(tbl_DataDraftApril26[End]))*($A65&gt;tbl_DataDraftApril26[Start])*($A65&lt;tbl_DataDraftApril26[End]))</f>
        <v>19</v>
      </c>
      <c r="C65" s="125" cm="1">
        <f t="array" ref="C65">SUMPRODUCT((tbl_DataDraftApril26[Phase]=C$1)*(ISNUMBER(tbl_DataDraftApril26[Start]))*(ISNUMBER(tbl_DataDraftApril26[End]))*($A65&gt;tbl_DataDraftApril26[Start])*($A65&lt;tbl_DataDraftApril26[End]))</f>
        <v>0</v>
      </c>
      <c r="D65" s="125" cm="1">
        <f t="array" ref="D65">SUMPRODUCT((tbl_DataDraftApril26[Phase]=D$1)*(ISNUMBER(tbl_DataDraftApril26[Start]))*(ISNUMBER(tbl_DataDraftApril26[End]))*($A65&gt;tbl_DataDraftApril26[Start])*($A65&lt;tbl_DataDraftApril26[End]))</f>
        <v>0</v>
      </c>
      <c r="E65" s="125" cm="1">
        <f t="array" ref="E65">SUMPRODUCT((tbl_DataDraftApril26[Phase]=E$1)*(ISNUMBER(tbl_DataDraftApril26[Start]))*(ISNUMBER(tbl_DataDraftApril26[End]))*($A65&gt;tbl_DataDraftApril26[Start])*($A65&lt;tbl_DataDraftApril26[End]))</f>
        <v>0</v>
      </c>
    </row>
    <row r="66" spans="1:5">
      <c r="A66" s="131">
        <v>45934</v>
      </c>
      <c r="B66" s="125" cm="1">
        <f t="array" ref="B66">SUMPRODUCT((tbl_DataDraftApril26[Phase]=B$1)*(ISNUMBER(tbl_DataDraftApril26[Start]))*(ISNUMBER(tbl_DataDraftApril26[End]))*($A66&gt;tbl_DataDraftApril26[Start])*($A66&lt;tbl_DataDraftApril26[End]))</f>
        <v>19</v>
      </c>
      <c r="C66" s="125" cm="1">
        <f t="array" ref="C66">SUMPRODUCT((tbl_DataDraftApril26[Phase]=C$1)*(ISNUMBER(tbl_DataDraftApril26[Start]))*(ISNUMBER(tbl_DataDraftApril26[End]))*($A66&gt;tbl_DataDraftApril26[Start])*($A66&lt;tbl_DataDraftApril26[End]))</f>
        <v>0</v>
      </c>
      <c r="D66" s="125" cm="1">
        <f t="array" ref="D66">SUMPRODUCT((tbl_DataDraftApril26[Phase]=D$1)*(ISNUMBER(tbl_DataDraftApril26[Start]))*(ISNUMBER(tbl_DataDraftApril26[End]))*($A66&gt;tbl_DataDraftApril26[Start])*($A66&lt;tbl_DataDraftApril26[End]))</f>
        <v>0</v>
      </c>
      <c r="E66" s="125" cm="1">
        <f t="array" ref="E66">SUMPRODUCT((tbl_DataDraftApril26[Phase]=E$1)*(ISNUMBER(tbl_DataDraftApril26[Start]))*(ISNUMBER(tbl_DataDraftApril26[End]))*($A66&gt;tbl_DataDraftApril26[Start])*($A66&lt;tbl_DataDraftApril26[End]))</f>
        <v>0</v>
      </c>
    </row>
    <row r="67" spans="1:5">
      <c r="A67" s="131">
        <v>45935</v>
      </c>
      <c r="B67" s="125" cm="1">
        <f t="array" ref="B67">SUMPRODUCT((tbl_DataDraftApril26[Phase]=B$1)*(ISNUMBER(tbl_DataDraftApril26[Start]))*(ISNUMBER(tbl_DataDraftApril26[End]))*($A67&gt;tbl_DataDraftApril26[Start])*($A67&lt;tbl_DataDraftApril26[End]))</f>
        <v>19</v>
      </c>
      <c r="C67" s="125" cm="1">
        <f t="array" ref="C67">SUMPRODUCT((tbl_DataDraftApril26[Phase]=C$1)*(ISNUMBER(tbl_DataDraftApril26[Start]))*(ISNUMBER(tbl_DataDraftApril26[End]))*($A67&gt;tbl_DataDraftApril26[Start])*($A67&lt;tbl_DataDraftApril26[End]))</f>
        <v>0</v>
      </c>
      <c r="D67" s="125" cm="1">
        <f t="array" ref="D67">SUMPRODUCT((tbl_DataDraftApril26[Phase]=D$1)*(ISNUMBER(tbl_DataDraftApril26[Start]))*(ISNUMBER(tbl_DataDraftApril26[End]))*($A67&gt;tbl_DataDraftApril26[Start])*($A67&lt;tbl_DataDraftApril26[End]))</f>
        <v>0</v>
      </c>
      <c r="E67" s="125" cm="1">
        <f t="array" ref="E67">SUMPRODUCT((tbl_DataDraftApril26[Phase]=E$1)*(ISNUMBER(tbl_DataDraftApril26[Start]))*(ISNUMBER(tbl_DataDraftApril26[End]))*($A67&gt;tbl_DataDraftApril26[Start])*($A67&lt;tbl_DataDraftApril26[End]))</f>
        <v>0</v>
      </c>
    </row>
    <row r="68" spans="1:5">
      <c r="A68" s="131">
        <v>45936</v>
      </c>
      <c r="B68" s="125" cm="1">
        <f t="array" ref="B68">SUMPRODUCT((tbl_DataDraftApril26[Phase]=B$1)*(ISNUMBER(tbl_DataDraftApril26[Start]))*(ISNUMBER(tbl_DataDraftApril26[End]))*($A68&gt;tbl_DataDraftApril26[Start])*($A68&lt;tbl_DataDraftApril26[End]))</f>
        <v>19</v>
      </c>
      <c r="C68" s="125" cm="1">
        <f t="array" ref="C68">SUMPRODUCT((tbl_DataDraftApril26[Phase]=C$1)*(ISNUMBER(tbl_DataDraftApril26[Start]))*(ISNUMBER(tbl_DataDraftApril26[End]))*($A68&gt;tbl_DataDraftApril26[Start])*($A68&lt;tbl_DataDraftApril26[End]))</f>
        <v>0</v>
      </c>
      <c r="D68" s="125" cm="1">
        <f t="array" ref="D68">SUMPRODUCT((tbl_DataDraftApril26[Phase]=D$1)*(ISNUMBER(tbl_DataDraftApril26[Start]))*(ISNUMBER(tbl_DataDraftApril26[End]))*($A68&gt;tbl_DataDraftApril26[Start])*($A68&lt;tbl_DataDraftApril26[End]))</f>
        <v>0</v>
      </c>
      <c r="E68" s="125" cm="1">
        <f t="array" ref="E68">SUMPRODUCT((tbl_DataDraftApril26[Phase]=E$1)*(ISNUMBER(tbl_DataDraftApril26[Start]))*(ISNUMBER(tbl_DataDraftApril26[End]))*($A68&gt;tbl_DataDraftApril26[Start])*($A68&lt;tbl_DataDraftApril26[End]))</f>
        <v>0</v>
      </c>
    </row>
    <row r="69" spans="1:5">
      <c r="A69" s="131">
        <v>45937</v>
      </c>
      <c r="B69" s="125" cm="1">
        <f t="array" ref="B69">SUMPRODUCT((tbl_DataDraftApril26[Phase]=B$1)*(ISNUMBER(tbl_DataDraftApril26[Start]))*(ISNUMBER(tbl_DataDraftApril26[End]))*($A69&gt;tbl_DataDraftApril26[Start])*($A69&lt;tbl_DataDraftApril26[End]))</f>
        <v>19</v>
      </c>
      <c r="C69" s="125" cm="1">
        <f t="array" ref="C69">SUMPRODUCT((tbl_DataDraftApril26[Phase]=C$1)*(ISNUMBER(tbl_DataDraftApril26[Start]))*(ISNUMBER(tbl_DataDraftApril26[End]))*($A69&gt;tbl_DataDraftApril26[Start])*($A69&lt;tbl_DataDraftApril26[End]))</f>
        <v>0</v>
      </c>
      <c r="D69" s="125" cm="1">
        <f t="array" ref="D69">SUMPRODUCT((tbl_DataDraftApril26[Phase]=D$1)*(ISNUMBER(tbl_DataDraftApril26[Start]))*(ISNUMBER(tbl_DataDraftApril26[End]))*($A69&gt;tbl_DataDraftApril26[Start])*($A69&lt;tbl_DataDraftApril26[End]))</f>
        <v>0</v>
      </c>
      <c r="E69" s="125" cm="1">
        <f t="array" ref="E69">SUMPRODUCT((tbl_DataDraftApril26[Phase]=E$1)*(ISNUMBER(tbl_DataDraftApril26[Start]))*(ISNUMBER(tbl_DataDraftApril26[End]))*($A69&gt;tbl_DataDraftApril26[Start])*($A69&lt;tbl_DataDraftApril26[End]))</f>
        <v>0</v>
      </c>
    </row>
    <row r="70" spans="1:5">
      <c r="A70" s="131">
        <v>45938</v>
      </c>
      <c r="B70" s="125" cm="1">
        <f t="array" ref="B70">SUMPRODUCT((tbl_DataDraftApril26[Phase]=B$1)*(ISNUMBER(tbl_DataDraftApril26[Start]))*(ISNUMBER(tbl_DataDraftApril26[End]))*($A70&gt;tbl_DataDraftApril26[Start])*($A70&lt;tbl_DataDraftApril26[End]))</f>
        <v>19</v>
      </c>
      <c r="C70" s="125" cm="1">
        <f t="array" ref="C70">SUMPRODUCT((tbl_DataDraftApril26[Phase]=C$1)*(ISNUMBER(tbl_DataDraftApril26[Start]))*(ISNUMBER(tbl_DataDraftApril26[End]))*($A70&gt;tbl_DataDraftApril26[Start])*($A70&lt;tbl_DataDraftApril26[End]))</f>
        <v>0</v>
      </c>
      <c r="D70" s="125" cm="1">
        <f t="array" ref="D70">SUMPRODUCT((tbl_DataDraftApril26[Phase]=D$1)*(ISNUMBER(tbl_DataDraftApril26[Start]))*(ISNUMBER(tbl_DataDraftApril26[End]))*($A70&gt;tbl_DataDraftApril26[Start])*($A70&lt;tbl_DataDraftApril26[End]))</f>
        <v>0</v>
      </c>
      <c r="E70" s="125" cm="1">
        <f t="array" ref="E70">SUMPRODUCT((tbl_DataDraftApril26[Phase]=E$1)*(ISNUMBER(tbl_DataDraftApril26[Start]))*(ISNUMBER(tbl_DataDraftApril26[End]))*($A70&gt;tbl_DataDraftApril26[Start])*($A70&lt;tbl_DataDraftApril26[End]))</f>
        <v>0</v>
      </c>
    </row>
    <row r="71" spans="1:5">
      <c r="A71" s="131">
        <v>45939</v>
      </c>
      <c r="B71" s="125" cm="1">
        <f t="array" ref="B71">SUMPRODUCT((tbl_DataDraftApril26[Phase]=B$1)*(ISNUMBER(tbl_DataDraftApril26[Start]))*(ISNUMBER(tbl_DataDraftApril26[End]))*($A71&gt;tbl_DataDraftApril26[Start])*($A71&lt;tbl_DataDraftApril26[End]))</f>
        <v>19</v>
      </c>
      <c r="C71" s="125" cm="1">
        <f t="array" ref="C71">SUMPRODUCT((tbl_DataDraftApril26[Phase]=C$1)*(ISNUMBER(tbl_DataDraftApril26[Start]))*(ISNUMBER(tbl_DataDraftApril26[End]))*($A71&gt;tbl_DataDraftApril26[Start])*($A71&lt;tbl_DataDraftApril26[End]))</f>
        <v>0</v>
      </c>
      <c r="D71" s="125" cm="1">
        <f t="array" ref="D71">SUMPRODUCT((tbl_DataDraftApril26[Phase]=D$1)*(ISNUMBER(tbl_DataDraftApril26[Start]))*(ISNUMBER(tbl_DataDraftApril26[End]))*($A71&gt;tbl_DataDraftApril26[Start])*($A71&lt;tbl_DataDraftApril26[End]))</f>
        <v>0</v>
      </c>
      <c r="E71" s="125" cm="1">
        <f t="array" ref="E71">SUMPRODUCT((tbl_DataDraftApril26[Phase]=E$1)*(ISNUMBER(tbl_DataDraftApril26[Start]))*(ISNUMBER(tbl_DataDraftApril26[End]))*($A71&gt;tbl_DataDraftApril26[Start])*($A71&lt;tbl_DataDraftApril26[End]))</f>
        <v>0</v>
      </c>
    </row>
    <row r="72" spans="1:5">
      <c r="A72" s="131">
        <v>45940</v>
      </c>
      <c r="B72" s="125" cm="1">
        <f t="array" ref="B72">SUMPRODUCT((tbl_DataDraftApril26[Phase]=B$1)*(ISNUMBER(tbl_DataDraftApril26[Start]))*(ISNUMBER(tbl_DataDraftApril26[End]))*($A72&gt;tbl_DataDraftApril26[Start])*($A72&lt;tbl_DataDraftApril26[End]))</f>
        <v>19</v>
      </c>
      <c r="C72" s="125" cm="1">
        <f t="array" ref="C72">SUMPRODUCT((tbl_DataDraftApril26[Phase]=C$1)*(ISNUMBER(tbl_DataDraftApril26[Start]))*(ISNUMBER(tbl_DataDraftApril26[End]))*($A72&gt;tbl_DataDraftApril26[Start])*($A72&lt;tbl_DataDraftApril26[End]))</f>
        <v>0</v>
      </c>
      <c r="D72" s="125" cm="1">
        <f t="array" ref="D72">SUMPRODUCT((tbl_DataDraftApril26[Phase]=D$1)*(ISNUMBER(tbl_DataDraftApril26[Start]))*(ISNUMBER(tbl_DataDraftApril26[End]))*($A72&gt;tbl_DataDraftApril26[Start])*($A72&lt;tbl_DataDraftApril26[End]))</f>
        <v>0</v>
      </c>
      <c r="E72" s="125" cm="1">
        <f t="array" ref="E72">SUMPRODUCT((tbl_DataDraftApril26[Phase]=E$1)*(ISNUMBER(tbl_DataDraftApril26[Start]))*(ISNUMBER(tbl_DataDraftApril26[End]))*($A72&gt;tbl_DataDraftApril26[Start])*($A72&lt;tbl_DataDraftApril26[End]))</f>
        <v>0</v>
      </c>
    </row>
    <row r="73" spans="1:5">
      <c r="A73" s="131">
        <v>45941</v>
      </c>
      <c r="B73" s="125" cm="1">
        <f t="array" ref="B73">SUMPRODUCT((tbl_DataDraftApril26[Phase]=B$1)*(ISNUMBER(tbl_DataDraftApril26[Start]))*(ISNUMBER(tbl_DataDraftApril26[End]))*($A73&gt;tbl_DataDraftApril26[Start])*($A73&lt;tbl_DataDraftApril26[End]))</f>
        <v>19</v>
      </c>
      <c r="C73" s="125" cm="1">
        <f t="array" ref="C73">SUMPRODUCT((tbl_DataDraftApril26[Phase]=C$1)*(ISNUMBER(tbl_DataDraftApril26[Start]))*(ISNUMBER(tbl_DataDraftApril26[End]))*($A73&gt;tbl_DataDraftApril26[Start])*($A73&lt;tbl_DataDraftApril26[End]))</f>
        <v>0</v>
      </c>
      <c r="D73" s="125" cm="1">
        <f t="array" ref="D73">SUMPRODUCT((tbl_DataDraftApril26[Phase]=D$1)*(ISNUMBER(tbl_DataDraftApril26[Start]))*(ISNUMBER(tbl_DataDraftApril26[End]))*($A73&gt;tbl_DataDraftApril26[Start])*($A73&lt;tbl_DataDraftApril26[End]))</f>
        <v>0</v>
      </c>
      <c r="E73" s="125" cm="1">
        <f t="array" ref="E73">SUMPRODUCT((tbl_DataDraftApril26[Phase]=E$1)*(ISNUMBER(tbl_DataDraftApril26[Start]))*(ISNUMBER(tbl_DataDraftApril26[End]))*($A73&gt;tbl_DataDraftApril26[Start])*($A73&lt;tbl_DataDraftApril26[End]))</f>
        <v>0</v>
      </c>
    </row>
    <row r="74" spans="1:5">
      <c r="A74" s="131">
        <v>45942</v>
      </c>
      <c r="B74" s="125" cm="1">
        <f t="array" ref="B74">SUMPRODUCT((tbl_DataDraftApril26[Phase]=B$1)*(ISNUMBER(tbl_DataDraftApril26[Start]))*(ISNUMBER(tbl_DataDraftApril26[End]))*($A74&gt;tbl_DataDraftApril26[Start])*($A74&lt;tbl_DataDraftApril26[End]))</f>
        <v>19</v>
      </c>
      <c r="C74" s="125" cm="1">
        <f t="array" ref="C74">SUMPRODUCT((tbl_DataDraftApril26[Phase]=C$1)*(ISNUMBER(tbl_DataDraftApril26[Start]))*(ISNUMBER(tbl_DataDraftApril26[End]))*($A74&gt;tbl_DataDraftApril26[Start])*($A74&lt;tbl_DataDraftApril26[End]))</f>
        <v>0</v>
      </c>
      <c r="D74" s="125" cm="1">
        <f t="array" ref="D74">SUMPRODUCT((tbl_DataDraftApril26[Phase]=D$1)*(ISNUMBER(tbl_DataDraftApril26[Start]))*(ISNUMBER(tbl_DataDraftApril26[End]))*($A74&gt;tbl_DataDraftApril26[Start])*($A74&lt;tbl_DataDraftApril26[End]))</f>
        <v>0</v>
      </c>
      <c r="E74" s="125" cm="1">
        <f t="array" ref="E74">SUMPRODUCT((tbl_DataDraftApril26[Phase]=E$1)*(ISNUMBER(tbl_DataDraftApril26[Start]))*(ISNUMBER(tbl_DataDraftApril26[End]))*($A74&gt;tbl_DataDraftApril26[Start])*($A74&lt;tbl_DataDraftApril26[End]))</f>
        <v>0</v>
      </c>
    </row>
    <row r="75" spans="1:5">
      <c r="A75" s="131">
        <v>45943</v>
      </c>
      <c r="B75" s="125" cm="1">
        <f t="array" ref="B75">SUMPRODUCT((tbl_DataDraftApril26[Phase]=B$1)*(ISNUMBER(tbl_DataDraftApril26[Start]))*(ISNUMBER(tbl_DataDraftApril26[End]))*($A75&gt;tbl_DataDraftApril26[Start])*($A75&lt;tbl_DataDraftApril26[End]))</f>
        <v>19</v>
      </c>
      <c r="C75" s="125" cm="1">
        <f t="array" ref="C75">SUMPRODUCT((tbl_DataDraftApril26[Phase]=C$1)*(ISNUMBER(tbl_DataDraftApril26[Start]))*(ISNUMBER(tbl_DataDraftApril26[End]))*($A75&gt;tbl_DataDraftApril26[Start])*($A75&lt;tbl_DataDraftApril26[End]))</f>
        <v>0</v>
      </c>
      <c r="D75" s="125" cm="1">
        <f t="array" ref="D75">SUMPRODUCT((tbl_DataDraftApril26[Phase]=D$1)*(ISNUMBER(tbl_DataDraftApril26[Start]))*(ISNUMBER(tbl_DataDraftApril26[End]))*($A75&gt;tbl_DataDraftApril26[Start])*($A75&lt;tbl_DataDraftApril26[End]))</f>
        <v>0</v>
      </c>
      <c r="E75" s="125" cm="1">
        <f t="array" ref="E75">SUMPRODUCT((tbl_DataDraftApril26[Phase]=E$1)*(ISNUMBER(tbl_DataDraftApril26[Start]))*(ISNUMBER(tbl_DataDraftApril26[End]))*($A75&gt;tbl_DataDraftApril26[Start])*($A75&lt;tbl_DataDraftApril26[End]))</f>
        <v>0</v>
      </c>
    </row>
    <row r="76" spans="1:5">
      <c r="A76" s="131">
        <v>45944</v>
      </c>
      <c r="B76" s="125" cm="1">
        <f t="array" ref="B76">SUMPRODUCT((tbl_DataDraftApril26[Phase]=B$1)*(ISNUMBER(tbl_DataDraftApril26[Start]))*(ISNUMBER(tbl_DataDraftApril26[End]))*($A76&gt;tbl_DataDraftApril26[Start])*($A76&lt;tbl_DataDraftApril26[End]))</f>
        <v>19</v>
      </c>
      <c r="C76" s="125" cm="1">
        <f t="array" ref="C76">SUMPRODUCT((tbl_DataDraftApril26[Phase]=C$1)*(ISNUMBER(tbl_DataDraftApril26[Start]))*(ISNUMBER(tbl_DataDraftApril26[End]))*($A76&gt;tbl_DataDraftApril26[Start])*($A76&lt;tbl_DataDraftApril26[End]))</f>
        <v>0</v>
      </c>
      <c r="D76" s="125" cm="1">
        <f t="array" ref="D76">SUMPRODUCT((tbl_DataDraftApril26[Phase]=D$1)*(ISNUMBER(tbl_DataDraftApril26[Start]))*(ISNUMBER(tbl_DataDraftApril26[End]))*($A76&gt;tbl_DataDraftApril26[Start])*($A76&lt;tbl_DataDraftApril26[End]))</f>
        <v>0</v>
      </c>
      <c r="E76" s="125" cm="1">
        <f t="array" ref="E76">SUMPRODUCT((tbl_DataDraftApril26[Phase]=E$1)*(ISNUMBER(tbl_DataDraftApril26[Start]))*(ISNUMBER(tbl_DataDraftApril26[End]))*($A76&gt;tbl_DataDraftApril26[Start])*($A76&lt;tbl_DataDraftApril26[End]))</f>
        <v>0</v>
      </c>
    </row>
    <row r="77" spans="1:5">
      <c r="A77" s="131">
        <v>45945</v>
      </c>
      <c r="B77" s="125" cm="1">
        <f t="array" ref="B77">SUMPRODUCT((tbl_DataDraftApril26[Phase]=B$1)*(ISNUMBER(tbl_DataDraftApril26[Start]))*(ISNUMBER(tbl_DataDraftApril26[End]))*($A77&gt;tbl_DataDraftApril26[Start])*($A77&lt;tbl_DataDraftApril26[End]))</f>
        <v>18</v>
      </c>
      <c r="C77" s="125" cm="1">
        <f t="array" ref="C77">SUMPRODUCT((tbl_DataDraftApril26[Phase]=C$1)*(ISNUMBER(tbl_DataDraftApril26[Start]))*(ISNUMBER(tbl_DataDraftApril26[End]))*($A77&gt;tbl_DataDraftApril26[Start])*($A77&lt;tbl_DataDraftApril26[End]))</f>
        <v>0</v>
      </c>
      <c r="D77" s="125" cm="1">
        <f t="array" ref="D77">SUMPRODUCT((tbl_DataDraftApril26[Phase]=D$1)*(ISNUMBER(tbl_DataDraftApril26[Start]))*(ISNUMBER(tbl_DataDraftApril26[End]))*($A77&gt;tbl_DataDraftApril26[Start])*($A77&lt;tbl_DataDraftApril26[End]))</f>
        <v>0</v>
      </c>
      <c r="E77" s="125" cm="1">
        <f t="array" ref="E77">SUMPRODUCT((tbl_DataDraftApril26[Phase]=E$1)*(ISNUMBER(tbl_DataDraftApril26[Start]))*(ISNUMBER(tbl_DataDraftApril26[End]))*($A77&gt;tbl_DataDraftApril26[Start])*($A77&lt;tbl_DataDraftApril26[End]))</f>
        <v>0</v>
      </c>
    </row>
    <row r="78" spans="1:5">
      <c r="A78" s="131">
        <v>45946</v>
      </c>
      <c r="B78" s="125" cm="1">
        <f t="array" ref="B78">SUMPRODUCT((tbl_DataDraftApril26[Phase]=B$1)*(ISNUMBER(tbl_DataDraftApril26[Start]))*(ISNUMBER(tbl_DataDraftApril26[End]))*($A78&gt;tbl_DataDraftApril26[Start])*($A78&lt;tbl_DataDraftApril26[End]))</f>
        <v>19</v>
      </c>
      <c r="C78" s="125" cm="1">
        <f t="array" ref="C78">SUMPRODUCT((tbl_DataDraftApril26[Phase]=C$1)*(ISNUMBER(tbl_DataDraftApril26[Start]))*(ISNUMBER(tbl_DataDraftApril26[End]))*($A78&gt;tbl_DataDraftApril26[Start])*($A78&lt;tbl_DataDraftApril26[End]))</f>
        <v>0</v>
      </c>
      <c r="D78" s="125" cm="1">
        <f t="array" ref="D78">SUMPRODUCT((tbl_DataDraftApril26[Phase]=D$1)*(ISNUMBER(tbl_DataDraftApril26[Start]))*(ISNUMBER(tbl_DataDraftApril26[End]))*($A78&gt;tbl_DataDraftApril26[Start])*($A78&lt;tbl_DataDraftApril26[End]))</f>
        <v>0</v>
      </c>
      <c r="E78" s="125" cm="1">
        <f t="array" ref="E78">SUMPRODUCT((tbl_DataDraftApril26[Phase]=E$1)*(ISNUMBER(tbl_DataDraftApril26[Start]))*(ISNUMBER(tbl_DataDraftApril26[End]))*($A78&gt;tbl_DataDraftApril26[Start])*($A78&lt;tbl_DataDraftApril26[End]))</f>
        <v>0</v>
      </c>
    </row>
    <row r="79" spans="1:5">
      <c r="A79" s="131">
        <v>45947</v>
      </c>
      <c r="B79" s="125" cm="1">
        <f t="array" ref="B79">SUMPRODUCT((tbl_DataDraftApril26[Phase]=B$1)*(ISNUMBER(tbl_DataDraftApril26[Start]))*(ISNUMBER(tbl_DataDraftApril26[End]))*($A79&gt;tbl_DataDraftApril26[Start])*($A79&lt;tbl_DataDraftApril26[End]))</f>
        <v>26</v>
      </c>
      <c r="C79" s="125" cm="1">
        <f t="array" ref="C79">SUMPRODUCT((tbl_DataDraftApril26[Phase]=C$1)*(ISNUMBER(tbl_DataDraftApril26[Start]))*(ISNUMBER(tbl_DataDraftApril26[End]))*($A79&gt;tbl_DataDraftApril26[Start])*($A79&lt;tbl_DataDraftApril26[End]))</f>
        <v>0</v>
      </c>
      <c r="D79" s="125" cm="1">
        <f t="array" ref="D79">SUMPRODUCT((tbl_DataDraftApril26[Phase]=D$1)*(ISNUMBER(tbl_DataDraftApril26[Start]))*(ISNUMBER(tbl_DataDraftApril26[End]))*($A79&gt;tbl_DataDraftApril26[Start])*($A79&lt;tbl_DataDraftApril26[End]))</f>
        <v>0</v>
      </c>
      <c r="E79" s="125" cm="1">
        <f t="array" ref="E79">SUMPRODUCT((tbl_DataDraftApril26[Phase]=E$1)*(ISNUMBER(tbl_DataDraftApril26[Start]))*(ISNUMBER(tbl_DataDraftApril26[End]))*($A79&gt;tbl_DataDraftApril26[Start])*($A79&lt;tbl_DataDraftApril26[End]))</f>
        <v>2</v>
      </c>
    </row>
    <row r="80" spans="1:5">
      <c r="A80" s="131">
        <v>45948</v>
      </c>
      <c r="B80" s="125" cm="1">
        <f t="array" ref="B80">SUMPRODUCT((tbl_DataDraftApril26[Phase]=B$1)*(ISNUMBER(tbl_DataDraftApril26[Start]))*(ISNUMBER(tbl_DataDraftApril26[End]))*($A80&gt;tbl_DataDraftApril26[Start])*($A80&lt;tbl_DataDraftApril26[End]))</f>
        <v>26</v>
      </c>
      <c r="C80" s="125" cm="1">
        <f t="array" ref="C80">SUMPRODUCT((tbl_DataDraftApril26[Phase]=C$1)*(ISNUMBER(tbl_DataDraftApril26[Start]))*(ISNUMBER(tbl_DataDraftApril26[End]))*($A80&gt;tbl_DataDraftApril26[Start])*($A80&lt;tbl_DataDraftApril26[End]))</f>
        <v>0</v>
      </c>
      <c r="D80" s="125" cm="1">
        <f t="array" ref="D80">SUMPRODUCT((tbl_DataDraftApril26[Phase]=D$1)*(ISNUMBER(tbl_DataDraftApril26[Start]))*(ISNUMBER(tbl_DataDraftApril26[End]))*($A80&gt;tbl_DataDraftApril26[Start])*($A80&lt;tbl_DataDraftApril26[End]))</f>
        <v>0</v>
      </c>
      <c r="E80" s="125" cm="1">
        <f t="array" ref="E80">SUMPRODUCT((tbl_DataDraftApril26[Phase]=E$1)*(ISNUMBER(tbl_DataDraftApril26[Start]))*(ISNUMBER(tbl_DataDraftApril26[End]))*($A80&gt;tbl_DataDraftApril26[Start])*($A80&lt;tbl_DataDraftApril26[End]))</f>
        <v>2</v>
      </c>
    </row>
    <row r="81" spans="1:5">
      <c r="A81" s="131">
        <v>45949</v>
      </c>
      <c r="B81" s="125" cm="1">
        <f t="array" ref="B81">SUMPRODUCT((tbl_DataDraftApril26[Phase]=B$1)*(ISNUMBER(tbl_DataDraftApril26[Start]))*(ISNUMBER(tbl_DataDraftApril26[End]))*($A81&gt;tbl_DataDraftApril26[Start])*($A81&lt;tbl_DataDraftApril26[End]))</f>
        <v>26</v>
      </c>
      <c r="C81" s="125" cm="1">
        <f t="array" ref="C81">SUMPRODUCT((tbl_DataDraftApril26[Phase]=C$1)*(ISNUMBER(tbl_DataDraftApril26[Start]))*(ISNUMBER(tbl_DataDraftApril26[End]))*($A81&gt;tbl_DataDraftApril26[Start])*($A81&lt;tbl_DataDraftApril26[End]))</f>
        <v>0</v>
      </c>
      <c r="D81" s="125" cm="1">
        <f t="array" ref="D81">SUMPRODUCT((tbl_DataDraftApril26[Phase]=D$1)*(ISNUMBER(tbl_DataDraftApril26[Start]))*(ISNUMBER(tbl_DataDraftApril26[End]))*($A81&gt;tbl_DataDraftApril26[Start])*($A81&lt;tbl_DataDraftApril26[End]))</f>
        <v>0</v>
      </c>
      <c r="E81" s="125" cm="1">
        <f t="array" ref="E81">SUMPRODUCT((tbl_DataDraftApril26[Phase]=E$1)*(ISNUMBER(tbl_DataDraftApril26[Start]))*(ISNUMBER(tbl_DataDraftApril26[End]))*($A81&gt;tbl_DataDraftApril26[Start])*($A81&lt;tbl_DataDraftApril26[End]))</f>
        <v>2</v>
      </c>
    </row>
    <row r="82" spans="1:5">
      <c r="A82" s="131">
        <v>45950</v>
      </c>
      <c r="B82" s="125" cm="1">
        <f t="array" ref="B82">SUMPRODUCT((tbl_DataDraftApril26[Phase]=B$1)*(ISNUMBER(tbl_DataDraftApril26[Start]))*(ISNUMBER(tbl_DataDraftApril26[End]))*($A82&gt;tbl_DataDraftApril26[Start])*($A82&lt;tbl_DataDraftApril26[End]))</f>
        <v>27</v>
      </c>
      <c r="C82" s="125" cm="1">
        <f t="array" ref="C82">SUMPRODUCT((tbl_DataDraftApril26[Phase]=C$1)*(ISNUMBER(tbl_DataDraftApril26[Start]))*(ISNUMBER(tbl_DataDraftApril26[End]))*($A82&gt;tbl_DataDraftApril26[Start])*($A82&lt;tbl_DataDraftApril26[End]))</f>
        <v>0</v>
      </c>
      <c r="D82" s="125" cm="1">
        <f t="array" ref="D82">SUMPRODUCT((tbl_DataDraftApril26[Phase]=D$1)*(ISNUMBER(tbl_DataDraftApril26[Start]))*(ISNUMBER(tbl_DataDraftApril26[End]))*($A82&gt;tbl_DataDraftApril26[Start])*($A82&lt;tbl_DataDraftApril26[End]))</f>
        <v>0</v>
      </c>
      <c r="E82" s="125" cm="1">
        <f t="array" ref="E82">SUMPRODUCT((tbl_DataDraftApril26[Phase]=E$1)*(ISNUMBER(tbl_DataDraftApril26[Start]))*(ISNUMBER(tbl_DataDraftApril26[End]))*($A82&gt;tbl_DataDraftApril26[Start])*($A82&lt;tbl_DataDraftApril26[End]))</f>
        <v>2</v>
      </c>
    </row>
    <row r="83" spans="1:5">
      <c r="A83" s="131">
        <v>45951</v>
      </c>
      <c r="B83" s="125" cm="1">
        <f t="array" ref="B83">SUMPRODUCT((tbl_DataDraftApril26[Phase]=B$1)*(ISNUMBER(tbl_DataDraftApril26[Start]))*(ISNUMBER(tbl_DataDraftApril26[End]))*($A83&gt;tbl_DataDraftApril26[Start])*($A83&lt;tbl_DataDraftApril26[End]))</f>
        <v>27</v>
      </c>
      <c r="C83" s="125" cm="1">
        <f t="array" ref="C83">SUMPRODUCT((tbl_DataDraftApril26[Phase]=C$1)*(ISNUMBER(tbl_DataDraftApril26[Start]))*(ISNUMBER(tbl_DataDraftApril26[End]))*($A83&gt;tbl_DataDraftApril26[Start])*($A83&lt;tbl_DataDraftApril26[End]))</f>
        <v>0</v>
      </c>
      <c r="D83" s="125" cm="1">
        <f t="array" ref="D83">SUMPRODUCT((tbl_DataDraftApril26[Phase]=D$1)*(ISNUMBER(tbl_DataDraftApril26[Start]))*(ISNUMBER(tbl_DataDraftApril26[End]))*($A83&gt;tbl_DataDraftApril26[Start])*($A83&lt;tbl_DataDraftApril26[End]))</f>
        <v>0</v>
      </c>
      <c r="E83" s="125" cm="1">
        <f t="array" ref="E83">SUMPRODUCT((tbl_DataDraftApril26[Phase]=E$1)*(ISNUMBER(tbl_DataDraftApril26[Start]))*(ISNUMBER(tbl_DataDraftApril26[End]))*($A83&gt;tbl_DataDraftApril26[Start])*($A83&lt;tbl_DataDraftApril26[End]))</f>
        <v>2</v>
      </c>
    </row>
    <row r="84" spans="1:5">
      <c r="A84" s="131">
        <v>45952</v>
      </c>
      <c r="B84" s="125" cm="1">
        <f t="array" ref="B84">SUMPRODUCT((tbl_DataDraftApril26[Phase]=B$1)*(ISNUMBER(tbl_DataDraftApril26[Start]))*(ISNUMBER(tbl_DataDraftApril26[End]))*($A84&gt;tbl_DataDraftApril26[Start])*($A84&lt;tbl_DataDraftApril26[End]))</f>
        <v>27</v>
      </c>
      <c r="C84" s="125" cm="1">
        <f t="array" ref="C84">SUMPRODUCT((tbl_DataDraftApril26[Phase]=C$1)*(ISNUMBER(tbl_DataDraftApril26[Start]))*(ISNUMBER(tbl_DataDraftApril26[End]))*($A84&gt;tbl_DataDraftApril26[Start])*($A84&lt;tbl_DataDraftApril26[End]))</f>
        <v>0</v>
      </c>
      <c r="D84" s="125" cm="1">
        <f t="array" ref="D84">SUMPRODUCT((tbl_DataDraftApril26[Phase]=D$1)*(ISNUMBER(tbl_DataDraftApril26[Start]))*(ISNUMBER(tbl_DataDraftApril26[End]))*($A84&gt;tbl_DataDraftApril26[Start])*($A84&lt;tbl_DataDraftApril26[End]))</f>
        <v>0</v>
      </c>
      <c r="E84" s="125" cm="1">
        <f t="array" ref="E84">SUMPRODUCT((tbl_DataDraftApril26[Phase]=E$1)*(ISNUMBER(tbl_DataDraftApril26[Start]))*(ISNUMBER(tbl_DataDraftApril26[End]))*($A84&gt;tbl_DataDraftApril26[Start])*($A84&lt;tbl_DataDraftApril26[End]))</f>
        <v>2</v>
      </c>
    </row>
    <row r="85" spans="1:5">
      <c r="A85" s="131">
        <v>45953</v>
      </c>
      <c r="B85" s="125" cm="1">
        <f t="array" ref="B85">SUMPRODUCT((tbl_DataDraftApril26[Phase]=B$1)*(ISNUMBER(tbl_DataDraftApril26[Start]))*(ISNUMBER(tbl_DataDraftApril26[End]))*($A85&gt;tbl_DataDraftApril26[Start])*($A85&lt;tbl_DataDraftApril26[End]))</f>
        <v>27</v>
      </c>
      <c r="C85" s="125" cm="1">
        <f t="array" ref="C85">SUMPRODUCT((tbl_DataDraftApril26[Phase]=C$1)*(ISNUMBER(tbl_DataDraftApril26[Start]))*(ISNUMBER(tbl_DataDraftApril26[End]))*($A85&gt;tbl_DataDraftApril26[Start])*($A85&lt;tbl_DataDraftApril26[End]))</f>
        <v>0</v>
      </c>
      <c r="D85" s="125" cm="1">
        <f t="array" ref="D85">SUMPRODUCT((tbl_DataDraftApril26[Phase]=D$1)*(ISNUMBER(tbl_DataDraftApril26[Start]))*(ISNUMBER(tbl_DataDraftApril26[End]))*($A85&gt;tbl_DataDraftApril26[Start])*($A85&lt;tbl_DataDraftApril26[End]))</f>
        <v>0</v>
      </c>
      <c r="E85" s="125" cm="1">
        <f t="array" ref="E85">SUMPRODUCT((tbl_DataDraftApril26[Phase]=E$1)*(ISNUMBER(tbl_DataDraftApril26[Start]))*(ISNUMBER(tbl_DataDraftApril26[End]))*($A85&gt;tbl_DataDraftApril26[Start])*($A85&lt;tbl_DataDraftApril26[End]))</f>
        <v>2</v>
      </c>
    </row>
    <row r="86" spans="1:5">
      <c r="A86" s="131">
        <v>45954</v>
      </c>
      <c r="B86" s="125" cm="1">
        <f t="array" ref="B86">SUMPRODUCT((tbl_DataDraftApril26[Phase]=B$1)*(ISNUMBER(tbl_DataDraftApril26[Start]))*(ISNUMBER(tbl_DataDraftApril26[End]))*($A86&gt;tbl_DataDraftApril26[Start])*($A86&lt;tbl_DataDraftApril26[End]))</f>
        <v>27</v>
      </c>
      <c r="C86" s="125" cm="1">
        <f t="array" ref="C86">SUMPRODUCT((tbl_DataDraftApril26[Phase]=C$1)*(ISNUMBER(tbl_DataDraftApril26[Start]))*(ISNUMBER(tbl_DataDraftApril26[End]))*($A86&gt;tbl_DataDraftApril26[Start])*($A86&lt;tbl_DataDraftApril26[End]))</f>
        <v>0</v>
      </c>
      <c r="D86" s="125" cm="1">
        <f t="array" ref="D86">SUMPRODUCT((tbl_DataDraftApril26[Phase]=D$1)*(ISNUMBER(tbl_DataDraftApril26[Start]))*(ISNUMBER(tbl_DataDraftApril26[End]))*($A86&gt;tbl_DataDraftApril26[Start])*($A86&lt;tbl_DataDraftApril26[End]))</f>
        <v>0</v>
      </c>
      <c r="E86" s="125" cm="1">
        <f t="array" ref="E86">SUMPRODUCT((tbl_DataDraftApril26[Phase]=E$1)*(ISNUMBER(tbl_DataDraftApril26[Start]))*(ISNUMBER(tbl_DataDraftApril26[End]))*($A86&gt;tbl_DataDraftApril26[Start])*($A86&lt;tbl_DataDraftApril26[End]))</f>
        <v>2</v>
      </c>
    </row>
    <row r="87" spans="1:5">
      <c r="A87" s="131">
        <v>45955</v>
      </c>
      <c r="B87" s="125" cm="1">
        <f t="array" ref="B87">SUMPRODUCT((tbl_DataDraftApril26[Phase]=B$1)*(ISNUMBER(tbl_DataDraftApril26[Start]))*(ISNUMBER(tbl_DataDraftApril26[End]))*($A87&gt;tbl_DataDraftApril26[Start])*($A87&lt;tbl_DataDraftApril26[End]))</f>
        <v>27</v>
      </c>
      <c r="C87" s="125" cm="1">
        <f t="array" ref="C87">SUMPRODUCT((tbl_DataDraftApril26[Phase]=C$1)*(ISNUMBER(tbl_DataDraftApril26[Start]))*(ISNUMBER(tbl_DataDraftApril26[End]))*($A87&gt;tbl_DataDraftApril26[Start])*($A87&lt;tbl_DataDraftApril26[End]))</f>
        <v>0</v>
      </c>
      <c r="D87" s="125" cm="1">
        <f t="array" ref="D87">SUMPRODUCT((tbl_DataDraftApril26[Phase]=D$1)*(ISNUMBER(tbl_DataDraftApril26[Start]))*(ISNUMBER(tbl_DataDraftApril26[End]))*($A87&gt;tbl_DataDraftApril26[Start])*($A87&lt;tbl_DataDraftApril26[End]))</f>
        <v>0</v>
      </c>
      <c r="E87" s="125" cm="1">
        <f t="array" ref="E87">SUMPRODUCT((tbl_DataDraftApril26[Phase]=E$1)*(ISNUMBER(tbl_DataDraftApril26[Start]))*(ISNUMBER(tbl_DataDraftApril26[End]))*($A87&gt;tbl_DataDraftApril26[Start])*($A87&lt;tbl_DataDraftApril26[End]))</f>
        <v>2</v>
      </c>
    </row>
    <row r="88" spans="1:5">
      <c r="A88" s="131">
        <v>45956</v>
      </c>
      <c r="B88" s="125" cm="1">
        <f t="array" ref="B88">SUMPRODUCT((tbl_DataDraftApril26[Phase]=B$1)*(ISNUMBER(tbl_DataDraftApril26[Start]))*(ISNUMBER(tbl_DataDraftApril26[End]))*($A88&gt;tbl_DataDraftApril26[Start])*($A88&lt;tbl_DataDraftApril26[End]))</f>
        <v>27</v>
      </c>
      <c r="C88" s="125" cm="1">
        <f t="array" ref="C88">SUMPRODUCT((tbl_DataDraftApril26[Phase]=C$1)*(ISNUMBER(tbl_DataDraftApril26[Start]))*(ISNUMBER(tbl_DataDraftApril26[End]))*($A88&gt;tbl_DataDraftApril26[Start])*($A88&lt;tbl_DataDraftApril26[End]))</f>
        <v>0</v>
      </c>
      <c r="D88" s="125" cm="1">
        <f t="array" ref="D88">SUMPRODUCT((tbl_DataDraftApril26[Phase]=D$1)*(ISNUMBER(tbl_DataDraftApril26[Start]))*(ISNUMBER(tbl_DataDraftApril26[End]))*($A88&gt;tbl_DataDraftApril26[Start])*($A88&lt;tbl_DataDraftApril26[End]))</f>
        <v>0</v>
      </c>
      <c r="E88" s="125" cm="1">
        <f t="array" ref="E88">SUMPRODUCT((tbl_DataDraftApril26[Phase]=E$1)*(ISNUMBER(tbl_DataDraftApril26[Start]))*(ISNUMBER(tbl_DataDraftApril26[End]))*($A88&gt;tbl_DataDraftApril26[Start])*($A88&lt;tbl_DataDraftApril26[End]))</f>
        <v>2</v>
      </c>
    </row>
    <row r="89" spans="1:5">
      <c r="A89" s="131">
        <v>45957</v>
      </c>
      <c r="B89" s="125" cm="1">
        <f t="array" ref="B89">SUMPRODUCT((tbl_DataDraftApril26[Phase]=B$1)*(ISNUMBER(tbl_DataDraftApril26[Start]))*(ISNUMBER(tbl_DataDraftApril26[End]))*($A89&gt;tbl_DataDraftApril26[Start])*($A89&lt;tbl_DataDraftApril26[End]))</f>
        <v>27</v>
      </c>
      <c r="C89" s="125" cm="1">
        <f t="array" ref="C89">SUMPRODUCT((tbl_DataDraftApril26[Phase]=C$1)*(ISNUMBER(tbl_DataDraftApril26[Start]))*(ISNUMBER(tbl_DataDraftApril26[End]))*($A89&gt;tbl_DataDraftApril26[Start])*($A89&lt;tbl_DataDraftApril26[End]))</f>
        <v>0</v>
      </c>
      <c r="D89" s="125" cm="1">
        <f t="array" ref="D89">SUMPRODUCT((tbl_DataDraftApril26[Phase]=D$1)*(ISNUMBER(tbl_DataDraftApril26[Start]))*(ISNUMBER(tbl_DataDraftApril26[End]))*($A89&gt;tbl_DataDraftApril26[Start])*($A89&lt;tbl_DataDraftApril26[End]))</f>
        <v>0</v>
      </c>
      <c r="E89" s="125" cm="1">
        <f t="array" ref="E89">SUMPRODUCT((tbl_DataDraftApril26[Phase]=E$1)*(ISNUMBER(tbl_DataDraftApril26[Start]))*(ISNUMBER(tbl_DataDraftApril26[End]))*($A89&gt;tbl_DataDraftApril26[Start])*($A89&lt;tbl_DataDraftApril26[End]))</f>
        <v>2</v>
      </c>
    </row>
    <row r="90" spans="1:5">
      <c r="A90" s="131">
        <v>45958</v>
      </c>
      <c r="B90" s="125" cm="1">
        <f t="array" ref="B90">SUMPRODUCT((tbl_DataDraftApril26[Phase]=B$1)*(ISNUMBER(tbl_DataDraftApril26[Start]))*(ISNUMBER(tbl_DataDraftApril26[End]))*($A90&gt;tbl_DataDraftApril26[Start])*($A90&lt;tbl_DataDraftApril26[End]))</f>
        <v>27</v>
      </c>
      <c r="C90" s="125" cm="1">
        <f t="array" ref="C90">SUMPRODUCT((tbl_DataDraftApril26[Phase]=C$1)*(ISNUMBER(tbl_DataDraftApril26[Start]))*(ISNUMBER(tbl_DataDraftApril26[End]))*($A90&gt;tbl_DataDraftApril26[Start])*($A90&lt;tbl_DataDraftApril26[End]))</f>
        <v>0</v>
      </c>
      <c r="D90" s="125" cm="1">
        <f t="array" ref="D90">SUMPRODUCT((tbl_DataDraftApril26[Phase]=D$1)*(ISNUMBER(tbl_DataDraftApril26[Start]))*(ISNUMBER(tbl_DataDraftApril26[End]))*($A90&gt;tbl_DataDraftApril26[Start])*($A90&lt;tbl_DataDraftApril26[End]))</f>
        <v>0</v>
      </c>
      <c r="E90" s="125" cm="1">
        <f t="array" ref="E90">SUMPRODUCT((tbl_DataDraftApril26[Phase]=E$1)*(ISNUMBER(tbl_DataDraftApril26[Start]))*(ISNUMBER(tbl_DataDraftApril26[End]))*($A90&gt;tbl_DataDraftApril26[Start])*($A90&lt;tbl_DataDraftApril26[End]))</f>
        <v>2</v>
      </c>
    </row>
    <row r="91" spans="1:5">
      <c r="A91" s="131">
        <v>45959</v>
      </c>
      <c r="B91" s="125" cm="1">
        <f t="array" ref="B91">SUMPRODUCT((tbl_DataDraftApril26[Phase]=B$1)*(ISNUMBER(tbl_DataDraftApril26[Start]))*(ISNUMBER(tbl_DataDraftApril26[End]))*($A91&gt;tbl_DataDraftApril26[Start])*($A91&lt;tbl_DataDraftApril26[End]))</f>
        <v>27</v>
      </c>
      <c r="C91" s="125" cm="1">
        <f t="array" ref="C91">SUMPRODUCT((tbl_DataDraftApril26[Phase]=C$1)*(ISNUMBER(tbl_DataDraftApril26[Start]))*(ISNUMBER(tbl_DataDraftApril26[End]))*($A91&gt;tbl_DataDraftApril26[Start])*($A91&lt;tbl_DataDraftApril26[End]))</f>
        <v>0</v>
      </c>
      <c r="D91" s="125" cm="1">
        <f t="array" ref="D91">SUMPRODUCT((tbl_DataDraftApril26[Phase]=D$1)*(ISNUMBER(tbl_DataDraftApril26[Start]))*(ISNUMBER(tbl_DataDraftApril26[End]))*($A91&gt;tbl_DataDraftApril26[Start])*($A91&lt;tbl_DataDraftApril26[End]))</f>
        <v>0</v>
      </c>
      <c r="E91" s="125" cm="1">
        <f t="array" ref="E91">SUMPRODUCT((tbl_DataDraftApril26[Phase]=E$1)*(ISNUMBER(tbl_DataDraftApril26[Start]))*(ISNUMBER(tbl_DataDraftApril26[End]))*($A91&gt;tbl_DataDraftApril26[Start])*($A91&lt;tbl_DataDraftApril26[End]))</f>
        <v>2</v>
      </c>
    </row>
    <row r="92" spans="1:5">
      <c r="A92" s="131">
        <v>45960</v>
      </c>
      <c r="B92" s="125" cm="1">
        <f t="array" ref="B92">SUMPRODUCT((tbl_DataDraftApril26[Phase]=B$1)*(ISNUMBER(tbl_DataDraftApril26[Start]))*(ISNUMBER(tbl_DataDraftApril26[End]))*($A92&gt;tbl_DataDraftApril26[Start])*($A92&lt;tbl_DataDraftApril26[End]))</f>
        <v>27</v>
      </c>
      <c r="C92" s="125" cm="1">
        <f t="array" ref="C92">SUMPRODUCT((tbl_DataDraftApril26[Phase]=C$1)*(ISNUMBER(tbl_DataDraftApril26[Start]))*(ISNUMBER(tbl_DataDraftApril26[End]))*($A92&gt;tbl_DataDraftApril26[Start])*($A92&lt;tbl_DataDraftApril26[End]))</f>
        <v>0</v>
      </c>
      <c r="D92" s="125" cm="1">
        <f t="array" ref="D92">SUMPRODUCT((tbl_DataDraftApril26[Phase]=D$1)*(ISNUMBER(tbl_DataDraftApril26[Start]))*(ISNUMBER(tbl_DataDraftApril26[End]))*($A92&gt;tbl_DataDraftApril26[Start])*($A92&lt;tbl_DataDraftApril26[End]))</f>
        <v>0</v>
      </c>
      <c r="E92" s="125" cm="1">
        <f t="array" ref="E92">SUMPRODUCT((tbl_DataDraftApril26[Phase]=E$1)*(ISNUMBER(tbl_DataDraftApril26[Start]))*(ISNUMBER(tbl_DataDraftApril26[End]))*($A92&gt;tbl_DataDraftApril26[Start])*($A92&lt;tbl_DataDraftApril26[End]))</f>
        <v>2</v>
      </c>
    </row>
    <row r="93" spans="1:5">
      <c r="A93" s="131">
        <v>45961</v>
      </c>
      <c r="B93" s="125" cm="1">
        <f t="array" ref="B93">SUMPRODUCT((tbl_DataDraftApril26[Phase]=B$1)*(ISNUMBER(tbl_DataDraftApril26[Start]))*(ISNUMBER(tbl_DataDraftApril26[End]))*($A93&gt;tbl_DataDraftApril26[Start])*($A93&lt;tbl_DataDraftApril26[End]))</f>
        <v>26</v>
      </c>
      <c r="C93" s="125" cm="1">
        <f t="array" ref="C93">SUMPRODUCT((tbl_DataDraftApril26[Phase]=C$1)*(ISNUMBER(tbl_DataDraftApril26[Start]))*(ISNUMBER(tbl_DataDraftApril26[End]))*($A93&gt;tbl_DataDraftApril26[Start])*($A93&lt;tbl_DataDraftApril26[End]))</f>
        <v>0</v>
      </c>
      <c r="D93" s="125" cm="1">
        <f t="array" ref="D93">SUMPRODUCT((tbl_DataDraftApril26[Phase]=D$1)*(ISNUMBER(tbl_DataDraftApril26[Start]))*(ISNUMBER(tbl_DataDraftApril26[End]))*($A93&gt;tbl_DataDraftApril26[Start])*($A93&lt;tbl_DataDraftApril26[End]))</f>
        <v>0</v>
      </c>
      <c r="E93" s="125" cm="1">
        <f t="array" ref="E93">SUMPRODUCT((tbl_DataDraftApril26[Phase]=E$1)*(ISNUMBER(tbl_DataDraftApril26[Start]))*(ISNUMBER(tbl_DataDraftApril26[End]))*($A93&gt;tbl_DataDraftApril26[Start])*($A93&lt;tbl_DataDraftApril26[End]))</f>
        <v>2</v>
      </c>
    </row>
    <row r="94" spans="1:5">
      <c r="A94" s="131">
        <v>45962</v>
      </c>
      <c r="B94" s="125" cm="1">
        <f t="array" ref="B94">SUMPRODUCT((tbl_DataDraftApril26[Phase]=B$1)*(ISNUMBER(tbl_DataDraftApril26[Start]))*(ISNUMBER(tbl_DataDraftApril26[End]))*($A94&gt;tbl_DataDraftApril26[Start])*($A94&lt;tbl_DataDraftApril26[End]))</f>
        <v>26</v>
      </c>
      <c r="C94" s="125" cm="1">
        <f t="array" ref="C94">SUMPRODUCT((tbl_DataDraftApril26[Phase]=C$1)*(ISNUMBER(tbl_DataDraftApril26[Start]))*(ISNUMBER(tbl_DataDraftApril26[End]))*($A94&gt;tbl_DataDraftApril26[Start])*($A94&lt;tbl_DataDraftApril26[End]))</f>
        <v>0</v>
      </c>
      <c r="D94" s="125" cm="1">
        <f t="array" ref="D94">SUMPRODUCT((tbl_DataDraftApril26[Phase]=D$1)*(ISNUMBER(tbl_DataDraftApril26[Start]))*(ISNUMBER(tbl_DataDraftApril26[End]))*($A94&gt;tbl_DataDraftApril26[Start])*($A94&lt;tbl_DataDraftApril26[End]))</f>
        <v>0</v>
      </c>
      <c r="E94" s="125" cm="1">
        <f t="array" ref="E94">SUMPRODUCT((tbl_DataDraftApril26[Phase]=E$1)*(ISNUMBER(tbl_DataDraftApril26[Start]))*(ISNUMBER(tbl_DataDraftApril26[End]))*($A94&gt;tbl_DataDraftApril26[Start])*($A94&lt;tbl_DataDraftApril26[End]))</f>
        <v>2</v>
      </c>
    </row>
    <row r="95" spans="1:5">
      <c r="A95" s="131">
        <v>45963</v>
      </c>
      <c r="B95" s="125" cm="1">
        <f t="array" ref="B95">SUMPRODUCT((tbl_DataDraftApril26[Phase]=B$1)*(ISNUMBER(tbl_DataDraftApril26[Start]))*(ISNUMBER(tbl_DataDraftApril26[End]))*($A95&gt;tbl_DataDraftApril26[Start])*($A95&lt;tbl_DataDraftApril26[End]))</f>
        <v>26</v>
      </c>
      <c r="C95" s="125" cm="1">
        <f t="array" ref="C95">SUMPRODUCT((tbl_DataDraftApril26[Phase]=C$1)*(ISNUMBER(tbl_DataDraftApril26[Start]))*(ISNUMBER(tbl_DataDraftApril26[End]))*($A95&gt;tbl_DataDraftApril26[Start])*($A95&lt;tbl_DataDraftApril26[End]))</f>
        <v>4</v>
      </c>
      <c r="D95" s="125" cm="1">
        <f t="array" ref="D95">SUMPRODUCT((tbl_DataDraftApril26[Phase]=D$1)*(ISNUMBER(tbl_DataDraftApril26[Start]))*(ISNUMBER(tbl_DataDraftApril26[End]))*($A95&gt;tbl_DataDraftApril26[Start])*($A95&lt;tbl_DataDraftApril26[End]))</f>
        <v>0</v>
      </c>
      <c r="E95" s="125" cm="1">
        <f t="array" ref="E95">SUMPRODUCT((tbl_DataDraftApril26[Phase]=E$1)*(ISNUMBER(tbl_DataDraftApril26[Start]))*(ISNUMBER(tbl_DataDraftApril26[End]))*($A95&gt;tbl_DataDraftApril26[Start])*($A95&lt;tbl_DataDraftApril26[End]))</f>
        <v>2</v>
      </c>
    </row>
    <row r="96" spans="1:5">
      <c r="A96" s="131">
        <v>45964</v>
      </c>
      <c r="B96" s="125" cm="1">
        <f t="array" ref="B96">SUMPRODUCT((tbl_DataDraftApril26[Phase]=B$1)*(ISNUMBER(tbl_DataDraftApril26[Start]))*(ISNUMBER(tbl_DataDraftApril26[End]))*($A96&gt;tbl_DataDraftApril26[Start])*($A96&lt;tbl_DataDraftApril26[End]))</f>
        <v>26</v>
      </c>
      <c r="C96" s="125" cm="1">
        <f t="array" ref="C96">SUMPRODUCT((tbl_DataDraftApril26[Phase]=C$1)*(ISNUMBER(tbl_DataDraftApril26[Start]))*(ISNUMBER(tbl_DataDraftApril26[End]))*($A96&gt;tbl_DataDraftApril26[Start])*($A96&lt;tbl_DataDraftApril26[End]))</f>
        <v>4</v>
      </c>
      <c r="D96" s="125" cm="1">
        <f t="array" ref="D96">SUMPRODUCT((tbl_DataDraftApril26[Phase]=D$1)*(ISNUMBER(tbl_DataDraftApril26[Start]))*(ISNUMBER(tbl_DataDraftApril26[End]))*($A96&gt;tbl_DataDraftApril26[Start])*($A96&lt;tbl_DataDraftApril26[End]))</f>
        <v>0</v>
      </c>
      <c r="E96" s="125" cm="1">
        <f t="array" ref="E96">SUMPRODUCT((tbl_DataDraftApril26[Phase]=E$1)*(ISNUMBER(tbl_DataDraftApril26[Start]))*(ISNUMBER(tbl_DataDraftApril26[End]))*($A96&gt;tbl_DataDraftApril26[Start])*($A96&lt;tbl_DataDraftApril26[End]))</f>
        <v>2</v>
      </c>
    </row>
    <row r="97" spans="1:5">
      <c r="A97" s="131">
        <v>45965</v>
      </c>
      <c r="B97" s="125" cm="1">
        <f t="array" ref="B97">SUMPRODUCT((tbl_DataDraftApril26[Phase]=B$1)*(ISNUMBER(tbl_DataDraftApril26[Start]))*(ISNUMBER(tbl_DataDraftApril26[End]))*($A97&gt;tbl_DataDraftApril26[Start])*($A97&lt;tbl_DataDraftApril26[End]))</f>
        <v>26</v>
      </c>
      <c r="C97" s="125" cm="1">
        <f t="array" ref="C97">SUMPRODUCT((tbl_DataDraftApril26[Phase]=C$1)*(ISNUMBER(tbl_DataDraftApril26[Start]))*(ISNUMBER(tbl_DataDraftApril26[End]))*($A97&gt;tbl_DataDraftApril26[Start])*($A97&lt;tbl_DataDraftApril26[End]))</f>
        <v>4</v>
      </c>
      <c r="D97" s="125" cm="1">
        <f t="array" ref="D97">SUMPRODUCT((tbl_DataDraftApril26[Phase]=D$1)*(ISNUMBER(tbl_DataDraftApril26[Start]))*(ISNUMBER(tbl_DataDraftApril26[End]))*($A97&gt;tbl_DataDraftApril26[Start])*($A97&lt;tbl_DataDraftApril26[End]))</f>
        <v>0</v>
      </c>
      <c r="E97" s="125" cm="1">
        <f t="array" ref="E97">SUMPRODUCT((tbl_DataDraftApril26[Phase]=E$1)*(ISNUMBER(tbl_DataDraftApril26[Start]))*(ISNUMBER(tbl_DataDraftApril26[End]))*($A97&gt;tbl_DataDraftApril26[Start])*($A97&lt;tbl_DataDraftApril26[End]))</f>
        <v>6</v>
      </c>
    </row>
    <row r="98" spans="1:5">
      <c r="A98" s="131">
        <v>45966</v>
      </c>
      <c r="B98" s="125" cm="1">
        <f t="array" ref="B98">SUMPRODUCT((tbl_DataDraftApril26[Phase]=B$1)*(ISNUMBER(tbl_DataDraftApril26[Start]))*(ISNUMBER(tbl_DataDraftApril26[End]))*($A98&gt;tbl_DataDraftApril26[Start])*($A98&lt;tbl_DataDraftApril26[End]))</f>
        <v>26</v>
      </c>
      <c r="C98" s="125" cm="1">
        <f t="array" ref="C98">SUMPRODUCT((tbl_DataDraftApril26[Phase]=C$1)*(ISNUMBER(tbl_DataDraftApril26[Start]))*(ISNUMBER(tbl_DataDraftApril26[End]))*($A98&gt;tbl_DataDraftApril26[Start])*($A98&lt;tbl_DataDraftApril26[End]))</f>
        <v>4</v>
      </c>
      <c r="D98" s="125" cm="1">
        <f t="array" ref="D98">SUMPRODUCT((tbl_DataDraftApril26[Phase]=D$1)*(ISNUMBER(tbl_DataDraftApril26[Start]))*(ISNUMBER(tbl_DataDraftApril26[End]))*($A98&gt;tbl_DataDraftApril26[Start])*($A98&lt;tbl_DataDraftApril26[End]))</f>
        <v>0</v>
      </c>
      <c r="E98" s="125" cm="1">
        <f t="array" ref="E98">SUMPRODUCT((tbl_DataDraftApril26[Phase]=E$1)*(ISNUMBER(tbl_DataDraftApril26[Start]))*(ISNUMBER(tbl_DataDraftApril26[End]))*($A98&gt;tbl_DataDraftApril26[Start])*($A98&lt;tbl_DataDraftApril26[End]))</f>
        <v>6</v>
      </c>
    </row>
    <row r="99" spans="1:5">
      <c r="A99" s="131">
        <v>45967</v>
      </c>
      <c r="B99" s="125" cm="1">
        <f t="array" ref="B99">SUMPRODUCT((tbl_DataDraftApril26[Phase]=B$1)*(ISNUMBER(tbl_DataDraftApril26[Start]))*(ISNUMBER(tbl_DataDraftApril26[End]))*($A99&gt;tbl_DataDraftApril26[Start])*($A99&lt;tbl_DataDraftApril26[End]))</f>
        <v>26</v>
      </c>
      <c r="C99" s="125" cm="1">
        <f t="array" ref="C99">SUMPRODUCT((tbl_DataDraftApril26[Phase]=C$1)*(ISNUMBER(tbl_DataDraftApril26[Start]))*(ISNUMBER(tbl_DataDraftApril26[End]))*($A99&gt;tbl_DataDraftApril26[Start])*($A99&lt;tbl_DataDraftApril26[End]))</f>
        <v>4</v>
      </c>
      <c r="D99" s="125" cm="1">
        <f t="array" ref="D99">SUMPRODUCT((tbl_DataDraftApril26[Phase]=D$1)*(ISNUMBER(tbl_DataDraftApril26[Start]))*(ISNUMBER(tbl_DataDraftApril26[End]))*($A99&gt;tbl_DataDraftApril26[Start])*($A99&lt;tbl_DataDraftApril26[End]))</f>
        <v>0</v>
      </c>
      <c r="E99" s="125" cm="1">
        <f t="array" ref="E99">SUMPRODUCT((tbl_DataDraftApril26[Phase]=E$1)*(ISNUMBER(tbl_DataDraftApril26[Start]))*(ISNUMBER(tbl_DataDraftApril26[End]))*($A99&gt;tbl_DataDraftApril26[Start])*($A99&lt;tbl_DataDraftApril26[End]))</f>
        <v>6</v>
      </c>
    </row>
    <row r="100" spans="1:5">
      <c r="A100" s="131">
        <v>45968</v>
      </c>
      <c r="B100" s="125" cm="1">
        <f t="array" ref="B100">SUMPRODUCT((tbl_DataDraftApril26[Phase]=B$1)*(ISNUMBER(tbl_DataDraftApril26[Start]))*(ISNUMBER(tbl_DataDraftApril26[End]))*($A100&gt;tbl_DataDraftApril26[Start])*($A100&lt;tbl_DataDraftApril26[End]))</f>
        <v>26</v>
      </c>
      <c r="C100" s="125" cm="1">
        <f t="array" ref="C100">SUMPRODUCT((tbl_DataDraftApril26[Phase]=C$1)*(ISNUMBER(tbl_DataDraftApril26[Start]))*(ISNUMBER(tbl_DataDraftApril26[End]))*($A100&gt;tbl_DataDraftApril26[Start])*($A100&lt;tbl_DataDraftApril26[End]))</f>
        <v>4</v>
      </c>
      <c r="D100" s="125" cm="1">
        <f t="array" ref="D100">SUMPRODUCT((tbl_DataDraftApril26[Phase]=D$1)*(ISNUMBER(tbl_DataDraftApril26[Start]))*(ISNUMBER(tbl_DataDraftApril26[End]))*($A100&gt;tbl_DataDraftApril26[Start])*($A100&lt;tbl_DataDraftApril26[End]))</f>
        <v>0</v>
      </c>
      <c r="E100" s="125" cm="1">
        <f t="array" ref="E100">SUMPRODUCT((tbl_DataDraftApril26[Phase]=E$1)*(ISNUMBER(tbl_DataDraftApril26[Start]))*(ISNUMBER(tbl_DataDraftApril26[End]))*($A100&gt;tbl_DataDraftApril26[Start])*($A100&lt;tbl_DataDraftApril26[End]))</f>
        <v>6</v>
      </c>
    </row>
    <row r="101" spans="1:5">
      <c r="A101" s="131">
        <v>45969</v>
      </c>
      <c r="B101" s="125" cm="1">
        <f t="array" ref="B101">SUMPRODUCT((tbl_DataDraftApril26[Phase]=B$1)*(ISNUMBER(tbl_DataDraftApril26[Start]))*(ISNUMBER(tbl_DataDraftApril26[End]))*($A101&gt;tbl_DataDraftApril26[Start])*($A101&lt;tbl_DataDraftApril26[End]))</f>
        <v>26</v>
      </c>
      <c r="C101" s="125" cm="1">
        <f t="array" ref="C101">SUMPRODUCT((tbl_DataDraftApril26[Phase]=C$1)*(ISNUMBER(tbl_DataDraftApril26[Start]))*(ISNUMBER(tbl_DataDraftApril26[End]))*($A101&gt;tbl_DataDraftApril26[Start])*($A101&lt;tbl_DataDraftApril26[End]))</f>
        <v>4</v>
      </c>
      <c r="D101" s="125" cm="1">
        <f t="array" ref="D101">SUMPRODUCT((tbl_DataDraftApril26[Phase]=D$1)*(ISNUMBER(tbl_DataDraftApril26[Start]))*(ISNUMBER(tbl_DataDraftApril26[End]))*($A101&gt;tbl_DataDraftApril26[Start])*($A101&lt;tbl_DataDraftApril26[End]))</f>
        <v>0</v>
      </c>
      <c r="E101" s="125" cm="1">
        <f t="array" ref="E101">SUMPRODUCT((tbl_DataDraftApril26[Phase]=E$1)*(ISNUMBER(tbl_DataDraftApril26[Start]))*(ISNUMBER(tbl_DataDraftApril26[End]))*($A101&gt;tbl_DataDraftApril26[Start])*($A101&lt;tbl_DataDraftApril26[End]))</f>
        <v>6</v>
      </c>
    </row>
    <row r="102" spans="1:5">
      <c r="A102" s="131">
        <v>45970</v>
      </c>
      <c r="B102" s="125" cm="1">
        <f t="array" ref="B102">SUMPRODUCT((tbl_DataDraftApril26[Phase]=B$1)*(ISNUMBER(tbl_DataDraftApril26[Start]))*(ISNUMBER(tbl_DataDraftApril26[End]))*($A102&gt;tbl_DataDraftApril26[Start])*($A102&lt;tbl_DataDraftApril26[End]))</f>
        <v>26</v>
      </c>
      <c r="C102" s="125" cm="1">
        <f t="array" ref="C102">SUMPRODUCT((tbl_DataDraftApril26[Phase]=C$1)*(ISNUMBER(tbl_DataDraftApril26[Start]))*(ISNUMBER(tbl_DataDraftApril26[End]))*($A102&gt;tbl_DataDraftApril26[Start])*($A102&lt;tbl_DataDraftApril26[End]))</f>
        <v>4</v>
      </c>
      <c r="D102" s="125" cm="1">
        <f t="array" ref="D102">SUMPRODUCT((tbl_DataDraftApril26[Phase]=D$1)*(ISNUMBER(tbl_DataDraftApril26[Start]))*(ISNUMBER(tbl_DataDraftApril26[End]))*($A102&gt;tbl_DataDraftApril26[Start])*($A102&lt;tbl_DataDraftApril26[End]))</f>
        <v>0</v>
      </c>
      <c r="E102" s="125" cm="1">
        <f t="array" ref="E102">SUMPRODUCT((tbl_DataDraftApril26[Phase]=E$1)*(ISNUMBER(tbl_DataDraftApril26[Start]))*(ISNUMBER(tbl_DataDraftApril26[End]))*($A102&gt;tbl_DataDraftApril26[Start])*($A102&lt;tbl_DataDraftApril26[End]))</f>
        <v>6</v>
      </c>
    </row>
    <row r="103" spans="1:5">
      <c r="A103" s="131">
        <v>45971</v>
      </c>
      <c r="B103" s="125" cm="1">
        <f t="array" ref="B103">SUMPRODUCT((tbl_DataDraftApril26[Phase]=B$1)*(ISNUMBER(tbl_DataDraftApril26[Start]))*(ISNUMBER(tbl_DataDraftApril26[End]))*($A103&gt;tbl_DataDraftApril26[Start])*($A103&lt;tbl_DataDraftApril26[End]))</f>
        <v>26</v>
      </c>
      <c r="C103" s="125" cm="1">
        <f t="array" ref="C103">SUMPRODUCT((tbl_DataDraftApril26[Phase]=C$1)*(ISNUMBER(tbl_DataDraftApril26[Start]))*(ISNUMBER(tbl_DataDraftApril26[End]))*($A103&gt;tbl_DataDraftApril26[Start])*($A103&lt;tbl_DataDraftApril26[End]))</f>
        <v>4</v>
      </c>
      <c r="D103" s="125" cm="1">
        <f t="array" ref="D103">SUMPRODUCT((tbl_DataDraftApril26[Phase]=D$1)*(ISNUMBER(tbl_DataDraftApril26[Start]))*(ISNUMBER(tbl_DataDraftApril26[End]))*($A103&gt;tbl_DataDraftApril26[Start])*($A103&lt;tbl_DataDraftApril26[End]))</f>
        <v>0</v>
      </c>
      <c r="E103" s="125" cm="1">
        <f t="array" ref="E103">SUMPRODUCT((tbl_DataDraftApril26[Phase]=E$1)*(ISNUMBER(tbl_DataDraftApril26[Start]))*(ISNUMBER(tbl_DataDraftApril26[End]))*($A103&gt;tbl_DataDraftApril26[Start])*($A103&lt;tbl_DataDraftApril26[End]))</f>
        <v>6</v>
      </c>
    </row>
    <row r="104" spans="1:5">
      <c r="A104" s="131">
        <v>45972</v>
      </c>
      <c r="B104" s="125" cm="1">
        <f t="array" ref="B104">SUMPRODUCT((tbl_DataDraftApril26[Phase]=B$1)*(ISNUMBER(tbl_DataDraftApril26[Start]))*(ISNUMBER(tbl_DataDraftApril26[End]))*($A104&gt;tbl_DataDraftApril26[Start])*($A104&lt;tbl_DataDraftApril26[End]))</f>
        <v>27</v>
      </c>
      <c r="C104" s="125" cm="1">
        <f t="array" ref="C104">SUMPRODUCT((tbl_DataDraftApril26[Phase]=C$1)*(ISNUMBER(tbl_DataDraftApril26[Start]))*(ISNUMBER(tbl_DataDraftApril26[End]))*($A104&gt;tbl_DataDraftApril26[Start])*($A104&lt;tbl_DataDraftApril26[End]))</f>
        <v>4</v>
      </c>
      <c r="D104" s="125" cm="1">
        <f t="array" ref="D104">SUMPRODUCT((tbl_DataDraftApril26[Phase]=D$1)*(ISNUMBER(tbl_DataDraftApril26[Start]))*(ISNUMBER(tbl_DataDraftApril26[End]))*($A104&gt;tbl_DataDraftApril26[Start])*($A104&lt;tbl_DataDraftApril26[End]))</f>
        <v>0</v>
      </c>
      <c r="E104" s="125" cm="1">
        <f t="array" ref="E104">SUMPRODUCT((tbl_DataDraftApril26[Phase]=E$1)*(ISNUMBER(tbl_DataDraftApril26[Start]))*(ISNUMBER(tbl_DataDraftApril26[End]))*($A104&gt;tbl_DataDraftApril26[Start])*($A104&lt;tbl_DataDraftApril26[End]))</f>
        <v>6</v>
      </c>
    </row>
    <row r="105" spans="1:5">
      <c r="A105" s="131">
        <v>45973</v>
      </c>
      <c r="B105" s="125" cm="1">
        <f t="array" ref="B105">SUMPRODUCT((tbl_DataDraftApril26[Phase]=B$1)*(ISNUMBER(tbl_DataDraftApril26[Start]))*(ISNUMBER(tbl_DataDraftApril26[End]))*($A105&gt;tbl_DataDraftApril26[Start])*($A105&lt;tbl_DataDraftApril26[End]))</f>
        <v>35</v>
      </c>
      <c r="C105" s="125" cm="1">
        <f t="array" ref="C105">SUMPRODUCT((tbl_DataDraftApril26[Phase]=C$1)*(ISNUMBER(tbl_DataDraftApril26[Start]))*(ISNUMBER(tbl_DataDraftApril26[End]))*($A105&gt;tbl_DataDraftApril26[Start])*($A105&lt;tbl_DataDraftApril26[End]))</f>
        <v>4</v>
      </c>
      <c r="D105" s="125" cm="1">
        <f t="array" ref="D105">SUMPRODUCT((tbl_DataDraftApril26[Phase]=D$1)*(ISNUMBER(tbl_DataDraftApril26[Start]))*(ISNUMBER(tbl_DataDraftApril26[End]))*($A105&gt;tbl_DataDraftApril26[Start])*($A105&lt;tbl_DataDraftApril26[End]))</f>
        <v>0</v>
      </c>
      <c r="E105" s="125" cm="1">
        <f t="array" ref="E105">SUMPRODUCT((tbl_DataDraftApril26[Phase]=E$1)*(ISNUMBER(tbl_DataDraftApril26[Start]))*(ISNUMBER(tbl_DataDraftApril26[End]))*($A105&gt;tbl_DataDraftApril26[Start])*($A105&lt;tbl_DataDraftApril26[End]))</f>
        <v>6</v>
      </c>
    </row>
    <row r="106" spans="1:5">
      <c r="A106" s="131">
        <v>45974</v>
      </c>
      <c r="B106" s="125" cm="1">
        <f t="array" ref="B106">SUMPRODUCT((tbl_DataDraftApril26[Phase]=B$1)*(ISNUMBER(tbl_DataDraftApril26[Start]))*(ISNUMBER(tbl_DataDraftApril26[End]))*($A106&gt;tbl_DataDraftApril26[Start])*($A106&lt;tbl_DataDraftApril26[End]))</f>
        <v>35</v>
      </c>
      <c r="C106" s="125" cm="1">
        <f t="array" ref="C106">SUMPRODUCT((tbl_DataDraftApril26[Phase]=C$1)*(ISNUMBER(tbl_DataDraftApril26[Start]))*(ISNUMBER(tbl_DataDraftApril26[End]))*($A106&gt;tbl_DataDraftApril26[Start])*($A106&lt;tbl_DataDraftApril26[End]))</f>
        <v>4</v>
      </c>
      <c r="D106" s="125" cm="1">
        <f t="array" ref="D106">SUMPRODUCT((tbl_DataDraftApril26[Phase]=D$1)*(ISNUMBER(tbl_DataDraftApril26[Start]))*(ISNUMBER(tbl_DataDraftApril26[End]))*($A106&gt;tbl_DataDraftApril26[Start])*($A106&lt;tbl_DataDraftApril26[End]))</f>
        <v>0</v>
      </c>
      <c r="E106" s="125" cm="1">
        <f t="array" ref="E106">SUMPRODUCT((tbl_DataDraftApril26[Phase]=E$1)*(ISNUMBER(tbl_DataDraftApril26[Start]))*(ISNUMBER(tbl_DataDraftApril26[End]))*($A106&gt;tbl_DataDraftApril26[Start])*($A106&lt;tbl_DataDraftApril26[End]))</f>
        <v>6</v>
      </c>
    </row>
    <row r="107" spans="1:5">
      <c r="A107" s="131">
        <v>45975</v>
      </c>
      <c r="B107" s="125" cm="1">
        <f t="array" ref="B107">SUMPRODUCT((tbl_DataDraftApril26[Phase]=B$1)*(ISNUMBER(tbl_DataDraftApril26[Start]))*(ISNUMBER(tbl_DataDraftApril26[End]))*($A107&gt;tbl_DataDraftApril26[Start])*($A107&lt;tbl_DataDraftApril26[End]))</f>
        <v>35</v>
      </c>
      <c r="C107" s="125" cm="1">
        <f t="array" ref="C107">SUMPRODUCT((tbl_DataDraftApril26[Phase]=C$1)*(ISNUMBER(tbl_DataDraftApril26[Start]))*(ISNUMBER(tbl_DataDraftApril26[End]))*($A107&gt;tbl_DataDraftApril26[Start])*($A107&lt;tbl_DataDraftApril26[End]))</f>
        <v>4</v>
      </c>
      <c r="D107" s="125" cm="1">
        <f t="array" ref="D107">SUMPRODUCT((tbl_DataDraftApril26[Phase]=D$1)*(ISNUMBER(tbl_DataDraftApril26[Start]))*(ISNUMBER(tbl_DataDraftApril26[End]))*($A107&gt;tbl_DataDraftApril26[Start])*($A107&lt;tbl_DataDraftApril26[End]))</f>
        <v>0</v>
      </c>
      <c r="E107" s="125" cm="1">
        <f t="array" ref="E107">SUMPRODUCT((tbl_DataDraftApril26[Phase]=E$1)*(ISNUMBER(tbl_DataDraftApril26[Start]))*(ISNUMBER(tbl_DataDraftApril26[End]))*($A107&gt;tbl_DataDraftApril26[Start])*($A107&lt;tbl_DataDraftApril26[End]))</f>
        <v>6</v>
      </c>
    </row>
    <row r="108" spans="1:5">
      <c r="A108" s="131">
        <v>45976</v>
      </c>
      <c r="B108" s="125" cm="1">
        <f t="array" ref="B108">SUMPRODUCT((tbl_DataDraftApril26[Phase]=B$1)*(ISNUMBER(tbl_DataDraftApril26[Start]))*(ISNUMBER(tbl_DataDraftApril26[End]))*($A108&gt;tbl_DataDraftApril26[Start])*($A108&lt;tbl_DataDraftApril26[End]))</f>
        <v>35</v>
      </c>
      <c r="C108" s="125" cm="1">
        <f t="array" ref="C108">SUMPRODUCT((tbl_DataDraftApril26[Phase]=C$1)*(ISNUMBER(tbl_DataDraftApril26[Start]))*(ISNUMBER(tbl_DataDraftApril26[End]))*($A108&gt;tbl_DataDraftApril26[Start])*($A108&lt;tbl_DataDraftApril26[End]))</f>
        <v>4</v>
      </c>
      <c r="D108" s="125" cm="1">
        <f t="array" ref="D108">SUMPRODUCT((tbl_DataDraftApril26[Phase]=D$1)*(ISNUMBER(tbl_DataDraftApril26[Start]))*(ISNUMBER(tbl_DataDraftApril26[End]))*($A108&gt;tbl_DataDraftApril26[Start])*($A108&lt;tbl_DataDraftApril26[End]))</f>
        <v>0</v>
      </c>
      <c r="E108" s="125" cm="1">
        <f t="array" ref="E108">SUMPRODUCT((tbl_DataDraftApril26[Phase]=E$1)*(ISNUMBER(tbl_DataDraftApril26[Start]))*(ISNUMBER(tbl_DataDraftApril26[End]))*($A108&gt;tbl_DataDraftApril26[Start])*($A108&lt;tbl_DataDraftApril26[End]))</f>
        <v>6</v>
      </c>
    </row>
    <row r="109" spans="1:5">
      <c r="A109" s="131">
        <v>45977</v>
      </c>
      <c r="B109" s="125" cm="1">
        <f t="array" ref="B109">SUMPRODUCT((tbl_DataDraftApril26[Phase]=B$1)*(ISNUMBER(tbl_DataDraftApril26[Start]))*(ISNUMBER(tbl_DataDraftApril26[End]))*($A109&gt;tbl_DataDraftApril26[Start])*($A109&lt;tbl_DataDraftApril26[End]))</f>
        <v>35</v>
      </c>
      <c r="C109" s="125" cm="1">
        <f t="array" ref="C109">SUMPRODUCT((tbl_DataDraftApril26[Phase]=C$1)*(ISNUMBER(tbl_DataDraftApril26[Start]))*(ISNUMBER(tbl_DataDraftApril26[End]))*($A109&gt;tbl_DataDraftApril26[Start])*($A109&lt;tbl_DataDraftApril26[End]))</f>
        <v>4</v>
      </c>
      <c r="D109" s="125" cm="1">
        <f t="array" ref="D109">SUMPRODUCT((tbl_DataDraftApril26[Phase]=D$1)*(ISNUMBER(tbl_DataDraftApril26[Start]))*(ISNUMBER(tbl_DataDraftApril26[End]))*($A109&gt;tbl_DataDraftApril26[Start])*($A109&lt;tbl_DataDraftApril26[End]))</f>
        <v>0</v>
      </c>
      <c r="E109" s="125" cm="1">
        <f t="array" ref="E109">SUMPRODUCT((tbl_DataDraftApril26[Phase]=E$1)*(ISNUMBER(tbl_DataDraftApril26[Start]))*(ISNUMBER(tbl_DataDraftApril26[End]))*($A109&gt;tbl_DataDraftApril26[Start])*($A109&lt;tbl_DataDraftApril26[End]))</f>
        <v>6</v>
      </c>
    </row>
    <row r="110" spans="1:5">
      <c r="A110" s="131">
        <v>45978</v>
      </c>
      <c r="B110" s="125" cm="1">
        <f t="array" ref="B110">SUMPRODUCT((tbl_DataDraftApril26[Phase]=B$1)*(ISNUMBER(tbl_DataDraftApril26[Start]))*(ISNUMBER(tbl_DataDraftApril26[End]))*($A110&gt;tbl_DataDraftApril26[Start])*($A110&lt;tbl_DataDraftApril26[End]))</f>
        <v>35</v>
      </c>
      <c r="C110" s="125" cm="1">
        <f t="array" ref="C110">SUMPRODUCT((tbl_DataDraftApril26[Phase]=C$1)*(ISNUMBER(tbl_DataDraftApril26[Start]))*(ISNUMBER(tbl_DataDraftApril26[End]))*($A110&gt;tbl_DataDraftApril26[Start])*($A110&lt;tbl_DataDraftApril26[End]))</f>
        <v>4</v>
      </c>
      <c r="D110" s="125" cm="1">
        <f t="array" ref="D110">SUMPRODUCT((tbl_DataDraftApril26[Phase]=D$1)*(ISNUMBER(tbl_DataDraftApril26[Start]))*(ISNUMBER(tbl_DataDraftApril26[End]))*($A110&gt;tbl_DataDraftApril26[Start])*($A110&lt;tbl_DataDraftApril26[End]))</f>
        <v>0</v>
      </c>
      <c r="E110" s="125" cm="1">
        <f t="array" ref="E110">SUMPRODUCT((tbl_DataDraftApril26[Phase]=E$1)*(ISNUMBER(tbl_DataDraftApril26[Start]))*(ISNUMBER(tbl_DataDraftApril26[End]))*($A110&gt;tbl_DataDraftApril26[Start])*($A110&lt;tbl_DataDraftApril26[End]))</f>
        <v>6</v>
      </c>
    </row>
    <row r="111" spans="1:5">
      <c r="A111" s="131">
        <v>45979</v>
      </c>
      <c r="B111" s="125" cm="1">
        <f t="array" ref="B111">SUMPRODUCT((tbl_DataDraftApril26[Phase]=B$1)*(ISNUMBER(tbl_DataDraftApril26[Start]))*(ISNUMBER(tbl_DataDraftApril26[End]))*($A111&gt;tbl_DataDraftApril26[Start])*($A111&lt;tbl_DataDraftApril26[End]))</f>
        <v>35</v>
      </c>
      <c r="C111" s="125" cm="1">
        <f t="array" ref="C111">SUMPRODUCT((tbl_DataDraftApril26[Phase]=C$1)*(ISNUMBER(tbl_DataDraftApril26[Start]))*(ISNUMBER(tbl_DataDraftApril26[End]))*($A111&gt;tbl_DataDraftApril26[Start])*($A111&lt;tbl_DataDraftApril26[End]))</f>
        <v>4</v>
      </c>
      <c r="D111" s="125" cm="1">
        <f t="array" ref="D111">SUMPRODUCT((tbl_DataDraftApril26[Phase]=D$1)*(ISNUMBER(tbl_DataDraftApril26[Start]))*(ISNUMBER(tbl_DataDraftApril26[End]))*($A111&gt;tbl_DataDraftApril26[Start])*($A111&lt;tbl_DataDraftApril26[End]))</f>
        <v>0</v>
      </c>
      <c r="E111" s="125" cm="1">
        <f t="array" ref="E111">SUMPRODUCT((tbl_DataDraftApril26[Phase]=E$1)*(ISNUMBER(tbl_DataDraftApril26[Start]))*(ISNUMBER(tbl_DataDraftApril26[End]))*($A111&gt;tbl_DataDraftApril26[Start])*($A111&lt;tbl_DataDraftApril26[End]))</f>
        <v>6</v>
      </c>
    </row>
    <row r="112" spans="1:5">
      <c r="A112" s="131">
        <v>45980</v>
      </c>
      <c r="B112" s="125" cm="1">
        <f t="array" ref="B112">SUMPRODUCT((tbl_DataDraftApril26[Phase]=B$1)*(ISNUMBER(tbl_DataDraftApril26[Start]))*(ISNUMBER(tbl_DataDraftApril26[End]))*($A112&gt;tbl_DataDraftApril26[Start])*($A112&lt;tbl_DataDraftApril26[End]))</f>
        <v>35</v>
      </c>
      <c r="C112" s="125" cm="1">
        <f t="array" ref="C112">SUMPRODUCT((tbl_DataDraftApril26[Phase]=C$1)*(ISNUMBER(tbl_DataDraftApril26[Start]))*(ISNUMBER(tbl_DataDraftApril26[End]))*($A112&gt;tbl_DataDraftApril26[Start])*($A112&lt;tbl_DataDraftApril26[End]))</f>
        <v>4</v>
      </c>
      <c r="D112" s="125" cm="1">
        <f t="array" ref="D112">SUMPRODUCT((tbl_DataDraftApril26[Phase]=D$1)*(ISNUMBER(tbl_DataDraftApril26[Start]))*(ISNUMBER(tbl_DataDraftApril26[End]))*($A112&gt;tbl_DataDraftApril26[Start])*($A112&lt;tbl_DataDraftApril26[End]))</f>
        <v>0</v>
      </c>
      <c r="E112" s="125" cm="1">
        <f t="array" ref="E112">SUMPRODUCT((tbl_DataDraftApril26[Phase]=E$1)*(ISNUMBER(tbl_DataDraftApril26[Start]))*(ISNUMBER(tbl_DataDraftApril26[End]))*($A112&gt;tbl_DataDraftApril26[Start])*($A112&lt;tbl_DataDraftApril26[End]))</f>
        <v>6</v>
      </c>
    </row>
    <row r="113" spans="1:5">
      <c r="A113" s="131">
        <v>45981</v>
      </c>
      <c r="B113" s="125" cm="1">
        <f t="array" ref="B113">SUMPRODUCT((tbl_DataDraftApril26[Phase]=B$1)*(ISNUMBER(tbl_DataDraftApril26[Start]))*(ISNUMBER(tbl_DataDraftApril26[End]))*($A113&gt;tbl_DataDraftApril26[Start])*($A113&lt;tbl_DataDraftApril26[End]))</f>
        <v>35</v>
      </c>
      <c r="C113" s="125" cm="1">
        <f t="array" ref="C113">SUMPRODUCT((tbl_DataDraftApril26[Phase]=C$1)*(ISNUMBER(tbl_DataDraftApril26[Start]))*(ISNUMBER(tbl_DataDraftApril26[End]))*($A113&gt;tbl_DataDraftApril26[Start])*($A113&lt;tbl_DataDraftApril26[End]))</f>
        <v>4</v>
      </c>
      <c r="D113" s="125" cm="1">
        <f t="array" ref="D113">SUMPRODUCT((tbl_DataDraftApril26[Phase]=D$1)*(ISNUMBER(tbl_DataDraftApril26[Start]))*(ISNUMBER(tbl_DataDraftApril26[End]))*($A113&gt;tbl_DataDraftApril26[Start])*($A113&lt;tbl_DataDraftApril26[End]))</f>
        <v>0</v>
      </c>
      <c r="E113" s="125" cm="1">
        <f t="array" ref="E113">SUMPRODUCT((tbl_DataDraftApril26[Phase]=E$1)*(ISNUMBER(tbl_DataDraftApril26[Start]))*(ISNUMBER(tbl_DataDraftApril26[End]))*($A113&gt;tbl_DataDraftApril26[Start])*($A113&lt;tbl_DataDraftApril26[End]))</f>
        <v>6</v>
      </c>
    </row>
    <row r="114" spans="1:5">
      <c r="A114" s="131">
        <v>45982</v>
      </c>
      <c r="B114" s="125" cm="1">
        <f t="array" ref="B114">SUMPRODUCT((tbl_DataDraftApril26[Phase]=B$1)*(ISNUMBER(tbl_DataDraftApril26[Start]))*(ISNUMBER(tbl_DataDraftApril26[End]))*($A114&gt;tbl_DataDraftApril26[Start])*($A114&lt;tbl_DataDraftApril26[End]))</f>
        <v>35</v>
      </c>
      <c r="C114" s="125" cm="1">
        <f t="array" ref="C114">SUMPRODUCT((tbl_DataDraftApril26[Phase]=C$1)*(ISNUMBER(tbl_DataDraftApril26[Start]))*(ISNUMBER(tbl_DataDraftApril26[End]))*($A114&gt;tbl_DataDraftApril26[Start])*($A114&lt;tbl_DataDraftApril26[End]))</f>
        <v>4</v>
      </c>
      <c r="D114" s="125" cm="1">
        <f t="array" ref="D114">SUMPRODUCT((tbl_DataDraftApril26[Phase]=D$1)*(ISNUMBER(tbl_DataDraftApril26[Start]))*(ISNUMBER(tbl_DataDraftApril26[End]))*($A114&gt;tbl_DataDraftApril26[Start])*($A114&lt;tbl_DataDraftApril26[End]))</f>
        <v>0</v>
      </c>
      <c r="E114" s="125" cm="1">
        <f t="array" ref="E114">SUMPRODUCT((tbl_DataDraftApril26[Phase]=E$1)*(ISNUMBER(tbl_DataDraftApril26[Start]))*(ISNUMBER(tbl_DataDraftApril26[End]))*($A114&gt;tbl_DataDraftApril26[Start])*($A114&lt;tbl_DataDraftApril26[End]))</f>
        <v>6</v>
      </c>
    </row>
    <row r="115" spans="1:5">
      <c r="A115" s="131">
        <v>45983</v>
      </c>
      <c r="B115" s="125" cm="1">
        <f t="array" ref="B115">SUMPRODUCT((tbl_DataDraftApril26[Phase]=B$1)*(ISNUMBER(tbl_DataDraftApril26[Start]))*(ISNUMBER(tbl_DataDraftApril26[End]))*($A115&gt;tbl_DataDraftApril26[Start])*($A115&lt;tbl_DataDraftApril26[End]))</f>
        <v>35</v>
      </c>
      <c r="C115" s="125" cm="1">
        <f t="array" ref="C115">SUMPRODUCT((tbl_DataDraftApril26[Phase]=C$1)*(ISNUMBER(tbl_DataDraftApril26[Start]))*(ISNUMBER(tbl_DataDraftApril26[End]))*($A115&gt;tbl_DataDraftApril26[Start])*($A115&lt;tbl_DataDraftApril26[End]))</f>
        <v>4</v>
      </c>
      <c r="D115" s="125" cm="1">
        <f t="array" ref="D115">SUMPRODUCT((tbl_DataDraftApril26[Phase]=D$1)*(ISNUMBER(tbl_DataDraftApril26[Start]))*(ISNUMBER(tbl_DataDraftApril26[End]))*($A115&gt;tbl_DataDraftApril26[Start])*($A115&lt;tbl_DataDraftApril26[End]))</f>
        <v>0</v>
      </c>
      <c r="E115" s="125" cm="1">
        <f t="array" ref="E115">SUMPRODUCT((tbl_DataDraftApril26[Phase]=E$1)*(ISNUMBER(tbl_DataDraftApril26[Start]))*(ISNUMBER(tbl_DataDraftApril26[End]))*($A115&gt;tbl_DataDraftApril26[Start])*($A115&lt;tbl_DataDraftApril26[End]))</f>
        <v>6</v>
      </c>
    </row>
    <row r="116" spans="1:5">
      <c r="A116" s="131">
        <v>45984</v>
      </c>
      <c r="B116" s="125" cm="1">
        <f t="array" ref="B116">SUMPRODUCT((tbl_DataDraftApril26[Phase]=B$1)*(ISNUMBER(tbl_DataDraftApril26[Start]))*(ISNUMBER(tbl_DataDraftApril26[End]))*($A116&gt;tbl_DataDraftApril26[Start])*($A116&lt;tbl_DataDraftApril26[End]))</f>
        <v>35</v>
      </c>
      <c r="C116" s="125" cm="1">
        <f t="array" ref="C116">SUMPRODUCT((tbl_DataDraftApril26[Phase]=C$1)*(ISNUMBER(tbl_DataDraftApril26[Start]))*(ISNUMBER(tbl_DataDraftApril26[End]))*($A116&gt;tbl_DataDraftApril26[Start])*($A116&lt;tbl_DataDraftApril26[End]))</f>
        <v>4</v>
      </c>
      <c r="D116" s="125" cm="1">
        <f t="array" ref="D116">SUMPRODUCT((tbl_DataDraftApril26[Phase]=D$1)*(ISNUMBER(tbl_DataDraftApril26[Start]))*(ISNUMBER(tbl_DataDraftApril26[End]))*($A116&gt;tbl_DataDraftApril26[Start])*($A116&lt;tbl_DataDraftApril26[End]))</f>
        <v>0</v>
      </c>
      <c r="E116" s="125" cm="1">
        <f t="array" ref="E116">SUMPRODUCT((tbl_DataDraftApril26[Phase]=E$1)*(ISNUMBER(tbl_DataDraftApril26[Start]))*(ISNUMBER(tbl_DataDraftApril26[End]))*($A116&gt;tbl_DataDraftApril26[Start])*($A116&lt;tbl_DataDraftApril26[End]))</f>
        <v>6</v>
      </c>
    </row>
    <row r="117" spans="1:5">
      <c r="A117" s="131">
        <v>45985</v>
      </c>
      <c r="B117" s="125" cm="1">
        <f t="array" ref="B117">SUMPRODUCT((tbl_DataDraftApril26[Phase]=B$1)*(ISNUMBER(tbl_DataDraftApril26[Start]))*(ISNUMBER(tbl_DataDraftApril26[End]))*($A117&gt;tbl_DataDraftApril26[Start])*($A117&lt;tbl_DataDraftApril26[End]))</f>
        <v>35</v>
      </c>
      <c r="C117" s="125" cm="1">
        <f t="array" ref="C117">SUMPRODUCT((tbl_DataDraftApril26[Phase]=C$1)*(ISNUMBER(tbl_DataDraftApril26[Start]))*(ISNUMBER(tbl_DataDraftApril26[End]))*($A117&gt;tbl_DataDraftApril26[Start])*($A117&lt;tbl_DataDraftApril26[End]))</f>
        <v>4</v>
      </c>
      <c r="D117" s="125" cm="1">
        <f t="array" ref="D117">SUMPRODUCT((tbl_DataDraftApril26[Phase]=D$1)*(ISNUMBER(tbl_DataDraftApril26[Start]))*(ISNUMBER(tbl_DataDraftApril26[End]))*($A117&gt;tbl_DataDraftApril26[Start])*($A117&lt;tbl_DataDraftApril26[End]))</f>
        <v>0</v>
      </c>
      <c r="E117" s="125" cm="1">
        <f t="array" ref="E117">SUMPRODUCT((tbl_DataDraftApril26[Phase]=E$1)*(ISNUMBER(tbl_DataDraftApril26[Start]))*(ISNUMBER(tbl_DataDraftApril26[End]))*($A117&gt;tbl_DataDraftApril26[Start])*($A117&lt;tbl_DataDraftApril26[End]))</f>
        <v>6</v>
      </c>
    </row>
    <row r="118" spans="1:5">
      <c r="A118" s="131">
        <v>45986</v>
      </c>
      <c r="B118" s="125" cm="1">
        <f t="array" ref="B118">SUMPRODUCT((tbl_DataDraftApril26[Phase]=B$1)*(ISNUMBER(tbl_DataDraftApril26[Start]))*(ISNUMBER(tbl_DataDraftApril26[End]))*($A118&gt;tbl_DataDraftApril26[Start])*($A118&lt;tbl_DataDraftApril26[End]))</f>
        <v>35</v>
      </c>
      <c r="C118" s="125" cm="1">
        <f t="array" ref="C118">SUMPRODUCT((tbl_DataDraftApril26[Phase]=C$1)*(ISNUMBER(tbl_DataDraftApril26[Start]))*(ISNUMBER(tbl_DataDraftApril26[End]))*($A118&gt;tbl_DataDraftApril26[Start])*($A118&lt;tbl_DataDraftApril26[End]))</f>
        <v>4</v>
      </c>
      <c r="D118" s="125" cm="1">
        <f t="array" ref="D118">SUMPRODUCT((tbl_DataDraftApril26[Phase]=D$1)*(ISNUMBER(tbl_DataDraftApril26[Start]))*(ISNUMBER(tbl_DataDraftApril26[End]))*($A118&gt;tbl_DataDraftApril26[Start])*($A118&lt;tbl_DataDraftApril26[End]))</f>
        <v>0</v>
      </c>
      <c r="E118" s="125" cm="1">
        <f t="array" ref="E118">SUMPRODUCT((tbl_DataDraftApril26[Phase]=E$1)*(ISNUMBER(tbl_DataDraftApril26[Start]))*(ISNUMBER(tbl_DataDraftApril26[End]))*($A118&gt;tbl_DataDraftApril26[Start])*($A118&lt;tbl_DataDraftApril26[End]))</f>
        <v>6</v>
      </c>
    </row>
    <row r="119" spans="1:5">
      <c r="A119" s="131">
        <v>45987</v>
      </c>
      <c r="B119" s="125" cm="1">
        <f t="array" ref="B119">SUMPRODUCT((tbl_DataDraftApril26[Phase]=B$1)*(ISNUMBER(tbl_DataDraftApril26[Start]))*(ISNUMBER(tbl_DataDraftApril26[End]))*($A119&gt;tbl_DataDraftApril26[Start])*($A119&lt;tbl_DataDraftApril26[End]))</f>
        <v>35</v>
      </c>
      <c r="C119" s="125" cm="1">
        <f t="array" ref="C119">SUMPRODUCT((tbl_DataDraftApril26[Phase]=C$1)*(ISNUMBER(tbl_DataDraftApril26[Start]))*(ISNUMBER(tbl_DataDraftApril26[End]))*($A119&gt;tbl_DataDraftApril26[Start])*($A119&lt;tbl_DataDraftApril26[End]))</f>
        <v>4</v>
      </c>
      <c r="D119" s="125" cm="1">
        <f t="array" ref="D119">SUMPRODUCT((tbl_DataDraftApril26[Phase]=D$1)*(ISNUMBER(tbl_DataDraftApril26[Start]))*(ISNUMBER(tbl_DataDraftApril26[End]))*($A119&gt;tbl_DataDraftApril26[Start])*($A119&lt;tbl_DataDraftApril26[End]))</f>
        <v>0</v>
      </c>
      <c r="E119" s="125" cm="1">
        <f t="array" ref="E119">SUMPRODUCT((tbl_DataDraftApril26[Phase]=E$1)*(ISNUMBER(tbl_DataDraftApril26[Start]))*(ISNUMBER(tbl_DataDraftApril26[End]))*($A119&gt;tbl_DataDraftApril26[Start])*($A119&lt;tbl_DataDraftApril26[End]))</f>
        <v>6</v>
      </c>
    </row>
    <row r="120" spans="1:5">
      <c r="A120" s="131">
        <v>45988</v>
      </c>
      <c r="B120" s="125" cm="1">
        <f t="array" ref="B120">SUMPRODUCT((tbl_DataDraftApril26[Phase]=B$1)*(ISNUMBER(tbl_DataDraftApril26[Start]))*(ISNUMBER(tbl_DataDraftApril26[End]))*($A120&gt;tbl_DataDraftApril26[Start])*($A120&lt;tbl_DataDraftApril26[End]))</f>
        <v>35</v>
      </c>
      <c r="C120" s="125" cm="1">
        <f t="array" ref="C120">SUMPRODUCT((tbl_DataDraftApril26[Phase]=C$1)*(ISNUMBER(tbl_DataDraftApril26[Start]))*(ISNUMBER(tbl_DataDraftApril26[End]))*($A120&gt;tbl_DataDraftApril26[Start])*($A120&lt;tbl_DataDraftApril26[End]))</f>
        <v>4</v>
      </c>
      <c r="D120" s="125" cm="1">
        <f t="array" ref="D120">SUMPRODUCT((tbl_DataDraftApril26[Phase]=D$1)*(ISNUMBER(tbl_DataDraftApril26[Start]))*(ISNUMBER(tbl_DataDraftApril26[End]))*($A120&gt;tbl_DataDraftApril26[Start])*($A120&lt;tbl_DataDraftApril26[End]))</f>
        <v>0</v>
      </c>
      <c r="E120" s="125" cm="1">
        <f t="array" ref="E120">SUMPRODUCT((tbl_DataDraftApril26[Phase]=E$1)*(ISNUMBER(tbl_DataDraftApril26[Start]))*(ISNUMBER(tbl_DataDraftApril26[End]))*($A120&gt;tbl_DataDraftApril26[Start])*($A120&lt;tbl_DataDraftApril26[End]))</f>
        <v>6</v>
      </c>
    </row>
    <row r="121" spans="1:5">
      <c r="A121" s="131">
        <v>45989</v>
      </c>
      <c r="B121" s="125" cm="1">
        <f t="array" ref="B121">SUMPRODUCT((tbl_DataDraftApril26[Phase]=B$1)*(ISNUMBER(tbl_DataDraftApril26[Start]))*(ISNUMBER(tbl_DataDraftApril26[End]))*($A121&gt;tbl_DataDraftApril26[Start])*($A121&lt;tbl_DataDraftApril26[End]))</f>
        <v>35</v>
      </c>
      <c r="C121" s="125" cm="1">
        <f t="array" ref="C121">SUMPRODUCT((tbl_DataDraftApril26[Phase]=C$1)*(ISNUMBER(tbl_DataDraftApril26[Start]))*(ISNUMBER(tbl_DataDraftApril26[End]))*($A121&gt;tbl_DataDraftApril26[Start])*($A121&lt;tbl_DataDraftApril26[End]))</f>
        <v>4</v>
      </c>
      <c r="D121" s="125" cm="1">
        <f t="array" ref="D121">SUMPRODUCT((tbl_DataDraftApril26[Phase]=D$1)*(ISNUMBER(tbl_DataDraftApril26[Start]))*(ISNUMBER(tbl_DataDraftApril26[End]))*($A121&gt;tbl_DataDraftApril26[Start])*($A121&lt;tbl_DataDraftApril26[End]))</f>
        <v>0</v>
      </c>
      <c r="E121" s="125" cm="1">
        <f t="array" ref="E121">SUMPRODUCT((tbl_DataDraftApril26[Phase]=E$1)*(ISNUMBER(tbl_DataDraftApril26[Start]))*(ISNUMBER(tbl_DataDraftApril26[End]))*($A121&gt;tbl_DataDraftApril26[Start])*($A121&lt;tbl_DataDraftApril26[End]))</f>
        <v>6</v>
      </c>
    </row>
    <row r="122" spans="1:5">
      <c r="A122" s="131">
        <v>45990</v>
      </c>
      <c r="B122" s="125" cm="1">
        <f t="array" ref="B122">SUMPRODUCT((tbl_DataDraftApril26[Phase]=B$1)*(ISNUMBER(tbl_DataDraftApril26[Start]))*(ISNUMBER(tbl_DataDraftApril26[End]))*($A122&gt;tbl_DataDraftApril26[Start])*($A122&lt;tbl_DataDraftApril26[End]))</f>
        <v>35</v>
      </c>
      <c r="C122" s="125" cm="1">
        <f t="array" ref="C122">SUMPRODUCT((tbl_DataDraftApril26[Phase]=C$1)*(ISNUMBER(tbl_DataDraftApril26[Start]))*(ISNUMBER(tbl_DataDraftApril26[End]))*($A122&gt;tbl_DataDraftApril26[Start])*($A122&lt;tbl_DataDraftApril26[End]))</f>
        <v>4</v>
      </c>
      <c r="D122" s="125" cm="1">
        <f t="array" ref="D122">SUMPRODUCT((tbl_DataDraftApril26[Phase]=D$1)*(ISNUMBER(tbl_DataDraftApril26[Start]))*(ISNUMBER(tbl_DataDraftApril26[End]))*($A122&gt;tbl_DataDraftApril26[Start])*($A122&lt;tbl_DataDraftApril26[End]))</f>
        <v>0</v>
      </c>
      <c r="E122" s="125" cm="1">
        <f t="array" ref="E122">SUMPRODUCT((tbl_DataDraftApril26[Phase]=E$1)*(ISNUMBER(tbl_DataDraftApril26[Start]))*(ISNUMBER(tbl_DataDraftApril26[End]))*($A122&gt;tbl_DataDraftApril26[Start])*($A122&lt;tbl_DataDraftApril26[End]))</f>
        <v>6</v>
      </c>
    </row>
    <row r="123" spans="1:5">
      <c r="A123" s="131">
        <v>45991</v>
      </c>
      <c r="B123" s="125" cm="1">
        <f t="array" ref="B123">SUMPRODUCT((tbl_DataDraftApril26[Phase]=B$1)*(ISNUMBER(tbl_DataDraftApril26[Start]))*(ISNUMBER(tbl_DataDraftApril26[End]))*($A123&gt;tbl_DataDraftApril26[Start])*($A123&lt;tbl_DataDraftApril26[End]))</f>
        <v>34</v>
      </c>
      <c r="C123" s="125" cm="1">
        <f t="array" ref="C123">SUMPRODUCT((tbl_DataDraftApril26[Phase]=C$1)*(ISNUMBER(tbl_DataDraftApril26[Start]))*(ISNUMBER(tbl_DataDraftApril26[End]))*($A123&gt;tbl_DataDraftApril26[Start])*($A123&lt;tbl_DataDraftApril26[End]))</f>
        <v>4</v>
      </c>
      <c r="D123" s="125" cm="1">
        <f t="array" ref="D123">SUMPRODUCT((tbl_DataDraftApril26[Phase]=D$1)*(ISNUMBER(tbl_DataDraftApril26[Start]))*(ISNUMBER(tbl_DataDraftApril26[End]))*($A123&gt;tbl_DataDraftApril26[Start])*($A123&lt;tbl_DataDraftApril26[End]))</f>
        <v>0</v>
      </c>
      <c r="E123" s="125" cm="1">
        <f t="array" ref="E123">SUMPRODUCT((tbl_DataDraftApril26[Phase]=E$1)*(ISNUMBER(tbl_DataDraftApril26[Start]))*(ISNUMBER(tbl_DataDraftApril26[End]))*($A123&gt;tbl_DataDraftApril26[Start])*($A123&lt;tbl_DataDraftApril26[End]))</f>
        <v>6</v>
      </c>
    </row>
    <row r="124" spans="1:5">
      <c r="A124" s="131">
        <v>45992</v>
      </c>
      <c r="B124" s="125" cm="1">
        <f t="array" ref="B124">SUMPRODUCT((tbl_DataDraftApril26[Phase]=B$1)*(ISNUMBER(tbl_DataDraftApril26[Start]))*(ISNUMBER(tbl_DataDraftApril26[End]))*($A124&gt;tbl_DataDraftApril26[Start])*($A124&lt;tbl_DataDraftApril26[End]))</f>
        <v>34</v>
      </c>
      <c r="C124" s="125" cm="1">
        <f t="array" ref="C124">SUMPRODUCT((tbl_DataDraftApril26[Phase]=C$1)*(ISNUMBER(tbl_DataDraftApril26[Start]))*(ISNUMBER(tbl_DataDraftApril26[End]))*($A124&gt;tbl_DataDraftApril26[Start])*($A124&lt;tbl_DataDraftApril26[End]))</f>
        <v>4</v>
      </c>
      <c r="D124" s="125" cm="1">
        <f t="array" ref="D124">SUMPRODUCT((tbl_DataDraftApril26[Phase]=D$1)*(ISNUMBER(tbl_DataDraftApril26[Start]))*(ISNUMBER(tbl_DataDraftApril26[End]))*($A124&gt;tbl_DataDraftApril26[Start])*($A124&lt;tbl_DataDraftApril26[End]))</f>
        <v>0</v>
      </c>
      <c r="E124" s="125" cm="1">
        <f t="array" ref="E124">SUMPRODUCT((tbl_DataDraftApril26[Phase]=E$1)*(ISNUMBER(tbl_DataDraftApril26[Start]))*(ISNUMBER(tbl_DataDraftApril26[End]))*($A124&gt;tbl_DataDraftApril26[Start])*($A124&lt;tbl_DataDraftApril26[End]))</f>
        <v>6</v>
      </c>
    </row>
    <row r="125" spans="1:5">
      <c r="A125" s="131">
        <v>45993</v>
      </c>
      <c r="B125" s="125" cm="1">
        <f t="array" ref="B125">SUMPRODUCT((tbl_DataDraftApril26[Phase]=B$1)*(ISNUMBER(tbl_DataDraftApril26[Start]))*(ISNUMBER(tbl_DataDraftApril26[End]))*($A125&gt;tbl_DataDraftApril26[Start])*($A125&lt;tbl_DataDraftApril26[End]))</f>
        <v>34</v>
      </c>
      <c r="C125" s="125" cm="1">
        <f t="array" ref="C125">SUMPRODUCT((tbl_DataDraftApril26[Phase]=C$1)*(ISNUMBER(tbl_DataDraftApril26[Start]))*(ISNUMBER(tbl_DataDraftApril26[End]))*($A125&gt;tbl_DataDraftApril26[Start])*($A125&lt;tbl_DataDraftApril26[End]))</f>
        <v>4</v>
      </c>
      <c r="D125" s="125" cm="1">
        <f t="array" ref="D125">SUMPRODUCT((tbl_DataDraftApril26[Phase]=D$1)*(ISNUMBER(tbl_DataDraftApril26[Start]))*(ISNUMBER(tbl_DataDraftApril26[End]))*($A125&gt;tbl_DataDraftApril26[Start])*($A125&lt;tbl_DataDraftApril26[End]))</f>
        <v>0</v>
      </c>
      <c r="E125" s="125" cm="1">
        <f t="array" ref="E125">SUMPRODUCT((tbl_DataDraftApril26[Phase]=E$1)*(ISNUMBER(tbl_DataDraftApril26[Start]))*(ISNUMBER(tbl_DataDraftApril26[End]))*($A125&gt;tbl_DataDraftApril26[Start])*($A125&lt;tbl_DataDraftApril26[End]))</f>
        <v>6</v>
      </c>
    </row>
    <row r="126" spans="1:5">
      <c r="A126" s="131">
        <v>45994</v>
      </c>
      <c r="B126" s="125" cm="1">
        <f t="array" ref="B126">SUMPRODUCT((tbl_DataDraftApril26[Phase]=B$1)*(ISNUMBER(tbl_DataDraftApril26[Start]))*(ISNUMBER(tbl_DataDraftApril26[End]))*($A126&gt;tbl_DataDraftApril26[Start])*($A126&lt;tbl_DataDraftApril26[End]))</f>
        <v>34</v>
      </c>
      <c r="C126" s="125" cm="1">
        <f t="array" ref="C126">SUMPRODUCT((tbl_DataDraftApril26[Phase]=C$1)*(ISNUMBER(tbl_DataDraftApril26[Start]))*(ISNUMBER(tbl_DataDraftApril26[End]))*($A126&gt;tbl_DataDraftApril26[Start])*($A126&lt;tbl_DataDraftApril26[End]))</f>
        <v>4</v>
      </c>
      <c r="D126" s="125" cm="1">
        <f t="array" ref="D126">SUMPRODUCT((tbl_DataDraftApril26[Phase]=D$1)*(ISNUMBER(tbl_DataDraftApril26[Start]))*(ISNUMBER(tbl_DataDraftApril26[End]))*($A126&gt;tbl_DataDraftApril26[Start])*($A126&lt;tbl_DataDraftApril26[End]))</f>
        <v>0</v>
      </c>
      <c r="E126" s="125" cm="1">
        <f t="array" ref="E126">SUMPRODUCT((tbl_DataDraftApril26[Phase]=E$1)*(ISNUMBER(tbl_DataDraftApril26[Start]))*(ISNUMBER(tbl_DataDraftApril26[End]))*($A126&gt;tbl_DataDraftApril26[Start])*($A126&lt;tbl_DataDraftApril26[End]))</f>
        <v>6</v>
      </c>
    </row>
    <row r="127" spans="1:5">
      <c r="A127" s="131">
        <v>45995</v>
      </c>
      <c r="B127" s="125" cm="1">
        <f t="array" ref="B127">SUMPRODUCT((tbl_DataDraftApril26[Phase]=B$1)*(ISNUMBER(tbl_DataDraftApril26[Start]))*(ISNUMBER(tbl_DataDraftApril26[End]))*($A127&gt;tbl_DataDraftApril26[Start])*($A127&lt;tbl_DataDraftApril26[End]))</f>
        <v>34</v>
      </c>
      <c r="C127" s="125" cm="1">
        <f t="array" ref="C127">SUMPRODUCT((tbl_DataDraftApril26[Phase]=C$1)*(ISNUMBER(tbl_DataDraftApril26[Start]))*(ISNUMBER(tbl_DataDraftApril26[End]))*($A127&gt;tbl_DataDraftApril26[Start])*($A127&lt;tbl_DataDraftApril26[End]))</f>
        <v>4</v>
      </c>
      <c r="D127" s="125" cm="1">
        <f t="array" ref="D127">SUMPRODUCT((tbl_DataDraftApril26[Phase]=D$1)*(ISNUMBER(tbl_DataDraftApril26[Start]))*(ISNUMBER(tbl_DataDraftApril26[End]))*($A127&gt;tbl_DataDraftApril26[Start])*($A127&lt;tbl_DataDraftApril26[End]))</f>
        <v>0</v>
      </c>
      <c r="E127" s="125" cm="1">
        <f t="array" ref="E127">SUMPRODUCT((tbl_DataDraftApril26[Phase]=E$1)*(ISNUMBER(tbl_DataDraftApril26[Start]))*(ISNUMBER(tbl_DataDraftApril26[End]))*($A127&gt;tbl_DataDraftApril26[Start])*($A127&lt;tbl_DataDraftApril26[End]))</f>
        <v>6</v>
      </c>
    </row>
    <row r="128" spans="1:5">
      <c r="A128" s="131">
        <v>45996</v>
      </c>
      <c r="B128" s="125" cm="1">
        <f t="array" ref="B128">SUMPRODUCT((tbl_DataDraftApril26[Phase]=B$1)*(ISNUMBER(tbl_DataDraftApril26[Start]))*(ISNUMBER(tbl_DataDraftApril26[End]))*($A128&gt;tbl_DataDraftApril26[Start])*($A128&lt;tbl_DataDraftApril26[End]))</f>
        <v>34</v>
      </c>
      <c r="C128" s="125" cm="1">
        <f t="array" ref="C128">SUMPRODUCT((tbl_DataDraftApril26[Phase]=C$1)*(ISNUMBER(tbl_DataDraftApril26[Start]))*(ISNUMBER(tbl_DataDraftApril26[End]))*($A128&gt;tbl_DataDraftApril26[Start])*($A128&lt;tbl_DataDraftApril26[End]))</f>
        <v>4</v>
      </c>
      <c r="D128" s="125" cm="1">
        <f t="array" ref="D128">SUMPRODUCT((tbl_DataDraftApril26[Phase]=D$1)*(ISNUMBER(tbl_DataDraftApril26[Start]))*(ISNUMBER(tbl_DataDraftApril26[End]))*($A128&gt;tbl_DataDraftApril26[Start])*($A128&lt;tbl_DataDraftApril26[End]))</f>
        <v>0</v>
      </c>
      <c r="E128" s="125" cm="1">
        <f t="array" ref="E128">SUMPRODUCT((tbl_DataDraftApril26[Phase]=E$1)*(ISNUMBER(tbl_DataDraftApril26[Start]))*(ISNUMBER(tbl_DataDraftApril26[End]))*($A128&gt;tbl_DataDraftApril26[Start])*($A128&lt;tbl_DataDraftApril26[End]))</f>
        <v>6</v>
      </c>
    </row>
    <row r="129" spans="1:5">
      <c r="A129" s="131">
        <v>45997</v>
      </c>
      <c r="B129" s="125" cm="1">
        <f t="array" ref="B129">SUMPRODUCT((tbl_DataDraftApril26[Phase]=B$1)*(ISNUMBER(tbl_DataDraftApril26[Start]))*(ISNUMBER(tbl_DataDraftApril26[End]))*($A129&gt;tbl_DataDraftApril26[Start])*($A129&lt;tbl_DataDraftApril26[End]))</f>
        <v>34</v>
      </c>
      <c r="C129" s="125" cm="1">
        <f t="array" ref="C129">SUMPRODUCT((tbl_DataDraftApril26[Phase]=C$1)*(ISNUMBER(tbl_DataDraftApril26[Start]))*(ISNUMBER(tbl_DataDraftApril26[End]))*($A129&gt;tbl_DataDraftApril26[Start])*($A129&lt;tbl_DataDraftApril26[End]))</f>
        <v>4</v>
      </c>
      <c r="D129" s="125" cm="1">
        <f t="array" ref="D129">SUMPRODUCT((tbl_DataDraftApril26[Phase]=D$1)*(ISNUMBER(tbl_DataDraftApril26[Start]))*(ISNUMBER(tbl_DataDraftApril26[End]))*($A129&gt;tbl_DataDraftApril26[Start])*($A129&lt;tbl_DataDraftApril26[End]))</f>
        <v>0</v>
      </c>
      <c r="E129" s="125" cm="1">
        <f t="array" ref="E129">SUMPRODUCT((tbl_DataDraftApril26[Phase]=E$1)*(ISNUMBER(tbl_DataDraftApril26[Start]))*(ISNUMBER(tbl_DataDraftApril26[End]))*($A129&gt;tbl_DataDraftApril26[Start])*($A129&lt;tbl_DataDraftApril26[End]))</f>
        <v>6</v>
      </c>
    </row>
    <row r="130" spans="1:5">
      <c r="A130" s="131">
        <v>45998</v>
      </c>
      <c r="B130" s="125" cm="1">
        <f t="array" ref="B130">SUMPRODUCT((tbl_DataDraftApril26[Phase]=B$1)*(ISNUMBER(tbl_DataDraftApril26[Start]))*(ISNUMBER(tbl_DataDraftApril26[End]))*($A130&gt;tbl_DataDraftApril26[Start])*($A130&lt;tbl_DataDraftApril26[End]))</f>
        <v>34</v>
      </c>
      <c r="C130" s="125" cm="1">
        <f t="array" ref="C130">SUMPRODUCT((tbl_DataDraftApril26[Phase]=C$1)*(ISNUMBER(tbl_DataDraftApril26[Start]))*(ISNUMBER(tbl_DataDraftApril26[End]))*($A130&gt;tbl_DataDraftApril26[Start])*($A130&lt;tbl_DataDraftApril26[End]))</f>
        <v>4</v>
      </c>
      <c r="D130" s="125" cm="1">
        <f t="array" ref="D130">SUMPRODUCT((tbl_DataDraftApril26[Phase]=D$1)*(ISNUMBER(tbl_DataDraftApril26[Start]))*(ISNUMBER(tbl_DataDraftApril26[End]))*($A130&gt;tbl_DataDraftApril26[Start])*($A130&lt;tbl_DataDraftApril26[End]))</f>
        <v>0</v>
      </c>
      <c r="E130" s="125" cm="1">
        <f t="array" ref="E130">SUMPRODUCT((tbl_DataDraftApril26[Phase]=E$1)*(ISNUMBER(tbl_DataDraftApril26[Start]))*(ISNUMBER(tbl_DataDraftApril26[End]))*($A130&gt;tbl_DataDraftApril26[Start])*($A130&lt;tbl_DataDraftApril26[End]))</f>
        <v>6</v>
      </c>
    </row>
    <row r="131" spans="1:5">
      <c r="A131" s="131">
        <v>45999</v>
      </c>
      <c r="B131" s="125" cm="1">
        <f t="array" ref="B131">SUMPRODUCT((tbl_DataDraftApril26[Phase]=B$1)*(ISNUMBER(tbl_DataDraftApril26[Start]))*(ISNUMBER(tbl_DataDraftApril26[End]))*($A131&gt;tbl_DataDraftApril26[Start])*($A131&lt;tbl_DataDraftApril26[End]))</f>
        <v>34</v>
      </c>
      <c r="C131" s="125" cm="1">
        <f t="array" ref="C131">SUMPRODUCT((tbl_DataDraftApril26[Phase]=C$1)*(ISNUMBER(tbl_DataDraftApril26[Start]))*(ISNUMBER(tbl_DataDraftApril26[End]))*($A131&gt;tbl_DataDraftApril26[Start])*($A131&lt;tbl_DataDraftApril26[End]))</f>
        <v>4</v>
      </c>
      <c r="D131" s="125" cm="1">
        <f t="array" ref="D131">SUMPRODUCT((tbl_DataDraftApril26[Phase]=D$1)*(ISNUMBER(tbl_DataDraftApril26[Start]))*(ISNUMBER(tbl_DataDraftApril26[End]))*($A131&gt;tbl_DataDraftApril26[Start])*($A131&lt;tbl_DataDraftApril26[End]))</f>
        <v>0</v>
      </c>
      <c r="E131" s="125" cm="1">
        <f t="array" ref="E131">SUMPRODUCT((tbl_DataDraftApril26[Phase]=E$1)*(ISNUMBER(tbl_DataDraftApril26[Start]))*(ISNUMBER(tbl_DataDraftApril26[End]))*($A131&gt;tbl_DataDraftApril26[Start])*($A131&lt;tbl_DataDraftApril26[End]))</f>
        <v>6</v>
      </c>
    </row>
    <row r="132" spans="1:5">
      <c r="A132" s="131">
        <v>46000</v>
      </c>
      <c r="B132" s="125" cm="1">
        <f t="array" ref="B132">SUMPRODUCT((tbl_DataDraftApril26[Phase]=B$1)*(ISNUMBER(tbl_DataDraftApril26[Start]))*(ISNUMBER(tbl_DataDraftApril26[End]))*($A132&gt;tbl_DataDraftApril26[Start])*($A132&lt;tbl_DataDraftApril26[End]))</f>
        <v>34</v>
      </c>
      <c r="C132" s="125" cm="1">
        <f t="array" ref="C132">SUMPRODUCT((tbl_DataDraftApril26[Phase]=C$1)*(ISNUMBER(tbl_DataDraftApril26[Start]))*(ISNUMBER(tbl_DataDraftApril26[End]))*($A132&gt;tbl_DataDraftApril26[Start])*($A132&lt;tbl_DataDraftApril26[End]))</f>
        <v>4</v>
      </c>
      <c r="D132" s="125" cm="1">
        <f t="array" ref="D132">SUMPRODUCT((tbl_DataDraftApril26[Phase]=D$1)*(ISNUMBER(tbl_DataDraftApril26[Start]))*(ISNUMBER(tbl_DataDraftApril26[End]))*($A132&gt;tbl_DataDraftApril26[Start])*($A132&lt;tbl_DataDraftApril26[End]))</f>
        <v>0</v>
      </c>
      <c r="E132" s="125" cm="1">
        <f t="array" ref="E132">SUMPRODUCT((tbl_DataDraftApril26[Phase]=E$1)*(ISNUMBER(tbl_DataDraftApril26[Start]))*(ISNUMBER(tbl_DataDraftApril26[End]))*($A132&gt;tbl_DataDraftApril26[Start])*($A132&lt;tbl_DataDraftApril26[End]))</f>
        <v>6</v>
      </c>
    </row>
    <row r="133" spans="1:5">
      <c r="A133" s="131">
        <v>46001</v>
      </c>
      <c r="B133" s="125" cm="1">
        <f t="array" ref="B133">SUMPRODUCT((tbl_DataDraftApril26[Phase]=B$1)*(ISNUMBER(tbl_DataDraftApril26[Start]))*(ISNUMBER(tbl_DataDraftApril26[End]))*($A133&gt;tbl_DataDraftApril26[Start])*($A133&lt;tbl_DataDraftApril26[End]))</f>
        <v>26</v>
      </c>
      <c r="C133" s="125" cm="1">
        <f t="array" ref="C133">SUMPRODUCT((tbl_DataDraftApril26[Phase]=C$1)*(ISNUMBER(tbl_DataDraftApril26[Start]))*(ISNUMBER(tbl_DataDraftApril26[End]))*($A133&gt;tbl_DataDraftApril26[Start])*($A133&lt;tbl_DataDraftApril26[End]))</f>
        <v>4</v>
      </c>
      <c r="D133" s="125" cm="1">
        <f t="array" ref="D133">SUMPRODUCT((tbl_DataDraftApril26[Phase]=D$1)*(ISNUMBER(tbl_DataDraftApril26[Start]))*(ISNUMBER(tbl_DataDraftApril26[End]))*($A133&gt;tbl_DataDraftApril26[Start])*($A133&lt;tbl_DataDraftApril26[End]))</f>
        <v>0</v>
      </c>
      <c r="E133" s="125" cm="1">
        <f t="array" ref="E133">SUMPRODUCT((tbl_DataDraftApril26[Phase]=E$1)*(ISNUMBER(tbl_DataDraftApril26[Start]))*(ISNUMBER(tbl_DataDraftApril26[End]))*($A133&gt;tbl_DataDraftApril26[Start])*($A133&lt;tbl_DataDraftApril26[End]))</f>
        <v>6</v>
      </c>
    </row>
    <row r="134" spans="1:5">
      <c r="A134" s="131">
        <v>46002</v>
      </c>
      <c r="B134" s="125" cm="1">
        <f t="array" ref="B134">SUMPRODUCT((tbl_DataDraftApril26[Phase]=B$1)*(ISNUMBER(tbl_DataDraftApril26[Start]))*(ISNUMBER(tbl_DataDraftApril26[End]))*($A134&gt;tbl_DataDraftApril26[Start])*($A134&lt;tbl_DataDraftApril26[End]))</f>
        <v>26</v>
      </c>
      <c r="C134" s="125" cm="1">
        <f t="array" ref="C134">SUMPRODUCT((tbl_DataDraftApril26[Phase]=C$1)*(ISNUMBER(tbl_DataDraftApril26[Start]))*(ISNUMBER(tbl_DataDraftApril26[End]))*($A134&gt;tbl_DataDraftApril26[Start])*($A134&lt;tbl_DataDraftApril26[End]))</f>
        <v>4</v>
      </c>
      <c r="D134" s="125" cm="1">
        <f t="array" ref="D134">SUMPRODUCT((tbl_DataDraftApril26[Phase]=D$1)*(ISNUMBER(tbl_DataDraftApril26[Start]))*(ISNUMBER(tbl_DataDraftApril26[End]))*($A134&gt;tbl_DataDraftApril26[Start])*($A134&lt;tbl_DataDraftApril26[End]))</f>
        <v>0</v>
      </c>
      <c r="E134" s="125" cm="1">
        <f t="array" ref="E134">SUMPRODUCT((tbl_DataDraftApril26[Phase]=E$1)*(ISNUMBER(tbl_DataDraftApril26[Start]))*(ISNUMBER(tbl_DataDraftApril26[End]))*($A134&gt;tbl_DataDraftApril26[Start])*($A134&lt;tbl_DataDraftApril26[End]))</f>
        <v>6</v>
      </c>
    </row>
    <row r="135" spans="1:5">
      <c r="A135" s="131">
        <v>46003</v>
      </c>
      <c r="B135" s="125" cm="1">
        <f t="array" ref="B135">SUMPRODUCT((tbl_DataDraftApril26[Phase]=B$1)*(ISNUMBER(tbl_DataDraftApril26[Start]))*(ISNUMBER(tbl_DataDraftApril26[End]))*($A135&gt;tbl_DataDraftApril26[Start])*($A135&lt;tbl_DataDraftApril26[End]))</f>
        <v>26</v>
      </c>
      <c r="C135" s="125" cm="1">
        <f t="array" ref="C135">SUMPRODUCT((tbl_DataDraftApril26[Phase]=C$1)*(ISNUMBER(tbl_DataDraftApril26[Start]))*(ISNUMBER(tbl_DataDraftApril26[End]))*($A135&gt;tbl_DataDraftApril26[Start])*($A135&lt;tbl_DataDraftApril26[End]))</f>
        <v>4</v>
      </c>
      <c r="D135" s="125" cm="1">
        <f t="array" ref="D135">SUMPRODUCT((tbl_DataDraftApril26[Phase]=D$1)*(ISNUMBER(tbl_DataDraftApril26[Start]))*(ISNUMBER(tbl_DataDraftApril26[End]))*($A135&gt;tbl_DataDraftApril26[Start])*($A135&lt;tbl_DataDraftApril26[End]))</f>
        <v>0</v>
      </c>
      <c r="E135" s="125" cm="1">
        <f t="array" ref="E135">SUMPRODUCT((tbl_DataDraftApril26[Phase]=E$1)*(ISNUMBER(tbl_DataDraftApril26[Start]))*(ISNUMBER(tbl_DataDraftApril26[End]))*($A135&gt;tbl_DataDraftApril26[Start])*($A135&lt;tbl_DataDraftApril26[End]))</f>
        <v>6</v>
      </c>
    </row>
    <row r="136" spans="1:5">
      <c r="A136" s="131">
        <v>46004</v>
      </c>
      <c r="B136" s="125" cm="1">
        <f t="array" ref="B136">SUMPRODUCT((tbl_DataDraftApril26[Phase]=B$1)*(ISNUMBER(tbl_DataDraftApril26[Start]))*(ISNUMBER(tbl_DataDraftApril26[End]))*($A136&gt;tbl_DataDraftApril26[Start])*($A136&lt;tbl_DataDraftApril26[End]))</f>
        <v>26</v>
      </c>
      <c r="C136" s="125" cm="1">
        <f t="array" ref="C136">SUMPRODUCT((tbl_DataDraftApril26[Phase]=C$1)*(ISNUMBER(tbl_DataDraftApril26[Start]))*(ISNUMBER(tbl_DataDraftApril26[End]))*($A136&gt;tbl_DataDraftApril26[Start])*($A136&lt;tbl_DataDraftApril26[End]))</f>
        <v>4</v>
      </c>
      <c r="D136" s="125" cm="1">
        <f t="array" ref="D136">SUMPRODUCT((tbl_DataDraftApril26[Phase]=D$1)*(ISNUMBER(tbl_DataDraftApril26[Start]))*(ISNUMBER(tbl_DataDraftApril26[End]))*($A136&gt;tbl_DataDraftApril26[Start])*($A136&lt;tbl_DataDraftApril26[End]))</f>
        <v>0</v>
      </c>
      <c r="E136" s="125" cm="1">
        <f t="array" ref="E136">SUMPRODUCT((tbl_DataDraftApril26[Phase]=E$1)*(ISNUMBER(tbl_DataDraftApril26[Start]))*(ISNUMBER(tbl_DataDraftApril26[End]))*($A136&gt;tbl_DataDraftApril26[Start])*($A136&lt;tbl_DataDraftApril26[End]))</f>
        <v>6</v>
      </c>
    </row>
    <row r="137" spans="1:5">
      <c r="A137" s="131">
        <v>46005</v>
      </c>
      <c r="B137" s="125" cm="1">
        <f t="array" ref="B137">SUMPRODUCT((tbl_DataDraftApril26[Phase]=B$1)*(ISNUMBER(tbl_DataDraftApril26[Start]))*(ISNUMBER(tbl_DataDraftApril26[End]))*($A137&gt;tbl_DataDraftApril26[Start])*($A137&lt;tbl_DataDraftApril26[End]))</f>
        <v>26</v>
      </c>
      <c r="C137" s="125" cm="1">
        <f t="array" ref="C137">SUMPRODUCT((tbl_DataDraftApril26[Phase]=C$1)*(ISNUMBER(tbl_DataDraftApril26[Start]))*(ISNUMBER(tbl_DataDraftApril26[End]))*($A137&gt;tbl_DataDraftApril26[Start])*($A137&lt;tbl_DataDraftApril26[End]))</f>
        <v>4</v>
      </c>
      <c r="D137" s="125" cm="1">
        <f t="array" ref="D137">SUMPRODUCT((tbl_DataDraftApril26[Phase]=D$1)*(ISNUMBER(tbl_DataDraftApril26[Start]))*(ISNUMBER(tbl_DataDraftApril26[End]))*($A137&gt;tbl_DataDraftApril26[Start])*($A137&lt;tbl_DataDraftApril26[End]))</f>
        <v>0</v>
      </c>
      <c r="E137" s="125" cm="1">
        <f t="array" ref="E137">SUMPRODUCT((tbl_DataDraftApril26[Phase]=E$1)*(ISNUMBER(tbl_DataDraftApril26[Start]))*(ISNUMBER(tbl_DataDraftApril26[End]))*($A137&gt;tbl_DataDraftApril26[Start])*($A137&lt;tbl_DataDraftApril26[End]))</f>
        <v>6</v>
      </c>
    </row>
    <row r="138" spans="1:5">
      <c r="A138" s="131">
        <v>46006</v>
      </c>
      <c r="B138" s="125" cm="1">
        <f t="array" ref="B138">SUMPRODUCT((tbl_DataDraftApril26[Phase]=B$1)*(ISNUMBER(tbl_DataDraftApril26[Start]))*(ISNUMBER(tbl_DataDraftApril26[End]))*($A138&gt;tbl_DataDraftApril26[Start])*($A138&lt;tbl_DataDraftApril26[End]))</f>
        <v>26</v>
      </c>
      <c r="C138" s="125" cm="1">
        <f t="array" ref="C138">SUMPRODUCT((tbl_DataDraftApril26[Phase]=C$1)*(ISNUMBER(tbl_DataDraftApril26[Start]))*(ISNUMBER(tbl_DataDraftApril26[End]))*($A138&gt;tbl_DataDraftApril26[Start])*($A138&lt;tbl_DataDraftApril26[End]))</f>
        <v>4</v>
      </c>
      <c r="D138" s="125" cm="1">
        <f t="array" ref="D138">SUMPRODUCT((tbl_DataDraftApril26[Phase]=D$1)*(ISNUMBER(tbl_DataDraftApril26[Start]))*(ISNUMBER(tbl_DataDraftApril26[End]))*($A138&gt;tbl_DataDraftApril26[Start])*($A138&lt;tbl_DataDraftApril26[End]))</f>
        <v>0</v>
      </c>
      <c r="E138" s="125" cm="1">
        <f t="array" ref="E138">SUMPRODUCT((tbl_DataDraftApril26[Phase]=E$1)*(ISNUMBER(tbl_DataDraftApril26[Start]))*(ISNUMBER(tbl_DataDraftApril26[End]))*($A138&gt;tbl_DataDraftApril26[Start])*($A138&lt;tbl_DataDraftApril26[End]))</f>
        <v>6</v>
      </c>
    </row>
    <row r="139" spans="1:5">
      <c r="A139" s="131">
        <v>46007</v>
      </c>
      <c r="B139" s="125" cm="1">
        <f t="array" ref="B139">SUMPRODUCT((tbl_DataDraftApril26[Phase]=B$1)*(ISNUMBER(tbl_DataDraftApril26[Start]))*(ISNUMBER(tbl_DataDraftApril26[End]))*($A139&gt;tbl_DataDraftApril26[Start])*($A139&lt;tbl_DataDraftApril26[End]))</f>
        <v>26</v>
      </c>
      <c r="C139" s="125" cm="1">
        <f t="array" ref="C139">SUMPRODUCT((tbl_DataDraftApril26[Phase]=C$1)*(ISNUMBER(tbl_DataDraftApril26[Start]))*(ISNUMBER(tbl_DataDraftApril26[End]))*($A139&gt;tbl_DataDraftApril26[Start])*($A139&lt;tbl_DataDraftApril26[End]))</f>
        <v>4</v>
      </c>
      <c r="D139" s="125" cm="1">
        <f t="array" ref="D139">SUMPRODUCT((tbl_DataDraftApril26[Phase]=D$1)*(ISNUMBER(tbl_DataDraftApril26[Start]))*(ISNUMBER(tbl_DataDraftApril26[End]))*($A139&gt;tbl_DataDraftApril26[Start])*($A139&lt;tbl_DataDraftApril26[End]))</f>
        <v>0</v>
      </c>
      <c r="E139" s="125" cm="1">
        <f t="array" ref="E139">SUMPRODUCT((tbl_DataDraftApril26[Phase]=E$1)*(ISNUMBER(tbl_DataDraftApril26[Start]))*(ISNUMBER(tbl_DataDraftApril26[End]))*($A139&gt;tbl_DataDraftApril26[Start])*($A139&lt;tbl_DataDraftApril26[End]))</f>
        <v>6</v>
      </c>
    </row>
    <row r="140" spans="1:5">
      <c r="A140" s="131">
        <v>46008</v>
      </c>
      <c r="B140" s="125" cm="1">
        <f t="array" ref="B140">SUMPRODUCT((tbl_DataDraftApril26[Phase]=B$1)*(ISNUMBER(tbl_DataDraftApril26[Start]))*(ISNUMBER(tbl_DataDraftApril26[End]))*($A140&gt;tbl_DataDraftApril26[Start])*($A140&lt;tbl_DataDraftApril26[End]))</f>
        <v>26</v>
      </c>
      <c r="C140" s="125" cm="1">
        <f t="array" ref="C140">SUMPRODUCT((tbl_DataDraftApril26[Phase]=C$1)*(ISNUMBER(tbl_DataDraftApril26[Start]))*(ISNUMBER(tbl_DataDraftApril26[End]))*($A140&gt;tbl_DataDraftApril26[Start])*($A140&lt;tbl_DataDraftApril26[End]))</f>
        <v>4</v>
      </c>
      <c r="D140" s="125" cm="1">
        <f t="array" ref="D140">SUMPRODUCT((tbl_DataDraftApril26[Phase]=D$1)*(ISNUMBER(tbl_DataDraftApril26[Start]))*(ISNUMBER(tbl_DataDraftApril26[End]))*($A140&gt;tbl_DataDraftApril26[Start])*($A140&lt;tbl_DataDraftApril26[End]))</f>
        <v>0</v>
      </c>
      <c r="E140" s="125" cm="1">
        <f t="array" ref="E140">SUMPRODUCT((tbl_DataDraftApril26[Phase]=E$1)*(ISNUMBER(tbl_DataDraftApril26[Start]))*(ISNUMBER(tbl_DataDraftApril26[End]))*($A140&gt;tbl_DataDraftApril26[Start])*($A140&lt;tbl_DataDraftApril26[End]))</f>
        <v>6</v>
      </c>
    </row>
    <row r="141" spans="1:5">
      <c r="A141" s="131">
        <v>46009</v>
      </c>
      <c r="B141" s="125" cm="1">
        <f t="array" ref="B141">SUMPRODUCT((tbl_DataDraftApril26[Phase]=B$1)*(ISNUMBER(tbl_DataDraftApril26[Start]))*(ISNUMBER(tbl_DataDraftApril26[End]))*($A141&gt;tbl_DataDraftApril26[Start])*($A141&lt;tbl_DataDraftApril26[End]))</f>
        <v>26</v>
      </c>
      <c r="C141" s="125" cm="1">
        <f t="array" ref="C141">SUMPRODUCT((tbl_DataDraftApril26[Phase]=C$1)*(ISNUMBER(tbl_DataDraftApril26[Start]))*(ISNUMBER(tbl_DataDraftApril26[End]))*($A141&gt;tbl_DataDraftApril26[Start])*($A141&lt;tbl_DataDraftApril26[End]))</f>
        <v>4</v>
      </c>
      <c r="D141" s="125" cm="1">
        <f t="array" ref="D141">SUMPRODUCT((tbl_DataDraftApril26[Phase]=D$1)*(ISNUMBER(tbl_DataDraftApril26[Start]))*(ISNUMBER(tbl_DataDraftApril26[End]))*($A141&gt;tbl_DataDraftApril26[Start])*($A141&lt;tbl_DataDraftApril26[End]))</f>
        <v>0</v>
      </c>
      <c r="E141" s="125" cm="1">
        <f t="array" ref="E141">SUMPRODUCT((tbl_DataDraftApril26[Phase]=E$1)*(ISNUMBER(tbl_DataDraftApril26[Start]))*(ISNUMBER(tbl_DataDraftApril26[End]))*($A141&gt;tbl_DataDraftApril26[Start])*($A141&lt;tbl_DataDraftApril26[End]))</f>
        <v>6</v>
      </c>
    </row>
    <row r="142" spans="1:5">
      <c r="A142" s="131">
        <v>46010</v>
      </c>
      <c r="B142" s="125" cm="1">
        <f t="array" ref="B142">SUMPRODUCT((tbl_DataDraftApril26[Phase]=B$1)*(ISNUMBER(tbl_DataDraftApril26[Start]))*(ISNUMBER(tbl_DataDraftApril26[End]))*($A142&gt;tbl_DataDraftApril26[Start])*($A142&lt;tbl_DataDraftApril26[End]))</f>
        <v>26</v>
      </c>
      <c r="C142" s="125" cm="1">
        <f t="array" ref="C142">SUMPRODUCT((tbl_DataDraftApril26[Phase]=C$1)*(ISNUMBER(tbl_DataDraftApril26[Start]))*(ISNUMBER(tbl_DataDraftApril26[End]))*($A142&gt;tbl_DataDraftApril26[Start])*($A142&lt;tbl_DataDraftApril26[End]))</f>
        <v>4</v>
      </c>
      <c r="D142" s="125" cm="1">
        <f t="array" ref="D142">SUMPRODUCT((tbl_DataDraftApril26[Phase]=D$1)*(ISNUMBER(tbl_DataDraftApril26[Start]))*(ISNUMBER(tbl_DataDraftApril26[End]))*($A142&gt;tbl_DataDraftApril26[Start])*($A142&lt;tbl_DataDraftApril26[End]))</f>
        <v>0</v>
      </c>
      <c r="E142" s="125" cm="1">
        <f t="array" ref="E142">SUMPRODUCT((tbl_DataDraftApril26[Phase]=E$1)*(ISNUMBER(tbl_DataDraftApril26[Start]))*(ISNUMBER(tbl_DataDraftApril26[End]))*($A142&gt;tbl_DataDraftApril26[Start])*($A142&lt;tbl_DataDraftApril26[End]))</f>
        <v>6</v>
      </c>
    </row>
    <row r="143" spans="1:5">
      <c r="A143" s="131">
        <v>46011</v>
      </c>
      <c r="B143" s="125" cm="1">
        <f t="array" ref="B143">SUMPRODUCT((tbl_DataDraftApril26[Phase]=B$1)*(ISNUMBER(tbl_DataDraftApril26[Start]))*(ISNUMBER(tbl_DataDraftApril26[End]))*($A143&gt;tbl_DataDraftApril26[Start])*($A143&lt;tbl_DataDraftApril26[End]))</f>
        <v>26</v>
      </c>
      <c r="C143" s="125" cm="1">
        <f t="array" ref="C143">SUMPRODUCT((tbl_DataDraftApril26[Phase]=C$1)*(ISNUMBER(tbl_DataDraftApril26[Start]))*(ISNUMBER(tbl_DataDraftApril26[End]))*($A143&gt;tbl_DataDraftApril26[Start])*($A143&lt;tbl_DataDraftApril26[End]))</f>
        <v>4</v>
      </c>
      <c r="D143" s="125" cm="1">
        <f t="array" ref="D143">SUMPRODUCT((tbl_DataDraftApril26[Phase]=D$1)*(ISNUMBER(tbl_DataDraftApril26[Start]))*(ISNUMBER(tbl_DataDraftApril26[End]))*($A143&gt;tbl_DataDraftApril26[Start])*($A143&lt;tbl_DataDraftApril26[End]))</f>
        <v>0</v>
      </c>
      <c r="E143" s="125" cm="1">
        <f t="array" ref="E143">SUMPRODUCT((tbl_DataDraftApril26[Phase]=E$1)*(ISNUMBER(tbl_DataDraftApril26[Start]))*(ISNUMBER(tbl_DataDraftApril26[End]))*($A143&gt;tbl_DataDraftApril26[Start])*($A143&lt;tbl_DataDraftApril26[End]))</f>
        <v>6</v>
      </c>
    </row>
    <row r="144" spans="1:5">
      <c r="A144" s="131">
        <v>46012</v>
      </c>
      <c r="B144" s="125" cm="1">
        <f t="array" ref="B144">SUMPRODUCT((tbl_DataDraftApril26[Phase]=B$1)*(ISNUMBER(tbl_DataDraftApril26[Start]))*(ISNUMBER(tbl_DataDraftApril26[End]))*($A144&gt;tbl_DataDraftApril26[Start])*($A144&lt;tbl_DataDraftApril26[End]))</f>
        <v>26</v>
      </c>
      <c r="C144" s="125" cm="1">
        <f t="array" ref="C144">SUMPRODUCT((tbl_DataDraftApril26[Phase]=C$1)*(ISNUMBER(tbl_DataDraftApril26[Start]))*(ISNUMBER(tbl_DataDraftApril26[End]))*($A144&gt;tbl_DataDraftApril26[Start])*($A144&lt;tbl_DataDraftApril26[End]))</f>
        <v>4</v>
      </c>
      <c r="D144" s="125" cm="1">
        <f t="array" ref="D144">SUMPRODUCT((tbl_DataDraftApril26[Phase]=D$1)*(ISNUMBER(tbl_DataDraftApril26[Start]))*(ISNUMBER(tbl_DataDraftApril26[End]))*($A144&gt;tbl_DataDraftApril26[Start])*($A144&lt;tbl_DataDraftApril26[End]))</f>
        <v>0</v>
      </c>
      <c r="E144" s="125" cm="1">
        <f t="array" ref="E144">SUMPRODUCT((tbl_DataDraftApril26[Phase]=E$1)*(ISNUMBER(tbl_DataDraftApril26[Start]))*(ISNUMBER(tbl_DataDraftApril26[End]))*($A144&gt;tbl_DataDraftApril26[Start])*($A144&lt;tbl_DataDraftApril26[End]))</f>
        <v>6</v>
      </c>
    </row>
    <row r="145" spans="1:5">
      <c r="A145" s="131">
        <v>46013</v>
      </c>
      <c r="B145" s="125" cm="1">
        <f t="array" ref="B145">SUMPRODUCT((tbl_DataDraftApril26[Phase]=B$1)*(ISNUMBER(tbl_DataDraftApril26[Start]))*(ISNUMBER(tbl_DataDraftApril26[End]))*($A145&gt;tbl_DataDraftApril26[Start])*($A145&lt;tbl_DataDraftApril26[End]))</f>
        <v>26</v>
      </c>
      <c r="C145" s="125" cm="1">
        <f t="array" ref="C145">SUMPRODUCT((tbl_DataDraftApril26[Phase]=C$1)*(ISNUMBER(tbl_DataDraftApril26[Start]))*(ISNUMBER(tbl_DataDraftApril26[End]))*($A145&gt;tbl_DataDraftApril26[Start])*($A145&lt;tbl_DataDraftApril26[End]))</f>
        <v>4</v>
      </c>
      <c r="D145" s="125" cm="1">
        <f t="array" ref="D145">SUMPRODUCT((tbl_DataDraftApril26[Phase]=D$1)*(ISNUMBER(tbl_DataDraftApril26[Start]))*(ISNUMBER(tbl_DataDraftApril26[End]))*($A145&gt;tbl_DataDraftApril26[Start])*($A145&lt;tbl_DataDraftApril26[End]))</f>
        <v>0</v>
      </c>
      <c r="E145" s="125" cm="1">
        <f t="array" ref="E145">SUMPRODUCT((tbl_DataDraftApril26[Phase]=E$1)*(ISNUMBER(tbl_DataDraftApril26[Start]))*(ISNUMBER(tbl_DataDraftApril26[End]))*($A145&gt;tbl_DataDraftApril26[Start])*($A145&lt;tbl_DataDraftApril26[End]))</f>
        <v>6</v>
      </c>
    </row>
    <row r="146" spans="1:5">
      <c r="A146" s="131">
        <v>46014</v>
      </c>
      <c r="B146" s="125" cm="1">
        <f t="array" ref="B146">SUMPRODUCT((tbl_DataDraftApril26[Phase]=B$1)*(ISNUMBER(tbl_DataDraftApril26[Start]))*(ISNUMBER(tbl_DataDraftApril26[End]))*($A146&gt;tbl_DataDraftApril26[Start])*($A146&lt;tbl_DataDraftApril26[End]))</f>
        <v>20</v>
      </c>
      <c r="C146" s="125" cm="1">
        <f t="array" ref="C146">SUMPRODUCT((tbl_DataDraftApril26[Phase]=C$1)*(ISNUMBER(tbl_DataDraftApril26[Start]))*(ISNUMBER(tbl_DataDraftApril26[End]))*($A146&gt;tbl_DataDraftApril26[Start])*($A146&lt;tbl_DataDraftApril26[End]))</f>
        <v>4</v>
      </c>
      <c r="D146" s="125" cm="1">
        <f t="array" ref="D146">SUMPRODUCT((tbl_DataDraftApril26[Phase]=D$1)*(ISNUMBER(tbl_DataDraftApril26[Start]))*(ISNUMBER(tbl_DataDraftApril26[End]))*($A146&gt;tbl_DataDraftApril26[Start])*($A146&lt;tbl_DataDraftApril26[End]))</f>
        <v>0</v>
      </c>
      <c r="E146" s="125" cm="1">
        <f t="array" ref="E146">SUMPRODUCT((tbl_DataDraftApril26[Phase]=E$1)*(ISNUMBER(tbl_DataDraftApril26[Start]))*(ISNUMBER(tbl_DataDraftApril26[End]))*($A146&gt;tbl_DataDraftApril26[Start])*($A146&lt;tbl_DataDraftApril26[End]))</f>
        <v>6</v>
      </c>
    </row>
    <row r="147" spans="1:5">
      <c r="A147" s="131">
        <v>46015</v>
      </c>
      <c r="B147" s="125" cm="1">
        <f t="array" ref="B147">SUMPRODUCT((tbl_DataDraftApril26[Phase]=B$1)*(ISNUMBER(tbl_DataDraftApril26[Start]))*(ISNUMBER(tbl_DataDraftApril26[End]))*($A147&gt;tbl_DataDraftApril26[Start])*($A147&lt;tbl_DataDraftApril26[End]))</f>
        <v>20</v>
      </c>
      <c r="C147" s="125" cm="1">
        <f t="array" ref="C147">SUMPRODUCT((tbl_DataDraftApril26[Phase]=C$1)*(ISNUMBER(tbl_DataDraftApril26[Start]))*(ISNUMBER(tbl_DataDraftApril26[End]))*($A147&gt;tbl_DataDraftApril26[Start])*($A147&lt;tbl_DataDraftApril26[End]))</f>
        <v>4</v>
      </c>
      <c r="D147" s="125" cm="1">
        <f t="array" ref="D147">SUMPRODUCT((tbl_DataDraftApril26[Phase]=D$1)*(ISNUMBER(tbl_DataDraftApril26[Start]))*(ISNUMBER(tbl_DataDraftApril26[End]))*($A147&gt;tbl_DataDraftApril26[Start])*($A147&lt;tbl_DataDraftApril26[End]))</f>
        <v>0</v>
      </c>
      <c r="E147" s="125" cm="1">
        <f t="array" ref="E147">SUMPRODUCT((tbl_DataDraftApril26[Phase]=E$1)*(ISNUMBER(tbl_DataDraftApril26[Start]))*(ISNUMBER(tbl_DataDraftApril26[End]))*($A147&gt;tbl_DataDraftApril26[Start])*($A147&lt;tbl_DataDraftApril26[End]))</f>
        <v>6</v>
      </c>
    </row>
    <row r="148" spans="1:5">
      <c r="A148" s="131">
        <v>46016</v>
      </c>
      <c r="B148" s="125" cm="1">
        <f t="array" ref="B148">SUMPRODUCT((tbl_DataDraftApril26[Phase]=B$1)*(ISNUMBER(tbl_DataDraftApril26[Start]))*(ISNUMBER(tbl_DataDraftApril26[End]))*($A148&gt;tbl_DataDraftApril26[Start])*($A148&lt;tbl_DataDraftApril26[End]))</f>
        <v>20</v>
      </c>
      <c r="C148" s="125" cm="1">
        <f t="array" ref="C148">SUMPRODUCT((tbl_DataDraftApril26[Phase]=C$1)*(ISNUMBER(tbl_DataDraftApril26[Start]))*(ISNUMBER(tbl_DataDraftApril26[End]))*($A148&gt;tbl_DataDraftApril26[Start])*($A148&lt;tbl_DataDraftApril26[End]))</f>
        <v>4</v>
      </c>
      <c r="D148" s="125" cm="1">
        <f t="array" ref="D148">SUMPRODUCT((tbl_DataDraftApril26[Phase]=D$1)*(ISNUMBER(tbl_DataDraftApril26[Start]))*(ISNUMBER(tbl_DataDraftApril26[End]))*($A148&gt;tbl_DataDraftApril26[Start])*($A148&lt;tbl_DataDraftApril26[End]))</f>
        <v>0</v>
      </c>
      <c r="E148" s="125" cm="1">
        <f t="array" ref="E148">SUMPRODUCT((tbl_DataDraftApril26[Phase]=E$1)*(ISNUMBER(tbl_DataDraftApril26[Start]))*(ISNUMBER(tbl_DataDraftApril26[End]))*($A148&gt;tbl_DataDraftApril26[Start])*($A148&lt;tbl_DataDraftApril26[End]))</f>
        <v>6</v>
      </c>
    </row>
    <row r="149" spans="1:5">
      <c r="A149" s="131">
        <v>46017</v>
      </c>
      <c r="B149" s="125" cm="1">
        <f t="array" ref="B149">SUMPRODUCT((tbl_DataDraftApril26[Phase]=B$1)*(ISNUMBER(tbl_DataDraftApril26[Start]))*(ISNUMBER(tbl_DataDraftApril26[End]))*($A149&gt;tbl_DataDraftApril26[Start])*($A149&lt;tbl_DataDraftApril26[End]))</f>
        <v>20</v>
      </c>
      <c r="C149" s="125" cm="1">
        <f t="array" ref="C149">SUMPRODUCT((tbl_DataDraftApril26[Phase]=C$1)*(ISNUMBER(tbl_DataDraftApril26[Start]))*(ISNUMBER(tbl_DataDraftApril26[End]))*($A149&gt;tbl_DataDraftApril26[Start])*($A149&lt;tbl_DataDraftApril26[End]))</f>
        <v>4</v>
      </c>
      <c r="D149" s="125" cm="1">
        <f t="array" ref="D149">SUMPRODUCT((tbl_DataDraftApril26[Phase]=D$1)*(ISNUMBER(tbl_DataDraftApril26[Start]))*(ISNUMBER(tbl_DataDraftApril26[End]))*($A149&gt;tbl_DataDraftApril26[Start])*($A149&lt;tbl_DataDraftApril26[End]))</f>
        <v>0</v>
      </c>
      <c r="E149" s="125" cm="1">
        <f t="array" ref="E149">SUMPRODUCT((tbl_DataDraftApril26[Phase]=E$1)*(ISNUMBER(tbl_DataDraftApril26[Start]))*(ISNUMBER(tbl_DataDraftApril26[End]))*($A149&gt;tbl_DataDraftApril26[Start])*($A149&lt;tbl_DataDraftApril26[End]))</f>
        <v>6</v>
      </c>
    </row>
    <row r="150" spans="1:5">
      <c r="A150" s="131">
        <v>46018</v>
      </c>
      <c r="B150" s="125" cm="1">
        <f t="array" ref="B150">SUMPRODUCT((tbl_DataDraftApril26[Phase]=B$1)*(ISNUMBER(tbl_DataDraftApril26[Start]))*(ISNUMBER(tbl_DataDraftApril26[End]))*($A150&gt;tbl_DataDraftApril26[Start])*($A150&lt;tbl_DataDraftApril26[End]))</f>
        <v>20</v>
      </c>
      <c r="C150" s="125" cm="1">
        <f t="array" ref="C150">SUMPRODUCT((tbl_DataDraftApril26[Phase]=C$1)*(ISNUMBER(tbl_DataDraftApril26[Start]))*(ISNUMBER(tbl_DataDraftApril26[End]))*($A150&gt;tbl_DataDraftApril26[Start])*($A150&lt;tbl_DataDraftApril26[End]))</f>
        <v>4</v>
      </c>
      <c r="D150" s="125" cm="1">
        <f t="array" ref="D150">SUMPRODUCT((tbl_DataDraftApril26[Phase]=D$1)*(ISNUMBER(tbl_DataDraftApril26[Start]))*(ISNUMBER(tbl_DataDraftApril26[End]))*($A150&gt;tbl_DataDraftApril26[Start])*($A150&lt;tbl_DataDraftApril26[End]))</f>
        <v>0</v>
      </c>
      <c r="E150" s="125" cm="1">
        <f t="array" ref="E150">SUMPRODUCT((tbl_DataDraftApril26[Phase]=E$1)*(ISNUMBER(tbl_DataDraftApril26[Start]))*(ISNUMBER(tbl_DataDraftApril26[End]))*($A150&gt;tbl_DataDraftApril26[Start])*($A150&lt;tbl_DataDraftApril26[End]))</f>
        <v>6</v>
      </c>
    </row>
    <row r="151" spans="1:5">
      <c r="A151" s="131">
        <v>46019</v>
      </c>
      <c r="B151" s="125" cm="1">
        <f t="array" ref="B151">SUMPRODUCT((tbl_DataDraftApril26[Phase]=B$1)*(ISNUMBER(tbl_DataDraftApril26[Start]))*(ISNUMBER(tbl_DataDraftApril26[End]))*($A151&gt;tbl_DataDraftApril26[Start])*($A151&lt;tbl_DataDraftApril26[End]))</f>
        <v>20</v>
      </c>
      <c r="C151" s="125" cm="1">
        <f t="array" ref="C151">SUMPRODUCT((tbl_DataDraftApril26[Phase]=C$1)*(ISNUMBER(tbl_DataDraftApril26[Start]))*(ISNUMBER(tbl_DataDraftApril26[End]))*($A151&gt;tbl_DataDraftApril26[Start])*($A151&lt;tbl_DataDraftApril26[End]))</f>
        <v>4</v>
      </c>
      <c r="D151" s="125" cm="1">
        <f t="array" ref="D151">SUMPRODUCT((tbl_DataDraftApril26[Phase]=D$1)*(ISNUMBER(tbl_DataDraftApril26[Start]))*(ISNUMBER(tbl_DataDraftApril26[End]))*($A151&gt;tbl_DataDraftApril26[Start])*($A151&lt;tbl_DataDraftApril26[End]))</f>
        <v>0</v>
      </c>
      <c r="E151" s="125" cm="1">
        <f t="array" ref="E151">SUMPRODUCT((tbl_DataDraftApril26[Phase]=E$1)*(ISNUMBER(tbl_DataDraftApril26[Start]))*(ISNUMBER(tbl_DataDraftApril26[End]))*($A151&gt;tbl_DataDraftApril26[Start])*($A151&lt;tbl_DataDraftApril26[End]))</f>
        <v>6</v>
      </c>
    </row>
    <row r="152" spans="1:5">
      <c r="A152" s="131">
        <v>46020</v>
      </c>
      <c r="B152" s="125" cm="1">
        <f t="array" ref="B152">SUMPRODUCT((tbl_DataDraftApril26[Phase]=B$1)*(ISNUMBER(tbl_DataDraftApril26[Start]))*(ISNUMBER(tbl_DataDraftApril26[End]))*($A152&gt;tbl_DataDraftApril26[Start])*($A152&lt;tbl_DataDraftApril26[End]))</f>
        <v>20</v>
      </c>
      <c r="C152" s="125" cm="1">
        <f t="array" ref="C152">SUMPRODUCT((tbl_DataDraftApril26[Phase]=C$1)*(ISNUMBER(tbl_DataDraftApril26[Start]))*(ISNUMBER(tbl_DataDraftApril26[End]))*($A152&gt;tbl_DataDraftApril26[Start])*($A152&lt;tbl_DataDraftApril26[End]))</f>
        <v>4</v>
      </c>
      <c r="D152" s="125" cm="1">
        <f t="array" ref="D152">SUMPRODUCT((tbl_DataDraftApril26[Phase]=D$1)*(ISNUMBER(tbl_DataDraftApril26[Start]))*(ISNUMBER(tbl_DataDraftApril26[End]))*($A152&gt;tbl_DataDraftApril26[Start])*($A152&lt;tbl_DataDraftApril26[End]))</f>
        <v>0</v>
      </c>
      <c r="E152" s="125" cm="1">
        <f t="array" ref="E152">SUMPRODUCT((tbl_DataDraftApril26[Phase]=E$1)*(ISNUMBER(tbl_DataDraftApril26[Start]))*(ISNUMBER(tbl_DataDraftApril26[End]))*($A152&gt;tbl_DataDraftApril26[Start])*($A152&lt;tbl_DataDraftApril26[End]))</f>
        <v>6</v>
      </c>
    </row>
    <row r="153" spans="1:5">
      <c r="A153" s="131">
        <v>46021</v>
      </c>
      <c r="B153" s="125" cm="1">
        <f t="array" ref="B153">SUMPRODUCT((tbl_DataDraftApril26[Phase]=B$1)*(ISNUMBER(tbl_DataDraftApril26[Start]))*(ISNUMBER(tbl_DataDraftApril26[End]))*($A153&gt;tbl_DataDraftApril26[Start])*($A153&lt;tbl_DataDraftApril26[End]))</f>
        <v>20</v>
      </c>
      <c r="C153" s="125" cm="1">
        <f t="array" ref="C153">SUMPRODUCT((tbl_DataDraftApril26[Phase]=C$1)*(ISNUMBER(tbl_DataDraftApril26[Start]))*(ISNUMBER(tbl_DataDraftApril26[End]))*($A153&gt;tbl_DataDraftApril26[Start])*($A153&lt;tbl_DataDraftApril26[End]))</f>
        <v>4</v>
      </c>
      <c r="D153" s="125" cm="1">
        <f t="array" ref="D153">SUMPRODUCT((tbl_DataDraftApril26[Phase]=D$1)*(ISNUMBER(tbl_DataDraftApril26[Start]))*(ISNUMBER(tbl_DataDraftApril26[End]))*($A153&gt;tbl_DataDraftApril26[Start])*($A153&lt;tbl_DataDraftApril26[End]))</f>
        <v>0</v>
      </c>
      <c r="E153" s="125" cm="1">
        <f t="array" ref="E153">SUMPRODUCT((tbl_DataDraftApril26[Phase]=E$1)*(ISNUMBER(tbl_DataDraftApril26[Start]))*(ISNUMBER(tbl_DataDraftApril26[End]))*($A153&gt;tbl_DataDraftApril26[Start])*($A153&lt;tbl_DataDraftApril26[End]))</f>
        <v>6</v>
      </c>
    </row>
    <row r="154" spans="1:5">
      <c r="A154" s="131">
        <v>46022</v>
      </c>
      <c r="B154" s="125" cm="1">
        <f t="array" ref="B154">SUMPRODUCT((tbl_DataDraftApril26[Phase]=B$1)*(ISNUMBER(tbl_DataDraftApril26[Start]))*(ISNUMBER(tbl_DataDraftApril26[End]))*($A154&gt;tbl_DataDraftApril26[Start])*($A154&lt;tbl_DataDraftApril26[End]))</f>
        <v>19</v>
      </c>
      <c r="C154" s="125" cm="1">
        <f t="array" ref="C154">SUMPRODUCT((tbl_DataDraftApril26[Phase]=C$1)*(ISNUMBER(tbl_DataDraftApril26[Start]))*(ISNUMBER(tbl_DataDraftApril26[End]))*($A154&gt;tbl_DataDraftApril26[Start])*($A154&lt;tbl_DataDraftApril26[End]))</f>
        <v>4</v>
      </c>
      <c r="D154" s="125" cm="1">
        <f t="array" ref="D154">SUMPRODUCT((tbl_DataDraftApril26[Phase]=D$1)*(ISNUMBER(tbl_DataDraftApril26[Start]))*(ISNUMBER(tbl_DataDraftApril26[End]))*($A154&gt;tbl_DataDraftApril26[Start])*($A154&lt;tbl_DataDraftApril26[End]))</f>
        <v>0</v>
      </c>
      <c r="E154" s="125" cm="1">
        <f t="array" ref="E154">SUMPRODUCT((tbl_DataDraftApril26[Phase]=E$1)*(ISNUMBER(tbl_DataDraftApril26[Start]))*(ISNUMBER(tbl_DataDraftApril26[End]))*($A154&gt;tbl_DataDraftApril26[Start])*($A154&lt;tbl_DataDraftApril26[End]))</f>
        <v>5</v>
      </c>
    </row>
    <row r="155" spans="1:5">
      <c r="A155" s="131">
        <v>46023</v>
      </c>
      <c r="B155" s="125" cm="1">
        <f t="array" ref="B155">SUMPRODUCT((tbl_DataDraftApril26[Phase]=B$1)*(ISNUMBER(tbl_DataDraftApril26[Start]))*(ISNUMBER(tbl_DataDraftApril26[End]))*($A155&gt;tbl_DataDraftApril26[Start])*($A155&lt;tbl_DataDraftApril26[End]))</f>
        <v>19</v>
      </c>
      <c r="C155" s="125" cm="1">
        <f t="array" ref="C155">SUMPRODUCT((tbl_DataDraftApril26[Phase]=C$1)*(ISNUMBER(tbl_DataDraftApril26[Start]))*(ISNUMBER(tbl_DataDraftApril26[End]))*($A155&gt;tbl_DataDraftApril26[Start])*($A155&lt;tbl_DataDraftApril26[End]))</f>
        <v>4</v>
      </c>
      <c r="D155" s="125" cm="1">
        <f t="array" ref="D155">SUMPRODUCT((tbl_DataDraftApril26[Phase]=D$1)*(ISNUMBER(tbl_DataDraftApril26[Start]))*(ISNUMBER(tbl_DataDraftApril26[End]))*($A155&gt;tbl_DataDraftApril26[Start])*($A155&lt;tbl_DataDraftApril26[End]))</f>
        <v>0</v>
      </c>
      <c r="E155" s="125" cm="1">
        <f t="array" ref="E155">SUMPRODUCT((tbl_DataDraftApril26[Phase]=E$1)*(ISNUMBER(tbl_DataDraftApril26[Start]))*(ISNUMBER(tbl_DataDraftApril26[End]))*($A155&gt;tbl_DataDraftApril26[Start])*($A155&lt;tbl_DataDraftApril26[End]))</f>
        <v>5</v>
      </c>
    </row>
    <row r="156" spans="1:5">
      <c r="A156" s="131">
        <v>46024</v>
      </c>
      <c r="B156" s="125" cm="1">
        <f t="array" ref="B156">SUMPRODUCT((tbl_DataDraftApril26[Phase]=B$1)*(ISNUMBER(tbl_DataDraftApril26[Start]))*(ISNUMBER(tbl_DataDraftApril26[End]))*($A156&gt;tbl_DataDraftApril26[Start])*($A156&lt;tbl_DataDraftApril26[End]))</f>
        <v>20</v>
      </c>
      <c r="C156" s="125" cm="1">
        <f t="array" ref="C156">SUMPRODUCT((tbl_DataDraftApril26[Phase]=C$1)*(ISNUMBER(tbl_DataDraftApril26[Start]))*(ISNUMBER(tbl_DataDraftApril26[End]))*($A156&gt;tbl_DataDraftApril26[Start])*($A156&lt;tbl_DataDraftApril26[End]))</f>
        <v>5</v>
      </c>
      <c r="D156" s="125" cm="1">
        <f t="array" ref="D156">SUMPRODUCT((tbl_DataDraftApril26[Phase]=D$1)*(ISNUMBER(tbl_DataDraftApril26[Start]))*(ISNUMBER(tbl_DataDraftApril26[End]))*($A156&gt;tbl_DataDraftApril26[Start])*($A156&lt;tbl_DataDraftApril26[End]))</f>
        <v>0</v>
      </c>
      <c r="E156" s="125" cm="1">
        <f t="array" ref="E156">SUMPRODUCT((tbl_DataDraftApril26[Phase]=E$1)*(ISNUMBER(tbl_DataDraftApril26[Start]))*(ISNUMBER(tbl_DataDraftApril26[End]))*($A156&gt;tbl_DataDraftApril26[Start])*($A156&lt;tbl_DataDraftApril26[End]))</f>
        <v>5</v>
      </c>
    </row>
    <row r="157" spans="1:5">
      <c r="A157" s="131">
        <v>46025</v>
      </c>
      <c r="B157" s="125" cm="1">
        <f t="array" ref="B157">SUMPRODUCT((tbl_DataDraftApril26[Phase]=B$1)*(ISNUMBER(tbl_DataDraftApril26[Start]))*(ISNUMBER(tbl_DataDraftApril26[End]))*($A157&gt;tbl_DataDraftApril26[Start])*($A157&lt;tbl_DataDraftApril26[End]))</f>
        <v>20</v>
      </c>
      <c r="C157" s="125" cm="1">
        <f t="array" ref="C157">SUMPRODUCT((tbl_DataDraftApril26[Phase]=C$1)*(ISNUMBER(tbl_DataDraftApril26[Start]))*(ISNUMBER(tbl_DataDraftApril26[End]))*($A157&gt;tbl_DataDraftApril26[Start])*($A157&lt;tbl_DataDraftApril26[End]))</f>
        <v>5</v>
      </c>
      <c r="D157" s="125" cm="1">
        <f t="array" ref="D157">SUMPRODUCT((tbl_DataDraftApril26[Phase]=D$1)*(ISNUMBER(tbl_DataDraftApril26[Start]))*(ISNUMBER(tbl_DataDraftApril26[End]))*($A157&gt;tbl_DataDraftApril26[Start])*($A157&lt;tbl_DataDraftApril26[End]))</f>
        <v>0</v>
      </c>
      <c r="E157" s="125" cm="1">
        <f t="array" ref="E157">SUMPRODUCT((tbl_DataDraftApril26[Phase]=E$1)*(ISNUMBER(tbl_DataDraftApril26[Start]))*(ISNUMBER(tbl_DataDraftApril26[End]))*($A157&gt;tbl_DataDraftApril26[Start])*($A157&lt;tbl_DataDraftApril26[End]))</f>
        <v>5</v>
      </c>
    </row>
    <row r="158" spans="1:5">
      <c r="A158" s="131">
        <v>46026</v>
      </c>
      <c r="B158" s="125" cm="1">
        <f t="array" ref="B158">SUMPRODUCT((tbl_DataDraftApril26[Phase]=B$1)*(ISNUMBER(tbl_DataDraftApril26[Start]))*(ISNUMBER(tbl_DataDraftApril26[End]))*($A158&gt;tbl_DataDraftApril26[Start])*($A158&lt;tbl_DataDraftApril26[End]))</f>
        <v>20</v>
      </c>
      <c r="C158" s="125" cm="1">
        <f t="array" ref="C158">SUMPRODUCT((tbl_DataDraftApril26[Phase]=C$1)*(ISNUMBER(tbl_DataDraftApril26[Start]))*(ISNUMBER(tbl_DataDraftApril26[End]))*($A158&gt;tbl_DataDraftApril26[Start])*($A158&lt;tbl_DataDraftApril26[End]))</f>
        <v>5</v>
      </c>
      <c r="D158" s="125" cm="1">
        <f t="array" ref="D158">SUMPRODUCT((tbl_DataDraftApril26[Phase]=D$1)*(ISNUMBER(tbl_DataDraftApril26[Start]))*(ISNUMBER(tbl_DataDraftApril26[End]))*($A158&gt;tbl_DataDraftApril26[Start])*($A158&lt;tbl_DataDraftApril26[End]))</f>
        <v>0</v>
      </c>
      <c r="E158" s="125" cm="1">
        <f t="array" ref="E158">SUMPRODUCT((tbl_DataDraftApril26[Phase]=E$1)*(ISNUMBER(tbl_DataDraftApril26[Start]))*(ISNUMBER(tbl_DataDraftApril26[End]))*($A158&gt;tbl_DataDraftApril26[Start])*($A158&lt;tbl_DataDraftApril26[End]))</f>
        <v>5</v>
      </c>
    </row>
    <row r="159" spans="1:5">
      <c r="A159" s="131">
        <v>46027</v>
      </c>
      <c r="B159" s="125" cm="1">
        <f t="array" ref="B159">SUMPRODUCT((tbl_DataDraftApril26[Phase]=B$1)*(ISNUMBER(tbl_DataDraftApril26[Start]))*(ISNUMBER(tbl_DataDraftApril26[End]))*($A159&gt;tbl_DataDraftApril26[Start])*($A159&lt;tbl_DataDraftApril26[End]))</f>
        <v>20</v>
      </c>
      <c r="C159" s="125" cm="1">
        <f t="array" ref="C159">SUMPRODUCT((tbl_DataDraftApril26[Phase]=C$1)*(ISNUMBER(tbl_DataDraftApril26[Start]))*(ISNUMBER(tbl_DataDraftApril26[End]))*($A159&gt;tbl_DataDraftApril26[Start])*($A159&lt;tbl_DataDraftApril26[End]))</f>
        <v>5</v>
      </c>
      <c r="D159" s="125" cm="1">
        <f t="array" ref="D159">SUMPRODUCT((tbl_DataDraftApril26[Phase]=D$1)*(ISNUMBER(tbl_DataDraftApril26[Start]))*(ISNUMBER(tbl_DataDraftApril26[End]))*($A159&gt;tbl_DataDraftApril26[Start])*($A159&lt;tbl_DataDraftApril26[End]))</f>
        <v>0</v>
      </c>
      <c r="E159" s="125" cm="1">
        <f t="array" ref="E159">SUMPRODUCT((tbl_DataDraftApril26[Phase]=E$1)*(ISNUMBER(tbl_DataDraftApril26[Start]))*(ISNUMBER(tbl_DataDraftApril26[End]))*($A159&gt;tbl_DataDraftApril26[Start])*($A159&lt;tbl_DataDraftApril26[End]))</f>
        <v>5</v>
      </c>
    </row>
    <row r="160" spans="1:5">
      <c r="A160" s="131">
        <v>46028</v>
      </c>
      <c r="B160" s="125" cm="1">
        <f t="array" ref="B160">SUMPRODUCT((tbl_DataDraftApril26[Phase]=B$1)*(ISNUMBER(tbl_DataDraftApril26[Start]))*(ISNUMBER(tbl_DataDraftApril26[End]))*($A160&gt;tbl_DataDraftApril26[Start])*($A160&lt;tbl_DataDraftApril26[End]))</f>
        <v>20</v>
      </c>
      <c r="C160" s="125" cm="1">
        <f t="array" ref="C160">SUMPRODUCT((tbl_DataDraftApril26[Phase]=C$1)*(ISNUMBER(tbl_DataDraftApril26[Start]))*(ISNUMBER(tbl_DataDraftApril26[End]))*($A160&gt;tbl_DataDraftApril26[Start])*($A160&lt;tbl_DataDraftApril26[End]))</f>
        <v>5</v>
      </c>
      <c r="D160" s="125" cm="1">
        <f t="array" ref="D160">SUMPRODUCT((tbl_DataDraftApril26[Phase]=D$1)*(ISNUMBER(tbl_DataDraftApril26[Start]))*(ISNUMBER(tbl_DataDraftApril26[End]))*($A160&gt;tbl_DataDraftApril26[Start])*($A160&lt;tbl_DataDraftApril26[End]))</f>
        <v>0</v>
      </c>
      <c r="E160" s="125" cm="1">
        <f t="array" ref="E160">SUMPRODUCT((tbl_DataDraftApril26[Phase]=E$1)*(ISNUMBER(tbl_DataDraftApril26[Start]))*(ISNUMBER(tbl_DataDraftApril26[End]))*($A160&gt;tbl_DataDraftApril26[Start])*($A160&lt;tbl_DataDraftApril26[End]))</f>
        <v>5</v>
      </c>
    </row>
    <row r="161" spans="1:5">
      <c r="A161" s="131">
        <v>46029</v>
      </c>
      <c r="B161" s="125" cm="1">
        <f t="array" ref="B161">SUMPRODUCT((tbl_DataDraftApril26[Phase]=B$1)*(ISNUMBER(tbl_DataDraftApril26[Start]))*(ISNUMBER(tbl_DataDraftApril26[End]))*($A161&gt;tbl_DataDraftApril26[Start])*($A161&lt;tbl_DataDraftApril26[End]))</f>
        <v>20</v>
      </c>
      <c r="C161" s="125" cm="1">
        <f t="array" ref="C161">SUMPRODUCT((tbl_DataDraftApril26[Phase]=C$1)*(ISNUMBER(tbl_DataDraftApril26[Start]))*(ISNUMBER(tbl_DataDraftApril26[End]))*($A161&gt;tbl_DataDraftApril26[Start])*($A161&lt;tbl_DataDraftApril26[End]))</f>
        <v>5</v>
      </c>
      <c r="D161" s="125" cm="1">
        <f t="array" ref="D161">SUMPRODUCT((tbl_DataDraftApril26[Phase]=D$1)*(ISNUMBER(tbl_DataDraftApril26[Start]))*(ISNUMBER(tbl_DataDraftApril26[End]))*($A161&gt;tbl_DataDraftApril26[Start])*($A161&lt;tbl_DataDraftApril26[End]))</f>
        <v>0</v>
      </c>
      <c r="E161" s="125" cm="1">
        <f t="array" ref="E161">SUMPRODUCT((tbl_DataDraftApril26[Phase]=E$1)*(ISNUMBER(tbl_DataDraftApril26[Start]))*(ISNUMBER(tbl_DataDraftApril26[End]))*($A161&gt;tbl_DataDraftApril26[Start])*($A161&lt;tbl_DataDraftApril26[End]))</f>
        <v>5</v>
      </c>
    </row>
    <row r="162" spans="1:5">
      <c r="A162" s="131">
        <v>46030</v>
      </c>
      <c r="B162" s="125" cm="1">
        <f t="array" ref="B162">SUMPRODUCT((tbl_DataDraftApril26[Phase]=B$1)*(ISNUMBER(tbl_DataDraftApril26[Start]))*(ISNUMBER(tbl_DataDraftApril26[End]))*($A162&gt;tbl_DataDraftApril26[Start])*($A162&lt;tbl_DataDraftApril26[End]))</f>
        <v>21</v>
      </c>
      <c r="C162" s="125" cm="1">
        <f t="array" ref="C162">SUMPRODUCT((tbl_DataDraftApril26[Phase]=C$1)*(ISNUMBER(tbl_DataDraftApril26[Start]))*(ISNUMBER(tbl_DataDraftApril26[End]))*($A162&gt;tbl_DataDraftApril26[Start])*($A162&lt;tbl_DataDraftApril26[End]))</f>
        <v>6</v>
      </c>
      <c r="D162" s="125" cm="1">
        <f t="array" ref="D162">SUMPRODUCT((tbl_DataDraftApril26[Phase]=D$1)*(ISNUMBER(tbl_DataDraftApril26[Start]))*(ISNUMBER(tbl_DataDraftApril26[End]))*($A162&gt;tbl_DataDraftApril26[Start])*($A162&lt;tbl_DataDraftApril26[End]))</f>
        <v>0</v>
      </c>
      <c r="E162" s="125" cm="1">
        <f t="array" ref="E162">SUMPRODUCT((tbl_DataDraftApril26[Phase]=E$1)*(ISNUMBER(tbl_DataDraftApril26[Start]))*(ISNUMBER(tbl_DataDraftApril26[End]))*($A162&gt;tbl_DataDraftApril26[Start])*($A162&lt;tbl_DataDraftApril26[End]))</f>
        <v>5</v>
      </c>
    </row>
    <row r="163" spans="1:5">
      <c r="A163" s="131">
        <v>46031</v>
      </c>
      <c r="B163" s="125" cm="1">
        <f t="array" ref="B163">SUMPRODUCT((tbl_DataDraftApril26[Phase]=B$1)*(ISNUMBER(tbl_DataDraftApril26[Start]))*(ISNUMBER(tbl_DataDraftApril26[End]))*($A163&gt;tbl_DataDraftApril26[Start])*($A163&lt;tbl_DataDraftApril26[End]))</f>
        <v>21</v>
      </c>
      <c r="C163" s="125" cm="1">
        <f t="array" ref="C163">SUMPRODUCT((tbl_DataDraftApril26[Phase]=C$1)*(ISNUMBER(tbl_DataDraftApril26[Start]))*(ISNUMBER(tbl_DataDraftApril26[End]))*($A163&gt;tbl_DataDraftApril26[Start])*($A163&lt;tbl_DataDraftApril26[End]))</f>
        <v>6</v>
      </c>
      <c r="D163" s="125" cm="1">
        <f t="array" ref="D163">SUMPRODUCT((tbl_DataDraftApril26[Phase]=D$1)*(ISNUMBER(tbl_DataDraftApril26[Start]))*(ISNUMBER(tbl_DataDraftApril26[End]))*($A163&gt;tbl_DataDraftApril26[Start])*($A163&lt;tbl_DataDraftApril26[End]))</f>
        <v>0</v>
      </c>
      <c r="E163" s="125" cm="1">
        <f t="array" ref="E163">SUMPRODUCT((tbl_DataDraftApril26[Phase]=E$1)*(ISNUMBER(tbl_DataDraftApril26[Start]))*(ISNUMBER(tbl_DataDraftApril26[End]))*($A163&gt;tbl_DataDraftApril26[Start])*($A163&lt;tbl_DataDraftApril26[End]))</f>
        <v>5</v>
      </c>
    </row>
    <row r="164" spans="1:5">
      <c r="A164" s="131">
        <v>46032</v>
      </c>
      <c r="B164" s="125" cm="1">
        <f t="array" ref="B164">SUMPRODUCT((tbl_DataDraftApril26[Phase]=B$1)*(ISNUMBER(tbl_DataDraftApril26[Start]))*(ISNUMBER(tbl_DataDraftApril26[End]))*($A164&gt;tbl_DataDraftApril26[Start])*($A164&lt;tbl_DataDraftApril26[End]))</f>
        <v>21</v>
      </c>
      <c r="C164" s="125" cm="1">
        <f t="array" ref="C164">SUMPRODUCT((tbl_DataDraftApril26[Phase]=C$1)*(ISNUMBER(tbl_DataDraftApril26[Start]))*(ISNUMBER(tbl_DataDraftApril26[End]))*($A164&gt;tbl_DataDraftApril26[Start])*($A164&lt;tbl_DataDraftApril26[End]))</f>
        <v>6</v>
      </c>
      <c r="D164" s="125" cm="1">
        <f t="array" ref="D164">SUMPRODUCT((tbl_DataDraftApril26[Phase]=D$1)*(ISNUMBER(tbl_DataDraftApril26[Start]))*(ISNUMBER(tbl_DataDraftApril26[End]))*($A164&gt;tbl_DataDraftApril26[Start])*($A164&lt;tbl_DataDraftApril26[End]))</f>
        <v>0</v>
      </c>
      <c r="E164" s="125" cm="1">
        <f t="array" ref="E164">SUMPRODUCT((tbl_DataDraftApril26[Phase]=E$1)*(ISNUMBER(tbl_DataDraftApril26[Start]))*(ISNUMBER(tbl_DataDraftApril26[End]))*($A164&gt;tbl_DataDraftApril26[Start])*($A164&lt;tbl_DataDraftApril26[End]))</f>
        <v>5</v>
      </c>
    </row>
    <row r="165" spans="1:5">
      <c r="A165" s="131">
        <v>46033</v>
      </c>
      <c r="B165" s="125" cm="1">
        <f t="array" ref="B165">SUMPRODUCT((tbl_DataDraftApril26[Phase]=B$1)*(ISNUMBER(tbl_DataDraftApril26[Start]))*(ISNUMBER(tbl_DataDraftApril26[End]))*($A165&gt;tbl_DataDraftApril26[Start])*($A165&lt;tbl_DataDraftApril26[End]))</f>
        <v>21</v>
      </c>
      <c r="C165" s="125" cm="1">
        <f t="array" ref="C165">SUMPRODUCT((tbl_DataDraftApril26[Phase]=C$1)*(ISNUMBER(tbl_DataDraftApril26[Start]))*(ISNUMBER(tbl_DataDraftApril26[End]))*($A165&gt;tbl_DataDraftApril26[Start])*($A165&lt;tbl_DataDraftApril26[End]))</f>
        <v>6</v>
      </c>
      <c r="D165" s="125" cm="1">
        <f t="array" ref="D165">SUMPRODUCT((tbl_DataDraftApril26[Phase]=D$1)*(ISNUMBER(tbl_DataDraftApril26[Start]))*(ISNUMBER(tbl_DataDraftApril26[End]))*($A165&gt;tbl_DataDraftApril26[Start])*($A165&lt;tbl_DataDraftApril26[End]))</f>
        <v>0</v>
      </c>
      <c r="E165" s="125" cm="1">
        <f t="array" ref="E165">SUMPRODUCT((tbl_DataDraftApril26[Phase]=E$1)*(ISNUMBER(tbl_DataDraftApril26[Start]))*(ISNUMBER(tbl_DataDraftApril26[End]))*($A165&gt;tbl_DataDraftApril26[Start])*($A165&lt;tbl_DataDraftApril26[End]))</f>
        <v>5</v>
      </c>
    </row>
    <row r="166" spans="1:5">
      <c r="A166" s="131">
        <v>46034</v>
      </c>
      <c r="B166" s="125" cm="1">
        <f t="array" ref="B166">SUMPRODUCT((tbl_DataDraftApril26[Phase]=B$1)*(ISNUMBER(tbl_DataDraftApril26[Start]))*(ISNUMBER(tbl_DataDraftApril26[End]))*($A166&gt;tbl_DataDraftApril26[Start])*($A166&lt;tbl_DataDraftApril26[End]))</f>
        <v>21</v>
      </c>
      <c r="C166" s="125" cm="1">
        <f t="array" ref="C166">SUMPRODUCT((tbl_DataDraftApril26[Phase]=C$1)*(ISNUMBER(tbl_DataDraftApril26[Start]))*(ISNUMBER(tbl_DataDraftApril26[End]))*($A166&gt;tbl_DataDraftApril26[Start])*($A166&lt;tbl_DataDraftApril26[End]))</f>
        <v>6</v>
      </c>
      <c r="D166" s="125" cm="1">
        <f t="array" ref="D166">SUMPRODUCT((tbl_DataDraftApril26[Phase]=D$1)*(ISNUMBER(tbl_DataDraftApril26[Start]))*(ISNUMBER(tbl_DataDraftApril26[End]))*($A166&gt;tbl_DataDraftApril26[Start])*($A166&lt;tbl_DataDraftApril26[End]))</f>
        <v>0</v>
      </c>
      <c r="E166" s="125" cm="1">
        <f t="array" ref="E166">SUMPRODUCT((tbl_DataDraftApril26[Phase]=E$1)*(ISNUMBER(tbl_DataDraftApril26[Start]))*(ISNUMBER(tbl_DataDraftApril26[End]))*($A166&gt;tbl_DataDraftApril26[Start])*($A166&lt;tbl_DataDraftApril26[End]))</f>
        <v>5</v>
      </c>
    </row>
    <row r="167" spans="1:5">
      <c r="A167" s="131">
        <v>46035</v>
      </c>
      <c r="B167" s="125" cm="1">
        <f t="array" ref="B167">SUMPRODUCT((tbl_DataDraftApril26[Phase]=B$1)*(ISNUMBER(tbl_DataDraftApril26[Start]))*(ISNUMBER(tbl_DataDraftApril26[End]))*($A167&gt;tbl_DataDraftApril26[Start])*($A167&lt;tbl_DataDraftApril26[End]))</f>
        <v>29</v>
      </c>
      <c r="C167" s="125" cm="1">
        <f t="array" ref="C167">SUMPRODUCT((tbl_DataDraftApril26[Phase]=C$1)*(ISNUMBER(tbl_DataDraftApril26[Start]))*(ISNUMBER(tbl_DataDraftApril26[End]))*($A167&gt;tbl_DataDraftApril26[Start])*($A167&lt;tbl_DataDraftApril26[End]))</f>
        <v>6</v>
      </c>
      <c r="D167" s="125" cm="1">
        <f t="array" ref="D167">SUMPRODUCT((tbl_DataDraftApril26[Phase]=D$1)*(ISNUMBER(tbl_DataDraftApril26[Start]))*(ISNUMBER(tbl_DataDraftApril26[End]))*($A167&gt;tbl_DataDraftApril26[Start])*($A167&lt;tbl_DataDraftApril26[End]))</f>
        <v>0</v>
      </c>
      <c r="E167" s="125" cm="1">
        <f t="array" ref="E167">SUMPRODUCT((tbl_DataDraftApril26[Phase]=E$1)*(ISNUMBER(tbl_DataDraftApril26[Start]))*(ISNUMBER(tbl_DataDraftApril26[End]))*($A167&gt;tbl_DataDraftApril26[Start])*($A167&lt;tbl_DataDraftApril26[End]))</f>
        <v>5</v>
      </c>
    </row>
    <row r="168" spans="1:5">
      <c r="A168" s="131">
        <v>46036</v>
      </c>
      <c r="B168" s="125" cm="1">
        <f t="array" ref="B168">SUMPRODUCT((tbl_DataDraftApril26[Phase]=B$1)*(ISNUMBER(tbl_DataDraftApril26[Start]))*(ISNUMBER(tbl_DataDraftApril26[End]))*($A168&gt;tbl_DataDraftApril26[Start])*($A168&lt;tbl_DataDraftApril26[End]))</f>
        <v>31</v>
      </c>
      <c r="C168" s="125" cm="1">
        <f t="array" ref="C168">SUMPRODUCT((tbl_DataDraftApril26[Phase]=C$1)*(ISNUMBER(tbl_DataDraftApril26[Start]))*(ISNUMBER(tbl_DataDraftApril26[End]))*($A168&gt;tbl_DataDraftApril26[Start])*($A168&lt;tbl_DataDraftApril26[End]))</f>
        <v>6</v>
      </c>
      <c r="D168" s="125" cm="1">
        <f t="array" ref="D168">SUMPRODUCT((tbl_DataDraftApril26[Phase]=D$1)*(ISNUMBER(tbl_DataDraftApril26[Start]))*(ISNUMBER(tbl_DataDraftApril26[End]))*($A168&gt;tbl_DataDraftApril26[Start])*($A168&lt;tbl_DataDraftApril26[End]))</f>
        <v>0</v>
      </c>
      <c r="E168" s="125" cm="1">
        <f t="array" ref="E168">SUMPRODUCT((tbl_DataDraftApril26[Phase]=E$1)*(ISNUMBER(tbl_DataDraftApril26[Start]))*(ISNUMBER(tbl_DataDraftApril26[End]))*($A168&gt;tbl_DataDraftApril26[Start])*($A168&lt;tbl_DataDraftApril26[End]))</f>
        <v>5</v>
      </c>
    </row>
    <row r="169" spans="1:5">
      <c r="A169" s="131">
        <v>46037</v>
      </c>
      <c r="B169" s="125" cm="1">
        <f t="array" ref="B169">SUMPRODUCT((tbl_DataDraftApril26[Phase]=B$1)*(ISNUMBER(tbl_DataDraftApril26[Start]))*(ISNUMBER(tbl_DataDraftApril26[End]))*($A169&gt;tbl_DataDraftApril26[Start])*($A169&lt;tbl_DataDraftApril26[End]))</f>
        <v>32</v>
      </c>
      <c r="C169" s="125" cm="1">
        <f t="array" ref="C169">SUMPRODUCT((tbl_DataDraftApril26[Phase]=C$1)*(ISNUMBER(tbl_DataDraftApril26[Start]))*(ISNUMBER(tbl_DataDraftApril26[End]))*($A169&gt;tbl_DataDraftApril26[Start])*($A169&lt;tbl_DataDraftApril26[End]))</f>
        <v>6</v>
      </c>
      <c r="D169" s="125" cm="1">
        <f t="array" ref="D169">SUMPRODUCT((tbl_DataDraftApril26[Phase]=D$1)*(ISNUMBER(tbl_DataDraftApril26[Start]))*(ISNUMBER(tbl_DataDraftApril26[End]))*($A169&gt;tbl_DataDraftApril26[Start])*($A169&lt;tbl_DataDraftApril26[End]))</f>
        <v>0</v>
      </c>
      <c r="E169" s="125" cm="1">
        <f t="array" ref="E169">SUMPRODUCT((tbl_DataDraftApril26[Phase]=E$1)*(ISNUMBER(tbl_DataDraftApril26[Start]))*(ISNUMBER(tbl_DataDraftApril26[End]))*($A169&gt;tbl_DataDraftApril26[Start])*($A169&lt;tbl_DataDraftApril26[End]))</f>
        <v>5</v>
      </c>
    </row>
    <row r="170" spans="1:5">
      <c r="A170" s="131">
        <v>46038</v>
      </c>
      <c r="B170" s="125" cm="1">
        <f t="array" ref="B170">SUMPRODUCT((tbl_DataDraftApril26[Phase]=B$1)*(ISNUMBER(tbl_DataDraftApril26[Start]))*(ISNUMBER(tbl_DataDraftApril26[End]))*($A170&gt;tbl_DataDraftApril26[Start])*($A170&lt;tbl_DataDraftApril26[End]))</f>
        <v>33</v>
      </c>
      <c r="C170" s="125" cm="1">
        <f t="array" ref="C170">SUMPRODUCT((tbl_DataDraftApril26[Phase]=C$1)*(ISNUMBER(tbl_DataDraftApril26[Start]))*(ISNUMBER(tbl_DataDraftApril26[End]))*($A170&gt;tbl_DataDraftApril26[Start])*($A170&lt;tbl_DataDraftApril26[End]))</f>
        <v>6</v>
      </c>
      <c r="D170" s="125" cm="1">
        <f t="array" ref="D170">SUMPRODUCT((tbl_DataDraftApril26[Phase]=D$1)*(ISNUMBER(tbl_DataDraftApril26[Start]))*(ISNUMBER(tbl_DataDraftApril26[End]))*($A170&gt;tbl_DataDraftApril26[Start])*($A170&lt;tbl_DataDraftApril26[End]))</f>
        <v>0</v>
      </c>
      <c r="E170" s="125" cm="1">
        <f t="array" ref="E170">SUMPRODUCT((tbl_DataDraftApril26[Phase]=E$1)*(ISNUMBER(tbl_DataDraftApril26[Start]))*(ISNUMBER(tbl_DataDraftApril26[End]))*($A170&gt;tbl_DataDraftApril26[Start])*($A170&lt;tbl_DataDraftApril26[End]))</f>
        <v>5</v>
      </c>
    </row>
    <row r="171" spans="1:5">
      <c r="A171" s="131">
        <v>46039</v>
      </c>
      <c r="B171" s="125" cm="1">
        <f t="array" ref="B171">SUMPRODUCT((tbl_DataDraftApril26[Phase]=B$1)*(ISNUMBER(tbl_DataDraftApril26[Start]))*(ISNUMBER(tbl_DataDraftApril26[End]))*($A171&gt;tbl_DataDraftApril26[Start])*($A171&lt;tbl_DataDraftApril26[End]))</f>
        <v>33</v>
      </c>
      <c r="C171" s="125" cm="1">
        <f t="array" ref="C171">SUMPRODUCT((tbl_DataDraftApril26[Phase]=C$1)*(ISNUMBER(tbl_DataDraftApril26[Start]))*(ISNUMBER(tbl_DataDraftApril26[End]))*($A171&gt;tbl_DataDraftApril26[Start])*($A171&lt;tbl_DataDraftApril26[End]))</f>
        <v>5</v>
      </c>
      <c r="D171" s="125" cm="1">
        <f t="array" ref="D171">SUMPRODUCT((tbl_DataDraftApril26[Phase]=D$1)*(ISNUMBER(tbl_DataDraftApril26[Start]))*(ISNUMBER(tbl_DataDraftApril26[End]))*($A171&gt;tbl_DataDraftApril26[Start])*($A171&lt;tbl_DataDraftApril26[End]))</f>
        <v>0</v>
      </c>
      <c r="E171" s="125" cm="1">
        <f t="array" ref="E171">SUMPRODUCT((tbl_DataDraftApril26[Phase]=E$1)*(ISNUMBER(tbl_DataDraftApril26[Start]))*(ISNUMBER(tbl_DataDraftApril26[End]))*($A171&gt;tbl_DataDraftApril26[Start])*($A171&lt;tbl_DataDraftApril26[End]))</f>
        <v>5</v>
      </c>
    </row>
    <row r="172" spans="1:5">
      <c r="A172" s="131">
        <v>46040</v>
      </c>
      <c r="B172" s="125" cm="1">
        <f t="array" ref="B172">SUMPRODUCT((tbl_DataDraftApril26[Phase]=B$1)*(ISNUMBER(tbl_DataDraftApril26[Start]))*(ISNUMBER(tbl_DataDraftApril26[End]))*($A172&gt;tbl_DataDraftApril26[Start])*($A172&lt;tbl_DataDraftApril26[End]))</f>
        <v>33</v>
      </c>
      <c r="C172" s="125" cm="1">
        <f t="array" ref="C172">SUMPRODUCT((tbl_DataDraftApril26[Phase]=C$1)*(ISNUMBER(tbl_DataDraftApril26[Start]))*(ISNUMBER(tbl_DataDraftApril26[End]))*($A172&gt;tbl_DataDraftApril26[Start])*($A172&lt;tbl_DataDraftApril26[End]))</f>
        <v>5</v>
      </c>
      <c r="D172" s="125" cm="1">
        <f t="array" ref="D172">SUMPRODUCT((tbl_DataDraftApril26[Phase]=D$1)*(ISNUMBER(tbl_DataDraftApril26[Start]))*(ISNUMBER(tbl_DataDraftApril26[End]))*($A172&gt;tbl_DataDraftApril26[Start])*($A172&lt;tbl_DataDraftApril26[End]))</f>
        <v>0</v>
      </c>
      <c r="E172" s="125" cm="1">
        <f t="array" ref="E172">SUMPRODUCT((tbl_DataDraftApril26[Phase]=E$1)*(ISNUMBER(tbl_DataDraftApril26[Start]))*(ISNUMBER(tbl_DataDraftApril26[End]))*($A172&gt;tbl_DataDraftApril26[Start])*($A172&lt;tbl_DataDraftApril26[End]))</f>
        <v>5</v>
      </c>
    </row>
    <row r="173" spans="1:5">
      <c r="A173" s="131">
        <v>46041</v>
      </c>
      <c r="B173" s="125" cm="1">
        <f t="array" ref="B173">SUMPRODUCT((tbl_DataDraftApril26[Phase]=B$1)*(ISNUMBER(tbl_DataDraftApril26[Start]))*(ISNUMBER(tbl_DataDraftApril26[End]))*($A173&gt;tbl_DataDraftApril26[Start])*($A173&lt;tbl_DataDraftApril26[End]))</f>
        <v>33</v>
      </c>
      <c r="C173" s="125" cm="1">
        <f t="array" ref="C173">SUMPRODUCT((tbl_DataDraftApril26[Phase]=C$1)*(ISNUMBER(tbl_DataDraftApril26[Start]))*(ISNUMBER(tbl_DataDraftApril26[End]))*($A173&gt;tbl_DataDraftApril26[Start])*($A173&lt;tbl_DataDraftApril26[End]))</f>
        <v>5</v>
      </c>
      <c r="D173" s="125" cm="1">
        <f t="array" ref="D173">SUMPRODUCT((tbl_DataDraftApril26[Phase]=D$1)*(ISNUMBER(tbl_DataDraftApril26[Start]))*(ISNUMBER(tbl_DataDraftApril26[End]))*($A173&gt;tbl_DataDraftApril26[Start])*($A173&lt;tbl_DataDraftApril26[End]))</f>
        <v>0</v>
      </c>
      <c r="E173" s="125" cm="1">
        <f t="array" ref="E173">SUMPRODUCT((tbl_DataDraftApril26[Phase]=E$1)*(ISNUMBER(tbl_DataDraftApril26[Start]))*(ISNUMBER(tbl_DataDraftApril26[End]))*($A173&gt;tbl_DataDraftApril26[Start])*($A173&lt;tbl_DataDraftApril26[End]))</f>
        <v>5</v>
      </c>
    </row>
    <row r="174" spans="1:5">
      <c r="A174" s="131">
        <v>46042</v>
      </c>
      <c r="B174" s="125" cm="1">
        <f t="array" ref="B174">SUMPRODUCT((tbl_DataDraftApril26[Phase]=B$1)*(ISNUMBER(tbl_DataDraftApril26[Start]))*(ISNUMBER(tbl_DataDraftApril26[End]))*($A174&gt;tbl_DataDraftApril26[Start])*($A174&lt;tbl_DataDraftApril26[End]))</f>
        <v>33</v>
      </c>
      <c r="C174" s="125" cm="1">
        <f t="array" ref="C174">SUMPRODUCT((tbl_DataDraftApril26[Phase]=C$1)*(ISNUMBER(tbl_DataDraftApril26[Start]))*(ISNUMBER(tbl_DataDraftApril26[End]))*($A174&gt;tbl_DataDraftApril26[Start])*($A174&lt;tbl_DataDraftApril26[End]))</f>
        <v>5</v>
      </c>
      <c r="D174" s="125" cm="1">
        <f t="array" ref="D174">SUMPRODUCT((tbl_DataDraftApril26[Phase]=D$1)*(ISNUMBER(tbl_DataDraftApril26[Start]))*(ISNUMBER(tbl_DataDraftApril26[End]))*($A174&gt;tbl_DataDraftApril26[Start])*($A174&lt;tbl_DataDraftApril26[End]))</f>
        <v>0</v>
      </c>
      <c r="E174" s="125" cm="1">
        <f t="array" ref="E174">SUMPRODUCT((tbl_DataDraftApril26[Phase]=E$1)*(ISNUMBER(tbl_DataDraftApril26[Start]))*(ISNUMBER(tbl_DataDraftApril26[End]))*($A174&gt;tbl_DataDraftApril26[Start])*($A174&lt;tbl_DataDraftApril26[End]))</f>
        <v>5</v>
      </c>
    </row>
    <row r="175" spans="1:5">
      <c r="A175" s="131">
        <v>46043</v>
      </c>
      <c r="B175" s="125" cm="1">
        <f t="array" ref="B175">SUMPRODUCT((tbl_DataDraftApril26[Phase]=B$1)*(ISNUMBER(tbl_DataDraftApril26[Start]))*(ISNUMBER(tbl_DataDraftApril26[End]))*($A175&gt;tbl_DataDraftApril26[Start])*($A175&lt;tbl_DataDraftApril26[End]))</f>
        <v>34</v>
      </c>
      <c r="C175" s="125" cm="1">
        <f t="array" ref="C175">SUMPRODUCT((tbl_DataDraftApril26[Phase]=C$1)*(ISNUMBER(tbl_DataDraftApril26[Start]))*(ISNUMBER(tbl_DataDraftApril26[End]))*($A175&gt;tbl_DataDraftApril26[Start])*($A175&lt;tbl_DataDraftApril26[End]))</f>
        <v>5</v>
      </c>
      <c r="D175" s="125" cm="1">
        <f t="array" ref="D175">SUMPRODUCT((tbl_DataDraftApril26[Phase]=D$1)*(ISNUMBER(tbl_DataDraftApril26[Start]))*(ISNUMBER(tbl_DataDraftApril26[End]))*($A175&gt;tbl_DataDraftApril26[Start])*($A175&lt;tbl_DataDraftApril26[End]))</f>
        <v>0</v>
      </c>
      <c r="E175" s="125" cm="1">
        <f t="array" ref="E175">SUMPRODUCT((tbl_DataDraftApril26[Phase]=E$1)*(ISNUMBER(tbl_DataDraftApril26[Start]))*(ISNUMBER(tbl_DataDraftApril26[End]))*($A175&gt;tbl_DataDraftApril26[Start])*($A175&lt;tbl_DataDraftApril26[End]))</f>
        <v>5</v>
      </c>
    </row>
    <row r="176" spans="1:5">
      <c r="A176" s="131">
        <v>46044</v>
      </c>
      <c r="B176" s="125" cm="1">
        <f t="array" ref="B176">SUMPRODUCT((tbl_DataDraftApril26[Phase]=B$1)*(ISNUMBER(tbl_DataDraftApril26[Start]))*(ISNUMBER(tbl_DataDraftApril26[End]))*($A176&gt;tbl_DataDraftApril26[Start])*($A176&lt;tbl_DataDraftApril26[End]))</f>
        <v>34</v>
      </c>
      <c r="C176" s="125" cm="1">
        <f t="array" ref="C176">SUMPRODUCT((tbl_DataDraftApril26[Phase]=C$1)*(ISNUMBER(tbl_DataDraftApril26[Start]))*(ISNUMBER(tbl_DataDraftApril26[End]))*($A176&gt;tbl_DataDraftApril26[Start])*($A176&lt;tbl_DataDraftApril26[End]))</f>
        <v>5</v>
      </c>
      <c r="D176" s="125" cm="1">
        <f t="array" ref="D176">SUMPRODUCT((tbl_DataDraftApril26[Phase]=D$1)*(ISNUMBER(tbl_DataDraftApril26[Start]))*(ISNUMBER(tbl_DataDraftApril26[End]))*($A176&gt;tbl_DataDraftApril26[Start])*($A176&lt;tbl_DataDraftApril26[End]))</f>
        <v>0</v>
      </c>
      <c r="E176" s="125" cm="1">
        <f t="array" ref="E176">SUMPRODUCT((tbl_DataDraftApril26[Phase]=E$1)*(ISNUMBER(tbl_DataDraftApril26[Start]))*(ISNUMBER(tbl_DataDraftApril26[End]))*($A176&gt;tbl_DataDraftApril26[Start])*($A176&lt;tbl_DataDraftApril26[End]))</f>
        <v>5</v>
      </c>
    </row>
    <row r="177" spans="1:5">
      <c r="A177" s="131">
        <v>46045</v>
      </c>
      <c r="B177" s="125" cm="1">
        <f t="array" ref="B177">SUMPRODUCT((tbl_DataDraftApril26[Phase]=B$1)*(ISNUMBER(tbl_DataDraftApril26[Start]))*(ISNUMBER(tbl_DataDraftApril26[End]))*($A177&gt;tbl_DataDraftApril26[Start])*($A177&lt;tbl_DataDraftApril26[End]))</f>
        <v>34</v>
      </c>
      <c r="C177" s="125" cm="1">
        <f t="array" ref="C177">SUMPRODUCT((tbl_DataDraftApril26[Phase]=C$1)*(ISNUMBER(tbl_DataDraftApril26[Start]))*(ISNUMBER(tbl_DataDraftApril26[End]))*($A177&gt;tbl_DataDraftApril26[Start])*($A177&lt;tbl_DataDraftApril26[End]))</f>
        <v>5</v>
      </c>
      <c r="D177" s="125" cm="1">
        <f t="array" ref="D177">SUMPRODUCT((tbl_DataDraftApril26[Phase]=D$1)*(ISNUMBER(tbl_DataDraftApril26[Start]))*(ISNUMBER(tbl_DataDraftApril26[End]))*($A177&gt;tbl_DataDraftApril26[Start])*($A177&lt;tbl_DataDraftApril26[End]))</f>
        <v>0</v>
      </c>
      <c r="E177" s="125" cm="1">
        <f t="array" ref="E177">SUMPRODUCT((tbl_DataDraftApril26[Phase]=E$1)*(ISNUMBER(tbl_DataDraftApril26[Start]))*(ISNUMBER(tbl_DataDraftApril26[End]))*($A177&gt;tbl_DataDraftApril26[Start])*($A177&lt;tbl_DataDraftApril26[End]))</f>
        <v>5</v>
      </c>
    </row>
    <row r="178" spans="1:5">
      <c r="A178" s="131">
        <v>46046</v>
      </c>
      <c r="B178" s="125" cm="1">
        <f t="array" ref="B178">SUMPRODUCT((tbl_DataDraftApril26[Phase]=B$1)*(ISNUMBER(tbl_DataDraftApril26[Start]))*(ISNUMBER(tbl_DataDraftApril26[End]))*($A178&gt;tbl_DataDraftApril26[Start])*($A178&lt;tbl_DataDraftApril26[End]))</f>
        <v>34</v>
      </c>
      <c r="C178" s="125" cm="1">
        <f t="array" ref="C178">SUMPRODUCT((tbl_DataDraftApril26[Phase]=C$1)*(ISNUMBER(tbl_DataDraftApril26[Start]))*(ISNUMBER(tbl_DataDraftApril26[End]))*($A178&gt;tbl_DataDraftApril26[Start])*($A178&lt;tbl_DataDraftApril26[End]))</f>
        <v>5</v>
      </c>
      <c r="D178" s="125" cm="1">
        <f t="array" ref="D178">SUMPRODUCT((tbl_DataDraftApril26[Phase]=D$1)*(ISNUMBER(tbl_DataDraftApril26[Start]))*(ISNUMBER(tbl_DataDraftApril26[End]))*($A178&gt;tbl_DataDraftApril26[Start])*($A178&lt;tbl_DataDraftApril26[End]))</f>
        <v>0</v>
      </c>
      <c r="E178" s="125" cm="1">
        <f t="array" ref="E178">SUMPRODUCT((tbl_DataDraftApril26[Phase]=E$1)*(ISNUMBER(tbl_DataDraftApril26[Start]))*(ISNUMBER(tbl_DataDraftApril26[End]))*($A178&gt;tbl_DataDraftApril26[Start])*($A178&lt;tbl_DataDraftApril26[End]))</f>
        <v>5</v>
      </c>
    </row>
    <row r="179" spans="1:5">
      <c r="A179" s="131">
        <v>46047</v>
      </c>
      <c r="B179" s="125" cm="1">
        <f t="array" ref="B179">SUMPRODUCT((tbl_DataDraftApril26[Phase]=B$1)*(ISNUMBER(tbl_DataDraftApril26[Start]))*(ISNUMBER(tbl_DataDraftApril26[End]))*($A179&gt;tbl_DataDraftApril26[Start])*($A179&lt;tbl_DataDraftApril26[End]))</f>
        <v>34</v>
      </c>
      <c r="C179" s="125" cm="1">
        <f t="array" ref="C179">SUMPRODUCT((tbl_DataDraftApril26[Phase]=C$1)*(ISNUMBER(tbl_DataDraftApril26[Start]))*(ISNUMBER(tbl_DataDraftApril26[End]))*($A179&gt;tbl_DataDraftApril26[Start])*($A179&lt;tbl_DataDraftApril26[End]))</f>
        <v>5</v>
      </c>
      <c r="D179" s="125" cm="1">
        <f t="array" ref="D179">SUMPRODUCT((tbl_DataDraftApril26[Phase]=D$1)*(ISNUMBER(tbl_DataDraftApril26[Start]))*(ISNUMBER(tbl_DataDraftApril26[End]))*($A179&gt;tbl_DataDraftApril26[Start])*($A179&lt;tbl_DataDraftApril26[End]))</f>
        <v>0</v>
      </c>
      <c r="E179" s="125" cm="1">
        <f t="array" ref="E179">SUMPRODUCT((tbl_DataDraftApril26[Phase]=E$1)*(ISNUMBER(tbl_DataDraftApril26[Start]))*(ISNUMBER(tbl_DataDraftApril26[End]))*($A179&gt;tbl_DataDraftApril26[Start])*($A179&lt;tbl_DataDraftApril26[End]))</f>
        <v>5</v>
      </c>
    </row>
    <row r="180" spans="1:5">
      <c r="A180" s="131">
        <v>46048</v>
      </c>
      <c r="B180" s="125" cm="1">
        <f t="array" ref="B180">SUMPRODUCT((tbl_DataDraftApril26[Phase]=B$1)*(ISNUMBER(tbl_DataDraftApril26[Start]))*(ISNUMBER(tbl_DataDraftApril26[End]))*($A180&gt;tbl_DataDraftApril26[Start])*($A180&lt;tbl_DataDraftApril26[End]))</f>
        <v>34</v>
      </c>
      <c r="C180" s="125" cm="1">
        <f t="array" ref="C180">SUMPRODUCT((tbl_DataDraftApril26[Phase]=C$1)*(ISNUMBER(tbl_DataDraftApril26[Start]))*(ISNUMBER(tbl_DataDraftApril26[End]))*($A180&gt;tbl_DataDraftApril26[Start])*($A180&lt;tbl_DataDraftApril26[End]))</f>
        <v>5</v>
      </c>
      <c r="D180" s="125" cm="1">
        <f t="array" ref="D180">SUMPRODUCT((tbl_DataDraftApril26[Phase]=D$1)*(ISNUMBER(tbl_DataDraftApril26[Start]))*(ISNUMBER(tbl_DataDraftApril26[End]))*($A180&gt;tbl_DataDraftApril26[Start])*($A180&lt;tbl_DataDraftApril26[End]))</f>
        <v>0</v>
      </c>
      <c r="E180" s="125" cm="1">
        <f t="array" ref="E180">SUMPRODUCT((tbl_DataDraftApril26[Phase]=E$1)*(ISNUMBER(tbl_DataDraftApril26[Start]))*(ISNUMBER(tbl_DataDraftApril26[End]))*($A180&gt;tbl_DataDraftApril26[Start])*($A180&lt;tbl_DataDraftApril26[End]))</f>
        <v>5</v>
      </c>
    </row>
    <row r="181" spans="1:5">
      <c r="A181" s="131">
        <v>46049</v>
      </c>
      <c r="B181" s="125" cm="1">
        <f t="array" ref="B181">SUMPRODUCT((tbl_DataDraftApril26[Phase]=B$1)*(ISNUMBER(tbl_DataDraftApril26[Start]))*(ISNUMBER(tbl_DataDraftApril26[End]))*($A181&gt;tbl_DataDraftApril26[Start])*($A181&lt;tbl_DataDraftApril26[End]))</f>
        <v>34</v>
      </c>
      <c r="C181" s="125" cm="1">
        <f t="array" ref="C181">SUMPRODUCT((tbl_DataDraftApril26[Phase]=C$1)*(ISNUMBER(tbl_DataDraftApril26[Start]))*(ISNUMBER(tbl_DataDraftApril26[End]))*($A181&gt;tbl_DataDraftApril26[Start])*($A181&lt;tbl_DataDraftApril26[End]))</f>
        <v>5</v>
      </c>
      <c r="D181" s="125" cm="1">
        <f t="array" ref="D181">SUMPRODUCT((tbl_DataDraftApril26[Phase]=D$1)*(ISNUMBER(tbl_DataDraftApril26[Start]))*(ISNUMBER(tbl_DataDraftApril26[End]))*($A181&gt;tbl_DataDraftApril26[Start])*($A181&lt;tbl_DataDraftApril26[End]))</f>
        <v>0</v>
      </c>
      <c r="E181" s="125" cm="1">
        <f t="array" ref="E181">SUMPRODUCT((tbl_DataDraftApril26[Phase]=E$1)*(ISNUMBER(tbl_DataDraftApril26[Start]))*(ISNUMBER(tbl_DataDraftApril26[End]))*($A181&gt;tbl_DataDraftApril26[Start])*($A181&lt;tbl_DataDraftApril26[End]))</f>
        <v>5</v>
      </c>
    </row>
    <row r="182" spans="1:5">
      <c r="A182" s="131">
        <v>46050</v>
      </c>
      <c r="B182" s="125" cm="1">
        <f t="array" ref="B182">SUMPRODUCT((tbl_DataDraftApril26[Phase]=B$1)*(ISNUMBER(tbl_DataDraftApril26[Start]))*(ISNUMBER(tbl_DataDraftApril26[End]))*($A182&gt;tbl_DataDraftApril26[Start])*($A182&lt;tbl_DataDraftApril26[End]))</f>
        <v>34</v>
      </c>
      <c r="C182" s="125" cm="1">
        <f t="array" ref="C182">SUMPRODUCT((tbl_DataDraftApril26[Phase]=C$1)*(ISNUMBER(tbl_DataDraftApril26[Start]))*(ISNUMBER(tbl_DataDraftApril26[End]))*($A182&gt;tbl_DataDraftApril26[Start])*($A182&lt;tbl_DataDraftApril26[End]))</f>
        <v>5</v>
      </c>
      <c r="D182" s="125" cm="1">
        <f t="array" ref="D182">SUMPRODUCT((tbl_DataDraftApril26[Phase]=D$1)*(ISNUMBER(tbl_DataDraftApril26[Start]))*(ISNUMBER(tbl_DataDraftApril26[End]))*($A182&gt;tbl_DataDraftApril26[Start])*($A182&lt;tbl_DataDraftApril26[End]))</f>
        <v>0</v>
      </c>
      <c r="E182" s="125" cm="1">
        <f t="array" ref="E182">SUMPRODUCT((tbl_DataDraftApril26[Phase]=E$1)*(ISNUMBER(tbl_DataDraftApril26[Start]))*(ISNUMBER(tbl_DataDraftApril26[End]))*($A182&gt;tbl_DataDraftApril26[Start])*($A182&lt;tbl_DataDraftApril26[End]))</f>
        <v>5</v>
      </c>
    </row>
    <row r="183" spans="1:5">
      <c r="A183" s="131">
        <v>46051</v>
      </c>
      <c r="B183" s="125" cm="1">
        <f t="array" ref="B183">SUMPRODUCT((tbl_DataDraftApril26[Phase]=B$1)*(ISNUMBER(tbl_DataDraftApril26[Start]))*(ISNUMBER(tbl_DataDraftApril26[End]))*($A183&gt;tbl_DataDraftApril26[Start])*($A183&lt;tbl_DataDraftApril26[End]))</f>
        <v>33</v>
      </c>
      <c r="C183" s="125" cm="1">
        <f t="array" ref="C183">SUMPRODUCT((tbl_DataDraftApril26[Phase]=C$1)*(ISNUMBER(tbl_DataDraftApril26[Start]))*(ISNUMBER(tbl_DataDraftApril26[End]))*($A183&gt;tbl_DataDraftApril26[Start])*($A183&lt;tbl_DataDraftApril26[End]))</f>
        <v>5</v>
      </c>
      <c r="D183" s="125" cm="1">
        <f t="array" ref="D183">SUMPRODUCT((tbl_DataDraftApril26[Phase]=D$1)*(ISNUMBER(tbl_DataDraftApril26[Start]))*(ISNUMBER(tbl_DataDraftApril26[End]))*($A183&gt;tbl_DataDraftApril26[Start])*($A183&lt;tbl_DataDraftApril26[End]))</f>
        <v>0</v>
      </c>
      <c r="E183" s="125" cm="1">
        <f t="array" ref="E183">SUMPRODUCT((tbl_DataDraftApril26[Phase]=E$1)*(ISNUMBER(tbl_DataDraftApril26[Start]))*(ISNUMBER(tbl_DataDraftApril26[End]))*($A183&gt;tbl_DataDraftApril26[Start])*($A183&lt;tbl_DataDraftApril26[End]))</f>
        <v>5</v>
      </c>
    </row>
    <row r="184" spans="1:5">
      <c r="A184" s="131">
        <v>46052</v>
      </c>
      <c r="B184" s="125" cm="1">
        <f t="array" ref="B184">SUMPRODUCT((tbl_DataDraftApril26[Phase]=B$1)*(ISNUMBER(tbl_DataDraftApril26[Start]))*(ISNUMBER(tbl_DataDraftApril26[End]))*($A184&gt;tbl_DataDraftApril26[Start])*($A184&lt;tbl_DataDraftApril26[End]))</f>
        <v>32</v>
      </c>
      <c r="C184" s="125" cm="1">
        <f t="array" ref="C184">SUMPRODUCT((tbl_DataDraftApril26[Phase]=C$1)*(ISNUMBER(tbl_DataDraftApril26[Start]))*(ISNUMBER(tbl_DataDraftApril26[End]))*($A184&gt;tbl_DataDraftApril26[Start])*($A184&lt;tbl_DataDraftApril26[End]))</f>
        <v>5</v>
      </c>
      <c r="D184" s="125" cm="1">
        <f t="array" ref="D184">SUMPRODUCT((tbl_DataDraftApril26[Phase]=D$1)*(ISNUMBER(tbl_DataDraftApril26[Start]))*(ISNUMBER(tbl_DataDraftApril26[End]))*($A184&gt;tbl_DataDraftApril26[Start])*($A184&lt;tbl_DataDraftApril26[End]))</f>
        <v>0</v>
      </c>
      <c r="E184" s="125" cm="1">
        <f t="array" ref="E184">SUMPRODUCT((tbl_DataDraftApril26[Phase]=E$1)*(ISNUMBER(tbl_DataDraftApril26[Start]))*(ISNUMBER(tbl_DataDraftApril26[End]))*($A184&gt;tbl_DataDraftApril26[Start])*($A184&lt;tbl_DataDraftApril26[End]))</f>
        <v>5</v>
      </c>
    </row>
    <row r="185" spans="1:5">
      <c r="A185" s="131">
        <v>46053</v>
      </c>
      <c r="B185" s="125" cm="1">
        <f t="array" ref="B185">SUMPRODUCT((tbl_DataDraftApril26[Phase]=B$1)*(ISNUMBER(tbl_DataDraftApril26[Start]))*(ISNUMBER(tbl_DataDraftApril26[End]))*($A185&gt;tbl_DataDraftApril26[Start])*($A185&lt;tbl_DataDraftApril26[End]))</f>
        <v>32</v>
      </c>
      <c r="C185" s="125" cm="1">
        <f t="array" ref="C185">SUMPRODUCT((tbl_DataDraftApril26[Phase]=C$1)*(ISNUMBER(tbl_DataDraftApril26[Start]))*(ISNUMBER(tbl_DataDraftApril26[End]))*($A185&gt;tbl_DataDraftApril26[Start])*($A185&lt;tbl_DataDraftApril26[End]))</f>
        <v>5</v>
      </c>
      <c r="D185" s="125" cm="1">
        <f t="array" ref="D185">SUMPRODUCT((tbl_DataDraftApril26[Phase]=D$1)*(ISNUMBER(tbl_DataDraftApril26[Start]))*(ISNUMBER(tbl_DataDraftApril26[End]))*($A185&gt;tbl_DataDraftApril26[Start])*($A185&lt;tbl_DataDraftApril26[End]))</f>
        <v>0</v>
      </c>
      <c r="E185" s="125" cm="1">
        <f t="array" ref="E185">SUMPRODUCT((tbl_DataDraftApril26[Phase]=E$1)*(ISNUMBER(tbl_DataDraftApril26[Start]))*(ISNUMBER(tbl_DataDraftApril26[End]))*($A185&gt;tbl_DataDraftApril26[Start])*($A185&lt;tbl_DataDraftApril26[End]))</f>
        <v>5</v>
      </c>
    </row>
    <row r="186" spans="1:5">
      <c r="A186" s="131">
        <v>46054</v>
      </c>
      <c r="B186" s="125" cm="1">
        <f t="array" ref="B186">SUMPRODUCT((tbl_DataDraftApril26[Phase]=B$1)*(ISNUMBER(tbl_DataDraftApril26[Start]))*(ISNUMBER(tbl_DataDraftApril26[End]))*($A186&gt;tbl_DataDraftApril26[Start])*($A186&lt;tbl_DataDraftApril26[End]))</f>
        <v>32</v>
      </c>
      <c r="C186" s="125" cm="1">
        <f t="array" ref="C186">SUMPRODUCT((tbl_DataDraftApril26[Phase]=C$1)*(ISNUMBER(tbl_DataDraftApril26[Start]))*(ISNUMBER(tbl_DataDraftApril26[End]))*($A186&gt;tbl_DataDraftApril26[Start])*($A186&lt;tbl_DataDraftApril26[End]))</f>
        <v>5</v>
      </c>
      <c r="D186" s="125" cm="1">
        <f t="array" ref="D186">SUMPRODUCT((tbl_DataDraftApril26[Phase]=D$1)*(ISNUMBER(tbl_DataDraftApril26[Start]))*(ISNUMBER(tbl_DataDraftApril26[End]))*($A186&gt;tbl_DataDraftApril26[Start])*($A186&lt;tbl_DataDraftApril26[End]))</f>
        <v>0</v>
      </c>
      <c r="E186" s="125" cm="1">
        <f t="array" ref="E186">SUMPRODUCT((tbl_DataDraftApril26[Phase]=E$1)*(ISNUMBER(tbl_DataDraftApril26[Start]))*(ISNUMBER(tbl_DataDraftApril26[End]))*($A186&gt;tbl_DataDraftApril26[Start])*($A186&lt;tbl_DataDraftApril26[End]))</f>
        <v>5</v>
      </c>
    </row>
    <row r="187" spans="1:5">
      <c r="A187" s="131">
        <v>46055</v>
      </c>
      <c r="B187" s="125" cm="1">
        <f t="array" ref="B187">SUMPRODUCT((tbl_DataDraftApril26[Phase]=B$1)*(ISNUMBER(tbl_DataDraftApril26[Start]))*(ISNUMBER(tbl_DataDraftApril26[End]))*($A187&gt;tbl_DataDraftApril26[Start])*($A187&lt;tbl_DataDraftApril26[End]))</f>
        <v>32</v>
      </c>
      <c r="C187" s="125" cm="1">
        <f t="array" ref="C187">SUMPRODUCT((tbl_DataDraftApril26[Phase]=C$1)*(ISNUMBER(tbl_DataDraftApril26[Start]))*(ISNUMBER(tbl_DataDraftApril26[End]))*($A187&gt;tbl_DataDraftApril26[Start])*($A187&lt;tbl_DataDraftApril26[End]))</f>
        <v>6</v>
      </c>
      <c r="D187" s="125" cm="1">
        <f t="array" ref="D187">SUMPRODUCT((tbl_DataDraftApril26[Phase]=D$1)*(ISNUMBER(tbl_DataDraftApril26[Start]))*(ISNUMBER(tbl_DataDraftApril26[End]))*($A187&gt;tbl_DataDraftApril26[Start])*($A187&lt;tbl_DataDraftApril26[End]))</f>
        <v>0</v>
      </c>
      <c r="E187" s="125" cm="1">
        <f t="array" ref="E187">SUMPRODUCT((tbl_DataDraftApril26[Phase]=E$1)*(ISNUMBER(tbl_DataDraftApril26[Start]))*(ISNUMBER(tbl_DataDraftApril26[End]))*($A187&gt;tbl_DataDraftApril26[Start])*($A187&lt;tbl_DataDraftApril26[End]))</f>
        <v>5</v>
      </c>
    </row>
    <row r="188" spans="1:5">
      <c r="A188" s="131">
        <v>46056</v>
      </c>
      <c r="B188" s="125" cm="1">
        <f t="array" ref="B188">SUMPRODUCT((tbl_DataDraftApril26[Phase]=B$1)*(ISNUMBER(tbl_DataDraftApril26[Start]))*(ISNUMBER(tbl_DataDraftApril26[End]))*($A188&gt;tbl_DataDraftApril26[Start])*($A188&lt;tbl_DataDraftApril26[End]))</f>
        <v>34</v>
      </c>
      <c r="C188" s="125" cm="1">
        <f t="array" ref="C188">SUMPRODUCT((tbl_DataDraftApril26[Phase]=C$1)*(ISNUMBER(tbl_DataDraftApril26[Start]))*(ISNUMBER(tbl_DataDraftApril26[End]))*($A188&gt;tbl_DataDraftApril26[Start])*($A188&lt;tbl_DataDraftApril26[End]))</f>
        <v>6</v>
      </c>
      <c r="D188" s="125" cm="1">
        <f t="array" ref="D188">SUMPRODUCT((tbl_DataDraftApril26[Phase]=D$1)*(ISNUMBER(tbl_DataDraftApril26[Start]))*(ISNUMBER(tbl_DataDraftApril26[End]))*($A188&gt;tbl_DataDraftApril26[Start])*($A188&lt;tbl_DataDraftApril26[End]))</f>
        <v>0</v>
      </c>
      <c r="E188" s="125" cm="1">
        <f t="array" ref="E188">SUMPRODUCT((tbl_DataDraftApril26[Phase]=E$1)*(ISNUMBER(tbl_DataDraftApril26[Start]))*(ISNUMBER(tbl_DataDraftApril26[End]))*($A188&gt;tbl_DataDraftApril26[Start])*($A188&lt;tbl_DataDraftApril26[End]))</f>
        <v>5</v>
      </c>
    </row>
    <row r="189" spans="1:5">
      <c r="A189" s="131">
        <v>46057</v>
      </c>
      <c r="B189" s="125" cm="1">
        <f t="array" ref="B189">SUMPRODUCT((tbl_DataDraftApril26[Phase]=B$1)*(ISNUMBER(tbl_DataDraftApril26[Start]))*(ISNUMBER(tbl_DataDraftApril26[End]))*($A189&gt;tbl_DataDraftApril26[Start])*($A189&lt;tbl_DataDraftApril26[End]))</f>
        <v>34</v>
      </c>
      <c r="C189" s="125" cm="1">
        <f t="array" ref="C189">SUMPRODUCT((tbl_DataDraftApril26[Phase]=C$1)*(ISNUMBER(tbl_DataDraftApril26[Start]))*(ISNUMBER(tbl_DataDraftApril26[End]))*($A189&gt;tbl_DataDraftApril26[Start])*($A189&lt;tbl_DataDraftApril26[End]))</f>
        <v>6</v>
      </c>
      <c r="D189" s="125" cm="1">
        <f t="array" ref="D189">SUMPRODUCT((tbl_DataDraftApril26[Phase]=D$1)*(ISNUMBER(tbl_DataDraftApril26[Start]))*(ISNUMBER(tbl_DataDraftApril26[End]))*($A189&gt;tbl_DataDraftApril26[Start])*($A189&lt;tbl_DataDraftApril26[End]))</f>
        <v>0</v>
      </c>
      <c r="E189" s="125" cm="1">
        <f t="array" ref="E189">SUMPRODUCT((tbl_DataDraftApril26[Phase]=E$1)*(ISNUMBER(tbl_DataDraftApril26[Start]))*(ISNUMBER(tbl_DataDraftApril26[End]))*($A189&gt;tbl_DataDraftApril26[Start])*($A189&lt;tbl_DataDraftApril26[End]))</f>
        <v>5</v>
      </c>
    </row>
    <row r="190" spans="1:5">
      <c r="A190" s="131">
        <v>46058</v>
      </c>
      <c r="B190" s="125" cm="1">
        <f t="array" ref="B190">SUMPRODUCT((tbl_DataDraftApril26[Phase]=B$1)*(ISNUMBER(tbl_DataDraftApril26[Start]))*(ISNUMBER(tbl_DataDraftApril26[End]))*($A190&gt;tbl_DataDraftApril26[Start])*($A190&lt;tbl_DataDraftApril26[End]))</f>
        <v>34</v>
      </c>
      <c r="C190" s="125" cm="1">
        <f t="array" ref="C190">SUMPRODUCT((tbl_DataDraftApril26[Phase]=C$1)*(ISNUMBER(tbl_DataDraftApril26[Start]))*(ISNUMBER(tbl_DataDraftApril26[End]))*($A190&gt;tbl_DataDraftApril26[Start])*($A190&lt;tbl_DataDraftApril26[End]))</f>
        <v>6</v>
      </c>
      <c r="D190" s="125" cm="1">
        <f t="array" ref="D190">SUMPRODUCT((tbl_DataDraftApril26[Phase]=D$1)*(ISNUMBER(tbl_DataDraftApril26[Start]))*(ISNUMBER(tbl_DataDraftApril26[End]))*($A190&gt;tbl_DataDraftApril26[Start])*($A190&lt;tbl_DataDraftApril26[End]))</f>
        <v>0</v>
      </c>
      <c r="E190" s="125" cm="1">
        <f t="array" ref="E190">SUMPRODUCT((tbl_DataDraftApril26[Phase]=E$1)*(ISNUMBER(tbl_DataDraftApril26[Start]))*(ISNUMBER(tbl_DataDraftApril26[End]))*($A190&gt;tbl_DataDraftApril26[Start])*($A190&lt;tbl_DataDraftApril26[End]))</f>
        <v>5</v>
      </c>
    </row>
    <row r="191" spans="1:5">
      <c r="A191" s="131">
        <v>46059</v>
      </c>
      <c r="B191" s="125" cm="1">
        <f t="array" ref="B191">SUMPRODUCT((tbl_DataDraftApril26[Phase]=B$1)*(ISNUMBER(tbl_DataDraftApril26[Start]))*(ISNUMBER(tbl_DataDraftApril26[End]))*($A191&gt;tbl_DataDraftApril26[Start])*($A191&lt;tbl_DataDraftApril26[End]))</f>
        <v>35</v>
      </c>
      <c r="C191" s="125" cm="1">
        <f t="array" ref="C191">SUMPRODUCT((tbl_DataDraftApril26[Phase]=C$1)*(ISNUMBER(tbl_DataDraftApril26[Start]))*(ISNUMBER(tbl_DataDraftApril26[End]))*($A191&gt;tbl_DataDraftApril26[Start])*($A191&lt;tbl_DataDraftApril26[End]))</f>
        <v>6</v>
      </c>
      <c r="D191" s="125" cm="1">
        <f t="array" ref="D191">SUMPRODUCT((tbl_DataDraftApril26[Phase]=D$1)*(ISNUMBER(tbl_DataDraftApril26[Start]))*(ISNUMBER(tbl_DataDraftApril26[End]))*($A191&gt;tbl_DataDraftApril26[Start])*($A191&lt;tbl_DataDraftApril26[End]))</f>
        <v>0</v>
      </c>
      <c r="E191" s="125" cm="1">
        <f t="array" ref="E191">SUMPRODUCT((tbl_DataDraftApril26[Phase]=E$1)*(ISNUMBER(tbl_DataDraftApril26[Start]))*(ISNUMBER(tbl_DataDraftApril26[End]))*($A191&gt;tbl_DataDraftApril26[Start])*($A191&lt;tbl_DataDraftApril26[End]))</f>
        <v>5</v>
      </c>
    </row>
    <row r="192" spans="1:5">
      <c r="A192" s="131">
        <v>46060</v>
      </c>
      <c r="B192" s="125" cm="1">
        <f t="array" ref="B192">SUMPRODUCT((tbl_DataDraftApril26[Phase]=B$1)*(ISNUMBER(tbl_DataDraftApril26[Start]))*(ISNUMBER(tbl_DataDraftApril26[End]))*($A192&gt;tbl_DataDraftApril26[Start])*($A192&lt;tbl_DataDraftApril26[End]))</f>
        <v>35</v>
      </c>
      <c r="C192" s="125" cm="1">
        <f t="array" ref="C192">SUMPRODUCT((tbl_DataDraftApril26[Phase]=C$1)*(ISNUMBER(tbl_DataDraftApril26[Start]))*(ISNUMBER(tbl_DataDraftApril26[End]))*($A192&gt;tbl_DataDraftApril26[Start])*($A192&lt;tbl_DataDraftApril26[End]))</f>
        <v>6</v>
      </c>
      <c r="D192" s="125" cm="1">
        <f t="array" ref="D192">SUMPRODUCT((tbl_DataDraftApril26[Phase]=D$1)*(ISNUMBER(tbl_DataDraftApril26[Start]))*(ISNUMBER(tbl_DataDraftApril26[End]))*($A192&gt;tbl_DataDraftApril26[Start])*($A192&lt;tbl_DataDraftApril26[End]))</f>
        <v>0</v>
      </c>
      <c r="E192" s="125" cm="1">
        <f t="array" ref="E192">SUMPRODUCT((tbl_DataDraftApril26[Phase]=E$1)*(ISNUMBER(tbl_DataDraftApril26[Start]))*(ISNUMBER(tbl_DataDraftApril26[End]))*($A192&gt;tbl_DataDraftApril26[Start])*($A192&lt;tbl_DataDraftApril26[End]))</f>
        <v>5</v>
      </c>
    </row>
    <row r="193" spans="1:5">
      <c r="A193" s="131">
        <v>46061</v>
      </c>
      <c r="B193" s="125" cm="1">
        <f t="array" ref="B193">SUMPRODUCT((tbl_DataDraftApril26[Phase]=B$1)*(ISNUMBER(tbl_DataDraftApril26[Start]))*(ISNUMBER(tbl_DataDraftApril26[End]))*($A193&gt;tbl_DataDraftApril26[Start])*($A193&lt;tbl_DataDraftApril26[End]))</f>
        <v>35</v>
      </c>
      <c r="C193" s="125" cm="1">
        <f t="array" ref="C193">SUMPRODUCT((tbl_DataDraftApril26[Phase]=C$1)*(ISNUMBER(tbl_DataDraftApril26[Start]))*(ISNUMBER(tbl_DataDraftApril26[End]))*($A193&gt;tbl_DataDraftApril26[Start])*($A193&lt;tbl_DataDraftApril26[End]))</f>
        <v>6</v>
      </c>
      <c r="D193" s="125" cm="1">
        <f t="array" ref="D193">SUMPRODUCT((tbl_DataDraftApril26[Phase]=D$1)*(ISNUMBER(tbl_DataDraftApril26[Start]))*(ISNUMBER(tbl_DataDraftApril26[End]))*($A193&gt;tbl_DataDraftApril26[Start])*($A193&lt;tbl_DataDraftApril26[End]))</f>
        <v>0</v>
      </c>
      <c r="E193" s="125" cm="1">
        <f t="array" ref="E193">SUMPRODUCT((tbl_DataDraftApril26[Phase]=E$1)*(ISNUMBER(tbl_DataDraftApril26[Start]))*(ISNUMBER(tbl_DataDraftApril26[End]))*($A193&gt;tbl_DataDraftApril26[Start])*($A193&lt;tbl_DataDraftApril26[End]))</f>
        <v>5</v>
      </c>
    </row>
    <row r="194" spans="1:5">
      <c r="A194" s="131">
        <v>46062</v>
      </c>
      <c r="B194" s="125" cm="1">
        <f t="array" ref="B194">SUMPRODUCT((tbl_DataDraftApril26[Phase]=B$1)*(ISNUMBER(tbl_DataDraftApril26[Start]))*(ISNUMBER(tbl_DataDraftApril26[End]))*($A194&gt;tbl_DataDraftApril26[Start])*($A194&lt;tbl_DataDraftApril26[End]))</f>
        <v>35</v>
      </c>
      <c r="C194" s="125" cm="1">
        <f t="array" ref="C194">SUMPRODUCT((tbl_DataDraftApril26[Phase]=C$1)*(ISNUMBER(tbl_DataDraftApril26[Start]))*(ISNUMBER(tbl_DataDraftApril26[End]))*($A194&gt;tbl_DataDraftApril26[Start])*($A194&lt;tbl_DataDraftApril26[End]))</f>
        <v>6</v>
      </c>
      <c r="D194" s="125" cm="1">
        <f t="array" ref="D194">SUMPRODUCT((tbl_DataDraftApril26[Phase]=D$1)*(ISNUMBER(tbl_DataDraftApril26[Start]))*(ISNUMBER(tbl_DataDraftApril26[End]))*($A194&gt;tbl_DataDraftApril26[Start])*($A194&lt;tbl_DataDraftApril26[End]))</f>
        <v>0</v>
      </c>
      <c r="E194" s="125" cm="1">
        <f t="array" ref="E194">SUMPRODUCT((tbl_DataDraftApril26[Phase]=E$1)*(ISNUMBER(tbl_DataDraftApril26[Start]))*(ISNUMBER(tbl_DataDraftApril26[End]))*($A194&gt;tbl_DataDraftApril26[Start])*($A194&lt;tbl_DataDraftApril26[End]))</f>
        <v>5</v>
      </c>
    </row>
    <row r="195" spans="1:5">
      <c r="A195" s="131">
        <v>46063</v>
      </c>
      <c r="B195" s="125" cm="1">
        <f t="array" ref="B195">SUMPRODUCT((tbl_DataDraftApril26[Phase]=B$1)*(ISNUMBER(tbl_DataDraftApril26[Start]))*(ISNUMBER(tbl_DataDraftApril26[End]))*($A195&gt;tbl_DataDraftApril26[Start])*($A195&lt;tbl_DataDraftApril26[End]))</f>
        <v>35</v>
      </c>
      <c r="C195" s="125" cm="1">
        <f t="array" ref="C195">SUMPRODUCT((tbl_DataDraftApril26[Phase]=C$1)*(ISNUMBER(tbl_DataDraftApril26[Start]))*(ISNUMBER(tbl_DataDraftApril26[End]))*($A195&gt;tbl_DataDraftApril26[Start])*($A195&lt;tbl_DataDraftApril26[End]))</f>
        <v>6</v>
      </c>
      <c r="D195" s="125" cm="1">
        <f t="array" ref="D195">SUMPRODUCT((tbl_DataDraftApril26[Phase]=D$1)*(ISNUMBER(tbl_DataDraftApril26[Start]))*(ISNUMBER(tbl_DataDraftApril26[End]))*($A195&gt;tbl_DataDraftApril26[Start])*($A195&lt;tbl_DataDraftApril26[End]))</f>
        <v>0</v>
      </c>
      <c r="E195" s="125" cm="1">
        <f t="array" ref="E195">SUMPRODUCT((tbl_DataDraftApril26[Phase]=E$1)*(ISNUMBER(tbl_DataDraftApril26[Start]))*(ISNUMBER(tbl_DataDraftApril26[End]))*($A195&gt;tbl_DataDraftApril26[Start])*($A195&lt;tbl_DataDraftApril26[End]))</f>
        <v>5</v>
      </c>
    </row>
    <row r="196" spans="1:5">
      <c r="A196" s="131">
        <v>46064</v>
      </c>
      <c r="B196" s="125" cm="1">
        <f t="array" ref="B196">SUMPRODUCT((tbl_DataDraftApril26[Phase]=B$1)*(ISNUMBER(tbl_DataDraftApril26[Start]))*(ISNUMBER(tbl_DataDraftApril26[End]))*($A196&gt;tbl_DataDraftApril26[Start])*($A196&lt;tbl_DataDraftApril26[End]))</f>
        <v>35</v>
      </c>
      <c r="C196" s="125" cm="1">
        <f t="array" ref="C196">SUMPRODUCT((tbl_DataDraftApril26[Phase]=C$1)*(ISNUMBER(tbl_DataDraftApril26[Start]))*(ISNUMBER(tbl_DataDraftApril26[End]))*($A196&gt;tbl_DataDraftApril26[Start])*($A196&lt;tbl_DataDraftApril26[End]))</f>
        <v>6</v>
      </c>
      <c r="D196" s="125" cm="1">
        <f t="array" ref="D196">SUMPRODUCT((tbl_DataDraftApril26[Phase]=D$1)*(ISNUMBER(tbl_DataDraftApril26[Start]))*(ISNUMBER(tbl_DataDraftApril26[End]))*($A196&gt;tbl_DataDraftApril26[Start])*($A196&lt;tbl_DataDraftApril26[End]))</f>
        <v>0</v>
      </c>
      <c r="E196" s="125" cm="1">
        <f t="array" ref="E196">SUMPRODUCT((tbl_DataDraftApril26[Phase]=E$1)*(ISNUMBER(tbl_DataDraftApril26[Start]))*(ISNUMBER(tbl_DataDraftApril26[End]))*($A196&gt;tbl_DataDraftApril26[Start])*($A196&lt;tbl_DataDraftApril26[End]))</f>
        <v>5</v>
      </c>
    </row>
    <row r="197" spans="1:5">
      <c r="A197" s="131">
        <v>46065</v>
      </c>
      <c r="B197" s="125" cm="1">
        <f t="array" ref="B197">SUMPRODUCT((tbl_DataDraftApril26[Phase]=B$1)*(ISNUMBER(tbl_DataDraftApril26[Start]))*(ISNUMBER(tbl_DataDraftApril26[End]))*($A197&gt;tbl_DataDraftApril26[Start])*($A197&lt;tbl_DataDraftApril26[End]))</f>
        <v>35</v>
      </c>
      <c r="C197" s="125" cm="1">
        <f t="array" ref="C197">SUMPRODUCT((tbl_DataDraftApril26[Phase]=C$1)*(ISNUMBER(tbl_DataDraftApril26[Start]))*(ISNUMBER(tbl_DataDraftApril26[End]))*($A197&gt;tbl_DataDraftApril26[Start])*($A197&lt;tbl_DataDraftApril26[End]))</f>
        <v>6</v>
      </c>
      <c r="D197" s="125" cm="1">
        <f t="array" ref="D197">SUMPRODUCT((tbl_DataDraftApril26[Phase]=D$1)*(ISNUMBER(tbl_DataDraftApril26[Start]))*(ISNUMBER(tbl_DataDraftApril26[End]))*($A197&gt;tbl_DataDraftApril26[Start])*($A197&lt;tbl_DataDraftApril26[End]))</f>
        <v>0</v>
      </c>
      <c r="E197" s="125" cm="1">
        <f t="array" ref="E197">SUMPRODUCT((tbl_DataDraftApril26[Phase]=E$1)*(ISNUMBER(tbl_DataDraftApril26[Start]))*(ISNUMBER(tbl_DataDraftApril26[End]))*($A197&gt;tbl_DataDraftApril26[Start])*($A197&lt;tbl_DataDraftApril26[End]))</f>
        <v>5</v>
      </c>
    </row>
    <row r="198" spans="1:5">
      <c r="A198" s="131">
        <v>46066</v>
      </c>
      <c r="B198" s="125" cm="1">
        <f t="array" ref="B198">SUMPRODUCT((tbl_DataDraftApril26[Phase]=B$1)*(ISNUMBER(tbl_DataDraftApril26[Start]))*(ISNUMBER(tbl_DataDraftApril26[End]))*($A198&gt;tbl_DataDraftApril26[Start])*($A198&lt;tbl_DataDraftApril26[End]))</f>
        <v>35</v>
      </c>
      <c r="C198" s="125" cm="1">
        <f t="array" ref="C198">SUMPRODUCT((tbl_DataDraftApril26[Phase]=C$1)*(ISNUMBER(tbl_DataDraftApril26[Start]))*(ISNUMBER(tbl_DataDraftApril26[End]))*($A198&gt;tbl_DataDraftApril26[Start])*($A198&lt;tbl_DataDraftApril26[End]))</f>
        <v>6</v>
      </c>
      <c r="D198" s="125" cm="1">
        <f t="array" ref="D198">SUMPRODUCT((tbl_DataDraftApril26[Phase]=D$1)*(ISNUMBER(tbl_DataDraftApril26[Start]))*(ISNUMBER(tbl_DataDraftApril26[End]))*($A198&gt;tbl_DataDraftApril26[Start])*($A198&lt;tbl_DataDraftApril26[End]))</f>
        <v>0</v>
      </c>
      <c r="E198" s="125" cm="1">
        <f t="array" ref="E198">SUMPRODUCT((tbl_DataDraftApril26[Phase]=E$1)*(ISNUMBER(tbl_DataDraftApril26[Start]))*(ISNUMBER(tbl_DataDraftApril26[End]))*($A198&gt;tbl_DataDraftApril26[Start])*($A198&lt;tbl_DataDraftApril26[End]))</f>
        <v>5</v>
      </c>
    </row>
    <row r="199" spans="1:5">
      <c r="A199" s="131">
        <v>46067</v>
      </c>
      <c r="B199" s="125" cm="1">
        <f t="array" ref="B199">SUMPRODUCT((tbl_DataDraftApril26[Phase]=B$1)*(ISNUMBER(tbl_DataDraftApril26[Start]))*(ISNUMBER(tbl_DataDraftApril26[End]))*($A199&gt;tbl_DataDraftApril26[Start])*($A199&lt;tbl_DataDraftApril26[End]))</f>
        <v>35</v>
      </c>
      <c r="C199" s="125" cm="1">
        <f t="array" ref="C199">SUMPRODUCT((tbl_DataDraftApril26[Phase]=C$1)*(ISNUMBER(tbl_DataDraftApril26[Start]))*(ISNUMBER(tbl_DataDraftApril26[End]))*($A199&gt;tbl_DataDraftApril26[Start])*($A199&lt;tbl_DataDraftApril26[End]))</f>
        <v>6</v>
      </c>
      <c r="D199" s="125" cm="1">
        <f t="array" ref="D199">SUMPRODUCT((tbl_DataDraftApril26[Phase]=D$1)*(ISNUMBER(tbl_DataDraftApril26[Start]))*(ISNUMBER(tbl_DataDraftApril26[End]))*($A199&gt;tbl_DataDraftApril26[Start])*($A199&lt;tbl_DataDraftApril26[End]))</f>
        <v>0</v>
      </c>
      <c r="E199" s="125" cm="1">
        <f t="array" ref="E199">SUMPRODUCT((tbl_DataDraftApril26[Phase]=E$1)*(ISNUMBER(tbl_DataDraftApril26[Start]))*(ISNUMBER(tbl_DataDraftApril26[End]))*($A199&gt;tbl_DataDraftApril26[Start])*($A199&lt;tbl_DataDraftApril26[End]))</f>
        <v>5</v>
      </c>
    </row>
    <row r="200" spans="1:5">
      <c r="A200" s="131">
        <v>46068</v>
      </c>
      <c r="B200" s="125" cm="1">
        <f t="array" ref="B200">SUMPRODUCT((tbl_DataDraftApril26[Phase]=B$1)*(ISNUMBER(tbl_DataDraftApril26[Start]))*(ISNUMBER(tbl_DataDraftApril26[End]))*($A200&gt;tbl_DataDraftApril26[Start])*($A200&lt;tbl_DataDraftApril26[End]))</f>
        <v>35</v>
      </c>
      <c r="C200" s="125" cm="1">
        <f t="array" ref="C200">SUMPRODUCT((tbl_DataDraftApril26[Phase]=C$1)*(ISNUMBER(tbl_DataDraftApril26[Start]))*(ISNUMBER(tbl_DataDraftApril26[End]))*($A200&gt;tbl_DataDraftApril26[Start])*($A200&lt;tbl_DataDraftApril26[End]))</f>
        <v>6</v>
      </c>
      <c r="D200" s="125" cm="1">
        <f t="array" ref="D200">SUMPRODUCT((tbl_DataDraftApril26[Phase]=D$1)*(ISNUMBER(tbl_DataDraftApril26[Start]))*(ISNUMBER(tbl_DataDraftApril26[End]))*($A200&gt;tbl_DataDraftApril26[Start])*($A200&lt;tbl_DataDraftApril26[End]))</f>
        <v>0</v>
      </c>
      <c r="E200" s="125" cm="1">
        <f t="array" ref="E200">SUMPRODUCT((tbl_DataDraftApril26[Phase]=E$1)*(ISNUMBER(tbl_DataDraftApril26[Start]))*(ISNUMBER(tbl_DataDraftApril26[End]))*($A200&gt;tbl_DataDraftApril26[Start])*($A200&lt;tbl_DataDraftApril26[End]))</f>
        <v>5</v>
      </c>
    </row>
    <row r="201" spans="1:5">
      <c r="A201" s="131">
        <v>46069</v>
      </c>
      <c r="B201" s="125" cm="1">
        <f t="array" ref="B201">SUMPRODUCT((tbl_DataDraftApril26[Phase]=B$1)*(ISNUMBER(tbl_DataDraftApril26[Start]))*(ISNUMBER(tbl_DataDraftApril26[End]))*($A201&gt;tbl_DataDraftApril26[Start])*($A201&lt;tbl_DataDraftApril26[End]))</f>
        <v>35</v>
      </c>
      <c r="C201" s="125" cm="1">
        <f t="array" ref="C201">SUMPRODUCT((tbl_DataDraftApril26[Phase]=C$1)*(ISNUMBER(tbl_DataDraftApril26[Start]))*(ISNUMBER(tbl_DataDraftApril26[End]))*($A201&gt;tbl_DataDraftApril26[Start])*($A201&lt;tbl_DataDraftApril26[End]))</f>
        <v>6</v>
      </c>
      <c r="D201" s="125" cm="1">
        <f t="array" ref="D201">SUMPRODUCT((tbl_DataDraftApril26[Phase]=D$1)*(ISNUMBER(tbl_DataDraftApril26[Start]))*(ISNUMBER(tbl_DataDraftApril26[End]))*($A201&gt;tbl_DataDraftApril26[Start])*($A201&lt;tbl_DataDraftApril26[End]))</f>
        <v>0</v>
      </c>
      <c r="E201" s="125" cm="1">
        <f t="array" ref="E201">SUMPRODUCT((tbl_DataDraftApril26[Phase]=E$1)*(ISNUMBER(tbl_DataDraftApril26[Start]))*(ISNUMBER(tbl_DataDraftApril26[End]))*($A201&gt;tbl_DataDraftApril26[Start])*($A201&lt;tbl_DataDraftApril26[End]))</f>
        <v>5</v>
      </c>
    </row>
    <row r="202" spans="1:5">
      <c r="A202" s="131">
        <v>46070</v>
      </c>
      <c r="B202" s="125" cm="1">
        <f t="array" ref="B202">SUMPRODUCT((tbl_DataDraftApril26[Phase]=B$1)*(ISNUMBER(tbl_DataDraftApril26[Start]))*(ISNUMBER(tbl_DataDraftApril26[End]))*($A202&gt;tbl_DataDraftApril26[Start])*($A202&lt;tbl_DataDraftApril26[End]))</f>
        <v>35</v>
      </c>
      <c r="C202" s="125" cm="1">
        <f t="array" ref="C202">SUMPRODUCT((tbl_DataDraftApril26[Phase]=C$1)*(ISNUMBER(tbl_DataDraftApril26[Start]))*(ISNUMBER(tbl_DataDraftApril26[End]))*($A202&gt;tbl_DataDraftApril26[Start])*($A202&lt;tbl_DataDraftApril26[End]))</f>
        <v>12</v>
      </c>
      <c r="D202" s="125" cm="1">
        <f t="array" ref="D202">SUMPRODUCT((tbl_DataDraftApril26[Phase]=D$1)*(ISNUMBER(tbl_DataDraftApril26[Start]))*(ISNUMBER(tbl_DataDraftApril26[End]))*($A202&gt;tbl_DataDraftApril26[Start])*($A202&lt;tbl_DataDraftApril26[End]))</f>
        <v>0</v>
      </c>
      <c r="E202" s="125" cm="1">
        <f t="array" ref="E202">SUMPRODUCT((tbl_DataDraftApril26[Phase]=E$1)*(ISNUMBER(tbl_DataDraftApril26[Start]))*(ISNUMBER(tbl_DataDraftApril26[End]))*($A202&gt;tbl_DataDraftApril26[Start])*($A202&lt;tbl_DataDraftApril26[End]))</f>
        <v>5</v>
      </c>
    </row>
    <row r="203" spans="1:5">
      <c r="A203" s="131">
        <v>46071</v>
      </c>
      <c r="B203" s="125" cm="1">
        <f t="array" ref="B203">SUMPRODUCT((tbl_DataDraftApril26[Phase]=B$1)*(ISNUMBER(tbl_DataDraftApril26[Start]))*(ISNUMBER(tbl_DataDraftApril26[End]))*($A203&gt;tbl_DataDraftApril26[Start])*($A203&lt;tbl_DataDraftApril26[End]))</f>
        <v>35</v>
      </c>
      <c r="C203" s="125" cm="1">
        <f t="array" ref="C203">SUMPRODUCT((tbl_DataDraftApril26[Phase]=C$1)*(ISNUMBER(tbl_DataDraftApril26[Start]))*(ISNUMBER(tbl_DataDraftApril26[End]))*($A203&gt;tbl_DataDraftApril26[Start])*($A203&lt;tbl_DataDraftApril26[End]))</f>
        <v>12</v>
      </c>
      <c r="D203" s="125" cm="1">
        <f t="array" ref="D203">SUMPRODUCT((tbl_DataDraftApril26[Phase]=D$1)*(ISNUMBER(tbl_DataDraftApril26[Start]))*(ISNUMBER(tbl_DataDraftApril26[End]))*($A203&gt;tbl_DataDraftApril26[Start])*($A203&lt;tbl_DataDraftApril26[End]))</f>
        <v>0</v>
      </c>
      <c r="E203" s="125" cm="1">
        <f t="array" ref="E203">SUMPRODUCT((tbl_DataDraftApril26[Phase]=E$1)*(ISNUMBER(tbl_DataDraftApril26[Start]))*(ISNUMBER(tbl_DataDraftApril26[End]))*($A203&gt;tbl_DataDraftApril26[Start])*($A203&lt;tbl_DataDraftApril26[End]))</f>
        <v>5</v>
      </c>
    </row>
    <row r="204" spans="1:5">
      <c r="A204" s="131">
        <v>46072</v>
      </c>
      <c r="B204" s="125" cm="1">
        <f t="array" ref="B204">SUMPRODUCT((tbl_DataDraftApril26[Phase]=B$1)*(ISNUMBER(tbl_DataDraftApril26[Start]))*(ISNUMBER(tbl_DataDraftApril26[End]))*($A204&gt;tbl_DataDraftApril26[Start])*($A204&lt;tbl_DataDraftApril26[End]))</f>
        <v>35</v>
      </c>
      <c r="C204" s="125" cm="1">
        <f t="array" ref="C204">SUMPRODUCT((tbl_DataDraftApril26[Phase]=C$1)*(ISNUMBER(tbl_DataDraftApril26[Start]))*(ISNUMBER(tbl_DataDraftApril26[End]))*($A204&gt;tbl_DataDraftApril26[Start])*($A204&lt;tbl_DataDraftApril26[End]))</f>
        <v>12</v>
      </c>
      <c r="D204" s="125" cm="1">
        <f t="array" ref="D204">SUMPRODUCT((tbl_DataDraftApril26[Phase]=D$1)*(ISNUMBER(tbl_DataDraftApril26[Start]))*(ISNUMBER(tbl_DataDraftApril26[End]))*($A204&gt;tbl_DataDraftApril26[Start])*($A204&lt;tbl_DataDraftApril26[End]))</f>
        <v>0</v>
      </c>
      <c r="E204" s="125" cm="1">
        <f t="array" ref="E204">SUMPRODUCT((tbl_DataDraftApril26[Phase]=E$1)*(ISNUMBER(tbl_DataDraftApril26[Start]))*(ISNUMBER(tbl_DataDraftApril26[End]))*($A204&gt;tbl_DataDraftApril26[Start])*($A204&lt;tbl_DataDraftApril26[End]))</f>
        <v>5</v>
      </c>
    </row>
    <row r="205" spans="1:5">
      <c r="A205" s="131">
        <v>46073</v>
      </c>
      <c r="B205" s="125" cm="1">
        <f t="array" ref="B205">SUMPRODUCT((tbl_DataDraftApril26[Phase]=B$1)*(ISNUMBER(tbl_DataDraftApril26[Start]))*(ISNUMBER(tbl_DataDraftApril26[End]))*($A205&gt;tbl_DataDraftApril26[Start])*($A205&lt;tbl_DataDraftApril26[End]))</f>
        <v>35</v>
      </c>
      <c r="C205" s="125" cm="1">
        <f t="array" ref="C205">SUMPRODUCT((tbl_DataDraftApril26[Phase]=C$1)*(ISNUMBER(tbl_DataDraftApril26[Start]))*(ISNUMBER(tbl_DataDraftApril26[End]))*($A205&gt;tbl_DataDraftApril26[Start])*($A205&lt;tbl_DataDraftApril26[End]))</f>
        <v>12</v>
      </c>
      <c r="D205" s="125" cm="1">
        <f t="array" ref="D205">SUMPRODUCT((tbl_DataDraftApril26[Phase]=D$1)*(ISNUMBER(tbl_DataDraftApril26[Start]))*(ISNUMBER(tbl_DataDraftApril26[End]))*($A205&gt;tbl_DataDraftApril26[Start])*($A205&lt;tbl_DataDraftApril26[End]))</f>
        <v>0</v>
      </c>
      <c r="E205" s="125" cm="1">
        <f t="array" ref="E205">SUMPRODUCT((tbl_DataDraftApril26[Phase]=E$1)*(ISNUMBER(tbl_DataDraftApril26[Start]))*(ISNUMBER(tbl_DataDraftApril26[End]))*($A205&gt;tbl_DataDraftApril26[Start])*($A205&lt;tbl_DataDraftApril26[End]))</f>
        <v>5</v>
      </c>
    </row>
    <row r="206" spans="1:5">
      <c r="A206" s="131">
        <v>46074</v>
      </c>
      <c r="B206" s="125" cm="1">
        <f t="array" ref="B206">SUMPRODUCT((tbl_DataDraftApril26[Phase]=B$1)*(ISNUMBER(tbl_DataDraftApril26[Start]))*(ISNUMBER(tbl_DataDraftApril26[End]))*($A206&gt;tbl_DataDraftApril26[Start])*($A206&lt;tbl_DataDraftApril26[End]))</f>
        <v>36</v>
      </c>
      <c r="C206" s="125" cm="1">
        <f t="array" ref="C206">SUMPRODUCT((tbl_DataDraftApril26[Phase]=C$1)*(ISNUMBER(tbl_DataDraftApril26[Start]))*(ISNUMBER(tbl_DataDraftApril26[End]))*($A206&gt;tbl_DataDraftApril26[Start])*($A206&lt;tbl_DataDraftApril26[End]))</f>
        <v>12</v>
      </c>
      <c r="D206" s="125" cm="1">
        <f t="array" ref="D206">SUMPRODUCT((tbl_DataDraftApril26[Phase]=D$1)*(ISNUMBER(tbl_DataDraftApril26[Start]))*(ISNUMBER(tbl_DataDraftApril26[End]))*($A206&gt;tbl_DataDraftApril26[Start])*($A206&lt;tbl_DataDraftApril26[End]))</f>
        <v>0</v>
      </c>
      <c r="E206" s="125" cm="1">
        <f t="array" ref="E206">SUMPRODUCT((tbl_DataDraftApril26[Phase]=E$1)*(ISNUMBER(tbl_DataDraftApril26[Start]))*(ISNUMBER(tbl_DataDraftApril26[End]))*($A206&gt;tbl_DataDraftApril26[Start])*($A206&lt;tbl_DataDraftApril26[End]))</f>
        <v>5</v>
      </c>
    </row>
    <row r="207" spans="1:5">
      <c r="A207" s="131">
        <v>46075</v>
      </c>
      <c r="B207" s="125" cm="1">
        <f t="array" ref="B207">SUMPRODUCT((tbl_DataDraftApril26[Phase]=B$1)*(ISNUMBER(tbl_DataDraftApril26[Start]))*(ISNUMBER(tbl_DataDraftApril26[End]))*($A207&gt;tbl_DataDraftApril26[Start])*($A207&lt;tbl_DataDraftApril26[End]))</f>
        <v>36</v>
      </c>
      <c r="C207" s="125" cm="1">
        <f t="array" ref="C207">SUMPRODUCT((tbl_DataDraftApril26[Phase]=C$1)*(ISNUMBER(tbl_DataDraftApril26[Start]))*(ISNUMBER(tbl_DataDraftApril26[End]))*($A207&gt;tbl_DataDraftApril26[Start])*($A207&lt;tbl_DataDraftApril26[End]))</f>
        <v>12</v>
      </c>
      <c r="D207" s="125" cm="1">
        <f t="array" ref="D207">SUMPRODUCT((tbl_DataDraftApril26[Phase]=D$1)*(ISNUMBER(tbl_DataDraftApril26[Start]))*(ISNUMBER(tbl_DataDraftApril26[End]))*($A207&gt;tbl_DataDraftApril26[Start])*($A207&lt;tbl_DataDraftApril26[End]))</f>
        <v>0</v>
      </c>
      <c r="E207" s="125" cm="1">
        <f t="array" ref="E207">SUMPRODUCT((tbl_DataDraftApril26[Phase]=E$1)*(ISNUMBER(tbl_DataDraftApril26[Start]))*(ISNUMBER(tbl_DataDraftApril26[End]))*($A207&gt;tbl_DataDraftApril26[Start])*($A207&lt;tbl_DataDraftApril26[End]))</f>
        <v>5</v>
      </c>
    </row>
    <row r="208" spans="1:5">
      <c r="A208" s="131">
        <v>46076</v>
      </c>
      <c r="B208" s="125" cm="1">
        <f t="array" ref="B208">SUMPRODUCT((tbl_DataDraftApril26[Phase]=B$1)*(ISNUMBER(tbl_DataDraftApril26[Start]))*(ISNUMBER(tbl_DataDraftApril26[End]))*($A208&gt;tbl_DataDraftApril26[Start])*($A208&lt;tbl_DataDraftApril26[End]))</f>
        <v>36</v>
      </c>
      <c r="C208" s="125" cm="1">
        <f t="array" ref="C208">SUMPRODUCT((tbl_DataDraftApril26[Phase]=C$1)*(ISNUMBER(tbl_DataDraftApril26[Start]))*(ISNUMBER(tbl_DataDraftApril26[End]))*($A208&gt;tbl_DataDraftApril26[Start])*($A208&lt;tbl_DataDraftApril26[End]))</f>
        <v>12</v>
      </c>
      <c r="D208" s="125" cm="1">
        <f t="array" ref="D208">SUMPRODUCT((tbl_DataDraftApril26[Phase]=D$1)*(ISNUMBER(tbl_DataDraftApril26[Start]))*(ISNUMBER(tbl_DataDraftApril26[End]))*($A208&gt;tbl_DataDraftApril26[Start])*($A208&lt;tbl_DataDraftApril26[End]))</f>
        <v>0</v>
      </c>
      <c r="E208" s="125" cm="1">
        <f t="array" ref="E208">SUMPRODUCT((tbl_DataDraftApril26[Phase]=E$1)*(ISNUMBER(tbl_DataDraftApril26[Start]))*(ISNUMBER(tbl_DataDraftApril26[End]))*($A208&gt;tbl_DataDraftApril26[Start])*($A208&lt;tbl_DataDraftApril26[End]))</f>
        <v>5</v>
      </c>
    </row>
    <row r="209" spans="1:5">
      <c r="A209" s="131">
        <v>46077</v>
      </c>
      <c r="B209" s="125" cm="1">
        <f t="array" ref="B209">SUMPRODUCT((tbl_DataDraftApril26[Phase]=B$1)*(ISNUMBER(tbl_DataDraftApril26[Start]))*(ISNUMBER(tbl_DataDraftApril26[End]))*($A209&gt;tbl_DataDraftApril26[Start])*($A209&lt;tbl_DataDraftApril26[End]))</f>
        <v>38</v>
      </c>
      <c r="C209" s="125" cm="1">
        <f t="array" ref="C209">SUMPRODUCT((tbl_DataDraftApril26[Phase]=C$1)*(ISNUMBER(tbl_DataDraftApril26[Start]))*(ISNUMBER(tbl_DataDraftApril26[End]))*($A209&gt;tbl_DataDraftApril26[Start])*($A209&lt;tbl_DataDraftApril26[End]))</f>
        <v>12</v>
      </c>
      <c r="D209" s="125" cm="1">
        <f t="array" ref="D209">SUMPRODUCT((tbl_DataDraftApril26[Phase]=D$1)*(ISNUMBER(tbl_DataDraftApril26[Start]))*(ISNUMBER(tbl_DataDraftApril26[End]))*($A209&gt;tbl_DataDraftApril26[Start])*($A209&lt;tbl_DataDraftApril26[End]))</f>
        <v>0</v>
      </c>
      <c r="E209" s="125" cm="1">
        <f t="array" ref="E209">SUMPRODUCT((tbl_DataDraftApril26[Phase]=E$1)*(ISNUMBER(tbl_DataDraftApril26[Start]))*(ISNUMBER(tbl_DataDraftApril26[End]))*($A209&gt;tbl_DataDraftApril26[Start])*($A209&lt;tbl_DataDraftApril26[End]))</f>
        <v>5</v>
      </c>
    </row>
    <row r="210" spans="1:5">
      <c r="A210" s="131">
        <v>46078</v>
      </c>
      <c r="B210" s="125" cm="1">
        <f t="array" ref="B210">SUMPRODUCT((tbl_DataDraftApril26[Phase]=B$1)*(ISNUMBER(tbl_DataDraftApril26[Start]))*(ISNUMBER(tbl_DataDraftApril26[End]))*($A210&gt;tbl_DataDraftApril26[Start])*($A210&lt;tbl_DataDraftApril26[End]))</f>
        <v>37</v>
      </c>
      <c r="C210" s="125" cm="1">
        <f t="array" ref="C210">SUMPRODUCT((tbl_DataDraftApril26[Phase]=C$1)*(ISNUMBER(tbl_DataDraftApril26[Start]))*(ISNUMBER(tbl_DataDraftApril26[End]))*($A210&gt;tbl_DataDraftApril26[Start])*($A210&lt;tbl_DataDraftApril26[End]))</f>
        <v>12</v>
      </c>
      <c r="D210" s="125" cm="1">
        <f t="array" ref="D210">SUMPRODUCT((tbl_DataDraftApril26[Phase]=D$1)*(ISNUMBER(tbl_DataDraftApril26[Start]))*(ISNUMBER(tbl_DataDraftApril26[End]))*($A210&gt;tbl_DataDraftApril26[Start])*($A210&lt;tbl_DataDraftApril26[End]))</f>
        <v>0</v>
      </c>
      <c r="E210" s="125" cm="1">
        <f t="array" ref="E210">SUMPRODUCT((tbl_DataDraftApril26[Phase]=E$1)*(ISNUMBER(tbl_DataDraftApril26[Start]))*(ISNUMBER(tbl_DataDraftApril26[End]))*($A210&gt;tbl_DataDraftApril26[Start])*($A210&lt;tbl_DataDraftApril26[End]))</f>
        <v>5</v>
      </c>
    </row>
    <row r="211" spans="1:5">
      <c r="A211" s="131">
        <v>46079</v>
      </c>
      <c r="B211" s="125" cm="1">
        <f t="array" ref="B211">SUMPRODUCT((tbl_DataDraftApril26[Phase]=B$1)*(ISNUMBER(tbl_DataDraftApril26[Start]))*(ISNUMBER(tbl_DataDraftApril26[End]))*($A211&gt;tbl_DataDraftApril26[Start])*($A211&lt;tbl_DataDraftApril26[End]))</f>
        <v>37</v>
      </c>
      <c r="C211" s="125" cm="1">
        <f t="array" ref="C211">SUMPRODUCT((tbl_DataDraftApril26[Phase]=C$1)*(ISNUMBER(tbl_DataDraftApril26[Start]))*(ISNUMBER(tbl_DataDraftApril26[End]))*($A211&gt;tbl_DataDraftApril26[Start])*($A211&lt;tbl_DataDraftApril26[End]))</f>
        <v>12</v>
      </c>
      <c r="D211" s="125" cm="1">
        <f t="array" ref="D211">SUMPRODUCT((tbl_DataDraftApril26[Phase]=D$1)*(ISNUMBER(tbl_DataDraftApril26[Start]))*(ISNUMBER(tbl_DataDraftApril26[End]))*($A211&gt;tbl_DataDraftApril26[Start])*($A211&lt;tbl_DataDraftApril26[End]))</f>
        <v>0</v>
      </c>
      <c r="E211" s="125" cm="1">
        <f t="array" ref="E211">SUMPRODUCT((tbl_DataDraftApril26[Phase]=E$1)*(ISNUMBER(tbl_DataDraftApril26[Start]))*(ISNUMBER(tbl_DataDraftApril26[End]))*($A211&gt;tbl_DataDraftApril26[Start])*($A211&lt;tbl_DataDraftApril26[End]))</f>
        <v>5</v>
      </c>
    </row>
    <row r="212" spans="1:5">
      <c r="A212" s="131">
        <v>46080</v>
      </c>
      <c r="B212" s="125" cm="1">
        <f t="array" ref="B212">SUMPRODUCT((tbl_DataDraftApril26[Phase]=B$1)*(ISNUMBER(tbl_DataDraftApril26[Start]))*(ISNUMBER(tbl_DataDraftApril26[End]))*($A212&gt;tbl_DataDraftApril26[Start])*($A212&lt;tbl_DataDraftApril26[End]))</f>
        <v>37</v>
      </c>
      <c r="C212" s="125" cm="1">
        <f t="array" ref="C212">SUMPRODUCT((tbl_DataDraftApril26[Phase]=C$1)*(ISNUMBER(tbl_DataDraftApril26[Start]))*(ISNUMBER(tbl_DataDraftApril26[End]))*($A212&gt;tbl_DataDraftApril26[Start])*($A212&lt;tbl_DataDraftApril26[End]))</f>
        <v>12</v>
      </c>
      <c r="D212" s="125" cm="1">
        <f t="array" ref="D212">SUMPRODUCT((tbl_DataDraftApril26[Phase]=D$1)*(ISNUMBER(tbl_DataDraftApril26[Start]))*(ISNUMBER(tbl_DataDraftApril26[End]))*($A212&gt;tbl_DataDraftApril26[Start])*($A212&lt;tbl_DataDraftApril26[End]))</f>
        <v>0</v>
      </c>
      <c r="E212" s="125" cm="1">
        <f t="array" ref="E212">SUMPRODUCT((tbl_DataDraftApril26[Phase]=E$1)*(ISNUMBER(tbl_DataDraftApril26[Start]))*(ISNUMBER(tbl_DataDraftApril26[End]))*($A212&gt;tbl_DataDraftApril26[Start])*($A212&lt;tbl_DataDraftApril26[End]))</f>
        <v>5</v>
      </c>
    </row>
    <row r="213" spans="1:5">
      <c r="A213" s="131">
        <v>46081</v>
      </c>
      <c r="B213" s="125" cm="1">
        <f t="array" ref="B213">SUMPRODUCT((tbl_DataDraftApril26[Phase]=B$1)*(ISNUMBER(tbl_DataDraftApril26[Start]))*(ISNUMBER(tbl_DataDraftApril26[End]))*($A213&gt;tbl_DataDraftApril26[Start])*($A213&lt;tbl_DataDraftApril26[End]))</f>
        <v>37</v>
      </c>
      <c r="C213" s="125" cm="1">
        <f t="array" ref="C213">SUMPRODUCT((tbl_DataDraftApril26[Phase]=C$1)*(ISNUMBER(tbl_DataDraftApril26[Start]))*(ISNUMBER(tbl_DataDraftApril26[End]))*($A213&gt;tbl_DataDraftApril26[Start])*($A213&lt;tbl_DataDraftApril26[End]))</f>
        <v>8</v>
      </c>
      <c r="D213" s="125" cm="1">
        <f t="array" ref="D213">SUMPRODUCT((tbl_DataDraftApril26[Phase]=D$1)*(ISNUMBER(tbl_DataDraftApril26[Start]))*(ISNUMBER(tbl_DataDraftApril26[End]))*($A213&gt;tbl_DataDraftApril26[Start])*($A213&lt;tbl_DataDraftApril26[End]))</f>
        <v>0</v>
      </c>
      <c r="E213" s="125" cm="1">
        <f t="array" ref="E213">SUMPRODUCT((tbl_DataDraftApril26[Phase]=E$1)*(ISNUMBER(tbl_DataDraftApril26[Start]))*(ISNUMBER(tbl_DataDraftApril26[End]))*($A213&gt;tbl_DataDraftApril26[Start])*($A213&lt;tbl_DataDraftApril26[End]))</f>
        <v>5</v>
      </c>
    </row>
    <row r="214" spans="1:5">
      <c r="A214" s="131">
        <v>46082</v>
      </c>
      <c r="B214" s="125" cm="1">
        <f t="array" ref="B214">SUMPRODUCT((tbl_DataDraftApril26[Phase]=B$1)*(ISNUMBER(tbl_DataDraftApril26[Start]))*(ISNUMBER(tbl_DataDraftApril26[End]))*($A214&gt;tbl_DataDraftApril26[Start])*($A214&lt;tbl_DataDraftApril26[End]))</f>
        <v>37</v>
      </c>
      <c r="C214" s="125" cm="1">
        <f t="array" ref="C214">SUMPRODUCT((tbl_DataDraftApril26[Phase]=C$1)*(ISNUMBER(tbl_DataDraftApril26[Start]))*(ISNUMBER(tbl_DataDraftApril26[End]))*($A214&gt;tbl_DataDraftApril26[Start])*($A214&lt;tbl_DataDraftApril26[End]))</f>
        <v>8</v>
      </c>
      <c r="D214" s="125" cm="1">
        <f t="array" ref="D214">SUMPRODUCT((tbl_DataDraftApril26[Phase]=D$1)*(ISNUMBER(tbl_DataDraftApril26[Start]))*(ISNUMBER(tbl_DataDraftApril26[End]))*($A214&gt;tbl_DataDraftApril26[Start])*($A214&lt;tbl_DataDraftApril26[End]))</f>
        <v>0</v>
      </c>
      <c r="E214" s="125" cm="1">
        <f t="array" ref="E214">SUMPRODUCT((tbl_DataDraftApril26[Phase]=E$1)*(ISNUMBER(tbl_DataDraftApril26[Start]))*(ISNUMBER(tbl_DataDraftApril26[End]))*($A214&gt;tbl_DataDraftApril26[Start])*($A214&lt;tbl_DataDraftApril26[End]))</f>
        <v>5</v>
      </c>
    </row>
    <row r="215" spans="1:5">
      <c r="A215" s="131">
        <v>46083</v>
      </c>
      <c r="B215" s="125" cm="1">
        <f t="array" ref="B215">SUMPRODUCT((tbl_DataDraftApril26[Phase]=B$1)*(ISNUMBER(tbl_DataDraftApril26[Start]))*(ISNUMBER(tbl_DataDraftApril26[End]))*($A215&gt;tbl_DataDraftApril26[Start])*($A215&lt;tbl_DataDraftApril26[End]))</f>
        <v>37</v>
      </c>
      <c r="C215" s="125" cm="1">
        <f t="array" ref="C215">SUMPRODUCT((tbl_DataDraftApril26[Phase]=C$1)*(ISNUMBER(tbl_DataDraftApril26[Start]))*(ISNUMBER(tbl_DataDraftApril26[End]))*($A215&gt;tbl_DataDraftApril26[Start])*($A215&lt;tbl_DataDraftApril26[End]))</f>
        <v>10</v>
      </c>
      <c r="D215" s="125" cm="1">
        <f t="array" ref="D215">SUMPRODUCT((tbl_DataDraftApril26[Phase]=D$1)*(ISNUMBER(tbl_DataDraftApril26[Start]))*(ISNUMBER(tbl_DataDraftApril26[End]))*($A215&gt;tbl_DataDraftApril26[Start])*($A215&lt;tbl_DataDraftApril26[End]))</f>
        <v>0</v>
      </c>
      <c r="E215" s="125" cm="1">
        <f t="array" ref="E215">SUMPRODUCT((tbl_DataDraftApril26[Phase]=E$1)*(ISNUMBER(tbl_DataDraftApril26[Start]))*(ISNUMBER(tbl_DataDraftApril26[End]))*($A215&gt;tbl_DataDraftApril26[Start])*($A215&lt;tbl_DataDraftApril26[End]))</f>
        <v>5</v>
      </c>
    </row>
    <row r="216" spans="1:5">
      <c r="A216" s="131">
        <v>46084</v>
      </c>
      <c r="B216" s="125" cm="1">
        <f t="array" ref="B216">SUMPRODUCT((tbl_DataDraftApril26[Phase]=B$1)*(ISNUMBER(tbl_DataDraftApril26[Start]))*(ISNUMBER(tbl_DataDraftApril26[End]))*($A216&gt;tbl_DataDraftApril26[Start])*($A216&lt;tbl_DataDraftApril26[End]))</f>
        <v>37</v>
      </c>
      <c r="C216" s="125" cm="1">
        <f t="array" ref="C216">SUMPRODUCT((tbl_DataDraftApril26[Phase]=C$1)*(ISNUMBER(tbl_DataDraftApril26[Start]))*(ISNUMBER(tbl_DataDraftApril26[End]))*($A216&gt;tbl_DataDraftApril26[Start])*($A216&lt;tbl_DataDraftApril26[End]))</f>
        <v>10</v>
      </c>
      <c r="D216" s="125" cm="1">
        <f t="array" ref="D216">SUMPRODUCT((tbl_DataDraftApril26[Phase]=D$1)*(ISNUMBER(tbl_DataDraftApril26[Start]))*(ISNUMBER(tbl_DataDraftApril26[End]))*($A216&gt;tbl_DataDraftApril26[Start])*($A216&lt;tbl_DataDraftApril26[End]))</f>
        <v>0</v>
      </c>
      <c r="E216" s="125" cm="1">
        <f t="array" ref="E216">SUMPRODUCT((tbl_DataDraftApril26[Phase]=E$1)*(ISNUMBER(tbl_DataDraftApril26[Start]))*(ISNUMBER(tbl_DataDraftApril26[End]))*($A216&gt;tbl_DataDraftApril26[Start])*($A216&lt;tbl_DataDraftApril26[End]))</f>
        <v>5</v>
      </c>
    </row>
    <row r="217" spans="1:5">
      <c r="A217" s="131">
        <v>46085</v>
      </c>
      <c r="B217" s="125" cm="1">
        <f t="array" ref="B217">SUMPRODUCT((tbl_DataDraftApril26[Phase]=B$1)*(ISNUMBER(tbl_DataDraftApril26[Start]))*(ISNUMBER(tbl_DataDraftApril26[End]))*($A217&gt;tbl_DataDraftApril26[Start])*($A217&lt;tbl_DataDraftApril26[End]))</f>
        <v>37</v>
      </c>
      <c r="C217" s="125" cm="1">
        <f t="array" ref="C217">SUMPRODUCT((tbl_DataDraftApril26[Phase]=C$1)*(ISNUMBER(tbl_DataDraftApril26[Start]))*(ISNUMBER(tbl_DataDraftApril26[End]))*($A217&gt;tbl_DataDraftApril26[Start])*($A217&lt;tbl_DataDraftApril26[End]))</f>
        <v>10</v>
      </c>
      <c r="D217" s="125" cm="1">
        <f t="array" ref="D217">SUMPRODUCT((tbl_DataDraftApril26[Phase]=D$1)*(ISNUMBER(tbl_DataDraftApril26[Start]))*(ISNUMBER(tbl_DataDraftApril26[End]))*($A217&gt;tbl_DataDraftApril26[Start])*($A217&lt;tbl_DataDraftApril26[End]))</f>
        <v>0</v>
      </c>
      <c r="E217" s="125" cm="1">
        <f t="array" ref="E217">SUMPRODUCT((tbl_DataDraftApril26[Phase]=E$1)*(ISNUMBER(tbl_DataDraftApril26[Start]))*(ISNUMBER(tbl_DataDraftApril26[End]))*($A217&gt;tbl_DataDraftApril26[Start])*($A217&lt;tbl_DataDraftApril26[End]))</f>
        <v>5</v>
      </c>
    </row>
    <row r="218" spans="1:5">
      <c r="A218" s="131">
        <v>46086</v>
      </c>
      <c r="B218" s="125" cm="1">
        <f t="array" ref="B218">SUMPRODUCT((tbl_DataDraftApril26[Phase]=B$1)*(ISNUMBER(tbl_DataDraftApril26[Start]))*(ISNUMBER(tbl_DataDraftApril26[End]))*($A218&gt;tbl_DataDraftApril26[Start])*($A218&lt;tbl_DataDraftApril26[End]))</f>
        <v>37</v>
      </c>
      <c r="C218" s="125" cm="1">
        <f t="array" ref="C218">SUMPRODUCT((tbl_DataDraftApril26[Phase]=C$1)*(ISNUMBER(tbl_DataDraftApril26[Start]))*(ISNUMBER(tbl_DataDraftApril26[End]))*($A218&gt;tbl_DataDraftApril26[Start])*($A218&lt;tbl_DataDraftApril26[End]))</f>
        <v>10</v>
      </c>
      <c r="D218" s="125" cm="1">
        <f t="array" ref="D218">SUMPRODUCT((tbl_DataDraftApril26[Phase]=D$1)*(ISNUMBER(tbl_DataDraftApril26[Start]))*(ISNUMBER(tbl_DataDraftApril26[End]))*($A218&gt;tbl_DataDraftApril26[Start])*($A218&lt;tbl_DataDraftApril26[End]))</f>
        <v>0</v>
      </c>
      <c r="E218" s="125" cm="1">
        <f t="array" ref="E218">SUMPRODUCT((tbl_DataDraftApril26[Phase]=E$1)*(ISNUMBER(tbl_DataDraftApril26[Start]))*(ISNUMBER(tbl_DataDraftApril26[End]))*($A218&gt;tbl_DataDraftApril26[Start])*($A218&lt;tbl_DataDraftApril26[End]))</f>
        <v>5</v>
      </c>
    </row>
    <row r="219" spans="1:5">
      <c r="A219" s="131">
        <v>46087</v>
      </c>
      <c r="B219" s="125" cm="1">
        <f t="array" ref="B219">SUMPRODUCT((tbl_DataDraftApril26[Phase]=B$1)*(ISNUMBER(tbl_DataDraftApril26[Start]))*(ISNUMBER(tbl_DataDraftApril26[End]))*($A219&gt;tbl_DataDraftApril26[Start])*($A219&lt;tbl_DataDraftApril26[End]))</f>
        <v>37</v>
      </c>
      <c r="C219" s="125" cm="1">
        <f t="array" ref="C219">SUMPRODUCT((tbl_DataDraftApril26[Phase]=C$1)*(ISNUMBER(tbl_DataDraftApril26[Start]))*(ISNUMBER(tbl_DataDraftApril26[End]))*($A219&gt;tbl_DataDraftApril26[Start])*($A219&lt;tbl_DataDraftApril26[End]))</f>
        <v>10</v>
      </c>
      <c r="D219" s="125" cm="1">
        <f t="array" ref="D219">SUMPRODUCT((tbl_DataDraftApril26[Phase]=D$1)*(ISNUMBER(tbl_DataDraftApril26[Start]))*(ISNUMBER(tbl_DataDraftApril26[End]))*($A219&gt;tbl_DataDraftApril26[Start])*($A219&lt;tbl_DataDraftApril26[End]))</f>
        <v>0</v>
      </c>
      <c r="E219" s="125" cm="1">
        <f t="array" ref="E219">SUMPRODUCT((tbl_DataDraftApril26[Phase]=E$1)*(ISNUMBER(tbl_DataDraftApril26[Start]))*(ISNUMBER(tbl_DataDraftApril26[End]))*($A219&gt;tbl_DataDraftApril26[Start])*($A219&lt;tbl_DataDraftApril26[End]))</f>
        <v>5</v>
      </c>
    </row>
    <row r="220" spans="1:5">
      <c r="A220" s="131">
        <v>46088</v>
      </c>
      <c r="B220" s="125" cm="1">
        <f t="array" ref="B220">SUMPRODUCT((tbl_DataDraftApril26[Phase]=B$1)*(ISNUMBER(tbl_DataDraftApril26[Start]))*(ISNUMBER(tbl_DataDraftApril26[End]))*($A220&gt;tbl_DataDraftApril26[Start])*($A220&lt;tbl_DataDraftApril26[End]))</f>
        <v>37</v>
      </c>
      <c r="C220" s="125" cm="1">
        <f t="array" ref="C220">SUMPRODUCT((tbl_DataDraftApril26[Phase]=C$1)*(ISNUMBER(tbl_DataDraftApril26[Start]))*(ISNUMBER(tbl_DataDraftApril26[End]))*($A220&gt;tbl_DataDraftApril26[Start])*($A220&lt;tbl_DataDraftApril26[End]))</f>
        <v>10</v>
      </c>
      <c r="D220" s="125" cm="1">
        <f t="array" ref="D220">SUMPRODUCT((tbl_DataDraftApril26[Phase]=D$1)*(ISNUMBER(tbl_DataDraftApril26[Start]))*(ISNUMBER(tbl_DataDraftApril26[End]))*($A220&gt;tbl_DataDraftApril26[Start])*($A220&lt;tbl_DataDraftApril26[End]))</f>
        <v>0</v>
      </c>
      <c r="E220" s="125" cm="1">
        <f t="array" ref="E220">SUMPRODUCT((tbl_DataDraftApril26[Phase]=E$1)*(ISNUMBER(tbl_DataDraftApril26[Start]))*(ISNUMBER(tbl_DataDraftApril26[End]))*($A220&gt;tbl_DataDraftApril26[Start])*($A220&lt;tbl_DataDraftApril26[End]))</f>
        <v>5</v>
      </c>
    </row>
    <row r="221" spans="1:5">
      <c r="A221" s="131">
        <v>46089</v>
      </c>
      <c r="B221" s="125" cm="1">
        <f t="array" ref="B221">SUMPRODUCT((tbl_DataDraftApril26[Phase]=B$1)*(ISNUMBER(tbl_DataDraftApril26[Start]))*(ISNUMBER(tbl_DataDraftApril26[End]))*($A221&gt;tbl_DataDraftApril26[Start])*($A221&lt;tbl_DataDraftApril26[End]))</f>
        <v>37</v>
      </c>
      <c r="C221" s="125" cm="1">
        <f t="array" ref="C221">SUMPRODUCT((tbl_DataDraftApril26[Phase]=C$1)*(ISNUMBER(tbl_DataDraftApril26[Start]))*(ISNUMBER(tbl_DataDraftApril26[End]))*($A221&gt;tbl_DataDraftApril26[Start])*($A221&lt;tbl_DataDraftApril26[End]))</f>
        <v>10</v>
      </c>
      <c r="D221" s="125" cm="1">
        <f t="array" ref="D221">SUMPRODUCT((tbl_DataDraftApril26[Phase]=D$1)*(ISNUMBER(tbl_DataDraftApril26[Start]))*(ISNUMBER(tbl_DataDraftApril26[End]))*($A221&gt;tbl_DataDraftApril26[Start])*($A221&lt;tbl_DataDraftApril26[End]))</f>
        <v>0</v>
      </c>
      <c r="E221" s="125" cm="1">
        <f t="array" ref="E221">SUMPRODUCT((tbl_DataDraftApril26[Phase]=E$1)*(ISNUMBER(tbl_DataDraftApril26[Start]))*(ISNUMBER(tbl_DataDraftApril26[End]))*($A221&gt;tbl_DataDraftApril26[Start])*($A221&lt;tbl_DataDraftApril26[End]))</f>
        <v>5</v>
      </c>
    </row>
    <row r="222" spans="1:5">
      <c r="A222" s="131">
        <v>46090</v>
      </c>
      <c r="B222" s="125" cm="1">
        <f t="array" ref="B222">SUMPRODUCT((tbl_DataDraftApril26[Phase]=B$1)*(ISNUMBER(tbl_DataDraftApril26[Start]))*(ISNUMBER(tbl_DataDraftApril26[End]))*($A222&gt;tbl_DataDraftApril26[Start])*($A222&lt;tbl_DataDraftApril26[End]))</f>
        <v>37</v>
      </c>
      <c r="C222" s="125" cm="1">
        <f t="array" ref="C222">SUMPRODUCT((tbl_DataDraftApril26[Phase]=C$1)*(ISNUMBER(tbl_DataDraftApril26[Start]))*(ISNUMBER(tbl_DataDraftApril26[End]))*($A222&gt;tbl_DataDraftApril26[Start])*($A222&lt;tbl_DataDraftApril26[End]))</f>
        <v>10</v>
      </c>
      <c r="D222" s="125" cm="1">
        <f t="array" ref="D222">SUMPRODUCT((tbl_DataDraftApril26[Phase]=D$1)*(ISNUMBER(tbl_DataDraftApril26[Start]))*(ISNUMBER(tbl_DataDraftApril26[End]))*($A222&gt;tbl_DataDraftApril26[Start])*($A222&lt;tbl_DataDraftApril26[End]))</f>
        <v>0</v>
      </c>
      <c r="E222" s="125" cm="1">
        <f t="array" ref="E222">SUMPRODUCT((tbl_DataDraftApril26[Phase]=E$1)*(ISNUMBER(tbl_DataDraftApril26[Start]))*(ISNUMBER(tbl_DataDraftApril26[End]))*($A222&gt;tbl_DataDraftApril26[Start])*($A222&lt;tbl_DataDraftApril26[End]))</f>
        <v>5</v>
      </c>
    </row>
    <row r="223" spans="1:5">
      <c r="A223" s="131">
        <v>46091</v>
      </c>
      <c r="B223" s="125" cm="1">
        <f t="array" ref="B223">SUMPRODUCT((tbl_DataDraftApril26[Phase]=B$1)*(ISNUMBER(tbl_DataDraftApril26[Start]))*(ISNUMBER(tbl_DataDraftApril26[End]))*($A223&gt;tbl_DataDraftApril26[Start])*($A223&lt;tbl_DataDraftApril26[End]))</f>
        <v>37</v>
      </c>
      <c r="C223" s="125" cm="1">
        <f t="array" ref="C223">SUMPRODUCT((tbl_DataDraftApril26[Phase]=C$1)*(ISNUMBER(tbl_DataDraftApril26[Start]))*(ISNUMBER(tbl_DataDraftApril26[End]))*($A223&gt;tbl_DataDraftApril26[Start])*($A223&lt;tbl_DataDraftApril26[End]))</f>
        <v>10</v>
      </c>
      <c r="D223" s="125" cm="1">
        <f t="array" ref="D223">SUMPRODUCT((tbl_DataDraftApril26[Phase]=D$1)*(ISNUMBER(tbl_DataDraftApril26[Start]))*(ISNUMBER(tbl_DataDraftApril26[End]))*($A223&gt;tbl_DataDraftApril26[Start])*($A223&lt;tbl_DataDraftApril26[End]))</f>
        <v>0</v>
      </c>
      <c r="E223" s="125" cm="1">
        <f t="array" ref="E223">SUMPRODUCT((tbl_DataDraftApril26[Phase]=E$1)*(ISNUMBER(tbl_DataDraftApril26[Start]))*(ISNUMBER(tbl_DataDraftApril26[End]))*($A223&gt;tbl_DataDraftApril26[Start])*($A223&lt;tbl_DataDraftApril26[End]))</f>
        <v>5</v>
      </c>
    </row>
    <row r="224" spans="1:5">
      <c r="A224" s="131">
        <v>46092</v>
      </c>
      <c r="B224" s="125" cm="1">
        <f t="array" ref="B224">SUMPRODUCT((tbl_DataDraftApril26[Phase]=B$1)*(ISNUMBER(tbl_DataDraftApril26[Start]))*(ISNUMBER(tbl_DataDraftApril26[End]))*($A224&gt;tbl_DataDraftApril26[Start])*($A224&lt;tbl_DataDraftApril26[End]))</f>
        <v>37</v>
      </c>
      <c r="C224" s="125" cm="1">
        <f t="array" ref="C224">SUMPRODUCT((tbl_DataDraftApril26[Phase]=C$1)*(ISNUMBER(tbl_DataDraftApril26[Start]))*(ISNUMBER(tbl_DataDraftApril26[End]))*($A224&gt;tbl_DataDraftApril26[Start])*($A224&lt;tbl_DataDraftApril26[End]))</f>
        <v>10</v>
      </c>
      <c r="D224" s="125" cm="1">
        <f t="array" ref="D224">SUMPRODUCT((tbl_DataDraftApril26[Phase]=D$1)*(ISNUMBER(tbl_DataDraftApril26[Start]))*(ISNUMBER(tbl_DataDraftApril26[End]))*($A224&gt;tbl_DataDraftApril26[Start])*($A224&lt;tbl_DataDraftApril26[End]))</f>
        <v>0</v>
      </c>
      <c r="E224" s="125" cm="1">
        <f t="array" ref="E224">SUMPRODUCT((tbl_DataDraftApril26[Phase]=E$1)*(ISNUMBER(tbl_DataDraftApril26[Start]))*(ISNUMBER(tbl_DataDraftApril26[End]))*($A224&gt;tbl_DataDraftApril26[Start])*($A224&lt;tbl_DataDraftApril26[End]))</f>
        <v>5</v>
      </c>
    </row>
    <row r="225" spans="1:5">
      <c r="A225" s="131">
        <v>46093</v>
      </c>
      <c r="B225" s="125" cm="1">
        <f t="array" ref="B225">SUMPRODUCT((tbl_DataDraftApril26[Phase]=B$1)*(ISNUMBER(tbl_DataDraftApril26[Start]))*(ISNUMBER(tbl_DataDraftApril26[End]))*($A225&gt;tbl_DataDraftApril26[Start])*($A225&lt;tbl_DataDraftApril26[End]))</f>
        <v>37</v>
      </c>
      <c r="C225" s="125" cm="1">
        <f t="array" ref="C225">SUMPRODUCT((tbl_DataDraftApril26[Phase]=C$1)*(ISNUMBER(tbl_DataDraftApril26[Start]))*(ISNUMBER(tbl_DataDraftApril26[End]))*($A225&gt;tbl_DataDraftApril26[Start])*($A225&lt;tbl_DataDraftApril26[End]))</f>
        <v>10</v>
      </c>
      <c r="D225" s="125" cm="1">
        <f t="array" ref="D225">SUMPRODUCT((tbl_DataDraftApril26[Phase]=D$1)*(ISNUMBER(tbl_DataDraftApril26[Start]))*(ISNUMBER(tbl_DataDraftApril26[End]))*($A225&gt;tbl_DataDraftApril26[Start])*($A225&lt;tbl_DataDraftApril26[End]))</f>
        <v>0</v>
      </c>
      <c r="E225" s="125" cm="1">
        <f t="array" ref="E225">SUMPRODUCT((tbl_DataDraftApril26[Phase]=E$1)*(ISNUMBER(tbl_DataDraftApril26[Start]))*(ISNUMBER(tbl_DataDraftApril26[End]))*($A225&gt;tbl_DataDraftApril26[Start])*($A225&lt;tbl_DataDraftApril26[End]))</f>
        <v>5</v>
      </c>
    </row>
    <row r="226" spans="1:5">
      <c r="A226" s="131">
        <v>46094</v>
      </c>
      <c r="B226" s="125" cm="1">
        <f t="array" ref="B226">SUMPRODUCT((tbl_DataDraftApril26[Phase]=B$1)*(ISNUMBER(tbl_DataDraftApril26[Start]))*(ISNUMBER(tbl_DataDraftApril26[End]))*($A226&gt;tbl_DataDraftApril26[Start])*($A226&lt;tbl_DataDraftApril26[End]))</f>
        <v>37</v>
      </c>
      <c r="C226" s="125" cm="1">
        <f t="array" ref="C226">SUMPRODUCT((tbl_DataDraftApril26[Phase]=C$1)*(ISNUMBER(tbl_DataDraftApril26[Start]))*(ISNUMBER(tbl_DataDraftApril26[End]))*($A226&gt;tbl_DataDraftApril26[Start])*($A226&lt;tbl_DataDraftApril26[End]))</f>
        <v>10</v>
      </c>
      <c r="D226" s="125" cm="1">
        <f t="array" ref="D226">SUMPRODUCT((tbl_DataDraftApril26[Phase]=D$1)*(ISNUMBER(tbl_DataDraftApril26[Start]))*(ISNUMBER(tbl_DataDraftApril26[End]))*($A226&gt;tbl_DataDraftApril26[Start])*($A226&lt;tbl_DataDraftApril26[End]))</f>
        <v>0</v>
      </c>
      <c r="E226" s="125" cm="1">
        <f t="array" ref="E226">SUMPRODUCT((tbl_DataDraftApril26[Phase]=E$1)*(ISNUMBER(tbl_DataDraftApril26[Start]))*(ISNUMBER(tbl_DataDraftApril26[End]))*($A226&gt;tbl_DataDraftApril26[Start])*($A226&lt;tbl_DataDraftApril26[End]))</f>
        <v>5</v>
      </c>
    </row>
    <row r="227" spans="1:5">
      <c r="A227" s="131">
        <v>46095</v>
      </c>
      <c r="B227" s="125" cm="1">
        <f t="array" ref="B227">SUMPRODUCT((tbl_DataDraftApril26[Phase]=B$1)*(ISNUMBER(tbl_DataDraftApril26[Start]))*(ISNUMBER(tbl_DataDraftApril26[End]))*($A227&gt;tbl_DataDraftApril26[Start])*($A227&lt;tbl_DataDraftApril26[End]))</f>
        <v>37</v>
      </c>
      <c r="C227" s="125" cm="1">
        <f t="array" ref="C227">SUMPRODUCT((tbl_DataDraftApril26[Phase]=C$1)*(ISNUMBER(tbl_DataDraftApril26[Start]))*(ISNUMBER(tbl_DataDraftApril26[End]))*($A227&gt;tbl_DataDraftApril26[Start])*($A227&lt;tbl_DataDraftApril26[End]))</f>
        <v>10</v>
      </c>
      <c r="D227" s="125" cm="1">
        <f t="array" ref="D227">SUMPRODUCT((tbl_DataDraftApril26[Phase]=D$1)*(ISNUMBER(tbl_DataDraftApril26[Start]))*(ISNUMBER(tbl_DataDraftApril26[End]))*($A227&gt;tbl_DataDraftApril26[Start])*($A227&lt;tbl_DataDraftApril26[End]))</f>
        <v>0</v>
      </c>
      <c r="E227" s="125" cm="1">
        <f t="array" ref="E227">SUMPRODUCT((tbl_DataDraftApril26[Phase]=E$1)*(ISNUMBER(tbl_DataDraftApril26[Start]))*(ISNUMBER(tbl_DataDraftApril26[End]))*($A227&gt;tbl_DataDraftApril26[Start])*($A227&lt;tbl_DataDraftApril26[End]))</f>
        <v>5</v>
      </c>
    </row>
    <row r="228" spans="1:5">
      <c r="A228" s="131">
        <v>46096</v>
      </c>
      <c r="B228" s="125" cm="1">
        <f t="array" ref="B228">SUMPRODUCT((tbl_DataDraftApril26[Phase]=B$1)*(ISNUMBER(tbl_DataDraftApril26[Start]))*(ISNUMBER(tbl_DataDraftApril26[End]))*($A228&gt;tbl_DataDraftApril26[Start])*($A228&lt;tbl_DataDraftApril26[End]))</f>
        <v>37</v>
      </c>
      <c r="C228" s="125" cm="1">
        <f t="array" ref="C228">SUMPRODUCT((tbl_DataDraftApril26[Phase]=C$1)*(ISNUMBER(tbl_DataDraftApril26[Start]))*(ISNUMBER(tbl_DataDraftApril26[End]))*($A228&gt;tbl_DataDraftApril26[Start])*($A228&lt;tbl_DataDraftApril26[End]))</f>
        <v>10</v>
      </c>
      <c r="D228" s="125" cm="1">
        <f t="array" ref="D228">SUMPRODUCT((tbl_DataDraftApril26[Phase]=D$1)*(ISNUMBER(tbl_DataDraftApril26[Start]))*(ISNUMBER(tbl_DataDraftApril26[End]))*($A228&gt;tbl_DataDraftApril26[Start])*($A228&lt;tbl_DataDraftApril26[End]))</f>
        <v>0</v>
      </c>
      <c r="E228" s="125" cm="1">
        <f t="array" ref="E228">SUMPRODUCT((tbl_DataDraftApril26[Phase]=E$1)*(ISNUMBER(tbl_DataDraftApril26[Start]))*(ISNUMBER(tbl_DataDraftApril26[End]))*($A228&gt;tbl_DataDraftApril26[Start])*($A228&lt;tbl_DataDraftApril26[End]))</f>
        <v>5</v>
      </c>
    </row>
    <row r="229" spans="1:5">
      <c r="A229" s="131">
        <v>46097</v>
      </c>
      <c r="B229" s="125" cm="1">
        <f t="array" ref="B229">SUMPRODUCT((tbl_DataDraftApril26[Phase]=B$1)*(ISNUMBER(tbl_DataDraftApril26[Start]))*(ISNUMBER(tbl_DataDraftApril26[End]))*($A229&gt;tbl_DataDraftApril26[Start])*($A229&lt;tbl_DataDraftApril26[End]))</f>
        <v>36</v>
      </c>
      <c r="C229" s="125" cm="1">
        <f t="array" ref="C229">SUMPRODUCT((tbl_DataDraftApril26[Phase]=C$1)*(ISNUMBER(tbl_DataDraftApril26[Start]))*(ISNUMBER(tbl_DataDraftApril26[End]))*($A229&gt;tbl_DataDraftApril26[Start])*($A229&lt;tbl_DataDraftApril26[End]))</f>
        <v>10</v>
      </c>
      <c r="D229" s="125" cm="1">
        <f t="array" ref="D229">SUMPRODUCT((tbl_DataDraftApril26[Phase]=D$1)*(ISNUMBER(tbl_DataDraftApril26[Start]))*(ISNUMBER(tbl_DataDraftApril26[End]))*($A229&gt;tbl_DataDraftApril26[Start])*($A229&lt;tbl_DataDraftApril26[End]))</f>
        <v>0</v>
      </c>
      <c r="E229" s="125" cm="1">
        <f t="array" ref="E229">SUMPRODUCT((tbl_DataDraftApril26[Phase]=E$1)*(ISNUMBER(tbl_DataDraftApril26[Start]))*(ISNUMBER(tbl_DataDraftApril26[End]))*($A229&gt;tbl_DataDraftApril26[Start])*($A229&lt;tbl_DataDraftApril26[End]))</f>
        <v>5</v>
      </c>
    </row>
    <row r="230" spans="1:5">
      <c r="A230" s="131">
        <v>46098</v>
      </c>
      <c r="B230" s="125" cm="1">
        <f t="array" ref="B230">SUMPRODUCT((tbl_DataDraftApril26[Phase]=B$1)*(ISNUMBER(tbl_DataDraftApril26[Start]))*(ISNUMBER(tbl_DataDraftApril26[End]))*($A230&gt;tbl_DataDraftApril26[Start])*($A230&lt;tbl_DataDraftApril26[End]))</f>
        <v>37</v>
      </c>
      <c r="C230" s="125" cm="1">
        <f t="array" ref="C230">SUMPRODUCT((tbl_DataDraftApril26[Phase]=C$1)*(ISNUMBER(tbl_DataDraftApril26[Start]))*(ISNUMBER(tbl_DataDraftApril26[End]))*($A230&gt;tbl_DataDraftApril26[Start])*($A230&lt;tbl_DataDraftApril26[End]))</f>
        <v>10</v>
      </c>
      <c r="D230" s="125" cm="1">
        <f t="array" ref="D230">SUMPRODUCT((tbl_DataDraftApril26[Phase]=D$1)*(ISNUMBER(tbl_DataDraftApril26[Start]))*(ISNUMBER(tbl_DataDraftApril26[End]))*($A230&gt;tbl_DataDraftApril26[Start])*($A230&lt;tbl_DataDraftApril26[End]))</f>
        <v>0</v>
      </c>
      <c r="E230" s="125" cm="1">
        <f t="array" ref="E230">SUMPRODUCT((tbl_DataDraftApril26[Phase]=E$1)*(ISNUMBER(tbl_DataDraftApril26[Start]))*(ISNUMBER(tbl_DataDraftApril26[End]))*($A230&gt;tbl_DataDraftApril26[Start])*($A230&lt;tbl_DataDraftApril26[End]))</f>
        <v>5</v>
      </c>
    </row>
    <row r="231" spans="1:5">
      <c r="A231" s="131">
        <v>46099</v>
      </c>
      <c r="B231" s="125" cm="1">
        <f t="array" ref="B231">SUMPRODUCT((tbl_DataDraftApril26[Phase]=B$1)*(ISNUMBER(tbl_DataDraftApril26[Start]))*(ISNUMBER(tbl_DataDraftApril26[End]))*($A231&gt;tbl_DataDraftApril26[Start])*($A231&lt;tbl_DataDraftApril26[End]))</f>
        <v>36</v>
      </c>
      <c r="C231" s="125" cm="1">
        <f t="array" ref="C231">SUMPRODUCT((tbl_DataDraftApril26[Phase]=C$1)*(ISNUMBER(tbl_DataDraftApril26[Start]))*(ISNUMBER(tbl_DataDraftApril26[End]))*($A231&gt;tbl_DataDraftApril26[Start])*($A231&lt;tbl_DataDraftApril26[End]))</f>
        <v>10</v>
      </c>
      <c r="D231" s="125" cm="1">
        <f t="array" ref="D231">SUMPRODUCT((tbl_DataDraftApril26[Phase]=D$1)*(ISNUMBER(tbl_DataDraftApril26[Start]))*(ISNUMBER(tbl_DataDraftApril26[End]))*($A231&gt;tbl_DataDraftApril26[Start])*($A231&lt;tbl_DataDraftApril26[End]))</f>
        <v>0</v>
      </c>
      <c r="E231" s="125" cm="1">
        <f t="array" ref="E231">SUMPRODUCT((tbl_DataDraftApril26[Phase]=E$1)*(ISNUMBER(tbl_DataDraftApril26[Start]))*(ISNUMBER(tbl_DataDraftApril26[End]))*($A231&gt;tbl_DataDraftApril26[Start])*($A231&lt;tbl_DataDraftApril26[End]))</f>
        <v>5</v>
      </c>
    </row>
    <row r="232" spans="1:5">
      <c r="A232" s="131">
        <v>46100</v>
      </c>
      <c r="B232" s="125" cm="1">
        <f t="array" ref="B232">SUMPRODUCT((tbl_DataDraftApril26[Phase]=B$1)*(ISNUMBER(tbl_DataDraftApril26[Start]))*(ISNUMBER(tbl_DataDraftApril26[End]))*($A232&gt;tbl_DataDraftApril26[Start])*($A232&lt;tbl_DataDraftApril26[End]))</f>
        <v>33</v>
      </c>
      <c r="C232" s="125" cm="1">
        <f t="array" ref="C232">SUMPRODUCT((tbl_DataDraftApril26[Phase]=C$1)*(ISNUMBER(tbl_DataDraftApril26[Start]))*(ISNUMBER(tbl_DataDraftApril26[End]))*($A232&gt;tbl_DataDraftApril26[Start])*($A232&lt;tbl_DataDraftApril26[End]))</f>
        <v>10</v>
      </c>
      <c r="D232" s="125" cm="1">
        <f t="array" ref="D232">SUMPRODUCT((tbl_DataDraftApril26[Phase]=D$1)*(ISNUMBER(tbl_DataDraftApril26[Start]))*(ISNUMBER(tbl_DataDraftApril26[End]))*($A232&gt;tbl_DataDraftApril26[Start])*($A232&lt;tbl_DataDraftApril26[End]))</f>
        <v>0</v>
      </c>
      <c r="E232" s="125" cm="1">
        <f t="array" ref="E232">SUMPRODUCT((tbl_DataDraftApril26[Phase]=E$1)*(ISNUMBER(tbl_DataDraftApril26[Start]))*(ISNUMBER(tbl_DataDraftApril26[End]))*($A232&gt;tbl_DataDraftApril26[Start])*($A232&lt;tbl_DataDraftApril26[End]))</f>
        <v>5</v>
      </c>
    </row>
    <row r="233" spans="1:5">
      <c r="A233" s="131">
        <v>46101</v>
      </c>
      <c r="B233" s="125" cm="1">
        <f t="array" ref="B233">SUMPRODUCT((tbl_DataDraftApril26[Phase]=B$1)*(ISNUMBER(tbl_DataDraftApril26[Start]))*(ISNUMBER(tbl_DataDraftApril26[End]))*($A233&gt;tbl_DataDraftApril26[Start])*($A233&lt;tbl_DataDraftApril26[End]))</f>
        <v>33</v>
      </c>
      <c r="C233" s="125" cm="1">
        <f t="array" ref="C233">SUMPRODUCT((tbl_DataDraftApril26[Phase]=C$1)*(ISNUMBER(tbl_DataDraftApril26[Start]))*(ISNUMBER(tbl_DataDraftApril26[End]))*($A233&gt;tbl_DataDraftApril26[Start])*($A233&lt;tbl_DataDraftApril26[End]))</f>
        <v>10</v>
      </c>
      <c r="D233" s="125" cm="1">
        <f t="array" ref="D233">SUMPRODUCT((tbl_DataDraftApril26[Phase]=D$1)*(ISNUMBER(tbl_DataDraftApril26[Start]))*(ISNUMBER(tbl_DataDraftApril26[End]))*($A233&gt;tbl_DataDraftApril26[Start])*($A233&lt;tbl_DataDraftApril26[End]))</f>
        <v>0</v>
      </c>
      <c r="E233" s="125" cm="1">
        <f t="array" ref="E233">SUMPRODUCT((tbl_DataDraftApril26[Phase]=E$1)*(ISNUMBER(tbl_DataDraftApril26[Start]))*(ISNUMBER(tbl_DataDraftApril26[End]))*($A233&gt;tbl_DataDraftApril26[Start])*($A233&lt;tbl_DataDraftApril26[End]))</f>
        <v>5</v>
      </c>
    </row>
    <row r="234" spans="1:5">
      <c r="A234" s="131">
        <v>46102</v>
      </c>
      <c r="B234" s="125" cm="1">
        <f t="array" ref="B234">SUMPRODUCT((tbl_DataDraftApril26[Phase]=B$1)*(ISNUMBER(tbl_DataDraftApril26[Start]))*(ISNUMBER(tbl_DataDraftApril26[End]))*($A234&gt;tbl_DataDraftApril26[Start])*($A234&lt;tbl_DataDraftApril26[End]))</f>
        <v>33</v>
      </c>
      <c r="C234" s="125" cm="1">
        <f t="array" ref="C234">SUMPRODUCT((tbl_DataDraftApril26[Phase]=C$1)*(ISNUMBER(tbl_DataDraftApril26[Start]))*(ISNUMBER(tbl_DataDraftApril26[End]))*($A234&gt;tbl_DataDraftApril26[Start])*($A234&lt;tbl_DataDraftApril26[End]))</f>
        <v>10</v>
      </c>
      <c r="D234" s="125" cm="1">
        <f t="array" ref="D234">SUMPRODUCT((tbl_DataDraftApril26[Phase]=D$1)*(ISNUMBER(tbl_DataDraftApril26[Start]))*(ISNUMBER(tbl_DataDraftApril26[End]))*($A234&gt;tbl_DataDraftApril26[Start])*($A234&lt;tbl_DataDraftApril26[End]))</f>
        <v>0</v>
      </c>
      <c r="E234" s="125" cm="1">
        <f t="array" ref="E234">SUMPRODUCT((tbl_DataDraftApril26[Phase]=E$1)*(ISNUMBER(tbl_DataDraftApril26[Start]))*(ISNUMBER(tbl_DataDraftApril26[End]))*($A234&gt;tbl_DataDraftApril26[Start])*($A234&lt;tbl_DataDraftApril26[End]))</f>
        <v>5</v>
      </c>
    </row>
    <row r="235" spans="1:5">
      <c r="A235" s="131">
        <v>46103</v>
      </c>
      <c r="B235" s="125" cm="1">
        <f t="array" ref="B235">SUMPRODUCT((tbl_DataDraftApril26[Phase]=B$1)*(ISNUMBER(tbl_DataDraftApril26[Start]))*(ISNUMBER(tbl_DataDraftApril26[End]))*($A235&gt;tbl_DataDraftApril26[Start])*($A235&lt;tbl_DataDraftApril26[End]))</f>
        <v>33</v>
      </c>
      <c r="C235" s="125" cm="1">
        <f t="array" ref="C235">SUMPRODUCT((tbl_DataDraftApril26[Phase]=C$1)*(ISNUMBER(tbl_DataDraftApril26[Start]))*(ISNUMBER(tbl_DataDraftApril26[End]))*($A235&gt;tbl_DataDraftApril26[Start])*($A235&lt;tbl_DataDraftApril26[End]))</f>
        <v>10</v>
      </c>
      <c r="D235" s="125" cm="1">
        <f t="array" ref="D235">SUMPRODUCT((tbl_DataDraftApril26[Phase]=D$1)*(ISNUMBER(tbl_DataDraftApril26[Start]))*(ISNUMBER(tbl_DataDraftApril26[End]))*($A235&gt;tbl_DataDraftApril26[Start])*($A235&lt;tbl_DataDraftApril26[End]))</f>
        <v>0</v>
      </c>
      <c r="E235" s="125" cm="1">
        <f t="array" ref="E235">SUMPRODUCT((tbl_DataDraftApril26[Phase]=E$1)*(ISNUMBER(tbl_DataDraftApril26[Start]))*(ISNUMBER(tbl_DataDraftApril26[End]))*($A235&gt;tbl_DataDraftApril26[Start])*($A235&lt;tbl_DataDraftApril26[End]))</f>
        <v>5</v>
      </c>
    </row>
    <row r="236" spans="1:5">
      <c r="A236" s="131">
        <v>46104</v>
      </c>
      <c r="B236" s="125" cm="1">
        <f t="array" ref="B236">SUMPRODUCT((tbl_DataDraftApril26[Phase]=B$1)*(ISNUMBER(tbl_DataDraftApril26[Start]))*(ISNUMBER(tbl_DataDraftApril26[End]))*($A236&gt;tbl_DataDraftApril26[Start])*($A236&lt;tbl_DataDraftApril26[End]))</f>
        <v>33</v>
      </c>
      <c r="C236" s="125" cm="1">
        <f t="array" ref="C236">SUMPRODUCT((tbl_DataDraftApril26[Phase]=C$1)*(ISNUMBER(tbl_DataDraftApril26[Start]))*(ISNUMBER(tbl_DataDraftApril26[End]))*($A236&gt;tbl_DataDraftApril26[Start])*($A236&lt;tbl_DataDraftApril26[End]))</f>
        <v>10</v>
      </c>
      <c r="D236" s="125" cm="1">
        <f t="array" ref="D236">SUMPRODUCT((tbl_DataDraftApril26[Phase]=D$1)*(ISNUMBER(tbl_DataDraftApril26[Start]))*(ISNUMBER(tbl_DataDraftApril26[End]))*($A236&gt;tbl_DataDraftApril26[Start])*($A236&lt;tbl_DataDraftApril26[End]))</f>
        <v>0</v>
      </c>
      <c r="E236" s="125" cm="1">
        <f t="array" ref="E236">SUMPRODUCT((tbl_DataDraftApril26[Phase]=E$1)*(ISNUMBER(tbl_DataDraftApril26[Start]))*(ISNUMBER(tbl_DataDraftApril26[End]))*($A236&gt;tbl_DataDraftApril26[Start])*($A236&lt;tbl_DataDraftApril26[End]))</f>
        <v>5</v>
      </c>
    </row>
    <row r="237" spans="1:5">
      <c r="A237" s="131">
        <v>46105</v>
      </c>
      <c r="B237" s="125" cm="1">
        <f t="array" ref="B237">SUMPRODUCT((tbl_DataDraftApril26[Phase]=B$1)*(ISNUMBER(tbl_DataDraftApril26[Start]))*(ISNUMBER(tbl_DataDraftApril26[End]))*($A237&gt;tbl_DataDraftApril26[Start])*($A237&lt;tbl_DataDraftApril26[End]))</f>
        <v>33</v>
      </c>
      <c r="C237" s="125" cm="1">
        <f t="array" ref="C237">SUMPRODUCT((tbl_DataDraftApril26[Phase]=C$1)*(ISNUMBER(tbl_DataDraftApril26[Start]))*(ISNUMBER(tbl_DataDraftApril26[End]))*($A237&gt;tbl_DataDraftApril26[Start])*($A237&lt;tbl_DataDraftApril26[End]))</f>
        <v>10</v>
      </c>
      <c r="D237" s="125" cm="1">
        <f t="array" ref="D237">SUMPRODUCT((tbl_DataDraftApril26[Phase]=D$1)*(ISNUMBER(tbl_DataDraftApril26[Start]))*(ISNUMBER(tbl_DataDraftApril26[End]))*($A237&gt;tbl_DataDraftApril26[Start])*($A237&lt;tbl_DataDraftApril26[End]))</f>
        <v>0</v>
      </c>
      <c r="E237" s="125" cm="1">
        <f t="array" ref="E237">SUMPRODUCT((tbl_DataDraftApril26[Phase]=E$1)*(ISNUMBER(tbl_DataDraftApril26[Start]))*(ISNUMBER(tbl_DataDraftApril26[End]))*($A237&gt;tbl_DataDraftApril26[Start])*($A237&lt;tbl_DataDraftApril26[End]))</f>
        <v>5</v>
      </c>
    </row>
    <row r="238" spans="1:5">
      <c r="A238" s="131">
        <v>46106</v>
      </c>
      <c r="B238" s="125" cm="1">
        <f t="array" ref="B238">SUMPRODUCT((tbl_DataDraftApril26[Phase]=B$1)*(ISNUMBER(tbl_DataDraftApril26[Start]))*(ISNUMBER(tbl_DataDraftApril26[End]))*($A238&gt;tbl_DataDraftApril26[Start])*($A238&lt;tbl_DataDraftApril26[End]))</f>
        <v>33</v>
      </c>
      <c r="C238" s="125" cm="1">
        <f t="array" ref="C238">SUMPRODUCT((tbl_DataDraftApril26[Phase]=C$1)*(ISNUMBER(tbl_DataDraftApril26[Start]))*(ISNUMBER(tbl_DataDraftApril26[End]))*($A238&gt;tbl_DataDraftApril26[Start])*($A238&lt;tbl_DataDraftApril26[End]))</f>
        <v>10</v>
      </c>
      <c r="D238" s="125" cm="1">
        <f t="array" ref="D238">SUMPRODUCT((tbl_DataDraftApril26[Phase]=D$1)*(ISNUMBER(tbl_DataDraftApril26[Start]))*(ISNUMBER(tbl_DataDraftApril26[End]))*($A238&gt;tbl_DataDraftApril26[Start])*($A238&lt;tbl_DataDraftApril26[End]))</f>
        <v>0</v>
      </c>
      <c r="E238" s="125" cm="1">
        <f t="array" ref="E238">SUMPRODUCT((tbl_DataDraftApril26[Phase]=E$1)*(ISNUMBER(tbl_DataDraftApril26[Start]))*(ISNUMBER(tbl_DataDraftApril26[End]))*($A238&gt;tbl_DataDraftApril26[Start])*($A238&lt;tbl_DataDraftApril26[End]))</f>
        <v>5</v>
      </c>
    </row>
    <row r="239" spans="1:5">
      <c r="A239" s="131">
        <v>46107</v>
      </c>
      <c r="B239" s="125" cm="1">
        <f t="array" ref="B239">SUMPRODUCT((tbl_DataDraftApril26[Phase]=B$1)*(ISNUMBER(tbl_DataDraftApril26[Start]))*(ISNUMBER(tbl_DataDraftApril26[End]))*($A239&gt;tbl_DataDraftApril26[Start])*($A239&lt;tbl_DataDraftApril26[End]))</f>
        <v>33</v>
      </c>
      <c r="C239" s="125" cm="1">
        <f t="array" ref="C239">SUMPRODUCT((tbl_DataDraftApril26[Phase]=C$1)*(ISNUMBER(tbl_DataDraftApril26[Start]))*(ISNUMBER(tbl_DataDraftApril26[End]))*($A239&gt;tbl_DataDraftApril26[Start])*($A239&lt;tbl_DataDraftApril26[End]))</f>
        <v>10</v>
      </c>
      <c r="D239" s="125" cm="1">
        <f t="array" ref="D239">SUMPRODUCT((tbl_DataDraftApril26[Phase]=D$1)*(ISNUMBER(tbl_DataDraftApril26[Start]))*(ISNUMBER(tbl_DataDraftApril26[End]))*($A239&gt;tbl_DataDraftApril26[Start])*($A239&lt;tbl_DataDraftApril26[End]))</f>
        <v>0</v>
      </c>
      <c r="E239" s="125" cm="1">
        <f t="array" ref="E239">SUMPRODUCT((tbl_DataDraftApril26[Phase]=E$1)*(ISNUMBER(tbl_DataDraftApril26[Start]))*(ISNUMBER(tbl_DataDraftApril26[End]))*($A239&gt;tbl_DataDraftApril26[Start])*($A239&lt;tbl_DataDraftApril26[End]))</f>
        <v>5</v>
      </c>
    </row>
    <row r="240" spans="1:5">
      <c r="A240" s="131">
        <v>46108</v>
      </c>
      <c r="B240" s="125" cm="1">
        <f t="array" ref="B240">SUMPRODUCT((tbl_DataDraftApril26[Phase]=B$1)*(ISNUMBER(tbl_DataDraftApril26[Start]))*(ISNUMBER(tbl_DataDraftApril26[End]))*($A240&gt;tbl_DataDraftApril26[Start])*($A240&lt;tbl_DataDraftApril26[End]))</f>
        <v>33</v>
      </c>
      <c r="C240" s="125" cm="1">
        <f t="array" ref="C240">SUMPRODUCT((tbl_DataDraftApril26[Phase]=C$1)*(ISNUMBER(tbl_DataDraftApril26[Start]))*(ISNUMBER(tbl_DataDraftApril26[End]))*($A240&gt;tbl_DataDraftApril26[Start])*($A240&lt;tbl_DataDraftApril26[End]))</f>
        <v>10</v>
      </c>
      <c r="D240" s="125" cm="1">
        <f t="array" ref="D240">SUMPRODUCT((tbl_DataDraftApril26[Phase]=D$1)*(ISNUMBER(tbl_DataDraftApril26[Start]))*(ISNUMBER(tbl_DataDraftApril26[End]))*($A240&gt;tbl_DataDraftApril26[Start])*($A240&lt;tbl_DataDraftApril26[End]))</f>
        <v>0</v>
      </c>
      <c r="E240" s="125" cm="1">
        <f t="array" ref="E240">SUMPRODUCT((tbl_DataDraftApril26[Phase]=E$1)*(ISNUMBER(tbl_DataDraftApril26[Start]))*(ISNUMBER(tbl_DataDraftApril26[End]))*($A240&gt;tbl_DataDraftApril26[Start])*($A240&lt;tbl_DataDraftApril26[End]))</f>
        <v>5</v>
      </c>
    </row>
    <row r="241" spans="1:5">
      <c r="A241" s="131">
        <v>46109</v>
      </c>
      <c r="B241" s="125" cm="1">
        <f t="array" ref="B241">SUMPRODUCT((tbl_DataDraftApril26[Phase]=B$1)*(ISNUMBER(tbl_DataDraftApril26[Start]))*(ISNUMBER(tbl_DataDraftApril26[End]))*($A241&gt;tbl_DataDraftApril26[Start])*($A241&lt;tbl_DataDraftApril26[End]))</f>
        <v>33</v>
      </c>
      <c r="C241" s="125" cm="1">
        <f t="array" ref="C241">SUMPRODUCT((tbl_DataDraftApril26[Phase]=C$1)*(ISNUMBER(tbl_DataDraftApril26[Start]))*(ISNUMBER(tbl_DataDraftApril26[End]))*($A241&gt;tbl_DataDraftApril26[Start])*($A241&lt;tbl_DataDraftApril26[End]))</f>
        <v>10</v>
      </c>
      <c r="D241" s="125" cm="1">
        <f t="array" ref="D241">SUMPRODUCT((tbl_DataDraftApril26[Phase]=D$1)*(ISNUMBER(tbl_DataDraftApril26[Start]))*(ISNUMBER(tbl_DataDraftApril26[End]))*($A241&gt;tbl_DataDraftApril26[Start])*($A241&lt;tbl_DataDraftApril26[End]))</f>
        <v>0</v>
      </c>
      <c r="E241" s="125" cm="1">
        <f t="array" ref="E241">SUMPRODUCT((tbl_DataDraftApril26[Phase]=E$1)*(ISNUMBER(tbl_DataDraftApril26[Start]))*(ISNUMBER(tbl_DataDraftApril26[End]))*($A241&gt;tbl_DataDraftApril26[Start])*($A241&lt;tbl_DataDraftApril26[End]))</f>
        <v>5</v>
      </c>
    </row>
    <row r="242" spans="1:5">
      <c r="A242" s="131">
        <v>46110</v>
      </c>
      <c r="B242" s="125" cm="1">
        <f t="array" ref="B242">SUMPRODUCT((tbl_DataDraftApril26[Phase]=B$1)*(ISNUMBER(tbl_DataDraftApril26[Start]))*(ISNUMBER(tbl_DataDraftApril26[End]))*($A242&gt;tbl_DataDraftApril26[Start])*($A242&lt;tbl_DataDraftApril26[End]))</f>
        <v>33</v>
      </c>
      <c r="C242" s="125" cm="1">
        <f t="array" ref="C242">SUMPRODUCT((tbl_DataDraftApril26[Phase]=C$1)*(ISNUMBER(tbl_DataDraftApril26[Start]))*(ISNUMBER(tbl_DataDraftApril26[End]))*($A242&gt;tbl_DataDraftApril26[Start])*($A242&lt;tbl_DataDraftApril26[End]))</f>
        <v>10</v>
      </c>
      <c r="D242" s="125" cm="1">
        <f t="array" ref="D242">SUMPRODUCT((tbl_DataDraftApril26[Phase]=D$1)*(ISNUMBER(tbl_DataDraftApril26[Start]))*(ISNUMBER(tbl_DataDraftApril26[End]))*($A242&gt;tbl_DataDraftApril26[Start])*($A242&lt;tbl_DataDraftApril26[End]))</f>
        <v>0</v>
      </c>
      <c r="E242" s="125" cm="1">
        <f t="array" ref="E242">SUMPRODUCT((tbl_DataDraftApril26[Phase]=E$1)*(ISNUMBER(tbl_DataDraftApril26[Start]))*(ISNUMBER(tbl_DataDraftApril26[End]))*($A242&gt;tbl_DataDraftApril26[Start])*($A242&lt;tbl_DataDraftApril26[End]))</f>
        <v>5</v>
      </c>
    </row>
    <row r="243" spans="1:5">
      <c r="A243" s="131">
        <v>46111</v>
      </c>
      <c r="B243" s="125" cm="1">
        <f t="array" ref="B243">SUMPRODUCT((tbl_DataDraftApril26[Phase]=B$1)*(ISNUMBER(tbl_DataDraftApril26[Start]))*(ISNUMBER(tbl_DataDraftApril26[End]))*($A243&gt;tbl_DataDraftApril26[Start])*($A243&lt;tbl_DataDraftApril26[End]))</f>
        <v>32</v>
      </c>
      <c r="C243" s="125" cm="1">
        <f t="array" ref="C243">SUMPRODUCT((tbl_DataDraftApril26[Phase]=C$1)*(ISNUMBER(tbl_DataDraftApril26[Start]))*(ISNUMBER(tbl_DataDraftApril26[End]))*($A243&gt;tbl_DataDraftApril26[Start])*($A243&lt;tbl_DataDraftApril26[End]))</f>
        <v>10</v>
      </c>
      <c r="D243" s="125" cm="1">
        <f t="array" ref="D243">SUMPRODUCT((tbl_DataDraftApril26[Phase]=D$1)*(ISNUMBER(tbl_DataDraftApril26[Start]))*(ISNUMBER(tbl_DataDraftApril26[End]))*($A243&gt;tbl_DataDraftApril26[Start])*($A243&lt;tbl_DataDraftApril26[End]))</f>
        <v>0</v>
      </c>
      <c r="E243" s="125" cm="1">
        <f t="array" ref="E243">SUMPRODUCT((tbl_DataDraftApril26[Phase]=E$1)*(ISNUMBER(tbl_DataDraftApril26[Start]))*(ISNUMBER(tbl_DataDraftApril26[End]))*($A243&gt;tbl_DataDraftApril26[Start])*($A243&lt;tbl_DataDraftApril26[End]))</f>
        <v>5</v>
      </c>
    </row>
    <row r="244" spans="1:5">
      <c r="A244" s="131">
        <v>46112</v>
      </c>
      <c r="B244" s="125" cm="1">
        <f t="array" ref="B244">SUMPRODUCT((tbl_DataDraftApril26[Phase]=B$1)*(ISNUMBER(tbl_DataDraftApril26[Start]))*(ISNUMBER(tbl_DataDraftApril26[End]))*($A244&gt;tbl_DataDraftApril26[Start])*($A244&lt;tbl_DataDraftApril26[End]))</f>
        <v>31</v>
      </c>
      <c r="C244" s="125" cm="1">
        <f t="array" ref="C244">SUMPRODUCT((tbl_DataDraftApril26[Phase]=C$1)*(ISNUMBER(tbl_DataDraftApril26[Start]))*(ISNUMBER(tbl_DataDraftApril26[End]))*($A244&gt;tbl_DataDraftApril26[Start])*($A244&lt;tbl_DataDraftApril26[End]))</f>
        <v>10</v>
      </c>
      <c r="D244" s="125" cm="1">
        <f t="array" ref="D244">SUMPRODUCT((tbl_DataDraftApril26[Phase]=D$1)*(ISNUMBER(tbl_DataDraftApril26[Start]))*(ISNUMBER(tbl_DataDraftApril26[End]))*($A244&gt;tbl_DataDraftApril26[Start])*($A244&lt;tbl_DataDraftApril26[End]))</f>
        <v>0</v>
      </c>
      <c r="E244" s="125" cm="1">
        <f t="array" ref="E244">SUMPRODUCT((tbl_DataDraftApril26[Phase]=E$1)*(ISNUMBER(tbl_DataDraftApril26[Start]))*(ISNUMBER(tbl_DataDraftApril26[End]))*($A244&gt;tbl_DataDraftApril26[Start])*($A244&lt;tbl_DataDraftApril26[End]))</f>
        <v>1</v>
      </c>
    </row>
    <row r="245" spans="1:5">
      <c r="A245" s="131">
        <v>46113</v>
      </c>
      <c r="B245" s="125" cm="1">
        <f t="array" ref="B245">SUMPRODUCT((tbl_DataDraftApril26[Phase]=B$1)*(ISNUMBER(tbl_DataDraftApril26[Start]))*(ISNUMBER(tbl_DataDraftApril26[End]))*($A245&gt;tbl_DataDraftApril26[Start])*($A245&lt;tbl_DataDraftApril26[End]))</f>
        <v>31</v>
      </c>
      <c r="C245" s="125" cm="1">
        <f t="array" ref="C245">SUMPRODUCT((tbl_DataDraftApril26[Phase]=C$1)*(ISNUMBER(tbl_DataDraftApril26[Start]))*(ISNUMBER(tbl_DataDraftApril26[End]))*($A245&gt;tbl_DataDraftApril26[Start])*($A245&lt;tbl_DataDraftApril26[End]))</f>
        <v>10</v>
      </c>
      <c r="D245" s="125" cm="1">
        <f t="array" ref="D245">SUMPRODUCT((tbl_DataDraftApril26[Phase]=D$1)*(ISNUMBER(tbl_DataDraftApril26[Start]))*(ISNUMBER(tbl_DataDraftApril26[End]))*($A245&gt;tbl_DataDraftApril26[Start])*($A245&lt;tbl_DataDraftApril26[End]))</f>
        <v>0</v>
      </c>
      <c r="E245" s="125" cm="1">
        <f t="array" ref="E245">SUMPRODUCT((tbl_DataDraftApril26[Phase]=E$1)*(ISNUMBER(tbl_DataDraftApril26[Start]))*(ISNUMBER(tbl_DataDraftApril26[End]))*($A245&gt;tbl_DataDraftApril26[Start])*($A245&lt;tbl_DataDraftApril26[End]))</f>
        <v>1</v>
      </c>
    </row>
    <row r="246" spans="1:5">
      <c r="A246" s="131">
        <v>46114</v>
      </c>
      <c r="B246" s="125" cm="1">
        <f t="array" ref="B246">SUMPRODUCT((tbl_DataDraftApril26[Phase]=B$1)*(ISNUMBER(tbl_DataDraftApril26[Start]))*(ISNUMBER(tbl_DataDraftApril26[End]))*($A246&gt;tbl_DataDraftApril26[Start])*($A246&lt;tbl_DataDraftApril26[End]))</f>
        <v>36</v>
      </c>
      <c r="C246" s="125" cm="1">
        <f t="array" ref="C246">SUMPRODUCT((tbl_DataDraftApril26[Phase]=C$1)*(ISNUMBER(tbl_DataDraftApril26[Start]))*(ISNUMBER(tbl_DataDraftApril26[End]))*($A246&gt;tbl_DataDraftApril26[Start])*($A246&lt;tbl_DataDraftApril26[End]))</f>
        <v>15</v>
      </c>
      <c r="D246" s="125" cm="1">
        <f t="array" ref="D246">SUMPRODUCT((tbl_DataDraftApril26[Phase]=D$1)*(ISNUMBER(tbl_DataDraftApril26[Start]))*(ISNUMBER(tbl_DataDraftApril26[End]))*($A246&gt;tbl_DataDraftApril26[Start])*($A246&lt;tbl_DataDraftApril26[End]))</f>
        <v>1</v>
      </c>
      <c r="E246" s="125" cm="1">
        <f t="array" ref="E246">SUMPRODUCT((tbl_DataDraftApril26[Phase]=E$1)*(ISNUMBER(tbl_DataDraftApril26[Start]))*(ISNUMBER(tbl_DataDraftApril26[End]))*($A246&gt;tbl_DataDraftApril26[Start])*($A246&lt;tbl_DataDraftApril26[End]))</f>
        <v>3</v>
      </c>
    </row>
    <row r="247" spans="1:5">
      <c r="A247" s="131">
        <v>46115</v>
      </c>
      <c r="B247" s="125" cm="1">
        <f t="array" ref="B247">SUMPRODUCT((tbl_DataDraftApril26[Phase]=B$1)*(ISNUMBER(tbl_DataDraftApril26[Start]))*(ISNUMBER(tbl_DataDraftApril26[End]))*($A247&gt;tbl_DataDraftApril26[Start])*($A247&lt;tbl_DataDraftApril26[End]))</f>
        <v>36</v>
      </c>
      <c r="C247" s="125" cm="1">
        <f t="array" ref="C247">SUMPRODUCT((tbl_DataDraftApril26[Phase]=C$1)*(ISNUMBER(tbl_DataDraftApril26[Start]))*(ISNUMBER(tbl_DataDraftApril26[End]))*($A247&gt;tbl_DataDraftApril26[Start])*($A247&lt;tbl_DataDraftApril26[End]))</f>
        <v>15</v>
      </c>
      <c r="D247" s="125" cm="1">
        <f t="array" ref="D247">SUMPRODUCT((tbl_DataDraftApril26[Phase]=D$1)*(ISNUMBER(tbl_DataDraftApril26[Start]))*(ISNUMBER(tbl_DataDraftApril26[End]))*($A247&gt;tbl_DataDraftApril26[Start])*($A247&lt;tbl_DataDraftApril26[End]))</f>
        <v>1</v>
      </c>
      <c r="E247" s="125" cm="1">
        <f t="array" ref="E247">SUMPRODUCT((tbl_DataDraftApril26[Phase]=E$1)*(ISNUMBER(tbl_DataDraftApril26[Start]))*(ISNUMBER(tbl_DataDraftApril26[End]))*($A247&gt;tbl_DataDraftApril26[Start])*($A247&lt;tbl_DataDraftApril26[End]))</f>
        <v>3</v>
      </c>
    </row>
    <row r="248" spans="1:5">
      <c r="A248" s="131">
        <v>46116</v>
      </c>
      <c r="B248" s="125" cm="1">
        <f t="array" ref="B248">SUMPRODUCT((tbl_DataDraftApril26[Phase]=B$1)*(ISNUMBER(tbl_DataDraftApril26[Start]))*(ISNUMBER(tbl_DataDraftApril26[End]))*($A248&gt;tbl_DataDraftApril26[Start])*($A248&lt;tbl_DataDraftApril26[End]))</f>
        <v>36</v>
      </c>
      <c r="C248" s="125" cm="1">
        <f t="array" ref="C248">SUMPRODUCT((tbl_DataDraftApril26[Phase]=C$1)*(ISNUMBER(tbl_DataDraftApril26[Start]))*(ISNUMBER(tbl_DataDraftApril26[End]))*($A248&gt;tbl_DataDraftApril26[Start])*($A248&lt;tbl_DataDraftApril26[End]))</f>
        <v>15</v>
      </c>
      <c r="D248" s="125" cm="1">
        <f t="array" ref="D248">SUMPRODUCT((tbl_DataDraftApril26[Phase]=D$1)*(ISNUMBER(tbl_DataDraftApril26[Start]))*(ISNUMBER(tbl_DataDraftApril26[End]))*($A248&gt;tbl_DataDraftApril26[Start])*($A248&lt;tbl_DataDraftApril26[End]))</f>
        <v>1</v>
      </c>
      <c r="E248" s="125" cm="1">
        <f t="array" ref="E248">SUMPRODUCT((tbl_DataDraftApril26[Phase]=E$1)*(ISNUMBER(tbl_DataDraftApril26[Start]))*(ISNUMBER(tbl_DataDraftApril26[End]))*($A248&gt;tbl_DataDraftApril26[Start])*($A248&lt;tbl_DataDraftApril26[End]))</f>
        <v>3</v>
      </c>
    </row>
    <row r="249" spans="1:5">
      <c r="A249" s="131">
        <v>46117</v>
      </c>
      <c r="B249" s="125" cm="1">
        <f t="array" ref="B249">SUMPRODUCT((tbl_DataDraftApril26[Phase]=B$1)*(ISNUMBER(tbl_DataDraftApril26[Start]))*(ISNUMBER(tbl_DataDraftApril26[End]))*($A249&gt;tbl_DataDraftApril26[Start])*($A249&lt;tbl_DataDraftApril26[End]))</f>
        <v>36</v>
      </c>
      <c r="C249" s="125" cm="1">
        <f t="array" ref="C249">SUMPRODUCT((tbl_DataDraftApril26[Phase]=C$1)*(ISNUMBER(tbl_DataDraftApril26[Start]))*(ISNUMBER(tbl_DataDraftApril26[End]))*($A249&gt;tbl_DataDraftApril26[Start])*($A249&lt;tbl_DataDraftApril26[End]))</f>
        <v>15</v>
      </c>
      <c r="D249" s="125" cm="1">
        <f t="array" ref="D249">SUMPRODUCT((tbl_DataDraftApril26[Phase]=D$1)*(ISNUMBER(tbl_DataDraftApril26[Start]))*(ISNUMBER(tbl_DataDraftApril26[End]))*($A249&gt;tbl_DataDraftApril26[Start])*($A249&lt;tbl_DataDraftApril26[End]))</f>
        <v>1</v>
      </c>
      <c r="E249" s="125" cm="1">
        <f t="array" ref="E249">SUMPRODUCT((tbl_DataDraftApril26[Phase]=E$1)*(ISNUMBER(tbl_DataDraftApril26[Start]))*(ISNUMBER(tbl_DataDraftApril26[End]))*($A249&gt;tbl_DataDraftApril26[Start])*($A249&lt;tbl_DataDraftApril26[End]))</f>
        <v>3</v>
      </c>
    </row>
    <row r="250" spans="1:5">
      <c r="A250" s="131">
        <v>46118</v>
      </c>
      <c r="B250" s="125" cm="1">
        <f t="array" ref="B250">SUMPRODUCT((tbl_DataDraftApril26[Phase]=B$1)*(ISNUMBER(tbl_DataDraftApril26[Start]))*(ISNUMBER(tbl_DataDraftApril26[End]))*($A250&gt;tbl_DataDraftApril26[Start])*($A250&lt;tbl_DataDraftApril26[End]))</f>
        <v>36</v>
      </c>
      <c r="C250" s="125" cm="1">
        <f t="array" ref="C250">SUMPRODUCT((tbl_DataDraftApril26[Phase]=C$1)*(ISNUMBER(tbl_DataDraftApril26[Start]))*(ISNUMBER(tbl_DataDraftApril26[End]))*($A250&gt;tbl_DataDraftApril26[Start])*($A250&lt;tbl_DataDraftApril26[End]))</f>
        <v>15</v>
      </c>
      <c r="D250" s="125" cm="1">
        <f t="array" ref="D250">SUMPRODUCT((tbl_DataDraftApril26[Phase]=D$1)*(ISNUMBER(tbl_DataDraftApril26[Start]))*(ISNUMBER(tbl_DataDraftApril26[End]))*($A250&gt;tbl_DataDraftApril26[Start])*($A250&lt;tbl_DataDraftApril26[End]))</f>
        <v>1</v>
      </c>
      <c r="E250" s="125" cm="1">
        <f t="array" ref="E250">SUMPRODUCT((tbl_DataDraftApril26[Phase]=E$1)*(ISNUMBER(tbl_DataDraftApril26[Start]))*(ISNUMBER(tbl_DataDraftApril26[End]))*($A250&gt;tbl_DataDraftApril26[Start])*($A250&lt;tbl_DataDraftApril26[End]))</f>
        <v>3</v>
      </c>
    </row>
    <row r="251" spans="1:5">
      <c r="A251" s="131">
        <v>46119</v>
      </c>
      <c r="B251" s="125" cm="1">
        <f t="array" ref="B251">SUMPRODUCT((tbl_DataDraftApril26[Phase]=B$1)*(ISNUMBER(tbl_DataDraftApril26[Start]))*(ISNUMBER(tbl_DataDraftApril26[End]))*($A251&gt;tbl_DataDraftApril26[Start])*($A251&lt;tbl_DataDraftApril26[End]))</f>
        <v>36</v>
      </c>
      <c r="C251" s="125" cm="1">
        <f t="array" ref="C251">SUMPRODUCT((tbl_DataDraftApril26[Phase]=C$1)*(ISNUMBER(tbl_DataDraftApril26[Start]))*(ISNUMBER(tbl_DataDraftApril26[End]))*($A251&gt;tbl_DataDraftApril26[Start])*($A251&lt;tbl_DataDraftApril26[End]))</f>
        <v>15</v>
      </c>
      <c r="D251" s="125" cm="1">
        <f t="array" ref="D251">SUMPRODUCT((tbl_DataDraftApril26[Phase]=D$1)*(ISNUMBER(tbl_DataDraftApril26[Start]))*(ISNUMBER(tbl_DataDraftApril26[End]))*($A251&gt;tbl_DataDraftApril26[Start])*($A251&lt;tbl_DataDraftApril26[End]))</f>
        <v>1</v>
      </c>
      <c r="E251" s="125" cm="1">
        <f t="array" ref="E251">SUMPRODUCT((tbl_DataDraftApril26[Phase]=E$1)*(ISNUMBER(tbl_DataDraftApril26[Start]))*(ISNUMBER(tbl_DataDraftApril26[End]))*($A251&gt;tbl_DataDraftApril26[Start])*($A251&lt;tbl_DataDraftApril26[End]))</f>
        <v>3</v>
      </c>
    </row>
    <row r="252" spans="1:5">
      <c r="A252" s="131">
        <v>46120</v>
      </c>
      <c r="B252" s="125" cm="1">
        <f t="array" ref="B252">SUMPRODUCT((tbl_DataDraftApril26[Phase]=B$1)*(ISNUMBER(tbl_DataDraftApril26[Start]))*(ISNUMBER(tbl_DataDraftApril26[End]))*($A252&gt;tbl_DataDraftApril26[Start])*($A252&lt;tbl_DataDraftApril26[End]))</f>
        <v>36</v>
      </c>
      <c r="C252" s="125" cm="1">
        <f t="array" ref="C252">SUMPRODUCT((tbl_DataDraftApril26[Phase]=C$1)*(ISNUMBER(tbl_DataDraftApril26[Start]))*(ISNUMBER(tbl_DataDraftApril26[End]))*($A252&gt;tbl_DataDraftApril26[Start])*($A252&lt;tbl_DataDraftApril26[End]))</f>
        <v>15</v>
      </c>
      <c r="D252" s="125" cm="1">
        <f t="array" ref="D252">SUMPRODUCT((tbl_DataDraftApril26[Phase]=D$1)*(ISNUMBER(tbl_DataDraftApril26[Start]))*(ISNUMBER(tbl_DataDraftApril26[End]))*($A252&gt;tbl_DataDraftApril26[Start])*($A252&lt;tbl_DataDraftApril26[End]))</f>
        <v>1</v>
      </c>
      <c r="E252" s="125" cm="1">
        <f t="array" ref="E252">SUMPRODUCT((tbl_DataDraftApril26[Phase]=E$1)*(ISNUMBER(tbl_DataDraftApril26[Start]))*(ISNUMBER(tbl_DataDraftApril26[End]))*($A252&gt;tbl_DataDraftApril26[Start])*($A252&lt;tbl_DataDraftApril26[End]))</f>
        <v>3</v>
      </c>
    </row>
    <row r="253" spans="1:5">
      <c r="A253" s="131">
        <v>46121</v>
      </c>
      <c r="B253" s="125" cm="1">
        <f t="array" ref="B253">SUMPRODUCT((tbl_DataDraftApril26[Phase]=B$1)*(ISNUMBER(tbl_DataDraftApril26[Start]))*(ISNUMBER(tbl_DataDraftApril26[End]))*($A253&gt;tbl_DataDraftApril26[Start])*($A253&lt;tbl_DataDraftApril26[End]))</f>
        <v>36</v>
      </c>
      <c r="C253" s="125" cm="1">
        <f t="array" ref="C253">SUMPRODUCT((tbl_DataDraftApril26[Phase]=C$1)*(ISNUMBER(tbl_DataDraftApril26[Start]))*(ISNUMBER(tbl_DataDraftApril26[End]))*($A253&gt;tbl_DataDraftApril26[Start])*($A253&lt;tbl_DataDraftApril26[End]))</f>
        <v>15</v>
      </c>
      <c r="D253" s="125" cm="1">
        <f t="array" ref="D253">SUMPRODUCT((tbl_DataDraftApril26[Phase]=D$1)*(ISNUMBER(tbl_DataDraftApril26[Start]))*(ISNUMBER(tbl_DataDraftApril26[End]))*($A253&gt;tbl_DataDraftApril26[Start])*($A253&lt;tbl_DataDraftApril26[End]))</f>
        <v>1</v>
      </c>
      <c r="E253" s="125" cm="1">
        <f t="array" ref="E253">SUMPRODUCT((tbl_DataDraftApril26[Phase]=E$1)*(ISNUMBER(tbl_DataDraftApril26[Start]))*(ISNUMBER(tbl_DataDraftApril26[End]))*($A253&gt;tbl_DataDraftApril26[Start])*($A253&lt;tbl_DataDraftApril26[End]))</f>
        <v>3</v>
      </c>
    </row>
    <row r="254" spans="1:5">
      <c r="A254" s="131">
        <v>46122</v>
      </c>
      <c r="B254" s="125" cm="1">
        <f t="array" ref="B254">SUMPRODUCT((tbl_DataDraftApril26[Phase]=B$1)*(ISNUMBER(tbl_DataDraftApril26[Start]))*(ISNUMBER(tbl_DataDraftApril26[End]))*($A254&gt;tbl_DataDraftApril26[Start])*($A254&lt;tbl_DataDraftApril26[End]))</f>
        <v>36</v>
      </c>
      <c r="C254" s="125" cm="1">
        <f t="array" ref="C254">SUMPRODUCT((tbl_DataDraftApril26[Phase]=C$1)*(ISNUMBER(tbl_DataDraftApril26[Start]))*(ISNUMBER(tbl_DataDraftApril26[End]))*($A254&gt;tbl_DataDraftApril26[Start])*($A254&lt;tbl_DataDraftApril26[End]))</f>
        <v>15</v>
      </c>
      <c r="D254" s="125" cm="1">
        <f t="array" ref="D254">SUMPRODUCT((tbl_DataDraftApril26[Phase]=D$1)*(ISNUMBER(tbl_DataDraftApril26[Start]))*(ISNUMBER(tbl_DataDraftApril26[End]))*($A254&gt;tbl_DataDraftApril26[Start])*($A254&lt;tbl_DataDraftApril26[End]))</f>
        <v>1</v>
      </c>
      <c r="E254" s="125" cm="1">
        <f t="array" ref="E254">SUMPRODUCT((tbl_DataDraftApril26[Phase]=E$1)*(ISNUMBER(tbl_DataDraftApril26[Start]))*(ISNUMBER(tbl_DataDraftApril26[End]))*($A254&gt;tbl_DataDraftApril26[Start])*($A254&lt;tbl_DataDraftApril26[End]))</f>
        <v>3</v>
      </c>
    </row>
    <row r="255" spans="1:5">
      <c r="A255" s="131">
        <v>46123</v>
      </c>
      <c r="B255" s="125" cm="1">
        <f t="array" ref="B255">SUMPRODUCT((tbl_DataDraftApril26[Phase]=B$1)*(ISNUMBER(tbl_DataDraftApril26[Start]))*(ISNUMBER(tbl_DataDraftApril26[End]))*($A255&gt;tbl_DataDraftApril26[Start])*($A255&lt;tbl_DataDraftApril26[End]))</f>
        <v>36</v>
      </c>
      <c r="C255" s="125" cm="1">
        <f t="array" ref="C255">SUMPRODUCT((tbl_DataDraftApril26[Phase]=C$1)*(ISNUMBER(tbl_DataDraftApril26[Start]))*(ISNUMBER(tbl_DataDraftApril26[End]))*($A255&gt;tbl_DataDraftApril26[Start])*($A255&lt;tbl_DataDraftApril26[End]))</f>
        <v>15</v>
      </c>
      <c r="D255" s="125" cm="1">
        <f t="array" ref="D255">SUMPRODUCT((tbl_DataDraftApril26[Phase]=D$1)*(ISNUMBER(tbl_DataDraftApril26[Start]))*(ISNUMBER(tbl_DataDraftApril26[End]))*($A255&gt;tbl_DataDraftApril26[Start])*($A255&lt;tbl_DataDraftApril26[End]))</f>
        <v>1</v>
      </c>
      <c r="E255" s="125" cm="1">
        <f t="array" ref="E255">SUMPRODUCT((tbl_DataDraftApril26[Phase]=E$1)*(ISNUMBER(tbl_DataDraftApril26[Start]))*(ISNUMBER(tbl_DataDraftApril26[End]))*($A255&gt;tbl_DataDraftApril26[Start])*($A255&lt;tbl_DataDraftApril26[End]))</f>
        <v>3</v>
      </c>
    </row>
    <row r="256" spans="1:5">
      <c r="A256" s="131">
        <v>46124</v>
      </c>
      <c r="B256" s="125" cm="1">
        <f t="array" ref="B256">SUMPRODUCT((tbl_DataDraftApril26[Phase]=B$1)*(ISNUMBER(tbl_DataDraftApril26[Start]))*(ISNUMBER(tbl_DataDraftApril26[End]))*($A256&gt;tbl_DataDraftApril26[Start])*($A256&lt;tbl_DataDraftApril26[End]))</f>
        <v>36</v>
      </c>
      <c r="C256" s="125" cm="1">
        <f t="array" ref="C256">SUMPRODUCT((tbl_DataDraftApril26[Phase]=C$1)*(ISNUMBER(tbl_DataDraftApril26[Start]))*(ISNUMBER(tbl_DataDraftApril26[End]))*($A256&gt;tbl_DataDraftApril26[Start])*($A256&lt;tbl_DataDraftApril26[End]))</f>
        <v>15</v>
      </c>
      <c r="D256" s="125" cm="1">
        <f t="array" ref="D256">SUMPRODUCT((tbl_DataDraftApril26[Phase]=D$1)*(ISNUMBER(tbl_DataDraftApril26[Start]))*(ISNUMBER(tbl_DataDraftApril26[End]))*($A256&gt;tbl_DataDraftApril26[Start])*($A256&lt;tbl_DataDraftApril26[End]))</f>
        <v>1</v>
      </c>
      <c r="E256" s="125" cm="1">
        <f t="array" ref="E256">SUMPRODUCT((tbl_DataDraftApril26[Phase]=E$1)*(ISNUMBER(tbl_DataDraftApril26[Start]))*(ISNUMBER(tbl_DataDraftApril26[End]))*($A256&gt;tbl_DataDraftApril26[Start])*($A256&lt;tbl_DataDraftApril26[End]))</f>
        <v>3</v>
      </c>
    </row>
    <row r="257" spans="1:5">
      <c r="A257" s="131">
        <v>46125</v>
      </c>
      <c r="B257" s="125" cm="1">
        <f t="array" ref="B257">SUMPRODUCT((tbl_DataDraftApril26[Phase]=B$1)*(ISNUMBER(tbl_DataDraftApril26[Start]))*(ISNUMBER(tbl_DataDraftApril26[End]))*($A257&gt;tbl_DataDraftApril26[Start])*($A257&lt;tbl_DataDraftApril26[End]))</f>
        <v>36</v>
      </c>
      <c r="C257" s="125" cm="1">
        <f t="array" ref="C257">SUMPRODUCT((tbl_DataDraftApril26[Phase]=C$1)*(ISNUMBER(tbl_DataDraftApril26[Start]))*(ISNUMBER(tbl_DataDraftApril26[End]))*($A257&gt;tbl_DataDraftApril26[Start])*($A257&lt;tbl_DataDraftApril26[End]))</f>
        <v>15</v>
      </c>
      <c r="D257" s="125" cm="1">
        <f t="array" ref="D257">SUMPRODUCT((tbl_DataDraftApril26[Phase]=D$1)*(ISNUMBER(tbl_DataDraftApril26[Start]))*(ISNUMBER(tbl_DataDraftApril26[End]))*($A257&gt;tbl_DataDraftApril26[Start])*($A257&lt;tbl_DataDraftApril26[End]))</f>
        <v>1</v>
      </c>
      <c r="E257" s="125" cm="1">
        <f t="array" ref="E257">SUMPRODUCT((tbl_DataDraftApril26[Phase]=E$1)*(ISNUMBER(tbl_DataDraftApril26[Start]))*(ISNUMBER(tbl_DataDraftApril26[End]))*($A257&gt;tbl_DataDraftApril26[Start])*($A257&lt;tbl_DataDraftApril26[End]))</f>
        <v>3</v>
      </c>
    </row>
    <row r="258" spans="1:5">
      <c r="A258" s="131">
        <v>46126</v>
      </c>
      <c r="B258" s="125" cm="1">
        <f t="array" ref="B258">SUMPRODUCT((tbl_DataDraftApril26[Phase]=B$1)*(ISNUMBER(tbl_DataDraftApril26[Start]))*(ISNUMBER(tbl_DataDraftApril26[End]))*($A258&gt;tbl_DataDraftApril26[Start])*($A258&lt;tbl_DataDraftApril26[End]))</f>
        <v>36</v>
      </c>
      <c r="C258" s="125" cm="1">
        <f t="array" ref="C258">SUMPRODUCT((tbl_DataDraftApril26[Phase]=C$1)*(ISNUMBER(tbl_DataDraftApril26[Start]))*(ISNUMBER(tbl_DataDraftApril26[End]))*($A258&gt;tbl_DataDraftApril26[Start])*($A258&lt;tbl_DataDraftApril26[End]))</f>
        <v>15</v>
      </c>
      <c r="D258" s="125" cm="1">
        <f t="array" ref="D258">SUMPRODUCT((tbl_DataDraftApril26[Phase]=D$1)*(ISNUMBER(tbl_DataDraftApril26[Start]))*(ISNUMBER(tbl_DataDraftApril26[End]))*($A258&gt;tbl_DataDraftApril26[Start])*($A258&lt;tbl_DataDraftApril26[End]))</f>
        <v>1</v>
      </c>
      <c r="E258" s="125" cm="1">
        <f t="array" ref="E258">SUMPRODUCT((tbl_DataDraftApril26[Phase]=E$1)*(ISNUMBER(tbl_DataDraftApril26[Start]))*(ISNUMBER(tbl_DataDraftApril26[End]))*($A258&gt;tbl_DataDraftApril26[Start])*($A258&lt;tbl_DataDraftApril26[End]))</f>
        <v>3</v>
      </c>
    </row>
    <row r="259" spans="1:5">
      <c r="A259" s="131">
        <v>46127</v>
      </c>
      <c r="B259" s="125" cm="1">
        <f t="array" ref="B259">SUMPRODUCT((tbl_DataDraftApril26[Phase]=B$1)*(ISNUMBER(tbl_DataDraftApril26[Start]))*(ISNUMBER(tbl_DataDraftApril26[End]))*($A259&gt;tbl_DataDraftApril26[Start])*($A259&lt;tbl_DataDraftApril26[End]))</f>
        <v>36</v>
      </c>
      <c r="C259" s="125" cm="1">
        <f t="array" ref="C259">SUMPRODUCT((tbl_DataDraftApril26[Phase]=C$1)*(ISNUMBER(tbl_DataDraftApril26[Start]))*(ISNUMBER(tbl_DataDraftApril26[End]))*($A259&gt;tbl_DataDraftApril26[Start])*($A259&lt;tbl_DataDraftApril26[End]))</f>
        <v>15</v>
      </c>
      <c r="D259" s="125" cm="1">
        <f t="array" ref="D259">SUMPRODUCT((tbl_DataDraftApril26[Phase]=D$1)*(ISNUMBER(tbl_DataDraftApril26[Start]))*(ISNUMBER(tbl_DataDraftApril26[End]))*($A259&gt;tbl_DataDraftApril26[Start])*($A259&lt;tbl_DataDraftApril26[End]))</f>
        <v>1</v>
      </c>
      <c r="E259" s="125" cm="1">
        <f t="array" ref="E259">SUMPRODUCT((tbl_DataDraftApril26[Phase]=E$1)*(ISNUMBER(tbl_DataDraftApril26[Start]))*(ISNUMBER(tbl_DataDraftApril26[End]))*($A259&gt;tbl_DataDraftApril26[Start])*($A259&lt;tbl_DataDraftApril26[End]))</f>
        <v>3</v>
      </c>
    </row>
    <row r="260" spans="1:5">
      <c r="A260" s="131">
        <v>46128</v>
      </c>
      <c r="B260" s="125" cm="1">
        <f t="array" ref="B260">SUMPRODUCT((tbl_DataDraftApril26[Phase]=B$1)*(ISNUMBER(tbl_DataDraftApril26[Start]))*(ISNUMBER(tbl_DataDraftApril26[End]))*($A260&gt;tbl_DataDraftApril26[Start])*($A260&lt;tbl_DataDraftApril26[End]))</f>
        <v>36</v>
      </c>
      <c r="C260" s="125" cm="1">
        <f t="array" ref="C260">SUMPRODUCT((tbl_DataDraftApril26[Phase]=C$1)*(ISNUMBER(tbl_DataDraftApril26[Start]))*(ISNUMBER(tbl_DataDraftApril26[End]))*($A260&gt;tbl_DataDraftApril26[Start])*($A260&lt;tbl_DataDraftApril26[End]))</f>
        <v>17</v>
      </c>
      <c r="D260" s="125" cm="1">
        <f t="array" ref="D260">SUMPRODUCT((tbl_DataDraftApril26[Phase]=D$1)*(ISNUMBER(tbl_DataDraftApril26[Start]))*(ISNUMBER(tbl_DataDraftApril26[End]))*($A260&gt;tbl_DataDraftApril26[Start])*($A260&lt;tbl_DataDraftApril26[End]))</f>
        <v>1</v>
      </c>
      <c r="E260" s="125" cm="1">
        <f t="array" ref="E260">SUMPRODUCT((tbl_DataDraftApril26[Phase]=E$1)*(ISNUMBER(tbl_DataDraftApril26[Start]))*(ISNUMBER(tbl_DataDraftApril26[End]))*($A260&gt;tbl_DataDraftApril26[Start])*($A260&lt;tbl_DataDraftApril26[End]))</f>
        <v>3</v>
      </c>
    </row>
    <row r="261" spans="1:5">
      <c r="A261" s="131">
        <v>46129</v>
      </c>
      <c r="B261" s="125" cm="1">
        <f t="array" ref="B261">SUMPRODUCT((tbl_DataDraftApril26[Phase]=B$1)*(ISNUMBER(tbl_DataDraftApril26[Start]))*(ISNUMBER(tbl_DataDraftApril26[End]))*($A261&gt;tbl_DataDraftApril26[Start])*($A261&lt;tbl_DataDraftApril26[End]))</f>
        <v>36</v>
      </c>
      <c r="C261" s="125" cm="1">
        <f t="array" ref="C261">SUMPRODUCT((tbl_DataDraftApril26[Phase]=C$1)*(ISNUMBER(tbl_DataDraftApril26[Start]))*(ISNUMBER(tbl_DataDraftApril26[End]))*($A261&gt;tbl_DataDraftApril26[Start])*($A261&lt;tbl_DataDraftApril26[End]))</f>
        <v>17</v>
      </c>
      <c r="D261" s="125" cm="1">
        <f t="array" ref="D261">SUMPRODUCT((tbl_DataDraftApril26[Phase]=D$1)*(ISNUMBER(tbl_DataDraftApril26[Start]))*(ISNUMBER(tbl_DataDraftApril26[End]))*($A261&gt;tbl_DataDraftApril26[Start])*($A261&lt;tbl_DataDraftApril26[End]))</f>
        <v>1</v>
      </c>
      <c r="E261" s="125" cm="1">
        <f t="array" ref="E261">SUMPRODUCT((tbl_DataDraftApril26[Phase]=E$1)*(ISNUMBER(tbl_DataDraftApril26[Start]))*(ISNUMBER(tbl_DataDraftApril26[End]))*($A261&gt;tbl_DataDraftApril26[Start])*($A261&lt;tbl_DataDraftApril26[End]))</f>
        <v>3</v>
      </c>
    </row>
    <row r="262" spans="1:5">
      <c r="A262" s="131">
        <v>46130</v>
      </c>
      <c r="B262" s="125" cm="1">
        <f t="array" ref="B262">SUMPRODUCT((tbl_DataDraftApril26[Phase]=B$1)*(ISNUMBER(tbl_DataDraftApril26[Start]))*(ISNUMBER(tbl_DataDraftApril26[End]))*($A262&gt;tbl_DataDraftApril26[Start])*($A262&lt;tbl_DataDraftApril26[End]))</f>
        <v>36</v>
      </c>
      <c r="C262" s="125" cm="1">
        <f t="array" ref="C262">SUMPRODUCT((tbl_DataDraftApril26[Phase]=C$1)*(ISNUMBER(tbl_DataDraftApril26[Start]))*(ISNUMBER(tbl_DataDraftApril26[End]))*($A262&gt;tbl_DataDraftApril26[Start])*($A262&lt;tbl_DataDraftApril26[End]))</f>
        <v>17</v>
      </c>
      <c r="D262" s="125" cm="1">
        <f t="array" ref="D262">SUMPRODUCT((tbl_DataDraftApril26[Phase]=D$1)*(ISNUMBER(tbl_DataDraftApril26[Start]))*(ISNUMBER(tbl_DataDraftApril26[End]))*($A262&gt;tbl_DataDraftApril26[Start])*($A262&lt;tbl_DataDraftApril26[End]))</f>
        <v>1</v>
      </c>
      <c r="E262" s="125" cm="1">
        <f t="array" ref="E262">SUMPRODUCT((tbl_DataDraftApril26[Phase]=E$1)*(ISNUMBER(tbl_DataDraftApril26[Start]))*(ISNUMBER(tbl_DataDraftApril26[End]))*($A262&gt;tbl_DataDraftApril26[Start])*($A262&lt;tbl_DataDraftApril26[End]))</f>
        <v>3</v>
      </c>
    </row>
    <row r="263" spans="1:5">
      <c r="A263" s="131">
        <v>46131</v>
      </c>
      <c r="B263" s="125" cm="1">
        <f t="array" ref="B263">SUMPRODUCT((tbl_DataDraftApril26[Phase]=B$1)*(ISNUMBER(tbl_DataDraftApril26[Start]))*(ISNUMBER(tbl_DataDraftApril26[End]))*($A263&gt;tbl_DataDraftApril26[Start])*($A263&lt;tbl_DataDraftApril26[End]))</f>
        <v>36</v>
      </c>
      <c r="C263" s="125" cm="1">
        <f t="array" ref="C263">SUMPRODUCT((tbl_DataDraftApril26[Phase]=C$1)*(ISNUMBER(tbl_DataDraftApril26[Start]))*(ISNUMBER(tbl_DataDraftApril26[End]))*($A263&gt;tbl_DataDraftApril26[Start])*($A263&lt;tbl_DataDraftApril26[End]))</f>
        <v>17</v>
      </c>
      <c r="D263" s="125" cm="1">
        <f t="array" ref="D263">SUMPRODUCT((tbl_DataDraftApril26[Phase]=D$1)*(ISNUMBER(tbl_DataDraftApril26[Start]))*(ISNUMBER(tbl_DataDraftApril26[End]))*($A263&gt;tbl_DataDraftApril26[Start])*($A263&lt;tbl_DataDraftApril26[End]))</f>
        <v>1</v>
      </c>
      <c r="E263" s="125" cm="1">
        <f t="array" ref="E263">SUMPRODUCT((tbl_DataDraftApril26[Phase]=E$1)*(ISNUMBER(tbl_DataDraftApril26[Start]))*(ISNUMBER(tbl_DataDraftApril26[End]))*($A263&gt;tbl_DataDraftApril26[Start])*($A263&lt;tbl_DataDraftApril26[End]))</f>
        <v>3</v>
      </c>
    </row>
    <row r="264" spans="1:5">
      <c r="A264" s="131">
        <v>46132</v>
      </c>
      <c r="B264" s="125" cm="1">
        <f t="array" ref="B264">SUMPRODUCT((tbl_DataDraftApril26[Phase]=B$1)*(ISNUMBER(tbl_DataDraftApril26[Start]))*(ISNUMBER(tbl_DataDraftApril26[End]))*($A264&gt;tbl_DataDraftApril26[Start])*($A264&lt;tbl_DataDraftApril26[End]))</f>
        <v>36</v>
      </c>
      <c r="C264" s="125" cm="1">
        <f t="array" ref="C264">SUMPRODUCT((tbl_DataDraftApril26[Phase]=C$1)*(ISNUMBER(tbl_DataDraftApril26[Start]))*(ISNUMBER(tbl_DataDraftApril26[End]))*($A264&gt;tbl_DataDraftApril26[Start])*($A264&lt;tbl_DataDraftApril26[End]))</f>
        <v>17</v>
      </c>
      <c r="D264" s="125" cm="1">
        <f t="array" ref="D264">SUMPRODUCT((tbl_DataDraftApril26[Phase]=D$1)*(ISNUMBER(tbl_DataDraftApril26[Start]))*(ISNUMBER(tbl_DataDraftApril26[End]))*($A264&gt;tbl_DataDraftApril26[Start])*($A264&lt;tbl_DataDraftApril26[End]))</f>
        <v>1</v>
      </c>
      <c r="E264" s="125" cm="1">
        <f t="array" ref="E264">SUMPRODUCT((tbl_DataDraftApril26[Phase]=E$1)*(ISNUMBER(tbl_DataDraftApril26[Start]))*(ISNUMBER(tbl_DataDraftApril26[End]))*($A264&gt;tbl_DataDraftApril26[Start])*($A264&lt;tbl_DataDraftApril26[End]))</f>
        <v>3</v>
      </c>
    </row>
    <row r="265" spans="1:5">
      <c r="A265" s="131">
        <v>46133</v>
      </c>
      <c r="B265" s="125" cm="1">
        <f t="array" ref="B265">SUMPRODUCT((tbl_DataDraftApril26[Phase]=B$1)*(ISNUMBER(tbl_DataDraftApril26[Start]))*(ISNUMBER(tbl_DataDraftApril26[End]))*($A265&gt;tbl_DataDraftApril26[Start])*($A265&lt;tbl_DataDraftApril26[End]))</f>
        <v>37</v>
      </c>
      <c r="C265" s="125" cm="1">
        <f t="array" ref="C265">SUMPRODUCT((tbl_DataDraftApril26[Phase]=C$1)*(ISNUMBER(tbl_DataDraftApril26[Start]))*(ISNUMBER(tbl_DataDraftApril26[End]))*($A265&gt;tbl_DataDraftApril26[Start])*($A265&lt;tbl_DataDraftApril26[End]))</f>
        <v>17</v>
      </c>
      <c r="D265" s="125" cm="1">
        <f t="array" ref="D265">SUMPRODUCT((tbl_DataDraftApril26[Phase]=D$1)*(ISNUMBER(tbl_DataDraftApril26[Start]))*(ISNUMBER(tbl_DataDraftApril26[End]))*($A265&gt;tbl_DataDraftApril26[Start])*($A265&lt;tbl_DataDraftApril26[End]))</f>
        <v>1</v>
      </c>
      <c r="E265" s="125" cm="1">
        <f t="array" ref="E265">SUMPRODUCT((tbl_DataDraftApril26[Phase]=E$1)*(ISNUMBER(tbl_DataDraftApril26[Start]))*(ISNUMBER(tbl_DataDraftApril26[End]))*($A265&gt;tbl_DataDraftApril26[Start])*($A265&lt;tbl_DataDraftApril26[End]))</f>
        <v>3</v>
      </c>
    </row>
    <row r="266" spans="1:5">
      <c r="A266" s="131">
        <v>46134</v>
      </c>
      <c r="B266" s="125" cm="1">
        <f t="array" ref="B266">SUMPRODUCT((tbl_DataDraftApril26[Phase]=B$1)*(ISNUMBER(tbl_DataDraftApril26[Start]))*(ISNUMBER(tbl_DataDraftApril26[End]))*($A266&gt;tbl_DataDraftApril26[Start])*($A266&lt;tbl_DataDraftApril26[End]))</f>
        <v>36</v>
      </c>
      <c r="C266" s="125" cm="1">
        <f t="array" ref="C266">SUMPRODUCT((tbl_DataDraftApril26[Phase]=C$1)*(ISNUMBER(tbl_DataDraftApril26[Start]))*(ISNUMBER(tbl_DataDraftApril26[End]))*($A266&gt;tbl_DataDraftApril26[Start])*($A266&lt;tbl_DataDraftApril26[End]))</f>
        <v>17</v>
      </c>
      <c r="D266" s="125" cm="1">
        <f t="array" ref="D266">SUMPRODUCT((tbl_DataDraftApril26[Phase]=D$1)*(ISNUMBER(tbl_DataDraftApril26[Start]))*(ISNUMBER(tbl_DataDraftApril26[End]))*($A266&gt;tbl_DataDraftApril26[Start])*($A266&lt;tbl_DataDraftApril26[End]))</f>
        <v>1</v>
      </c>
      <c r="E266" s="125" cm="1">
        <f t="array" ref="E266">SUMPRODUCT((tbl_DataDraftApril26[Phase]=E$1)*(ISNUMBER(tbl_DataDraftApril26[Start]))*(ISNUMBER(tbl_DataDraftApril26[End]))*($A266&gt;tbl_DataDraftApril26[Start])*($A266&lt;tbl_DataDraftApril26[End]))</f>
        <v>3</v>
      </c>
    </row>
    <row r="267" spans="1:5">
      <c r="A267" s="131">
        <v>46135</v>
      </c>
      <c r="B267" s="125" cm="1">
        <f t="array" ref="B267">SUMPRODUCT((tbl_DataDraftApril26[Phase]=B$1)*(ISNUMBER(tbl_DataDraftApril26[Start]))*(ISNUMBER(tbl_DataDraftApril26[End]))*($A267&gt;tbl_DataDraftApril26[Start])*($A267&lt;tbl_DataDraftApril26[End]))</f>
        <v>36</v>
      </c>
      <c r="C267" s="125" cm="1">
        <f t="array" ref="C267">SUMPRODUCT((tbl_DataDraftApril26[Phase]=C$1)*(ISNUMBER(tbl_DataDraftApril26[Start]))*(ISNUMBER(tbl_DataDraftApril26[End]))*($A267&gt;tbl_DataDraftApril26[Start])*($A267&lt;tbl_DataDraftApril26[End]))</f>
        <v>17</v>
      </c>
      <c r="D267" s="125" cm="1">
        <f t="array" ref="D267">SUMPRODUCT((tbl_DataDraftApril26[Phase]=D$1)*(ISNUMBER(tbl_DataDraftApril26[Start]))*(ISNUMBER(tbl_DataDraftApril26[End]))*($A267&gt;tbl_DataDraftApril26[Start])*($A267&lt;tbl_DataDraftApril26[End]))</f>
        <v>1</v>
      </c>
      <c r="E267" s="125" cm="1">
        <f t="array" ref="E267">SUMPRODUCT((tbl_DataDraftApril26[Phase]=E$1)*(ISNUMBER(tbl_DataDraftApril26[Start]))*(ISNUMBER(tbl_DataDraftApril26[End]))*($A267&gt;tbl_DataDraftApril26[Start])*($A267&lt;tbl_DataDraftApril26[End]))</f>
        <v>3</v>
      </c>
    </row>
    <row r="268" spans="1:5">
      <c r="A268" s="131">
        <v>46136</v>
      </c>
      <c r="B268" s="125" cm="1">
        <f t="array" ref="B268">SUMPRODUCT((tbl_DataDraftApril26[Phase]=B$1)*(ISNUMBER(tbl_DataDraftApril26[Start]))*(ISNUMBER(tbl_DataDraftApril26[End]))*($A268&gt;tbl_DataDraftApril26[Start])*($A268&lt;tbl_DataDraftApril26[End]))</f>
        <v>36</v>
      </c>
      <c r="C268" s="125" cm="1">
        <f t="array" ref="C268">SUMPRODUCT((tbl_DataDraftApril26[Phase]=C$1)*(ISNUMBER(tbl_DataDraftApril26[Start]))*(ISNUMBER(tbl_DataDraftApril26[End]))*($A268&gt;tbl_DataDraftApril26[Start])*($A268&lt;tbl_DataDraftApril26[End]))</f>
        <v>17</v>
      </c>
      <c r="D268" s="125" cm="1">
        <f t="array" ref="D268">SUMPRODUCT((tbl_DataDraftApril26[Phase]=D$1)*(ISNUMBER(tbl_DataDraftApril26[Start]))*(ISNUMBER(tbl_DataDraftApril26[End]))*($A268&gt;tbl_DataDraftApril26[Start])*($A268&lt;tbl_DataDraftApril26[End]))</f>
        <v>1</v>
      </c>
      <c r="E268" s="125" cm="1">
        <f t="array" ref="E268">SUMPRODUCT((tbl_DataDraftApril26[Phase]=E$1)*(ISNUMBER(tbl_DataDraftApril26[Start]))*(ISNUMBER(tbl_DataDraftApril26[End]))*($A268&gt;tbl_DataDraftApril26[Start])*($A268&lt;tbl_DataDraftApril26[End]))</f>
        <v>3</v>
      </c>
    </row>
    <row r="269" spans="1:5">
      <c r="A269" s="131">
        <v>46137</v>
      </c>
      <c r="B269" s="125" cm="1">
        <f t="array" ref="B269">SUMPRODUCT((tbl_DataDraftApril26[Phase]=B$1)*(ISNUMBER(tbl_DataDraftApril26[Start]))*(ISNUMBER(tbl_DataDraftApril26[End]))*($A269&gt;tbl_DataDraftApril26[Start])*($A269&lt;tbl_DataDraftApril26[End]))</f>
        <v>36</v>
      </c>
      <c r="C269" s="125" cm="1">
        <f t="array" ref="C269">SUMPRODUCT((tbl_DataDraftApril26[Phase]=C$1)*(ISNUMBER(tbl_DataDraftApril26[Start]))*(ISNUMBER(tbl_DataDraftApril26[End]))*($A269&gt;tbl_DataDraftApril26[Start])*($A269&lt;tbl_DataDraftApril26[End]))</f>
        <v>17</v>
      </c>
      <c r="D269" s="125" cm="1">
        <f t="array" ref="D269">SUMPRODUCT((tbl_DataDraftApril26[Phase]=D$1)*(ISNUMBER(tbl_DataDraftApril26[Start]))*(ISNUMBER(tbl_DataDraftApril26[End]))*($A269&gt;tbl_DataDraftApril26[Start])*($A269&lt;tbl_DataDraftApril26[End]))</f>
        <v>1</v>
      </c>
      <c r="E269" s="125" cm="1">
        <f t="array" ref="E269">SUMPRODUCT((tbl_DataDraftApril26[Phase]=E$1)*(ISNUMBER(tbl_DataDraftApril26[Start]))*(ISNUMBER(tbl_DataDraftApril26[End]))*($A269&gt;tbl_DataDraftApril26[Start])*($A269&lt;tbl_DataDraftApril26[End]))</f>
        <v>3</v>
      </c>
    </row>
    <row r="270" spans="1:5">
      <c r="A270" s="131">
        <v>46138</v>
      </c>
      <c r="B270" s="125" cm="1">
        <f t="array" ref="B270">SUMPRODUCT((tbl_DataDraftApril26[Phase]=B$1)*(ISNUMBER(tbl_DataDraftApril26[Start]))*(ISNUMBER(tbl_DataDraftApril26[End]))*($A270&gt;tbl_DataDraftApril26[Start])*($A270&lt;tbl_DataDraftApril26[End]))</f>
        <v>36</v>
      </c>
      <c r="C270" s="125" cm="1">
        <f t="array" ref="C270">SUMPRODUCT((tbl_DataDraftApril26[Phase]=C$1)*(ISNUMBER(tbl_DataDraftApril26[Start]))*(ISNUMBER(tbl_DataDraftApril26[End]))*($A270&gt;tbl_DataDraftApril26[Start])*($A270&lt;tbl_DataDraftApril26[End]))</f>
        <v>17</v>
      </c>
      <c r="D270" s="125" cm="1">
        <f t="array" ref="D270">SUMPRODUCT((tbl_DataDraftApril26[Phase]=D$1)*(ISNUMBER(tbl_DataDraftApril26[Start]))*(ISNUMBER(tbl_DataDraftApril26[End]))*($A270&gt;tbl_DataDraftApril26[Start])*($A270&lt;tbl_DataDraftApril26[End]))</f>
        <v>1</v>
      </c>
      <c r="E270" s="125" cm="1">
        <f t="array" ref="E270">SUMPRODUCT((tbl_DataDraftApril26[Phase]=E$1)*(ISNUMBER(tbl_DataDraftApril26[Start]))*(ISNUMBER(tbl_DataDraftApril26[End]))*($A270&gt;tbl_DataDraftApril26[Start])*($A270&lt;tbl_DataDraftApril26[End]))</f>
        <v>3</v>
      </c>
    </row>
    <row r="271" spans="1:5">
      <c r="A271" s="131">
        <v>46139</v>
      </c>
      <c r="B271" s="125" cm="1">
        <f t="array" ref="B271">SUMPRODUCT((tbl_DataDraftApril26[Phase]=B$1)*(ISNUMBER(tbl_DataDraftApril26[Start]))*(ISNUMBER(tbl_DataDraftApril26[End]))*($A271&gt;tbl_DataDraftApril26[Start])*($A271&lt;tbl_DataDraftApril26[End]))</f>
        <v>36</v>
      </c>
      <c r="C271" s="125" cm="1">
        <f t="array" ref="C271">SUMPRODUCT((tbl_DataDraftApril26[Phase]=C$1)*(ISNUMBER(tbl_DataDraftApril26[Start]))*(ISNUMBER(tbl_DataDraftApril26[End]))*($A271&gt;tbl_DataDraftApril26[Start])*($A271&lt;tbl_DataDraftApril26[End]))</f>
        <v>17</v>
      </c>
      <c r="D271" s="125" cm="1">
        <f t="array" ref="D271">SUMPRODUCT((tbl_DataDraftApril26[Phase]=D$1)*(ISNUMBER(tbl_DataDraftApril26[Start]))*(ISNUMBER(tbl_DataDraftApril26[End]))*($A271&gt;tbl_DataDraftApril26[Start])*($A271&lt;tbl_DataDraftApril26[End]))</f>
        <v>1</v>
      </c>
      <c r="E271" s="125" cm="1">
        <f t="array" ref="E271">SUMPRODUCT((tbl_DataDraftApril26[Phase]=E$1)*(ISNUMBER(tbl_DataDraftApril26[Start]))*(ISNUMBER(tbl_DataDraftApril26[End]))*($A271&gt;tbl_DataDraftApril26[Start])*($A271&lt;tbl_DataDraftApril26[End]))</f>
        <v>3</v>
      </c>
    </row>
    <row r="272" spans="1:5">
      <c r="A272" s="131">
        <v>46140</v>
      </c>
      <c r="B272" s="125" cm="1">
        <f t="array" ref="B272">SUMPRODUCT((tbl_DataDraftApril26[Phase]=B$1)*(ISNUMBER(tbl_DataDraftApril26[Start]))*(ISNUMBER(tbl_DataDraftApril26[End]))*($A272&gt;tbl_DataDraftApril26[Start])*($A272&lt;tbl_DataDraftApril26[End]))</f>
        <v>36</v>
      </c>
      <c r="C272" s="125" cm="1">
        <f t="array" ref="C272">SUMPRODUCT((tbl_DataDraftApril26[Phase]=C$1)*(ISNUMBER(tbl_DataDraftApril26[Start]))*(ISNUMBER(tbl_DataDraftApril26[End]))*($A272&gt;tbl_DataDraftApril26[Start])*($A272&lt;tbl_DataDraftApril26[End]))</f>
        <v>17</v>
      </c>
      <c r="D272" s="125" cm="1">
        <f t="array" ref="D272">SUMPRODUCT((tbl_DataDraftApril26[Phase]=D$1)*(ISNUMBER(tbl_DataDraftApril26[Start]))*(ISNUMBER(tbl_DataDraftApril26[End]))*($A272&gt;tbl_DataDraftApril26[Start])*($A272&lt;tbl_DataDraftApril26[End]))</f>
        <v>1</v>
      </c>
      <c r="E272" s="125" cm="1">
        <f t="array" ref="E272">SUMPRODUCT((tbl_DataDraftApril26[Phase]=E$1)*(ISNUMBER(tbl_DataDraftApril26[Start]))*(ISNUMBER(tbl_DataDraftApril26[End]))*($A272&gt;tbl_DataDraftApril26[Start])*($A272&lt;tbl_DataDraftApril26[End]))</f>
        <v>3</v>
      </c>
    </row>
    <row r="273" spans="1:5">
      <c r="A273" s="131">
        <v>46141</v>
      </c>
      <c r="B273" s="125" cm="1">
        <f t="array" ref="B273">SUMPRODUCT((tbl_DataDraftApril26[Phase]=B$1)*(ISNUMBER(tbl_DataDraftApril26[Start]))*(ISNUMBER(tbl_DataDraftApril26[End]))*($A273&gt;tbl_DataDraftApril26[Start])*($A273&lt;tbl_DataDraftApril26[End]))</f>
        <v>36</v>
      </c>
      <c r="C273" s="125" cm="1">
        <f t="array" ref="C273">SUMPRODUCT((tbl_DataDraftApril26[Phase]=C$1)*(ISNUMBER(tbl_DataDraftApril26[Start]))*(ISNUMBER(tbl_DataDraftApril26[End]))*($A273&gt;tbl_DataDraftApril26[Start])*($A273&lt;tbl_DataDraftApril26[End]))</f>
        <v>17</v>
      </c>
      <c r="D273" s="125" cm="1">
        <f t="array" ref="D273">SUMPRODUCT((tbl_DataDraftApril26[Phase]=D$1)*(ISNUMBER(tbl_DataDraftApril26[Start]))*(ISNUMBER(tbl_DataDraftApril26[End]))*($A273&gt;tbl_DataDraftApril26[Start])*($A273&lt;tbl_DataDraftApril26[End]))</f>
        <v>1</v>
      </c>
      <c r="E273" s="125" cm="1">
        <f t="array" ref="E273">SUMPRODUCT((tbl_DataDraftApril26[Phase]=E$1)*(ISNUMBER(tbl_DataDraftApril26[Start]))*(ISNUMBER(tbl_DataDraftApril26[End]))*($A273&gt;tbl_DataDraftApril26[Start])*($A273&lt;tbl_DataDraftApril26[End]))</f>
        <v>3</v>
      </c>
    </row>
    <row r="274" spans="1:5">
      <c r="A274" s="131">
        <v>46142</v>
      </c>
      <c r="B274" s="125" cm="1">
        <f t="array" ref="B274">SUMPRODUCT((tbl_DataDraftApril26[Phase]=B$1)*(ISNUMBER(tbl_DataDraftApril26[Start]))*(ISNUMBER(tbl_DataDraftApril26[End]))*($A274&gt;tbl_DataDraftApril26[Start])*($A274&lt;tbl_DataDraftApril26[End]))</f>
        <v>27</v>
      </c>
      <c r="C274" s="125" cm="1">
        <f t="array" ref="C274">SUMPRODUCT((tbl_DataDraftApril26[Phase]=C$1)*(ISNUMBER(tbl_DataDraftApril26[Start]))*(ISNUMBER(tbl_DataDraftApril26[End]))*($A274&gt;tbl_DataDraftApril26[Start])*($A274&lt;tbl_DataDraftApril26[End]))</f>
        <v>11</v>
      </c>
      <c r="D274" s="125" cm="1">
        <f t="array" ref="D274">SUMPRODUCT((tbl_DataDraftApril26[Phase]=D$1)*(ISNUMBER(tbl_DataDraftApril26[Start]))*(ISNUMBER(tbl_DataDraftApril26[End]))*($A274&gt;tbl_DataDraftApril26[Start])*($A274&lt;tbl_DataDraftApril26[End]))</f>
        <v>1</v>
      </c>
      <c r="E274" s="125" cm="1">
        <f t="array" ref="E274">SUMPRODUCT((tbl_DataDraftApril26[Phase]=E$1)*(ISNUMBER(tbl_DataDraftApril26[Start]))*(ISNUMBER(tbl_DataDraftApril26[End]))*($A274&gt;tbl_DataDraftApril26[Start])*($A274&lt;tbl_DataDraftApril26[End]))</f>
        <v>2</v>
      </c>
    </row>
    <row r="275" spans="1:5">
      <c r="A275" s="131">
        <v>46143</v>
      </c>
      <c r="B275" s="125" cm="1">
        <f t="array" ref="B275">SUMPRODUCT((tbl_DataDraftApril26[Phase]=B$1)*(ISNUMBER(tbl_DataDraftApril26[Start]))*(ISNUMBER(tbl_DataDraftApril26[End]))*($A275&gt;tbl_DataDraftApril26[Start])*($A275&lt;tbl_DataDraftApril26[End]))</f>
        <v>27</v>
      </c>
      <c r="C275" s="125" cm="1">
        <f t="array" ref="C275">SUMPRODUCT((tbl_DataDraftApril26[Phase]=C$1)*(ISNUMBER(tbl_DataDraftApril26[Start]))*(ISNUMBER(tbl_DataDraftApril26[End]))*($A275&gt;tbl_DataDraftApril26[Start])*($A275&lt;tbl_DataDraftApril26[End]))</f>
        <v>11</v>
      </c>
      <c r="D275" s="125" cm="1">
        <f t="array" ref="D275">SUMPRODUCT((tbl_DataDraftApril26[Phase]=D$1)*(ISNUMBER(tbl_DataDraftApril26[Start]))*(ISNUMBER(tbl_DataDraftApril26[End]))*($A275&gt;tbl_DataDraftApril26[Start])*($A275&lt;tbl_DataDraftApril26[End]))</f>
        <v>1</v>
      </c>
      <c r="E275" s="125" cm="1">
        <f t="array" ref="E275">SUMPRODUCT((tbl_DataDraftApril26[Phase]=E$1)*(ISNUMBER(tbl_DataDraftApril26[Start]))*(ISNUMBER(tbl_DataDraftApril26[End]))*($A275&gt;tbl_DataDraftApril26[Start])*($A275&lt;tbl_DataDraftApril26[End]))</f>
        <v>2</v>
      </c>
    </row>
    <row r="276" spans="1:5">
      <c r="A276" s="131">
        <v>46144</v>
      </c>
      <c r="B276" s="125" cm="1">
        <f t="array" ref="B276">SUMPRODUCT((tbl_DataDraftApril26[Phase]=B$1)*(ISNUMBER(tbl_DataDraftApril26[Start]))*(ISNUMBER(tbl_DataDraftApril26[End]))*($A276&gt;tbl_DataDraftApril26[Start])*($A276&lt;tbl_DataDraftApril26[End]))</f>
        <v>28</v>
      </c>
      <c r="C276" s="125" cm="1">
        <f t="array" ref="C276">SUMPRODUCT((tbl_DataDraftApril26[Phase]=C$1)*(ISNUMBER(tbl_DataDraftApril26[Start]))*(ISNUMBER(tbl_DataDraftApril26[End]))*($A276&gt;tbl_DataDraftApril26[Start])*($A276&lt;tbl_DataDraftApril26[End]))</f>
        <v>12</v>
      </c>
      <c r="D276" s="125" cm="1">
        <f t="array" ref="D276">SUMPRODUCT((tbl_DataDraftApril26[Phase]=D$1)*(ISNUMBER(tbl_DataDraftApril26[Start]))*(ISNUMBER(tbl_DataDraftApril26[End]))*($A276&gt;tbl_DataDraftApril26[Start])*($A276&lt;tbl_DataDraftApril26[End]))</f>
        <v>1</v>
      </c>
      <c r="E276" s="125" cm="1">
        <f t="array" ref="E276">SUMPRODUCT((tbl_DataDraftApril26[Phase]=E$1)*(ISNUMBER(tbl_DataDraftApril26[Start]))*(ISNUMBER(tbl_DataDraftApril26[End]))*($A276&gt;tbl_DataDraftApril26[Start])*($A276&lt;tbl_DataDraftApril26[End]))</f>
        <v>2</v>
      </c>
    </row>
    <row r="277" spans="1:5">
      <c r="A277" s="131">
        <v>46145</v>
      </c>
      <c r="B277" s="125" cm="1">
        <f t="array" ref="B277">SUMPRODUCT((tbl_DataDraftApril26[Phase]=B$1)*(ISNUMBER(tbl_DataDraftApril26[Start]))*(ISNUMBER(tbl_DataDraftApril26[End]))*($A277&gt;tbl_DataDraftApril26[Start])*($A277&lt;tbl_DataDraftApril26[End]))</f>
        <v>28</v>
      </c>
      <c r="C277" s="125" cm="1">
        <f t="array" ref="C277">SUMPRODUCT((tbl_DataDraftApril26[Phase]=C$1)*(ISNUMBER(tbl_DataDraftApril26[Start]))*(ISNUMBER(tbl_DataDraftApril26[End]))*($A277&gt;tbl_DataDraftApril26[Start])*($A277&lt;tbl_DataDraftApril26[End]))</f>
        <v>12</v>
      </c>
      <c r="D277" s="125" cm="1">
        <f t="array" ref="D277">SUMPRODUCT((tbl_DataDraftApril26[Phase]=D$1)*(ISNUMBER(tbl_DataDraftApril26[Start]))*(ISNUMBER(tbl_DataDraftApril26[End]))*($A277&gt;tbl_DataDraftApril26[Start])*($A277&lt;tbl_DataDraftApril26[End]))</f>
        <v>1</v>
      </c>
      <c r="E277" s="125" cm="1">
        <f t="array" ref="E277">SUMPRODUCT((tbl_DataDraftApril26[Phase]=E$1)*(ISNUMBER(tbl_DataDraftApril26[Start]))*(ISNUMBER(tbl_DataDraftApril26[End]))*($A277&gt;tbl_DataDraftApril26[Start])*($A277&lt;tbl_DataDraftApril26[End]))</f>
        <v>2</v>
      </c>
    </row>
    <row r="278" spans="1:5">
      <c r="A278" s="131">
        <v>46146</v>
      </c>
      <c r="B278" s="125" cm="1">
        <f t="array" ref="B278">SUMPRODUCT((tbl_DataDraftApril26[Phase]=B$1)*(ISNUMBER(tbl_DataDraftApril26[Start]))*(ISNUMBER(tbl_DataDraftApril26[End]))*($A278&gt;tbl_DataDraftApril26[Start])*($A278&lt;tbl_DataDraftApril26[End]))</f>
        <v>28</v>
      </c>
      <c r="C278" s="125" cm="1">
        <f t="array" ref="C278">SUMPRODUCT((tbl_DataDraftApril26[Phase]=C$1)*(ISNUMBER(tbl_DataDraftApril26[Start]))*(ISNUMBER(tbl_DataDraftApril26[End]))*($A278&gt;tbl_DataDraftApril26[Start])*($A278&lt;tbl_DataDraftApril26[End]))</f>
        <v>12</v>
      </c>
      <c r="D278" s="125" cm="1">
        <f t="array" ref="D278">SUMPRODUCT((tbl_DataDraftApril26[Phase]=D$1)*(ISNUMBER(tbl_DataDraftApril26[Start]))*(ISNUMBER(tbl_DataDraftApril26[End]))*($A278&gt;tbl_DataDraftApril26[Start])*($A278&lt;tbl_DataDraftApril26[End]))</f>
        <v>1</v>
      </c>
      <c r="E278" s="125" cm="1">
        <f t="array" ref="E278">SUMPRODUCT((tbl_DataDraftApril26[Phase]=E$1)*(ISNUMBER(tbl_DataDraftApril26[Start]))*(ISNUMBER(tbl_DataDraftApril26[End]))*($A278&gt;tbl_DataDraftApril26[Start])*($A278&lt;tbl_DataDraftApril26[End]))</f>
        <v>2</v>
      </c>
    </row>
    <row r="279" spans="1:5">
      <c r="A279" s="131">
        <v>46147</v>
      </c>
      <c r="B279" s="125" cm="1">
        <f t="array" ref="B279">SUMPRODUCT((tbl_DataDraftApril26[Phase]=B$1)*(ISNUMBER(tbl_DataDraftApril26[Start]))*(ISNUMBER(tbl_DataDraftApril26[End]))*($A279&gt;tbl_DataDraftApril26[Start])*($A279&lt;tbl_DataDraftApril26[End]))</f>
        <v>33</v>
      </c>
      <c r="C279" s="125" cm="1">
        <f t="array" ref="C279">SUMPRODUCT((tbl_DataDraftApril26[Phase]=C$1)*(ISNUMBER(tbl_DataDraftApril26[Start]))*(ISNUMBER(tbl_DataDraftApril26[End]))*($A279&gt;tbl_DataDraftApril26[Start])*($A279&lt;tbl_DataDraftApril26[End]))</f>
        <v>12</v>
      </c>
      <c r="D279" s="125" cm="1">
        <f t="array" ref="D279">SUMPRODUCT((tbl_DataDraftApril26[Phase]=D$1)*(ISNUMBER(tbl_DataDraftApril26[Start]))*(ISNUMBER(tbl_DataDraftApril26[End]))*($A279&gt;tbl_DataDraftApril26[Start])*($A279&lt;tbl_DataDraftApril26[End]))</f>
        <v>1</v>
      </c>
      <c r="E279" s="125" cm="1">
        <f t="array" ref="E279">SUMPRODUCT((tbl_DataDraftApril26[Phase]=E$1)*(ISNUMBER(tbl_DataDraftApril26[Start]))*(ISNUMBER(tbl_DataDraftApril26[End]))*($A279&gt;tbl_DataDraftApril26[Start])*($A279&lt;tbl_DataDraftApril26[End]))</f>
        <v>2</v>
      </c>
    </row>
    <row r="280" spans="1:5">
      <c r="A280" s="131">
        <v>46148</v>
      </c>
      <c r="B280" s="125" cm="1">
        <f t="array" ref="B280">SUMPRODUCT((tbl_DataDraftApril26[Phase]=B$1)*(ISNUMBER(tbl_DataDraftApril26[Start]))*(ISNUMBER(tbl_DataDraftApril26[End]))*($A280&gt;tbl_DataDraftApril26[Start])*($A280&lt;tbl_DataDraftApril26[End]))</f>
        <v>33</v>
      </c>
      <c r="C280" s="125" cm="1">
        <f t="array" ref="C280">SUMPRODUCT((tbl_DataDraftApril26[Phase]=C$1)*(ISNUMBER(tbl_DataDraftApril26[Start]))*(ISNUMBER(tbl_DataDraftApril26[End]))*($A280&gt;tbl_DataDraftApril26[Start])*($A280&lt;tbl_DataDraftApril26[End]))</f>
        <v>12</v>
      </c>
      <c r="D280" s="125" cm="1">
        <f t="array" ref="D280">SUMPRODUCT((tbl_DataDraftApril26[Phase]=D$1)*(ISNUMBER(tbl_DataDraftApril26[Start]))*(ISNUMBER(tbl_DataDraftApril26[End]))*($A280&gt;tbl_DataDraftApril26[Start])*($A280&lt;tbl_DataDraftApril26[End]))</f>
        <v>1</v>
      </c>
      <c r="E280" s="125" cm="1">
        <f t="array" ref="E280">SUMPRODUCT((tbl_DataDraftApril26[Phase]=E$1)*(ISNUMBER(tbl_DataDraftApril26[Start]))*(ISNUMBER(tbl_DataDraftApril26[End]))*($A280&gt;tbl_DataDraftApril26[Start])*($A280&lt;tbl_DataDraftApril26[End]))</f>
        <v>2</v>
      </c>
    </row>
    <row r="281" spans="1:5">
      <c r="A281" s="131">
        <v>46149</v>
      </c>
      <c r="B281" s="125" cm="1">
        <f t="array" ref="B281">SUMPRODUCT((tbl_DataDraftApril26[Phase]=B$1)*(ISNUMBER(tbl_DataDraftApril26[Start]))*(ISNUMBER(tbl_DataDraftApril26[End]))*($A281&gt;tbl_DataDraftApril26[Start])*($A281&lt;tbl_DataDraftApril26[End]))</f>
        <v>33</v>
      </c>
      <c r="C281" s="125" cm="1">
        <f t="array" ref="C281">SUMPRODUCT((tbl_DataDraftApril26[Phase]=C$1)*(ISNUMBER(tbl_DataDraftApril26[Start]))*(ISNUMBER(tbl_DataDraftApril26[End]))*($A281&gt;tbl_DataDraftApril26[Start])*($A281&lt;tbl_DataDraftApril26[End]))</f>
        <v>12</v>
      </c>
      <c r="D281" s="125" cm="1">
        <f t="array" ref="D281">SUMPRODUCT((tbl_DataDraftApril26[Phase]=D$1)*(ISNUMBER(tbl_DataDraftApril26[Start]))*(ISNUMBER(tbl_DataDraftApril26[End]))*($A281&gt;tbl_DataDraftApril26[Start])*($A281&lt;tbl_DataDraftApril26[End]))</f>
        <v>1</v>
      </c>
      <c r="E281" s="125" cm="1">
        <f t="array" ref="E281">SUMPRODUCT((tbl_DataDraftApril26[Phase]=E$1)*(ISNUMBER(tbl_DataDraftApril26[Start]))*(ISNUMBER(tbl_DataDraftApril26[End]))*($A281&gt;tbl_DataDraftApril26[Start])*($A281&lt;tbl_DataDraftApril26[End]))</f>
        <v>2</v>
      </c>
    </row>
    <row r="282" spans="1:5">
      <c r="A282" s="131">
        <v>46150</v>
      </c>
      <c r="B282" s="125" cm="1">
        <f t="array" ref="B282">SUMPRODUCT((tbl_DataDraftApril26[Phase]=B$1)*(ISNUMBER(tbl_DataDraftApril26[Start]))*(ISNUMBER(tbl_DataDraftApril26[End]))*($A282&gt;tbl_DataDraftApril26[Start])*($A282&lt;tbl_DataDraftApril26[End]))</f>
        <v>31</v>
      </c>
      <c r="C282" s="125" cm="1">
        <f t="array" ref="C282">SUMPRODUCT((tbl_DataDraftApril26[Phase]=C$1)*(ISNUMBER(tbl_DataDraftApril26[Start]))*(ISNUMBER(tbl_DataDraftApril26[End]))*($A282&gt;tbl_DataDraftApril26[Start])*($A282&lt;tbl_DataDraftApril26[End]))</f>
        <v>12</v>
      </c>
      <c r="D282" s="125" cm="1">
        <f t="array" ref="D282">SUMPRODUCT((tbl_DataDraftApril26[Phase]=D$1)*(ISNUMBER(tbl_DataDraftApril26[Start]))*(ISNUMBER(tbl_DataDraftApril26[End]))*($A282&gt;tbl_DataDraftApril26[Start])*($A282&lt;tbl_DataDraftApril26[End]))</f>
        <v>1</v>
      </c>
      <c r="E282" s="125" cm="1">
        <f t="array" ref="E282">SUMPRODUCT((tbl_DataDraftApril26[Phase]=E$1)*(ISNUMBER(tbl_DataDraftApril26[Start]))*(ISNUMBER(tbl_DataDraftApril26[End]))*($A282&gt;tbl_DataDraftApril26[Start])*($A282&lt;tbl_DataDraftApril26[End]))</f>
        <v>2</v>
      </c>
    </row>
    <row r="283" spans="1:5">
      <c r="A283" s="131">
        <v>46151</v>
      </c>
      <c r="B283" s="125" cm="1">
        <f t="array" ref="B283">SUMPRODUCT((tbl_DataDraftApril26[Phase]=B$1)*(ISNUMBER(tbl_DataDraftApril26[Start]))*(ISNUMBER(tbl_DataDraftApril26[End]))*($A283&gt;tbl_DataDraftApril26[Start])*($A283&lt;tbl_DataDraftApril26[End]))</f>
        <v>31</v>
      </c>
      <c r="C283" s="125" cm="1">
        <f t="array" ref="C283">SUMPRODUCT((tbl_DataDraftApril26[Phase]=C$1)*(ISNUMBER(tbl_DataDraftApril26[Start]))*(ISNUMBER(tbl_DataDraftApril26[End]))*($A283&gt;tbl_DataDraftApril26[Start])*($A283&lt;tbl_DataDraftApril26[End]))</f>
        <v>13</v>
      </c>
      <c r="D283" s="125" cm="1">
        <f t="array" ref="D283">SUMPRODUCT((tbl_DataDraftApril26[Phase]=D$1)*(ISNUMBER(tbl_DataDraftApril26[Start]))*(ISNUMBER(tbl_DataDraftApril26[End]))*($A283&gt;tbl_DataDraftApril26[Start])*($A283&lt;tbl_DataDraftApril26[End]))</f>
        <v>2</v>
      </c>
      <c r="E283" s="125" cm="1">
        <f t="array" ref="E283">SUMPRODUCT((tbl_DataDraftApril26[Phase]=E$1)*(ISNUMBER(tbl_DataDraftApril26[Start]))*(ISNUMBER(tbl_DataDraftApril26[End]))*($A283&gt;tbl_DataDraftApril26[Start])*($A283&lt;tbl_DataDraftApril26[End]))</f>
        <v>3</v>
      </c>
    </row>
    <row r="284" spans="1:5">
      <c r="A284" s="131">
        <v>46152</v>
      </c>
      <c r="B284" s="125" cm="1">
        <f t="array" ref="B284">SUMPRODUCT((tbl_DataDraftApril26[Phase]=B$1)*(ISNUMBER(tbl_DataDraftApril26[Start]))*(ISNUMBER(tbl_DataDraftApril26[End]))*($A284&gt;tbl_DataDraftApril26[Start])*($A284&lt;tbl_DataDraftApril26[End]))</f>
        <v>31</v>
      </c>
      <c r="C284" s="125" cm="1">
        <f t="array" ref="C284">SUMPRODUCT((tbl_DataDraftApril26[Phase]=C$1)*(ISNUMBER(tbl_DataDraftApril26[Start]))*(ISNUMBER(tbl_DataDraftApril26[End]))*($A284&gt;tbl_DataDraftApril26[Start])*($A284&lt;tbl_DataDraftApril26[End]))</f>
        <v>13</v>
      </c>
      <c r="D284" s="125" cm="1">
        <f t="array" ref="D284">SUMPRODUCT((tbl_DataDraftApril26[Phase]=D$1)*(ISNUMBER(tbl_DataDraftApril26[Start]))*(ISNUMBER(tbl_DataDraftApril26[End]))*($A284&gt;tbl_DataDraftApril26[Start])*($A284&lt;tbl_DataDraftApril26[End]))</f>
        <v>2</v>
      </c>
      <c r="E284" s="125" cm="1">
        <f t="array" ref="E284">SUMPRODUCT((tbl_DataDraftApril26[Phase]=E$1)*(ISNUMBER(tbl_DataDraftApril26[Start]))*(ISNUMBER(tbl_DataDraftApril26[End]))*($A284&gt;tbl_DataDraftApril26[Start])*($A284&lt;tbl_DataDraftApril26[End]))</f>
        <v>3</v>
      </c>
    </row>
    <row r="285" spans="1:5">
      <c r="A285" s="131">
        <v>46153</v>
      </c>
      <c r="B285" s="125" cm="1">
        <f t="array" ref="B285">SUMPRODUCT((tbl_DataDraftApril26[Phase]=B$1)*(ISNUMBER(tbl_DataDraftApril26[Start]))*(ISNUMBER(tbl_DataDraftApril26[End]))*($A285&gt;tbl_DataDraftApril26[Start])*($A285&lt;tbl_DataDraftApril26[End]))</f>
        <v>31</v>
      </c>
      <c r="C285" s="125" cm="1">
        <f t="array" ref="C285">SUMPRODUCT((tbl_DataDraftApril26[Phase]=C$1)*(ISNUMBER(tbl_DataDraftApril26[Start]))*(ISNUMBER(tbl_DataDraftApril26[End]))*($A285&gt;tbl_DataDraftApril26[Start])*($A285&lt;tbl_DataDraftApril26[End]))</f>
        <v>13</v>
      </c>
      <c r="D285" s="125" cm="1">
        <f t="array" ref="D285">SUMPRODUCT((tbl_DataDraftApril26[Phase]=D$1)*(ISNUMBER(tbl_DataDraftApril26[Start]))*(ISNUMBER(tbl_DataDraftApril26[End]))*($A285&gt;tbl_DataDraftApril26[Start])*($A285&lt;tbl_DataDraftApril26[End]))</f>
        <v>1</v>
      </c>
      <c r="E285" s="125" cm="1">
        <f t="array" ref="E285">SUMPRODUCT((tbl_DataDraftApril26[Phase]=E$1)*(ISNUMBER(tbl_DataDraftApril26[Start]))*(ISNUMBER(tbl_DataDraftApril26[End]))*($A285&gt;tbl_DataDraftApril26[Start])*($A285&lt;tbl_DataDraftApril26[End]))</f>
        <v>2</v>
      </c>
    </row>
    <row r="286" spans="1:5">
      <c r="A286" s="131">
        <v>46154</v>
      </c>
      <c r="B286" s="125" cm="1">
        <f t="array" ref="B286">SUMPRODUCT((tbl_DataDraftApril26[Phase]=B$1)*(ISNUMBER(tbl_DataDraftApril26[Start]))*(ISNUMBER(tbl_DataDraftApril26[End]))*($A286&gt;tbl_DataDraftApril26[Start])*($A286&lt;tbl_DataDraftApril26[End]))</f>
        <v>31</v>
      </c>
      <c r="C286" s="125" cm="1">
        <f t="array" ref="C286">SUMPRODUCT((tbl_DataDraftApril26[Phase]=C$1)*(ISNUMBER(tbl_DataDraftApril26[Start]))*(ISNUMBER(tbl_DataDraftApril26[End]))*($A286&gt;tbl_DataDraftApril26[Start])*($A286&lt;tbl_DataDraftApril26[End]))</f>
        <v>13</v>
      </c>
      <c r="D286" s="125" cm="1">
        <f t="array" ref="D286">SUMPRODUCT((tbl_DataDraftApril26[Phase]=D$1)*(ISNUMBER(tbl_DataDraftApril26[Start]))*(ISNUMBER(tbl_DataDraftApril26[End]))*($A286&gt;tbl_DataDraftApril26[Start])*($A286&lt;tbl_DataDraftApril26[End]))</f>
        <v>1</v>
      </c>
      <c r="E286" s="125" cm="1">
        <f t="array" ref="E286">SUMPRODUCT((tbl_DataDraftApril26[Phase]=E$1)*(ISNUMBER(tbl_DataDraftApril26[Start]))*(ISNUMBER(tbl_DataDraftApril26[End]))*($A286&gt;tbl_DataDraftApril26[Start])*($A286&lt;tbl_DataDraftApril26[End]))</f>
        <v>2</v>
      </c>
    </row>
    <row r="287" spans="1:5">
      <c r="A287" s="131">
        <v>46155</v>
      </c>
      <c r="B287" s="125" cm="1">
        <f t="array" ref="B287">SUMPRODUCT((tbl_DataDraftApril26[Phase]=B$1)*(ISNUMBER(tbl_DataDraftApril26[Start]))*(ISNUMBER(tbl_DataDraftApril26[End]))*($A287&gt;tbl_DataDraftApril26[Start])*($A287&lt;tbl_DataDraftApril26[End]))</f>
        <v>31</v>
      </c>
      <c r="C287" s="125" cm="1">
        <f t="array" ref="C287">SUMPRODUCT((tbl_DataDraftApril26[Phase]=C$1)*(ISNUMBER(tbl_DataDraftApril26[Start]))*(ISNUMBER(tbl_DataDraftApril26[End]))*($A287&gt;tbl_DataDraftApril26[Start])*($A287&lt;tbl_DataDraftApril26[End]))</f>
        <v>13</v>
      </c>
      <c r="D287" s="125" cm="1">
        <f t="array" ref="D287">SUMPRODUCT((tbl_DataDraftApril26[Phase]=D$1)*(ISNUMBER(tbl_DataDraftApril26[Start]))*(ISNUMBER(tbl_DataDraftApril26[End]))*($A287&gt;tbl_DataDraftApril26[Start])*($A287&lt;tbl_DataDraftApril26[End]))</f>
        <v>1</v>
      </c>
      <c r="E287" s="125" cm="1">
        <f t="array" ref="E287">SUMPRODUCT((tbl_DataDraftApril26[Phase]=E$1)*(ISNUMBER(tbl_DataDraftApril26[Start]))*(ISNUMBER(tbl_DataDraftApril26[End]))*($A287&gt;tbl_DataDraftApril26[Start])*($A287&lt;tbl_DataDraftApril26[End]))</f>
        <v>2</v>
      </c>
    </row>
    <row r="288" spans="1:5">
      <c r="A288" s="131">
        <v>46156</v>
      </c>
      <c r="B288" s="125" cm="1">
        <f t="array" ref="B288">SUMPRODUCT((tbl_DataDraftApril26[Phase]=B$1)*(ISNUMBER(tbl_DataDraftApril26[Start]))*(ISNUMBER(tbl_DataDraftApril26[End]))*($A288&gt;tbl_DataDraftApril26[Start])*($A288&lt;tbl_DataDraftApril26[End]))</f>
        <v>31</v>
      </c>
      <c r="C288" s="125" cm="1">
        <f t="array" ref="C288">SUMPRODUCT((tbl_DataDraftApril26[Phase]=C$1)*(ISNUMBER(tbl_DataDraftApril26[Start]))*(ISNUMBER(tbl_DataDraftApril26[End]))*($A288&gt;tbl_DataDraftApril26[Start])*($A288&lt;tbl_DataDraftApril26[End]))</f>
        <v>13</v>
      </c>
      <c r="D288" s="125" cm="1">
        <f t="array" ref="D288">SUMPRODUCT((tbl_DataDraftApril26[Phase]=D$1)*(ISNUMBER(tbl_DataDraftApril26[Start]))*(ISNUMBER(tbl_DataDraftApril26[End]))*($A288&gt;tbl_DataDraftApril26[Start])*($A288&lt;tbl_DataDraftApril26[End]))</f>
        <v>1</v>
      </c>
      <c r="E288" s="125" cm="1">
        <f t="array" ref="E288">SUMPRODUCT((tbl_DataDraftApril26[Phase]=E$1)*(ISNUMBER(tbl_DataDraftApril26[Start]))*(ISNUMBER(tbl_DataDraftApril26[End]))*($A288&gt;tbl_DataDraftApril26[Start])*($A288&lt;tbl_DataDraftApril26[End]))</f>
        <v>2</v>
      </c>
    </row>
    <row r="289" spans="1:5">
      <c r="A289" s="131">
        <v>46157</v>
      </c>
      <c r="B289" s="125" cm="1">
        <f t="array" ref="B289">SUMPRODUCT((tbl_DataDraftApril26[Phase]=B$1)*(ISNUMBER(tbl_DataDraftApril26[Start]))*(ISNUMBER(tbl_DataDraftApril26[End]))*($A289&gt;tbl_DataDraftApril26[Start])*($A289&lt;tbl_DataDraftApril26[End]))</f>
        <v>31</v>
      </c>
      <c r="C289" s="125" cm="1">
        <f t="array" ref="C289">SUMPRODUCT((tbl_DataDraftApril26[Phase]=C$1)*(ISNUMBER(tbl_DataDraftApril26[Start]))*(ISNUMBER(tbl_DataDraftApril26[End]))*($A289&gt;tbl_DataDraftApril26[Start])*($A289&lt;tbl_DataDraftApril26[End]))</f>
        <v>14</v>
      </c>
      <c r="D289" s="125" cm="1">
        <f t="array" ref="D289">SUMPRODUCT((tbl_DataDraftApril26[Phase]=D$1)*(ISNUMBER(tbl_DataDraftApril26[Start]))*(ISNUMBER(tbl_DataDraftApril26[End]))*($A289&gt;tbl_DataDraftApril26[Start])*($A289&lt;tbl_DataDraftApril26[End]))</f>
        <v>1</v>
      </c>
      <c r="E289" s="125" cm="1">
        <f t="array" ref="E289">SUMPRODUCT((tbl_DataDraftApril26[Phase]=E$1)*(ISNUMBER(tbl_DataDraftApril26[Start]))*(ISNUMBER(tbl_DataDraftApril26[End]))*($A289&gt;tbl_DataDraftApril26[Start])*($A289&lt;tbl_DataDraftApril26[End]))</f>
        <v>2</v>
      </c>
    </row>
    <row r="290" spans="1:5">
      <c r="A290" s="131">
        <v>46158</v>
      </c>
      <c r="B290" s="125" cm="1">
        <f t="array" ref="B290">SUMPRODUCT((tbl_DataDraftApril26[Phase]=B$1)*(ISNUMBER(tbl_DataDraftApril26[Start]))*(ISNUMBER(tbl_DataDraftApril26[End]))*($A290&gt;tbl_DataDraftApril26[Start])*($A290&lt;tbl_DataDraftApril26[End]))</f>
        <v>31</v>
      </c>
      <c r="C290" s="125" cm="1">
        <f t="array" ref="C290">SUMPRODUCT((tbl_DataDraftApril26[Phase]=C$1)*(ISNUMBER(tbl_DataDraftApril26[Start]))*(ISNUMBER(tbl_DataDraftApril26[End]))*($A290&gt;tbl_DataDraftApril26[Start])*($A290&lt;tbl_DataDraftApril26[End]))</f>
        <v>14</v>
      </c>
      <c r="D290" s="125" cm="1">
        <f t="array" ref="D290">SUMPRODUCT((tbl_DataDraftApril26[Phase]=D$1)*(ISNUMBER(tbl_DataDraftApril26[Start]))*(ISNUMBER(tbl_DataDraftApril26[End]))*($A290&gt;tbl_DataDraftApril26[Start])*($A290&lt;tbl_DataDraftApril26[End]))</f>
        <v>1</v>
      </c>
      <c r="E290" s="125" cm="1">
        <f t="array" ref="E290">SUMPRODUCT((tbl_DataDraftApril26[Phase]=E$1)*(ISNUMBER(tbl_DataDraftApril26[Start]))*(ISNUMBER(tbl_DataDraftApril26[End]))*($A290&gt;tbl_DataDraftApril26[Start])*($A290&lt;tbl_DataDraftApril26[End]))</f>
        <v>2</v>
      </c>
    </row>
    <row r="291" spans="1:5">
      <c r="A291" s="131">
        <v>46159</v>
      </c>
      <c r="B291" s="125" cm="1">
        <f t="array" ref="B291">SUMPRODUCT((tbl_DataDraftApril26[Phase]=B$1)*(ISNUMBER(tbl_DataDraftApril26[Start]))*(ISNUMBER(tbl_DataDraftApril26[End]))*($A291&gt;tbl_DataDraftApril26[Start])*($A291&lt;tbl_DataDraftApril26[End]))</f>
        <v>31</v>
      </c>
      <c r="C291" s="125" cm="1">
        <f t="array" ref="C291">SUMPRODUCT((tbl_DataDraftApril26[Phase]=C$1)*(ISNUMBER(tbl_DataDraftApril26[Start]))*(ISNUMBER(tbl_DataDraftApril26[End]))*($A291&gt;tbl_DataDraftApril26[Start])*($A291&lt;tbl_DataDraftApril26[End]))</f>
        <v>14</v>
      </c>
      <c r="D291" s="125" cm="1">
        <f t="array" ref="D291">SUMPRODUCT((tbl_DataDraftApril26[Phase]=D$1)*(ISNUMBER(tbl_DataDraftApril26[Start]))*(ISNUMBER(tbl_DataDraftApril26[End]))*($A291&gt;tbl_DataDraftApril26[Start])*($A291&lt;tbl_DataDraftApril26[End]))</f>
        <v>1</v>
      </c>
      <c r="E291" s="125" cm="1">
        <f t="array" ref="E291">SUMPRODUCT((tbl_DataDraftApril26[Phase]=E$1)*(ISNUMBER(tbl_DataDraftApril26[Start]))*(ISNUMBER(tbl_DataDraftApril26[End]))*($A291&gt;tbl_DataDraftApril26[Start])*($A291&lt;tbl_DataDraftApril26[End]))</f>
        <v>2</v>
      </c>
    </row>
    <row r="292" spans="1:5">
      <c r="A292" s="131">
        <v>46160</v>
      </c>
      <c r="B292" s="125" cm="1">
        <f t="array" ref="B292">SUMPRODUCT((tbl_DataDraftApril26[Phase]=B$1)*(ISNUMBER(tbl_DataDraftApril26[Start]))*(ISNUMBER(tbl_DataDraftApril26[End]))*($A292&gt;tbl_DataDraftApril26[Start])*($A292&lt;tbl_DataDraftApril26[End]))</f>
        <v>31</v>
      </c>
      <c r="C292" s="125" cm="1">
        <f t="array" ref="C292">SUMPRODUCT((tbl_DataDraftApril26[Phase]=C$1)*(ISNUMBER(tbl_DataDraftApril26[Start]))*(ISNUMBER(tbl_DataDraftApril26[End]))*($A292&gt;tbl_DataDraftApril26[Start])*($A292&lt;tbl_DataDraftApril26[End]))</f>
        <v>14</v>
      </c>
      <c r="D292" s="125" cm="1">
        <f t="array" ref="D292">SUMPRODUCT((tbl_DataDraftApril26[Phase]=D$1)*(ISNUMBER(tbl_DataDraftApril26[Start]))*(ISNUMBER(tbl_DataDraftApril26[End]))*($A292&gt;tbl_DataDraftApril26[Start])*($A292&lt;tbl_DataDraftApril26[End]))</f>
        <v>1</v>
      </c>
      <c r="E292" s="125" cm="1">
        <f t="array" ref="E292">SUMPRODUCT((tbl_DataDraftApril26[Phase]=E$1)*(ISNUMBER(tbl_DataDraftApril26[Start]))*(ISNUMBER(tbl_DataDraftApril26[End]))*($A292&gt;tbl_DataDraftApril26[Start])*($A292&lt;tbl_DataDraftApril26[End]))</f>
        <v>2</v>
      </c>
    </row>
    <row r="293" spans="1:5">
      <c r="A293" s="131">
        <v>46161</v>
      </c>
      <c r="B293" s="125" cm="1">
        <f t="array" ref="B293">SUMPRODUCT((tbl_DataDraftApril26[Phase]=B$1)*(ISNUMBER(tbl_DataDraftApril26[Start]))*(ISNUMBER(tbl_DataDraftApril26[End]))*($A293&gt;tbl_DataDraftApril26[Start])*($A293&lt;tbl_DataDraftApril26[End]))</f>
        <v>31</v>
      </c>
      <c r="C293" s="125" cm="1">
        <f t="array" ref="C293">SUMPRODUCT((tbl_DataDraftApril26[Phase]=C$1)*(ISNUMBER(tbl_DataDraftApril26[Start]))*(ISNUMBER(tbl_DataDraftApril26[End]))*($A293&gt;tbl_DataDraftApril26[Start])*($A293&lt;tbl_DataDraftApril26[End]))</f>
        <v>14</v>
      </c>
      <c r="D293" s="125" cm="1">
        <f t="array" ref="D293">SUMPRODUCT((tbl_DataDraftApril26[Phase]=D$1)*(ISNUMBER(tbl_DataDraftApril26[Start]))*(ISNUMBER(tbl_DataDraftApril26[End]))*($A293&gt;tbl_DataDraftApril26[Start])*($A293&lt;tbl_DataDraftApril26[End]))</f>
        <v>1</v>
      </c>
      <c r="E293" s="125" cm="1">
        <f t="array" ref="E293">SUMPRODUCT((tbl_DataDraftApril26[Phase]=E$1)*(ISNUMBER(tbl_DataDraftApril26[Start]))*(ISNUMBER(tbl_DataDraftApril26[End]))*($A293&gt;tbl_DataDraftApril26[Start])*($A293&lt;tbl_DataDraftApril26[End]))</f>
        <v>2</v>
      </c>
    </row>
    <row r="294" spans="1:5">
      <c r="A294" s="131">
        <v>46162</v>
      </c>
      <c r="B294" s="125" cm="1">
        <f t="array" ref="B294">SUMPRODUCT((tbl_DataDraftApril26[Phase]=B$1)*(ISNUMBER(tbl_DataDraftApril26[Start]))*(ISNUMBER(tbl_DataDraftApril26[End]))*($A294&gt;tbl_DataDraftApril26[Start])*($A294&lt;tbl_DataDraftApril26[End]))</f>
        <v>31</v>
      </c>
      <c r="C294" s="125" cm="1">
        <f t="array" ref="C294">SUMPRODUCT((tbl_DataDraftApril26[Phase]=C$1)*(ISNUMBER(tbl_DataDraftApril26[Start]))*(ISNUMBER(tbl_DataDraftApril26[End]))*($A294&gt;tbl_DataDraftApril26[Start])*($A294&lt;tbl_DataDraftApril26[End]))</f>
        <v>14</v>
      </c>
      <c r="D294" s="125" cm="1">
        <f t="array" ref="D294">SUMPRODUCT((tbl_DataDraftApril26[Phase]=D$1)*(ISNUMBER(tbl_DataDraftApril26[Start]))*(ISNUMBER(tbl_DataDraftApril26[End]))*($A294&gt;tbl_DataDraftApril26[Start])*($A294&lt;tbl_DataDraftApril26[End]))</f>
        <v>1</v>
      </c>
      <c r="E294" s="125" cm="1">
        <f t="array" ref="E294">SUMPRODUCT((tbl_DataDraftApril26[Phase]=E$1)*(ISNUMBER(tbl_DataDraftApril26[Start]))*(ISNUMBER(tbl_DataDraftApril26[End]))*($A294&gt;tbl_DataDraftApril26[Start])*($A294&lt;tbl_DataDraftApril26[End]))</f>
        <v>2</v>
      </c>
    </row>
    <row r="295" spans="1:5">
      <c r="A295" s="131">
        <v>46163</v>
      </c>
      <c r="B295" s="125" cm="1">
        <f t="array" ref="B295">SUMPRODUCT((tbl_DataDraftApril26[Phase]=B$1)*(ISNUMBER(tbl_DataDraftApril26[Start]))*(ISNUMBER(tbl_DataDraftApril26[End]))*($A295&gt;tbl_DataDraftApril26[Start])*($A295&lt;tbl_DataDraftApril26[End]))</f>
        <v>30</v>
      </c>
      <c r="C295" s="125" cm="1">
        <f t="array" ref="C295">SUMPRODUCT((tbl_DataDraftApril26[Phase]=C$1)*(ISNUMBER(tbl_DataDraftApril26[Start]))*(ISNUMBER(tbl_DataDraftApril26[End]))*($A295&gt;tbl_DataDraftApril26[Start])*($A295&lt;tbl_DataDraftApril26[End]))</f>
        <v>14</v>
      </c>
      <c r="D295" s="125" cm="1">
        <f t="array" ref="D295">SUMPRODUCT((tbl_DataDraftApril26[Phase]=D$1)*(ISNUMBER(tbl_DataDraftApril26[Start]))*(ISNUMBER(tbl_DataDraftApril26[End]))*($A295&gt;tbl_DataDraftApril26[Start])*($A295&lt;tbl_DataDraftApril26[End]))</f>
        <v>1</v>
      </c>
      <c r="E295" s="125" cm="1">
        <f t="array" ref="E295">SUMPRODUCT((tbl_DataDraftApril26[Phase]=E$1)*(ISNUMBER(tbl_DataDraftApril26[Start]))*(ISNUMBER(tbl_DataDraftApril26[End]))*($A295&gt;tbl_DataDraftApril26[Start])*($A295&lt;tbl_DataDraftApril26[End]))</f>
        <v>2</v>
      </c>
    </row>
    <row r="296" spans="1:5">
      <c r="A296" s="131">
        <v>46164</v>
      </c>
      <c r="B296" s="125" cm="1">
        <f t="array" ref="B296">SUMPRODUCT((tbl_DataDraftApril26[Phase]=B$1)*(ISNUMBER(tbl_DataDraftApril26[Start]))*(ISNUMBER(tbl_DataDraftApril26[End]))*($A296&gt;tbl_DataDraftApril26[Start])*($A296&lt;tbl_DataDraftApril26[End]))</f>
        <v>30</v>
      </c>
      <c r="C296" s="125" cm="1">
        <f t="array" ref="C296">SUMPRODUCT((tbl_DataDraftApril26[Phase]=C$1)*(ISNUMBER(tbl_DataDraftApril26[Start]))*(ISNUMBER(tbl_DataDraftApril26[End]))*($A296&gt;tbl_DataDraftApril26[Start])*($A296&lt;tbl_DataDraftApril26[End]))</f>
        <v>14</v>
      </c>
      <c r="D296" s="125" cm="1">
        <f t="array" ref="D296">SUMPRODUCT((tbl_DataDraftApril26[Phase]=D$1)*(ISNUMBER(tbl_DataDraftApril26[Start]))*(ISNUMBER(tbl_DataDraftApril26[End]))*($A296&gt;tbl_DataDraftApril26[Start])*($A296&lt;tbl_DataDraftApril26[End]))</f>
        <v>1</v>
      </c>
      <c r="E296" s="125" cm="1">
        <f t="array" ref="E296">SUMPRODUCT((tbl_DataDraftApril26[Phase]=E$1)*(ISNUMBER(tbl_DataDraftApril26[Start]))*(ISNUMBER(tbl_DataDraftApril26[End]))*($A296&gt;tbl_DataDraftApril26[Start])*($A296&lt;tbl_DataDraftApril26[End]))</f>
        <v>2</v>
      </c>
    </row>
    <row r="297" spans="1:5">
      <c r="A297" s="131">
        <v>46165</v>
      </c>
      <c r="B297" s="125" cm="1">
        <f t="array" ref="B297">SUMPRODUCT((tbl_DataDraftApril26[Phase]=B$1)*(ISNUMBER(tbl_DataDraftApril26[Start]))*(ISNUMBER(tbl_DataDraftApril26[End]))*($A297&gt;tbl_DataDraftApril26[Start])*($A297&lt;tbl_DataDraftApril26[End]))</f>
        <v>30</v>
      </c>
      <c r="C297" s="125" cm="1">
        <f t="array" ref="C297">SUMPRODUCT((tbl_DataDraftApril26[Phase]=C$1)*(ISNUMBER(tbl_DataDraftApril26[Start]))*(ISNUMBER(tbl_DataDraftApril26[End]))*($A297&gt;tbl_DataDraftApril26[Start])*($A297&lt;tbl_DataDraftApril26[End]))</f>
        <v>14</v>
      </c>
      <c r="D297" s="125" cm="1">
        <f t="array" ref="D297">SUMPRODUCT((tbl_DataDraftApril26[Phase]=D$1)*(ISNUMBER(tbl_DataDraftApril26[Start]))*(ISNUMBER(tbl_DataDraftApril26[End]))*($A297&gt;tbl_DataDraftApril26[Start])*($A297&lt;tbl_DataDraftApril26[End]))</f>
        <v>1</v>
      </c>
      <c r="E297" s="125" cm="1">
        <f t="array" ref="E297">SUMPRODUCT((tbl_DataDraftApril26[Phase]=E$1)*(ISNUMBER(tbl_DataDraftApril26[Start]))*(ISNUMBER(tbl_DataDraftApril26[End]))*($A297&gt;tbl_DataDraftApril26[Start])*($A297&lt;tbl_DataDraftApril26[End]))</f>
        <v>2</v>
      </c>
    </row>
    <row r="298" spans="1:5">
      <c r="A298" s="131">
        <v>46166</v>
      </c>
      <c r="B298" s="125" cm="1">
        <f t="array" ref="B298">SUMPRODUCT((tbl_DataDraftApril26[Phase]=B$1)*(ISNUMBER(tbl_DataDraftApril26[Start]))*(ISNUMBER(tbl_DataDraftApril26[End]))*($A298&gt;tbl_DataDraftApril26[Start])*($A298&lt;tbl_DataDraftApril26[End]))</f>
        <v>30</v>
      </c>
      <c r="C298" s="125" cm="1">
        <f t="array" ref="C298">SUMPRODUCT((tbl_DataDraftApril26[Phase]=C$1)*(ISNUMBER(tbl_DataDraftApril26[Start]))*(ISNUMBER(tbl_DataDraftApril26[End]))*($A298&gt;tbl_DataDraftApril26[Start])*($A298&lt;tbl_DataDraftApril26[End]))</f>
        <v>14</v>
      </c>
      <c r="D298" s="125" cm="1">
        <f t="array" ref="D298">SUMPRODUCT((tbl_DataDraftApril26[Phase]=D$1)*(ISNUMBER(tbl_DataDraftApril26[Start]))*(ISNUMBER(tbl_DataDraftApril26[End]))*($A298&gt;tbl_DataDraftApril26[Start])*($A298&lt;tbl_DataDraftApril26[End]))</f>
        <v>1</v>
      </c>
      <c r="E298" s="125" cm="1">
        <f t="array" ref="E298">SUMPRODUCT((tbl_DataDraftApril26[Phase]=E$1)*(ISNUMBER(tbl_DataDraftApril26[Start]))*(ISNUMBER(tbl_DataDraftApril26[End]))*($A298&gt;tbl_DataDraftApril26[Start])*($A298&lt;tbl_DataDraftApril26[End]))</f>
        <v>2</v>
      </c>
    </row>
    <row r="299" spans="1:5">
      <c r="A299" s="131">
        <v>46167</v>
      </c>
      <c r="B299" s="125" cm="1">
        <f t="array" ref="B299">SUMPRODUCT((tbl_DataDraftApril26[Phase]=B$1)*(ISNUMBER(tbl_DataDraftApril26[Start]))*(ISNUMBER(tbl_DataDraftApril26[End]))*($A299&gt;tbl_DataDraftApril26[Start])*($A299&lt;tbl_DataDraftApril26[End]))</f>
        <v>30</v>
      </c>
      <c r="C299" s="125" cm="1">
        <f t="array" ref="C299">SUMPRODUCT((tbl_DataDraftApril26[Phase]=C$1)*(ISNUMBER(tbl_DataDraftApril26[Start]))*(ISNUMBER(tbl_DataDraftApril26[End]))*($A299&gt;tbl_DataDraftApril26[Start])*($A299&lt;tbl_DataDraftApril26[End]))</f>
        <v>14</v>
      </c>
      <c r="D299" s="125" cm="1">
        <f t="array" ref="D299">SUMPRODUCT((tbl_DataDraftApril26[Phase]=D$1)*(ISNUMBER(tbl_DataDraftApril26[Start]))*(ISNUMBER(tbl_DataDraftApril26[End]))*($A299&gt;tbl_DataDraftApril26[Start])*($A299&lt;tbl_DataDraftApril26[End]))</f>
        <v>1</v>
      </c>
      <c r="E299" s="125" cm="1">
        <f t="array" ref="E299">SUMPRODUCT((tbl_DataDraftApril26[Phase]=E$1)*(ISNUMBER(tbl_DataDraftApril26[Start]))*(ISNUMBER(tbl_DataDraftApril26[End]))*($A299&gt;tbl_DataDraftApril26[Start])*($A299&lt;tbl_DataDraftApril26[End]))</f>
        <v>2</v>
      </c>
    </row>
    <row r="300" spans="1:5">
      <c r="A300" s="131">
        <v>46168</v>
      </c>
      <c r="B300" s="125" cm="1">
        <f t="array" ref="B300">SUMPRODUCT((tbl_DataDraftApril26[Phase]=B$1)*(ISNUMBER(tbl_DataDraftApril26[Start]))*(ISNUMBER(tbl_DataDraftApril26[End]))*($A300&gt;tbl_DataDraftApril26[Start])*($A300&lt;tbl_DataDraftApril26[End]))</f>
        <v>30</v>
      </c>
      <c r="C300" s="125" cm="1">
        <f t="array" ref="C300">SUMPRODUCT((tbl_DataDraftApril26[Phase]=C$1)*(ISNUMBER(tbl_DataDraftApril26[Start]))*(ISNUMBER(tbl_DataDraftApril26[End]))*($A300&gt;tbl_DataDraftApril26[Start])*($A300&lt;tbl_DataDraftApril26[End]))</f>
        <v>15</v>
      </c>
      <c r="D300" s="125" cm="1">
        <f t="array" ref="D300">SUMPRODUCT((tbl_DataDraftApril26[Phase]=D$1)*(ISNUMBER(tbl_DataDraftApril26[Start]))*(ISNUMBER(tbl_DataDraftApril26[End]))*($A300&gt;tbl_DataDraftApril26[Start])*($A300&lt;tbl_DataDraftApril26[End]))</f>
        <v>1</v>
      </c>
      <c r="E300" s="125" cm="1">
        <f t="array" ref="E300">SUMPRODUCT((tbl_DataDraftApril26[Phase]=E$1)*(ISNUMBER(tbl_DataDraftApril26[Start]))*(ISNUMBER(tbl_DataDraftApril26[End]))*($A300&gt;tbl_DataDraftApril26[Start])*($A300&lt;tbl_DataDraftApril26[End]))</f>
        <v>2</v>
      </c>
    </row>
    <row r="301" spans="1:5">
      <c r="A301" s="131">
        <v>46169</v>
      </c>
      <c r="B301" s="125" cm="1">
        <f t="array" ref="B301">SUMPRODUCT((tbl_DataDraftApril26[Phase]=B$1)*(ISNUMBER(tbl_DataDraftApril26[Start]))*(ISNUMBER(tbl_DataDraftApril26[End]))*($A301&gt;tbl_DataDraftApril26[Start])*($A301&lt;tbl_DataDraftApril26[End]))</f>
        <v>30</v>
      </c>
      <c r="C301" s="125" cm="1">
        <f t="array" ref="C301">SUMPRODUCT((tbl_DataDraftApril26[Phase]=C$1)*(ISNUMBER(tbl_DataDraftApril26[Start]))*(ISNUMBER(tbl_DataDraftApril26[End]))*($A301&gt;tbl_DataDraftApril26[Start])*($A301&lt;tbl_DataDraftApril26[End]))</f>
        <v>15</v>
      </c>
      <c r="D301" s="125" cm="1">
        <f t="array" ref="D301">SUMPRODUCT((tbl_DataDraftApril26[Phase]=D$1)*(ISNUMBER(tbl_DataDraftApril26[Start]))*(ISNUMBER(tbl_DataDraftApril26[End]))*($A301&gt;tbl_DataDraftApril26[Start])*($A301&lt;tbl_DataDraftApril26[End]))</f>
        <v>1</v>
      </c>
      <c r="E301" s="125" cm="1">
        <f t="array" ref="E301">SUMPRODUCT((tbl_DataDraftApril26[Phase]=E$1)*(ISNUMBER(tbl_DataDraftApril26[Start]))*(ISNUMBER(tbl_DataDraftApril26[End]))*($A301&gt;tbl_DataDraftApril26[Start])*($A301&lt;tbl_DataDraftApril26[End]))</f>
        <v>2</v>
      </c>
    </row>
    <row r="302" spans="1:5">
      <c r="A302" s="131">
        <v>46170</v>
      </c>
      <c r="B302" s="125" cm="1">
        <f t="array" ref="B302">SUMPRODUCT((tbl_DataDraftApril26[Phase]=B$1)*(ISNUMBER(tbl_DataDraftApril26[Start]))*(ISNUMBER(tbl_DataDraftApril26[End]))*($A302&gt;tbl_DataDraftApril26[Start])*($A302&lt;tbl_DataDraftApril26[End]))</f>
        <v>30</v>
      </c>
      <c r="C302" s="125" cm="1">
        <f t="array" ref="C302">SUMPRODUCT((tbl_DataDraftApril26[Phase]=C$1)*(ISNUMBER(tbl_DataDraftApril26[Start]))*(ISNUMBER(tbl_DataDraftApril26[End]))*($A302&gt;tbl_DataDraftApril26[Start])*($A302&lt;tbl_DataDraftApril26[End]))</f>
        <v>15</v>
      </c>
      <c r="D302" s="125" cm="1">
        <f t="array" ref="D302">SUMPRODUCT((tbl_DataDraftApril26[Phase]=D$1)*(ISNUMBER(tbl_DataDraftApril26[Start]))*(ISNUMBER(tbl_DataDraftApril26[End]))*($A302&gt;tbl_DataDraftApril26[Start])*($A302&lt;tbl_DataDraftApril26[End]))</f>
        <v>1</v>
      </c>
      <c r="E302" s="125" cm="1">
        <f t="array" ref="E302">SUMPRODUCT((tbl_DataDraftApril26[Phase]=E$1)*(ISNUMBER(tbl_DataDraftApril26[Start]))*(ISNUMBER(tbl_DataDraftApril26[End]))*($A302&gt;tbl_DataDraftApril26[Start])*($A302&lt;tbl_DataDraftApril26[End]))</f>
        <v>2</v>
      </c>
    </row>
    <row r="303" spans="1:5">
      <c r="A303" s="131">
        <v>46171</v>
      </c>
      <c r="B303" s="125" cm="1">
        <f t="array" ref="B303">SUMPRODUCT((tbl_DataDraftApril26[Phase]=B$1)*(ISNUMBER(tbl_DataDraftApril26[Start]))*(ISNUMBER(tbl_DataDraftApril26[End]))*($A303&gt;tbl_DataDraftApril26[Start])*($A303&lt;tbl_DataDraftApril26[End]))</f>
        <v>30</v>
      </c>
      <c r="C303" s="125" cm="1">
        <f t="array" ref="C303">SUMPRODUCT((tbl_DataDraftApril26[Phase]=C$1)*(ISNUMBER(tbl_DataDraftApril26[Start]))*(ISNUMBER(tbl_DataDraftApril26[End]))*($A303&gt;tbl_DataDraftApril26[Start])*($A303&lt;tbl_DataDraftApril26[End]))</f>
        <v>15</v>
      </c>
      <c r="D303" s="125" cm="1">
        <f t="array" ref="D303">SUMPRODUCT((tbl_DataDraftApril26[Phase]=D$1)*(ISNUMBER(tbl_DataDraftApril26[Start]))*(ISNUMBER(tbl_DataDraftApril26[End]))*($A303&gt;tbl_DataDraftApril26[Start])*($A303&lt;tbl_DataDraftApril26[End]))</f>
        <v>1</v>
      </c>
      <c r="E303" s="125" cm="1">
        <f t="array" ref="E303">SUMPRODUCT((tbl_DataDraftApril26[Phase]=E$1)*(ISNUMBER(tbl_DataDraftApril26[Start]))*(ISNUMBER(tbl_DataDraftApril26[End]))*($A303&gt;tbl_DataDraftApril26[Start])*($A303&lt;tbl_DataDraftApril26[End]))</f>
        <v>2</v>
      </c>
    </row>
    <row r="304" spans="1:5">
      <c r="A304" s="131">
        <v>46172</v>
      </c>
      <c r="B304" s="125" cm="1">
        <f t="array" ref="B304">SUMPRODUCT((tbl_DataDraftApril26[Phase]=B$1)*(ISNUMBER(tbl_DataDraftApril26[Start]))*(ISNUMBER(tbl_DataDraftApril26[End]))*($A304&gt;tbl_DataDraftApril26[Start])*($A304&lt;tbl_DataDraftApril26[End]))</f>
        <v>30</v>
      </c>
      <c r="C304" s="125" cm="1">
        <f t="array" ref="C304">SUMPRODUCT((tbl_DataDraftApril26[Phase]=C$1)*(ISNUMBER(tbl_DataDraftApril26[Start]))*(ISNUMBER(tbl_DataDraftApril26[End]))*($A304&gt;tbl_DataDraftApril26[Start])*($A304&lt;tbl_DataDraftApril26[End]))</f>
        <v>15</v>
      </c>
      <c r="D304" s="125" cm="1">
        <f t="array" ref="D304">SUMPRODUCT((tbl_DataDraftApril26[Phase]=D$1)*(ISNUMBER(tbl_DataDraftApril26[Start]))*(ISNUMBER(tbl_DataDraftApril26[End]))*($A304&gt;tbl_DataDraftApril26[Start])*($A304&lt;tbl_DataDraftApril26[End]))</f>
        <v>1</v>
      </c>
      <c r="E304" s="125" cm="1">
        <f t="array" ref="E304">SUMPRODUCT((tbl_DataDraftApril26[Phase]=E$1)*(ISNUMBER(tbl_DataDraftApril26[Start]))*(ISNUMBER(tbl_DataDraftApril26[End]))*($A304&gt;tbl_DataDraftApril26[Start])*($A304&lt;tbl_DataDraftApril26[End]))</f>
        <v>2</v>
      </c>
    </row>
    <row r="305" spans="1:5">
      <c r="A305" s="131">
        <v>46173</v>
      </c>
      <c r="B305" s="125" cm="1">
        <f t="array" ref="B305">SUMPRODUCT((tbl_DataDraftApril26[Phase]=B$1)*(ISNUMBER(tbl_DataDraftApril26[Start]))*(ISNUMBER(tbl_DataDraftApril26[End]))*($A305&gt;tbl_DataDraftApril26[Start])*($A305&lt;tbl_DataDraftApril26[End]))</f>
        <v>23</v>
      </c>
      <c r="C305" s="125" cm="1">
        <f t="array" ref="C305">SUMPRODUCT((tbl_DataDraftApril26[Phase]=C$1)*(ISNUMBER(tbl_DataDraftApril26[Start]))*(ISNUMBER(tbl_DataDraftApril26[End]))*($A305&gt;tbl_DataDraftApril26[Start])*($A305&lt;tbl_DataDraftApril26[End]))</f>
        <v>14</v>
      </c>
      <c r="D305" s="125" cm="1">
        <f t="array" ref="D305">SUMPRODUCT((tbl_DataDraftApril26[Phase]=D$1)*(ISNUMBER(tbl_DataDraftApril26[Start]))*(ISNUMBER(tbl_DataDraftApril26[End]))*($A305&gt;tbl_DataDraftApril26[Start])*($A305&lt;tbl_DataDraftApril26[End]))</f>
        <v>1</v>
      </c>
      <c r="E305" s="125" cm="1">
        <f t="array" ref="E305">SUMPRODUCT((tbl_DataDraftApril26[Phase]=E$1)*(ISNUMBER(tbl_DataDraftApril26[Start]))*(ISNUMBER(tbl_DataDraftApril26[End]))*($A305&gt;tbl_DataDraftApril26[Start])*($A305&lt;tbl_DataDraftApril26[End]))</f>
        <v>2</v>
      </c>
    </row>
    <row r="306" spans="1:5">
      <c r="A306" s="131">
        <v>46174</v>
      </c>
      <c r="B306" s="125" cm="1">
        <f t="array" ref="B306">SUMPRODUCT((tbl_DataDraftApril26[Phase]=B$1)*(ISNUMBER(tbl_DataDraftApril26[Start]))*(ISNUMBER(tbl_DataDraftApril26[End]))*($A306&gt;tbl_DataDraftApril26[Start])*($A306&lt;tbl_DataDraftApril26[End]))</f>
        <v>23</v>
      </c>
      <c r="C306" s="125" cm="1">
        <f t="array" ref="C306">SUMPRODUCT((tbl_DataDraftApril26[Phase]=C$1)*(ISNUMBER(tbl_DataDraftApril26[Start]))*(ISNUMBER(tbl_DataDraftApril26[End]))*($A306&gt;tbl_DataDraftApril26[Start])*($A306&lt;tbl_DataDraftApril26[End]))</f>
        <v>14</v>
      </c>
      <c r="D306" s="125" cm="1">
        <f t="array" ref="D306">SUMPRODUCT((tbl_DataDraftApril26[Phase]=D$1)*(ISNUMBER(tbl_DataDraftApril26[Start]))*(ISNUMBER(tbl_DataDraftApril26[End]))*($A306&gt;tbl_DataDraftApril26[Start])*($A306&lt;tbl_DataDraftApril26[End]))</f>
        <v>1</v>
      </c>
      <c r="E306" s="125" cm="1">
        <f t="array" ref="E306">SUMPRODUCT((tbl_DataDraftApril26[Phase]=E$1)*(ISNUMBER(tbl_DataDraftApril26[Start]))*(ISNUMBER(tbl_DataDraftApril26[End]))*($A306&gt;tbl_DataDraftApril26[Start])*($A306&lt;tbl_DataDraftApril26[End]))</f>
        <v>2</v>
      </c>
    </row>
    <row r="307" spans="1:5">
      <c r="A307" s="131">
        <v>46175</v>
      </c>
      <c r="B307" s="125" cm="1">
        <f t="array" ref="B307">SUMPRODUCT((tbl_DataDraftApril26[Phase]=B$1)*(ISNUMBER(tbl_DataDraftApril26[Start]))*(ISNUMBER(tbl_DataDraftApril26[End]))*($A307&gt;tbl_DataDraftApril26[Start])*($A307&lt;tbl_DataDraftApril26[End]))</f>
        <v>23</v>
      </c>
      <c r="C307" s="125" cm="1">
        <f t="array" ref="C307">SUMPRODUCT((tbl_DataDraftApril26[Phase]=C$1)*(ISNUMBER(tbl_DataDraftApril26[Start]))*(ISNUMBER(tbl_DataDraftApril26[End]))*($A307&gt;tbl_DataDraftApril26[Start])*($A307&lt;tbl_DataDraftApril26[End]))</f>
        <v>15</v>
      </c>
      <c r="D307" s="125" cm="1">
        <f t="array" ref="D307">SUMPRODUCT((tbl_DataDraftApril26[Phase]=D$1)*(ISNUMBER(tbl_DataDraftApril26[Start]))*(ISNUMBER(tbl_DataDraftApril26[End]))*($A307&gt;tbl_DataDraftApril26[Start])*($A307&lt;tbl_DataDraftApril26[End]))</f>
        <v>2</v>
      </c>
      <c r="E307" s="125" cm="1">
        <f t="array" ref="E307">SUMPRODUCT((tbl_DataDraftApril26[Phase]=E$1)*(ISNUMBER(tbl_DataDraftApril26[Start]))*(ISNUMBER(tbl_DataDraftApril26[End]))*($A307&gt;tbl_DataDraftApril26[Start])*($A307&lt;tbl_DataDraftApril26[End]))</f>
        <v>3</v>
      </c>
    </row>
    <row r="308" spans="1:5">
      <c r="A308" s="131">
        <v>46176</v>
      </c>
      <c r="B308" s="125" cm="1">
        <f t="array" ref="B308">SUMPRODUCT((tbl_DataDraftApril26[Phase]=B$1)*(ISNUMBER(tbl_DataDraftApril26[Start]))*(ISNUMBER(tbl_DataDraftApril26[End]))*($A308&gt;tbl_DataDraftApril26[Start])*($A308&lt;tbl_DataDraftApril26[End]))</f>
        <v>23</v>
      </c>
      <c r="C308" s="125" cm="1">
        <f t="array" ref="C308">SUMPRODUCT((tbl_DataDraftApril26[Phase]=C$1)*(ISNUMBER(tbl_DataDraftApril26[Start]))*(ISNUMBER(tbl_DataDraftApril26[End]))*($A308&gt;tbl_DataDraftApril26[Start])*($A308&lt;tbl_DataDraftApril26[End]))</f>
        <v>15</v>
      </c>
      <c r="D308" s="125" cm="1">
        <f t="array" ref="D308">SUMPRODUCT((tbl_DataDraftApril26[Phase]=D$1)*(ISNUMBER(tbl_DataDraftApril26[Start]))*(ISNUMBER(tbl_DataDraftApril26[End]))*($A308&gt;tbl_DataDraftApril26[Start])*($A308&lt;tbl_DataDraftApril26[End]))</f>
        <v>2</v>
      </c>
      <c r="E308" s="125" cm="1">
        <f t="array" ref="E308">SUMPRODUCT((tbl_DataDraftApril26[Phase]=E$1)*(ISNUMBER(tbl_DataDraftApril26[Start]))*(ISNUMBER(tbl_DataDraftApril26[End]))*($A308&gt;tbl_DataDraftApril26[Start])*($A308&lt;tbl_DataDraftApril26[End]))</f>
        <v>3</v>
      </c>
    </row>
    <row r="309" spans="1:5">
      <c r="A309" s="131">
        <v>46177</v>
      </c>
      <c r="B309" s="125" cm="1">
        <f t="array" ref="B309">SUMPRODUCT((tbl_DataDraftApril26[Phase]=B$1)*(ISNUMBER(tbl_DataDraftApril26[Start]))*(ISNUMBER(tbl_DataDraftApril26[End]))*($A309&gt;tbl_DataDraftApril26[Start])*($A309&lt;tbl_DataDraftApril26[End]))</f>
        <v>23</v>
      </c>
      <c r="C309" s="125" cm="1">
        <f t="array" ref="C309">SUMPRODUCT((tbl_DataDraftApril26[Phase]=C$1)*(ISNUMBER(tbl_DataDraftApril26[Start]))*(ISNUMBER(tbl_DataDraftApril26[End]))*($A309&gt;tbl_DataDraftApril26[Start])*($A309&lt;tbl_DataDraftApril26[End]))</f>
        <v>15</v>
      </c>
      <c r="D309" s="125" cm="1">
        <f t="array" ref="D309">SUMPRODUCT((tbl_DataDraftApril26[Phase]=D$1)*(ISNUMBER(tbl_DataDraftApril26[Start]))*(ISNUMBER(tbl_DataDraftApril26[End]))*($A309&gt;tbl_DataDraftApril26[Start])*($A309&lt;tbl_DataDraftApril26[End]))</f>
        <v>2</v>
      </c>
      <c r="E309" s="125" cm="1">
        <f t="array" ref="E309">SUMPRODUCT((tbl_DataDraftApril26[Phase]=E$1)*(ISNUMBER(tbl_DataDraftApril26[Start]))*(ISNUMBER(tbl_DataDraftApril26[End]))*($A309&gt;tbl_DataDraftApril26[Start])*($A309&lt;tbl_DataDraftApril26[End]))</f>
        <v>3</v>
      </c>
    </row>
    <row r="310" spans="1:5">
      <c r="A310" s="131">
        <v>46178</v>
      </c>
      <c r="B310" s="125" cm="1">
        <f t="array" ref="B310">SUMPRODUCT((tbl_DataDraftApril26[Phase]=B$1)*(ISNUMBER(tbl_DataDraftApril26[Start]))*(ISNUMBER(tbl_DataDraftApril26[End]))*($A310&gt;tbl_DataDraftApril26[Start])*($A310&lt;tbl_DataDraftApril26[End]))</f>
        <v>23</v>
      </c>
      <c r="C310" s="125" cm="1">
        <f t="array" ref="C310">SUMPRODUCT((tbl_DataDraftApril26[Phase]=C$1)*(ISNUMBER(tbl_DataDraftApril26[Start]))*(ISNUMBER(tbl_DataDraftApril26[End]))*($A310&gt;tbl_DataDraftApril26[Start])*($A310&lt;tbl_DataDraftApril26[End]))</f>
        <v>15</v>
      </c>
      <c r="D310" s="125" cm="1">
        <f t="array" ref="D310">SUMPRODUCT((tbl_DataDraftApril26[Phase]=D$1)*(ISNUMBER(tbl_DataDraftApril26[Start]))*(ISNUMBER(tbl_DataDraftApril26[End]))*($A310&gt;tbl_DataDraftApril26[Start])*($A310&lt;tbl_DataDraftApril26[End]))</f>
        <v>2</v>
      </c>
      <c r="E310" s="125" cm="1">
        <f t="array" ref="E310">SUMPRODUCT((tbl_DataDraftApril26[Phase]=E$1)*(ISNUMBER(tbl_DataDraftApril26[Start]))*(ISNUMBER(tbl_DataDraftApril26[End]))*($A310&gt;tbl_DataDraftApril26[Start])*($A310&lt;tbl_DataDraftApril26[End]))</f>
        <v>3</v>
      </c>
    </row>
    <row r="311" spans="1:5">
      <c r="A311" s="131">
        <v>46179</v>
      </c>
      <c r="B311" s="125" cm="1">
        <f t="array" ref="B311">SUMPRODUCT((tbl_DataDraftApril26[Phase]=B$1)*(ISNUMBER(tbl_DataDraftApril26[Start]))*(ISNUMBER(tbl_DataDraftApril26[End]))*($A311&gt;tbl_DataDraftApril26[Start])*($A311&lt;tbl_DataDraftApril26[End]))</f>
        <v>23</v>
      </c>
      <c r="C311" s="125" cm="1">
        <f t="array" ref="C311">SUMPRODUCT((tbl_DataDraftApril26[Phase]=C$1)*(ISNUMBER(tbl_DataDraftApril26[Start]))*(ISNUMBER(tbl_DataDraftApril26[End]))*($A311&gt;tbl_DataDraftApril26[Start])*($A311&lt;tbl_DataDraftApril26[End]))</f>
        <v>15</v>
      </c>
      <c r="D311" s="125" cm="1">
        <f t="array" ref="D311">SUMPRODUCT((tbl_DataDraftApril26[Phase]=D$1)*(ISNUMBER(tbl_DataDraftApril26[Start]))*(ISNUMBER(tbl_DataDraftApril26[End]))*($A311&gt;tbl_DataDraftApril26[Start])*($A311&lt;tbl_DataDraftApril26[End]))</f>
        <v>2</v>
      </c>
      <c r="E311" s="125" cm="1">
        <f t="array" ref="E311">SUMPRODUCT((tbl_DataDraftApril26[Phase]=E$1)*(ISNUMBER(tbl_DataDraftApril26[Start]))*(ISNUMBER(tbl_DataDraftApril26[End]))*($A311&gt;tbl_DataDraftApril26[Start])*($A311&lt;tbl_DataDraftApril26[End]))</f>
        <v>3</v>
      </c>
    </row>
    <row r="312" spans="1:5">
      <c r="A312" s="131">
        <v>46180</v>
      </c>
      <c r="B312" s="125" cm="1">
        <f t="array" ref="B312">SUMPRODUCT((tbl_DataDraftApril26[Phase]=B$1)*(ISNUMBER(tbl_DataDraftApril26[Start]))*(ISNUMBER(tbl_DataDraftApril26[End]))*($A312&gt;tbl_DataDraftApril26[Start])*($A312&lt;tbl_DataDraftApril26[End]))</f>
        <v>23</v>
      </c>
      <c r="C312" s="125" cm="1">
        <f t="array" ref="C312">SUMPRODUCT((tbl_DataDraftApril26[Phase]=C$1)*(ISNUMBER(tbl_DataDraftApril26[Start]))*(ISNUMBER(tbl_DataDraftApril26[End]))*($A312&gt;tbl_DataDraftApril26[Start])*($A312&lt;tbl_DataDraftApril26[End]))</f>
        <v>15</v>
      </c>
      <c r="D312" s="125" cm="1">
        <f t="array" ref="D312">SUMPRODUCT((tbl_DataDraftApril26[Phase]=D$1)*(ISNUMBER(tbl_DataDraftApril26[Start]))*(ISNUMBER(tbl_DataDraftApril26[End]))*($A312&gt;tbl_DataDraftApril26[Start])*($A312&lt;tbl_DataDraftApril26[End]))</f>
        <v>2</v>
      </c>
      <c r="E312" s="125" cm="1">
        <f t="array" ref="E312">SUMPRODUCT((tbl_DataDraftApril26[Phase]=E$1)*(ISNUMBER(tbl_DataDraftApril26[Start]))*(ISNUMBER(tbl_DataDraftApril26[End]))*($A312&gt;tbl_DataDraftApril26[Start])*($A312&lt;tbl_DataDraftApril26[End]))</f>
        <v>3</v>
      </c>
    </row>
    <row r="313" spans="1:5">
      <c r="A313" s="131">
        <v>46181</v>
      </c>
      <c r="B313" s="125" cm="1">
        <f t="array" ref="B313">SUMPRODUCT((tbl_DataDraftApril26[Phase]=B$1)*(ISNUMBER(tbl_DataDraftApril26[Start]))*(ISNUMBER(tbl_DataDraftApril26[End]))*($A313&gt;tbl_DataDraftApril26[Start])*($A313&lt;tbl_DataDraftApril26[End]))</f>
        <v>23</v>
      </c>
      <c r="C313" s="125" cm="1">
        <f t="array" ref="C313">SUMPRODUCT((tbl_DataDraftApril26[Phase]=C$1)*(ISNUMBER(tbl_DataDraftApril26[Start]))*(ISNUMBER(tbl_DataDraftApril26[End]))*($A313&gt;tbl_DataDraftApril26[Start])*($A313&lt;tbl_DataDraftApril26[End]))</f>
        <v>15</v>
      </c>
      <c r="D313" s="125" cm="1">
        <f t="array" ref="D313">SUMPRODUCT((tbl_DataDraftApril26[Phase]=D$1)*(ISNUMBER(tbl_DataDraftApril26[Start]))*(ISNUMBER(tbl_DataDraftApril26[End]))*($A313&gt;tbl_DataDraftApril26[Start])*($A313&lt;tbl_DataDraftApril26[End]))</f>
        <v>2</v>
      </c>
      <c r="E313" s="125" cm="1">
        <f t="array" ref="E313">SUMPRODUCT((tbl_DataDraftApril26[Phase]=E$1)*(ISNUMBER(tbl_DataDraftApril26[Start]))*(ISNUMBER(tbl_DataDraftApril26[End]))*($A313&gt;tbl_DataDraftApril26[Start])*($A313&lt;tbl_DataDraftApril26[End]))</f>
        <v>3</v>
      </c>
    </row>
    <row r="314" spans="1:5">
      <c r="A314" s="131">
        <v>46182</v>
      </c>
      <c r="B314" s="125" cm="1">
        <f t="array" ref="B314">SUMPRODUCT((tbl_DataDraftApril26[Phase]=B$1)*(ISNUMBER(tbl_DataDraftApril26[Start]))*(ISNUMBER(tbl_DataDraftApril26[End]))*($A314&gt;tbl_DataDraftApril26[Start])*($A314&lt;tbl_DataDraftApril26[End]))</f>
        <v>23</v>
      </c>
      <c r="C314" s="125" cm="1">
        <f t="array" ref="C314">SUMPRODUCT((tbl_DataDraftApril26[Phase]=C$1)*(ISNUMBER(tbl_DataDraftApril26[Start]))*(ISNUMBER(tbl_DataDraftApril26[End]))*($A314&gt;tbl_DataDraftApril26[Start])*($A314&lt;tbl_DataDraftApril26[End]))</f>
        <v>15</v>
      </c>
      <c r="D314" s="125" cm="1">
        <f t="array" ref="D314">SUMPRODUCT((tbl_DataDraftApril26[Phase]=D$1)*(ISNUMBER(tbl_DataDraftApril26[Start]))*(ISNUMBER(tbl_DataDraftApril26[End]))*($A314&gt;tbl_DataDraftApril26[Start])*($A314&lt;tbl_DataDraftApril26[End]))</f>
        <v>2</v>
      </c>
      <c r="E314" s="125" cm="1">
        <f t="array" ref="E314">SUMPRODUCT((tbl_DataDraftApril26[Phase]=E$1)*(ISNUMBER(tbl_DataDraftApril26[Start]))*(ISNUMBER(tbl_DataDraftApril26[End]))*($A314&gt;tbl_DataDraftApril26[Start])*($A314&lt;tbl_DataDraftApril26[End]))</f>
        <v>3</v>
      </c>
    </row>
    <row r="315" spans="1:5">
      <c r="A315" s="131">
        <v>46183</v>
      </c>
      <c r="B315" s="125" cm="1">
        <f t="array" ref="B315">SUMPRODUCT((tbl_DataDraftApril26[Phase]=B$1)*(ISNUMBER(tbl_DataDraftApril26[Start]))*(ISNUMBER(tbl_DataDraftApril26[End]))*($A315&gt;tbl_DataDraftApril26[Start])*($A315&lt;tbl_DataDraftApril26[End]))</f>
        <v>23</v>
      </c>
      <c r="C315" s="125" cm="1">
        <f t="array" ref="C315">SUMPRODUCT((tbl_DataDraftApril26[Phase]=C$1)*(ISNUMBER(tbl_DataDraftApril26[Start]))*(ISNUMBER(tbl_DataDraftApril26[End]))*($A315&gt;tbl_DataDraftApril26[Start])*($A315&lt;tbl_DataDraftApril26[End]))</f>
        <v>15</v>
      </c>
      <c r="D315" s="125" cm="1">
        <f t="array" ref="D315">SUMPRODUCT((tbl_DataDraftApril26[Phase]=D$1)*(ISNUMBER(tbl_DataDraftApril26[Start]))*(ISNUMBER(tbl_DataDraftApril26[End]))*($A315&gt;tbl_DataDraftApril26[Start])*($A315&lt;tbl_DataDraftApril26[End]))</f>
        <v>2</v>
      </c>
      <c r="E315" s="125" cm="1">
        <f t="array" ref="E315">SUMPRODUCT((tbl_DataDraftApril26[Phase]=E$1)*(ISNUMBER(tbl_DataDraftApril26[Start]))*(ISNUMBER(tbl_DataDraftApril26[End]))*($A315&gt;tbl_DataDraftApril26[Start])*($A315&lt;tbl_DataDraftApril26[End]))</f>
        <v>3</v>
      </c>
    </row>
    <row r="316" spans="1:5">
      <c r="A316" s="131">
        <v>46184</v>
      </c>
      <c r="B316" s="125" cm="1">
        <f t="array" ref="B316">SUMPRODUCT((tbl_DataDraftApril26[Phase]=B$1)*(ISNUMBER(tbl_DataDraftApril26[Start]))*(ISNUMBER(tbl_DataDraftApril26[End]))*($A316&gt;tbl_DataDraftApril26[Start])*($A316&lt;tbl_DataDraftApril26[End]))</f>
        <v>23</v>
      </c>
      <c r="C316" s="125" cm="1">
        <f t="array" ref="C316">SUMPRODUCT((tbl_DataDraftApril26[Phase]=C$1)*(ISNUMBER(tbl_DataDraftApril26[Start]))*(ISNUMBER(tbl_DataDraftApril26[End]))*($A316&gt;tbl_DataDraftApril26[Start])*($A316&lt;tbl_DataDraftApril26[End]))</f>
        <v>15</v>
      </c>
      <c r="D316" s="125" cm="1">
        <f t="array" ref="D316">SUMPRODUCT((tbl_DataDraftApril26[Phase]=D$1)*(ISNUMBER(tbl_DataDraftApril26[Start]))*(ISNUMBER(tbl_DataDraftApril26[End]))*($A316&gt;tbl_DataDraftApril26[Start])*($A316&lt;tbl_DataDraftApril26[End]))</f>
        <v>2</v>
      </c>
      <c r="E316" s="125" cm="1">
        <f t="array" ref="E316">SUMPRODUCT((tbl_DataDraftApril26[Phase]=E$1)*(ISNUMBER(tbl_DataDraftApril26[Start]))*(ISNUMBER(tbl_DataDraftApril26[End]))*($A316&gt;tbl_DataDraftApril26[Start])*($A316&lt;tbl_DataDraftApril26[End]))</f>
        <v>3</v>
      </c>
    </row>
    <row r="317" spans="1:5">
      <c r="A317" s="131">
        <v>46185</v>
      </c>
      <c r="B317" s="125" cm="1">
        <f t="array" ref="B317">SUMPRODUCT((tbl_DataDraftApril26[Phase]=B$1)*(ISNUMBER(tbl_DataDraftApril26[Start]))*(ISNUMBER(tbl_DataDraftApril26[End]))*($A317&gt;tbl_DataDraftApril26[Start])*($A317&lt;tbl_DataDraftApril26[End]))</f>
        <v>23</v>
      </c>
      <c r="C317" s="125" cm="1">
        <f t="array" ref="C317">SUMPRODUCT((tbl_DataDraftApril26[Phase]=C$1)*(ISNUMBER(tbl_DataDraftApril26[Start]))*(ISNUMBER(tbl_DataDraftApril26[End]))*($A317&gt;tbl_DataDraftApril26[Start])*($A317&lt;tbl_DataDraftApril26[End]))</f>
        <v>15</v>
      </c>
      <c r="D317" s="125" cm="1">
        <f t="array" ref="D317">SUMPRODUCT((tbl_DataDraftApril26[Phase]=D$1)*(ISNUMBER(tbl_DataDraftApril26[Start]))*(ISNUMBER(tbl_DataDraftApril26[End]))*($A317&gt;tbl_DataDraftApril26[Start])*($A317&lt;tbl_DataDraftApril26[End]))</f>
        <v>2</v>
      </c>
      <c r="E317" s="125" cm="1">
        <f t="array" ref="E317">SUMPRODUCT((tbl_DataDraftApril26[Phase]=E$1)*(ISNUMBER(tbl_DataDraftApril26[Start]))*(ISNUMBER(tbl_DataDraftApril26[End]))*($A317&gt;tbl_DataDraftApril26[Start])*($A317&lt;tbl_DataDraftApril26[End]))</f>
        <v>3</v>
      </c>
    </row>
    <row r="318" spans="1:5">
      <c r="A318" s="131">
        <v>46186</v>
      </c>
      <c r="B318" s="125" cm="1">
        <f t="array" ref="B318">SUMPRODUCT((tbl_DataDraftApril26[Phase]=B$1)*(ISNUMBER(tbl_DataDraftApril26[Start]))*(ISNUMBER(tbl_DataDraftApril26[End]))*($A318&gt;tbl_DataDraftApril26[Start])*($A318&lt;tbl_DataDraftApril26[End]))</f>
        <v>23</v>
      </c>
      <c r="C318" s="125" cm="1">
        <f t="array" ref="C318">SUMPRODUCT((tbl_DataDraftApril26[Phase]=C$1)*(ISNUMBER(tbl_DataDraftApril26[Start]))*(ISNUMBER(tbl_DataDraftApril26[End]))*($A318&gt;tbl_DataDraftApril26[Start])*($A318&lt;tbl_DataDraftApril26[End]))</f>
        <v>15</v>
      </c>
      <c r="D318" s="125" cm="1">
        <f t="array" ref="D318">SUMPRODUCT((tbl_DataDraftApril26[Phase]=D$1)*(ISNUMBER(tbl_DataDraftApril26[Start]))*(ISNUMBER(tbl_DataDraftApril26[End]))*($A318&gt;tbl_DataDraftApril26[Start])*($A318&lt;tbl_DataDraftApril26[End]))</f>
        <v>2</v>
      </c>
      <c r="E318" s="125" cm="1">
        <f t="array" ref="E318">SUMPRODUCT((tbl_DataDraftApril26[Phase]=E$1)*(ISNUMBER(tbl_DataDraftApril26[Start]))*(ISNUMBER(tbl_DataDraftApril26[End]))*($A318&gt;tbl_DataDraftApril26[Start])*($A318&lt;tbl_DataDraftApril26[End]))</f>
        <v>3</v>
      </c>
    </row>
    <row r="319" spans="1:5">
      <c r="A319" s="131">
        <v>46187</v>
      </c>
      <c r="B319" s="125" cm="1">
        <f t="array" ref="B319">SUMPRODUCT((tbl_DataDraftApril26[Phase]=B$1)*(ISNUMBER(tbl_DataDraftApril26[Start]))*(ISNUMBER(tbl_DataDraftApril26[End]))*($A319&gt;tbl_DataDraftApril26[Start])*($A319&lt;tbl_DataDraftApril26[End]))</f>
        <v>23</v>
      </c>
      <c r="C319" s="125" cm="1">
        <f t="array" ref="C319">SUMPRODUCT((tbl_DataDraftApril26[Phase]=C$1)*(ISNUMBER(tbl_DataDraftApril26[Start]))*(ISNUMBER(tbl_DataDraftApril26[End]))*($A319&gt;tbl_DataDraftApril26[Start])*($A319&lt;tbl_DataDraftApril26[End]))</f>
        <v>15</v>
      </c>
      <c r="D319" s="125" cm="1">
        <f t="array" ref="D319">SUMPRODUCT((tbl_DataDraftApril26[Phase]=D$1)*(ISNUMBER(tbl_DataDraftApril26[Start]))*(ISNUMBER(tbl_DataDraftApril26[End]))*($A319&gt;tbl_DataDraftApril26[Start])*($A319&lt;tbl_DataDraftApril26[End]))</f>
        <v>2</v>
      </c>
      <c r="E319" s="125" cm="1">
        <f t="array" ref="E319">SUMPRODUCT((tbl_DataDraftApril26[Phase]=E$1)*(ISNUMBER(tbl_DataDraftApril26[Start]))*(ISNUMBER(tbl_DataDraftApril26[End]))*($A319&gt;tbl_DataDraftApril26[Start])*($A319&lt;tbl_DataDraftApril26[End]))</f>
        <v>3</v>
      </c>
    </row>
    <row r="320" spans="1:5">
      <c r="A320" s="131">
        <v>46188</v>
      </c>
      <c r="B320" s="125" cm="1">
        <f t="array" ref="B320">SUMPRODUCT((tbl_DataDraftApril26[Phase]=B$1)*(ISNUMBER(tbl_DataDraftApril26[Start]))*(ISNUMBER(tbl_DataDraftApril26[End]))*($A320&gt;tbl_DataDraftApril26[Start])*($A320&lt;tbl_DataDraftApril26[End]))</f>
        <v>21</v>
      </c>
      <c r="C320" s="125" cm="1">
        <f t="array" ref="C320">SUMPRODUCT((tbl_DataDraftApril26[Phase]=C$1)*(ISNUMBER(tbl_DataDraftApril26[Start]))*(ISNUMBER(tbl_DataDraftApril26[End]))*($A320&gt;tbl_DataDraftApril26[Start])*($A320&lt;tbl_DataDraftApril26[End]))</f>
        <v>11</v>
      </c>
      <c r="D320" s="125" cm="1">
        <f t="array" ref="D320">SUMPRODUCT((tbl_DataDraftApril26[Phase]=D$1)*(ISNUMBER(tbl_DataDraftApril26[Start]))*(ISNUMBER(tbl_DataDraftApril26[End]))*($A320&gt;tbl_DataDraftApril26[Start])*($A320&lt;tbl_DataDraftApril26[End]))</f>
        <v>2</v>
      </c>
      <c r="E320" s="125" cm="1">
        <f t="array" ref="E320">SUMPRODUCT((tbl_DataDraftApril26[Phase]=E$1)*(ISNUMBER(tbl_DataDraftApril26[Start]))*(ISNUMBER(tbl_DataDraftApril26[End]))*($A320&gt;tbl_DataDraftApril26[Start])*($A320&lt;tbl_DataDraftApril26[End]))</f>
        <v>2</v>
      </c>
    </row>
    <row r="321" spans="1:5">
      <c r="A321" s="131">
        <v>46189</v>
      </c>
      <c r="B321" s="125" cm="1">
        <f t="array" ref="B321">SUMPRODUCT((tbl_DataDraftApril26[Phase]=B$1)*(ISNUMBER(tbl_DataDraftApril26[Start]))*(ISNUMBER(tbl_DataDraftApril26[End]))*($A321&gt;tbl_DataDraftApril26[Start])*($A321&lt;tbl_DataDraftApril26[End]))</f>
        <v>20</v>
      </c>
      <c r="C321" s="125" cm="1">
        <f t="array" ref="C321">SUMPRODUCT((tbl_DataDraftApril26[Phase]=C$1)*(ISNUMBER(tbl_DataDraftApril26[Start]))*(ISNUMBER(tbl_DataDraftApril26[End]))*($A321&gt;tbl_DataDraftApril26[Start])*($A321&lt;tbl_DataDraftApril26[End]))</f>
        <v>11</v>
      </c>
      <c r="D321" s="125" cm="1">
        <f t="array" ref="D321">SUMPRODUCT((tbl_DataDraftApril26[Phase]=D$1)*(ISNUMBER(tbl_DataDraftApril26[Start]))*(ISNUMBER(tbl_DataDraftApril26[End]))*($A321&gt;tbl_DataDraftApril26[Start])*($A321&lt;tbl_DataDraftApril26[End]))</f>
        <v>2</v>
      </c>
      <c r="E321" s="125" cm="1">
        <f t="array" ref="E321">SUMPRODUCT((tbl_DataDraftApril26[Phase]=E$1)*(ISNUMBER(tbl_DataDraftApril26[Start]))*(ISNUMBER(tbl_DataDraftApril26[End]))*($A321&gt;tbl_DataDraftApril26[Start])*($A321&lt;tbl_DataDraftApril26[End]))</f>
        <v>2</v>
      </c>
    </row>
    <row r="322" spans="1:5">
      <c r="A322" s="131">
        <v>46190</v>
      </c>
      <c r="B322" s="125" cm="1">
        <f t="array" ref="B322">SUMPRODUCT((tbl_DataDraftApril26[Phase]=B$1)*(ISNUMBER(tbl_DataDraftApril26[Start]))*(ISNUMBER(tbl_DataDraftApril26[End]))*($A322&gt;tbl_DataDraftApril26[Start])*($A322&lt;tbl_DataDraftApril26[End]))</f>
        <v>18</v>
      </c>
      <c r="C322" s="125" cm="1">
        <f t="array" ref="C322">SUMPRODUCT((tbl_DataDraftApril26[Phase]=C$1)*(ISNUMBER(tbl_DataDraftApril26[Start]))*(ISNUMBER(tbl_DataDraftApril26[End]))*($A322&gt;tbl_DataDraftApril26[Start])*($A322&lt;tbl_DataDraftApril26[End]))</f>
        <v>11</v>
      </c>
      <c r="D322" s="125" cm="1">
        <f t="array" ref="D322">SUMPRODUCT((tbl_DataDraftApril26[Phase]=D$1)*(ISNUMBER(tbl_DataDraftApril26[Start]))*(ISNUMBER(tbl_DataDraftApril26[End]))*($A322&gt;tbl_DataDraftApril26[Start])*($A322&lt;tbl_DataDraftApril26[End]))</f>
        <v>2</v>
      </c>
      <c r="E322" s="125" cm="1">
        <f t="array" ref="E322">SUMPRODUCT((tbl_DataDraftApril26[Phase]=E$1)*(ISNUMBER(tbl_DataDraftApril26[Start]))*(ISNUMBER(tbl_DataDraftApril26[End]))*($A322&gt;tbl_DataDraftApril26[Start])*($A322&lt;tbl_DataDraftApril26[End]))</f>
        <v>2</v>
      </c>
    </row>
    <row r="323" spans="1:5">
      <c r="A323" s="131">
        <v>46191</v>
      </c>
      <c r="B323" s="125" cm="1">
        <f t="array" ref="B323">SUMPRODUCT((tbl_DataDraftApril26[Phase]=B$1)*(ISNUMBER(tbl_DataDraftApril26[Start]))*(ISNUMBER(tbl_DataDraftApril26[End]))*($A323&gt;tbl_DataDraftApril26[Start])*($A323&lt;tbl_DataDraftApril26[End]))</f>
        <v>18</v>
      </c>
      <c r="C323" s="125" cm="1">
        <f t="array" ref="C323">SUMPRODUCT((tbl_DataDraftApril26[Phase]=C$1)*(ISNUMBER(tbl_DataDraftApril26[Start]))*(ISNUMBER(tbl_DataDraftApril26[End]))*($A323&gt;tbl_DataDraftApril26[Start])*($A323&lt;tbl_DataDraftApril26[End]))</f>
        <v>11</v>
      </c>
      <c r="D323" s="125" cm="1">
        <f t="array" ref="D323">SUMPRODUCT((tbl_DataDraftApril26[Phase]=D$1)*(ISNUMBER(tbl_DataDraftApril26[Start]))*(ISNUMBER(tbl_DataDraftApril26[End]))*($A323&gt;tbl_DataDraftApril26[Start])*($A323&lt;tbl_DataDraftApril26[End]))</f>
        <v>2</v>
      </c>
      <c r="E323" s="125" cm="1">
        <f t="array" ref="E323">SUMPRODUCT((tbl_DataDraftApril26[Phase]=E$1)*(ISNUMBER(tbl_DataDraftApril26[Start]))*(ISNUMBER(tbl_DataDraftApril26[End]))*($A323&gt;tbl_DataDraftApril26[Start])*($A323&lt;tbl_DataDraftApril26[End]))</f>
        <v>2</v>
      </c>
    </row>
    <row r="324" spans="1:5">
      <c r="A324" s="131">
        <v>46192</v>
      </c>
      <c r="B324" s="125" cm="1">
        <f t="array" ref="B324">SUMPRODUCT((tbl_DataDraftApril26[Phase]=B$1)*(ISNUMBER(tbl_DataDraftApril26[Start]))*(ISNUMBER(tbl_DataDraftApril26[End]))*($A324&gt;tbl_DataDraftApril26[Start])*($A324&lt;tbl_DataDraftApril26[End]))</f>
        <v>18</v>
      </c>
      <c r="C324" s="125" cm="1">
        <f t="array" ref="C324">SUMPRODUCT((tbl_DataDraftApril26[Phase]=C$1)*(ISNUMBER(tbl_DataDraftApril26[Start]))*(ISNUMBER(tbl_DataDraftApril26[End]))*($A324&gt;tbl_DataDraftApril26[Start])*($A324&lt;tbl_DataDraftApril26[End]))</f>
        <v>11</v>
      </c>
      <c r="D324" s="125" cm="1">
        <f t="array" ref="D324">SUMPRODUCT((tbl_DataDraftApril26[Phase]=D$1)*(ISNUMBER(tbl_DataDraftApril26[Start]))*(ISNUMBER(tbl_DataDraftApril26[End]))*($A324&gt;tbl_DataDraftApril26[Start])*($A324&lt;tbl_DataDraftApril26[End]))</f>
        <v>2</v>
      </c>
      <c r="E324" s="125" cm="1">
        <f t="array" ref="E324">SUMPRODUCT((tbl_DataDraftApril26[Phase]=E$1)*(ISNUMBER(tbl_DataDraftApril26[Start]))*(ISNUMBER(tbl_DataDraftApril26[End]))*($A324&gt;tbl_DataDraftApril26[Start])*($A324&lt;tbl_DataDraftApril26[End]))</f>
        <v>2</v>
      </c>
    </row>
    <row r="325" spans="1:5">
      <c r="A325" s="131">
        <v>46193</v>
      </c>
      <c r="B325" s="125" cm="1">
        <f t="array" ref="B325">SUMPRODUCT((tbl_DataDraftApril26[Phase]=B$1)*(ISNUMBER(tbl_DataDraftApril26[Start]))*(ISNUMBER(tbl_DataDraftApril26[End]))*($A325&gt;tbl_DataDraftApril26[Start])*($A325&lt;tbl_DataDraftApril26[End]))</f>
        <v>18</v>
      </c>
      <c r="C325" s="125" cm="1">
        <f t="array" ref="C325">SUMPRODUCT((tbl_DataDraftApril26[Phase]=C$1)*(ISNUMBER(tbl_DataDraftApril26[Start]))*(ISNUMBER(tbl_DataDraftApril26[End]))*($A325&gt;tbl_DataDraftApril26[Start])*($A325&lt;tbl_DataDraftApril26[End]))</f>
        <v>11</v>
      </c>
      <c r="D325" s="125" cm="1">
        <f t="array" ref="D325">SUMPRODUCT((tbl_DataDraftApril26[Phase]=D$1)*(ISNUMBER(tbl_DataDraftApril26[Start]))*(ISNUMBER(tbl_DataDraftApril26[End]))*($A325&gt;tbl_DataDraftApril26[Start])*($A325&lt;tbl_DataDraftApril26[End]))</f>
        <v>2</v>
      </c>
      <c r="E325" s="125" cm="1">
        <f t="array" ref="E325">SUMPRODUCT((tbl_DataDraftApril26[Phase]=E$1)*(ISNUMBER(tbl_DataDraftApril26[Start]))*(ISNUMBER(tbl_DataDraftApril26[End]))*($A325&gt;tbl_DataDraftApril26[Start])*($A325&lt;tbl_DataDraftApril26[End]))</f>
        <v>2</v>
      </c>
    </row>
    <row r="326" spans="1:5">
      <c r="A326" s="131">
        <v>46194</v>
      </c>
      <c r="B326" s="125" cm="1">
        <f t="array" ref="B326">SUMPRODUCT((tbl_DataDraftApril26[Phase]=B$1)*(ISNUMBER(tbl_DataDraftApril26[Start]))*(ISNUMBER(tbl_DataDraftApril26[End]))*($A326&gt;tbl_DataDraftApril26[Start])*($A326&lt;tbl_DataDraftApril26[End]))</f>
        <v>18</v>
      </c>
      <c r="C326" s="125" cm="1">
        <f t="array" ref="C326">SUMPRODUCT((tbl_DataDraftApril26[Phase]=C$1)*(ISNUMBER(tbl_DataDraftApril26[Start]))*(ISNUMBER(tbl_DataDraftApril26[End]))*($A326&gt;tbl_DataDraftApril26[Start])*($A326&lt;tbl_DataDraftApril26[End]))</f>
        <v>11</v>
      </c>
      <c r="D326" s="125" cm="1">
        <f t="array" ref="D326">SUMPRODUCT((tbl_DataDraftApril26[Phase]=D$1)*(ISNUMBER(tbl_DataDraftApril26[Start]))*(ISNUMBER(tbl_DataDraftApril26[End]))*($A326&gt;tbl_DataDraftApril26[Start])*($A326&lt;tbl_DataDraftApril26[End]))</f>
        <v>2</v>
      </c>
      <c r="E326" s="125" cm="1">
        <f t="array" ref="E326">SUMPRODUCT((tbl_DataDraftApril26[Phase]=E$1)*(ISNUMBER(tbl_DataDraftApril26[Start]))*(ISNUMBER(tbl_DataDraftApril26[End]))*($A326&gt;tbl_DataDraftApril26[Start])*($A326&lt;tbl_DataDraftApril26[End]))</f>
        <v>2</v>
      </c>
    </row>
    <row r="327" spans="1:5">
      <c r="A327" s="131">
        <v>46195</v>
      </c>
      <c r="B327" s="125" cm="1">
        <f t="array" ref="B327">SUMPRODUCT((tbl_DataDraftApril26[Phase]=B$1)*(ISNUMBER(tbl_DataDraftApril26[Start]))*(ISNUMBER(tbl_DataDraftApril26[End]))*($A327&gt;tbl_DataDraftApril26[Start])*($A327&lt;tbl_DataDraftApril26[End]))</f>
        <v>18</v>
      </c>
      <c r="C327" s="125" cm="1">
        <f t="array" ref="C327">SUMPRODUCT((tbl_DataDraftApril26[Phase]=C$1)*(ISNUMBER(tbl_DataDraftApril26[Start]))*(ISNUMBER(tbl_DataDraftApril26[End]))*($A327&gt;tbl_DataDraftApril26[Start])*($A327&lt;tbl_DataDraftApril26[End]))</f>
        <v>11</v>
      </c>
      <c r="D327" s="125" cm="1">
        <f t="array" ref="D327">SUMPRODUCT((tbl_DataDraftApril26[Phase]=D$1)*(ISNUMBER(tbl_DataDraftApril26[Start]))*(ISNUMBER(tbl_DataDraftApril26[End]))*($A327&gt;tbl_DataDraftApril26[Start])*($A327&lt;tbl_DataDraftApril26[End]))</f>
        <v>2</v>
      </c>
      <c r="E327" s="125" cm="1">
        <f t="array" ref="E327">SUMPRODUCT((tbl_DataDraftApril26[Phase]=E$1)*(ISNUMBER(tbl_DataDraftApril26[Start]))*(ISNUMBER(tbl_DataDraftApril26[End]))*($A327&gt;tbl_DataDraftApril26[Start])*($A327&lt;tbl_DataDraftApril26[End]))</f>
        <v>2</v>
      </c>
    </row>
    <row r="328" spans="1:5">
      <c r="A328" s="131">
        <v>46196</v>
      </c>
      <c r="B328" s="125" cm="1">
        <f t="array" ref="B328">SUMPRODUCT((tbl_DataDraftApril26[Phase]=B$1)*(ISNUMBER(tbl_DataDraftApril26[Start]))*(ISNUMBER(tbl_DataDraftApril26[End]))*($A328&gt;tbl_DataDraftApril26[Start])*($A328&lt;tbl_DataDraftApril26[End]))</f>
        <v>18</v>
      </c>
      <c r="C328" s="125" cm="1">
        <f t="array" ref="C328">SUMPRODUCT((tbl_DataDraftApril26[Phase]=C$1)*(ISNUMBER(tbl_DataDraftApril26[Start]))*(ISNUMBER(tbl_DataDraftApril26[End]))*($A328&gt;tbl_DataDraftApril26[Start])*($A328&lt;tbl_DataDraftApril26[End]))</f>
        <v>11</v>
      </c>
      <c r="D328" s="125" cm="1">
        <f t="array" ref="D328">SUMPRODUCT((tbl_DataDraftApril26[Phase]=D$1)*(ISNUMBER(tbl_DataDraftApril26[Start]))*(ISNUMBER(tbl_DataDraftApril26[End]))*($A328&gt;tbl_DataDraftApril26[Start])*($A328&lt;tbl_DataDraftApril26[End]))</f>
        <v>2</v>
      </c>
      <c r="E328" s="125" cm="1">
        <f t="array" ref="E328">SUMPRODUCT((tbl_DataDraftApril26[Phase]=E$1)*(ISNUMBER(tbl_DataDraftApril26[Start]))*(ISNUMBER(tbl_DataDraftApril26[End]))*($A328&gt;tbl_DataDraftApril26[Start])*($A328&lt;tbl_DataDraftApril26[End]))</f>
        <v>2</v>
      </c>
    </row>
    <row r="329" spans="1:5">
      <c r="A329" s="131">
        <v>46197</v>
      </c>
      <c r="B329" s="125" cm="1">
        <f t="array" ref="B329">SUMPRODUCT((tbl_DataDraftApril26[Phase]=B$1)*(ISNUMBER(tbl_DataDraftApril26[Start]))*(ISNUMBER(tbl_DataDraftApril26[End]))*($A329&gt;tbl_DataDraftApril26[Start])*($A329&lt;tbl_DataDraftApril26[End]))</f>
        <v>18</v>
      </c>
      <c r="C329" s="125" cm="1">
        <f t="array" ref="C329">SUMPRODUCT((tbl_DataDraftApril26[Phase]=C$1)*(ISNUMBER(tbl_DataDraftApril26[Start]))*(ISNUMBER(tbl_DataDraftApril26[End]))*($A329&gt;tbl_DataDraftApril26[Start])*($A329&lt;tbl_DataDraftApril26[End]))</f>
        <v>11</v>
      </c>
      <c r="D329" s="125" cm="1">
        <f t="array" ref="D329">SUMPRODUCT((tbl_DataDraftApril26[Phase]=D$1)*(ISNUMBER(tbl_DataDraftApril26[Start]))*(ISNUMBER(tbl_DataDraftApril26[End]))*($A329&gt;tbl_DataDraftApril26[Start])*($A329&lt;tbl_DataDraftApril26[End]))</f>
        <v>2</v>
      </c>
      <c r="E329" s="125" cm="1">
        <f t="array" ref="E329">SUMPRODUCT((tbl_DataDraftApril26[Phase]=E$1)*(ISNUMBER(tbl_DataDraftApril26[Start]))*(ISNUMBER(tbl_DataDraftApril26[End]))*($A329&gt;tbl_DataDraftApril26[Start])*($A329&lt;tbl_DataDraftApril26[End]))</f>
        <v>2</v>
      </c>
    </row>
    <row r="330" spans="1:5">
      <c r="A330" s="131">
        <v>46198</v>
      </c>
      <c r="B330" s="125" cm="1">
        <f t="array" ref="B330">SUMPRODUCT((tbl_DataDraftApril26[Phase]=B$1)*(ISNUMBER(tbl_DataDraftApril26[Start]))*(ISNUMBER(tbl_DataDraftApril26[End]))*($A330&gt;tbl_DataDraftApril26[Start])*($A330&lt;tbl_DataDraftApril26[End]))</f>
        <v>18</v>
      </c>
      <c r="C330" s="125" cm="1">
        <f t="array" ref="C330">SUMPRODUCT((tbl_DataDraftApril26[Phase]=C$1)*(ISNUMBER(tbl_DataDraftApril26[Start]))*(ISNUMBER(tbl_DataDraftApril26[End]))*($A330&gt;tbl_DataDraftApril26[Start])*($A330&lt;tbl_DataDraftApril26[End]))</f>
        <v>11</v>
      </c>
      <c r="D330" s="125" cm="1">
        <f t="array" ref="D330">SUMPRODUCT((tbl_DataDraftApril26[Phase]=D$1)*(ISNUMBER(tbl_DataDraftApril26[Start]))*(ISNUMBER(tbl_DataDraftApril26[End]))*($A330&gt;tbl_DataDraftApril26[Start])*($A330&lt;tbl_DataDraftApril26[End]))</f>
        <v>2</v>
      </c>
      <c r="E330" s="125" cm="1">
        <f t="array" ref="E330">SUMPRODUCT((tbl_DataDraftApril26[Phase]=E$1)*(ISNUMBER(tbl_DataDraftApril26[Start]))*(ISNUMBER(tbl_DataDraftApril26[End]))*($A330&gt;tbl_DataDraftApril26[Start])*($A330&lt;tbl_DataDraftApril26[End]))</f>
        <v>2</v>
      </c>
    </row>
    <row r="331" spans="1:5">
      <c r="A331" s="131">
        <v>46199</v>
      </c>
      <c r="B331" s="125" cm="1">
        <f t="array" ref="B331">SUMPRODUCT((tbl_DataDraftApril26[Phase]=B$1)*(ISNUMBER(tbl_DataDraftApril26[Start]))*(ISNUMBER(tbl_DataDraftApril26[End]))*($A331&gt;tbl_DataDraftApril26[Start])*($A331&lt;tbl_DataDraftApril26[End]))</f>
        <v>18</v>
      </c>
      <c r="C331" s="125" cm="1">
        <f t="array" ref="C331">SUMPRODUCT((tbl_DataDraftApril26[Phase]=C$1)*(ISNUMBER(tbl_DataDraftApril26[Start]))*(ISNUMBER(tbl_DataDraftApril26[End]))*($A331&gt;tbl_DataDraftApril26[Start])*($A331&lt;tbl_DataDraftApril26[End]))</f>
        <v>11</v>
      </c>
      <c r="D331" s="125" cm="1">
        <f t="array" ref="D331">SUMPRODUCT((tbl_DataDraftApril26[Phase]=D$1)*(ISNUMBER(tbl_DataDraftApril26[Start]))*(ISNUMBER(tbl_DataDraftApril26[End]))*($A331&gt;tbl_DataDraftApril26[Start])*($A331&lt;tbl_DataDraftApril26[End]))</f>
        <v>2</v>
      </c>
      <c r="E331" s="125" cm="1">
        <f t="array" ref="E331">SUMPRODUCT((tbl_DataDraftApril26[Phase]=E$1)*(ISNUMBER(tbl_DataDraftApril26[Start]))*(ISNUMBER(tbl_DataDraftApril26[End]))*($A331&gt;tbl_DataDraftApril26[Start])*($A331&lt;tbl_DataDraftApril26[End]))</f>
        <v>2</v>
      </c>
    </row>
    <row r="332" spans="1:5">
      <c r="A332" s="131">
        <v>46200</v>
      </c>
      <c r="B332" s="125" cm="1">
        <f t="array" ref="B332">SUMPRODUCT((tbl_DataDraftApril26[Phase]=B$1)*(ISNUMBER(tbl_DataDraftApril26[Start]))*(ISNUMBER(tbl_DataDraftApril26[End]))*($A332&gt;tbl_DataDraftApril26[Start])*($A332&lt;tbl_DataDraftApril26[End]))</f>
        <v>18</v>
      </c>
      <c r="C332" s="125" cm="1">
        <f t="array" ref="C332">SUMPRODUCT((tbl_DataDraftApril26[Phase]=C$1)*(ISNUMBER(tbl_DataDraftApril26[Start]))*(ISNUMBER(tbl_DataDraftApril26[End]))*($A332&gt;tbl_DataDraftApril26[Start])*($A332&lt;tbl_DataDraftApril26[End]))</f>
        <v>11</v>
      </c>
      <c r="D332" s="125" cm="1">
        <f t="array" ref="D332">SUMPRODUCT((tbl_DataDraftApril26[Phase]=D$1)*(ISNUMBER(tbl_DataDraftApril26[Start]))*(ISNUMBER(tbl_DataDraftApril26[End]))*($A332&gt;tbl_DataDraftApril26[Start])*($A332&lt;tbl_DataDraftApril26[End]))</f>
        <v>2</v>
      </c>
      <c r="E332" s="125" cm="1">
        <f t="array" ref="E332">SUMPRODUCT((tbl_DataDraftApril26[Phase]=E$1)*(ISNUMBER(tbl_DataDraftApril26[Start]))*(ISNUMBER(tbl_DataDraftApril26[End]))*($A332&gt;tbl_DataDraftApril26[Start])*($A332&lt;tbl_DataDraftApril26[End]))</f>
        <v>2</v>
      </c>
    </row>
    <row r="333" spans="1:5">
      <c r="A333" s="131">
        <v>46201</v>
      </c>
      <c r="B333" s="125" cm="1">
        <f t="array" ref="B333">SUMPRODUCT((tbl_DataDraftApril26[Phase]=B$1)*(ISNUMBER(tbl_DataDraftApril26[Start]))*(ISNUMBER(tbl_DataDraftApril26[End]))*($A333&gt;tbl_DataDraftApril26[Start])*($A333&lt;tbl_DataDraftApril26[End]))</f>
        <v>18</v>
      </c>
      <c r="C333" s="125" cm="1">
        <f t="array" ref="C333">SUMPRODUCT((tbl_DataDraftApril26[Phase]=C$1)*(ISNUMBER(tbl_DataDraftApril26[Start]))*(ISNUMBER(tbl_DataDraftApril26[End]))*($A333&gt;tbl_DataDraftApril26[Start])*($A333&lt;tbl_DataDraftApril26[End]))</f>
        <v>11</v>
      </c>
      <c r="D333" s="125" cm="1">
        <f t="array" ref="D333">SUMPRODUCT((tbl_DataDraftApril26[Phase]=D$1)*(ISNUMBER(tbl_DataDraftApril26[Start]))*(ISNUMBER(tbl_DataDraftApril26[End]))*($A333&gt;tbl_DataDraftApril26[Start])*($A333&lt;tbl_DataDraftApril26[End]))</f>
        <v>2</v>
      </c>
      <c r="E333" s="125" cm="1">
        <f t="array" ref="E333">SUMPRODUCT((tbl_DataDraftApril26[Phase]=E$1)*(ISNUMBER(tbl_DataDraftApril26[Start]))*(ISNUMBER(tbl_DataDraftApril26[End]))*($A333&gt;tbl_DataDraftApril26[Start])*($A333&lt;tbl_DataDraftApril26[End]))</f>
        <v>2</v>
      </c>
    </row>
    <row r="334" spans="1:5">
      <c r="A334" s="131">
        <v>46202</v>
      </c>
      <c r="B334" s="125" cm="1">
        <f t="array" ref="B334">SUMPRODUCT((tbl_DataDraftApril26[Phase]=B$1)*(ISNUMBER(tbl_DataDraftApril26[Start]))*(ISNUMBER(tbl_DataDraftApril26[End]))*($A334&gt;tbl_DataDraftApril26[Start])*($A334&lt;tbl_DataDraftApril26[End]))</f>
        <v>18</v>
      </c>
      <c r="C334" s="125" cm="1">
        <f t="array" ref="C334">SUMPRODUCT((tbl_DataDraftApril26[Phase]=C$1)*(ISNUMBER(tbl_DataDraftApril26[Start]))*(ISNUMBER(tbl_DataDraftApril26[End]))*($A334&gt;tbl_DataDraftApril26[Start])*($A334&lt;tbl_DataDraftApril26[End]))</f>
        <v>11</v>
      </c>
      <c r="D334" s="125" cm="1">
        <f t="array" ref="D334">SUMPRODUCT((tbl_DataDraftApril26[Phase]=D$1)*(ISNUMBER(tbl_DataDraftApril26[Start]))*(ISNUMBER(tbl_DataDraftApril26[End]))*($A334&gt;tbl_DataDraftApril26[Start])*($A334&lt;tbl_DataDraftApril26[End]))</f>
        <v>2</v>
      </c>
      <c r="E334" s="125" cm="1">
        <f t="array" ref="E334">SUMPRODUCT((tbl_DataDraftApril26[Phase]=E$1)*(ISNUMBER(tbl_DataDraftApril26[Start]))*(ISNUMBER(tbl_DataDraftApril26[End]))*($A334&gt;tbl_DataDraftApril26[Start])*($A334&lt;tbl_DataDraftApril26[End]))</f>
        <v>2</v>
      </c>
    </row>
    <row r="335" spans="1:5">
      <c r="A335" s="131">
        <v>46203</v>
      </c>
      <c r="B335" s="125" cm="1">
        <f t="array" ref="B335">SUMPRODUCT((tbl_DataDraftApril26[Phase]=B$1)*(ISNUMBER(tbl_DataDraftApril26[Start]))*(ISNUMBER(tbl_DataDraftApril26[End]))*($A335&gt;tbl_DataDraftApril26[Start])*($A335&lt;tbl_DataDraftApril26[End]))</f>
        <v>16</v>
      </c>
      <c r="C335" s="125" cm="1">
        <f t="array" ref="C335">SUMPRODUCT((tbl_DataDraftApril26[Phase]=C$1)*(ISNUMBER(tbl_DataDraftApril26[Start]))*(ISNUMBER(tbl_DataDraftApril26[End]))*($A335&gt;tbl_DataDraftApril26[Start])*($A335&lt;tbl_DataDraftApril26[End]))</f>
        <v>8</v>
      </c>
      <c r="D335" s="125" cm="1">
        <f t="array" ref="D335">SUMPRODUCT((tbl_DataDraftApril26[Phase]=D$1)*(ISNUMBER(tbl_DataDraftApril26[Start]))*(ISNUMBER(tbl_DataDraftApril26[End]))*($A335&gt;tbl_DataDraftApril26[Start])*($A335&lt;tbl_DataDraftApril26[End]))</f>
        <v>1</v>
      </c>
      <c r="E335" s="125" cm="1">
        <f t="array" ref="E335">SUMPRODUCT((tbl_DataDraftApril26[Phase]=E$1)*(ISNUMBER(tbl_DataDraftApril26[Start]))*(ISNUMBER(tbl_DataDraftApril26[End]))*($A335&gt;tbl_DataDraftApril26[Start])*($A335&lt;tbl_DataDraftApril26[End]))</f>
        <v>1</v>
      </c>
    </row>
    <row r="336" spans="1:5">
      <c r="A336" s="131">
        <v>46204</v>
      </c>
      <c r="B336" s="125" cm="1">
        <f t="array" ref="B336">SUMPRODUCT((tbl_DataDraftApril26[Phase]=B$1)*(ISNUMBER(tbl_DataDraftApril26[Start]))*(ISNUMBER(tbl_DataDraftApril26[End]))*($A336&gt;tbl_DataDraftApril26[Start])*($A336&lt;tbl_DataDraftApril26[End]))</f>
        <v>16</v>
      </c>
      <c r="C336" s="125" cm="1">
        <f t="array" ref="C336">SUMPRODUCT((tbl_DataDraftApril26[Phase]=C$1)*(ISNUMBER(tbl_DataDraftApril26[Start]))*(ISNUMBER(tbl_DataDraftApril26[End]))*($A336&gt;tbl_DataDraftApril26[Start])*($A336&lt;tbl_DataDraftApril26[End]))</f>
        <v>7</v>
      </c>
      <c r="D336" s="125" cm="1">
        <f t="array" ref="D336">SUMPRODUCT((tbl_DataDraftApril26[Phase]=D$1)*(ISNUMBER(tbl_DataDraftApril26[Start]))*(ISNUMBER(tbl_DataDraftApril26[End]))*($A336&gt;tbl_DataDraftApril26[Start])*($A336&lt;tbl_DataDraftApril26[End]))</f>
        <v>0</v>
      </c>
      <c r="E336" s="125" cm="1">
        <f t="array" ref="E336">SUMPRODUCT((tbl_DataDraftApril26[Phase]=E$1)*(ISNUMBER(tbl_DataDraftApril26[Start]))*(ISNUMBER(tbl_DataDraftApril26[End]))*($A336&gt;tbl_DataDraftApril26[Start])*($A336&lt;tbl_DataDraftApril26[End]))</f>
        <v>0</v>
      </c>
    </row>
    <row r="337" spans="1:5">
      <c r="A337" s="131">
        <v>46205</v>
      </c>
      <c r="B337" s="125" cm="1">
        <f t="array" ref="B337">SUMPRODUCT((tbl_DataDraftApril26[Phase]=B$1)*(ISNUMBER(tbl_DataDraftApril26[Start]))*(ISNUMBER(tbl_DataDraftApril26[End]))*($A337&gt;tbl_DataDraftApril26[Start])*($A337&lt;tbl_DataDraftApril26[End]))</f>
        <v>16</v>
      </c>
      <c r="C337" s="125" cm="1">
        <f t="array" ref="C337">SUMPRODUCT((tbl_DataDraftApril26[Phase]=C$1)*(ISNUMBER(tbl_DataDraftApril26[Start]))*(ISNUMBER(tbl_DataDraftApril26[End]))*($A337&gt;tbl_DataDraftApril26[Start])*($A337&lt;tbl_DataDraftApril26[End]))</f>
        <v>7</v>
      </c>
      <c r="D337" s="125" cm="1">
        <f t="array" ref="D337">SUMPRODUCT((tbl_DataDraftApril26[Phase]=D$1)*(ISNUMBER(tbl_DataDraftApril26[Start]))*(ISNUMBER(tbl_DataDraftApril26[End]))*($A337&gt;tbl_DataDraftApril26[Start])*($A337&lt;tbl_DataDraftApril26[End]))</f>
        <v>0</v>
      </c>
      <c r="E337" s="125" cm="1">
        <f t="array" ref="E337">SUMPRODUCT((tbl_DataDraftApril26[Phase]=E$1)*(ISNUMBER(tbl_DataDraftApril26[Start]))*(ISNUMBER(tbl_DataDraftApril26[End]))*($A337&gt;tbl_DataDraftApril26[Start])*($A337&lt;tbl_DataDraftApril26[End]))</f>
        <v>0</v>
      </c>
    </row>
    <row r="338" spans="1:5">
      <c r="A338" s="131">
        <v>46206</v>
      </c>
      <c r="B338" s="125" cm="1">
        <f t="array" ref="B338">SUMPRODUCT((tbl_DataDraftApril26[Phase]=B$1)*(ISNUMBER(tbl_DataDraftApril26[Start]))*(ISNUMBER(tbl_DataDraftApril26[End]))*($A338&gt;tbl_DataDraftApril26[Start])*($A338&lt;tbl_DataDraftApril26[End]))</f>
        <v>16</v>
      </c>
      <c r="C338" s="125" cm="1">
        <f t="array" ref="C338">SUMPRODUCT((tbl_DataDraftApril26[Phase]=C$1)*(ISNUMBER(tbl_DataDraftApril26[Start]))*(ISNUMBER(tbl_DataDraftApril26[End]))*($A338&gt;tbl_DataDraftApril26[Start])*($A338&lt;tbl_DataDraftApril26[End]))</f>
        <v>7</v>
      </c>
      <c r="D338" s="125" cm="1">
        <f t="array" ref="D338">SUMPRODUCT((tbl_DataDraftApril26[Phase]=D$1)*(ISNUMBER(tbl_DataDraftApril26[Start]))*(ISNUMBER(tbl_DataDraftApril26[End]))*($A338&gt;tbl_DataDraftApril26[Start])*($A338&lt;tbl_DataDraftApril26[End]))</f>
        <v>0</v>
      </c>
      <c r="E338" s="125" cm="1">
        <f t="array" ref="E338">SUMPRODUCT((tbl_DataDraftApril26[Phase]=E$1)*(ISNUMBER(tbl_DataDraftApril26[Start]))*(ISNUMBER(tbl_DataDraftApril26[End]))*($A338&gt;tbl_DataDraftApril26[Start])*($A338&lt;tbl_DataDraftApril26[End]))</f>
        <v>0</v>
      </c>
    </row>
    <row r="339" spans="1:5">
      <c r="A339" s="131">
        <v>46207</v>
      </c>
      <c r="B339" s="125" cm="1">
        <f t="array" ref="B339">SUMPRODUCT((tbl_DataDraftApril26[Phase]=B$1)*(ISNUMBER(tbl_DataDraftApril26[Start]))*(ISNUMBER(tbl_DataDraftApril26[End]))*($A339&gt;tbl_DataDraftApril26[Start])*($A339&lt;tbl_DataDraftApril26[End]))</f>
        <v>16</v>
      </c>
      <c r="C339" s="125" cm="1">
        <f t="array" ref="C339">SUMPRODUCT((tbl_DataDraftApril26[Phase]=C$1)*(ISNUMBER(tbl_DataDraftApril26[Start]))*(ISNUMBER(tbl_DataDraftApril26[End]))*($A339&gt;tbl_DataDraftApril26[Start])*($A339&lt;tbl_DataDraftApril26[End]))</f>
        <v>7</v>
      </c>
      <c r="D339" s="125" cm="1">
        <f t="array" ref="D339">SUMPRODUCT((tbl_DataDraftApril26[Phase]=D$1)*(ISNUMBER(tbl_DataDraftApril26[Start]))*(ISNUMBER(tbl_DataDraftApril26[End]))*($A339&gt;tbl_DataDraftApril26[Start])*($A339&lt;tbl_DataDraftApril26[End]))</f>
        <v>0</v>
      </c>
      <c r="E339" s="125" cm="1">
        <f t="array" ref="E339">SUMPRODUCT((tbl_DataDraftApril26[Phase]=E$1)*(ISNUMBER(tbl_DataDraftApril26[Start]))*(ISNUMBER(tbl_DataDraftApril26[End]))*($A339&gt;tbl_DataDraftApril26[Start])*($A339&lt;tbl_DataDraftApril26[End]))</f>
        <v>0</v>
      </c>
    </row>
    <row r="340" spans="1:5">
      <c r="A340" s="131">
        <v>46208</v>
      </c>
      <c r="B340" s="125" cm="1">
        <f t="array" ref="B340">SUMPRODUCT((tbl_DataDraftApril26[Phase]=B$1)*(ISNUMBER(tbl_DataDraftApril26[Start]))*(ISNUMBER(tbl_DataDraftApril26[End]))*($A340&gt;tbl_DataDraftApril26[Start])*($A340&lt;tbl_DataDraftApril26[End]))</f>
        <v>16</v>
      </c>
      <c r="C340" s="125" cm="1">
        <f t="array" ref="C340">SUMPRODUCT((tbl_DataDraftApril26[Phase]=C$1)*(ISNUMBER(tbl_DataDraftApril26[Start]))*(ISNUMBER(tbl_DataDraftApril26[End]))*($A340&gt;tbl_DataDraftApril26[Start])*($A340&lt;tbl_DataDraftApril26[End]))</f>
        <v>7</v>
      </c>
      <c r="D340" s="125" cm="1">
        <f t="array" ref="D340">SUMPRODUCT((tbl_DataDraftApril26[Phase]=D$1)*(ISNUMBER(tbl_DataDraftApril26[Start]))*(ISNUMBER(tbl_DataDraftApril26[End]))*($A340&gt;tbl_DataDraftApril26[Start])*($A340&lt;tbl_DataDraftApril26[End]))</f>
        <v>0</v>
      </c>
      <c r="E340" s="125" cm="1">
        <f t="array" ref="E340">SUMPRODUCT((tbl_DataDraftApril26[Phase]=E$1)*(ISNUMBER(tbl_DataDraftApril26[Start]))*(ISNUMBER(tbl_DataDraftApril26[End]))*($A340&gt;tbl_DataDraftApril26[Start])*($A340&lt;tbl_DataDraftApril26[End]))</f>
        <v>0</v>
      </c>
    </row>
    <row r="341" spans="1:5">
      <c r="A341" s="131">
        <v>46209</v>
      </c>
      <c r="B341" s="125" cm="1">
        <f t="array" ref="B341">SUMPRODUCT((tbl_DataDraftApril26[Phase]=B$1)*(ISNUMBER(tbl_DataDraftApril26[Start]))*(ISNUMBER(tbl_DataDraftApril26[End]))*($A341&gt;tbl_DataDraftApril26[Start])*($A341&lt;tbl_DataDraftApril26[End]))</f>
        <v>16</v>
      </c>
      <c r="C341" s="125" cm="1">
        <f t="array" ref="C341">SUMPRODUCT((tbl_DataDraftApril26[Phase]=C$1)*(ISNUMBER(tbl_DataDraftApril26[Start]))*(ISNUMBER(tbl_DataDraftApril26[End]))*($A341&gt;tbl_DataDraftApril26[Start])*($A341&lt;tbl_DataDraftApril26[End]))</f>
        <v>7</v>
      </c>
      <c r="D341" s="125" cm="1">
        <f t="array" ref="D341">SUMPRODUCT((tbl_DataDraftApril26[Phase]=D$1)*(ISNUMBER(tbl_DataDraftApril26[Start]))*(ISNUMBER(tbl_DataDraftApril26[End]))*($A341&gt;tbl_DataDraftApril26[Start])*($A341&lt;tbl_DataDraftApril26[End]))</f>
        <v>0</v>
      </c>
      <c r="E341" s="125" cm="1">
        <f t="array" ref="E341">SUMPRODUCT((tbl_DataDraftApril26[Phase]=E$1)*(ISNUMBER(tbl_DataDraftApril26[Start]))*(ISNUMBER(tbl_DataDraftApril26[End]))*($A341&gt;tbl_DataDraftApril26[Start])*($A341&lt;tbl_DataDraftApril26[End]))</f>
        <v>0</v>
      </c>
    </row>
    <row r="342" spans="1:5">
      <c r="A342" s="131">
        <v>46210</v>
      </c>
      <c r="B342" s="125" cm="1">
        <f t="array" ref="B342">SUMPRODUCT((tbl_DataDraftApril26[Phase]=B$1)*(ISNUMBER(tbl_DataDraftApril26[Start]))*(ISNUMBER(tbl_DataDraftApril26[End]))*($A342&gt;tbl_DataDraftApril26[Start])*($A342&lt;tbl_DataDraftApril26[End]))</f>
        <v>16</v>
      </c>
      <c r="C342" s="125" cm="1">
        <f t="array" ref="C342">SUMPRODUCT((tbl_DataDraftApril26[Phase]=C$1)*(ISNUMBER(tbl_DataDraftApril26[Start]))*(ISNUMBER(tbl_DataDraftApril26[End]))*($A342&gt;tbl_DataDraftApril26[Start])*($A342&lt;tbl_DataDraftApril26[End]))</f>
        <v>7</v>
      </c>
      <c r="D342" s="125" cm="1">
        <f t="array" ref="D342">SUMPRODUCT((tbl_DataDraftApril26[Phase]=D$1)*(ISNUMBER(tbl_DataDraftApril26[Start]))*(ISNUMBER(tbl_DataDraftApril26[End]))*($A342&gt;tbl_DataDraftApril26[Start])*($A342&lt;tbl_DataDraftApril26[End]))</f>
        <v>0</v>
      </c>
      <c r="E342" s="125" cm="1">
        <f t="array" ref="E342">SUMPRODUCT((tbl_DataDraftApril26[Phase]=E$1)*(ISNUMBER(tbl_DataDraftApril26[Start]))*(ISNUMBER(tbl_DataDraftApril26[End]))*($A342&gt;tbl_DataDraftApril26[Start])*($A342&lt;tbl_DataDraftApril26[End]))</f>
        <v>0</v>
      </c>
    </row>
    <row r="343" spans="1:5">
      <c r="A343" s="131">
        <v>46211</v>
      </c>
      <c r="B343" s="125" cm="1">
        <f t="array" ref="B343">SUMPRODUCT((tbl_DataDraftApril26[Phase]=B$1)*(ISNUMBER(tbl_DataDraftApril26[Start]))*(ISNUMBER(tbl_DataDraftApril26[End]))*($A343&gt;tbl_DataDraftApril26[Start])*($A343&lt;tbl_DataDraftApril26[End]))</f>
        <v>16</v>
      </c>
      <c r="C343" s="125" cm="1">
        <f t="array" ref="C343">SUMPRODUCT((tbl_DataDraftApril26[Phase]=C$1)*(ISNUMBER(tbl_DataDraftApril26[Start]))*(ISNUMBER(tbl_DataDraftApril26[End]))*($A343&gt;tbl_DataDraftApril26[Start])*($A343&lt;tbl_DataDraftApril26[End]))</f>
        <v>7</v>
      </c>
      <c r="D343" s="125" cm="1">
        <f t="array" ref="D343">SUMPRODUCT((tbl_DataDraftApril26[Phase]=D$1)*(ISNUMBER(tbl_DataDraftApril26[Start]))*(ISNUMBER(tbl_DataDraftApril26[End]))*($A343&gt;tbl_DataDraftApril26[Start])*($A343&lt;tbl_DataDraftApril26[End]))</f>
        <v>0</v>
      </c>
      <c r="E343" s="125" cm="1">
        <f t="array" ref="E343">SUMPRODUCT((tbl_DataDraftApril26[Phase]=E$1)*(ISNUMBER(tbl_DataDraftApril26[Start]))*(ISNUMBER(tbl_DataDraftApril26[End]))*($A343&gt;tbl_DataDraftApril26[Start])*($A343&lt;tbl_DataDraftApril26[End]))</f>
        <v>0</v>
      </c>
    </row>
    <row r="344" spans="1:5">
      <c r="A344" s="131">
        <v>46212</v>
      </c>
      <c r="B344" s="125" cm="1">
        <f t="array" ref="B344">SUMPRODUCT((tbl_DataDraftApril26[Phase]=B$1)*(ISNUMBER(tbl_DataDraftApril26[Start]))*(ISNUMBER(tbl_DataDraftApril26[End]))*($A344&gt;tbl_DataDraftApril26[Start])*($A344&lt;tbl_DataDraftApril26[End]))</f>
        <v>16</v>
      </c>
      <c r="C344" s="125" cm="1">
        <f t="array" ref="C344">SUMPRODUCT((tbl_DataDraftApril26[Phase]=C$1)*(ISNUMBER(tbl_DataDraftApril26[Start]))*(ISNUMBER(tbl_DataDraftApril26[End]))*($A344&gt;tbl_DataDraftApril26[Start])*($A344&lt;tbl_DataDraftApril26[End]))</f>
        <v>7</v>
      </c>
      <c r="D344" s="125" cm="1">
        <f t="array" ref="D344">SUMPRODUCT((tbl_DataDraftApril26[Phase]=D$1)*(ISNUMBER(tbl_DataDraftApril26[Start]))*(ISNUMBER(tbl_DataDraftApril26[End]))*($A344&gt;tbl_DataDraftApril26[Start])*($A344&lt;tbl_DataDraftApril26[End]))</f>
        <v>0</v>
      </c>
      <c r="E344" s="125" cm="1">
        <f t="array" ref="E344">SUMPRODUCT((tbl_DataDraftApril26[Phase]=E$1)*(ISNUMBER(tbl_DataDraftApril26[Start]))*(ISNUMBER(tbl_DataDraftApril26[End]))*($A344&gt;tbl_DataDraftApril26[Start])*($A344&lt;tbl_DataDraftApril26[End]))</f>
        <v>0</v>
      </c>
    </row>
    <row r="345" spans="1:5">
      <c r="A345" s="131">
        <v>46213</v>
      </c>
      <c r="B345" s="125" cm="1">
        <f t="array" ref="B345">SUMPRODUCT((tbl_DataDraftApril26[Phase]=B$1)*(ISNUMBER(tbl_DataDraftApril26[Start]))*(ISNUMBER(tbl_DataDraftApril26[End]))*($A345&gt;tbl_DataDraftApril26[Start])*($A345&lt;tbl_DataDraftApril26[End]))</f>
        <v>16</v>
      </c>
      <c r="C345" s="125" cm="1">
        <f t="array" ref="C345">SUMPRODUCT((tbl_DataDraftApril26[Phase]=C$1)*(ISNUMBER(tbl_DataDraftApril26[Start]))*(ISNUMBER(tbl_DataDraftApril26[End]))*($A345&gt;tbl_DataDraftApril26[Start])*($A345&lt;tbl_DataDraftApril26[End]))</f>
        <v>7</v>
      </c>
      <c r="D345" s="125" cm="1">
        <f t="array" ref="D345">SUMPRODUCT((tbl_DataDraftApril26[Phase]=D$1)*(ISNUMBER(tbl_DataDraftApril26[Start]))*(ISNUMBER(tbl_DataDraftApril26[End]))*($A345&gt;tbl_DataDraftApril26[Start])*($A345&lt;tbl_DataDraftApril26[End]))</f>
        <v>0</v>
      </c>
      <c r="E345" s="125" cm="1">
        <f t="array" ref="E345">SUMPRODUCT((tbl_DataDraftApril26[Phase]=E$1)*(ISNUMBER(tbl_DataDraftApril26[Start]))*(ISNUMBER(tbl_DataDraftApril26[End]))*($A345&gt;tbl_DataDraftApril26[Start])*($A345&lt;tbl_DataDraftApril26[End]))</f>
        <v>0</v>
      </c>
    </row>
    <row r="346" spans="1:5">
      <c r="A346" s="131">
        <v>46214</v>
      </c>
      <c r="B346" s="125" cm="1">
        <f t="array" ref="B346">SUMPRODUCT((tbl_DataDraftApril26[Phase]=B$1)*(ISNUMBER(tbl_DataDraftApril26[Start]))*(ISNUMBER(tbl_DataDraftApril26[End]))*($A346&gt;tbl_DataDraftApril26[Start])*($A346&lt;tbl_DataDraftApril26[End]))</f>
        <v>16</v>
      </c>
      <c r="C346" s="125" cm="1">
        <f t="array" ref="C346">SUMPRODUCT((tbl_DataDraftApril26[Phase]=C$1)*(ISNUMBER(tbl_DataDraftApril26[Start]))*(ISNUMBER(tbl_DataDraftApril26[End]))*($A346&gt;tbl_DataDraftApril26[Start])*($A346&lt;tbl_DataDraftApril26[End]))</f>
        <v>7</v>
      </c>
      <c r="D346" s="125" cm="1">
        <f t="array" ref="D346">SUMPRODUCT((tbl_DataDraftApril26[Phase]=D$1)*(ISNUMBER(tbl_DataDraftApril26[Start]))*(ISNUMBER(tbl_DataDraftApril26[End]))*($A346&gt;tbl_DataDraftApril26[Start])*($A346&lt;tbl_DataDraftApril26[End]))</f>
        <v>0</v>
      </c>
      <c r="E346" s="125" cm="1">
        <f t="array" ref="E346">SUMPRODUCT((tbl_DataDraftApril26[Phase]=E$1)*(ISNUMBER(tbl_DataDraftApril26[Start]))*(ISNUMBER(tbl_DataDraftApril26[End]))*($A346&gt;tbl_DataDraftApril26[Start])*($A346&lt;tbl_DataDraftApril26[End]))</f>
        <v>0</v>
      </c>
    </row>
    <row r="347" spans="1:5">
      <c r="A347" s="131">
        <v>46215</v>
      </c>
      <c r="B347" s="125" cm="1">
        <f t="array" ref="B347">SUMPRODUCT((tbl_DataDraftApril26[Phase]=B$1)*(ISNUMBER(tbl_DataDraftApril26[Start]))*(ISNUMBER(tbl_DataDraftApril26[End]))*($A347&gt;tbl_DataDraftApril26[Start])*($A347&lt;tbl_DataDraftApril26[End]))</f>
        <v>16</v>
      </c>
      <c r="C347" s="125" cm="1">
        <f t="array" ref="C347">SUMPRODUCT((tbl_DataDraftApril26[Phase]=C$1)*(ISNUMBER(tbl_DataDraftApril26[Start]))*(ISNUMBER(tbl_DataDraftApril26[End]))*($A347&gt;tbl_DataDraftApril26[Start])*($A347&lt;tbl_DataDraftApril26[End]))</f>
        <v>7</v>
      </c>
      <c r="D347" s="125" cm="1">
        <f t="array" ref="D347">SUMPRODUCT((tbl_DataDraftApril26[Phase]=D$1)*(ISNUMBER(tbl_DataDraftApril26[Start]))*(ISNUMBER(tbl_DataDraftApril26[End]))*($A347&gt;tbl_DataDraftApril26[Start])*($A347&lt;tbl_DataDraftApril26[End]))</f>
        <v>0</v>
      </c>
      <c r="E347" s="125" cm="1">
        <f t="array" ref="E347">SUMPRODUCT((tbl_DataDraftApril26[Phase]=E$1)*(ISNUMBER(tbl_DataDraftApril26[Start]))*(ISNUMBER(tbl_DataDraftApril26[End]))*($A347&gt;tbl_DataDraftApril26[Start])*($A347&lt;tbl_DataDraftApril26[End]))</f>
        <v>0</v>
      </c>
    </row>
    <row r="348" spans="1:5">
      <c r="A348" s="131">
        <v>46216</v>
      </c>
      <c r="B348" s="125" cm="1">
        <f t="array" ref="B348">SUMPRODUCT((tbl_DataDraftApril26[Phase]=B$1)*(ISNUMBER(tbl_DataDraftApril26[Start]))*(ISNUMBER(tbl_DataDraftApril26[End]))*($A348&gt;tbl_DataDraftApril26[Start])*($A348&lt;tbl_DataDraftApril26[End]))</f>
        <v>16</v>
      </c>
      <c r="C348" s="125" cm="1">
        <f t="array" ref="C348">SUMPRODUCT((tbl_DataDraftApril26[Phase]=C$1)*(ISNUMBER(tbl_DataDraftApril26[Start]))*(ISNUMBER(tbl_DataDraftApril26[End]))*($A348&gt;tbl_DataDraftApril26[Start])*($A348&lt;tbl_DataDraftApril26[End]))</f>
        <v>7</v>
      </c>
      <c r="D348" s="125" cm="1">
        <f t="array" ref="D348">SUMPRODUCT((tbl_DataDraftApril26[Phase]=D$1)*(ISNUMBER(tbl_DataDraftApril26[Start]))*(ISNUMBER(tbl_DataDraftApril26[End]))*($A348&gt;tbl_DataDraftApril26[Start])*($A348&lt;tbl_DataDraftApril26[End]))</f>
        <v>0</v>
      </c>
      <c r="E348" s="125" cm="1">
        <f t="array" ref="E348">SUMPRODUCT((tbl_DataDraftApril26[Phase]=E$1)*(ISNUMBER(tbl_DataDraftApril26[Start]))*(ISNUMBER(tbl_DataDraftApril26[End]))*($A348&gt;tbl_DataDraftApril26[Start])*($A348&lt;tbl_DataDraftApril26[End]))</f>
        <v>0</v>
      </c>
    </row>
    <row r="349" spans="1:5">
      <c r="A349" s="131">
        <v>46217</v>
      </c>
      <c r="B349" s="125" cm="1">
        <f t="array" ref="B349">SUMPRODUCT((tbl_DataDraftApril26[Phase]=B$1)*(ISNUMBER(tbl_DataDraftApril26[Start]))*(ISNUMBER(tbl_DataDraftApril26[End]))*($A349&gt;tbl_DataDraftApril26[Start])*($A349&lt;tbl_DataDraftApril26[End]))</f>
        <v>16</v>
      </c>
      <c r="C349" s="125" cm="1">
        <f t="array" ref="C349">SUMPRODUCT((tbl_DataDraftApril26[Phase]=C$1)*(ISNUMBER(tbl_DataDraftApril26[Start]))*(ISNUMBER(tbl_DataDraftApril26[End]))*($A349&gt;tbl_DataDraftApril26[Start])*($A349&lt;tbl_DataDraftApril26[End]))</f>
        <v>7</v>
      </c>
      <c r="D349" s="125" cm="1">
        <f t="array" ref="D349">SUMPRODUCT((tbl_DataDraftApril26[Phase]=D$1)*(ISNUMBER(tbl_DataDraftApril26[Start]))*(ISNUMBER(tbl_DataDraftApril26[End]))*($A349&gt;tbl_DataDraftApril26[Start])*($A349&lt;tbl_DataDraftApril26[End]))</f>
        <v>0</v>
      </c>
      <c r="E349" s="125" cm="1">
        <f t="array" ref="E349">SUMPRODUCT((tbl_DataDraftApril26[Phase]=E$1)*(ISNUMBER(tbl_DataDraftApril26[Start]))*(ISNUMBER(tbl_DataDraftApril26[End]))*($A349&gt;tbl_DataDraftApril26[Start])*($A349&lt;tbl_DataDraftApril26[End]))</f>
        <v>0</v>
      </c>
    </row>
    <row r="350" spans="1:5">
      <c r="A350" s="131">
        <v>46218</v>
      </c>
      <c r="B350" s="125" cm="1">
        <f t="array" ref="B350">SUMPRODUCT((tbl_DataDraftApril26[Phase]=B$1)*(ISNUMBER(tbl_DataDraftApril26[Start]))*(ISNUMBER(tbl_DataDraftApril26[End]))*($A350&gt;tbl_DataDraftApril26[Start])*($A350&lt;tbl_DataDraftApril26[End]))</f>
        <v>15</v>
      </c>
      <c r="C350" s="125" cm="1">
        <f t="array" ref="C350">SUMPRODUCT((tbl_DataDraftApril26[Phase]=C$1)*(ISNUMBER(tbl_DataDraftApril26[Start]))*(ISNUMBER(tbl_DataDraftApril26[End]))*($A350&gt;tbl_DataDraftApril26[Start])*($A350&lt;tbl_DataDraftApril26[End]))</f>
        <v>7</v>
      </c>
      <c r="D350" s="125" cm="1">
        <f t="array" ref="D350">SUMPRODUCT((tbl_DataDraftApril26[Phase]=D$1)*(ISNUMBER(tbl_DataDraftApril26[Start]))*(ISNUMBER(tbl_DataDraftApril26[End]))*($A350&gt;tbl_DataDraftApril26[Start])*($A350&lt;tbl_DataDraftApril26[End]))</f>
        <v>0</v>
      </c>
      <c r="E350" s="125" cm="1">
        <f t="array" ref="E350">SUMPRODUCT((tbl_DataDraftApril26[Phase]=E$1)*(ISNUMBER(tbl_DataDraftApril26[Start]))*(ISNUMBER(tbl_DataDraftApril26[End]))*($A350&gt;tbl_DataDraftApril26[Start])*($A350&lt;tbl_DataDraftApril26[End]))</f>
        <v>0</v>
      </c>
    </row>
    <row r="351" spans="1:5">
      <c r="A351" s="131">
        <v>46219</v>
      </c>
      <c r="B351" s="125" cm="1">
        <f t="array" ref="B351">SUMPRODUCT((tbl_DataDraftApril26[Phase]=B$1)*(ISNUMBER(tbl_DataDraftApril26[Start]))*(ISNUMBER(tbl_DataDraftApril26[End]))*($A351&gt;tbl_DataDraftApril26[Start])*($A351&lt;tbl_DataDraftApril26[End]))</f>
        <v>15</v>
      </c>
      <c r="C351" s="125" cm="1">
        <f t="array" ref="C351">SUMPRODUCT((tbl_DataDraftApril26[Phase]=C$1)*(ISNUMBER(tbl_DataDraftApril26[Start]))*(ISNUMBER(tbl_DataDraftApril26[End]))*($A351&gt;tbl_DataDraftApril26[Start])*($A351&lt;tbl_DataDraftApril26[End]))</f>
        <v>6</v>
      </c>
      <c r="D351" s="125" cm="1">
        <f t="array" ref="D351">SUMPRODUCT((tbl_DataDraftApril26[Phase]=D$1)*(ISNUMBER(tbl_DataDraftApril26[Start]))*(ISNUMBER(tbl_DataDraftApril26[End]))*($A351&gt;tbl_DataDraftApril26[Start])*($A351&lt;tbl_DataDraftApril26[End]))</f>
        <v>0</v>
      </c>
      <c r="E351" s="125" cm="1">
        <f t="array" ref="E351">SUMPRODUCT((tbl_DataDraftApril26[Phase]=E$1)*(ISNUMBER(tbl_DataDraftApril26[Start]))*(ISNUMBER(tbl_DataDraftApril26[End]))*($A351&gt;tbl_DataDraftApril26[Start])*($A351&lt;tbl_DataDraftApril26[End]))</f>
        <v>0</v>
      </c>
    </row>
    <row r="352" spans="1:5">
      <c r="A352" s="131">
        <v>46220</v>
      </c>
      <c r="B352" s="125" cm="1">
        <f t="array" ref="B352">SUMPRODUCT((tbl_DataDraftApril26[Phase]=B$1)*(ISNUMBER(tbl_DataDraftApril26[Start]))*(ISNUMBER(tbl_DataDraftApril26[End]))*($A352&gt;tbl_DataDraftApril26[Start])*($A352&lt;tbl_DataDraftApril26[End]))</f>
        <v>15</v>
      </c>
      <c r="C352" s="125" cm="1">
        <f t="array" ref="C352">SUMPRODUCT((tbl_DataDraftApril26[Phase]=C$1)*(ISNUMBER(tbl_DataDraftApril26[Start]))*(ISNUMBER(tbl_DataDraftApril26[End]))*($A352&gt;tbl_DataDraftApril26[Start])*($A352&lt;tbl_DataDraftApril26[End]))</f>
        <v>6</v>
      </c>
      <c r="D352" s="125" cm="1">
        <f t="array" ref="D352">SUMPRODUCT((tbl_DataDraftApril26[Phase]=D$1)*(ISNUMBER(tbl_DataDraftApril26[Start]))*(ISNUMBER(tbl_DataDraftApril26[End]))*($A352&gt;tbl_DataDraftApril26[Start])*($A352&lt;tbl_DataDraftApril26[End]))</f>
        <v>0</v>
      </c>
      <c r="E352" s="125" cm="1">
        <f t="array" ref="E352">SUMPRODUCT((tbl_DataDraftApril26[Phase]=E$1)*(ISNUMBER(tbl_DataDraftApril26[Start]))*(ISNUMBER(tbl_DataDraftApril26[End]))*($A352&gt;tbl_DataDraftApril26[Start])*($A352&lt;tbl_DataDraftApril26[End]))</f>
        <v>0</v>
      </c>
    </row>
    <row r="353" spans="1:5">
      <c r="A353" s="131">
        <v>46221</v>
      </c>
      <c r="B353" s="125" cm="1">
        <f t="array" ref="B353">SUMPRODUCT((tbl_DataDraftApril26[Phase]=B$1)*(ISNUMBER(tbl_DataDraftApril26[Start]))*(ISNUMBER(tbl_DataDraftApril26[End]))*($A353&gt;tbl_DataDraftApril26[Start])*($A353&lt;tbl_DataDraftApril26[End]))</f>
        <v>15</v>
      </c>
      <c r="C353" s="125" cm="1">
        <f t="array" ref="C353">SUMPRODUCT((tbl_DataDraftApril26[Phase]=C$1)*(ISNUMBER(tbl_DataDraftApril26[Start]))*(ISNUMBER(tbl_DataDraftApril26[End]))*($A353&gt;tbl_DataDraftApril26[Start])*($A353&lt;tbl_DataDraftApril26[End]))</f>
        <v>6</v>
      </c>
      <c r="D353" s="125" cm="1">
        <f t="array" ref="D353">SUMPRODUCT((tbl_DataDraftApril26[Phase]=D$1)*(ISNUMBER(tbl_DataDraftApril26[Start]))*(ISNUMBER(tbl_DataDraftApril26[End]))*($A353&gt;tbl_DataDraftApril26[Start])*($A353&lt;tbl_DataDraftApril26[End]))</f>
        <v>0</v>
      </c>
      <c r="E353" s="125" cm="1">
        <f t="array" ref="E353">SUMPRODUCT((tbl_DataDraftApril26[Phase]=E$1)*(ISNUMBER(tbl_DataDraftApril26[Start]))*(ISNUMBER(tbl_DataDraftApril26[End]))*($A353&gt;tbl_DataDraftApril26[Start])*($A353&lt;tbl_DataDraftApril26[End]))</f>
        <v>0</v>
      </c>
    </row>
    <row r="354" spans="1:5">
      <c r="A354" s="131">
        <v>46222</v>
      </c>
      <c r="B354" s="125" cm="1">
        <f t="array" ref="B354">SUMPRODUCT((tbl_DataDraftApril26[Phase]=B$1)*(ISNUMBER(tbl_DataDraftApril26[Start]))*(ISNUMBER(tbl_DataDraftApril26[End]))*($A354&gt;tbl_DataDraftApril26[Start])*($A354&lt;tbl_DataDraftApril26[End]))</f>
        <v>15</v>
      </c>
      <c r="C354" s="125" cm="1">
        <f t="array" ref="C354">SUMPRODUCT((tbl_DataDraftApril26[Phase]=C$1)*(ISNUMBER(tbl_DataDraftApril26[Start]))*(ISNUMBER(tbl_DataDraftApril26[End]))*($A354&gt;tbl_DataDraftApril26[Start])*($A354&lt;tbl_DataDraftApril26[End]))</f>
        <v>6</v>
      </c>
      <c r="D354" s="125" cm="1">
        <f t="array" ref="D354">SUMPRODUCT((tbl_DataDraftApril26[Phase]=D$1)*(ISNUMBER(tbl_DataDraftApril26[Start]))*(ISNUMBER(tbl_DataDraftApril26[End]))*($A354&gt;tbl_DataDraftApril26[Start])*($A354&lt;tbl_DataDraftApril26[End]))</f>
        <v>0</v>
      </c>
      <c r="E354" s="125" cm="1">
        <f t="array" ref="E354">SUMPRODUCT((tbl_DataDraftApril26[Phase]=E$1)*(ISNUMBER(tbl_DataDraftApril26[Start]))*(ISNUMBER(tbl_DataDraftApril26[End]))*($A354&gt;tbl_DataDraftApril26[Start])*($A354&lt;tbl_DataDraftApril26[End]))</f>
        <v>0</v>
      </c>
    </row>
    <row r="355" spans="1:5">
      <c r="A355" s="131">
        <v>46223</v>
      </c>
      <c r="B355" s="125" cm="1">
        <f t="array" ref="B355">SUMPRODUCT((tbl_DataDraftApril26[Phase]=B$1)*(ISNUMBER(tbl_DataDraftApril26[Start]))*(ISNUMBER(tbl_DataDraftApril26[End]))*($A355&gt;tbl_DataDraftApril26[Start])*($A355&lt;tbl_DataDraftApril26[End]))</f>
        <v>15</v>
      </c>
      <c r="C355" s="125" cm="1">
        <f t="array" ref="C355">SUMPRODUCT((tbl_DataDraftApril26[Phase]=C$1)*(ISNUMBER(tbl_DataDraftApril26[Start]))*(ISNUMBER(tbl_DataDraftApril26[End]))*($A355&gt;tbl_DataDraftApril26[Start])*($A355&lt;tbl_DataDraftApril26[End]))</f>
        <v>6</v>
      </c>
      <c r="D355" s="125" cm="1">
        <f t="array" ref="D355">SUMPRODUCT((tbl_DataDraftApril26[Phase]=D$1)*(ISNUMBER(tbl_DataDraftApril26[Start]))*(ISNUMBER(tbl_DataDraftApril26[End]))*($A355&gt;tbl_DataDraftApril26[Start])*($A355&lt;tbl_DataDraftApril26[End]))</f>
        <v>0</v>
      </c>
      <c r="E355" s="125" cm="1">
        <f t="array" ref="E355">SUMPRODUCT((tbl_DataDraftApril26[Phase]=E$1)*(ISNUMBER(tbl_DataDraftApril26[Start]))*(ISNUMBER(tbl_DataDraftApril26[End]))*($A355&gt;tbl_DataDraftApril26[Start])*($A355&lt;tbl_DataDraftApril26[End]))</f>
        <v>0</v>
      </c>
    </row>
    <row r="356" spans="1:5">
      <c r="A356" s="131">
        <v>46224</v>
      </c>
      <c r="B356" s="125" cm="1">
        <f t="array" ref="B356">SUMPRODUCT((tbl_DataDraftApril26[Phase]=B$1)*(ISNUMBER(tbl_DataDraftApril26[Start]))*(ISNUMBER(tbl_DataDraftApril26[End]))*($A356&gt;tbl_DataDraftApril26[Start])*($A356&lt;tbl_DataDraftApril26[End]))</f>
        <v>15</v>
      </c>
      <c r="C356" s="125" cm="1">
        <f t="array" ref="C356">SUMPRODUCT((tbl_DataDraftApril26[Phase]=C$1)*(ISNUMBER(tbl_DataDraftApril26[Start]))*(ISNUMBER(tbl_DataDraftApril26[End]))*($A356&gt;tbl_DataDraftApril26[Start])*($A356&lt;tbl_DataDraftApril26[End]))</f>
        <v>6</v>
      </c>
      <c r="D356" s="125" cm="1">
        <f t="array" ref="D356">SUMPRODUCT((tbl_DataDraftApril26[Phase]=D$1)*(ISNUMBER(tbl_DataDraftApril26[Start]))*(ISNUMBER(tbl_DataDraftApril26[End]))*($A356&gt;tbl_DataDraftApril26[Start])*($A356&lt;tbl_DataDraftApril26[End]))</f>
        <v>0</v>
      </c>
      <c r="E356" s="125" cm="1">
        <f t="array" ref="E356">SUMPRODUCT((tbl_DataDraftApril26[Phase]=E$1)*(ISNUMBER(tbl_DataDraftApril26[Start]))*(ISNUMBER(tbl_DataDraftApril26[End]))*($A356&gt;tbl_DataDraftApril26[Start])*($A356&lt;tbl_DataDraftApril26[End]))</f>
        <v>0</v>
      </c>
    </row>
    <row r="357" spans="1:5">
      <c r="A357" s="131">
        <v>46225</v>
      </c>
      <c r="B357" s="125" cm="1">
        <f t="array" ref="B357">SUMPRODUCT((tbl_DataDraftApril26[Phase]=B$1)*(ISNUMBER(tbl_DataDraftApril26[Start]))*(ISNUMBER(tbl_DataDraftApril26[End]))*($A357&gt;tbl_DataDraftApril26[Start])*($A357&lt;tbl_DataDraftApril26[End]))</f>
        <v>15</v>
      </c>
      <c r="C357" s="125" cm="1">
        <f t="array" ref="C357">SUMPRODUCT((tbl_DataDraftApril26[Phase]=C$1)*(ISNUMBER(tbl_DataDraftApril26[Start]))*(ISNUMBER(tbl_DataDraftApril26[End]))*($A357&gt;tbl_DataDraftApril26[Start])*($A357&lt;tbl_DataDraftApril26[End]))</f>
        <v>6</v>
      </c>
      <c r="D357" s="125" cm="1">
        <f t="array" ref="D357">SUMPRODUCT((tbl_DataDraftApril26[Phase]=D$1)*(ISNUMBER(tbl_DataDraftApril26[Start]))*(ISNUMBER(tbl_DataDraftApril26[End]))*($A357&gt;tbl_DataDraftApril26[Start])*($A357&lt;tbl_DataDraftApril26[End]))</f>
        <v>0</v>
      </c>
      <c r="E357" s="125" cm="1">
        <f t="array" ref="E357">SUMPRODUCT((tbl_DataDraftApril26[Phase]=E$1)*(ISNUMBER(tbl_DataDraftApril26[Start]))*(ISNUMBER(tbl_DataDraftApril26[End]))*($A357&gt;tbl_DataDraftApril26[Start])*($A357&lt;tbl_DataDraftApril26[End]))</f>
        <v>0</v>
      </c>
    </row>
    <row r="358" spans="1:5">
      <c r="A358" s="131">
        <v>46226</v>
      </c>
      <c r="B358" s="125" cm="1">
        <f t="array" ref="B358">SUMPRODUCT((tbl_DataDraftApril26[Phase]=B$1)*(ISNUMBER(tbl_DataDraftApril26[Start]))*(ISNUMBER(tbl_DataDraftApril26[End]))*($A358&gt;tbl_DataDraftApril26[Start])*($A358&lt;tbl_DataDraftApril26[End]))</f>
        <v>15</v>
      </c>
      <c r="C358" s="125" cm="1">
        <f t="array" ref="C358">SUMPRODUCT((tbl_DataDraftApril26[Phase]=C$1)*(ISNUMBER(tbl_DataDraftApril26[Start]))*(ISNUMBER(tbl_DataDraftApril26[End]))*($A358&gt;tbl_DataDraftApril26[Start])*($A358&lt;tbl_DataDraftApril26[End]))</f>
        <v>6</v>
      </c>
      <c r="D358" s="125" cm="1">
        <f t="array" ref="D358">SUMPRODUCT((tbl_DataDraftApril26[Phase]=D$1)*(ISNUMBER(tbl_DataDraftApril26[Start]))*(ISNUMBER(tbl_DataDraftApril26[End]))*($A358&gt;tbl_DataDraftApril26[Start])*($A358&lt;tbl_DataDraftApril26[End]))</f>
        <v>0</v>
      </c>
      <c r="E358" s="125" cm="1">
        <f t="array" ref="E358">SUMPRODUCT((tbl_DataDraftApril26[Phase]=E$1)*(ISNUMBER(tbl_DataDraftApril26[Start]))*(ISNUMBER(tbl_DataDraftApril26[End]))*($A358&gt;tbl_DataDraftApril26[Start])*($A358&lt;tbl_DataDraftApril26[End]))</f>
        <v>0</v>
      </c>
    </row>
    <row r="359" spans="1:5">
      <c r="A359" s="131">
        <v>46227</v>
      </c>
      <c r="B359" s="125" cm="1">
        <f t="array" ref="B359">SUMPRODUCT((tbl_DataDraftApril26[Phase]=B$1)*(ISNUMBER(tbl_DataDraftApril26[Start]))*(ISNUMBER(tbl_DataDraftApril26[End]))*($A359&gt;tbl_DataDraftApril26[Start])*($A359&lt;tbl_DataDraftApril26[End]))</f>
        <v>15</v>
      </c>
      <c r="C359" s="125" cm="1">
        <f t="array" ref="C359">SUMPRODUCT((tbl_DataDraftApril26[Phase]=C$1)*(ISNUMBER(tbl_DataDraftApril26[Start]))*(ISNUMBER(tbl_DataDraftApril26[End]))*($A359&gt;tbl_DataDraftApril26[Start])*($A359&lt;tbl_DataDraftApril26[End]))</f>
        <v>6</v>
      </c>
      <c r="D359" s="125" cm="1">
        <f t="array" ref="D359">SUMPRODUCT((tbl_DataDraftApril26[Phase]=D$1)*(ISNUMBER(tbl_DataDraftApril26[Start]))*(ISNUMBER(tbl_DataDraftApril26[End]))*($A359&gt;tbl_DataDraftApril26[Start])*($A359&lt;tbl_DataDraftApril26[End]))</f>
        <v>0</v>
      </c>
      <c r="E359" s="125" cm="1">
        <f t="array" ref="E359">SUMPRODUCT((tbl_DataDraftApril26[Phase]=E$1)*(ISNUMBER(tbl_DataDraftApril26[Start]))*(ISNUMBER(tbl_DataDraftApril26[End]))*($A359&gt;tbl_DataDraftApril26[Start])*($A359&lt;tbl_DataDraftApril26[End]))</f>
        <v>0</v>
      </c>
    </row>
    <row r="360" spans="1:5">
      <c r="A360" s="131">
        <v>46228</v>
      </c>
      <c r="B360" s="125" cm="1">
        <f t="array" ref="B360">SUMPRODUCT((tbl_DataDraftApril26[Phase]=B$1)*(ISNUMBER(tbl_DataDraftApril26[Start]))*(ISNUMBER(tbl_DataDraftApril26[End]))*($A360&gt;tbl_DataDraftApril26[Start])*($A360&lt;tbl_DataDraftApril26[End]))</f>
        <v>15</v>
      </c>
      <c r="C360" s="125" cm="1">
        <f t="array" ref="C360">SUMPRODUCT((tbl_DataDraftApril26[Phase]=C$1)*(ISNUMBER(tbl_DataDraftApril26[Start]))*(ISNUMBER(tbl_DataDraftApril26[End]))*($A360&gt;tbl_DataDraftApril26[Start])*($A360&lt;tbl_DataDraftApril26[End]))</f>
        <v>6</v>
      </c>
      <c r="D360" s="125" cm="1">
        <f t="array" ref="D360">SUMPRODUCT((tbl_DataDraftApril26[Phase]=D$1)*(ISNUMBER(tbl_DataDraftApril26[Start]))*(ISNUMBER(tbl_DataDraftApril26[End]))*($A360&gt;tbl_DataDraftApril26[Start])*($A360&lt;tbl_DataDraftApril26[End]))</f>
        <v>0</v>
      </c>
      <c r="E360" s="125" cm="1">
        <f t="array" ref="E360">SUMPRODUCT((tbl_DataDraftApril26[Phase]=E$1)*(ISNUMBER(tbl_DataDraftApril26[Start]))*(ISNUMBER(tbl_DataDraftApril26[End]))*($A360&gt;tbl_DataDraftApril26[Start])*($A360&lt;tbl_DataDraftApril26[End]))</f>
        <v>0</v>
      </c>
    </row>
    <row r="361" spans="1:5">
      <c r="A361" s="131">
        <v>46229</v>
      </c>
      <c r="B361" s="125" cm="1">
        <f t="array" ref="B361">SUMPRODUCT((tbl_DataDraftApril26[Phase]=B$1)*(ISNUMBER(tbl_DataDraftApril26[Start]))*(ISNUMBER(tbl_DataDraftApril26[End]))*($A361&gt;tbl_DataDraftApril26[Start])*($A361&lt;tbl_DataDraftApril26[End]))</f>
        <v>15</v>
      </c>
      <c r="C361" s="125" cm="1">
        <f t="array" ref="C361">SUMPRODUCT((tbl_DataDraftApril26[Phase]=C$1)*(ISNUMBER(tbl_DataDraftApril26[Start]))*(ISNUMBER(tbl_DataDraftApril26[End]))*($A361&gt;tbl_DataDraftApril26[Start])*($A361&lt;tbl_DataDraftApril26[End]))</f>
        <v>6</v>
      </c>
      <c r="D361" s="125" cm="1">
        <f t="array" ref="D361">SUMPRODUCT((tbl_DataDraftApril26[Phase]=D$1)*(ISNUMBER(tbl_DataDraftApril26[Start]))*(ISNUMBER(tbl_DataDraftApril26[End]))*($A361&gt;tbl_DataDraftApril26[Start])*($A361&lt;tbl_DataDraftApril26[End]))</f>
        <v>0</v>
      </c>
      <c r="E361" s="125" cm="1">
        <f t="array" ref="E361">SUMPRODUCT((tbl_DataDraftApril26[Phase]=E$1)*(ISNUMBER(tbl_DataDraftApril26[Start]))*(ISNUMBER(tbl_DataDraftApril26[End]))*($A361&gt;tbl_DataDraftApril26[Start])*($A361&lt;tbl_DataDraftApril26[End]))</f>
        <v>0</v>
      </c>
    </row>
    <row r="362" spans="1:5">
      <c r="A362" s="131">
        <v>46230</v>
      </c>
      <c r="B362" s="125" cm="1">
        <f t="array" ref="B362">SUMPRODUCT((tbl_DataDraftApril26[Phase]=B$1)*(ISNUMBER(tbl_DataDraftApril26[Start]))*(ISNUMBER(tbl_DataDraftApril26[End]))*($A362&gt;tbl_DataDraftApril26[Start])*($A362&lt;tbl_DataDraftApril26[End]))</f>
        <v>15</v>
      </c>
      <c r="C362" s="125" cm="1">
        <f t="array" ref="C362">SUMPRODUCT((tbl_DataDraftApril26[Phase]=C$1)*(ISNUMBER(tbl_DataDraftApril26[Start]))*(ISNUMBER(tbl_DataDraftApril26[End]))*($A362&gt;tbl_DataDraftApril26[Start])*($A362&lt;tbl_DataDraftApril26[End]))</f>
        <v>6</v>
      </c>
      <c r="D362" s="125" cm="1">
        <f t="array" ref="D362">SUMPRODUCT((tbl_DataDraftApril26[Phase]=D$1)*(ISNUMBER(tbl_DataDraftApril26[Start]))*(ISNUMBER(tbl_DataDraftApril26[End]))*($A362&gt;tbl_DataDraftApril26[Start])*($A362&lt;tbl_DataDraftApril26[End]))</f>
        <v>0</v>
      </c>
      <c r="E362" s="125" cm="1">
        <f t="array" ref="E362">SUMPRODUCT((tbl_DataDraftApril26[Phase]=E$1)*(ISNUMBER(tbl_DataDraftApril26[Start]))*(ISNUMBER(tbl_DataDraftApril26[End]))*($A362&gt;tbl_DataDraftApril26[Start])*($A362&lt;tbl_DataDraftApril26[End]))</f>
        <v>0</v>
      </c>
    </row>
    <row r="363" spans="1:5">
      <c r="A363" s="131">
        <v>46231</v>
      </c>
      <c r="B363" s="125" cm="1">
        <f t="array" ref="B363">SUMPRODUCT((tbl_DataDraftApril26[Phase]=B$1)*(ISNUMBER(tbl_DataDraftApril26[Start]))*(ISNUMBER(tbl_DataDraftApril26[End]))*($A363&gt;tbl_DataDraftApril26[Start])*($A363&lt;tbl_DataDraftApril26[End]))</f>
        <v>15</v>
      </c>
      <c r="C363" s="125" cm="1">
        <f t="array" ref="C363">SUMPRODUCT((tbl_DataDraftApril26[Phase]=C$1)*(ISNUMBER(tbl_DataDraftApril26[Start]))*(ISNUMBER(tbl_DataDraftApril26[End]))*($A363&gt;tbl_DataDraftApril26[Start])*($A363&lt;tbl_DataDraftApril26[End]))</f>
        <v>6</v>
      </c>
      <c r="D363" s="125" cm="1">
        <f t="array" ref="D363">SUMPRODUCT((tbl_DataDraftApril26[Phase]=D$1)*(ISNUMBER(tbl_DataDraftApril26[Start]))*(ISNUMBER(tbl_DataDraftApril26[End]))*($A363&gt;tbl_DataDraftApril26[Start])*($A363&lt;tbl_DataDraftApril26[End]))</f>
        <v>0</v>
      </c>
      <c r="E363" s="125" cm="1">
        <f t="array" ref="E363">SUMPRODUCT((tbl_DataDraftApril26[Phase]=E$1)*(ISNUMBER(tbl_DataDraftApril26[Start]))*(ISNUMBER(tbl_DataDraftApril26[End]))*($A363&gt;tbl_DataDraftApril26[Start])*($A363&lt;tbl_DataDraftApril26[End]))</f>
        <v>0</v>
      </c>
    </row>
    <row r="364" spans="1:5">
      <c r="A364" s="131">
        <v>46232</v>
      </c>
      <c r="B364" s="125" cm="1">
        <f t="array" ref="B364">SUMPRODUCT((tbl_DataDraftApril26[Phase]=B$1)*(ISNUMBER(tbl_DataDraftApril26[Start]))*(ISNUMBER(tbl_DataDraftApril26[End]))*($A364&gt;tbl_DataDraftApril26[Start])*($A364&lt;tbl_DataDraftApril26[End]))</f>
        <v>15</v>
      </c>
      <c r="C364" s="125" cm="1">
        <f t="array" ref="C364">SUMPRODUCT((tbl_DataDraftApril26[Phase]=C$1)*(ISNUMBER(tbl_DataDraftApril26[Start]))*(ISNUMBER(tbl_DataDraftApril26[End]))*($A364&gt;tbl_DataDraftApril26[Start])*($A364&lt;tbl_DataDraftApril26[End]))</f>
        <v>5</v>
      </c>
      <c r="D364" s="125" cm="1">
        <f t="array" ref="D364">SUMPRODUCT((tbl_DataDraftApril26[Phase]=D$1)*(ISNUMBER(tbl_DataDraftApril26[Start]))*(ISNUMBER(tbl_DataDraftApril26[End]))*($A364&gt;tbl_DataDraftApril26[Start])*($A364&lt;tbl_DataDraftApril26[End]))</f>
        <v>0</v>
      </c>
      <c r="E364" s="125" cm="1">
        <f t="array" ref="E364">SUMPRODUCT((tbl_DataDraftApril26[Phase]=E$1)*(ISNUMBER(tbl_DataDraftApril26[Start]))*(ISNUMBER(tbl_DataDraftApril26[End]))*($A364&gt;tbl_DataDraftApril26[Start])*($A364&lt;tbl_DataDraftApril26[End]))</f>
        <v>0</v>
      </c>
    </row>
    <row r="365" spans="1:5">
      <c r="A365" s="131">
        <v>46233</v>
      </c>
      <c r="B365" s="125" cm="1">
        <f t="array" ref="B365">SUMPRODUCT((tbl_DataDraftApril26[Phase]=B$1)*(ISNUMBER(tbl_DataDraftApril26[Start]))*(ISNUMBER(tbl_DataDraftApril26[End]))*($A365&gt;tbl_DataDraftApril26[Start])*($A365&lt;tbl_DataDraftApril26[End]))</f>
        <v>15</v>
      </c>
      <c r="C365" s="125" cm="1">
        <f t="array" ref="C365">SUMPRODUCT((tbl_DataDraftApril26[Phase]=C$1)*(ISNUMBER(tbl_DataDraftApril26[Start]))*(ISNUMBER(tbl_DataDraftApril26[End]))*($A365&gt;tbl_DataDraftApril26[Start])*($A365&lt;tbl_DataDraftApril26[End]))</f>
        <v>5</v>
      </c>
      <c r="D365" s="125" cm="1">
        <f t="array" ref="D365">SUMPRODUCT((tbl_DataDraftApril26[Phase]=D$1)*(ISNUMBER(tbl_DataDraftApril26[Start]))*(ISNUMBER(tbl_DataDraftApril26[End]))*($A365&gt;tbl_DataDraftApril26[Start])*($A365&lt;tbl_DataDraftApril26[End]))</f>
        <v>0</v>
      </c>
      <c r="E365" s="125" cm="1">
        <f t="array" ref="E365">SUMPRODUCT((tbl_DataDraftApril26[Phase]=E$1)*(ISNUMBER(tbl_DataDraftApril26[Start]))*(ISNUMBER(tbl_DataDraftApril26[End]))*($A365&gt;tbl_DataDraftApril26[Start])*($A365&lt;tbl_DataDraftApril26[End]))</f>
        <v>0</v>
      </c>
    </row>
    <row r="366" spans="1:5">
      <c r="A366" s="131">
        <v>46234</v>
      </c>
      <c r="B366" s="125" cm="1">
        <f t="array" ref="B366">SUMPRODUCT((tbl_DataDraftApril26[Phase]=B$1)*(ISNUMBER(tbl_DataDraftApril26[Start]))*(ISNUMBER(tbl_DataDraftApril26[End]))*($A366&gt;tbl_DataDraftApril26[Start])*($A366&lt;tbl_DataDraftApril26[End]))</f>
        <v>10</v>
      </c>
      <c r="C366" s="125" cm="1">
        <f t="array" ref="C366">SUMPRODUCT((tbl_DataDraftApril26[Phase]=C$1)*(ISNUMBER(tbl_DataDraftApril26[Start]))*(ISNUMBER(tbl_DataDraftApril26[End]))*($A366&gt;tbl_DataDraftApril26[Start])*($A366&lt;tbl_DataDraftApril26[End]))</f>
        <v>4</v>
      </c>
      <c r="D366" s="125" cm="1">
        <f t="array" ref="D366">SUMPRODUCT((tbl_DataDraftApril26[Phase]=D$1)*(ISNUMBER(tbl_DataDraftApril26[Start]))*(ISNUMBER(tbl_DataDraftApril26[End]))*($A366&gt;tbl_DataDraftApril26[Start])*($A366&lt;tbl_DataDraftApril26[End]))</f>
        <v>0</v>
      </c>
      <c r="E366" s="125" cm="1">
        <f t="array" ref="E366">SUMPRODUCT((tbl_DataDraftApril26[Phase]=E$1)*(ISNUMBER(tbl_DataDraftApril26[Start]))*(ISNUMBER(tbl_DataDraftApril26[End]))*($A366&gt;tbl_DataDraftApril26[Start])*($A366&lt;tbl_DataDraftApril26[End]))</f>
        <v>0</v>
      </c>
    </row>
    <row r="367" spans="1:5">
      <c r="A367" s="131">
        <v>46235</v>
      </c>
      <c r="B367" s="125" cm="1">
        <f t="array" ref="B367">SUMPRODUCT((tbl_DataDraftApril26[Phase]=B$1)*(ISNUMBER(tbl_DataDraftApril26[Start]))*(ISNUMBER(tbl_DataDraftApril26[End]))*($A367&gt;tbl_DataDraftApril26[Start])*($A367&lt;tbl_DataDraftApril26[End]))</f>
        <v>10</v>
      </c>
      <c r="C367" s="125" cm="1">
        <f t="array" ref="C367">SUMPRODUCT((tbl_DataDraftApril26[Phase]=C$1)*(ISNUMBER(tbl_DataDraftApril26[Start]))*(ISNUMBER(tbl_DataDraftApril26[End]))*($A367&gt;tbl_DataDraftApril26[Start])*($A367&lt;tbl_DataDraftApril26[End]))</f>
        <v>4</v>
      </c>
      <c r="D367" s="125" cm="1">
        <f t="array" ref="D367">SUMPRODUCT((tbl_DataDraftApril26[Phase]=D$1)*(ISNUMBER(tbl_DataDraftApril26[Start]))*(ISNUMBER(tbl_DataDraftApril26[End]))*($A367&gt;tbl_DataDraftApril26[Start])*($A367&lt;tbl_DataDraftApril26[End]))</f>
        <v>0</v>
      </c>
      <c r="E367" s="125" cm="1">
        <f t="array" ref="E367">SUMPRODUCT((tbl_DataDraftApril26[Phase]=E$1)*(ISNUMBER(tbl_DataDraftApril26[Start]))*(ISNUMBER(tbl_DataDraftApril26[End]))*($A367&gt;tbl_DataDraftApril26[Start])*($A367&lt;tbl_DataDraftApril26[End]))</f>
        <v>0</v>
      </c>
    </row>
    <row r="368" spans="1:5">
      <c r="A368" s="131">
        <v>46236</v>
      </c>
      <c r="B368" s="125" cm="1">
        <f t="array" ref="B368">SUMPRODUCT((tbl_DataDraftApril26[Phase]=B$1)*(ISNUMBER(tbl_DataDraftApril26[Start]))*(ISNUMBER(tbl_DataDraftApril26[End]))*($A368&gt;tbl_DataDraftApril26[Start])*($A368&lt;tbl_DataDraftApril26[End]))</f>
        <v>10</v>
      </c>
      <c r="C368" s="125" cm="1">
        <f t="array" ref="C368">SUMPRODUCT((tbl_DataDraftApril26[Phase]=C$1)*(ISNUMBER(tbl_DataDraftApril26[Start]))*(ISNUMBER(tbl_DataDraftApril26[End]))*($A368&gt;tbl_DataDraftApril26[Start])*($A368&lt;tbl_DataDraftApril26[End]))</f>
        <v>4</v>
      </c>
      <c r="D368" s="125" cm="1">
        <f t="array" ref="D368">SUMPRODUCT((tbl_DataDraftApril26[Phase]=D$1)*(ISNUMBER(tbl_DataDraftApril26[Start]))*(ISNUMBER(tbl_DataDraftApril26[End]))*($A368&gt;tbl_DataDraftApril26[Start])*($A368&lt;tbl_DataDraftApril26[End]))</f>
        <v>0</v>
      </c>
      <c r="E368" s="125" cm="1">
        <f t="array" ref="E368">SUMPRODUCT((tbl_DataDraftApril26[Phase]=E$1)*(ISNUMBER(tbl_DataDraftApril26[Start]))*(ISNUMBER(tbl_DataDraftApril26[End]))*($A368&gt;tbl_DataDraftApril26[Start])*($A368&lt;tbl_DataDraftApril26[End]))</f>
        <v>0</v>
      </c>
    </row>
    <row r="369" spans="1:5">
      <c r="A369" s="131">
        <v>46237</v>
      </c>
      <c r="B369" s="125" cm="1">
        <f t="array" ref="B369">SUMPRODUCT((tbl_DataDraftApril26[Phase]=B$1)*(ISNUMBER(tbl_DataDraftApril26[Start]))*(ISNUMBER(tbl_DataDraftApril26[End]))*($A369&gt;tbl_DataDraftApril26[Start])*($A369&lt;tbl_DataDraftApril26[End]))</f>
        <v>10</v>
      </c>
      <c r="C369" s="125" cm="1">
        <f t="array" ref="C369">SUMPRODUCT((tbl_DataDraftApril26[Phase]=C$1)*(ISNUMBER(tbl_DataDraftApril26[Start]))*(ISNUMBER(tbl_DataDraftApril26[End]))*($A369&gt;tbl_DataDraftApril26[Start])*($A369&lt;tbl_DataDraftApril26[End]))</f>
        <v>4</v>
      </c>
      <c r="D369" s="125" cm="1">
        <f t="array" ref="D369">SUMPRODUCT((tbl_DataDraftApril26[Phase]=D$1)*(ISNUMBER(tbl_DataDraftApril26[Start]))*(ISNUMBER(tbl_DataDraftApril26[End]))*($A369&gt;tbl_DataDraftApril26[Start])*($A369&lt;tbl_DataDraftApril26[End]))</f>
        <v>0</v>
      </c>
      <c r="E369" s="125" cm="1">
        <f t="array" ref="E369">SUMPRODUCT((tbl_DataDraftApril26[Phase]=E$1)*(ISNUMBER(tbl_DataDraftApril26[Start]))*(ISNUMBER(tbl_DataDraftApril26[End]))*($A369&gt;tbl_DataDraftApril26[Start])*($A369&lt;tbl_DataDraftApril26[End]))</f>
        <v>0</v>
      </c>
    </row>
    <row r="370" spans="1:5">
      <c r="A370" s="131">
        <v>46238</v>
      </c>
      <c r="B370" s="125" cm="1">
        <f t="array" ref="B370">SUMPRODUCT((tbl_DataDraftApril26[Phase]=B$1)*(ISNUMBER(tbl_DataDraftApril26[Start]))*(ISNUMBER(tbl_DataDraftApril26[End]))*($A370&gt;tbl_DataDraftApril26[Start])*($A370&lt;tbl_DataDraftApril26[End]))</f>
        <v>10</v>
      </c>
      <c r="C370" s="125" cm="1">
        <f t="array" ref="C370">SUMPRODUCT((tbl_DataDraftApril26[Phase]=C$1)*(ISNUMBER(tbl_DataDraftApril26[Start]))*(ISNUMBER(tbl_DataDraftApril26[End]))*($A370&gt;tbl_DataDraftApril26[Start])*($A370&lt;tbl_DataDraftApril26[End]))</f>
        <v>4</v>
      </c>
      <c r="D370" s="125" cm="1">
        <f t="array" ref="D370">SUMPRODUCT((tbl_DataDraftApril26[Phase]=D$1)*(ISNUMBER(tbl_DataDraftApril26[Start]))*(ISNUMBER(tbl_DataDraftApril26[End]))*($A370&gt;tbl_DataDraftApril26[Start])*($A370&lt;tbl_DataDraftApril26[End]))</f>
        <v>0</v>
      </c>
      <c r="E370" s="125" cm="1">
        <f t="array" ref="E370">SUMPRODUCT((tbl_DataDraftApril26[Phase]=E$1)*(ISNUMBER(tbl_DataDraftApril26[Start]))*(ISNUMBER(tbl_DataDraftApril26[End]))*($A370&gt;tbl_DataDraftApril26[Start])*($A370&lt;tbl_DataDraftApril26[End]))</f>
        <v>0</v>
      </c>
    </row>
    <row r="371" spans="1:5">
      <c r="A371" s="131">
        <v>46239</v>
      </c>
      <c r="B371" s="125" cm="1">
        <f t="array" ref="B371">SUMPRODUCT((tbl_DataDraftApril26[Phase]=B$1)*(ISNUMBER(tbl_DataDraftApril26[Start]))*(ISNUMBER(tbl_DataDraftApril26[End]))*($A371&gt;tbl_DataDraftApril26[Start])*($A371&lt;tbl_DataDraftApril26[End]))</f>
        <v>10</v>
      </c>
      <c r="C371" s="125" cm="1">
        <f t="array" ref="C371">SUMPRODUCT((tbl_DataDraftApril26[Phase]=C$1)*(ISNUMBER(tbl_DataDraftApril26[Start]))*(ISNUMBER(tbl_DataDraftApril26[End]))*($A371&gt;tbl_DataDraftApril26[Start])*($A371&lt;tbl_DataDraftApril26[End]))</f>
        <v>4</v>
      </c>
      <c r="D371" s="125" cm="1">
        <f t="array" ref="D371">SUMPRODUCT((tbl_DataDraftApril26[Phase]=D$1)*(ISNUMBER(tbl_DataDraftApril26[Start]))*(ISNUMBER(tbl_DataDraftApril26[End]))*($A371&gt;tbl_DataDraftApril26[Start])*($A371&lt;tbl_DataDraftApril26[End]))</f>
        <v>0</v>
      </c>
      <c r="E371" s="125" cm="1">
        <f t="array" ref="E371">SUMPRODUCT((tbl_DataDraftApril26[Phase]=E$1)*(ISNUMBER(tbl_DataDraftApril26[Start]))*(ISNUMBER(tbl_DataDraftApril26[End]))*($A371&gt;tbl_DataDraftApril26[Start])*($A371&lt;tbl_DataDraftApril26[End]))</f>
        <v>0</v>
      </c>
    </row>
    <row r="372" spans="1:5">
      <c r="A372" s="131">
        <v>46240</v>
      </c>
      <c r="B372" s="125" cm="1">
        <f t="array" ref="B372">SUMPRODUCT((tbl_DataDraftApril26[Phase]=B$1)*(ISNUMBER(tbl_DataDraftApril26[Start]))*(ISNUMBER(tbl_DataDraftApril26[End]))*($A372&gt;tbl_DataDraftApril26[Start])*($A372&lt;tbl_DataDraftApril26[End]))</f>
        <v>10</v>
      </c>
      <c r="C372" s="125" cm="1">
        <f t="array" ref="C372">SUMPRODUCT((tbl_DataDraftApril26[Phase]=C$1)*(ISNUMBER(tbl_DataDraftApril26[Start]))*(ISNUMBER(tbl_DataDraftApril26[End]))*($A372&gt;tbl_DataDraftApril26[Start])*($A372&lt;tbl_DataDraftApril26[End]))</f>
        <v>4</v>
      </c>
      <c r="D372" s="125" cm="1">
        <f t="array" ref="D372">SUMPRODUCT((tbl_DataDraftApril26[Phase]=D$1)*(ISNUMBER(tbl_DataDraftApril26[Start]))*(ISNUMBER(tbl_DataDraftApril26[End]))*($A372&gt;tbl_DataDraftApril26[Start])*($A372&lt;tbl_DataDraftApril26[End]))</f>
        <v>0</v>
      </c>
      <c r="E372" s="125" cm="1">
        <f t="array" ref="E372">SUMPRODUCT((tbl_DataDraftApril26[Phase]=E$1)*(ISNUMBER(tbl_DataDraftApril26[Start]))*(ISNUMBER(tbl_DataDraftApril26[End]))*($A372&gt;tbl_DataDraftApril26[Start])*($A372&lt;tbl_DataDraftApril26[End]))</f>
        <v>0</v>
      </c>
    </row>
    <row r="373" spans="1:5">
      <c r="A373" s="131">
        <v>46241</v>
      </c>
      <c r="B373" s="125" cm="1">
        <f t="array" ref="B373">SUMPRODUCT((tbl_DataDraftApril26[Phase]=B$1)*(ISNUMBER(tbl_DataDraftApril26[Start]))*(ISNUMBER(tbl_DataDraftApril26[End]))*($A373&gt;tbl_DataDraftApril26[Start])*($A373&lt;tbl_DataDraftApril26[End]))</f>
        <v>10</v>
      </c>
      <c r="C373" s="125" cm="1">
        <f t="array" ref="C373">SUMPRODUCT((tbl_DataDraftApril26[Phase]=C$1)*(ISNUMBER(tbl_DataDraftApril26[Start]))*(ISNUMBER(tbl_DataDraftApril26[End]))*($A373&gt;tbl_DataDraftApril26[Start])*($A373&lt;tbl_DataDraftApril26[End]))</f>
        <v>4</v>
      </c>
      <c r="D373" s="125" cm="1">
        <f t="array" ref="D373">SUMPRODUCT((tbl_DataDraftApril26[Phase]=D$1)*(ISNUMBER(tbl_DataDraftApril26[Start]))*(ISNUMBER(tbl_DataDraftApril26[End]))*($A373&gt;tbl_DataDraftApril26[Start])*($A373&lt;tbl_DataDraftApril26[End]))</f>
        <v>0</v>
      </c>
      <c r="E373" s="125" cm="1">
        <f t="array" ref="E373">SUMPRODUCT((tbl_DataDraftApril26[Phase]=E$1)*(ISNUMBER(tbl_DataDraftApril26[Start]))*(ISNUMBER(tbl_DataDraftApril26[End]))*($A373&gt;tbl_DataDraftApril26[Start])*($A373&lt;tbl_DataDraftApril26[End]))</f>
        <v>0</v>
      </c>
    </row>
    <row r="374" spans="1:5">
      <c r="A374" s="131">
        <v>46242</v>
      </c>
      <c r="B374" s="125" cm="1">
        <f t="array" ref="B374">SUMPRODUCT((tbl_DataDraftApril26[Phase]=B$1)*(ISNUMBER(tbl_DataDraftApril26[Start]))*(ISNUMBER(tbl_DataDraftApril26[End]))*($A374&gt;tbl_DataDraftApril26[Start])*($A374&lt;tbl_DataDraftApril26[End]))</f>
        <v>10</v>
      </c>
      <c r="C374" s="125" cm="1">
        <f t="array" ref="C374">SUMPRODUCT((tbl_DataDraftApril26[Phase]=C$1)*(ISNUMBER(tbl_DataDraftApril26[Start]))*(ISNUMBER(tbl_DataDraftApril26[End]))*($A374&gt;tbl_DataDraftApril26[Start])*($A374&lt;tbl_DataDraftApril26[End]))</f>
        <v>4</v>
      </c>
      <c r="D374" s="125" cm="1">
        <f t="array" ref="D374">SUMPRODUCT((tbl_DataDraftApril26[Phase]=D$1)*(ISNUMBER(tbl_DataDraftApril26[Start]))*(ISNUMBER(tbl_DataDraftApril26[End]))*($A374&gt;tbl_DataDraftApril26[Start])*($A374&lt;tbl_DataDraftApril26[End]))</f>
        <v>0</v>
      </c>
      <c r="E374" s="125" cm="1">
        <f t="array" ref="E374">SUMPRODUCT((tbl_DataDraftApril26[Phase]=E$1)*(ISNUMBER(tbl_DataDraftApril26[Start]))*(ISNUMBER(tbl_DataDraftApril26[End]))*($A374&gt;tbl_DataDraftApril26[Start])*($A374&lt;tbl_DataDraftApril26[End]))</f>
        <v>0</v>
      </c>
    </row>
    <row r="375" spans="1:5">
      <c r="A375" s="131">
        <v>46243</v>
      </c>
      <c r="B375" s="125" cm="1">
        <f t="array" ref="B375">SUMPRODUCT((tbl_DataDraftApril26[Phase]=B$1)*(ISNUMBER(tbl_DataDraftApril26[Start]))*(ISNUMBER(tbl_DataDraftApril26[End]))*($A375&gt;tbl_DataDraftApril26[Start])*($A375&lt;tbl_DataDraftApril26[End]))</f>
        <v>10</v>
      </c>
      <c r="C375" s="125" cm="1">
        <f t="array" ref="C375">SUMPRODUCT((tbl_DataDraftApril26[Phase]=C$1)*(ISNUMBER(tbl_DataDraftApril26[Start]))*(ISNUMBER(tbl_DataDraftApril26[End]))*($A375&gt;tbl_DataDraftApril26[Start])*($A375&lt;tbl_DataDraftApril26[End]))</f>
        <v>4</v>
      </c>
      <c r="D375" s="125" cm="1">
        <f t="array" ref="D375">SUMPRODUCT((tbl_DataDraftApril26[Phase]=D$1)*(ISNUMBER(tbl_DataDraftApril26[Start]))*(ISNUMBER(tbl_DataDraftApril26[End]))*($A375&gt;tbl_DataDraftApril26[Start])*($A375&lt;tbl_DataDraftApril26[End]))</f>
        <v>0</v>
      </c>
      <c r="E375" s="125" cm="1">
        <f t="array" ref="E375">SUMPRODUCT((tbl_DataDraftApril26[Phase]=E$1)*(ISNUMBER(tbl_DataDraftApril26[Start]))*(ISNUMBER(tbl_DataDraftApril26[End]))*($A375&gt;tbl_DataDraftApril26[Start])*($A375&lt;tbl_DataDraftApril26[End]))</f>
        <v>0</v>
      </c>
    </row>
    <row r="376" spans="1:5">
      <c r="A376" s="131">
        <v>46244</v>
      </c>
      <c r="B376" s="125" cm="1">
        <f t="array" ref="B376">SUMPRODUCT((tbl_DataDraftApril26[Phase]=B$1)*(ISNUMBER(tbl_DataDraftApril26[Start]))*(ISNUMBER(tbl_DataDraftApril26[End]))*($A376&gt;tbl_DataDraftApril26[Start])*($A376&lt;tbl_DataDraftApril26[End]))</f>
        <v>10</v>
      </c>
      <c r="C376" s="125" cm="1">
        <f t="array" ref="C376">SUMPRODUCT((tbl_DataDraftApril26[Phase]=C$1)*(ISNUMBER(tbl_DataDraftApril26[Start]))*(ISNUMBER(tbl_DataDraftApril26[End]))*($A376&gt;tbl_DataDraftApril26[Start])*($A376&lt;tbl_DataDraftApril26[End]))</f>
        <v>4</v>
      </c>
      <c r="D376" s="125" cm="1">
        <f t="array" ref="D376">SUMPRODUCT((tbl_DataDraftApril26[Phase]=D$1)*(ISNUMBER(tbl_DataDraftApril26[Start]))*(ISNUMBER(tbl_DataDraftApril26[End]))*($A376&gt;tbl_DataDraftApril26[Start])*($A376&lt;tbl_DataDraftApril26[End]))</f>
        <v>0</v>
      </c>
      <c r="E376" s="125" cm="1">
        <f t="array" ref="E376">SUMPRODUCT((tbl_DataDraftApril26[Phase]=E$1)*(ISNUMBER(tbl_DataDraftApril26[Start]))*(ISNUMBER(tbl_DataDraftApril26[End]))*($A376&gt;tbl_DataDraftApril26[Start])*($A376&lt;tbl_DataDraftApril26[End]))</f>
        <v>0</v>
      </c>
    </row>
    <row r="377" spans="1:5">
      <c r="A377" s="131">
        <v>46245</v>
      </c>
      <c r="B377" s="125" cm="1">
        <f t="array" ref="B377">SUMPRODUCT((tbl_DataDraftApril26[Phase]=B$1)*(ISNUMBER(tbl_DataDraftApril26[Start]))*(ISNUMBER(tbl_DataDraftApril26[End]))*($A377&gt;tbl_DataDraftApril26[Start])*($A377&lt;tbl_DataDraftApril26[End]))</f>
        <v>10</v>
      </c>
      <c r="C377" s="125" cm="1">
        <f t="array" ref="C377">SUMPRODUCT((tbl_DataDraftApril26[Phase]=C$1)*(ISNUMBER(tbl_DataDraftApril26[Start]))*(ISNUMBER(tbl_DataDraftApril26[End]))*($A377&gt;tbl_DataDraftApril26[Start])*($A377&lt;tbl_DataDraftApril26[End]))</f>
        <v>4</v>
      </c>
      <c r="D377" s="125" cm="1">
        <f t="array" ref="D377">SUMPRODUCT((tbl_DataDraftApril26[Phase]=D$1)*(ISNUMBER(tbl_DataDraftApril26[Start]))*(ISNUMBER(tbl_DataDraftApril26[End]))*($A377&gt;tbl_DataDraftApril26[Start])*($A377&lt;tbl_DataDraftApril26[End]))</f>
        <v>0</v>
      </c>
      <c r="E377" s="125" cm="1">
        <f t="array" ref="E377">SUMPRODUCT((tbl_DataDraftApril26[Phase]=E$1)*(ISNUMBER(tbl_DataDraftApril26[Start]))*(ISNUMBER(tbl_DataDraftApril26[End]))*($A377&gt;tbl_DataDraftApril26[Start])*($A377&lt;tbl_DataDraftApril26[End]))</f>
        <v>0</v>
      </c>
    </row>
    <row r="378" spans="1:5">
      <c r="A378" s="131">
        <v>46246</v>
      </c>
      <c r="B378" s="125" cm="1">
        <f t="array" ref="B378">SUMPRODUCT((tbl_DataDraftApril26[Phase]=B$1)*(ISNUMBER(tbl_DataDraftApril26[Start]))*(ISNUMBER(tbl_DataDraftApril26[End]))*($A378&gt;tbl_DataDraftApril26[Start])*($A378&lt;tbl_DataDraftApril26[End]))</f>
        <v>10</v>
      </c>
      <c r="C378" s="125" cm="1">
        <f t="array" ref="C378">SUMPRODUCT((tbl_DataDraftApril26[Phase]=C$1)*(ISNUMBER(tbl_DataDraftApril26[Start]))*(ISNUMBER(tbl_DataDraftApril26[End]))*($A378&gt;tbl_DataDraftApril26[Start])*($A378&lt;tbl_DataDraftApril26[End]))</f>
        <v>4</v>
      </c>
      <c r="D378" s="125" cm="1">
        <f t="array" ref="D378">SUMPRODUCT((tbl_DataDraftApril26[Phase]=D$1)*(ISNUMBER(tbl_DataDraftApril26[Start]))*(ISNUMBER(tbl_DataDraftApril26[End]))*($A378&gt;tbl_DataDraftApril26[Start])*($A378&lt;tbl_DataDraftApril26[End]))</f>
        <v>0</v>
      </c>
      <c r="E378" s="125" cm="1">
        <f t="array" ref="E378">SUMPRODUCT((tbl_DataDraftApril26[Phase]=E$1)*(ISNUMBER(tbl_DataDraftApril26[Start]))*(ISNUMBER(tbl_DataDraftApril26[End]))*($A378&gt;tbl_DataDraftApril26[Start])*($A378&lt;tbl_DataDraftApril26[End]))</f>
        <v>0</v>
      </c>
    </row>
    <row r="379" spans="1:5">
      <c r="A379" s="131">
        <v>46247</v>
      </c>
      <c r="B379" s="125" cm="1">
        <f t="array" ref="B379">SUMPRODUCT((tbl_DataDraftApril26[Phase]=B$1)*(ISNUMBER(tbl_DataDraftApril26[Start]))*(ISNUMBER(tbl_DataDraftApril26[End]))*($A379&gt;tbl_DataDraftApril26[Start])*($A379&lt;tbl_DataDraftApril26[End]))</f>
        <v>10</v>
      </c>
      <c r="C379" s="125" cm="1">
        <f t="array" ref="C379">SUMPRODUCT((tbl_DataDraftApril26[Phase]=C$1)*(ISNUMBER(tbl_DataDraftApril26[Start]))*(ISNUMBER(tbl_DataDraftApril26[End]))*($A379&gt;tbl_DataDraftApril26[Start])*($A379&lt;tbl_DataDraftApril26[End]))</f>
        <v>4</v>
      </c>
      <c r="D379" s="125" cm="1">
        <f t="array" ref="D379">SUMPRODUCT((tbl_DataDraftApril26[Phase]=D$1)*(ISNUMBER(tbl_DataDraftApril26[Start]))*(ISNUMBER(tbl_DataDraftApril26[End]))*($A379&gt;tbl_DataDraftApril26[Start])*($A379&lt;tbl_DataDraftApril26[End]))</f>
        <v>0</v>
      </c>
      <c r="E379" s="125" cm="1">
        <f t="array" ref="E379">SUMPRODUCT((tbl_DataDraftApril26[Phase]=E$1)*(ISNUMBER(tbl_DataDraftApril26[Start]))*(ISNUMBER(tbl_DataDraftApril26[End]))*($A379&gt;tbl_DataDraftApril26[Start])*($A379&lt;tbl_DataDraftApril26[End]))</f>
        <v>0</v>
      </c>
    </row>
    <row r="380" spans="1:5">
      <c r="A380" s="131">
        <v>46248</v>
      </c>
      <c r="B380" s="125" cm="1">
        <f t="array" ref="B380">SUMPRODUCT((tbl_DataDraftApril26[Phase]=B$1)*(ISNUMBER(tbl_DataDraftApril26[Start]))*(ISNUMBER(tbl_DataDraftApril26[End]))*($A380&gt;tbl_DataDraftApril26[Start])*($A380&lt;tbl_DataDraftApril26[End]))</f>
        <v>10</v>
      </c>
      <c r="C380" s="125" cm="1">
        <f t="array" ref="C380">SUMPRODUCT((tbl_DataDraftApril26[Phase]=C$1)*(ISNUMBER(tbl_DataDraftApril26[Start]))*(ISNUMBER(tbl_DataDraftApril26[End]))*($A380&gt;tbl_DataDraftApril26[Start])*($A380&lt;tbl_DataDraftApril26[End]))</f>
        <v>4</v>
      </c>
      <c r="D380" s="125" cm="1">
        <f t="array" ref="D380">SUMPRODUCT((tbl_DataDraftApril26[Phase]=D$1)*(ISNUMBER(tbl_DataDraftApril26[Start]))*(ISNUMBER(tbl_DataDraftApril26[End]))*($A380&gt;tbl_DataDraftApril26[Start])*($A380&lt;tbl_DataDraftApril26[End]))</f>
        <v>0</v>
      </c>
      <c r="E380" s="125" cm="1">
        <f t="array" ref="E380">SUMPRODUCT((tbl_DataDraftApril26[Phase]=E$1)*(ISNUMBER(tbl_DataDraftApril26[Start]))*(ISNUMBER(tbl_DataDraftApril26[End]))*($A380&gt;tbl_DataDraftApril26[Start])*($A380&lt;tbl_DataDraftApril26[End]))</f>
        <v>0</v>
      </c>
    </row>
    <row r="381" spans="1:5">
      <c r="A381" s="131">
        <v>46249</v>
      </c>
      <c r="B381" s="125" cm="1">
        <f t="array" ref="B381">SUMPRODUCT((tbl_DataDraftApril26[Phase]=B$1)*(ISNUMBER(tbl_DataDraftApril26[Start]))*(ISNUMBER(tbl_DataDraftApril26[End]))*($A381&gt;tbl_DataDraftApril26[Start])*($A381&lt;tbl_DataDraftApril26[End]))</f>
        <v>10</v>
      </c>
      <c r="C381" s="125" cm="1">
        <f t="array" ref="C381">SUMPRODUCT((tbl_DataDraftApril26[Phase]=C$1)*(ISNUMBER(tbl_DataDraftApril26[Start]))*(ISNUMBER(tbl_DataDraftApril26[End]))*($A381&gt;tbl_DataDraftApril26[Start])*($A381&lt;tbl_DataDraftApril26[End]))</f>
        <v>4</v>
      </c>
      <c r="D381" s="125" cm="1">
        <f t="array" ref="D381">SUMPRODUCT((tbl_DataDraftApril26[Phase]=D$1)*(ISNUMBER(tbl_DataDraftApril26[Start]))*(ISNUMBER(tbl_DataDraftApril26[End]))*($A381&gt;tbl_DataDraftApril26[Start])*($A381&lt;tbl_DataDraftApril26[End]))</f>
        <v>0</v>
      </c>
      <c r="E381" s="125" cm="1">
        <f t="array" ref="E381">SUMPRODUCT((tbl_DataDraftApril26[Phase]=E$1)*(ISNUMBER(tbl_DataDraftApril26[Start]))*(ISNUMBER(tbl_DataDraftApril26[End]))*($A381&gt;tbl_DataDraftApril26[Start])*($A381&lt;tbl_DataDraftApril26[End]))</f>
        <v>0</v>
      </c>
    </row>
    <row r="382" spans="1:5">
      <c r="A382" s="131">
        <v>46250</v>
      </c>
      <c r="B382" s="125" cm="1">
        <f t="array" ref="B382">SUMPRODUCT((tbl_DataDraftApril26[Phase]=B$1)*(ISNUMBER(tbl_DataDraftApril26[Start]))*(ISNUMBER(tbl_DataDraftApril26[End]))*($A382&gt;tbl_DataDraftApril26[Start])*($A382&lt;tbl_DataDraftApril26[End]))</f>
        <v>10</v>
      </c>
      <c r="C382" s="125" cm="1">
        <f t="array" ref="C382">SUMPRODUCT((tbl_DataDraftApril26[Phase]=C$1)*(ISNUMBER(tbl_DataDraftApril26[Start]))*(ISNUMBER(tbl_DataDraftApril26[End]))*($A382&gt;tbl_DataDraftApril26[Start])*($A382&lt;tbl_DataDraftApril26[End]))</f>
        <v>4</v>
      </c>
      <c r="D382" s="125" cm="1">
        <f t="array" ref="D382">SUMPRODUCT((tbl_DataDraftApril26[Phase]=D$1)*(ISNUMBER(tbl_DataDraftApril26[Start]))*(ISNUMBER(tbl_DataDraftApril26[End]))*($A382&gt;tbl_DataDraftApril26[Start])*($A382&lt;tbl_DataDraftApril26[End]))</f>
        <v>0</v>
      </c>
      <c r="E382" s="125" cm="1">
        <f t="array" ref="E382">SUMPRODUCT((tbl_DataDraftApril26[Phase]=E$1)*(ISNUMBER(tbl_DataDraftApril26[Start]))*(ISNUMBER(tbl_DataDraftApril26[End]))*($A382&gt;tbl_DataDraftApril26[Start])*($A382&lt;tbl_DataDraftApril26[End]))</f>
        <v>0</v>
      </c>
    </row>
    <row r="383" spans="1:5">
      <c r="A383" s="131">
        <v>46251</v>
      </c>
      <c r="B383" s="125" cm="1">
        <f t="array" ref="B383">SUMPRODUCT((tbl_DataDraftApril26[Phase]=B$1)*(ISNUMBER(tbl_DataDraftApril26[Start]))*(ISNUMBER(tbl_DataDraftApril26[End]))*($A383&gt;tbl_DataDraftApril26[Start])*($A383&lt;tbl_DataDraftApril26[End]))</f>
        <v>10</v>
      </c>
      <c r="C383" s="125" cm="1">
        <f t="array" ref="C383">SUMPRODUCT((tbl_DataDraftApril26[Phase]=C$1)*(ISNUMBER(tbl_DataDraftApril26[Start]))*(ISNUMBER(tbl_DataDraftApril26[End]))*($A383&gt;tbl_DataDraftApril26[Start])*($A383&lt;tbl_DataDraftApril26[End]))</f>
        <v>4</v>
      </c>
      <c r="D383" s="125" cm="1">
        <f t="array" ref="D383">SUMPRODUCT((tbl_DataDraftApril26[Phase]=D$1)*(ISNUMBER(tbl_DataDraftApril26[Start]))*(ISNUMBER(tbl_DataDraftApril26[End]))*($A383&gt;tbl_DataDraftApril26[Start])*($A383&lt;tbl_DataDraftApril26[End]))</f>
        <v>0</v>
      </c>
      <c r="E383" s="125" cm="1">
        <f t="array" ref="E383">SUMPRODUCT((tbl_DataDraftApril26[Phase]=E$1)*(ISNUMBER(tbl_DataDraftApril26[Start]))*(ISNUMBER(tbl_DataDraftApril26[End]))*($A383&gt;tbl_DataDraftApril26[Start])*($A383&lt;tbl_DataDraftApril26[End]))</f>
        <v>0</v>
      </c>
    </row>
    <row r="384" spans="1:5">
      <c r="A384" s="131">
        <v>46252</v>
      </c>
      <c r="B384" s="125" cm="1">
        <f t="array" ref="B384">SUMPRODUCT((tbl_DataDraftApril26[Phase]=B$1)*(ISNUMBER(tbl_DataDraftApril26[Start]))*(ISNUMBER(tbl_DataDraftApril26[End]))*($A384&gt;tbl_DataDraftApril26[Start])*($A384&lt;tbl_DataDraftApril26[End]))</f>
        <v>10</v>
      </c>
      <c r="C384" s="125" cm="1">
        <f t="array" ref="C384">SUMPRODUCT((tbl_DataDraftApril26[Phase]=C$1)*(ISNUMBER(tbl_DataDraftApril26[Start]))*(ISNUMBER(tbl_DataDraftApril26[End]))*($A384&gt;tbl_DataDraftApril26[Start])*($A384&lt;tbl_DataDraftApril26[End]))</f>
        <v>4</v>
      </c>
      <c r="D384" s="125" cm="1">
        <f t="array" ref="D384">SUMPRODUCT((tbl_DataDraftApril26[Phase]=D$1)*(ISNUMBER(tbl_DataDraftApril26[Start]))*(ISNUMBER(tbl_DataDraftApril26[End]))*($A384&gt;tbl_DataDraftApril26[Start])*($A384&lt;tbl_DataDraftApril26[End]))</f>
        <v>0</v>
      </c>
      <c r="E384" s="125" cm="1">
        <f t="array" ref="E384">SUMPRODUCT((tbl_DataDraftApril26[Phase]=E$1)*(ISNUMBER(tbl_DataDraftApril26[Start]))*(ISNUMBER(tbl_DataDraftApril26[End]))*($A384&gt;tbl_DataDraftApril26[Start])*($A384&lt;tbl_DataDraftApril26[End]))</f>
        <v>0</v>
      </c>
    </row>
    <row r="385" spans="1:5">
      <c r="A385" s="131">
        <v>46253</v>
      </c>
      <c r="B385" s="125" cm="1">
        <f t="array" ref="B385">SUMPRODUCT((tbl_DataDraftApril26[Phase]=B$1)*(ISNUMBER(tbl_DataDraftApril26[Start]))*(ISNUMBER(tbl_DataDraftApril26[End]))*($A385&gt;tbl_DataDraftApril26[Start])*($A385&lt;tbl_DataDraftApril26[End]))</f>
        <v>10</v>
      </c>
      <c r="C385" s="125" cm="1">
        <f t="array" ref="C385">SUMPRODUCT((tbl_DataDraftApril26[Phase]=C$1)*(ISNUMBER(tbl_DataDraftApril26[Start]))*(ISNUMBER(tbl_DataDraftApril26[End]))*($A385&gt;tbl_DataDraftApril26[Start])*($A385&lt;tbl_DataDraftApril26[End]))</f>
        <v>4</v>
      </c>
      <c r="D385" s="125" cm="1">
        <f t="array" ref="D385">SUMPRODUCT((tbl_DataDraftApril26[Phase]=D$1)*(ISNUMBER(tbl_DataDraftApril26[Start]))*(ISNUMBER(tbl_DataDraftApril26[End]))*($A385&gt;tbl_DataDraftApril26[Start])*($A385&lt;tbl_DataDraftApril26[End]))</f>
        <v>0</v>
      </c>
      <c r="E385" s="125" cm="1">
        <f t="array" ref="E385">SUMPRODUCT((tbl_DataDraftApril26[Phase]=E$1)*(ISNUMBER(tbl_DataDraftApril26[Start]))*(ISNUMBER(tbl_DataDraftApril26[End]))*($A385&gt;tbl_DataDraftApril26[Start])*($A385&lt;tbl_DataDraftApril26[End]))</f>
        <v>0</v>
      </c>
    </row>
    <row r="386" spans="1:5">
      <c r="A386" s="131">
        <v>46254</v>
      </c>
      <c r="B386" s="125" cm="1">
        <f t="array" ref="B386">SUMPRODUCT((tbl_DataDraftApril26[Phase]=B$1)*(ISNUMBER(tbl_DataDraftApril26[Start]))*(ISNUMBER(tbl_DataDraftApril26[End]))*($A386&gt;tbl_DataDraftApril26[Start])*($A386&lt;tbl_DataDraftApril26[End]))</f>
        <v>10</v>
      </c>
      <c r="C386" s="125" cm="1">
        <f t="array" ref="C386">SUMPRODUCT((tbl_DataDraftApril26[Phase]=C$1)*(ISNUMBER(tbl_DataDraftApril26[Start]))*(ISNUMBER(tbl_DataDraftApril26[End]))*($A386&gt;tbl_DataDraftApril26[Start])*($A386&lt;tbl_DataDraftApril26[End]))</f>
        <v>4</v>
      </c>
      <c r="D386" s="125" cm="1">
        <f t="array" ref="D386">SUMPRODUCT((tbl_DataDraftApril26[Phase]=D$1)*(ISNUMBER(tbl_DataDraftApril26[Start]))*(ISNUMBER(tbl_DataDraftApril26[End]))*($A386&gt;tbl_DataDraftApril26[Start])*($A386&lt;tbl_DataDraftApril26[End]))</f>
        <v>0</v>
      </c>
      <c r="E386" s="125" cm="1">
        <f t="array" ref="E386">SUMPRODUCT((tbl_DataDraftApril26[Phase]=E$1)*(ISNUMBER(tbl_DataDraftApril26[Start]))*(ISNUMBER(tbl_DataDraftApril26[End]))*($A386&gt;tbl_DataDraftApril26[Start])*($A386&lt;tbl_DataDraftApril26[End]))</f>
        <v>0</v>
      </c>
    </row>
    <row r="387" spans="1:5">
      <c r="A387" s="131">
        <v>46255</v>
      </c>
      <c r="B387" s="125" cm="1">
        <f t="array" ref="B387">SUMPRODUCT((tbl_DataDraftApril26[Phase]=B$1)*(ISNUMBER(tbl_DataDraftApril26[Start]))*(ISNUMBER(tbl_DataDraftApril26[End]))*($A387&gt;tbl_DataDraftApril26[Start])*($A387&lt;tbl_DataDraftApril26[End]))</f>
        <v>10</v>
      </c>
      <c r="C387" s="125" cm="1">
        <f t="array" ref="C387">SUMPRODUCT((tbl_DataDraftApril26[Phase]=C$1)*(ISNUMBER(tbl_DataDraftApril26[Start]))*(ISNUMBER(tbl_DataDraftApril26[End]))*($A387&gt;tbl_DataDraftApril26[Start])*($A387&lt;tbl_DataDraftApril26[End]))</f>
        <v>4</v>
      </c>
      <c r="D387" s="125" cm="1">
        <f t="array" ref="D387">SUMPRODUCT((tbl_DataDraftApril26[Phase]=D$1)*(ISNUMBER(tbl_DataDraftApril26[Start]))*(ISNUMBER(tbl_DataDraftApril26[End]))*($A387&gt;tbl_DataDraftApril26[Start])*($A387&lt;tbl_DataDraftApril26[End]))</f>
        <v>0</v>
      </c>
      <c r="E387" s="125" cm="1">
        <f t="array" ref="E387">SUMPRODUCT((tbl_DataDraftApril26[Phase]=E$1)*(ISNUMBER(tbl_DataDraftApril26[Start]))*(ISNUMBER(tbl_DataDraftApril26[End]))*($A387&gt;tbl_DataDraftApril26[Start])*($A387&lt;tbl_DataDraftApril26[End]))</f>
        <v>0</v>
      </c>
    </row>
    <row r="388" spans="1:5">
      <c r="A388" s="131">
        <v>46256</v>
      </c>
      <c r="B388" s="125" cm="1">
        <f t="array" ref="B388">SUMPRODUCT((tbl_DataDraftApril26[Phase]=B$1)*(ISNUMBER(tbl_DataDraftApril26[Start]))*(ISNUMBER(tbl_DataDraftApril26[End]))*($A388&gt;tbl_DataDraftApril26[Start])*($A388&lt;tbl_DataDraftApril26[End]))</f>
        <v>10</v>
      </c>
      <c r="C388" s="125" cm="1">
        <f t="array" ref="C388">SUMPRODUCT((tbl_DataDraftApril26[Phase]=C$1)*(ISNUMBER(tbl_DataDraftApril26[Start]))*(ISNUMBER(tbl_DataDraftApril26[End]))*($A388&gt;tbl_DataDraftApril26[Start])*($A388&lt;tbl_DataDraftApril26[End]))</f>
        <v>4</v>
      </c>
      <c r="D388" s="125" cm="1">
        <f t="array" ref="D388">SUMPRODUCT((tbl_DataDraftApril26[Phase]=D$1)*(ISNUMBER(tbl_DataDraftApril26[Start]))*(ISNUMBER(tbl_DataDraftApril26[End]))*($A388&gt;tbl_DataDraftApril26[Start])*($A388&lt;tbl_DataDraftApril26[End]))</f>
        <v>0</v>
      </c>
      <c r="E388" s="125" cm="1">
        <f t="array" ref="E388">SUMPRODUCT((tbl_DataDraftApril26[Phase]=E$1)*(ISNUMBER(tbl_DataDraftApril26[Start]))*(ISNUMBER(tbl_DataDraftApril26[End]))*($A388&gt;tbl_DataDraftApril26[Start])*($A388&lt;tbl_DataDraftApril26[End]))</f>
        <v>0</v>
      </c>
    </row>
    <row r="389" spans="1:5">
      <c r="A389" s="131">
        <v>46257</v>
      </c>
      <c r="B389" s="125" cm="1">
        <f t="array" ref="B389">SUMPRODUCT((tbl_DataDraftApril26[Phase]=B$1)*(ISNUMBER(tbl_DataDraftApril26[Start]))*(ISNUMBER(tbl_DataDraftApril26[End]))*($A389&gt;tbl_DataDraftApril26[Start])*($A389&lt;tbl_DataDraftApril26[End]))</f>
        <v>10</v>
      </c>
      <c r="C389" s="125" cm="1">
        <f t="array" ref="C389">SUMPRODUCT((tbl_DataDraftApril26[Phase]=C$1)*(ISNUMBER(tbl_DataDraftApril26[Start]))*(ISNUMBER(tbl_DataDraftApril26[End]))*($A389&gt;tbl_DataDraftApril26[Start])*($A389&lt;tbl_DataDraftApril26[End]))</f>
        <v>4</v>
      </c>
      <c r="D389" s="125" cm="1">
        <f t="array" ref="D389">SUMPRODUCT((tbl_DataDraftApril26[Phase]=D$1)*(ISNUMBER(tbl_DataDraftApril26[Start]))*(ISNUMBER(tbl_DataDraftApril26[End]))*($A389&gt;tbl_DataDraftApril26[Start])*($A389&lt;tbl_DataDraftApril26[End]))</f>
        <v>0</v>
      </c>
      <c r="E389" s="125" cm="1">
        <f t="array" ref="E389">SUMPRODUCT((tbl_DataDraftApril26[Phase]=E$1)*(ISNUMBER(tbl_DataDraftApril26[Start]))*(ISNUMBER(tbl_DataDraftApril26[End]))*($A389&gt;tbl_DataDraftApril26[Start])*($A389&lt;tbl_DataDraftApril26[End]))</f>
        <v>0</v>
      </c>
    </row>
    <row r="390" spans="1:5">
      <c r="A390" s="131">
        <v>46258</v>
      </c>
      <c r="B390" s="125" cm="1">
        <f t="array" ref="B390">SUMPRODUCT((tbl_DataDraftApril26[Phase]=B$1)*(ISNUMBER(tbl_DataDraftApril26[Start]))*(ISNUMBER(tbl_DataDraftApril26[End]))*($A390&gt;tbl_DataDraftApril26[Start])*($A390&lt;tbl_DataDraftApril26[End]))</f>
        <v>10</v>
      </c>
      <c r="C390" s="125" cm="1">
        <f t="array" ref="C390">SUMPRODUCT((tbl_DataDraftApril26[Phase]=C$1)*(ISNUMBER(tbl_DataDraftApril26[Start]))*(ISNUMBER(tbl_DataDraftApril26[End]))*($A390&gt;tbl_DataDraftApril26[Start])*($A390&lt;tbl_DataDraftApril26[End]))</f>
        <v>4</v>
      </c>
      <c r="D390" s="125" cm="1">
        <f t="array" ref="D390">SUMPRODUCT((tbl_DataDraftApril26[Phase]=D$1)*(ISNUMBER(tbl_DataDraftApril26[Start]))*(ISNUMBER(tbl_DataDraftApril26[End]))*($A390&gt;tbl_DataDraftApril26[Start])*($A390&lt;tbl_DataDraftApril26[End]))</f>
        <v>0</v>
      </c>
      <c r="E390" s="125" cm="1">
        <f t="array" ref="E390">SUMPRODUCT((tbl_DataDraftApril26[Phase]=E$1)*(ISNUMBER(tbl_DataDraftApril26[Start]))*(ISNUMBER(tbl_DataDraftApril26[End]))*($A390&gt;tbl_DataDraftApril26[Start])*($A390&lt;tbl_DataDraftApril26[End]))</f>
        <v>0</v>
      </c>
    </row>
    <row r="391" spans="1:5">
      <c r="A391" s="131">
        <v>46259</v>
      </c>
      <c r="B391" s="125" cm="1">
        <f t="array" ref="B391">SUMPRODUCT((tbl_DataDraftApril26[Phase]=B$1)*(ISNUMBER(tbl_DataDraftApril26[Start]))*(ISNUMBER(tbl_DataDraftApril26[End]))*($A391&gt;tbl_DataDraftApril26[Start])*($A391&lt;tbl_DataDraftApril26[End]))</f>
        <v>10</v>
      </c>
      <c r="C391" s="125" cm="1">
        <f t="array" ref="C391">SUMPRODUCT((tbl_DataDraftApril26[Phase]=C$1)*(ISNUMBER(tbl_DataDraftApril26[Start]))*(ISNUMBER(tbl_DataDraftApril26[End]))*($A391&gt;tbl_DataDraftApril26[Start])*($A391&lt;tbl_DataDraftApril26[End]))</f>
        <v>4</v>
      </c>
      <c r="D391" s="125" cm="1">
        <f t="array" ref="D391">SUMPRODUCT((tbl_DataDraftApril26[Phase]=D$1)*(ISNUMBER(tbl_DataDraftApril26[Start]))*(ISNUMBER(tbl_DataDraftApril26[End]))*($A391&gt;tbl_DataDraftApril26[Start])*($A391&lt;tbl_DataDraftApril26[End]))</f>
        <v>0</v>
      </c>
      <c r="E391" s="125" cm="1">
        <f t="array" ref="E391">SUMPRODUCT((tbl_DataDraftApril26[Phase]=E$1)*(ISNUMBER(tbl_DataDraftApril26[Start]))*(ISNUMBER(tbl_DataDraftApril26[End]))*($A391&gt;tbl_DataDraftApril26[Start])*($A391&lt;tbl_DataDraftApril26[End]))</f>
        <v>0</v>
      </c>
    </row>
    <row r="392" spans="1:5">
      <c r="A392" s="131">
        <v>46260</v>
      </c>
      <c r="B392" s="125" cm="1">
        <f t="array" ref="B392">SUMPRODUCT((tbl_DataDraftApril26[Phase]=B$1)*(ISNUMBER(tbl_DataDraftApril26[Start]))*(ISNUMBER(tbl_DataDraftApril26[End]))*($A392&gt;tbl_DataDraftApril26[Start])*($A392&lt;tbl_DataDraftApril26[End]))</f>
        <v>10</v>
      </c>
      <c r="C392" s="125" cm="1">
        <f t="array" ref="C392">SUMPRODUCT((tbl_DataDraftApril26[Phase]=C$1)*(ISNUMBER(tbl_DataDraftApril26[Start]))*(ISNUMBER(tbl_DataDraftApril26[End]))*($A392&gt;tbl_DataDraftApril26[Start])*($A392&lt;tbl_DataDraftApril26[End]))</f>
        <v>4</v>
      </c>
      <c r="D392" s="125" cm="1">
        <f t="array" ref="D392">SUMPRODUCT((tbl_DataDraftApril26[Phase]=D$1)*(ISNUMBER(tbl_DataDraftApril26[Start]))*(ISNUMBER(tbl_DataDraftApril26[End]))*($A392&gt;tbl_DataDraftApril26[Start])*($A392&lt;tbl_DataDraftApril26[End]))</f>
        <v>0</v>
      </c>
      <c r="E392" s="125" cm="1">
        <f t="array" ref="E392">SUMPRODUCT((tbl_DataDraftApril26[Phase]=E$1)*(ISNUMBER(tbl_DataDraftApril26[Start]))*(ISNUMBER(tbl_DataDraftApril26[End]))*($A392&gt;tbl_DataDraftApril26[Start])*($A392&lt;tbl_DataDraftApril26[End]))</f>
        <v>0</v>
      </c>
    </row>
    <row r="393" spans="1:5">
      <c r="A393" s="131">
        <v>46261</v>
      </c>
      <c r="B393" s="125" cm="1">
        <f t="array" ref="B393">SUMPRODUCT((tbl_DataDraftApril26[Phase]=B$1)*(ISNUMBER(tbl_DataDraftApril26[Start]))*(ISNUMBER(tbl_DataDraftApril26[End]))*($A393&gt;tbl_DataDraftApril26[Start])*($A393&lt;tbl_DataDraftApril26[End]))</f>
        <v>10</v>
      </c>
      <c r="C393" s="125" cm="1">
        <f t="array" ref="C393">SUMPRODUCT((tbl_DataDraftApril26[Phase]=C$1)*(ISNUMBER(tbl_DataDraftApril26[Start]))*(ISNUMBER(tbl_DataDraftApril26[End]))*($A393&gt;tbl_DataDraftApril26[Start])*($A393&lt;tbl_DataDraftApril26[End]))</f>
        <v>4</v>
      </c>
      <c r="D393" s="125" cm="1">
        <f t="array" ref="D393">SUMPRODUCT((tbl_DataDraftApril26[Phase]=D$1)*(ISNUMBER(tbl_DataDraftApril26[Start]))*(ISNUMBER(tbl_DataDraftApril26[End]))*($A393&gt;tbl_DataDraftApril26[Start])*($A393&lt;tbl_DataDraftApril26[End]))</f>
        <v>0</v>
      </c>
      <c r="E393" s="125" cm="1">
        <f t="array" ref="E393">SUMPRODUCT((tbl_DataDraftApril26[Phase]=E$1)*(ISNUMBER(tbl_DataDraftApril26[Start]))*(ISNUMBER(tbl_DataDraftApril26[End]))*($A393&gt;tbl_DataDraftApril26[Start])*($A393&lt;tbl_DataDraftApril26[End]))</f>
        <v>0</v>
      </c>
    </row>
    <row r="394" spans="1:5">
      <c r="A394" s="131">
        <v>46262</v>
      </c>
      <c r="B394" s="125" cm="1">
        <f t="array" ref="B394">SUMPRODUCT((tbl_DataDraftApril26[Phase]=B$1)*(ISNUMBER(tbl_DataDraftApril26[Start]))*(ISNUMBER(tbl_DataDraftApril26[End]))*($A394&gt;tbl_DataDraftApril26[Start])*($A394&lt;tbl_DataDraftApril26[End]))</f>
        <v>10</v>
      </c>
      <c r="C394" s="125" cm="1">
        <f t="array" ref="C394">SUMPRODUCT((tbl_DataDraftApril26[Phase]=C$1)*(ISNUMBER(tbl_DataDraftApril26[Start]))*(ISNUMBER(tbl_DataDraftApril26[End]))*($A394&gt;tbl_DataDraftApril26[Start])*($A394&lt;tbl_DataDraftApril26[End]))</f>
        <v>4</v>
      </c>
      <c r="D394" s="125" cm="1">
        <f t="array" ref="D394">SUMPRODUCT((tbl_DataDraftApril26[Phase]=D$1)*(ISNUMBER(tbl_DataDraftApril26[Start]))*(ISNUMBER(tbl_DataDraftApril26[End]))*($A394&gt;tbl_DataDraftApril26[Start])*($A394&lt;tbl_DataDraftApril26[End]))</f>
        <v>0</v>
      </c>
      <c r="E394" s="125" cm="1">
        <f t="array" ref="E394">SUMPRODUCT((tbl_DataDraftApril26[Phase]=E$1)*(ISNUMBER(tbl_DataDraftApril26[Start]))*(ISNUMBER(tbl_DataDraftApril26[End]))*($A394&gt;tbl_DataDraftApril26[Start])*($A394&lt;tbl_DataDraftApril26[End]))</f>
        <v>0</v>
      </c>
    </row>
    <row r="395" spans="1:5">
      <c r="A395" s="131">
        <v>46263</v>
      </c>
      <c r="B395" s="125" cm="1">
        <f t="array" ref="B395">SUMPRODUCT((tbl_DataDraftApril26[Phase]=B$1)*(ISNUMBER(tbl_DataDraftApril26[Start]))*(ISNUMBER(tbl_DataDraftApril26[End]))*($A395&gt;tbl_DataDraftApril26[Start])*($A395&lt;tbl_DataDraftApril26[End]))</f>
        <v>10</v>
      </c>
      <c r="C395" s="125" cm="1">
        <f t="array" ref="C395">SUMPRODUCT((tbl_DataDraftApril26[Phase]=C$1)*(ISNUMBER(tbl_DataDraftApril26[Start]))*(ISNUMBER(tbl_DataDraftApril26[End]))*($A395&gt;tbl_DataDraftApril26[Start])*($A395&lt;tbl_DataDraftApril26[End]))</f>
        <v>4</v>
      </c>
      <c r="D395" s="125" cm="1">
        <f t="array" ref="D395">SUMPRODUCT((tbl_DataDraftApril26[Phase]=D$1)*(ISNUMBER(tbl_DataDraftApril26[Start]))*(ISNUMBER(tbl_DataDraftApril26[End]))*($A395&gt;tbl_DataDraftApril26[Start])*($A395&lt;tbl_DataDraftApril26[End]))</f>
        <v>0</v>
      </c>
      <c r="E395" s="125" cm="1">
        <f t="array" ref="E395">SUMPRODUCT((tbl_DataDraftApril26[Phase]=E$1)*(ISNUMBER(tbl_DataDraftApril26[Start]))*(ISNUMBER(tbl_DataDraftApril26[End]))*($A395&gt;tbl_DataDraftApril26[Start])*($A395&lt;tbl_DataDraftApril26[End]))</f>
        <v>0</v>
      </c>
    </row>
    <row r="396" spans="1:5">
      <c r="A396" s="131">
        <v>46264</v>
      </c>
      <c r="B396" s="125" cm="1">
        <f t="array" ref="B396">SUMPRODUCT((tbl_DataDraftApril26[Phase]=B$1)*(ISNUMBER(tbl_DataDraftApril26[Start]))*(ISNUMBER(tbl_DataDraftApril26[End]))*($A396&gt;tbl_DataDraftApril26[Start])*($A396&lt;tbl_DataDraftApril26[End]))</f>
        <v>10</v>
      </c>
      <c r="C396" s="125" cm="1">
        <f t="array" ref="C396">SUMPRODUCT((tbl_DataDraftApril26[Phase]=C$1)*(ISNUMBER(tbl_DataDraftApril26[Start]))*(ISNUMBER(tbl_DataDraftApril26[End]))*($A396&gt;tbl_DataDraftApril26[Start])*($A396&lt;tbl_DataDraftApril26[End]))</f>
        <v>4</v>
      </c>
      <c r="D396" s="125" cm="1">
        <f t="array" ref="D396">SUMPRODUCT((tbl_DataDraftApril26[Phase]=D$1)*(ISNUMBER(tbl_DataDraftApril26[Start]))*(ISNUMBER(tbl_DataDraftApril26[End]))*($A396&gt;tbl_DataDraftApril26[Start])*($A396&lt;tbl_DataDraftApril26[End]))</f>
        <v>0</v>
      </c>
      <c r="E396" s="125" cm="1">
        <f t="array" ref="E396">SUMPRODUCT((tbl_DataDraftApril26[Phase]=E$1)*(ISNUMBER(tbl_DataDraftApril26[Start]))*(ISNUMBER(tbl_DataDraftApril26[End]))*($A396&gt;tbl_DataDraftApril26[Start])*($A396&lt;tbl_DataDraftApril26[End]))</f>
        <v>0</v>
      </c>
    </row>
    <row r="397" spans="1:5">
      <c r="A397" s="131">
        <v>46265</v>
      </c>
      <c r="B397" s="125" cm="1">
        <f t="array" ref="B397">SUMPRODUCT((tbl_DataDraftApril26[Phase]=B$1)*(ISNUMBER(tbl_DataDraftApril26[Start]))*(ISNUMBER(tbl_DataDraftApril26[End]))*($A397&gt;tbl_DataDraftApril26[Start])*($A397&lt;tbl_DataDraftApril26[End]))</f>
        <v>10</v>
      </c>
      <c r="C397" s="125" cm="1">
        <f t="array" ref="C397">SUMPRODUCT((tbl_DataDraftApril26[Phase]=C$1)*(ISNUMBER(tbl_DataDraftApril26[Start]))*(ISNUMBER(tbl_DataDraftApril26[End]))*($A397&gt;tbl_DataDraftApril26[Start])*($A397&lt;tbl_DataDraftApril26[End]))</f>
        <v>3</v>
      </c>
      <c r="D397" s="125" cm="1">
        <f t="array" ref="D397">SUMPRODUCT((tbl_DataDraftApril26[Phase]=D$1)*(ISNUMBER(tbl_DataDraftApril26[Start]))*(ISNUMBER(tbl_DataDraftApril26[End]))*($A397&gt;tbl_DataDraftApril26[Start])*($A397&lt;tbl_DataDraftApril26[End]))</f>
        <v>0</v>
      </c>
      <c r="E397" s="125" cm="1">
        <f t="array" ref="E397">SUMPRODUCT((tbl_DataDraftApril26[Phase]=E$1)*(ISNUMBER(tbl_DataDraftApril26[Start]))*(ISNUMBER(tbl_DataDraftApril26[End]))*($A397&gt;tbl_DataDraftApril26[Start])*($A397&lt;tbl_DataDraftApril26[End]))</f>
        <v>0</v>
      </c>
    </row>
    <row r="398" spans="1:5">
      <c r="A398" s="131">
        <v>46266</v>
      </c>
      <c r="B398" s="125" cm="1">
        <f t="array" ref="B398">SUMPRODUCT((tbl_DataDraftApril26[Phase]=B$1)*(ISNUMBER(tbl_DataDraftApril26[Start]))*(ISNUMBER(tbl_DataDraftApril26[End]))*($A398&gt;tbl_DataDraftApril26[Start])*($A398&lt;tbl_DataDraftApril26[End]))</f>
        <v>10</v>
      </c>
      <c r="C398" s="125" cm="1">
        <f t="array" ref="C398">SUMPRODUCT((tbl_DataDraftApril26[Phase]=C$1)*(ISNUMBER(tbl_DataDraftApril26[Start]))*(ISNUMBER(tbl_DataDraftApril26[End]))*($A398&gt;tbl_DataDraftApril26[Start])*($A398&lt;tbl_DataDraftApril26[End]))</f>
        <v>3</v>
      </c>
      <c r="D398" s="125" cm="1">
        <f t="array" ref="D398">SUMPRODUCT((tbl_DataDraftApril26[Phase]=D$1)*(ISNUMBER(tbl_DataDraftApril26[Start]))*(ISNUMBER(tbl_DataDraftApril26[End]))*($A398&gt;tbl_DataDraftApril26[Start])*($A398&lt;tbl_DataDraftApril26[End]))</f>
        <v>0</v>
      </c>
      <c r="E398" s="125" cm="1">
        <f t="array" ref="E398">SUMPRODUCT((tbl_DataDraftApril26[Phase]=E$1)*(ISNUMBER(tbl_DataDraftApril26[Start]))*(ISNUMBER(tbl_DataDraftApril26[End]))*($A398&gt;tbl_DataDraftApril26[Start])*($A398&lt;tbl_DataDraftApril26[End]))</f>
        <v>0</v>
      </c>
    </row>
    <row r="399" spans="1:5">
      <c r="A399" s="131">
        <v>46267</v>
      </c>
      <c r="B399" s="125" cm="1">
        <f t="array" ref="B399">SUMPRODUCT((tbl_DataDraftApril26[Phase]=B$1)*(ISNUMBER(tbl_DataDraftApril26[Start]))*(ISNUMBER(tbl_DataDraftApril26[End]))*($A399&gt;tbl_DataDraftApril26[Start])*($A399&lt;tbl_DataDraftApril26[End]))</f>
        <v>10</v>
      </c>
      <c r="C399" s="125" cm="1">
        <f t="array" ref="C399">SUMPRODUCT((tbl_DataDraftApril26[Phase]=C$1)*(ISNUMBER(tbl_DataDraftApril26[Start]))*(ISNUMBER(tbl_DataDraftApril26[End]))*($A399&gt;tbl_DataDraftApril26[Start])*($A399&lt;tbl_DataDraftApril26[End]))</f>
        <v>3</v>
      </c>
      <c r="D399" s="125" cm="1">
        <f t="array" ref="D399">SUMPRODUCT((tbl_DataDraftApril26[Phase]=D$1)*(ISNUMBER(tbl_DataDraftApril26[Start]))*(ISNUMBER(tbl_DataDraftApril26[End]))*($A399&gt;tbl_DataDraftApril26[Start])*($A399&lt;tbl_DataDraftApril26[End]))</f>
        <v>0</v>
      </c>
      <c r="E399" s="125" cm="1">
        <f t="array" ref="E399">SUMPRODUCT((tbl_DataDraftApril26[Phase]=E$1)*(ISNUMBER(tbl_DataDraftApril26[Start]))*(ISNUMBER(tbl_DataDraftApril26[End]))*($A399&gt;tbl_DataDraftApril26[Start])*($A399&lt;tbl_DataDraftApril26[End]))</f>
        <v>0</v>
      </c>
    </row>
    <row r="400" spans="1:5">
      <c r="A400" s="131">
        <v>46268</v>
      </c>
      <c r="B400" s="125" cm="1">
        <f t="array" ref="B400">SUMPRODUCT((tbl_DataDraftApril26[Phase]=B$1)*(ISNUMBER(tbl_DataDraftApril26[Start]))*(ISNUMBER(tbl_DataDraftApril26[End]))*($A400&gt;tbl_DataDraftApril26[Start])*($A400&lt;tbl_DataDraftApril26[End]))</f>
        <v>10</v>
      </c>
      <c r="C400" s="125" cm="1">
        <f t="array" ref="C400">SUMPRODUCT((tbl_DataDraftApril26[Phase]=C$1)*(ISNUMBER(tbl_DataDraftApril26[Start]))*(ISNUMBER(tbl_DataDraftApril26[End]))*($A400&gt;tbl_DataDraftApril26[Start])*($A400&lt;tbl_DataDraftApril26[End]))</f>
        <v>3</v>
      </c>
      <c r="D400" s="125" cm="1">
        <f t="array" ref="D400">SUMPRODUCT((tbl_DataDraftApril26[Phase]=D$1)*(ISNUMBER(tbl_DataDraftApril26[Start]))*(ISNUMBER(tbl_DataDraftApril26[End]))*($A400&gt;tbl_DataDraftApril26[Start])*($A400&lt;tbl_DataDraftApril26[End]))</f>
        <v>0</v>
      </c>
      <c r="E400" s="125" cm="1">
        <f t="array" ref="E400">SUMPRODUCT((tbl_DataDraftApril26[Phase]=E$1)*(ISNUMBER(tbl_DataDraftApril26[Start]))*(ISNUMBER(tbl_DataDraftApril26[End]))*($A400&gt;tbl_DataDraftApril26[Start])*($A400&lt;tbl_DataDraftApril26[End]))</f>
        <v>0</v>
      </c>
    </row>
    <row r="401" spans="1:5">
      <c r="A401" s="131">
        <v>46269</v>
      </c>
      <c r="B401" s="125" cm="1">
        <f t="array" ref="B401">SUMPRODUCT((tbl_DataDraftApril26[Phase]=B$1)*(ISNUMBER(tbl_DataDraftApril26[Start]))*(ISNUMBER(tbl_DataDraftApril26[End]))*($A401&gt;tbl_DataDraftApril26[Start])*($A401&lt;tbl_DataDraftApril26[End]))</f>
        <v>10</v>
      </c>
      <c r="C401" s="125" cm="1">
        <f t="array" ref="C401">SUMPRODUCT((tbl_DataDraftApril26[Phase]=C$1)*(ISNUMBER(tbl_DataDraftApril26[Start]))*(ISNUMBER(tbl_DataDraftApril26[End]))*($A401&gt;tbl_DataDraftApril26[Start])*($A401&lt;tbl_DataDraftApril26[End]))</f>
        <v>3</v>
      </c>
      <c r="D401" s="125" cm="1">
        <f t="array" ref="D401">SUMPRODUCT((tbl_DataDraftApril26[Phase]=D$1)*(ISNUMBER(tbl_DataDraftApril26[Start]))*(ISNUMBER(tbl_DataDraftApril26[End]))*($A401&gt;tbl_DataDraftApril26[Start])*($A401&lt;tbl_DataDraftApril26[End]))</f>
        <v>0</v>
      </c>
      <c r="E401" s="125" cm="1">
        <f t="array" ref="E401">SUMPRODUCT((tbl_DataDraftApril26[Phase]=E$1)*(ISNUMBER(tbl_DataDraftApril26[Start]))*(ISNUMBER(tbl_DataDraftApril26[End]))*($A401&gt;tbl_DataDraftApril26[Start])*($A401&lt;tbl_DataDraftApril26[End]))</f>
        <v>0</v>
      </c>
    </row>
    <row r="402" spans="1:5">
      <c r="A402" s="131">
        <v>46270</v>
      </c>
      <c r="B402" s="125" cm="1">
        <f t="array" ref="B402">SUMPRODUCT((tbl_DataDraftApril26[Phase]=B$1)*(ISNUMBER(tbl_DataDraftApril26[Start]))*(ISNUMBER(tbl_DataDraftApril26[End]))*($A402&gt;tbl_DataDraftApril26[Start])*($A402&lt;tbl_DataDraftApril26[End]))</f>
        <v>10</v>
      </c>
      <c r="C402" s="125" cm="1">
        <f t="array" ref="C402">SUMPRODUCT((tbl_DataDraftApril26[Phase]=C$1)*(ISNUMBER(tbl_DataDraftApril26[Start]))*(ISNUMBER(tbl_DataDraftApril26[End]))*($A402&gt;tbl_DataDraftApril26[Start])*($A402&lt;tbl_DataDraftApril26[End]))</f>
        <v>3</v>
      </c>
      <c r="D402" s="125" cm="1">
        <f t="array" ref="D402">SUMPRODUCT((tbl_DataDraftApril26[Phase]=D$1)*(ISNUMBER(tbl_DataDraftApril26[Start]))*(ISNUMBER(tbl_DataDraftApril26[End]))*($A402&gt;tbl_DataDraftApril26[Start])*($A402&lt;tbl_DataDraftApril26[End]))</f>
        <v>0</v>
      </c>
      <c r="E402" s="125" cm="1">
        <f t="array" ref="E402">SUMPRODUCT((tbl_DataDraftApril26[Phase]=E$1)*(ISNUMBER(tbl_DataDraftApril26[Start]))*(ISNUMBER(tbl_DataDraftApril26[End]))*($A402&gt;tbl_DataDraftApril26[Start])*($A402&lt;tbl_DataDraftApril26[End]))</f>
        <v>0</v>
      </c>
    </row>
    <row r="403" spans="1:5">
      <c r="A403" s="131">
        <v>46271</v>
      </c>
      <c r="B403" s="125" cm="1">
        <f t="array" ref="B403">SUMPRODUCT((tbl_DataDraftApril26[Phase]=B$1)*(ISNUMBER(tbl_DataDraftApril26[Start]))*(ISNUMBER(tbl_DataDraftApril26[End]))*($A403&gt;tbl_DataDraftApril26[Start])*($A403&lt;tbl_DataDraftApril26[End]))</f>
        <v>10</v>
      </c>
      <c r="C403" s="125" cm="1">
        <f t="array" ref="C403">SUMPRODUCT((tbl_DataDraftApril26[Phase]=C$1)*(ISNUMBER(tbl_DataDraftApril26[Start]))*(ISNUMBER(tbl_DataDraftApril26[End]))*($A403&gt;tbl_DataDraftApril26[Start])*($A403&lt;tbl_DataDraftApril26[End]))</f>
        <v>3</v>
      </c>
      <c r="D403" s="125" cm="1">
        <f t="array" ref="D403">SUMPRODUCT((tbl_DataDraftApril26[Phase]=D$1)*(ISNUMBER(tbl_DataDraftApril26[Start]))*(ISNUMBER(tbl_DataDraftApril26[End]))*($A403&gt;tbl_DataDraftApril26[Start])*($A403&lt;tbl_DataDraftApril26[End]))</f>
        <v>0</v>
      </c>
      <c r="E403" s="125" cm="1">
        <f t="array" ref="E403">SUMPRODUCT((tbl_DataDraftApril26[Phase]=E$1)*(ISNUMBER(tbl_DataDraftApril26[Start]))*(ISNUMBER(tbl_DataDraftApril26[End]))*($A403&gt;tbl_DataDraftApril26[Start])*($A403&lt;tbl_DataDraftApril26[End]))</f>
        <v>0</v>
      </c>
    </row>
    <row r="404" spans="1:5">
      <c r="A404" s="131">
        <v>46272</v>
      </c>
      <c r="B404" s="125" cm="1">
        <f t="array" ref="B404">SUMPRODUCT((tbl_DataDraftApril26[Phase]=B$1)*(ISNUMBER(tbl_DataDraftApril26[Start]))*(ISNUMBER(tbl_DataDraftApril26[End]))*($A404&gt;tbl_DataDraftApril26[Start])*($A404&lt;tbl_DataDraftApril26[End]))</f>
        <v>10</v>
      </c>
      <c r="C404" s="125" cm="1">
        <f t="array" ref="C404">SUMPRODUCT((tbl_DataDraftApril26[Phase]=C$1)*(ISNUMBER(tbl_DataDraftApril26[Start]))*(ISNUMBER(tbl_DataDraftApril26[End]))*($A404&gt;tbl_DataDraftApril26[Start])*($A404&lt;tbl_DataDraftApril26[End]))</f>
        <v>3</v>
      </c>
      <c r="D404" s="125" cm="1">
        <f t="array" ref="D404">SUMPRODUCT((tbl_DataDraftApril26[Phase]=D$1)*(ISNUMBER(tbl_DataDraftApril26[Start]))*(ISNUMBER(tbl_DataDraftApril26[End]))*($A404&gt;tbl_DataDraftApril26[Start])*($A404&lt;tbl_DataDraftApril26[End]))</f>
        <v>0</v>
      </c>
      <c r="E404" s="125" cm="1">
        <f t="array" ref="E404">SUMPRODUCT((tbl_DataDraftApril26[Phase]=E$1)*(ISNUMBER(tbl_DataDraftApril26[Start]))*(ISNUMBER(tbl_DataDraftApril26[End]))*($A404&gt;tbl_DataDraftApril26[Start])*($A404&lt;tbl_DataDraftApril26[End]))</f>
        <v>0</v>
      </c>
    </row>
    <row r="405" spans="1:5">
      <c r="A405" s="131">
        <v>46273</v>
      </c>
      <c r="B405" s="125" cm="1">
        <f t="array" ref="B405">SUMPRODUCT((tbl_DataDraftApril26[Phase]=B$1)*(ISNUMBER(tbl_DataDraftApril26[Start]))*(ISNUMBER(tbl_DataDraftApril26[End]))*($A405&gt;tbl_DataDraftApril26[Start])*($A405&lt;tbl_DataDraftApril26[End]))</f>
        <v>10</v>
      </c>
      <c r="C405" s="125" cm="1">
        <f t="array" ref="C405">SUMPRODUCT((tbl_DataDraftApril26[Phase]=C$1)*(ISNUMBER(tbl_DataDraftApril26[Start]))*(ISNUMBER(tbl_DataDraftApril26[End]))*($A405&gt;tbl_DataDraftApril26[Start])*($A405&lt;tbl_DataDraftApril26[End]))</f>
        <v>3</v>
      </c>
      <c r="D405" s="125" cm="1">
        <f t="array" ref="D405">SUMPRODUCT((tbl_DataDraftApril26[Phase]=D$1)*(ISNUMBER(tbl_DataDraftApril26[Start]))*(ISNUMBER(tbl_DataDraftApril26[End]))*($A405&gt;tbl_DataDraftApril26[Start])*($A405&lt;tbl_DataDraftApril26[End]))</f>
        <v>0</v>
      </c>
      <c r="E405" s="125" cm="1">
        <f t="array" ref="E405">SUMPRODUCT((tbl_DataDraftApril26[Phase]=E$1)*(ISNUMBER(tbl_DataDraftApril26[Start]))*(ISNUMBER(tbl_DataDraftApril26[End]))*($A405&gt;tbl_DataDraftApril26[Start])*($A405&lt;tbl_DataDraftApril26[End]))</f>
        <v>0</v>
      </c>
    </row>
    <row r="406" spans="1:5">
      <c r="A406" s="131">
        <v>46274</v>
      </c>
      <c r="B406" s="125" cm="1">
        <f t="array" ref="B406">SUMPRODUCT((tbl_DataDraftApril26[Phase]=B$1)*(ISNUMBER(tbl_DataDraftApril26[Start]))*(ISNUMBER(tbl_DataDraftApril26[End]))*($A406&gt;tbl_DataDraftApril26[Start])*($A406&lt;tbl_DataDraftApril26[End]))</f>
        <v>10</v>
      </c>
      <c r="C406" s="125" cm="1">
        <f t="array" ref="C406">SUMPRODUCT((tbl_DataDraftApril26[Phase]=C$1)*(ISNUMBER(tbl_DataDraftApril26[Start]))*(ISNUMBER(tbl_DataDraftApril26[End]))*($A406&gt;tbl_DataDraftApril26[Start])*($A406&lt;tbl_DataDraftApril26[End]))</f>
        <v>3</v>
      </c>
      <c r="D406" s="125" cm="1">
        <f t="array" ref="D406">SUMPRODUCT((tbl_DataDraftApril26[Phase]=D$1)*(ISNUMBER(tbl_DataDraftApril26[Start]))*(ISNUMBER(tbl_DataDraftApril26[End]))*($A406&gt;tbl_DataDraftApril26[Start])*($A406&lt;tbl_DataDraftApril26[End]))</f>
        <v>0</v>
      </c>
      <c r="E406" s="125" cm="1">
        <f t="array" ref="E406">SUMPRODUCT((tbl_DataDraftApril26[Phase]=E$1)*(ISNUMBER(tbl_DataDraftApril26[Start]))*(ISNUMBER(tbl_DataDraftApril26[End]))*($A406&gt;tbl_DataDraftApril26[Start])*($A406&lt;tbl_DataDraftApril26[End]))</f>
        <v>0</v>
      </c>
    </row>
    <row r="407" spans="1:5">
      <c r="A407" s="131">
        <v>46275</v>
      </c>
      <c r="B407" s="125" cm="1">
        <f t="array" ref="B407">SUMPRODUCT((tbl_DataDraftApril26[Phase]=B$1)*(ISNUMBER(tbl_DataDraftApril26[Start]))*(ISNUMBER(tbl_DataDraftApril26[End]))*($A407&gt;tbl_DataDraftApril26[Start])*($A407&lt;tbl_DataDraftApril26[End]))</f>
        <v>10</v>
      </c>
      <c r="C407" s="125" cm="1">
        <f t="array" ref="C407">SUMPRODUCT((tbl_DataDraftApril26[Phase]=C$1)*(ISNUMBER(tbl_DataDraftApril26[Start]))*(ISNUMBER(tbl_DataDraftApril26[End]))*($A407&gt;tbl_DataDraftApril26[Start])*($A407&lt;tbl_DataDraftApril26[End]))</f>
        <v>3</v>
      </c>
      <c r="D407" s="125" cm="1">
        <f t="array" ref="D407">SUMPRODUCT((tbl_DataDraftApril26[Phase]=D$1)*(ISNUMBER(tbl_DataDraftApril26[Start]))*(ISNUMBER(tbl_DataDraftApril26[End]))*($A407&gt;tbl_DataDraftApril26[Start])*($A407&lt;tbl_DataDraftApril26[End]))</f>
        <v>0</v>
      </c>
      <c r="E407" s="125" cm="1">
        <f t="array" ref="E407">SUMPRODUCT((tbl_DataDraftApril26[Phase]=E$1)*(ISNUMBER(tbl_DataDraftApril26[Start]))*(ISNUMBER(tbl_DataDraftApril26[End]))*($A407&gt;tbl_DataDraftApril26[Start])*($A407&lt;tbl_DataDraftApril26[End]))</f>
        <v>0</v>
      </c>
    </row>
    <row r="408" spans="1:5">
      <c r="A408" s="131">
        <v>46276</v>
      </c>
      <c r="B408" s="125" cm="1">
        <f t="array" ref="B408">SUMPRODUCT((tbl_DataDraftApril26[Phase]=B$1)*(ISNUMBER(tbl_DataDraftApril26[Start]))*(ISNUMBER(tbl_DataDraftApril26[End]))*($A408&gt;tbl_DataDraftApril26[Start])*($A408&lt;tbl_DataDraftApril26[End]))</f>
        <v>10</v>
      </c>
      <c r="C408" s="125" cm="1">
        <f t="array" ref="C408">SUMPRODUCT((tbl_DataDraftApril26[Phase]=C$1)*(ISNUMBER(tbl_DataDraftApril26[Start]))*(ISNUMBER(tbl_DataDraftApril26[End]))*($A408&gt;tbl_DataDraftApril26[Start])*($A408&lt;tbl_DataDraftApril26[End]))</f>
        <v>3</v>
      </c>
      <c r="D408" s="125" cm="1">
        <f t="array" ref="D408">SUMPRODUCT((tbl_DataDraftApril26[Phase]=D$1)*(ISNUMBER(tbl_DataDraftApril26[Start]))*(ISNUMBER(tbl_DataDraftApril26[End]))*($A408&gt;tbl_DataDraftApril26[Start])*($A408&lt;tbl_DataDraftApril26[End]))</f>
        <v>0</v>
      </c>
      <c r="E408" s="125" cm="1">
        <f t="array" ref="E408">SUMPRODUCT((tbl_DataDraftApril26[Phase]=E$1)*(ISNUMBER(tbl_DataDraftApril26[Start]))*(ISNUMBER(tbl_DataDraftApril26[End]))*($A408&gt;tbl_DataDraftApril26[Start])*($A408&lt;tbl_DataDraftApril26[End]))</f>
        <v>0</v>
      </c>
    </row>
    <row r="409" spans="1:5">
      <c r="A409" s="131">
        <v>46277</v>
      </c>
      <c r="B409" s="125" cm="1">
        <f t="array" ref="B409">SUMPRODUCT((tbl_DataDraftApril26[Phase]=B$1)*(ISNUMBER(tbl_DataDraftApril26[Start]))*(ISNUMBER(tbl_DataDraftApril26[End]))*($A409&gt;tbl_DataDraftApril26[Start])*($A409&lt;tbl_DataDraftApril26[End]))</f>
        <v>10</v>
      </c>
      <c r="C409" s="125" cm="1">
        <f t="array" ref="C409">SUMPRODUCT((tbl_DataDraftApril26[Phase]=C$1)*(ISNUMBER(tbl_DataDraftApril26[Start]))*(ISNUMBER(tbl_DataDraftApril26[End]))*($A409&gt;tbl_DataDraftApril26[Start])*($A409&lt;tbl_DataDraftApril26[End]))</f>
        <v>3</v>
      </c>
      <c r="D409" s="125" cm="1">
        <f t="array" ref="D409">SUMPRODUCT((tbl_DataDraftApril26[Phase]=D$1)*(ISNUMBER(tbl_DataDraftApril26[Start]))*(ISNUMBER(tbl_DataDraftApril26[End]))*($A409&gt;tbl_DataDraftApril26[Start])*($A409&lt;tbl_DataDraftApril26[End]))</f>
        <v>0</v>
      </c>
      <c r="E409" s="125" cm="1">
        <f t="array" ref="E409">SUMPRODUCT((tbl_DataDraftApril26[Phase]=E$1)*(ISNUMBER(tbl_DataDraftApril26[Start]))*(ISNUMBER(tbl_DataDraftApril26[End]))*($A409&gt;tbl_DataDraftApril26[Start])*($A409&lt;tbl_DataDraftApril26[End]))</f>
        <v>0</v>
      </c>
    </row>
    <row r="410" spans="1:5">
      <c r="A410" s="131">
        <v>46278</v>
      </c>
      <c r="B410" s="125" cm="1">
        <f t="array" ref="B410">SUMPRODUCT((tbl_DataDraftApril26[Phase]=B$1)*(ISNUMBER(tbl_DataDraftApril26[Start]))*(ISNUMBER(tbl_DataDraftApril26[End]))*($A410&gt;tbl_DataDraftApril26[Start])*($A410&lt;tbl_DataDraftApril26[End]))</f>
        <v>10</v>
      </c>
      <c r="C410" s="125" cm="1">
        <f t="array" ref="C410">SUMPRODUCT((tbl_DataDraftApril26[Phase]=C$1)*(ISNUMBER(tbl_DataDraftApril26[Start]))*(ISNUMBER(tbl_DataDraftApril26[End]))*($A410&gt;tbl_DataDraftApril26[Start])*($A410&lt;tbl_DataDraftApril26[End]))</f>
        <v>3</v>
      </c>
      <c r="D410" s="125" cm="1">
        <f t="array" ref="D410">SUMPRODUCT((tbl_DataDraftApril26[Phase]=D$1)*(ISNUMBER(tbl_DataDraftApril26[Start]))*(ISNUMBER(tbl_DataDraftApril26[End]))*($A410&gt;tbl_DataDraftApril26[Start])*($A410&lt;tbl_DataDraftApril26[End]))</f>
        <v>0</v>
      </c>
      <c r="E410" s="125" cm="1">
        <f t="array" ref="E410">SUMPRODUCT((tbl_DataDraftApril26[Phase]=E$1)*(ISNUMBER(tbl_DataDraftApril26[Start]))*(ISNUMBER(tbl_DataDraftApril26[End]))*($A410&gt;tbl_DataDraftApril26[Start])*($A410&lt;tbl_DataDraftApril26[End]))</f>
        <v>0</v>
      </c>
    </row>
    <row r="411" spans="1:5">
      <c r="A411" s="131">
        <v>46279</v>
      </c>
      <c r="B411" s="125" cm="1">
        <f t="array" ref="B411">SUMPRODUCT((tbl_DataDraftApril26[Phase]=B$1)*(ISNUMBER(tbl_DataDraftApril26[Start]))*(ISNUMBER(tbl_DataDraftApril26[End]))*($A411&gt;tbl_DataDraftApril26[Start])*($A411&lt;tbl_DataDraftApril26[End]))</f>
        <v>10</v>
      </c>
      <c r="C411" s="125" cm="1">
        <f t="array" ref="C411">SUMPRODUCT((tbl_DataDraftApril26[Phase]=C$1)*(ISNUMBER(tbl_DataDraftApril26[Start]))*(ISNUMBER(tbl_DataDraftApril26[End]))*($A411&gt;tbl_DataDraftApril26[Start])*($A411&lt;tbl_DataDraftApril26[End]))</f>
        <v>3</v>
      </c>
      <c r="D411" s="125" cm="1">
        <f t="array" ref="D411">SUMPRODUCT((tbl_DataDraftApril26[Phase]=D$1)*(ISNUMBER(tbl_DataDraftApril26[Start]))*(ISNUMBER(tbl_DataDraftApril26[End]))*($A411&gt;tbl_DataDraftApril26[Start])*($A411&lt;tbl_DataDraftApril26[End]))</f>
        <v>0</v>
      </c>
      <c r="E411" s="125" cm="1">
        <f t="array" ref="E411">SUMPRODUCT((tbl_DataDraftApril26[Phase]=E$1)*(ISNUMBER(tbl_DataDraftApril26[Start]))*(ISNUMBER(tbl_DataDraftApril26[End]))*($A411&gt;tbl_DataDraftApril26[Start])*($A411&lt;tbl_DataDraftApril26[End]))</f>
        <v>0</v>
      </c>
    </row>
    <row r="412" spans="1:5">
      <c r="A412" s="131">
        <v>46280</v>
      </c>
      <c r="B412" s="125" cm="1">
        <f t="array" ref="B412">SUMPRODUCT((tbl_DataDraftApril26[Phase]=B$1)*(ISNUMBER(tbl_DataDraftApril26[Start]))*(ISNUMBER(tbl_DataDraftApril26[End]))*($A412&gt;tbl_DataDraftApril26[Start])*($A412&lt;tbl_DataDraftApril26[End]))</f>
        <v>10</v>
      </c>
      <c r="C412" s="125" cm="1">
        <f t="array" ref="C412">SUMPRODUCT((tbl_DataDraftApril26[Phase]=C$1)*(ISNUMBER(tbl_DataDraftApril26[Start]))*(ISNUMBER(tbl_DataDraftApril26[End]))*($A412&gt;tbl_DataDraftApril26[Start])*($A412&lt;tbl_DataDraftApril26[End]))</f>
        <v>3</v>
      </c>
      <c r="D412" s="125" cm="1">
        <f t="array" ref="D412">SUMPRODUCT((tbl_DataDraftApril26[Phase]=D$1)*(ISNUMBER(tbl_DataDraftApril26[Start]))*(ISNUMBER(tbl_DataDraftApril26[End]))*($A412&gt;tbl_DataDraftApril26[Start])*($A412&lt;tbl_DataDraftApril26[End]))</f>
        <v>0</v>
      </c>
      <c r="E412" s="125" cm="1">
        <f t="array" ref="E412">SUMPRODUCT((tbl_DataDraftApril26[Phase]=E$1)*(ISNUMBER(tbl_DataDraftApril26[Start]))*(ISNUMBER(tbl_DataDraftApril26[End]))*($A412&gt;tbl_DataDraftApril26[Start])*($A412&lt;tbl_DataDraftApril26[End]))</f>
        <v>0</v>
      </c>
    </row>
    <row r="413" spans="1:5">
      <c r="A413" s="131">
        <v>46281</v>
      </c>
      <c r="B413" s="125" cm="1">
        <f t="array" ref="B413">SUMPRODUCT((tbl_DataDraftApril26[Phase]=B$1)*(ISNUMBER(tbl_DataDraftApril26[Start]))*(ISNUMBER(tbl_DataDraftApril26[End]))*($A413&gt;tbl_DataDraftApril26[Start])*($A413&lt;tbl_DataDraftApril26[End]))</f>
        <v>10</v>
      </c>
      <c r="C413" s="125" cm="1">
        <f t="array" ref="C413">SUMPRODUCT((tbl_DataDraftApril26[Phase]=C$1)*(ISNUMBER(tbl_DataDraftApril26[Start]))*(ISNUMBER(tbl_DataDraftApril26[End]))*($A413&gt;tbl_DataDraftApril26[Start])*($A413&lt;tbl_DataDraftApril26[End]))</f>
        <v>3</v>
      </c>
      <c r="D413" s="125" cm="1">
        <f t="array" ref="D413">SUMPRODUCT((tbl_DataDraftApril26[Phase]=D$1)*(ISNUMBER(tbl_DataDraftApril26[Start]))*(ISNUMBER(tbl_DataDraftApril26[End]))*($A413&gt;tbl_DataDraftApril26[Start])*($A413&lt;tbl_DataDraftApril26[End]))</f>
        <v>0</v>
      </c>
      <c r="E413" s="125" cm="1">
        <f t="array" ref="E413">SUMPRODUCT((tbl_DataDraftApril26[Phase]=E$1)*(ISNUMBER(tbl_DataDraftApril26[Start]))*(ISNUMBER(tbl_DataDraftApril26[End]))*($A413&gt;tbl_DataDraftApril26[Start])*($A413&lt;tbl_DataDraftApril26[End]))</f>
        <v>0</v>
      </c>
    </row>
    <row r="414" spans="1:5">
      <c r="A414" s="131">
        <v>46282</v>
      </c>
      <c r="B414" s="125" cm="1">
        <f t="array" ref="B414">SUMPRODUCT((tbl_DataDraftApril26[Phase]=B$1)*(ISNUMBER(tbl_DataDraftApril26[Start]))*(ISNUMBER(tbl_DataDraftApril26[End]))*($A414&gt;tbl_DataDraftApril26[Start])*($A414&lt;tbl_DataDraftApril26[End]))</f>
        <v>10</v>
      </c>
      <c r="C414" s="125" cm="1">
        <f t="array" ref="C414">SUMPRODUCT((tbl_DataDraftApril26[Phase]=C$1)*(ISNUMBER(tbl_DataDraftApril26[Start]))*(ISNUMBER(tbl_DataDraftApril26[End]))*($A414&gt;tbl_DataDraftApril26[Start])*($A414&lt;tbl_DataDraftApril26[End]))</f>
        <v>3</v>
      </c>
      <c r="D414" s="125" cm="1">
        <f t="array" ref="D414">SUMPRODUCT((tbl_DataDraftApril26[Phase]=D$1)*(ISNUMBER(tbl_DataDraftApril26[Start]))*(ISNUMBER(tbl_DataDraftApril26[End]))*($A414&gt;tbl_DataDraftApril26[Start])*($A414&lt;tbl_DataDraftApril26[End]))</f>
        <v>0</v>
      </c>
      <c r="E414" s="125" cm="1">
        <f t="array" ref="E414">SUMPRODUCT((tbl_DataDraftApril26[Phase]=E$1)*(ISNUMBER(tbl_DataDraftApril26[Start]))*(ISNUMBER(tbl_DataDraftApril26[End]))*($A414&gt;tbl_DataDraftApril26[Start])*($A414&lt;tbl_DataDraftApril26[End]))</f>
        <v>0</v>
      </c>
    </row>
    <row r="415" spans="1:5">
      <c r="A415" s="131">
        <v>46283</v>
      </c>
      <c r="B415" s="125" cm="1">
        <f t="array" ref="B415">SUMPRODUCT((tbl_DataDraftApril26[Phase]=B$1)*(ISNUMBER(tbl_DataDraftApril26[Start]))*(ISNUMBER(tbl_DataDraftApril26[End]))*($A415&gt;tbl_DataDraftApril26[Start])*($A415&lt;tbl_DataDraftApril26[End]))</f>
        <v>10</v>
      </c>
      <c r="C415" s="125" cm="1">
        <f t="array" ref="C415">SUMPRODUCT((tbl_DataDraftApril26[Phase]=C$1)*(ISNUMBER(tbl_DataDraftApril26[Start]))*(ISNUMBER(tbl_DataDraftApril26[End]))*($A415&gt;tbl_DataDraftApril26[Start])*($A415&lt;tbl_DataDraftApril26[End]))</f>
        <v>3</v>
      </c>
      <c r="D415" s="125" cm="1">
        <f t="array" ref="D415">SUMPRODUCT((tbl_DataDraftApril26[Phase]=D$1)*(ISNUMBER(tbl_DataDraftApril26[Start]))*(ISNUMBER(tbl_DataDraftApril26[End]))*($A415&gt;tbl_DataDraftApril26[Start])*($A415&lt;tbl_DataDraftApril26[End]))</f>
        <v>0</v>
      </c>
      <c r="E415" s="125" cm="1">
        <f t="array" ref="E415">SUMPRODUCT((tbl_DataDraftApril26[Phase]=E$1)*(ISNUMBER(tbl_DataDraftApril26[Start]))*(ISNUMBER(tbl_DataDraftApril26[End]))*($A415&gt;tbl_DataDraftApril26[Start])*($A415&lt;tbl_DataDraftApril26[End]))</f>
        <v>0</v>
      </c>
    </row>
    <row r="416" spans="1:5">
      <c r="A416" s="131">
        <v>46284</v>
      </c>
      <c r="B416" s="125" cm="1">
        <f t="array" ref="B416">SUMPRODUCT((tbl_DataDraftApril26[Phase]=B$1)*(ISNUMBER(tbl_DataDraftApril26[Start]))*(ISNUMBER(tbl_DataDraftApril26[End]))*($A416&gt;tbl_DataDraftApril26[Start])*($A416&lt;tbl_DataDraftApril26[End]))</f>
        <v>10</v>
      </c>
      <c r="C416" s="125" cm="1">
        <f t="array" ref="C416">SUMPRODUCT((tbl_DataDraftApril26[Phase]=C$1)*(ISNUMBER(tbl_DataDraftApril26[Start]))*(ISNUMBER(tbl_DataDraftApril26[End]))*($A416&gt;tbl_DataDraftApril26[Start])*($A416&lt;tbl_DataDraftApril26[End]))</f>
        <v>3</v>
      </c>
      <c r="D416" s="125" cm="1">
        <f t="array" ref="D416">SUMPRODUCT((tbl_DataDraftApril26[Phase]=D$1)*(ISNUMBER(tbl_DataDraftApril26[Start]))*(ISNUMBER(tbl_DataDraftApril26[End]))*($A416&gt;tbl_DataDraftApril26[Start])*($A416&lt;tbl_DataDraftApril26[End]))</f>
        <v>0</v>
      </c>
      <c r="E416" s="125" cm="1">
        <f t="array" ref="E416">SUMPRODUCT((tbl_DataDraftApril26[Phase]=E$1)*(ISNUMBER(tbl_DataDraftApril26[Start]))*(ISNUMBER(tbl_DataDraftApril26[End]))*($A416&gt;tbl_DataDraftApril26[Start])*($A416&lt;tbl_DataDraftApril26[End]))</f>
        <v>0</v>
      </c>
    </row>
    <row r="417" spans="1:5">
      <c r="A417" s="131">
        <v>46285</v>
      </c>
      <c r="B417" s="125" cm="1">
        <f t="array" ref="B417">SUMPRODUCT((tbl_DataDraftApril26[Phase]=B$1)*(ISNUMBER(tbl_DataDraftApril26[Start]))*(ISNUMBER(tbl_DataDraftApril26[End]))*($A417&gt;tbl_DataDraftApril26[Start])*($A417&lt;tbl_DataDraftApril26[End]))</f>
        <v>10</v>
      </c>
      <c r="C417" s="125" cm="1">
        <f t="array" ref="C417">SUMPRODUCT((tbl_DataDraftApril26[Phase]=C$1)*(ISNUMBER(tbl_DataDraftApril26[Start]))*(ISNUMBER(tbl_DataDraftApril26[End]))*($A417&gt;tbl_DataDraftApril26[Start])*($A417&lt;tbl_DataDraftApril26[End]))</f>
        <v>3</v>
      </c>
      <c r="D417" s="125" cm="1">
        <f t="array" ref="D417">SUMPRODUCT((tbl_DataDraftApril26[Phase]=D$1)*(ISNUMBER(tbl_DataDraftApril26[Start]))*(ISNUMBER(tbl_DataDraftApril26[End]))*($A417&gt;tbl_DataDraftApril26[Start])*($A417&lt;tbl_DataDraftApril26[End]))</f>
        <v>0</v>
      </c>
      <c r="E417" s="125" cm="1">
        <f t="array" ref="E417">SUMPRODUCT((tbl_DataDraftApril26[Phase]=E$1)*(ISNUMBER(tbl_DataDraftApril26[Start]))*(ISNUMBER(tbl_DataDraftApril26[End]))*($A417&gt;tbl_DataDraftApril26[Start])*($A417&lt;tbl_DataDraftApril26[End]))</f>
        <v>0</v>
      </c>
    </row>
    <row r="418" spans="1:5">
      <c r="A418" s="131">
        <v>46286</v>
      </c>
      <c r="B418" s="125" cm="1">
        <f t="array" ref="B418">SUMPRODUCT((tbl_DataDraftApril26[Phase]=B$1)*(ISNUMBER(tbl_DataDraftApril26[Start]))*(ISNUMBER(tbl_DataDraftApril26[End]))*($A418&gt;tbl_DataDraftApril26[Start])*($A418&lt;tbl_DataDraftApril26[End]))</f>
        <v>10</v>
      </c>
      <c r="C418" s="125" cm="1">
        <f t="array" ref="C418">SUMPRODUCT((tbl_DataDraftApril26[Phase]=C$1)*(ISNUMBER(tbl_DataDraftApril26[Start]))*(ISNUMBER(tbl_DataDraftApril26[End]))*($A418&gt;tbl_DataDraftApril26[Start])*($A418&lt;tbl_DataDraftApril26[End]))</f>
        <v>3</v>
      </c>
      <c r="D418" s="125" cm="1">
        <f t="array" ref="D418">SUMPRODUCT((tbl_DataDraftApril26[Phase]=D$1)*(ISNUMBER(tbl_DataDraftApril26[Start]))*(ISNUMBER(tbl_DataDraftApril26[End]))*($A418&gt;tbl_DataDraftApril26[Start])*($A418&lt;tbl_DataDraftApril26[End]))</f>
        <v>0</v>
      </c>
      <c r="E418" s="125" cm="1">
        <f t="array" ref="E418">SUMPRODUCT((tbl_DataDraftApril26[Phase]=E$1)*(ISNUMBER(tbl_DataDraftApril26[Start]))*(ISNUMBER(tbl_DataDraftApril26[End]))*($A418&gt;tbl_DataDraftApril26[Start])*($A418&lt;tbl_DataDraftApril26[End]))</f>
        <v>0</v>
      </c>
    </row>
    <row r="419" spans="1:5">
      <c r="A419" s="131">
        <v>46287</v>
      </c>
      <c r="B419" s="125" cm="1">
        <f t="array" ref="B419">SUMPRODUCT((tbl_DataDraftApril26[Phase]=B$1)*(ISNUMBER(tbl_DataDraftApril26[Start]))*(ISNUMBER(tbl_DataDraftApril26[End]))*($A419&gt;tbl_DataDraftApril26[Start])*($A419&lt;tbl_DataDraftApril26[End]))</f>
        <v>10</v>
      </c>
      <c r="C419" s="125" cm="1">
        <f t="array" ref="C419">SUMPRODUCT((tbl_DataDraftApril26[Phase]=C$1)*(ISNUMBER(tbl_DataDraftApril26[Start]))*(ISNUMBER(tbl_DataDraftApril26[End]))*($A419&gt;tbl_DataDraftApril26[Start])*($A419&lt;tbl_DataDraftApril26[End]))</f>
        <v>3</v>
      </c>
      <c r="D419" s="125" cm="1">
        <f t="array" ref="D419">SUMPRODUCT((tbl_DataDraftApril26[Phase]=D$1)*(ISNUMBER(tbl_DataDraftApril26[Start]))*(ISNUMBER(tbl_DataDraftApril26[End]))*($A419&gt;tbl_DataDraftApril26[Start])*($A419&lt;tbl_DataDraftApril26[End]))</f>
        <v>0</v>
      </c>
      <c r="E419" s="125" cm="1">
        <f t="array" ref="E419">SUMPRODUCT((tbl_DataDraftApril26[Phase]=E$1)*(ISNUMBER(tbl_DataDraftApril26[Start]))*(ISNUMBER(tbl_DataDraftApril26[End]))*($A419&gt;tbl_DataDraftApril26[Start])*($A419&lt;tbl_DataDraftApril26[End]))</f>
        <v>0</v>
      </c>
    </row>
    <row r="420" spans="1:5">
      <c r="A420" s="131">
        <v>46288</v>
      </c>
      <c r="B420" s="125" cm="1">
        <f t="array" ref="B420">SUMPRODUCT((tbl_DataDraftApril26[Phase]=B$1)*(ISNUMBER(tbl_DataDraftApril26[Start]))*(ISNUMBER(tbl_DataDraftApril26[End]))*($A420&gt;tbl_DataDraftApril26[Start])*($A420&lt;tbl_DataDraftApril26[End]))</f>
        <v>10</v>
      </c>
      <c r="C420" s="125" cm="1">
        <f t="array" ref="C420">SUMPRODUCT((tbl_DataDraftApril26[Phase]=C$1)*(ISNUMBER(tbl_DataDraftApril26[Start]))*(ISNUMBER(tbl_DataDraftApril26[End]))*($A420&gt;tbl_DataDraftApril26[Start])*($A420&lt;tbl_DataDraftApril26[End]))</f>
        <v>3</v>
      </c>
      <c r="D420" s="125" cm="1">
        <f t="array" ref="D420">SUMPRODUCT((tbl_DataDraftApril26[Phase]=D$1)*(ISNUMBER(tbl_DataDraftApril26[Start]))*(ISNUMBER(tbl_DataDraftApril26[End]))*($A420&gt;tbl_DataDraftApril26[Start])*($A420&lt;tbl_DataDraftApril26[End]))</f>
        <v>0</v>
      </c>
      <c r="E420" s="125" cm="1">
        <f t="array" ref="E420">SUMPRODUCT((tbl_DataDraftApril26[Phase]=E$1)*(ISNUMBER(tbl_DataDraftApril26[Start]))*(ISNUMBER(tbl_DataDraftApril26[End]))*($A420&gt;tbl_DataDraftApril26[Start])*($A420&lt;tbl_DataDraftApril26[End]))</f>
        <v>0</v>
      </c>
    </row>
    <row r="421" spans="1:5">
      <c r="A421" s="131">
        <v>46289</v>
      </c>
      <c r="B421" s="125" cm="1">
        <f t="array" ref="B421">SUMPRODUCT((tbl_DataDraftApril26[Phase]=B$1)*(ISNUMBER(tbl_DataDraftApril26[Start]))*(ISNUMBER(tbl_DataDraftApril26[End]))*($A421&gt;tbl_DataDraftApril26[Start])*($A421&lt;tbl_DataDraftApril26[End]))</f>
        <v>10</v>
      </c>
      <c r="C421" s="125" cm="1">
        <f t="array" ref="C421">SUMPRODUCT((tbl_DataDraftApril26[Phase]=C$1)*(ISNUMBER(tbl_DataDraftApril26[Start]))*(ISNUMBER(tbl_DataDraftApril26[End]))*($A421&gt;tbl_DataDraftApril26[Start])*($A421&lt;tbl_DataDraftApril26[End]))</f>
        <v>3</v>
      </c>
      <c r="D421" s="125" cm="1">
        <f t="array" ref="D421">SUMPRODUCT((tbl_DataDraftApril26[Phase]=D$1)*(ISNUMBER(tbl_DataDraftApril26[Start]))*(ISNUMBER(tbl_DataDraftApril26[End]))*($A421&gt;tbl_DataDraftApril26[Start])*($A421&lt;tbl_DataDraftApril26[End]))</f>
        <v>0</v>
      </c>
      <c r="E421" s="125" cm="1">
        <f t="array" ref="E421">SUMPRODUCT((tbl_DataDraftApril26[Phase]=E$1)*(ISNUMBER(tbl_DataDraftApril26[Start]))*(ISNUMBER(tbl_DataDraftApril26[End]))*($A421&gt;tbl_DataDraftApril26[Start])*($A421&lt;tbl_DataDraftApril26[End]))</f>
        <v>0</v>
      </c>
    </row>
    <row r="422" spans="1:5">
      <c r="A422" s="131">
        <v>46290</v>
      </c>
      <c r="B422" s="125" cm="1">
        <f t="array" ref="B422">SUMPRODUCT((tbl_DataDraftApril26[Phase]=B$1)*(ISNUMBER(tbl_DataDraftApril26[Start]))*(ISNUMBER(tbl_DataDraftApril26[End]))*($A422&gt;tbl_DataDraftApril26[Start])*($A422&lt;tbl_DataDraftApril26[End]))</f>
        <v>10</v>
      </c>
      <c r="C422" s="125" cm="1">
        <f t="array" ref="C422">SUMPRODUCT((tbl_DataDraftApril26[Phase]=C$1)*(ISNUMBER(tbl_DataDraftApril26[Start]))*(ISNUMBER(tbl_DataDraftApril26[End]))*($A422&gt;tbl_DataDraftApril26[Start])*($A422&lt;tbl_DataDraftApril26[End]))</f>
        <v>3</v>
      </c>
      <c r="D422" s="125" cm="1">
        <f t="array" ref="D422">SUMPRODUCT((tbl_DataDraftApril26[Phase]=D$1)*(ISNUMBER(tbl_DataDraftApril26[Start]))*(ISNUMBER(tbl_DataDraftApril26[End]))*($A422&gt;tbl_DataDraftApril26[Start])*($A422&lt;tbl_DataDraftApril26[End]))</f>
        <v>0</v>
      </c>
      <c r="E422" s="125" cm="1">
        <f t="array" ref="E422">SUMPRODUCT((tbl_DataDraftApril26[Phase]=E$1)*(ISNUMBER(tbl_DataDraftApril26[Start]))*(ISNUMBER(tbl_DataDraftApril26[End]))*($A422&gt;tbl_DataDraftApril26[Start])*($A422&lt;tbl_DataDraftApril26[End]))</f>
        <v>0</v>
      </c>
    </row>
    <row r="423" spans="1:5">
      <c r="A423" s="131">
        <v>46291</v>
      </c>
      <c r="B423" s="125" cm="1">
        <f t="array" ref="B423">SUMPRODUCT((tbl_DataDraftApril26[Phase]=B$1)*(ISNUMBER(tbl_DataDraftApril26[Start]))*(ISNUMBER(tbl_DataDraftApril26[End]))*($A423&gt;tbl_DataDraftApril26[Start])*($A423&lt;tbl_DataDraftApril26[End]))</f>
        <v>10</v>
      </c>
      <c r="C423" s="125" cm="1">
        <f t="array" ref="C423">SUMPRODUCT((tbl_DataDraftApril26[Phase]=C$1)*(ISNUMBER(tbl_DataDraftApril26[Start]))*(ISNUMBER(tbl_DataDraftApril26[End]))*($A423&gt;tbl_DataDraftApril26[Start])*($A423&lt;tbl_DataDraftApril26[End]))</f>
        <v>3</v>
      </c>
      <c r="D423" s="125" cm="1">
        <f t="array" ref="D423">SUMPRODUCT((tbl_DataDraftApril26[Phase]=D$1)*(ISNUMBER(tbl_DataDraftApril26[Start]))*(ISNUMBER(tbl_DataDraftApril26[End]))*($A423&gt;tbl_DataDraftApril26[Start])*($A423&lt;tbl_DataDraftApril26[End]))</f>
        <v>0</v>
      </c>
      <c r="E423" s="125" cm="1">
        <f t="array" ref="E423">SUMPRODUCT((tbl_DataDraftApril26[Phase]=E$1)*(ISNUMBER(tbl_DataDraftApril26[Start]))*(ISNUMBER(tbl_DataDraftApril26[End]))*($A423&gt;tbl_DataDraftApril26[Start])*($A423&lt;tbl_DataDraftApril26[End]))</f>
        <v>0</v>
      </c>
    </row>
    <row r="424" spans="1:5">
      <c r="A424" s="131">
        <v>46292</v>
      </c>
      <c r="B424" s="125" cm="1">
        <f t="array" ref="B424">SUMPRODUCT((tbl_DataDraftApril26[Phase]=B$1)*(ISNUMBER(tbl_DataDraftApril26[Start]))*(ISNUMBER(tbl_DataDraftApril26[End]))*($A424&gt;tbl_DataDraftApril26[Start])*($A424&lt;tbl_DataDraftApril26[End]))</f>
        <v>10</v>
      </c>
      <c r="C424" s="125" cm="1">
        <f t="array" ref="C424">SUMPRODUCT((tbl_DataDraftApril26[Phase]=C$1)*(ISNUMBER(tbl_DataDraftApril26[Start]))*(ISNUMBER(tbl_DataDraftApril26[End]))*($A424&gt;tbl_DataDraftApril26[Start])*($A424&lt;tbl_DataDraftApril26[End]))</f>
        <v>3</v>
      </c>
      <c r="D424" s="125" cm="1">
        <f t="array" ref="D424">SUMPRODUCT((tbl_DataDraftApril26[Phase]=D$1)*(ISNUMBER(tbl_DataDraftApril26[Start]))*(ISNUMBER(tbl_DataDraftApril26[End]))*($A424&gt;tbl_DataDraftApril26[Start])*($A424&lt;tbl_DataDraftApril26[End]))</f>
        <v>0</v>
      </c>
      <c r="E424" s="125" cm="1">
        <f t="array" ref="E424">SUMPRODUCT((tbl_DataDraftApril26[Phase]=E$1)*(ISNUMBER(tbl_DataDraftApril26[Start]))*(ISNUMBER(tbl_DataDraftApril26[End]))*($A424&gt;tbl_DataDraftApril26[Start])*($A424&lt;tbl_DataDraftApril26[End]))</f>
        <v>0</v>
      </c>
    </row>
    <row r="425" spans="1:5">
      <c r="A425" s="131">
        <v>46293</v>
      </c>
      <c r="B425" s="125" cm="1">
        <f t="array" ref="B425">SUMPRODUCT((tbl_DataDraftApril26[Phase]=B$1)*(ISNUMBER(tbl_DataDraftApril26[Start]))*(ISNUMBER(tbl_DataDraftApril26[End]))*($A425&gt;tbl_DataDraftApril26[Start])*($A425&lt;tbl_DataDraftApril26[End]))</f>
        <v>10</v>
      </c>
      <c r="C425" s="125" cm="1">
        <f t="array" ref="C425">SUMPRODUCT((tbl_DataDraftApril26[Phase]=C$1)*(ISNUMBER(tbl_DataDraftApril26[Start]))*(ISNUMBER(tbl_DataDraftApril26[End]))*($A425&gt;tbl_DataDraftApril26[Start])*($A425&lt;tbl_DataDraftApril26[End]))</f>
        <v>3</v>
      </c>
      <c r="D425" s="125" cm="1">
        <f t="array" ref="D425">SUMPRODUCT((tbl_DataDraftApril26[Phase]=D$1)*(ISNUMBER(tbl_DataDraftApril26[Start]))*(ISNUMBER(tbl_DataDraftApril26[End]))*($A425&gt;tbl_DataDraftApril26[Start])*($A425&lt;tbl_DataDraftApril26[End]))</f>
        <v>0</v>
      </c>
      <c r="E425" s="125" cm="1">
        <f t="array" ref="E425">SUMPRODUCT((tbl_DataDraftApril26[Phase]=E$1)*(ISNUMBER(tbl_DataDraftApril26[Start]))*(ISNUMBER(tbl_DataDraftApril26[End]))*($A425&gt;tbl_DataDraftApril26[Start])*($A425&lt;tbl_DataDraftApril26[End]))</f>
        <v>0</v>
      </c>
    </row>
    <row r="426" spans="1:5">
      <c r="A426" s="131">
        <v>46294</v>
      </c>
      <c r="B426" s="125" cm="1">
        <f t="array" ref="B426">SUMPRODUCT((tbl_DataDraftApril26[Phase]=B$1)*(ISNUMBER(tbl_DataDraftApril26[Start]))*(ISNUMBER(tbl_DataDraftApril26[End]))*($A426&gt;tbl_DataDraftApril26[Start])*($A426&lt;tbl_DataDraftApril26[End]))</f>
        <v>10</v>
      </c>
      <c r="C426" s="125" cm="1">
        <f t="array" ref="C426">SUMPRODUCT((tbl_DataDraftApril26[Phase]=C$1)*(ISNUMBER(tbl_DataDraftApril26[Start]))*(ISNUMBER(tbl_DataDraftApril26[End]))*($A426&gt;tbl_DataDraftApril26[Start])*($A426&lt;tbl_DataDraftApril26[End]))</f>
        <v>3</v>
      </c>
      <c r="D426" s="125" cm="1">
        <f t="array" ref="D426">SUMPRODUCT((tbl_DataDraftApril26[Phase]=D$1)*(ISNUMBER(tbl_DataDraftApril26[Start]))*(ISNUMBER(tbl_DataDraftApril26[End]))*($A426&gt;tbl_DataDraftApril26[Start])*($A426&lt;tbl_DataDraftApril26[End]))</f>
        <v>0</v>
      </c>
      <c r="E426" s="125" cm="1">
        <f t="array" ref="E426">SUMPRODUCT((tbl_DataDraftApril26[Phase]=E$1)*(ISNUMBER(tbl_DataDraftApril26[Start]))*(ISNUMBER(tbl_DataDraftApril26[End]))*($A426&gt;tbl_DataDraftApril26[Start])*($A426&lt;tbl_DataDraftApril26[End]))</f>
        <v>0</v>
      </c>
    </row>
    <row r="427" spans="1:5">
      <c r="A427" s="131">
        <v>46295</v>
      </c>
      <c r="B427" s="125" cm="1">
        <f t="array" ref="B427">SUMPRODUCT((tbl_DataDraftApril26[Phase]=B$1)*(ISNUMBER(tbl_DataDraftApril26[Start]))*(ISNUMBER(tbl_DataDraftApril26[End]))*($A427&gt;tbl_DataDraftApril26[Start])*($A427&lt;tbl_DataDraftApril26[End]))</f>
        <v>3</v>
      </c>
      <c r="C427" s="125" cm="1">
        <f t="array" ref="C427">SUMPRODUCT((tbl_DataDraftApril26[Phase]=C$1)*(ISNUMBER(tbl_DataDraftApril26[Start]))*(ISNUMBER(tbl_DataDraftApril26[End]))*($A427&gt;tbl_DataDraftApril26[Start])*($A427&lt;tbl_DataDraftApril26[End]))</f>
        <v>3</v>
      </c>
      <c r="D427" s="125" cm="1">
        <f t="array" ref="D427">SUMPRODUCT((tbl_DataDraftApril26[Phase]=D$1)*(ISNUMBER(tbl_DataDraftApril26[Start]))*(ISNUMBER(tbl_DataDraftApril26[End]))*($A427&gt;tbl_DataDraftApril26[Start])*($A427&lt;tbl_DataDraftApril26[End]))</f>
        <v>0</v>
      </c>
      <c r="E427" s="125" cm="1">
        <f t="array" ref="E427">SUMPRODUCT((tbl_DataDraftApril26[Phase]=E$1)*(ISNUMBER(tbl_DataDraftApril26[Start]))*(ISNUMBER(tbl_DataDraftApril26[End]))*($A427&gt;tbl_DataDraftApril26[Start])*($A427&lt;tbl_DataDraftApril26[End]))</f>
        <v>0</v>
      </c>
    </row>
    <row r="428" spans="1:5">
      <c r="A428" s="131">
        <v>46296</v>
      </c>
      <c r="B428" s="125" cm="1">
        <f t="array" ref="B428">SUMPRODUCT((tbl_DataDraftApril26[Phase]=B$1)*(ISNUMBER(tbl_DataDraftApril26[Start]))*(ISNUMBER(tbl_DataDraftApril26[End]))*($A428&gt;tbl_DataDraftApril26[Start])*($A428&lt;tbl_DataDraftApril26[End]))</f>
        <v>3</v>
      </c>
      <c r="C428" s="125" cm="1">
        <f t="array" ref="C428">SUMPRODUCT((tbl_DataDraftApril26[Phase]=C$1)*(ISNUMBER(tbl_DataDraftApril26[Start]))*(ISNUMBER(tbl_DataDraftApril26[End]))*($A428&gt;tbl_DataDraftApril26[Start])*($A428&lt;tbl_DataDraftApril26[End]))</f>
        <v>3</v>
      </c>
      <c r="D428" s="125" cm="1">
        <f t="array" ref="D428">SUMPRODUCT((tbl_DataDraftApril26[Phase]=D$1)*(ISNUMBER(tbl_DataDraftApril26[Start]))*(ISNUMBER(tbl_DataDraftApril26[End]))*($A428&gt;tbl_DataDraftApril26[Start])*($A428&lt;tbl_DataDraftApril26[End]))</f>
        <v>0</v>
      </c>
      <c r="E428" s="125" cm="1">
        <f t="array" ref="E428">SUMPRODUCT((tbl_DataDraftApril26[Phase]=E$1)*(ISNUMBER(tbl_DataDraftApril26[Start]))*(ISNUMBER(tbl_DataDraftApril26[End]))*($A428&gt;tbl_DataDraftApril26[Start])*($A428&lt;tbl_DataDraftApril26[End]))</f>
        <v>0</v>
      </c>
    </row>
    <row r="429" spans="1:5">
      <c r="A429" s="131">
        <v>46297</v>
      </c>
      <c r="B429" s="125" cm="1">
        <f t="array" ref="B429">SUMPRODUCT((tbl_DataDraftApril26[Phase]=B$1)*(ISNUMBER(tbl_DataDraftApril26[Start]))*(ISNUMBER(tbl_DataDraftApril26[End]))*($A429&gt;tbl_DataDraftApril26[Start])*($A429&lt;tbl_DataDraftApril26[End]))</f>
        <v>3</v>
      </c>
      <c r="C429" s="125" cm="1">
        <f t="array" ref="C429">SUMPRODUCT((tbl_DataDraftApril26[Phase]=C$1)*(ISNUMBER(tbl_DataDraftApril26[Start]))*(ISNUMBER(tbl_DataDraftApril26[End]))*($A429&gt;tbl_DataDraftApril26[Start])*($A429&lt;tbl_DataDraftApril26[End]))</f>
        <v>3</v>
      </c>
      <c r="D429" s="125" cm="1">
        <f t="array" ref="D429">SUMPRODUCT((tbl_DataDraftApril26[Phase]=D$1)*(ISNUMBER(tbl_DataDraftApril26[Start]))*(ISNUMBER(tbl_DataDraftApril26[End]))*($A429&gt;tbl_DataDraftApril26[Start])*($A429&lt;tbl_DataDraftApril26[End]))</f>
        <v>0</v>
      </c>
      <c r="E429" s="125" cm="1">
        <f t="array" ref="E429">SUMPRODUCT((tbl_DataDraftApril26[Phase]=E$1)*(ISNUMBER(tbl_DataDraftApril26[Start]))*(ISNUMBER(tbl_DataDraftApril26[End]))*($A429&gt;tbl_DataDraftApril26[Start])*($A429&lt;tbl_DataDraftApril26[End]))</f>
        <v>0</v>
      </c>
    </row>
    <row r="430" spans="1:5">
      <c r="A430" s="131">
        <v>46298</v>
      </c>
      <c r="B430" s="125" cm="1">
        <f t="array" ref="B430">SUMPRODUCT((tbl_DataDraftApril26[Phase]=B$1)*(ISNUMBER(tbl_DataDraftApril26[Start]))*(ISNUMBER(tbl_DataDraftApril26[End]))*($A430&gt;tbl_DataDraftApril26[Start])*($A430&lt;tbl_DataDraftApril26[End]))</f>
        <v>3</v>
      </c>
      <c r="C430" s="125" cm="1">
        <f t="array" ref="C430">SUMPRODUCT((tbl_DataDraftApril26[Phase]=C$1)*(ISNUMBER(tbl_DataDraftApril26[Start]))*(ISNUMBER(tbl_DataDraftApril26[End]))*($A430&gt;tbl_DataDraftApril26[Start])*($A430&lt;tbl_DataDraftApril26[End]))</f>
        <v>3</v>
      </c>
      <c r="D430" s="125" cm="1">
        <f t="array" ref="D430">SUMPRODUCT((tbl_DataDraftApril26[Phase]=D$1)*(ISNUMBER(tbl_DataDraftApril26[Start]))*(ISNUMBER(tbl_DataDraftApril26[End]))*($A430&gt;tbl_DataDraftApril26[Start])*($A430&lt;tbl_DataDraftApril26[End]))</f>
        <v>0</v>
      </c>
      <c r="E430" s="125" cm="1">
        <f t="array" ref="E430">SUMPRODUCT((tbl_DataDraftApril26[Phase]=E$1)*(ISNUMBER(tbl_DataDraftApril26[Start]))*(ISNUMBER(tbl_DataDraftApril26[End]))*($A430&gt;tbl_DataDraftApril26[Start])*($A430&lt;tbl_DataDraftApril26[End]))</f>
        <v>0</v>
      </c>
    </row>
    <row r="431" spans="1:5">
      <c r="A431" s="131">
        <v>46299</v>
      </c>
      <c r="B431" s="125" cm="1">
        <f t="array" ref="B431">SUMPRODUCT((tbl_DataDraftApril26[Phase]=B$1)*(ISNUMBER(tbl_DataDraftApril26[Start]))*(ISNUMBER(tbl_DataDraftApril26[End]))*($A431&gt;tbl_DataDraftApril26[Start])*($A431&lt;tbl_DataDraftApril26[End]))</f>
        <v>3</v>
      </c>
      <c r="C431" s="125" cm="1">
        <f t="array" ref="C431">SUMPRODUCT((tbl_DataDraftApril26[Phase]=C$1)*(ISNUMBER(tbl_DataDraftApril26[Start]))*(ISNUMBER(tbl_DataDraftApril26[End]))*($A431&gt;tbl_DataDraftApril26[Start])*($A431&lt;tbl_DataDraftApril26[End]))</f>
        <v>3</v>
      </c>
      <c r="D431" s="125" cm="1">
        <f t="array" ref="D431">SUMPRODUCT((tbl_DataDraftApril26[Phase]=D$1)*(ISNUMBER(tbl_DataDraftApril26[Start]))*(ISNUMBER(tbl_DataDraftApril26[End]))*($A431&gt;tbl_DataDraftApril26[Start])*($A431&lt;tbl_DataDraftApril26[End]))</f>
        <v>0</v>
      </c>
      <c r="E431" s="125" cm="1">
        <f t="array" ref="E431">SUMPRODUCT((tbl_DataDraftApril26[Phase]=E$1)*(ISNUMBER(tbl_DataDraftApril26[Start]))*(ISNUMBER(tbl_DataDraftApril26[End]))*($A431&gt;tbl_DataDraftApril26[Start])*($A431&lt;tbl_DataDraftApril26[End]))</f>
        <v>0</v>
      </c>
    </row>
    <row r="432" spans="1:5">
      <c r="A432" s="131">
        <v>46300</v>
      </c>
      <c r="B432" s="125" cm="1">
        <f t="array" ref="B432">SUMPRODUCT((tbl_DataDraftApril26[Phase]=B$1)*(ISNUMBER(tbl_DataDraftApril26[Start]))*(ISNUMBER(tbl_DataDraftApril26[End]))*($A432&gt;tbl_DataDraftApril26[Start])*($A432&lt;tbl_DataDraftApril26[End]))</f>
        <v>3</v>
      </c>
      <c r="C432" s="125" cm="1">
        <f t="array" ref="C432">SUMPRODUCT((tbl_DataDraftApril26[Phase]=C$1)*(ISNUMBER(tbl_DataDraftApril26[Start]))*(ISNUMBER(tbl_DataDraftApril26[End]))*($A432&gt;tbl_DataDraftApril26[Start])*($A432&lt;tbl_DataDraftApril26[End]))</f>
        <v>3</v>
      </c>
      <c r="D432" s="125" cm="1">
        <f t="array" ref="D432">SUMPRODUCT((tbl_DataDraftApril26[Phase]=D$1)*(ISNUMBER(tbl_DataDraftApril26[Start]))*(ISNUMBER(tbl_DataDraftApril26[End]))*($A432&gt;tbl_DataDraftApril26[Start])*($A432&lt;tbl_DataDraftApril26[End]))</f>
        <v>0</v>
      </c>
      <c r="E432" s="125" cm="1">
        <f t="array" ref="E432">SUMPRODUCT((tbl_DataDraftApril26[Phase]=E$1)*(ISNUMBER(tbl_DataDraftApril26[Start]))*(ISNUMBER(tbl_DataDraftApril26[End]))*($A432&gt;tbl_DataDraftApril26[Start])*($A432&lt;tbl_DataDraftApril26[End]))</f>
        <v>0</v>
      </c>
    </row>
    <row r="433" spans="1:5">
      <c r="A433" s="131">
        <v>46301</v>
      </c>
      <c r="B433" s="125" cm="1">
        <f t="array" ref="B433">SUMPRODUCT((tbl_DataDraftApril26[Phase]=B$1)*(ISNUMBER(tbl_DataDraftApril26[Start]))*(ISNUMBER(tbl_DataDraftApril26[End]))*($A433&gt;tbl_DataDraftApril26[Start])*($A433&lt;tbl_DataDraftApril26[End]))</f>
        <v>3</v>
      </c>
      <c r="C433" s="125" cm="1">
        <f t="array" ref="C433">SUMPRODUCT((tbl_DataDraftApril26[Phase]=C$1)*(ISNUMBER(tbl_DataDraftApril26[Start]))*(ISNUMBER(tbl_DataDraftApril26[End]))*($A433&gt;tbl_DataDraftApril26[Start])*($A433&lt;tbl_DataDraftApril26[End]))</f>
        <v>3</v>
      </c>
      <c r="D433" s="125" cm="1">
        <f t="array" ref="D433">SUMPRODUCT((tbl_DataDraftApril26[Phase]=D$1)*(ISNUMBER(tbl_DataDraftApril26[Start]))*(ISNUMBER(tbl_DataDraftApril26[End]))*($A433&gt;tbl_DataDraftApril26[Start])*($A433&lt;tbl_DataDraftApril26[End]))</f>
        <v>0</v>
      </c>
      <c r="E433" s="125" cm="1">
        <f t="array" ref="E433">SUMPRODUCT((tbl_DataDraftApril26[Phase]=E$1)*(ISNUMBER(tbl_DataDraftApril26[Start]))*(ISNUMBER(tbl_DataDraftApril26[End]))*($A433&gt;tbl_DataDraftApril26[Start])*($A433&lt;tbl_DataDraftApril26[End]))</f>
        <v>0</v>
      </c>
    </row>
    <row r="434" spans="1:5">
      <c r="A434" s="131">
        <v>46302</v>
      </c>
      <c r="B434" s="125" cm="1">
        <f t="array" ref="B434">SUMPRODUCT((tbl_DataDraftApril26[Phase]=B$1)*(ISNUMBER(tbl_DataDraftApril26[Start]))*(ISNUMBER(tbl_DataDraftApril26[End]))*($A434&gt;tbl_DataDraftApril26[Start])*($A434&lt;tbl_DataDraftApril26[End]))</f>
        <v>3</v>
      </c>
      <c r="C434" s="125" cm="1">
        <f t="array" ref="C434">SUMPRODUCT((tbl_DataDraftApril26[Phase]=C$1)*(ISNUMBER(tbl_DataDraftApril26[Start]))*(ISNUMBER(tbl_DataDraftApril26[End]))*($A434&gt;tbl_DataDraftApril26[Start])*($A434&lt;tbl_DataDraftApril26[End]))</f>
        <v>3</v>
      </c>
      <c r="D434" s="125" cm="1">
        <f t="array" ref="D434">SUMPRODUCT((tbl_DataDraftApril26[Phase]=D$1)*(ISNUMBER(tbl_DataDraftApril26[Start]))*(ISNUMBER(tbl_DataDraftApril26[End]))*($A434&gt;tbl_DataDraftApril26[Start])*($A434&lt;tbl_DataDraftApril26[End]))</f>
        <v>0</v>
      </c>
      <c r="E434" s="125" cm="1">
        <f t="array" ref="E434">SUMPRODUCT((tbl_DataDraftApril26[Phase]=E$1)*(ISNUMBER(tbl_DataDraftApril26[Start]))*(ISNUMBER(tbl_DataDraftApril26[End]))*($A434&gt;tbl_DataDraftApril26[Start])*($A434&lt;tbl_DataDraftApril26[End]))</f>
        <v>0</v>
      </c>
    </row>
    <row r="435" spans="1:5">
      <c r="A435" s="131">
        <v>46303</v>
      </c>
      <c r="B435" s="125" cm="1">
        <f t="array" ref="B435">SUMPRODUCT((tbl_DataDraftApril26[Phase]=B$1)*(ISNUMBER(tbl_DataDraftApril26[Start]))*(ISNUMBER(tbl_DataDraftApril26[End]))*($A435&gt;tbl_DataDraftApril26[Start])*($A435&lt;tbl_DataDraftApril26[End]))</f>
        <v>3</v>
      </c>
      <c r="C435" s="125" cm="1">
        <f t="array" ref="C435">SUMPRODUCT((tbl_DataDraftApril26[Phase]=C$1)*(ISNUMBER(tbl_DataDraftApril26[Start]))*(ISNUMBER(tbl_DataDraftApril26[End]))*($A435&gt;tbl_DataDraftApril26[Start])*($A435&lt;tbl_DataDraftApril26[End]))</f>
        <v>3</v>
      </c>
      <c r="D435" s="125" cm="1">
        <f t="array" ref="D435">SUMPRODUCT((tbl_DataDraftApril26[Phase]=D$1)*(ISNUMBER(tbl_DataDraftApril26[Start]))*(ISNUMBER(tbl_DataDraftApril26[End]))*($A435&gt;tbl_DataDraftApril26[Start])*($A435&lt;tbl_DataDraftApril26[End]))</f>
        <v>0</v>
      </c>
      <c r="E435" s="125" cm="1">
        <f t="array" ref="E435">SUMPRODUCT((tbl_DataDraftApril26[Phase]=E$1)*(ISNUMBER(tbl_DataDraftApril26[Start]))*(ISNUMBER(tbl_DataDraftApril26[End]))*($A435&gt;tbl_DataDraftApril26[Start])*($A435&lt;tbl_DataDraftApril26[End]))</f>
        <v>0</v>
      </c>
    </row>
    <row r="436" spans="1:5">
      <c r="A436" s="131">
        <v>46304</v>
      </c>
      <c r="B436" s="125" cm="1">
        <f t="array" ref="B436">SUMPRODUCT((tbl_DataDraftApril26[Phase]=B$1)*(ISNUMBER(tbl_DataDraftApril26[Start]))*(ISNUMBER(tbl_DataDraftApril26[End]))*($A436&gt;tbl_DataDraftApril26[Start])*($A436&lt;tbl_DataDraftApril26[End]))</f>
        <v>3</v>
      </c>
      <c r="C436" s="125" cm="1">
        <f t="array" ref="C436">SUMPRODUCT((tbl_DataDraftApril26[Phase]=C$1)*(ISNUMBER(tbl_DataDraftApril26[Start]))*(ISNUMBER(tbl_DataDraftApril26[End]))*($A436&gt;tbl_DataDraftApril26[Start])*($A436&lt;tbl_DataDraftApril26[End]))</f>
        <v>3</v>
      </c>
      <c r="D436" s="125" cm="1">
        <f t="array" ref="D436">SUMPRODUCT((tbl_DataDraftApril26[Phase]=D$1)*(ISNUMBER(tbl_DataDraftApril26[Start]))*(ISNUMBER(tbl_DataDraftApril26[End]))*($A436&gt;tbl_DataDraftApril26[Start])*($A436&lt;tbl_DataDraftApril26[End]))</f>
        <v>0</v>
      </c>
      <c r="E436" s="125" cm="1">
        <f t="array" ref="E436">SUMPRODUCT((tbl_DataDraftApril26[Phase]=E$1)*(ISNUMBER(tbl_DataDraftApril26[Start]))*(ISNUMBER(tbl_DataDraftApril26[End]))*($A436&gt;tbl_DataDraftApril26[Start])*($A436&lt;tbl_DataDraftApril26[End]))</f>
        <v>0</v>
      </c>
    </row>
    <row r="437" spans="1:5">
      <c r="A437" s="131">
        <v>46305</v>
      </c>
      <c r="B437" s="125" cm="1">
        <f t="array" ref="B437">SUMPRODUCT((tbl_DataDraftApril26[Phase]=B$1)*(ISNUMBER(tbl_DataDraftApril26[Start]))*(ISNUMBER(tbl_DataDraftApril26[End]))*($A437&gt;tbl_DataDraftApril26[Start])*($A437&lt;tbl_DataDraftApril26[End]))</f>
        <v>3</v>
      </c>
      <c r="C437" s="125" cm="1">
        <f t="array" ref="C437">SUMPRODUCT((tbl_DataDraftApril26[Phase]=C$1)*(ISNUMBER(tbl_DataDraftApril26[Start]))*(ISNUMBER(tbl_DataDraftApril26[End]))*($A437&gt;tbl_DataDraftApril26[Start])*($A437&lt;tbl_DataDraftApril26[End]))</f>
        <v>3</v>
      </c>
      <c r="D437" s="125" cm="1">
        <f t="array" ref="D437">SUMPRODUCT((tbl_DataDraftApril26[Phase]=D$1)*(ISNUMBER(tbl_DataDraftApril26[Start]))*(ISNUMBER(tbl_DataDraftApril26[End]))*($A437&gt;tbl_DataDraftApril26[Start])*($A437&lt;tbl_DataDraftApril26[End]))</f>
        <v>0</v>
      </c>
      <c r="E437" s="125" cm="1">
        <f t="array" ref="E437">SUMPRODUCT((tbl_DataDraftApril26[Phase]=E$1)*(ISNUMBER(tbl_DataDraftApril26[Start]))*(ISNUMBER(tbl_DataDraftApril26[End]))*($A437&gt;tbl_DataDraftApril26[Start])*($A437&lt;tbl_DataDraftApril26[End]))</f>
        <v>0</v>
      </c>
    </row>
    <row r="438" spans="1:5">
      <c r="A438" s="131">
        <v>46306</v>
      </c>
      <c r="B438" s="125" cm="1">
        <f t="array" ref="B438">SUMPRODUCT((tbl_DataDraftApril26[Phase]=B$1)*(ISNUMBER(tbl_DataDraftApril26[Start]))*(ISNUMBER(tbl_DataDraftApril26[End]))*($A438&gt;tbl_DataDraftApril26[Start])*($A438&lt;tbl_DataDraftApril26[End]))</f>
        <v>3</v>
      </c>
      <c r="C438" s="125" cm="1">
        <f t="array" ref="C438">SUMPRODUCT((tbl_DataDraftApril26[Phase]=C$1)*(ISNUMBER(tbl_DataDraftApril26[Start]))*(ISNUMBER(tbl_DataDraftApril26[End]))*($A438&gt;tbl_DataDraftApril26[Start])*($A438&lt;tbl_DataDraftApril26[End]))</f>
        <v>3</v>
      </c>
      <c r="D438" s="125" cm="1">
        <f t="array" ref="D438">SUMPRODUCT((tbl_DataDraftApril26[Phase]=D$1)*(ISNUMBER(tbl_DataDraftApril26[Start]))*(ISNUMBER(tbl_DataDraftApril26[End]))*($A438&gt;tbl_DataDraftApril26[Start])*($A438&lt;tbl_DataDraftApril26[End]))</f>
        <v>0</v>
      </c>
      <c r="E438" s="125" cm="1">
        <f t="array" ref="E438">SUMPRODUCT((tbl_DataDraftApril26[Phase]=E$1)*(ISNUMBER(tbl_DataDraftApril26[Start]))*(ISNUMBER(tbl_DataDraftApril26[End]))*($A438&gt;tbl_DataDraftApril26[Start])*($A438&lt;tbl_DataDraftApril26[End]))</f>
        <v>0</v>
      </c>
    </row>
    <row r="439" spans="1:5">
      <c r="A439" s="131">
        <v>46307</v>
      </c>
      <c r="B439" s="125" cm="1">
        <f t="array" ref="B439">SUMPRODUCT((tbl_DataDraftApril26[Phase]=B$1)*(ISNUMBER(tbl_DataDraftApril26[Start]))*(ISNUMBER(tbl_DataDraftApril26[End]))*($A439&gt;tbl_DataDraftApril26[Start])*($A439&lt;tbl_DataDraftApril26[End]))</f>
        <v>3</v>
      </c>
      <c r="C439" s="125" cm="1">
        <f t="array" ref="C439">SUMPRODUCT((tbl_DataDraftApril26[Phase]=C$1)*(ISNUMBER(tbl_DataDraftApril26[Start]))*(ISNUMBER(tbl_DataDraftApril26[End]))*($A439&gt;tbl_DataDraftApril26[Start])*($A439&lt;tbl_DataDraftApril26[End]))</f>
        <v>3</v>
      </c>
      <c r="D439" s="125" cm="1">
        <f t="array" ref="D439">SUMPRODUCT((tbl_DataDraftApril26[Phase]=D$1)*(ISNUMBER(tbl_DataDraftApril26[Start]))*(ISNUMBER(tbl_DataDraftApril26[End]))*($A439&gt;tbl_DataDraftApril26[Start])*($A439&lt;tbl_DataDraftApril26[End]))</f>
        <v>0</v>
      </c>
      <c r="E439" s="125" cm="1">
        <f t="array" ref="E439">SUMPRODUCT((tbl_DataDraftApril26[Phase]=E$1)*(ISNUMBER(tbl_DataDraftApril26[Start]))*(ISNUMBER(tbl_DataDraftApril26[End]))*($A439&gt;tbl_DataDraftApril26[Start])*($A439&lt;tbl_DataDraftApril26[End]))</f>
        <v>0</v>
      </c>
    </row>
    <row r="440" spans="1:5">
      <c r="A440" s="131">
        <v>46308</v>
      </c>
      <c r="B440" s="125" cm="1">
        <f t="array" ref="B440">SUMPRODUCT((tbl_DataDraftApril26[Phase]=B$1)*(ISNUMBER(tbl_DataDraftApril26[Start]))*(ISNUMBER(tbl_DataDraftApril26[End]))*($A440&gt;tbl_DataDraftApril26[Start])*($A440&lt;tbl_DataDraftApril26[End]))</f>
        <v>3</v>
      </c>
      <c r="C440" s="125" cm="1">
        <f t="array" ref="C440">SUMPRODUCT((tbl_DataDraftApril26[Phase]=C$1)*(ISNUMBER(tbl_DataDraftApril26[Start]))*(ISNUMBER(tbl_DataDraftApril26[End]))*($A440&gt;tbl_DataDraftApril26[Start])*($A440&lt;tbl_DataDraftApril26[End]))</f>
        <v>3</v>
      </c>
      <c r="D440" s="125" cm="1">
        <f t="array" ref="D440">SUMPRODUCT((tbl_DataDraftApril26[Phase]=D$1)*(ISNUMBER(tbl_DataDraftApril26[Start]))*(ISNUMBER(tbl_DataDraftApril26[End]))*($A440&gt;tbl_DataDraftApril26[Start])*($A440&lt;tbl_DataDraftApril26[End]))</f>
        <v>0</v>
      </c>
      <c r="E440" s="125" cm="1">
        <f t="array" ref="E440">SUMPRODUCT((tbl_DataDraftApril26[Phase]=E$1)*(ISNUMBER(tbl_DataDraftApril26[Start]))*(ISNUMBER(tbl_DataDraftApril26[End]))*($A440&gt;tbl_DataDraftApril26[Start])*($A440&lt;tbl_DataDraftApril26[End]))</f>
        <v>0</v>
      </c>
    </row>
    <row r="441" spans="1:5">
      <c r="A441" s="131">
        <v>46309</v>
      </c>
      <c r="B441" s="125" cm="1">
        <f t="array" ref="B441">SUMPRODUCT((tbl_DataDraftApril26[Phase]=B$1)*(ISNUMBER(tbl_DataDraftApril26[Start]))*(ISNUMBER(tbl_DataDraftApril26[End]))*($A441&gt;tbl_DataDraftApril26[Start])*($A441&lt;tbl_DataDraftApril26[End]))</f>
        <v>3</v>
      </c>
      <c r="C441" s="125" cm="1">
        <f t="array" ref="C441">SUMPRODUCT((tbl_DataDraftApril26[Phase]=C$1)*(ISNUMBER(tbl_DataDraftApril26[Start]))*(ISNUMBER(tbl_DataDraftApril26[End]))*($A441&gt;tbl_DataDraftApril26[Start])*($A441&lt;tbl_DataDraftApril26[End]))</f>
        <v>3</v>
      </c>
      <c r="D441" s="125" cm="1">
        <f t="array" ref="D441">SUMPRODUCT((tbl_DataDraftApril26[Phase]=D$1)*(ISNUMBER(tbl_DataDraftApril26[Start]))*(ISNUMBER(tbl_DataDraftApril26[End]))*($A441&gt;tbl_DataDraftApril26[Start])*($A441&lt;tbl_DataDraftApril26[End]))</f>
        <v>0</v>
      </c>
      <c r="E441" s="125" cm="1">
        <f t="array" ref="E441">SUMPRODUCT((tbl_DataDraftApril26[Phase]=E$1)*(ISNUMBER(tbl_DataDraftApril26[Start]))*(ISNUMBER(tbl_DataDraftApril26[End]))*($A441&gt;tbl_DataDraftApril26[Start])*($A441&lt;tbl_DataDraftApril26[End]))</f>
        <v>0</v>
      </c>
    </row>
    <row r="442" spans="1:5">
      <c r="A442" s="131">
        <v>46310</v>
      </c>
      <c r="B442" s="125" cm="1">
        <f t="array" ref="B442">SUMPRODUCT((tbl_DataDraftApril26[Phase]=B$1)*(ISNUMBER(tbl_DataDraftApril26[Start]))*(ISNUMBER(tbl_DataDraftApril26[End]))*($A442&gt;tbl_DataDraftApril26[Start])*($A442&lt;tbl_DataDraftApril26[End]))</f>
        <v>3</v>
      </c>
      <c r="C442" s="125" cm="1">
        <f t="array" ref="C442">SUMPRODUCT((tbl_DataDraftApril26[Phase]=C$1)*(ISNUMBER(tbl_DataDraftApril26[Start]))*(ISNUMBER(tbl_DataDraftApril26[End]))*($A442&gt;tbl_DataDraftApril26[Start])*($A442&lt;tbl_DataDraftApril26[End]))</f>
        <v>3</v>
      </c>
      <c r="D442" s="125" cm="1">
        <f t="array" ref="D442">SUMPRODUCT((tbl_DataDraftApril26[Phase]=D$1)*(ISNUMBER(tbl_DataDraftApril26[Start]))*(ISNUMBER(tbl_DataDraftApril26[End]))*($A442&gt;tbl_DataDraftApril26[Start])*($A442&lt;tbl_DataDraftApril26[End]))</f>
        <v>0</v>
      </c>
      <c r="E442" s="125" cm="1">
        <f t="array" ref="E442">SUMPRODUCT((tbl_DataDraftApril26[Phase]=E$1)*(ISNUMBER(tbl_DataDraftApril26[Start]))*(ISNUMBER(tbl_DataDraftApril26[End]))*($A442&gt;tbl_DataDraftApril26[Start])*($A442&lt;tbl_DataDraftApril26[End]))</f>
        <v>0</v>
      </c>
    </row>
    <row r="443" spans="1:5">
      <c r="A443" s="131">
        <v>46311</v>
      </c>
      <c r="B443" s="125" cm="1">
        <f t="array" ref="B443">SUMPRODUCT((tbl_DataDraftApril26[Phase]=B$1)*(ISNUMBER(tbl_DataDraftApril26[Start]))*(ISNUMBER(tbl_DataDraftApril26[End]))*($A443&gt;tbl_DataDraftApril26[Start])*($A443&lt;tbl_DataDraftApril26[End]))</f>
        <v>3</v>
      </c>
      <c r="C443" s="125" cm="1">
        <f t="array" ref="C443">SUMPRODUCT((tbl_DataDraftApril26[Phase]=C$1)*(ISNUMBER(tbl_DataDraftApril26[Start]))*(ISNUMBER(tbl_DataDraftApril26[End]))*($A443&gt;tbl_DataDraftApril26[Start])*($A443&lt;tbl_DataDraftApril26[End]))</f>
        <v>4</v>
      </c>
      <c r="D443" s="125" cm="1">
        <f t="array" ref="D443">SUMPRODUCT((tbl_DataDraftApril26[Phase]=D$1)*(ISNUMBER(tbl_DataDraftApril26[Start]))*(ISNUMBER(tbl_DataDraftApril26[End]))*($A443&gt;tbl_DataDraftApril26[Start])*($A443&lt;tbl_DataDraftApril26[End]))</f>
        <v>0</v>
      </c>
      <c r="E443" s="125" cm="1">
        <f t="array" ref="E443">SUMPRODUCT((tbl_DataDraftApril26[Phase]=E$1)*(ISNUMBER(tbl_DataDraftApril26[Start]))*(ISNUMBER(tbl_DataDraftApril26[End]))*($A443&gt;tbl_DataDraftApril26[Start])*($A443&lt;tbl_DataDraftApril26[End]))</f>
        <v>0</v>
      </c>
    </row>
    <row r="444" spans="1:5">
      <c r="A444" s="131">
        <v>46312</v>
      </c>
      <c r="B444" s="125" cm="1">
        <f t="array" ref="B444">SUMPRODUCT((tbl_DataDraftApril26[Phase]=B$1)*(ISNUMBER(tbl_DataDraftApril26[Start]))*(ISNUMBER(tbl_DataDraftApril26[End]))*($A444&gt;tbl_DataDraftApril26[Start])*($A444&lt;tbl_DataDraftApril26[End]))</f>
        <v>3</v>
      </c>
      <c r="C444" s="125" cm="1">
        <f t="array" ref="C444">SUMPRODUCT((tbl_DataDraftApril26[Phase]=C$1)*(ISNUMBER(tbl_DataDraftApril26[Start]))*(ISNUMBER(tbl_DataDraftApril26[End]))*($A444&gt;tbl_DataDraftApril26[Start])*($A444&lt;tbl_DataDraftApril26[End]))</f>
        <v>4</v>
      </c>
      <c r="D444" s="125" cm="1">
        <f t="array" ref="D444">SUMPRODUCT((tbl_DataDraftApril26[Phase]=D$1)*(ISNUMBER(tbl_DataDraftApril26[Start]))*(ISNUMBER(tbl_DataDraftApril26[End]))*($A444&gt;tbl_DataDraftApril26[Start])*($A444&lt;tbl_DataDraftApril26[End]))</f>
        <v>0</v>
      </c>
      <c r="E444" s="125" cm="1">
        <f t="array" ref="E444">SUMPRODUCT((tbl_DataDraftApril26[Phase]=E$1)*(ISNUMBER(tbl_DataDraftApril26[Start]))*(ISNUMBER(tbl_DataDraftApril26[End]))*($A444&gt;tbl_DataDraftApril26[Start])*($A444&lt;tbl_DataDraftApril26[End]))</f>
        <v>0</v>
      </c>
    </row>
    <row r="445" spans="1:5">
      <c r="A445" s="131">
        <v>46313</v>
      </c>
      <c r="B445" s="125" cm="1">
        <f t="array" ref="B445">SUMPRODUCT((tbl_DataDraftApril26[Phase]=B$1)*(ISNUMBER(tbl_DataDraftApril26[Start]))*(ISNUMBER(tbl_DataDraftApril26[End]))*($A445&gt;tbl_DataDraftApril26[Start])*($A445&lt;tbl_DataDraftApril26[End]))</f>
        <v>3</v>
      </c>
      <c r="C445" s="125" cm="1">
        <f t="array" ref="C445">SUMPRODUCT((tbl_DataDraftApril26[Phase]=C$1)*(ISNUMBER(tbl_DataDraftApril26[Start]))*(ISNUMBER(tbl_DataDraftApril26[End]))*($A445&gt;tbl_DataDraftApril26[Start])*($A445&lt;tbl_DataDraftApril26[End]))</f>
        <v>4</v>
      </c>
      <c r="D445" s="125" cm="1">
        <f t="array" ref="D445">SUMPRODUCT((tbl_DataDraftApril26[Phase]=D$1)*(ISNUMBER(tbl_DataDraftApril26[Start]))*(ISNUMBER(tbl_DataDraftApril26[End]))*($A445&gt;tbl_DataDraftApril26[Start])*($A445&lt;tbl_DataDraftApril26[End]))</f>
        <v>0</v>
      </c>
      <c r="E445" s="125" cm="1">
        <f t="array" ref="E445">SUMPRODUCT((tbl_DataDraftApril26[Phase]=E$1)*(ISNUMBER(tbl_DataDraftApril26[Start]))*(ISNUMBER(tbl_DataDraftApril26[End]))*($A445&gt;tbl_DataDraftApril26[Start])*($A445&lt;tbl_DataDraftApril26[End]))</f>
        <v>0</v>
      </c>
    </row>
    <row r="446" spans="1:5">
      <c r="A446" s="131">
        <v>46314</v>
      </c>
      <c r="B446" s="125" cm="1">
        <f t="array" ref="B446">SUMPRODUCT((tbl_DataDraftApril26[Phase]=B$1)*(ISNUMBER(tbl_DataDraftApril26[Start]))*(ISNUMBER(tbl_DataDraftApril26[End]))*($A446&gt;tbl_DataDraftApril26[Start])*($A446&lt;tbl_DataDraftApril26[End]))</f>
        <v>3</v>
      </c>
      <c r="C446" s="125" cm="1">
        <f t="array" ref="C446">SUMPRODUCT((tbl_DataDraftApril26[Phase]=C$1)*(ISNUMBER(tbl_DataDraftApril26[Start]))*(ISNUMBER(tbl_DataDraftApril26[End]))*($A446&gt;tbl_DataDraftApril26[Start])*($A446&lt;tbl_DataDraftApril26[End]))</f>
        <v>4</v>
      </c>
      <c r="D446" s="125" cm="1">
        <f t="array" ref="D446">SUMPRODUCT((tbl_DataDraftApril26[Phase]=D$1)*(ISNUMBER(tbl_DataDraftApril26[Start]))*(ISNUMBER(tbl_DataDraftApril26[End]))*($A446&gt;tbl_DataDraftApril26[Start])*($A446&lt;tbl_DataDraftApril26[End]))</f>
        <v>0</v>
      </c>
      <c r="E446" s="125" cm="1">
        <f t="array" ref="E446">SUMPRODUCT((tbl_DataDraftApril26[Phase]=E$1)*(ISNUMBER(tbl_DataDraftApril26[Start]))*(ISNUMBER(tbl_DataDraftApril26[End]))*($A446&gt;tbl_DataDraftApril26[Start])*($A446&lt;tbl_DataDraftApril26[End]))</f>
        <v>0</v>
      </c>
    </row>
    <row r="447" spans="1:5">
      <c r="A447" s="131">
        <v>46315</v>
      </c>
      <c r="B447" s="125" cm="1">
        <f t="array" ref="B447">SUMPRODUCT((tbl_DataDraftApril26[Phase]=B$1)*(ISNUMBER(tbl_DataDraftApril26[Start]))*(ISNUMBER(tbl_DataDraftApril26[End]))*($A447&gt;tbl_DataDraftApril26[Start])*($A447&lt;tbl_DataDraftApril26[End]))</f>
        <v>3</v>
      </c>
      <c r="C447" s="125" cm="1">
        <f t="array" ref="C447">SUMPRODUCT((tbl_DataDraftApril26[Phase]=C$1)*(ISNUMBER(tbl_DataDraftApril26[Start]))*(ISNUMBER(tbl_DataDraftApril26[End]))*($A447&gt;tbl_DataDraftApril26[Start])*($A447&lt;tbl_DataDraftApril26[End]))</f>
        <v>4</v>
      </c>
      <c r="D447" s="125" cm="1">
        <f t="array" ref="D447">SUMPRODUCT((tbl_DataDraftApril26[Phase]=D$1)*(ISNUMBER(tbl_DataDraftApril26[Start]))*(ISNUMBER(tbl_DataDraftApril26[End]))*($A447&gt;tbl_DataDraftApril26[Start])*($A447&lt;tbl_DataDraftApril26[End]))</f>
        <v>0</v>
      </c>
      <c r="E447" s="125" cm="1">
        <f t="array" ref="E447">SUMPRODUCT((tbl_DataDraftApril26[Phase]=E$1)*(ISNUMBER(tbl_DataDraftApril26[Start]))*(ISNUMBER(tbl_DataDraftApril26[End]))*($A447&gt;tbl_DataDraftApril26[Start])*($A447&lt;tbl_DataDraftApril26[End]))</f>
        <v>0</v>
      </c>
    </row>
    <row r="448" spans="1:5">
      <c r="A448" s="131">
        <v>46316</v>
      </c>
      <c r="B448" s="125" cm="1">
        <f t="array" ref="B448">SUMPRODUCT((tbl_DataDraftApril26[Phase]=B$1)*(ISNUMBER(tbl_DataDraftApril26[Start]))*(ISNUMBER(tbl_DataDraftApril26[End]))*($A448&gt;tbl_DataDraftApril26[Start])*($A448&lt;tbl_DataDraftApril26[End]))</f>
        <v>3</v>
      </c>
      <c r="C448" s="125" cm="1">
        <f t="array" ref="C448">SUMPRODUCT((tbl_DataDraftApril26[Phase]=C$1)*(ISNUMBER(tbl_DataDraftApril26[Start]))*(ISNUMBER(tbl_DataDraftApril26[End]))*($A448&gt;tbl_DataDraftApril26[Start])*($A448&lt;tbl_DataDraftApril26[End]))</f>
        <v>4</v>
      </c>
      <c r="D448" s="125" cm="1">
        <f t="array" ref="D448">SUMPRODUCT((tbl_DataDraftApril26[Phase]=D$1)*(ISNUMBER(tbl_DataDraftApril26[Start]))*(ISNUMBER(tbl_DataDraftApril26[End]))*($A448&gt;tbl_DataDraftApril26[Start])*($A448&lt;tbl_DataDraftApril26[End]))</f>
        <v>0</v>
      </c>
      <c r="E448" s="125" cm="1">
        <f t="array" ref="E448">SUMPRODUCT((tbl_DataDraftApril26[Phase]=E$1)*(ISNUMBER(tbl_DataDraftApril26[Start]))*(ISNUMBER(tbl_DataDraftApril26[End]))*($A448&gt;tbl_DataDraftApril26[Start])*($A448&lt;tbl_DataDraftApril26[End]))</f>
        <v>0</v>
      </c>
    </row>
    <row r="449" spans="1:5">
      <c r="A449" s="131">
        <v>46317</v>
      </c>
      <c r="B449" s="125" cm="1">
        <f t="array" ref="B449">SUMPRODUCT((tbl_DataDraftApril26[Phase]=B$1)*(ISNUMBER(tbl_DataDraftApril26[Start]))*(ISNUMBER(tbl_DataDraftApril26[End]))*($A449&gt;tbl_DataDraftApril26[Start])*($A449&lt;tbl_DataDraftApril26[End]))</f>
        <v>3</v>
      </c>
      <c r="C449" s="125" cm="1">
        <f t="array" ref="C449">SUMPRODUCT((tbl_DataDraftApril26[Phase]=C$1)*(ISNUMBER(tbl_DataDraftApril26[Start]))*(ISNUMBER(tbl_DataDraftApril26[End]))*($A449&gt;tbl_DataDraftApril26[Start])*($A449&lt;tbl_DataDraftApril26[End]))</f>
        <v>4</v>
      </c>
      <c r="D449" s="125" cm="1">
        <f t="array" ref="D449">SUMPRODUCT((tbl_DataDraftApril26[Phase]=D$1)*(ISNUMBER(tbl_DataDraftApril26[Start]))*(ISNUMBER(tbl_DataDraftApril26[End]))*($A449&gt;tbl_DataDraftApril26[Start])*($A449&lt;tbl_DataDraftApril26[End]))</f>
        <v>0</v>
      </c>
      <c r="E449" s="125" cm="1">
        <f t="array" ref="E449">SUMPRODUCT((tbl_DataDraftApril26[Phase]=E$1)*(ISNUMBER(tbl_DataDraftApril26[Start]))*(ISNUMBER(tbl_DataDraftApril26[End]))*($A449&gt;tbl_DataDraftApril26[Start])*($A449&lt;tbl_DataDraftApril26[End]))</f>
        <v>0</v>
      </c>
    </row>
    <row r="450" spans="1:5">
      <c r="A450" s="131">
        <v>46318</v>
      </c>
      <c r="B450" s="125" cm="1">
        <f t="array" ref="B450">SUMPRODUCT((tbl_DataDraftApril26[Phase]=B$1)*(ISNUMBER(tbl_DataDraftApril26[Start]))*(ISNUMBER(tbl_DataDraftApril26[End]))*($A450&gt;tbl_DataDraftApril26[Start])*($A450&lt;tbl_DataDraftApril26[End]))</f>
        <v>3</v>
      </c>
      <c r="C450" s="125" cm="1">
        <f t="array" ref="C450">SUMPRODUCT((tbl_DataDraftApril26[Phase]=C$1)*(ISNUMBER(tbl_DataDraftApril26[Start]))*(ISNUMBER(tbl_DataDraftApril26[End]))*($A450&gt;tbl_DataDraftApril26[Start])*($A450&lt;tbl_DataDraftApril26[End]))</f>
        <v>4</v>
      </c>
      <c r="D450" s="125" cm="1">
        <f t="array" ref="D450">SUMPRODUCT((tbl_DataDraftApril26[Phase]=D$1)*(ISNUMBER(tbl_DataDraftApril26[Start]))*(ISNUMBER(tbl_DataDraftApril26[End]))*($A450&gt;tbl_DataDraftApril26[Start])*($A450&lt;tbl_DataDraftApril26[End]))</f>
        <v>0</v>
      </c>
      <c r="E450" s="125" cm="1">
        <f t="array" ref="E450">SUMPRODUCT((tbl_DataDraftApril26[Phase]=E$1)*(ISNUMBER(tbl_DataDraftApril26[Start]))*(ISNUMBER(tbl_DataDraftApril26[End]))*($A450&gt;tbl_DataDraftApril26[Start])*($A450&lt;tbl_DataDraftApril26[End]))</f>
        <v>0</v>
      </c>
    </row>
    <row r="451" spans="1:5">
      <c r="A451" s="131">
        <v>46319</v>
      </c>
      <c r="B451" s="125" cm="1">
        <f t="array" ref="B451">SUMPRODUCT((tbl_DataDraftApril26[Phase]=B$1)*(ISNUMBER(tbl_DataDraftApril26[Start]))*(ISNUMBER(tbl_DataDraftApril26[End]))*($A451&gt;tbl_DataDraftApril26[Start])*($A451&lt;tbl_DataDraftApril26[End]))</f>
        <v>3</v>
      </c>
      <c r="C451" s="125" cm="1">
        <f t="array" ref="C451">SUMPRODUCT((tbl_DataDraftApril26[Phase]=C$1)*(ISNUMBER(tbl_DataDraftApril26[Start]))*(ISNUMBER(tbl_DataDraftApril26[End]))*($A451&gt;tbl_DataDraftApril26[Start])*($A451&lt;tbl_DataDraftApril26[End]))</f>
        <v>4</v>
      </c>
      <c r="D451" s="125" cm="1">
        <f t="array" ref="D451">SUMPRODUCT((tbl_DataDraftApril26[Phase]=D$1)*(ISNUMBER(tbl_DataDraftApril26[Start]))*(ISNUMBER(tbl_DataDraftApril26[End]))*($A451&gt;tbl_DataDraftApril26[Start])*($A451&lt;tbl_DataDraftApril26[End]))</f>
        <v>0</v>
      </c>
      <c r="E451" s="125" cm="1">
        <f t="array" ref="E451">SUMPRODUCT((tbl_DataDraftApril26[Phase]=E$1)*(ISNUMBER(tbl_DataDraftApril26[Start]))*(ISNUMBER(tbl_DataDraftApril26[End]))*($A451&gt;tbl_DataDraftApril26[Start])*($A451&lt;tbl_DataDraftApril26[End]))</f>
        <v>0</v>
      </c>
    </row>
    <row r="452" spans="1:5">
      <c r="A452" s="131">
        <v>46320</v>
      </c>
      <c r="B452" s="125" cm="1">
        <f t="array" ref="B452">SUMPRODUCT((tbl_DataDraftApril26[Phase]=B$1)*(ISNUMBER(tbl_DataDraftApril26[Start]))*(ISNUMBER(tbl_DataDraftApril26[End]))*($A452&gt;tbl_DataDraftApril26[Start])*($A452&lt;tbl_DataDraftApril26[End]))</f>
        <v>3</v>
      </c>
      <c r="C452" s="125" cm="1">
        <f t="array" ref="C452">SUMPRODUCT((tbl_DataDraftApril26[Phase]=C$1)*(ISNUMBER(tbl_DataDraftApril26[Start]))*(ISNUMBER(tbl_DataDraftApril26[End]))*($A452&gt;tbl_DataDraftApril26[Start])*($A452&lt;tbl_DataDraftApril26[End]))</f>
        <v>4</v>
      </c>
      <c r="D452" s="125" cm="1">
        <f t="array" ref="D452">SUMPRODUCT((tbl_DataDraftApril26[Phase]=D$1)*(ISNUMBER(tbl_DataDraftApril26[Start]))*(ISNUMBER(tbl_DataDraftApril26[End]))*($A452&gt;tbl_DataDraftApril26[Start])*($A452&lt;tbl_DataDraftApril26[End]))</f>
        <v>0</v>
      </c>
      <c r="E452" s="125" cm="1">
        <f t="array" ref="E452">SUMPRODUCT((tbl_DataDraftApril26[Phase]=E$1)*(ISNUMBER(tbl_DataDraftApril26[Start]))*(ISNUMBER(tbl_DataDraftApril26[End]))*($A452&gt;tbl_DataDraftApril26[Start])*($A452&lt;tbl_DataDraftApril26[End]))</f>
        <v>0</v>
      </c>
    </row>
    <row r="453" spans="1:5">
      <c r="A453" s="131">
        <v>46321</v>
      </c>
      <c r="B453" s="125" cm="1">
        <f t="array" ref="B453">SUMPRODUCT((tbl_DataDraftApril26[Phase]=B$1)*(ISNUMBER(tbl_DataDraftApril26[Start]))*(ISNUMBER(tbl_DataDraftApril26[End]))*($A453&gt;tbl_DataDraftApril26[Start])*($A453&lt;tbl_DataDraftApril26[End]))</f>
        <v>3</v>
      </c>
      <c r="C453" s="125" cm="1">
        <f t="array" ref="C453">SUMPRODUCT((tbl_DataDraftApril26[Phase]=C$1)*(ISNUMBER(tbl_DataDraftApril26[Start]))*(ISNUMBER(tbl_DataDraftApril26[End]))*($A453&gt;tbl_DataDraftApril26[Start])*($A453&lt;tbl_DataDraftApril26[End]))</f>
        <v>4</v>
      </c>
      <c r="D453" s="125" cm="1">
        <f t="array" ref="D453">SUMPRODUCT((tbl_DataDraftApril26[Phase]=D$1)*(ISNUMBER(tbl_DataDraftApril26[Start]))*(ISNUMBER(tbl_DataDraftApril26[End]))*($A453&gt;tbl_DataDraftApril26[Start])*($A453&lt;tbl_DataDraftApril26[End]))</f>
        <v>0</v>
      </c>
      <c r="E453" s="125" cm="1">
        <f t="array" ref="E453">SUMPRODUCT((tbl_DataDraftApril26[Phase]=E$1)*(ISNUMBER(tbl_DataDraftApril26[Start]))*(ISNUMBER(tbl_DataDraftApril26[End]))*($A453&gt;tbl_DataDraftApril26[Start])*($A453&lt;tbl_DataDraftApril26[End]))</f>
        <v>0</v>
      </c>
    </row>
    <row r="454" spans="1:5">
      <c r="A454" s="131">
        <v>46322</v>
      </c>
      <c r="B454" s="125" cm="1">
        <f t="array" ref="B454">SUMPRODUCT((tbl_DataDraftApril26[Phase]=B$1)*(ISNUMBER(tbl_DataDraftApril26[Start]))*(ISNUMBER(tbl_DataDraftApril26[End]))*($A454&gt;tbl_DataDraftApril26[Start])*($A454&lt;tbl_DataDraftApril26[End]))</f>
        <v>3</v>
      </c>
      <c r="C454" s="125" cm="1">
        <f t="array" ref="C454">SUMPRODUCT((tbl_DataDraftApril26[Phase]=C$1)*(ISNUMBER(tbl_DataDraftApril26[Start]))*(ISNUMBER(tbl_DataDraftApril26[End]))*($A454&gt;tbl_DataDraftApril26[Start])*($A454&lt;tbl_DataDraftApril26[End]))</f>
        <v>4</v>
      </c>
      <c r="D454" s="125" cm="1">
        <f t="array" ref="D454">SUMPRODUCT((tbl_DataDraftApril26[Phase]=D$1)*(ISNUMBER(tbl_DataDraftApril26[Start]))*(ISNUMBER(tbl_DataDraftApril26[End]))*($A454&gt;tbl_DataDraftApril26[Start])*($A454&lt;tbl_DataDraftApril26[End]))</f>
        <v>0</v>
      </c>
      <c r="E454" s="125" cm="1">
        <f t="array" ref="E454">SUMPRODUCT((tbl_DataDraftApril26[Phase]=E$1)*(ISNUMBER(tbl_DataDraftApril26[Start]))*(ISNUMBER(tbl_DataDraftApril26[End]))*($A454&gt;tbl_DataDraftApril26[Start])*($A454&lt;tbl_DataDraftApril26[End]))</f>
        <v>0</v>
      </c>
    </row>
    <row r="455" spans="1:5">
      <c r="A455" s="131">
        <v>46323</v>
      </c>
      <c r="B455" s="125" cm="1">
        <f t="array" ref="B455">SUMPRODUCT((tbl_DataDraftApril26[Phase]=B$1)*(ISNUMBER(tbl_DataDraftApril26[Start]))*(ISNUMBER(tbl_DataDraftApril26[End]))*($A455&gt;tbl_DataDraftApril26[Start])*($A455&lt;tbl_DataDraftApril26[End]))</f>
        <v>3</v>
      </c>
      <c r="C455" s="125" cm="1">
        <f t="array" ref="C455">SUMPRODUCT((tbl_DataDraftApril26[Phase]=C$1)*(ISNUMBER(tbl_DataDraftApril26[Start]))*(ISNUMBER(tbl_DataDraftApril26[End]))*($A455&gt;tbl_DataDraftApril26[Start])*($A455&lt;tbl_DataDraftApril26[End]))</f>
        <v>4</v>
      </c>
      <c r="D455" s="125" cm="1">
        <f t="array" ref="D455">SUMPRODUCT((tbl_DataDraftApril26[Phase]=D$1)*(ISNUMBER(tbl_DataDraftApril26[Start]))*(ISNUMBER(tbl_DataDraftApril26[End]))*($A455&gt;tbl_DataDraftApril26[Start])*($A455&lt;tbl_DataDraftApril26[End]))</f>
        <v>0</v>
      </c>
      <c r="E455" s="125" cm="1">
        <f t="array" ref="E455">SUMPRODUCT((tbl_DataDraftApril26[Phase]=E$1)*(ISNUMBER(tbl_DataDraftApril26[Start]))*(ISNUMBER(tbl_DataDraftApril26[End]))*($A455&gt;tbl_DataDraftApril26[Start])*($A455&lt;tbl_DataDraftApril26[End]))</f>
        <v>0</v>
      </c>
    </row>
    <row r="456" spans="1:5">
      <c r="A456" s="131">
        <v>46324</v>
      </c>
      <c r="B456" s="125" cm="1">
        <f t="array" ref="B456">SUMPRODUCT((tbl_DataDraftApril26[Phase]=B$1)*(ISNUMBER(tbl_DataDraftApril26[Start]))*(ISNUMBER(tbl_DataDraftApril26[End]))*($A456&gt;tbl_DataDraftApril26[Start])*($A456&lt;tbl_DataDraftApril26[End]))</f>
        <v>3</v>
      </c>
      <c r="C456" s="125" cm="1">
        <f t="array" ref="C456">SUMPRODUCT((tbl_DataDraftApril26[Phase]=C$1)*(ISNUMBER(tbl_DataDraftApril26[Start]))*(ISNUMBER(tbl_DataDraftApril26[End]))*($A456&gt;tbl_DataDraftApril26[Start])*($A456&lt;tbl_DataDraftApril26[End]))</f>
        <v>4</v>
      </c>
      <c r="D456" s="125" cm="1">
        <f t="array" ref="D456">SUMPRODUCT((tbl_DataDraftApril26[Phase]=D$1)*(ISNUMBER(tbl_DataDraftApril26[Start]))*(ISNUMBER(tbl_DataDraftApril26[End]))*($A456&gt;tbl_DataDraftApril26[Start])*($A456&lt;tbl_DataDraftApril26[End]))</f>
        <v>0</v>
      </c>
      <c r="E456" s="125" cm="1">
        <f t="array" ref="E456">SUMPRODUCT((tbl_DataDraftApril26[Phase]=E$1)*(ISNUMBER(tbl_DataDraftApril26[Start]))*(ISNUMBER(tbl_DataDraftApril26[End]))*($A456&gt;tbl_DataDraftApril26[Start])*($A456&lt;tbl_DataDraftApril26[End]))</f>
        <v>0</v>
      </c>
    </row>
    <row r="457" spans="1:5">
      <c r="A457" s="131">
        <v>46325</v>
      </c>
      <c r="B457" s="125" cm="1">
        <f t="array" ref="B457">SUMPRODUCT((tbl_DataDraftApril26[Phase]=B$1)*(ISNUMBER(tbl_DataDraftApril26[Start]))*(ISNUMBER(tbl_DataDraftApril26[End]))*($A457&gt;tbl_DataDraftApril26[Start])*($A457&lt;tbl_DataDraftApril26[End]))</f>
        <v>3</v>
      </c>
      <c r="C457" s="125" cm="1">
        <f t="array" ref="C457">SUMPRODUCT((tbl_DataDraftApril26[Phase]=C$1)*(ISNUMBER(tbl_DataDraftApril26[Start]))*(ISNUMBER(tbl_DataDraftApril26[End]))*($A457&gt;tbl_DataDraftApril26[Start])*($A457&lt;tbl_DataDraftApril26[End]))</f>
        <v>4</v>
      </c>
      <c r="D457" s="125" cm="1">
        <f t="array" ref="D457">SUMPRODUCT((tbl_DataDraftApril26[Phase]=D$1)*(ISNUMBER(tbl_DataDraftApril26[Start]))*(ISNUMBER(tbl_DataDraftApril26[End]))*($A457&gt;tbl_DataDraftApril26[Start])*($A457&lt;tbl_DataDraftApril26[End]))</f>
        <v>0</v>
      </c>
      <c r="E457" s="125" cm="1">
        <f t="array" ref="E457">SUMPRODUCT((tbl_DataDraftApril26[Phase]=E$1)*(ISNUMBER(tbl_DataDraftApril26[Start]))*(ISNUMBER(tbl_DataDraftApril26[End]))*($A457&gt;tbl_DataDraftApril26[Start])*($A457&lt;tbl_DataDraftApril26[End]))</f>
        <v>0</v>
      </c>
    </row>
    <row r="458" spans="1:5">
      <c r="A458" s="131">
        <v>46326</v>
      </c>
      <c r="B458" s="125" cm="1">
        <f t="array" ref="B458">SUMPRODUCT((tbl_DataDraftApril26[Phase]=B$1)*(ISNUMBER(tbl_DataDraftApril26[Start]))*(ISNUMBER(tbl_DataDraftApril26[End]))*($A458&gt;tbl_DataDraftApril26[Start])*($A458&lt;tbl_DataDraftApril26[End]))</f>
        <v>2</v>
      </c>
      <c r="C458" s="125" cm="1">
        <f t="array" ref="C458">SUMPRODUCT((tbl_DataDraftApril26[Phase]=C$1)*(ISNUMBER(tbl_DataDraftApril26[Start]))*(ISNUMBER(tbl_DataDraftApril26[End]))*($A458&gt;tbl_DataDraftApril26[Start])*($A458&lt;tbl_DataDraftApril26[End]))</f>
        <v>4</v>
      </c>
      <c r="D458" s="125" cm="1">
        <f t="array" ref="D458">SUMPRODUCT((tbl_DataDraftApril26[Phase]=D$1)*(ISNUMBER(tbl_DataDraftApril26[Start]))*(ISNUMBER(tbl_DataDraftApril26[End]))*($A458&gt;tbl_DataDraftApril26[Start])*($A458&lt;tbl_DataDraftApril26[End]))</f>
        <v>0</v>
      </c>
      <c r="E458" s="125" cm="1">
        <f t="array" ref="E458">SUMPRODUCT((tbl_DataDraftApril26[Phase]=E$1)*(ISNUMBER(tbl_DataDraftApril26[Start]))*(ISNUMBER(tbl_DataDraftApril26[End]))*($A458&gt;tbl_DataDraftApril26[Start])*($A458&lt;tbl_DataDraftApril26[End]))</f>
        <v>0</v>
      </c>
    </row>
    <row r="459" spans="1:5">
      <c r="A459" s="131">
        <v>46327</v>
      </c>
      <c r="B459" s="125" cm="1">
        <f t="array" ref="B459">SUMPRODUCT((tbl_DataDraftApril26[Phase]=B$1)*(ISNUMBER(tbl_DataDraftApril26[Start]))*(ISNUMBER(tbl_DataDraftApril26[End]))*($A459&gt;tbl_DataDraftApril26[Start])*($A459&lt;tbl_DataDraftApril26[End]))</f>
        <v>2</v>
      </c>
      <c r="C459" s="125" cm="1">
        <f t="array" ref="C459">SUMPRODUCT((tbl_DataDraftApril26[Phase]=C$1)*(ISNUMBER(tbl_DataDraftApril26[Start]))*(ISNUMBER(tbl_DataDraftApril26[End]))*($A459&gt;tbl_DataDraftApril26[Start])*($A459&lt;tbl_DataDraftApril26[End]))</f>
        <v>4</v>
      </c>
      <c r="D459" s="125" cm="1">
        <f t="array" ref="D459">SUMPRODUCT((tbl_DataDraftApril26[Phase]=D$1)*(ISNUMBER(tbl_DataDraftApril26[Start]))*(ISNUMBER(tbl_DataDraftApril26[End]))*($A459&gt;tbl_DataDraftApril26[Start])*($A459&lt;tbl_DataDraftApril26[End]))</f>
        <v>0</v>
      </c>
      <c r="E459" s="125" cm="1">
        <f t="array" ref="E459">SUMPRODUCT((tbl_DataDraftApril26[Phase]=E$1)*(ISNUMBER(tbl_DataDraftApril26[Start]))*(ISNUMBER(tbl_DataDraftApril26[End]))*($A459&gt;tbl_DataDraftApril26[Start])*($A459&lt;tbl_DataDraftApril26[End]))</f>
        <v>0</v>
      </c>
    </row>
    <row r="460" spans="1:5">
      <c r="A460" s="131">
        <v>46328</v>
      </c>
      <c r="B460" s="125" cm="1">
        <f t="array" ref="B460">SUMPRODUCT((tbl_DataDraftApril26[Phase]=B$1)*(ISNUMBER(tbl_DataDraftApril26[Start]))*(ISNUMBER(tbl_DataDraftApril26[End]))*($A460&gt;tbl_DataDraftApril26[Start])*($A460&lt;tbl_DataDraftApril26[End]))</f>
        <v>2</v>
      </c>
      <c r="C460" s="125" cm="1">
        <f t="array" ref="C460">SUMPRODUCT((tbl_DataDraftApril26[Phase]=C$1)*(ISNUMBER(tbl_DataDraftApril26[Start]))*(ISNUMBER(tbl_DataDraftApril26[End]))*($A460&gt;tbl_DataDraftApril26[Start])*($A460&lt;tbl_DataDraftApril26[End]))</f>
        <v>4</v>
      </c>
      <c r="D460" s="125" cm="1">
        <f t="array" ref="D460">SUMPRODUCT((tbl_DataDraftApril26[Phase]=D$1)*(ISNUMBER(tbl_DataDraftApril26[Start]))*(ISNUMBER(tbl_DataDraftApril26[End]))*($A460&gt;tbl_DataDraftApril26[Start])*($A460&lt;tbl_DataDraftApril26[End]))</f>
        <v>0</v>
      </c>
      <c r="E460" s="125" cm="1">
        <f t="array" ref="E460">SUMPRODUCT((tbl_DataDraftApril26[Phase]=E$1)*(ISNUMBER(tbl_DataDraftApril26[Start]))*(ISNUMBER(tbl_DataDraftApril26[End]))*($A460&gt;tbl_DataDraftApril26[Start])*($A460&lt;tbl_DataDraftApril26[End]))</f>
        <v>0</v>
      </c>
    </row>
    <row r="461" spans="1:5">
      <c r="A461" s="131">
        <v>46329</v>
      </c>
      <c r="B461" s="125" cm="1">
        <f t="array" ref="B461">SUMPRODUCT((tbl_DataDraftApril26[Phase]=B$1)*(ISNUMBER(tbl_DataDraftApril26[Start]))*(ISNUMBER(tbl_DataDraftApril26[End]))*($A461&gt;tbl_DataDraftApril26[Start])*($A461&lt;tbl_DataDraftApril26[End]))</f>
        <v>2</v>
      </c>
      <c r="C461" s="125" cm="1">
        <f t="array" ref="C461">SUMPRODUCT((tbl_DataDraftApril26[Phase]=C$1)*(ISNUMBER(tbl_DataDraftApril26[Start]))*(ISNUMBER(tbl_DataDraftApril26[End]))*($A461&gt;tbl_DataDraftApril26[Start])*($A461&lt;tbl_DataDraftApril26[End]))</f>
        <v>4</v>
      </c>
      <c r="D461" s="125" cm="1">
        <f t="array" ref="D461">SUMPRODUCT((tbl_DataDraftApril26[Phase]=D$1)*(ISNUMBER(tbl_DataDraftApril26[Start]))*(ISNUMBER(tbl_DataDraftApril26[End]))*($A461&gt;tbl_DataDraftApril26[Start])*($A461&lt;tbl_DataDraftApril26[End]))</f>
        <v>0</v>
      </c>
      <c r="E461" s="125" cm="1">
        <f t="array" ref="E461">SUMPRODUCT((tbl_DataDraftApril26[Phase]=E$1)*(ISNUMBER(tbl_DataDraftApril26[Start]))*(ISNUMBER(tbl_DataDraftApril26[End]))*($A461&gt;tbl_DataDraftApril26[Start])*($A461&lt;tbl_DataDraftApril26[End]))</f>
        <v>0</v>
      </c>
    </row>
    <row r="462" spans="1:5">
      <c r="A462" s="131">
        <v>46330</v>
      </c>
      <c r="B462" s="125" cm="1">
        <f t="array" ref="B462">SUMPRODUCT((tbl_DataDraftApril26[Phase]=B$1)*(ISNUMBER(tbl_DataDraftApril26[Start]))*(ISNUMBER(tbl_DataDraftApril26[End]))*($A462&gt;tbl_DataDraftApril26[Start])*($A462&lt;tbl_DataDraftApril26[End]))</f>
        <v>2</v>
      </c>
      <c r="C462" s="125" cm="1">
        <f t="array" ref="C462">SUMPRODUCT((tbl_DataDraftApril26[Phase]=C$1)*(ISNUMBER(tbl_DataDraftApril26[Start]))*(ISNUMBER(tbl_DataDraftApril26[End]))*($A462&gt;tbl_DataDraftApril26[Start])*($A462&lt;tbl_DataDraftApril26[End]))</f>
        <v>4</v>
      </c>
      <c r="D462" s="125" cm="1">
        <f t="array" ref="D462">SUMPRODUCT((tbl_DataDraftApril26[Phase]=D$1)*(ISNUMBER(tbl_DataDraftApril26[Start]))*(ISNUMBER(tbl_DataDraftApril26[End]))*($A462&gt;tbl_DataDraftApril26[Start])*($A462&lt;tbl_DataDraftApril26[End]))</f>
        <v>0</v>
      </c>
      <c r="E462" s="125" cm="1">
        <f t="array" ref="E462">SUMPRODUCT((tbl_DataDraftApril26[Phase]=E$1)*(ISNUMBER(tbl_DataDraftApril26[Start]))*(ISNUMBER(tbl_DataDraftApril26[End]))*($A462&gt;tbl_DataDraftApril26[Start])*($A462&lt;tbl_DataDraftApril26[End]))</f>
        <v>0</v>
      </c>
    </row>
    <row r="463" spans="1:5">
      <c r="A463" s="131">
        <v>46331</v>
      </c>
      <c r="B463" s="125" cm="1">
        <f t="array" ref="B463">SUMPRODUCT((tbl_DataDraftApril26[Phase]=B$1)*(ISNUMBER(tbl_DataDraftApril26[Start]))*(ISNUMBER(tbl_DataDraftApril26[End]))*($A463&gt;tbl_DataDraftApril26[Start])*($A463&lt;tbl_DataDraftApril26[End]))</f>
        <v>2</v>
      </c>
      <c r="C463" s="125" cm="1">
        <f t="array" ref="C463">SUMPRODUCT((tbl_DataDraftApril26[Phase]=C$1)*(ISNUMBER(tbl_DataDraftApril26[Start]))*(ISNUMBER(tbl_DataDraftApril26[End]))*($A463&gt;tbl_DataDraftApril26[Start])*($A463&lt;tbl_DataDraftApril26[End]))</f>
        <v>4</v>
      </c>
      <c r="D463" s="125" cm="1">
        <f t="array" ref="D463">SUMPRODUCT((tbl_DataDraftApril26[Phase]=D$1)*(ISNUMBER(tbl_DataDraftApril26[Start]))*(ISNUMBER(tbl_DataDraftApril26[End]))*($A463&gt;tbl_DataDraftApril26[Start])*($A463&lt;tbl_DataDraftApril26[End]))</f>
        <v>0</v>
      </c>
      <c r="E463" s="125" cm="1">
        <f t="array" ref="E463">SUMPRODUCT((tbl_DataDraftApril26[Phase]=E$1)*(ISNUMBER(tbl_DataDraftApril26[Start]))*(ISNUMBER(tbl_DataDraftApril26[End]))*($A463&gt;tbl_DataDraftApril26[Start])*($A463&lt;tbl_DataDraftApril26[End]))</f>
        <v>0</v>
      </c>
    </row>
    <row r="464" spans="1:5">
      <c r="A464" s="131">
        <v>46332</v>
      </c>
      <c r="B464" s="125" cm="1">
        <f t="array" ref="B464">SUMPRODUCT((tbl_DataDraftApril26[Phase]=B$1)*(ISNUMBER(tbl_DataDraftApril26[Start]))*(ISNUMBER(tbl_DataDraftApril26[End]))*($A464&gt;tbl_DataDraftApril26[Start])*($A464&lt;tbl_DataDraftApril26[End]))</f>
        <v>2</v>
      </c>
      <c r="C464" s="125" cm="1">
        <f t="array" ref="C464">SUMPRODUCT((tbl_DataDraftApril26[Phase]=C$1)*(ISNUMBER(tbl_DataDraftApril26[Start]))*(ISNUMBER(tbl_DataDraftApril26[End]))*($A464&gt;tbl_DataDraftApril26[Start])*($A464&lt;tbl_DataDraftApril26[End]))</f>
        <v>4</v>
      </c>
      <c r="D464" s="125" cm="1">
        <f t="array" ref="D464">SUMPRODUCT((tbl_DataDraftApril26[Phase]=D$1)*(ISNUMBER(tbl_DataDraftApril26[Start]))*(ISNUMBER(tbl_DataDraftApril26[End]))*($A464&gt;tbl_DataDraftApril26[Start])*($A464&lt;tbl_DataDraftApril26[End]))</f>
        <v>0</v>
      </c>
      <c r="E464" s="125" cm="1">
        <f t="array" ref="E464">SUMPRODUCT((tbl_DataDraftApril26[Phase]=E$1)*(ISNUMBER(tbl_DataDraftApril26[Start]))*(ISNUMBER(tbl_DataDraftApril26[End]))*($A464&gt;tbl_DataDraftApril26[Start])*($A464&lt;tbl_DataDraftApril26[End]))</f>
        <v>0</v>
      </c>
    </row>
    <row r="465" spans="1:5">
      <c r="A465" s="131">
        <v>46333</v>
      </c>
      <c r="B465" s="125" cm="1">
        <f t="array" ref="B465">SUMPRODUCT((tbl_DataDraftApril26[Phase]=B$1)*(ISNUMBER(tbl_DataDraftApril26[Start]))*(ISNUMBER(tbl_DataDraftApril26[End]))*($A465&gt;tbl_DataDraftApril26[Start])*($A465&lt;tbl_DataDraftApril26[End]))</f>
        <v>2</v>
      </c>
      <c r="C465" s="125" cm="1">
        <f t="array" ref="C465">SUMPRODUCT((tbl_DataDraftApril26[Phase]=C$1)*(ISNUMBER(tbl_DataDraftApril26[Start]))*(ISNUMBER(tbl_DataDraftApril26[End]))*($A465&gt;tbl_DataDraftApril26[Start])*($A465&lt;tbl_DataDraftApril26[End]))</f>
        <v>4</v>
      </c>
      <c r="D465" s="125" cm="1">
        <f t="array" ref="D465">SUMPRODUCT((tbl_DataDraftApril26[Phase]=D$1)*(ISNUMBER(tbl_DataDraftApril26[Start]))*(ISNUMBER(tbl_DataDraftApril26[End]))*($A465&gt;tbl_DataDraftApril26[Start])*($A465&lt;tbl_DataDraftApril26[End]))</f>
        <v>0</v>
      </c>
      <c r="E465" s="125" cm="1">
        <f t="array" ref="E465">SUMPRODUCT((tbl_DataDraftApril26[Phase]=E$1)*(ISNUMBER(tbl_DataDraftApril26[Start]))*(ISNUMBER(tbl_DataDraftApril26[End]))*($A465&gt;tbl_DataDraftApril26[Start])*($A465&lt;tbl_DataDraftApril26[End]))</f>
        <v>0</v>
      </c>
    </row>
    <row r="466" spans="1:5">
      <c r="A466" s="131">
        <v>46334</v>
      </c>
      <c r="B466" s="125" cm="1">
        <f t="array" ref="B466">SUMPRODUCT((tbl_DataDraftApril26[Phase]=B$1)*(ISNUMBER(tbl_DataDraftApril26[Start]))*(ISNUMBER(tbl_DataDraftApril26[End]))*($A466&gt;tbl_DataDraftApril26[Start])*($A466&lt;tbl_DataDraftApril26[End]))</f>
        <v>2</v>
      </c>
      <c r="C466" s="125" cm="1">
        <f t="array" ref="C466">SUMPRODUCT((tbl_DataDraftApril26[Phase]=C$1)*(ISNUMBER(tbl_DataDraftApril26[Start]))*(ISNUMBER(tbl_DataDraftApril26[End]))*($A466&gt;tbl_DataDraftApril26[Start])*($A466&lt;tbl_DataDraftApril26[End]))</f>
        <v>4</v>
      </c>
      <c r="D466" s="125" cm="1">
        <f t="array" ref="D466">SUMPRODUCT((tbl_DataDraftApril26[Phase]=D$1)*(ISNUMBER(tbl_DataDraftApril26[Start]))*(ISNUMBER(tbl_DataDraftApril26[End]))*($A466&gt;tbl_DataDraftApril26[Start])*($A466&lt;tbl_DataDraftApril26[End]))</f>
        <v>0</v>
      </c>
      <c r="E466" s="125" cm="1">
        <f t="array" ref="E466">SUMPRODUCT((tbl_DataDraftApril26[Phase]=E$1)*(ISNUMBER(tbl_DataDraftApril26[Start]))*(ISNUMBER(tbl_DataDraftApril26[End]))*($A466&gt;tbl_DataDraftApril26[Start])*($A466&lt;tbl_DataDraftApril26[End]))</f>
        <v>0</v>
      </c>
    </row>
    <row r="467" spans="1:5">
      <c r="A467" s="131">
        <v>46335</v>
      </c>
      <c r="B467" s="125" cm="1">
        <f t="array" ref="B467">SUMPRODUCT((tbl_DataDraftApril26[Phase]=B$1)*(ISNUMBER(tbl_DataDraftApril26[Start]))*(ISNUMBER(tbl_DataDraftApril26[End]))*($A467&gt;tbl_DataDraftApril26[Start])*($A467&lt;tbl_DataDraftApril26[End]))</f>
        <v>2</v>
      </c>
      <c r="C467" s="125" cm="1">
        <f t="array" ref="C467">SUMPRODUCT((tbl_DataDraftApril26[Phase]=C$1)*(ISNUMBER(tbl_DataDraftApril26[Start]))*(ISNUMBER(tbl_DataDraftApril26[End]))*($A467&gt;tbl_DataDraftApril26[Start])*($A467&lt;tbl_DataDraftApril26[End]))</f>
        <v>4</v>
      </c>
      <c r="D467" s="125" cm="1">
        <f t="array" ref="D467">SUMPRODUCT((tbl_DataDraftApril26[Phase]=D$1)*(ISNUMBER(tbl_DataDraftApril26[Start]))*(ISNUMBER(tbl_DataDraftApril26[End]))*($A467&gt;tbl_DataDraftApril26[Start])*($A467&lt;tbl_DataDraftApril26[End]))</f>
        <v>0</v>
      </c>
      <c r="E467" s="125" cm="1">
        <f t="array" ref="E467">SUMPRODUCT((tbl_DataDraftApril26[Phase]=E$1)*(ISNUMBER(tbl_DataDraftApril26[Start]))*(ISNUMBER(tbl_DataDraftApril26[End]))*($A467&gt;tbl_DataDraftApril26[Start])*($A467&lt;tbl_DataDraftApril26[End]))</f>
        <v>0</v>
      </c>
    </row>
    <row r="468" spans="1:5">
      <c r="A468" s="131">
        <v>46336</v>
      </c>
      <c r="B468" s="125" cm="1">
        <f t="array" ref="B468">SUMPRODUCT((tbl_DataDraftApril26[Phase]=B$1)*(ISNUMBER(tbl_DataDraftApril26[Start]))*(ISNUMBER(tbl_DataDraftApril26[End]))*($A468&gt;tbl_DataDraftApril26[Start])*($A468&lt;tbl_DataDraftApril26[End]))</f>
        <v>2</v>
      </c>
      <c r="C468" s="125" cm="1">
        <f t="array" ref="C468">SUMPRODUCT((tbl_DataDraftApril26[Phase]=C$1)*(ISNUMBER(tbl_DataDraftApril26[Start]))*(ISNUMBER(tbl_DataDraftApril26[End]))*($A468&gt;tbl_DataDraftApril26[Start])*($A468&lt;tbl_DataDraftApril26[End]))</f>
        <v>4</v>
      </c>
      <c r="D468" s="125" cm="1">
        <f t="array" ref="D468">SUMPRODUCT((tbl_DataDraftApril26[Phase]=D$1)*(ISNUMBER(tbl_DataDraftApril26[Start]))*(ISNUMBER(tbl_DataDraftApril26[End]))*($A468&gt;tbl_DataDraftApril26[Start])*($A468&lt;tbl_DataDraftApril26[End]))</f>
        <v>0</v>
      </c>
      <c r="E468" s="125" cm="1">
        <f t="array" ref="E468">SUMPRODUCT((tbl_DataDraftApril26[Phase]=E$1)*(ISNUMBER(tbl_DataDraftApril26[Start]))*(ISNUMBER(tbl_DataDraftApril26[End]))*($A468&gt;tbl_DataDraftApril26[Start])*($A468&lt;tbl_DataDraftApril26[End]))</f>
        <v>0</v>
      </c>
    </row>
    <row r="469" spans="1:5">
      <c r="A469" s="131">
        <v>46337</v>
      </c>
      <c r="B469" s="125" cm="1">
        <f t="array" ref="B469">SUMPRODUCT((tbl_DataDraftApril26[Phase]=B$1)*(ISNUMBER(tbl_DataDraftApril26[Start]))*(ISNUMBER(tbl_DataDraftApril26[End]))*($A469&gt;tbl_DataDraftApril26[Start])*($A469&lt;tbl_DataDraftApril26[End]))</f>
        <v>2</v>
      </c>
      <c r="C469" s="125" cm="1">
        <f t="array" ref="C469">SUMPRODUCT((tbl_DataDraftApril26[Phase]=C$1)*(ISNUMBER(tbl_DataDraftApril26[Start]))*(ISNUMBER(tbl_DataDraftApril26[End]))*($A469&gt;tbl_DataDraftApril26[Start])*($A469&lt;tbl_DataDraftApril26[End]))</f>
        <v>4</v>
      </c>
      <c r="D469" s="125" cm="1">
        <f t="array" ref="D469">SUMPRODUCT((tbl_DataDraftApril26[Phase]=D$1)*(ISNUMBER(tbl_DataDraftApril26[Start]))*(ISNUMBER(tbl_DataDraftApril26[End]))*($A469&gt;tbl_DataDraftApril26[Start])*($A469&lt;tbl_DataDraftApril26[End]))</f>
        <v>0</v>
      </c>
      <c r="E469" s="125" cm="1">
        <f t="array" ref="E469">SUMPRODUCT((tbl_DataDraftApril26[Phase]=E$1)*(ISNUMBER(tbl_DataDraftApril26[Start]))*(ISNUMBER(tbl_DataDraftApril26[End]))*($A469&gt;tbl_DataDraftApril26[Start])*($A469&lt;tbl_DataDraftApril26[End]))</f>
        <v>0</v>
      </c>
    </row>
    <row r="470" spans="1:5">
      <c r="A470" s="131">
        <v>46338</v>
      </c>
      <c r="B470" s="125" cm="1">
        <f t="array" ref="B470">SUMPRODUCT((tbl_DataDraftApril26[Phase]=B$1)*(ISNUMBER(tbl_DataDraftApril26[Start]))*(ISNUMBER(tbl_DataDraftApril26[End]))*($A470&gt;tbl_DataDraftApril26[Start])*($A470&lt;tbl_DataDraftApril26[End]))</f>
        <v>2</v>
      </c>
      <c r="C470" s="125" cm="1">
        <f t="array" ref="C470">SUMPRODUCT((tbl_DataDraftApril26[Phase]=C$1)*(ISNUMBER(tbl_DataDraftApril26[Start]))*(ISNUMBER(tbl_DataDraftApril26[End]))*($A470&gt;tbl_DataDraftApril26[Start])*($A470&lt;tbl_DataDraftApril26[End]))</f>
        <v>4</v>
      </c>
      <c r="D470" s="125" cm="1">
        <f t="array" ref="D470">SUMPRODUCT((tbl_DataDraftApril26[Phase]=D$1)*(ISNUMBER(tbl_DataDraftApril26[Start]))*(ISNUMBER(tbl_DataDraftApril26[End]))*($A470&gt;tbl_DataDraftApril26[Start])*($A470&lt;tbl_DataDraftApril26[End]))</f>
        <v>0</v>
      </c>
      <c r="E470" s="125" cm="1">
        <f t="array" ref="E470">SUMPRODUCT((tbl_DataDraftApril26[Phase]=E$1)*(ISNUMBER(tbl_DataDraftApril26[Start]))*(ISNUMBER(tbl_DataDraftApril26[End]))*($A470&gt;tbl_DataDraftApril26[Start])*($A470&lt;tbl_DataDraftApril26[End]))</f>
        <v>0</v>
      </c>
    </row>
    <row r="471" spans="1:5">
      <c r="A471" s="131">
        <v>46339</v>
      </c>
      <c r="B471" s="125" cm="1">
        <f t="array" ref="B471">SUMPRODUCT((tbl_DataDraftApril26[Phase]=B$1)*(ISNUMBER(tbl_DataDraftApril26[Start]))*(ISNUMBER(tbl_DataDraftApril26[End]))*($A471&gt;tbl_DataDraftApril26[Start])*($A471&lt;tbl_DataDraftApril26[End]))</f>
        <v>2</v>
      </c>
      <c r="C471" s="125" cm="1">
        <f t="array" ref="C471">SUMPRODUCT((tbl_DataDraftApril26[Phase]=C$1)*(ISNUMBER(tbl_DataDraftApril26[Start]))*(ISNUMBER(tbl_DataDraftApril26[End]))*($A471&gt;tbl_DataDraftApril26[Start])*($A471&lt;tbl_DataDraftApril26[End]))</f>
        <v>4</v>
      </c>
      <c r="D471" s="125" cm="1">
        <f t="array" ref="D471">SUMPRODUCT((tbl_DataDraftApril26[Phase]=D$1)*(ISNUMBER(tbl_DataDraftApril26[Start]))*(ISNUMBER(tbl_DataDraftApril26[End]))*($A471&gt;tbl_DataDraftApril26[Start])*($A471&lt;tbl_DataDraftApril26[End]))</f>
        <v>0</v>
      </c>
      <c r="E471" s="125" cm="1">
        <f t="array" ref="E471">SUMPRODUCT((tbl_DataDraftApril26[Phase]=E$1)*(ISNUMBER(tbl_DataDraftApril26[Start]))*(ISNUMBER(tbl_DataDraftApril26[End]))*($A471&gt;tbl_DataDraftApril26[Start])*($A471&lt;tbl_DataDraftApril26[End]))</f>
        <v>0</v>
      </c>
    </row>
    <row r="472" spans="1:5">
      <c r="A472" s="131">
        <v>46340</v>
      </c>
      <c r="B472" s="125" cm="1">
        <f t="array" ref="B472">SUMPRODUCT((tbl_DataDraftApril26[Phase]=B$1)*(ISNUMBER(tbl_DataDraftApril26[Start]))*(ISNUMBER(tbl_DataDraftApril26[End]))*($A472&gt;tbl_DataDraftApril26[Start])*($A472&lt;tbl_DataDraftApril26[End]))</f>
        <v>2</v>
      </c>
      <c r="C472" s="125" cm="1">
        <f t="array" ref="C472">SUMPRODUCT((tbl_DataDraftApril26[Phase]=C$1)*(ISNUMBER(tbl_DataDraftApril26[Start]))*(ISNUMBER(tbl_DataDraftApril26[End]))*($A472&gt;tbl_DataDraftApril26[Start])*($A472&lt;tbl_DataDraftApril26[End]))</f>
        <v>4</v>
      </c>
      <c r="D472" s="125" cm="1">
        <f t="array" ref="D472">SUMPRODUCT((tbl_DataDraftApril26[Phase]=D$1)*(ISNUMBER(tbl_DataDraftApril26[Start]))*(ISNUMBER(tbl_DataDraftApril26[End]))*($A472&gt;tbl_DataDraftApril26[Start])*($A472&lt;tbl_DataDraftApril26[End]))</f>
        <v>0</v>
      </c>
      <c r="E472" s="125" cm="1">
        <f t="array" ref="E472">SUMPRODUCT((tbl_DataDraftApril26[Phase]=E$1)*(ISNUMBER(tbl_DataDraftApril26[Start]))*(ISNUMBER(tbl_DataDraftApril26[End]))*($A472&gt;tbl_DataDraftApril26[Start])*($A472&lt;tbl_DataDraftApril26[End]))</f>
        <v>0</v>
      </c>
    </row>
    <row r="473" spans="1:5">
      <c r="A473" s="131">
        <v>46341</v>
      </c>
      <c r="B473" s="125" cm="1">
        <f t="array" ref="B473">SUMPRODUCT((tbl_DataDraftApril26[Phase]=B$1)*(ISNUMBER(tbl_DataDraftApril26[Start]))*(ISNUMBER(tbl_DataDraftApril26[End]))*($A473&gt;tbl_DataDraftApril26[Start])*($A473&lt;tbl_DataDraftApril26[End]))</f>
        <v>2</v>
      </c>
      <c r="C473" s="125" cm="1">
        <f t="array" ref="C473">SUMPRODUCT((tbl_DataDraftApril26[Phase]=C$1)*(ISNUMBER(tbl_DataDraftApril26[Start]))*(ISNUMBER(tbl_DataDraftApril26[End]))*($A473&gt;tbl_DataDraftApril26[Start])*($A473&lt;tbl_DataDraftApril26[End]))</f>
        <v>4</v>
      </c>
      <c r="D473" s="125" cm="1">
        <f t="array" ref="D473">SUMPRODUCT((tbl_DataDraftApril26[Phase]=D$1)*(ISNUMBER(tbl_DataDraftApril26[Start]))*(ISNUMBER(tbl_DataDraftApril26[End]))*($A473&gt;tbl_DataDraftApril26[Start])*($A473&lt;tbl_DataDraftApril26[End]))</f>
        <v>0</v>
      </c>
      <c r="E473" s="125" cm="1">
        <f t="array" ref="E473">SUMPRODUCT((tbl_DataDraftApril26[Phase]=E$1)*(ISNUMBER(tbl_DataDraftApril26[Start]))*(ISNUMBER(tbl_DataDraftApril26[End]))*($A473&gt;tbl_DataDraftApril26[Start])*($A473&lt;tbl_DataDraftApril26[End]))</f>
        <v>0</v>
      </c>
    </row>
    <row r="474" spans="1:5">
      <c r="A474" s="131">
        <v>46342</v>
      </c>
      <c r="B474" s="125" cm="1">
        <f t="array" ref="B474">SUMPRODUCT((tbl_DataDraftApril26[Phase]=B$1)*(ISNUMBER(tbl_DataDraftApril26[Start]))*(ISNUMBER(tbl_DataDraftApril26[End]))*($A474&gt;tbl_DataDraftApril26[Start])*($A474&lt;tbl_DataDraftApril26[End]))</f>
        <v>2</v>
      </c>
      <c r="C474" s="125" cm="1">
        <f t="array" ref="C474">SUMPRODUCT((tbl_DataDraftApril26[Phase]=C$1)*(ISNUMBER(tbl_DataDraftApril26[Start]))*(ISNUMBER(tbl_DataDraftApril26[End]))*($A474&gt;tbl_DataDraftApril26[Start])*($A474&lt;tbl_DataDraftApril26[End]))</f>
        <v>4</v>
      </c>
      <c r="D474" s="125" cm="1">
        <f t="array" ref="D474">SUMPRODUCT((tbl_DataDraftApril26[Phase]=D$1)*(ISNUMBER(tbl_DataDraftApril26[Start]))*(ISNUMBER(tbl_DataDraftApril26[End]))*($A474&gt;tbl_DataDraftApril26[Start])*($A474&lt;tbl_DataDraftApril26[End]))</f>
        <v>0</v>
      </c>
      <c r="E474" s="125" cm="1">
        <f t="array" ref="E474">SUMPRODUCT((tbl_DataDraftApril26[Phase]=E$1)*(ISNUMBER(tbl_DataDraftApril26[Start]))*(ISNUMBER(tbl_DataDraftApril26[End]))*($A474&gt;tbl_DataDraftApril26[Start])*($A474&lt;tbl_DataDraftApril26[End]))</f>
        <v>0</v>
      </c>
    </row>
    <row r="475" spans="1:5">
      <c r="A475" s="131">
        <v>46343</v>
      </c>
      <c r="B475" s="125" cm="1">
        <f t="array" ref="B475">SUMPRODUCT((tbl_DataDraftApril26[Phase]=B$1)*(ISNUMBER(tbl_DataDraftApril26[Start]))*(ISNUMBER(tbl_DataDraftApril26[End]))*($A475&gt;tbl_DataDraftApril26[Start])*($A475&lt;tbl_DataDraftApril26[End]))</f>
        <v>2</v>
      </c>
      <c r="C475" s="125" cm="1">
        <f t="array" ref="C475">SUMPRODUCT((tbl_DataDraftApril26[Phase]=C$1)*(ISNUMBER(tbl_DataDraftApril26[Start]))*(ISNUMBER(tbl_DataDraftApril26[End]))*($A475&gt;tbl_DataDraftApril26[Start])*($A475&lt;tbl_DataDraftApril26[End]))</f>
        <v>4</v>
      </c>
      <c r="D475" s="125" cm="1">
        <f t="array" ref="D475">SUMPRODUCT((tbl_DataDraftApril26[Phase]=D$1)*(ISNUMBER(tbl_DataDraftApril26[Start]))*(ISNUMBER(tbl_DataDraftApril26[End]))*($A475&gt;tbl_DataDraftApril26[Start])*($A475&lt;tbl_DataDraftApril26[End]))</f>
        <v>0</v>
      </c>
      <c r="E475" s="125" cm="1">
        <f t="array" ref="E475">SUMPRODUCT((tbl_DataDraftApril26[Phase]=E$1)*(ISNUMBER(tbl_DataDraftApril26[Start]))*(ISNUMBER(tbl_DataDraftApril26[End]))*($A475&gt;tbl_DataDraftApril26[Start])*($A475&lt;tbl_DataDraftApril26[End]))</f>
        <v>0</v>
      </c>
    </row>
    <row r="476" spans="1:5">
      <c r="A476" s="131">
        <v>46344</v>
      </c>
      <c r="B476" s="125" cm="1">
        <f t="array" ref="B476">SUMPRODUCT((tbl_DataDraftApril26[Phase]=B$1)*(ISNUMBER(tbl_DataDraftApril26[Start]))*(ISNUMBER(tbl_DataDraftApril26[End]))*($A476&gt;tbl_DataDraftApril26[Start])*($A476&lt;tbl_DataDraftApril26[End]))</f>
        <v>2</v>
      </c>
      <c r="C476" s="125" cm="1">
        <f t="array" ref="C476">SUMPRODUCT((tbl_DataDraftApril26[Phase]=C$1)*(ISNUMBER(tbl_DataDraftApril26[Start]))*(ISNUMBER(tbl_DataDraftApril26[End]))*($A476&gt;tbl_DataDraftApril26[Start])*($A476&lt;tbl_DataDraftApril26[End]))</f>
        <v>4</v>
      </c>
      <c r="D476" s="125" cm="1">
        <f t="array" ref="D476">SUMPRODUCT((tbl_DataDraftApril26[Phase]=D$1)*(ISNUMBER(tbl_DataDraftApril26[Start]))*(ISNUMBER(tbl_DataDraftApril26[End]))*($A476&gt;tbl_DataDraftApril26[Start])*($A476&lt;tbl_DataDraftApril26[End]))</f>
        <v>0</v>
      </c>
      <c r="E476" s="125" cm="1">
        <f t="array" ref="E476">SUMPRODUCT((tbl_DataDraftApril26[Phase]=E$1)*(ISNUMBER(tbl_DataDraftApril26[Start]))*(ISNUMBER(tbl_DataDraftApril26[End]))*($A476&gt;tbl_DataDraftApril26[Start])*($A476&lt;tbl_DataDraftApril26[End]))</f>
        <v>0</v>
      </c>
    </row>
    <row r="477" spans="1:5">
      <c r="A477" s="131">
        <v>46345</v>
      </c>
      <c r="B477" s="125" cm="1">
        <f t="array" ref="B477">SUMPRODUCT((tbl_DataDraftApril26[Phase]=B$1)*(ISNUMBER(tbl_DataDraftApril26[Start]))*(ISNUMBER(tbl_DataDraftApril26[End]))*($A477&gt;tbl_DataDraftApril26[Start])*($A477&lt;tbl_DataDraftApril26[End]))</f>
        <v>2</v>
      </c>
      <c r="C477" s="125" cm="1">
        <f t="array" ref="C477">SUMPRODUCT((tbl_DataDraftApril26[Phase]=C$1)*(ISNUMBER(tbl_DataDraftApril26[Start]))*(ISNUMBER(tbl_DataDraftApril26[End]))*($A477&gt;tbl_DataDraftApril26[Start])*($A477&lt;tbl_DataDraftApril26[End]))</f>
        <v>4</v>
      </c>
      <c r="D477" s="125" cm="1">
        <f t="array" ref="D477">SUMPRODUCT((tbl_DataDraftApril26[Phase]=D$1)*(ISNUMBER(tbl_DataDraftApril26[Start]))*(ISNUMBER(tbl_DataDraftApril26[End]))*($A477&gt;tbl_DataDraftApril26[Start])*($A477&lt;tbl_DataDraftApril26[End]))</f>
        <v>0</v>
      </c>
      <c r="E477" s="125" cm="1">
        <f t="array" ref="E477">SUMPRODUCT((tbl_DataDraftApril26[Phase]=E$1)*(ISNUMBER(tbl_DataDraftApril26[Start]))*(ISNUMBER(tbl_DataDraftApril26[End]))*($A477&gt;tbl_DataDraftApril26[Start])*($A477&lt;tbl_DataDraftApril26[End]))</f>
        <v>0</v>
      </c>
    </row>
    <row r="478" spans="1:5">
      <c r="A478" s="131">
        <v>46346</v>
      </c>
      <c r="B478" s="125" cm="1">
        <f t="array" ref="B478">SUMPRODUCT((tbl_DataDraftApril26[Phase]=B$1)*(ISNUMBER(tbl_DataDraftApril26[Start]))*(ISNUMBER(tbl_DataDraftApril26[End]))*($A478&gt;tbl_DataDraftApril26[Start])*($A478&lt;tbl_DataDraftApril26[End]))</f>
        <v>2</v>
      </c>
      <c r="C478" s="125" cm="1">
        <f t="array" ref="C478">SUMPRODUCT((tbl_DataDraftApril26[Phase]=C$1)*(ISNUMBER(tbl_DataDraftApril26[Start]))*(ISNUMBER(tbl_DataDraftApril26[End]))*($A478&gt;tbl_DataDraftApril26[Start])*($A478&lt;tbl_DataDraftApril26[End]))</f>
        <v>4</v>
      </c>
      <c r="D478" s="125" cm="1">
        <f t="array" ref="D478">SUMPRODUCT((tbl_DataDraftApril26[Phase]=D$1)*(ISNUMBER(tbl_DataDraftApril26[Start]))*(ISNUMBER(tbl_DataDraftApril26[End]))*($A478&gt;tbl_DataDraftApril26[Start])*($A478&lt;tbl_DataDraftApril26[End]))</f>
        <v>0</v>
      </c>
      <c r="E478" s="125" cm="1">
        <f t="array" ref="E478">SUMPRODUCT((tbl_DataDraftApril26[Phase]=E$1)*(ISNUMBER(tbl_DataDraftApril26[Start]))*(ISNUMBER(tbl_DataDraftApril26[End]))*($A478&gt;tbl_DataDraftApril26[Start])*($A478&lt;tbl_DataDraftApril26[End]))</f>
        <v>0</v>
      </c>
    </row>
    <row r="479" spans="1:5">
      <c r="A479" s="131">
        <v>46347</v>
      </c>
      <c r="B479" s="125" cm="1">
        <f t="array" ref="B479">SUMPRODUCT((tbl_DataDraftApril26[Phase]=B$1)*(ISNUMBER(tbl_DataDraftApril26[Start]))*(ISNUMBER(tbl_DataDraftApril26[End]))*($A479&gt;tbl_DataDraftApril26[Start])*($A479&lt;tbl_DataDraftApril26[End]))</f>
        <v>2</v>
      </c>
      <c r="C479" s="125" cm="1">
        <f t="array" ref="C479">SUMPRODUCT((tbl_DataDraftApril26[Phase]=C$1)*(ISNUMBER(tbl_DataDraftApril26[Start]))*(ISNUMBER(tbl_DataDraftApril26[End]))*($A479&gt;tbl_DataDraftApril26[Start])*($A479&lt;tbl_DataDraftApril26[End]))</f>
        <v>4</v>
      </c>
      <c r="D479" s="125" cm="1">
        <f t="array" ref="D479">SUMPRODUCT((tbl_DataDraftApril26[Phase]=D$1)*(ISNUMBER(tbl_DataDraftApril26[Start]))*(ISNUMBER(tbl_DataDraftApril26[End]))*($A479&gt;tbl_DataDraftApril26[Start])*($A479&lt;tbl_DataDraftApril26[End]))</f>
        <v>0</v>
      </c>
      <c r="E479" s="125" cm="1">
        <f t="array" ref="E479">SUMPRODUCT((tbl_DataDraftApril26[Phase]=E$1)*(ISNUMBER(tbl_DataDraftApril26[Start]))*(ISNUMBER(tbl_DataDraftApril26[End]))*($A479&gt;tbl_DataDraftApril26[Start])*($A479&lt;tbl_DataDraftApril26[End]))</f>
        <v>0</v>
      </c>
    </row>
    <row r="480" spans="1:5">
      <c r="A480" s="131">
        <v>46348</v>
      </c>
      <c r="B480" s="125" cm="1">
        <f t="array" ref="B480">SUMPRODUCT((tbl_DataDraftApril26[Phase]=B$1)*(ISNUMBER(tbl_DataDraftApril26[Start]))*(ISNUMBER(tbl_DataDraftApril26[End]))*($A480&gt;tbl_DataDraftApril26[Start])*($A480&lt;tbl_DataDraftApril26[End]))</f>
        <v>2</v>
      </c>
      <c r="C480" s="125" cm="1">
        <f t="array" ref="C480">SUMPRODUCT((tbl_DataDraftApril26[Phase]=C$1)*(ISNUMBER(tbl_DataDraftApril26[Start]))*(ISNUMBER(tbl_DataDraftApril26[End]))*($A480&gt;tbl_DataDraftApril26[Start])*($A480&lt;tbl_DataDraftApril26[End]))</f>
        <v>4</v>
      </c>
      <c r="D480" s="125" cm="1">
        <f t="array" ref="D480">SUMPRODUCT((tbl_DataDraftApril26[Phase]=D$1)*(ISNUMBER(tbl_DataDraftApril26[Start]))*(ISNUMBER(tbl_DataDraftApril26[End]))*($A480&gt;tbl_DataDraftApril26[Start])*($A480&lt;tbl_DataDraftApril26[End]))</f>
        <v>0</v>
      </c>
      <c r="E480" s="125" cm="1">
        <f t="array" ref="E480">SUMPRODUCT((tbl_DataDraftApril26[Phase]=E$1)*(ISNUMBER(tbl_DataDraftApril26[Start]))*(ISNUMBER(tbl_DataDraftApril26[End]))*($A480&gt;tbl_DataDraftApril26[Start])*($A480&lt;tbl_DataDraftApril26[End]))</f>
        <v>0</v>
      </c>
    </row>
    <row r="481" spans="1:5">
      <c r="A481" s="131">
        <v>46349</v>
      </c>
      <c r="B481" s="125" cm="1">
        <f t="array" ref="B481">SUMPRODUCT((tbl_DataDraftApril26[Phase]=B$1)*(ISNUMBER(tbl_DataDraftApril26[Start]))*(ISNUMBER(tbl_DataDraftApril26[End]))*($A481&gt;tbl_DataDraftApril26[Start])*($A481&lt;tbl_DataDraftApril26[End]))</f>
        <v>2</v>
      </c>
      <c r="C481" s="125" cm="1">
        <f t="array" ref="C481">SUMPRODUCT((tbl_DataDraftApril26[Phase]=C$1)*(ISNUMBER(tbl_DataDraftApril26[Start]))*(ISNUMBER(tbl_DataDraftApril26[End]))*($A481&gt;tbl_DataDraftApril26[Start])*($A481&lt;tbl_DataDraftApril26[End]))</f>
        <v>4</v>
      </c>
      <c r="D481" s="125" cm="1">
        <f t="array" ref="D481">SUMPRODUCT((tbl_DataDraftApril26[Phase]=D$1)*(ISNUMBER(tbl_DataDraftApril26[Start]))*(ISNUMBER(tbl_DataDraftApril26[End]))*($A481&gt;tbl_DataDraftApril26[Start])*($A481&lt;tbl_DataDraftApril26[End]))</f>
        <v>0</v>
      </c>
      <c r="E481" s="125" cm="1">
        <f t="array" ref="E481">SUMPRODUCT((tbl_DataDraftApril26[Phase]=E$1)*(ISNUMBER(tbl_DataDraftApril26[Start]))*(ISNUMBER(tbl_DataDraftApril26[End]))*($A481&gt;tbl_DataDraftApril26[Start])*($A481&lt;tbl_DataDraftApril26[End]))</f>
        <v>0</v>
      </c>
    </row>
    <row r="482" spans="1:5">
      <c r="A482" s="131">
        <v>46350</v>
      </c>
      <c r="B482" s="125" cm="1">
        <f t="array" ref="B482">SUMPRODUCT((tbl_DataDraftApril26[Phase]=B$1)*(ISNUMBER(tbl_DataDraftApril26[Start]))*(ISNUMBER(tbl_DataDraftApril26[End]))*($A482&gt;tbl_DataDraftApril26[Start])*($A482&lt;tbl_DataDraftApril26[End]))</f>
        <v>2</v>
      </c>
      <c r="C482" s="125" cm="1">
        <f t="array" ref="C482">SUMPRODUCT((tbl_DataDraftApril26[Phase]=C$1)*(ISNUMBER(tbl_DataDraftApril26[Start]))*(ISNUMBER(tbl_DataDraftApril26[End]))*($A482&gt;tbl_DataDraftApril26[Start])*($A482&lt;tbl_DataDraftApril26[End]))</f>
        <v>4</v>
      </c>
      <c r="D482" s="125" cm="1">
        <f t="array" ref="D482">SUMPRODUCT((tbl_DataDraftApril26[Phase]=D$1)*(ISNUMBER(tbl_DataDraftApril26[Start]))*(ISNUMBER(tbl_DataDraftApril26[End]))*($A482&gt;tbl_DataDraftApril26[Start])*($A482&lt;tbl_DataDraftApril26[End]))</f>
        <v>0</v>
      </c>
      <c r="E482" s="125" cm="1">
        <f t="array" ref="E482">SUMPRODUCT((tbl_DataDraftApril26[Phase]=E$1)*(ISNUMBER(tbl_DataDraftApril26[Start]))*(ISNUMBER(tbl_DataDraftApril26[End]))*($A482&gt;tbl_DataDraftApril26[Start])*($A482&lt;tbl_DataDraftApril26[End]))</f>
        <v>0</v>
      </c>
    </row>
    <row r="483" spans="1:5">
      <c r="A483" s="131">
        <v>46351</v>
      </c>
      <c r="B483" s="125" cm="1">
        <f t="array" ref="B483">SUMPRODUCT((tbl_DataDraftApril26[Phase]=B$1)*(ISNUMBER(tbl_DataDraftApril26[Start]))*(ISNUMBER(tbl_DataDraftApril26[End]))*($A483&gt;tbl_DataDraftApril26[Start])*($A483&lt;tbl_DataDraftApril26[End]))</f>
        <v>2</v>
      </c>
      <c r="C483" s="125" cm="1">
        <f t="array" ref="C483">SUMPRODUCT((tbl_DataDraftApril26[Phase]=C$1)*(ISNUMBER(tbl_DataDraftApril26[Start]))*(ISNUMBER(tbl_DataDraftApril26[End]))*($A483&gt;tbl_DataDraftApril26[Start])*($A483&lt;tbl_DataDraftApril26[End]))</f>
        <v>4</v>
      </c>
      <c r="D483" s="125" cm="1">
        <f t="array" ref="D483">SUMPRODUCT((tbl_DataDraftApril26[Phase]=D$1)*(ISNUMBER(tbl_DataDraftApril26[Start]))*(ISNUMBER(tbl_DataDraftApril26[End]))*($A483&gt;tbl_DataDraftApril26[Start])*($A483&lt;tbl_DataDraftApril26[End]))</f>
        <v>0</v>
      </c>
      <c r="E483" s="125" cm="1">
        <f t="array" ref="E483">SUMPRODUCT((tbl_DataDraftApril26[Phase]=E$1)*(ISNUMBER(tbl_DataDraftApril26[Start]))*(ISNUMBER(tbl_DataDraftApril26[End]))*($A483&gt;tbl_DataDraftApril26[Start])*($A483&lt;tbl_DataDraftApril26[End]))</f>
        <v>0</v>
      </c>
    </row>
    <row r="484" spans="1:5">
      <c r="A484" s="131">
        <v>46352</v>
      </c>
      <c r="B484" s="125" cm="1">
        <f t="array" ref="B484">SUMPRODUCT((tbl_DataDraftApril26[Phase]=B$1)*(ISNUMBER(tbl_DataDraftApril26[Start]))*(ISNUMBER(tbl_DataDraftApril26[End]))*($A484&gt;tbl_DataDraftApril26[Start])*($A484&lt;tbl_DataDraftApril26[End]))</f>
        <v>2</v>
      </c>
      <c r="C484" s="125" cm="1">
        <f t="array" ref="C484">SUMPRODUCT((tbl_DataDraftApril26[Phase]=C$1)*(ISNUMBER(tbl_DataDraftApril26[Start]))*(ISNUMBER(tbl_DataDraftApril26[End]))*($A484&gt;tbl_DataDraftApril26[Start])*($A484&lt;tbl_DataDraftApril26[End]))</f>
        <v>4</v>
      </c>
      <c r="D484" s="125" cm="1">
        <f t="array" ref="D484">SUMPRODUCT((tbl_DataDraftApril26[Phase]=D$1)*(ISNUMBER(tbl_DataDraftApril26[Start]))*(ISNUMBER(tbl_DataDraftApril26[End]))*($A484&gt;tbl_DataDraftApril26[Start])*($A484&lt;tbl_DataDraftApril26[End]))</f>
        <v>0</v>
      </c>
      <c r="E484" s="125" cm="1">
        <f t="array" ref="E484">SUMPRODUCT((tbl_DataDraftApril26[Phase]=E$1)*(ISNUMBER(tbl_DataDraftApril26[Start]))*(ISNUMBER(tbl_DataDraftApril26[End]))*($A484&gt;tbl_DataDraftApril26[Start])*($A484&lt;tbl_DataDraftApril26[End]))</f>
        <v>0</v>
      </c>
    </row>
    <row r="485" spans="1:5">
      <c r="A485" s="131">
        <v>46353</v>
      </c>
      <c r="B485" s="125" cm="1">
        <f t="array" ref="B485">SUMPRODUCT((tbl_DataDraftApril26[Phase]=B$1)*(ISNUMBER(tbl_DataDraftApril26[Start]))*(ISNUMBER(tbl_DataDraftApril26[End]))*($A485&gt;tbl_DataDraftApril26[Start])*($A485&lt;tbl_DataDraftApril26[End]))</f>
        <v>2</v>
      </c>
      <c r="C485" s="125" cm="1">
        <f t="array" ref="C485">SUMPRODUCT((tbl_DataDraftApril26[Phase]=C$1)*(ISNUMBER(tbl_DataDraftApril26[Start]))*(ISNUMBER(tbl_DataDraftApril26[End]))*($A485&gt;tbl_DataDraftApril26[Start])*($A485&lt;tbl_DataDraftApril26[End]))</f>
        <v>4</v>
      </c>
      <c r="D485" s="125" cm="1">
        <f t="array" ref="D485">SUMPRODUCT((tbl_DataDraftApril26[Phase]=D$1)*(ISNUMBER(tbl_DataDraftApril26[Start]))*(ISNUMBER(tbl_DataDraftApril26[End]))*($A485&gt;tbl_DataDraftApril26[Start])*($A485&lt;tbl_DataDraftApril26[End]))</f>
        <v>0</v>
      </c>
      <c r="E485" s="125" cm="1">
        <f t="array" ref="E485">SUMPRODUCT((tbl_DataDraftApril26[Phase]=E$1)*(ISNUMBER(tbl_DataDraftApril26[Start]))*(ISNUMBER(tbl_DataDraftApril26[End]))*($A485&gt;tbl_DataDraftApril26[Start])*($A485&lt;tbl_DataDraftApril26[End]))</f>
        <v>0</v>
      </c>
    </row>
    <row r="486" spans="1:5">
      <c r="A486" s="131">
        <v>46354</v>
      </c>
      <c r="B486" s="125" cm="1">
        <f t="array" ref="B486">SUMPRODUCT((tbl_DataDraftApril26[Phase]=B$1)*(ISNUMBER(tbl_DataDraftApril26[Start]))*(ISNUMBER(tbl_DataDraftApril26[End]))*($A486&gt;tbl_DataDraftApril26[Start])*($A486&lt;tbl_DataDraftApril26[End]))</f>
        <v>2</v>
      </c>
      <c r="C486" s="125" cm="1">
        <f t="array" ref="C486">SUMPRODUCT((tbl_DataDraftApril26[Phase]=C$1)*(ISNUMBER(tbl_DataDraftApril26[Start]))*(ISNUMBER(tbl_DataDraftApril26[End]))*($A486&gt;tbl_DataDraftApril26[Start])*($A486&lt;tbl_DataDraftApril26[End]))</f>
        <v>4</v>
      </c>
      <c r="D486" s="125" cm="1">
        <f t="array" ref="D486">SUMPRODUCT((tbl_DataDraftApril26[Phase]=D$1)*(ISNUMBER(tbl_DataDraftApril26[Start]))*(ISNUMBER(tbl_DataDraftApril26[End]))*($A486&gt;tbl_DataDraftApril26[Start])*($A486&lt;tbl_DataDraftApril26[End]))</f>
        <v>0</v>
      </c>
      <c r="E486" s="125" cm="1">
        <f t="array" ref="E486">SUMPRODUCT((tbl_DataDraftApril26[Phase]=E$1)*(ISNUMBER(tbl_DataDraftApril26[Start]))*(ISNUMBER(tbl_DataDraftApril26[End]))*($A486&gt;tbl_DataDraftApril26[Start])*($A486&lt;tbl_DataDraftApril26[End]))</f>
        <v>0</v>
      </c>
    </row>
    <row r="487" spans="1:5">
      <c r="A487" s="131">
        <v>46355</v>
      </c>
      <c r="B487" s="125" cm="1">
        <f t="array" ref="B487">SUMPRODUCT((tbl_DataDraftApril26[Phase]=B$1)*(ISNUMBER(tbl_DataDraftApril26[Start]))*(ISNUMBER(tbl_DataDraftApril26[End]))*($A487&gt;tbl_DataDraftApril26[Start])*($A487&lt;tbl_DataDraftApril26[End]))</f>
        <v>2</v>
      </c>
      <c r="C487" s="125" cm="1">
        <f t="array" ref="C487">SUMPRODUCT((tbl_DataDraftApril26[Phase]=C$1)*(ISNUMBER(tbl_DataDraftApril26[Start]))*(ISNUMBER(tbl_DataDraftApril26[End]))*($A487&gt;tbl_DataDraftApril26[Start])*($A487&lt;tbl_DataDraftApril26[End]))</f>
        <v>4</v>
      </c>
      <c r="D487" s="125" cm="1">
        <f t="array" ref="D487">SUMPRODUCT((tbl_DataDraftApril26[Phase]=D$1)*(ISNUMBER(tbl_DataDraftApril26[Start]))*(ISNUMBER(tbl_DataDraftApril26[End]))*($A487&gt;tbl_DataDraftApril26[Start])*($A487&lt;tbl_DataDraftApril26[End]))</f>
        <v>0</v>
      </c>
      <c r="E487" s="125" cm="1">
        <f t="array" ref="E487">SUMPRODUCT((tbl_DataDraftApril26[Phase]=E$1)*(ISNUMBER(tbl_DataDraftApril26[Start]))*(ISNUMBER(tbl_DataDraftApril26[End]))*($A487&gt;tbl_DataDraftApril26[Start])*($A487&lt;tbl_DataDraftApril26[End]))</f>
        <v>0</v>
      </c>
    </row>
    <row r="488" spans="1:5">
      <c r="A488" s="131">
        <v>46356</v>
      </c>
      <c r="B488" s="125" cm="1">
        <f t="array" ref="B488">SUMPRODUCT((tbl_DataDraftApril26[Phase]=B$1)*(ISNUMBER(tbl_DataDraftApril26[Start]))*(ISNUMBER(tbl_DataDraftApril26[End]))*($A488&gt;tbl_DataDraftApril26[Start])*($A488&lt;tbl_DataDraftApril26[End]))</f>
        <v>2</v>
      </c>
      <c r="C488" s="125" cm="1">
        <f t="array" ref="C488">SUMPRODUCT((tbl_DataDraftApril26[Phase]=C$1)*(ISNUMBER(tbl_DataDraftApril26[Start]))*(ISNUMBER(tbl_DataDraftApril26[End]))*($A488&gt;tbl_DataDraftApril26[Start])*($A488&lt;tbl_DataDraftApril26[End]))</f>
        <v>4</v>
      </c>
      <c r="D488" s="125" cm="1">
        <f t="array" ref="D488">SUMPRODUCT((tbl_DataDraftApril26[Phase]=D$1)*(ISNUMBER(tbl_DataDraftApril26[Start]))*(ISNUMBER(tbl_DataDraftApril26[End]))*($A488&gt;tbl_DataDraftApril26[Start])*($A488&lt;tbl_DataDraftApril26[End]))</f>
        <v>0</v>
      </c>
      <c r="E488" s="125" cm="1">
        <f t="array" ref="E488">SUMPRODUCT((tbl_DataDraftApril26[Phase]=E$1)*(ISNUMBER(tbl_DataDraftApril26[Start]))*(ISNUMBER(tbl_DataDraftApril26[End]))*($A488&gt;tbl_DataDraftApril26[Start])*($A488&lt;tbl_DataDraftApril26[End]))</f>
        <v>0</v>
      </c>
    </row>
    <row r="489" spans="1:5">
      <c r="A489" s="131">
        <v>46357</v>
      </c>
      <c r="B489" s="125" cm="1">
        <f t="array" ref="B489">SUMPRODUCT((tbl_DataDraftApril26[Phase]=B$1)*(ISNUMBER(tbl_DataDraftApril26[Start]))*(ISNUMBER(tbl_DataDraftApril26[End]))*($A489&gt;tbl_DataDraftApril26[Start])*($A489&lt;tbl_DataDraftApril26[End]))</f>
        <v>2</v>
      </c>
      <c r="C489" s="125" cm="1">
        <f t="array" ref="C489">SUMPRODUCT((tbl_DataDraftApril26[Phase]=C$1)*(ISNUMBER(tbl_DataDraftApril26[Start]))*(ISNUMBER(tbl_DataDraftApril26[End]))*($A489&gt;tbl_DataDraftApril26[Start])*($A489&lt;tbl_DataDraftApril26[End]))</f>
        <v>4</v>
      </c>
      <c r="D489" s="125" cm="1">
        <f t="array" ref="D489">SUMPRODUCT((tbl_DataDraftApril26[Phase]=D$1)*(ISNUMBER(tbl_DataDraftApril26[Start]))*(ISNUMBER(tbl_DataDraftApril26[End]))*($A489&gt;tbl_DataDraftApril26[Start])*($A489&lt;tbl_DataDraftApril26[End]))</f>
        <v>0</v>
      </c>
      <c r="E489" s="125" cm="1">
        <f t="array" ref="E489">SUMPRODUCT((tbl_DataDraftApril26[Phase]=E$1)*(ISNUMBER(tbl_DataDraftApril26[Start]))*(ISNUMBER(tbl_DataDraftApril26[End]))*($A489&gt;tbl_DataDraftApril26[Start])*($A489&lt;tbl_DataDraftApril26[End]))</f>
        <v>0</v>
      </c>
    </row>
    <row r="490" spans="1:5">
      <c r="A490" s="131">
        <v>46358</v>
      </c>
      <c r="B490" s="125" cm="1">
        <f t="array" ref="B490">SUMPRODUCT((tbl_DataDraftApril26[Phase]=B$1)*(ISNUMBER(tbl_DataDraftApril26[Start]))*(ISNUMBER(tbl_DataDraftApril26[End]))*($A490&gt;tbl_DataDraftApril26[Start])*($A490&lt;tbl_DataDraftApril26[End]))</f>
        <v>2</v>
      </c>
      <c r="C490" s="125" cm="1">
        <f t="array" ref="C490">SUMPRODUCT((tbl_DataDraftApril26[Phase]=C$1)*(ISNUMBER(tbl_DataDraftApril26[Start]))*(ISNUMBER(tbl_DataDraftApril26[End]))*($A490&gt;tbl_DataDraftApril26[Start])*($A490&lt;tbl_DataDraftApril26[End]))</f>
        <v>4</v>
      </c>
      <c r="D490" s="125" cm="1">
        <f t="array" ref="D490">SUMPRODUCT((tbl_DataDraftApril26[Phase]=D$1)*(ISNUMBER(tbl_DataDraftApril26[Start]))*(ISNUMBER(tbl_DataDraftApril26[End]))*($A490&gt;tbl_DataDraftApril26[Start])*($A490&lt;tbl_DataDraftApril26[End]))</f>
        <v>0</v>
      </c>
      <c r="E490" s="125" cm="1">
        <f t="array" ref="E490">SUMPRODUCT((tbl_DataDraftApril26[Phase]=E$1)*(ISNUMBER(tbl_DataDraftApril26[Start]))*(ISNUMBER(tbl_DataDraftApril26[End]))*($A490&gt;tbl_DataDraftApril26[Start])*($A490&lt;tbl_DataDraftApril26[End]))</f>
        <v>0</v>
      </c>
    </row>
    <row r="491" spans="1:5">
      <c r="A491" s="131">
        <v>46359</v>
      </c>
      <c r="B491" s="125" cm="1">
        <f t="array" ref="B491">SUMPRODUCT((tbl_DataDraftApril26[Phase]=B$1)*(ISNUMBER(tbl_DataDraftApril26[Start]))*(ISNUMBER(tbl_DataDraftApril26[End]))*($A491&gt;tbl_DataDraftApril26[Start])*($A491&lt;tbl_DataDraftApril26[End]))</f>
        <v>2</v>
      </c>
      <c r="C491" s="125" cm="1">
        <f t="array" ref="C491">SUMPRODUCT((tbl_DataDraftApril26[Phase]=C$1)*(ISNUMBER(tbl_DataDraftApril26[Start]))*(ISNUMBER(tbl_DataDraftApril26[End]))*($A491&gt;tbl_DataDraftApril26[Start])*($A491&lt;tbl_DataDraftApril26[End]))</f>
        <v>4</v>
      </c>
      <c r="D491" s="125" cm="1">
        <f t="array" ref="D491">SUMPRODUCT((tbl_DataDraftApril26[Phase]=D$1)*(ISNUMBER(tbl_DataDraftApril26[Start]))*(ISNUMBER(tbl_DataDraftApril26[End]))*($A491&gt;tbl_DataDraftApril26[Start])*($A491&lt;tbl_DataDraftApril26[End]))</f>
        <v>0</v>
      </c>
      <c r="E491" s="125" cm="1">
        <f t="array" ref="E491">SUMPRODUCT((tbl_DataDraftApril26[Phase]=E$1)*(ISNUMBER(tbl_DataDraftApril26[Start]))*(ISNUMBER(tbl_DataDraftApril26[End]))*($A491&gt;tbl_DataDraftApril26[Start])*($A491&lt;tbl_DataDraftApril26[End]))</f>
        <v>0</v>
      </c>
    </row>
    <row r="492" spans="1:5">
      <c r="A492" s="131">
        <v>46360</v>
      </c>
      <c r="B492" s="125" cm="1">
        <f t="array" ref="B492">SUMPRODUCT((tbl_DataDraftApril26[Phase]=B$1)*(ISNUMBER(tbl_DataDraftApril26[Start]))*(ISNUMBER(tbl_DataDraftApril26[End]))*($A492&gt;tbl_DataDraftApril26[Start])*($A492&lt;tbl_DataDraftApril26[End]))</f>
        <v>2</v>
      </c>
      <c r="C492" s="125" cm="1">
        <f t="array" ref="C492">SUMPRODUCT((tbl_DataDraftApril26[Phase]=C$1)*(ISNUMBER(tbl_DataDraftApril26[Start]))*(ISNUMBER(tbl_DataDraftApril26[End]))*($A492&gt;tbl_DataDraftApril26[Start])*($A492&lt;tbl_DataDraftApril26[End]))</f>
        <v>4</v>
      </c>
      <c r="D492" s="125" cm="1">
        <f t="array" ref="D492">SUMPRODUCT((tbl_DataDraftApril26[Phase]=D$1)*(ISNUMBER(tbl_DataDraftApril26[Start]))*(ISNUMBER(tbl_DataDraftApril26[End]))*($A492&gt;tbl_DataDraftApril26[Start])*($A492&lt;tbl_DataDraftApril26[End]))</f>
        <v>0</v>
      </c>
      <c r="E492" s="125" cm="1">
        <f t="array" ref="E492">SUMPRODUCT((tbl_DataDraftApril26[Phase]=E$1)*(ISNUMBER(tbl_DataDraftApril26[Start]))*(ISNUMBER(tbl_DataDraftApril26[End]))*($A492&gt;tbl_DataDraftApril26[Start])*($A492&lt;tbl_DataDraftApril26[End]))</f>
        <v>0</v>
      </c>
    </row>
    <row r="493" spans="1:5">
      <c r="A493" s="131">
        <v>46361</v>
      </c>
      <c r="B493" s="125" cm="1">
        <f t="array" ref="B493">SUMPRODUCT((tbl_DataDraftApril26[Phase]=B$1)*(ISNUMBER(tbl_DataDraftApril26[Start]))*(ISNUMBER(tbl_DataDraftApril26[End]))*($A493&gt;tbl_DataDraftApril26[Start])*($A493&lt;tbl_DataDraftApril26[End]))</f>
        <v>2</v>
      </c>
      <c r="C493" s="125" cm="1">
        <f t="array" ref="C493">SUMPRODUCT((tbl_DataDraftApril26[Phase]=C$1)*(ISNUMBER(tbl_DataDraftApril26[Start]))*(ISNUMBER(tbl_DataDraftApril26[End]))*($A493&gt;tbl_DataDraftApril26[Start])*($A493&lt;tbl_DataDraftApril26[End]))</f>
        <v>4</v>
      </c>
      <c r="D493" s="125" cm="1">
        <f t="array" ref="D493">SUMPRODUCT((tbl_DataDraftApril26[Phase]=D$1)*(ISNUMBER(tbl_DataDraftApril26[Start]))*(ISNUMBER(tbl_DataDraftApril26[End]))*($A493&gt;tbl_DataDraftApril26[Start])*($A493&lt;tbl_DataDraftApril26[End]))</f>
        <v>0</v>
      </c>
      <c r="E493" s="125" cm="1">
        <f t="array" ref="E493">SUMPRODUCT((tbl_DataDraftApril26[Phase]=E$1)*(ISNUMBER(tbl_DataDraftApril26[Start]))*(ISNUMBER(tbl_DataDraftApril26[End]))*($A493&gt;tbl_DataDraftApril26[Start])*($A493&lt;tbl_DataDraftApril26[End]))</f>
        <v>0</v>
      </c>
    </row>
    <row r="494" spans="1:5">
      <c r="A494" s="131">
        <v>46362</v>
      </c>
      <c r="B494" s="125" cm="1">
        <f t="array" ref="B494">SUMPRODUCT((tbl_DataDraftApril26[Phase]=B$1)*(ISNUMBER(tbl_DataDraftApril26[Start]))*(ISNUMBER(tbl_DataDraftApril26[End]))*($A494&gt;tbl_DataDraftApril26[Start])*($A494&lt;tbl_DataDraftApril26[End]))</f>
        <v>2</v>
      </c>
      <c r="C494" s="125" cm="1">
        <f t="array" ref="C494">SUMPRODUCT((tbl_DataDraftApril26[Phase]=C$1)*(ISNUMBER(tbl_DataDraftApril26[Start]))*(ISNUMBER(tbl_DataDraftApril26[End]))*($A494&gt;tbl_DataDraftApril26[Start])*($A494&lt;tbl_DataDraftApril26[End]))</f>
        <v>4</v>
      </c>
      <c r="D494" s="125" cm="1">
        <f t="array" ref="D494">SUMPRODUCT((tbl_DataDraftApril26[Phase]=D$1)*(ISNUMBER(tbl_DataDraftApril26[Start]))*(ISNUMBER(tbl_DataDraftApril26[End]))*($A494&gt;tbl_DataDraftApril26[Start])*($A494&lt;tbl_DataDraftApril26[End]))</f>
        <v>0</v>
      </c>
      <c r="E494" s="125" cm="1">
        <f t="array" ref="E494">SUMPRODUCT((tbl_DataDraftApril26[Phase]=E$1)*(ISNUMBER(tbl_DataDraftApril26[Start]))*(ISNUMBER(tbl_DataDraftApril26[End]))*($A494&gt;tbl_DataDraftApril26[Start])*($A494&lt;tbl_DataDraftApril26[End]))</f>
        <v>0</v>
      </c>
    </row>
    <row r="495" spans="1:5">
      <c r="A495" s="131">
        <v>46363</v>
      </c>
      <c r="B495" s="125" cm="1">
        <f t="array" ref="B495">SUMPRODUCT((tbl_DataDraftApril26[Phase]=B$1)*(ISNUMBER(tbl_DataDraftApril26[Start]))*(ISNUMBER(tbl_DataDraftApril26[End]))*($A495&gt;tbl_DataDraftApril26[Start])*($A495&lt;tbl_DataDraftApril26[End]))</f>
        <v>2</v>
      </c>
      <c r="C495" s="125" cm="1">
        <f t="array" ref="C495">SUMPRODUCT((tbl_DataDraftApril26[Phase]=C$1)*(ISNUMBER(tbl_DataDraftApril26[Start]))*(ISNUMBER(tbl_DataDraftApril26[End]))*($A495&gt;tbl_DataDraftApril26[Start])*($A495&lt;tbl_DataDraftApril26[End]))</f>
        <v>4</v>
      </c>
      <c r="D495" s="125" cm="1">
        <f t="array" ref="D495">SUMPRODUCT((tbl_DataDraftApril26[Phase]=D$1)*(ISNUMBER(tbl_DataDraftApril26[Start]))*(ISNUMBER(tbl_DataDraftApril26[End]))*($A495&gt;tbl_DataDraftApril26[Start])*($A495&lt;tbl_DataDraftApril26[End]))</f>
        <v>0</v>
      </c>
      <c r="E495" s="125" cm="1">
        <f t="array" ref="E495">SUMPRODUCT((tbl_DataDraftApril26[Phase]=E$1)*(ISNUMBER(tbl_DataDraftApril26[Start]))*(ISNUMBER(tbl_DataDraftApril26[End]))*($A495&gt;tbl_DataDraftApril26[Start])*($A495&lt;tbl_DataDraftApril26[End]))</f>
        <v>0</v>
      </c>
    </row>
    <row r="496" spans="1:5">
      <c r="A496" s="131">
        <v>46364</v>
      </c>
      <c r="B496" s="125" cm="1">
        <f t="array" ref="B496">SUMPRODUCT((tbl_DataDraftApril26[Phase]=B$1)*(ISNUMBER(tbl_DataDraftApril26[Start]))*(ISNUMBER(tbl_DataDraftApril26[End]))*($A496&gt;tbl_DataDraftApril26[Start])*($A496&lt;tbl_DataDraftApril26[End]))</f>
        <v>2</v>
      </c>
      <c r="C496" s="125" cm="1">
        <f t="array" ref="C496">SUMPRODUCT((tbl_DataDraftApril26[Phase]=C$1)*(ISNUMBER(tbl_DataDraftApril26[Start]))*(ISNUMBER(tbl_DataDraftApril26[End]))*($A496&gt;tbl_DataDraftApril26[Start])*($A496&lt;tbl_DataDraftApril26[End]))</f>
        <v>4</v>
      </c>
      <c r="D496" s="125" cm="1">
        <f t="array" ref="D496">SUMPRODUCT((tbl_DataDraftApril26[Phase]=D$1)*(ISNUMBER(tbl_DataDraftApril26[Start]))*(ISNUMBER(tbl_DataDraftApril26[End]))*($A496&gt;tbl_DataDraftApril26[Start])*($A496&lt;tbl_DataDraftApril26[End]))</f>
        <v>0</v>
      </c>
      <c r="E496" s="125" cm="1">
        <f t="array" ref="E496">SUMPRODUCT((tbl_DataDraftApril26[Phase]=E$1)*(ISNUMBER(tbl_DataDraftApril26[Start]))*(ISNUMBER(tbl_DataDraftApril26[End]))*($A496&gt;tbl_DataDraftApril26[Start])*($A496&lt;tbl_DataDraftApril26[End]))</f>
        <v>0</v>
      </c>
    </row>
    <row r="497" spans="1:5">
      <c r="A497" s="131">
        <v>46365</v>
      </c>
      <c r="B497" s="125" cm="1">
        <f t="array" ref="B497">SUMPRODUCT((tbl_DataDraftApril26[Phase]=B$1)*(ISNUMBER(tbl_DataDraftApril26[Start]))*(ISNUMBER(tbl_DataDraftApril26[End]))*($A497&gt;tbl_DataDraftApril26[Start])*($A497&lt;tbl_DataDraftApril26[End]))</f>
        <v>2</v>
      </c>
      <c r="C497" s="125" cm="1">
        <f t="array" ref="C497">SUMPRODUCT((tbl_DataDraftApril26[Phase]=C$1)*(ISNUMBER(tbl_DataDraftApril26[Start]))*(ISNUMBER(tbl_DataDraftApril26[End]))*($A497&gt;tbl_DataDraftApril26[Start])*($A497&lt;tbl_DataDraftApril26[End]))</f>
        <v>4</v>
      </c>
      <c r="D497" s="125" cm="1">
        <f t="array" ref="D497">SUMPRODUCT((tbl_DataDraftApril26[Phase]=D$1)*(ISNUMBER(tbl_DataDraftApril26[Start]))*(ISNUMBER(tbl_DataDraftApril26[End]))*($A497&gt;tbl_DataDraftApril26[Start])*($A497&lt;tbl_DataDraftApril26[End]))</f>
        <v>0</v>
      </c>
      <c r="E497" s="125" cm="1">
        <f t="array" ref="E497">SUMPRODUCT((tbl_DataDraftApril26[Phase]=E$1)*(ISNUMBER(tbl_DataDraftApril26[Start]))*(ISNUMBER(tbl_DataDraftApril26[End]))*($A497&gt;tbl_DataDraftApril26[Start])*($A497&lt;tbl_DataDraftApril26[End]))</f>
        <v>0</v>
      </c>
    </row>
    <row r="498" spans="1:5">
      <c r="A498" s="131">
        <v>46366</v>
      </c>
      <c r="B498" s="125" cm="1">
        <f t="array" ref="B498">SUMPRODUCT((tbl_DataDraftApril26[Phase]=B$1)*(ISNUMBER(tbl_DataDraftApril26[Start]))*(ISNUMBER(tbl_DataDraftApril26[End]))*($A498&gt;tbl_DataDraftApril26[Start])*($A498&lt;tbl_DataDraftApril26[End]))</f>
        <v>2</v>
      </c>
      <c r="C498" s="125" cm="1">
        <f t="array" ref="C498">SUMPRODUCT((tbl_DataDraftApril26[Phase]=C$1)*(ISNUMBER(tbl_DataDraftApril26[Start]))*(ISNUMBER(tbl_DataDraftApril26[End]))*($A498&gt;tbl_DataDraftApril26[Start])*($A498&lt;tbl_DataDraftApril26[End]))</f>
        <v>4</v>
      </c>
      <c r="D498" s="125" cm="1">
        <f t="array" ref="D498">SUMPRODUCT((tbl_DataDraftApril26[Phase]=D$1)*(ISNUMBER(tbl_DataDraftApril26[Start]))*(ISNUMBER(tbl_DataDraftApril26[End]))*($A498&gt;tbl_DataDraftApril26[Start])*($A498&lt;tbl_DataDraftApril26[End]))</f>
        <v>0</v>
      </c>
      <c r="E498" s="125" cm="1">
        <f t="array" ref="E498">SUMPRODUCT((tbl_DataDraftApril26[Phase]=E$1)*(ISNUMBER(tbl_DataDraftApril26[Start]))*(ISNUMBER(tbl_DataDraftApril26[End]))*($A498&gt;tbl_DataDraftApril26[Start])*($A498&lt;tbl_DataDraftApril26[End]))</f>
        <v>0</v>
      </c>
    </row>
    <row r="499" spans="1:5">
      <c r="A499" s="131">
        <v>46367</v>
      </c>
      <c r="B499" s="125" cm="1">
        <f t="array" ref="B499">SUMPRODUCT((tbl_DataDraftApril26[Phase]=B$1)*(ISNUMBER(tbl_DataDraftApril26[Start]))*(ISNUMBER(tbl_DataDraftApril26[End]))*($A499&gt;tbl_DataDraftApril26[Start])*($A499&lt;tbl_DataDraftApril26[End]))</f>
        <v>2</v>
      </c>
      <c r="C499" s="125" cm="1">
        <f t="array" ref="C499">SUMPRODUCT((tbl_DataDraftApril26[Phase]=C$1)*(ISNUMBER(tbl_DataDraftApril26[Start]))*(ISNUMBER(tbl_DataDraftApril26[End]))*($A499&gt;tbl_DataDraftApril26[Start])*($A499&lt;tbl_DataDraftApril26[End]))</f>
        <v>4</v>
      </c>
      <c r="D499" s="125" cm="1">
        <f t="array" ref="D499">SUMPRODUCT((tbl_DataDraftApril26[Phase]=D$1)*(ISNUMBER(tbl_DataDraftApril26[Start]))*(ISNUMBER(tbl_DataDraftApril26[End]))*($A499&gt;tbl_DataDraftApril26[Start])*($A499&lt;tbl_DataDraftApril26[End]))</f>
        <v>0</v>
      </c>
      <c r="E499" s="125" cm="1">
        <f t="array" ref="E499">SUMPRODUCT((tbl_DataDraftApril26[Phase]=E$1)*(ISNUMBER(tbl_DataDraftApril26[Start]))*(ISNUMBER(tbl_DataDraftApril26[End]))*($A499&gt;tbl_DataDraftApril26[Start])*($A499&lt;tbl_DataDraftApril26[End]))</f>
        <v>0</v>
      </c>
    </row>
    <row r="500" spans="1:5">
      <c r="A500" s="131">
        <v>46368</v>
      </c>
      <c r="B500" s="125" cm="1">
        <f t="array" ref="B500">SUMPRODUCT((tbl_DataDraftApril26[Phase]=B$1)*(ISNUMBER(tbl_DataDraftApril26[Start]))*(ISNUMBER(tbl_DataDraftApril26[End]))*($A500&gt;tbl_DataDraftApril26[Start])*($A500&lt;tbl_DataDraftApril26[End]))</f>
        <v>2</v>
      </c>
      <c r="C500" s="125" cm="1">
        <f t="array" ref="C500">SUMPRODUCT((tbl_DataDraftApril26[Phase]=C$1)*(ISNUMBER(tbl_DataDraftApril26[Start]))*(ISNUMBER(tbl_DataDraftApril26[End]))*($A500&gt;tbl_DataDraftApril26[Start])*($A500&lt;tbl_DataDraftApril26[End]))</f>
        <v>4</v>
      </c>
      <c r="D500" s="125" cm="1">
        <f t="array" ref="D500">SUMPRODUCT((tbl_DataDraftApril26[Phase]=D$1)*(ISNUMBER(tbl_DataDraftApril26[Start]))*(ISNUMBER(tbl_DataDraftApril26[End]))*($A500&gt;tbl_DataDraftApril26[Start])*($A500&lt;tbl_DataDraftApril26[End]))</f>
        <v>0</v>
      </c>
      <c r="E500" s="125" cm="1">
        <f t="array" ref="E500">SUMPRODUCT((tbl_DataDraftApril26[Phase]=E$1)*(ISNUMBER(tbl_DataDraftApril26[Start]))*(ISNUMBER(tbl_DataDraftApril26[End]))*($A500&gt;tbl_DataDraftApril26[Start])*($A500&lt;tbl_DataDraftApril26[End]))</f>
        <v>0</v>
      </c>
    </row>
    <row r="501" spans="1:5">
      <c r="A501" s="131">
        <v>46369</v>
      </c>
      <c r="B501" s="125" cm="1">
        <f t="array" ref="B501">SUMPRODUCT((tbl_DataDraftApril26[Phase]=B$1)*(ISNUMBER(tbl_DataDraftApril26[Start]))*(ISNUMBER(tbl_DataDraftApril26[End]))*($A501&gt;tbl_DataDraftApril26[Start])*($A501&lt;tbl_DataDraftApril26[End]))</f>
        <v>2</v>
      </c>
      <c r="C501" s="125" cm="1">
        <f t="array" ref="C501">SUMPRODUCT((tbl_DataDraftApril26[Phase]=C$1)*(ISNUMBER(tbl_DataDraftApril26[Start]))*(ISNUMBER(tbl_DataDraftApril26[End]))*($A501&gt;tbl_DataDraftApril26[Start])*($A501&lt;tbl_DataDraftApril26[End]))</f>
        <v>4</v>
      </c>
      <c r="D501" s="125" cm="1">
        <f t="array" ref="D501">SUMPRODUCT((tbl_DataDraftApril26[Phase]=D$1)*(ISNUMBER(tbl_DataDraftApril26[Start]))*(ISNUMBER(tbl_DataDraftApril26[End]))*($A501&gt;tbl_DataDraftApril26[Start])*($A501&lt;tbl_DataDraftApril26[End]))</f>
        <v>0</v>
      </c>
      <c r="E501" s="125" cm="1">
        <f t="array" ref="E501">SUMPRODUCT((tbl_DataDraftApril26[Phase]=E$1)*(ISNUMBER(tbl_DataDraftApril26[Start]))*(ISNUMBER(tbl_DataDraftApril26[End]))*($A501&gt;tbl_DataDraftApril26[Start])*($A501&lt;tbl_DataDraftApril26[End]))</f>
        <v>0</v>
      </c>
    </row>
    <row r="502" spans="1:5">
      <c r="A502" s="131">
        <v>46370</v>
      </c>
      <c r="B502" s="125" cm="1">
        <f t="array" ref="B502">SUMPRODUCT((tbl_DataDraftApril26[Phase]=B$1)*(ISNUMBER(tbl_DataDraftApril26[Start]))*(ISNUMBER(tbl_DataDraftApril26[End]))*($A502&gt;tbl_DataDraftApril26[Start])*($A502&lt;tbl_DataDraftApril26[End]))</f>
        <v>2</v>
      </c>
      <c r="C502" s="125" cm="1">
        <f t="array" ref="C502">SUMPRODUCT((tbl_DataDraftApril26[Phase]=C$1)*(ISNUMBER(tbl_DataDraftApril26[Start]))*(ISNUMBER(tbl_DataDraftApril26[End]))*($A502&gt;tbl_DataDraftApril26[Start])*($A502&lt;tbl_DataDraftApril26[End]))</f>
        <v>4</v>
      </c>
      <c r="D502" s="125" cm="1">
        <f t="array" ref="D502">SUMPRODUCT((tbl_DataDraftApril26[Phase]=D$1)*(ISNUMBER(tbl_DataDraftApril26[Start]))*(ISNUMBER(tbl_DataDraftApril26[End]))*($A502&gt;tbl_DataDraftApril26[Start])*($A502&lt;tbl_DataDraftApril26[End]))</f>
        <v>0</v>
      </c>
      <c r="E502" s="125" cm="1">
        <f t="array" ref="E502">SUMPRODUCT((tbl_DataDraftApril26[Phase]=E$1)*(ISNUMBER(tbl_DataDraftApril26[Start]))*(ISNUMBER(tbl_DataDraftApril26[End]))*($A502&gt;tbl_DataDraftApril26[Start])*($A502&lt;tbl_DataDraftApril26[End]))</f>
        <v>0</v>
      </c>
    </row>
    <row r="503" spans="1:5">
      <c r="A503" s="131">
        <v>46371</v>
      </c>
      <c r="B503" s="125" cm="1">
        <f t="array" ref="B503">SUMPRODUCT((tbl_DataDraftApril26[Phase]=B$1)*(ISNUMBER(tbl_DataDraftApril26[Start]))*(ISNUMBER(tbl_DataDraftApril26[End]))*($A503&gt;tbl_DataDraftApril26[Start])*($A503&lt;tbl_DataDraftApril26[End]))</f>
        <v>2</v>
      </c>
      <c r="C503" s="125" cm="1">
        <f t="array" ref="C503">SUMPRODUCT((tbl_DataDraftApril26[Phase]=C$1)*(ISNUMBER(tbl_DataDraftApril26[Start]))*(ISNUMBER(tbl_DataDraftApril26[End]))*($A503&gt;tbl_DataDraftApril26[Start])*($A503&lt;tbl_DataDraftApril26[End]))</f>
        <v>4</v>
      </c>
      <c r="D503" s="125" cm="1">
        <f t="array" ref="D503">SUMPRODUCT((tbl_DataDraftApril26[Phase]=D$1)*(ISNUMBER(tbl_DataDraftApril26[Start]))*(ISNUMBER(tbl_DataDraftApril26[End]))*($A503&gt;tbl_DataDraftApril26[Start])*($A503&lt;tbl_DataDraftApril26[End]))</f>
        <v>0</v>
      </c>
      <c r="E503" s="125" cm="1">
        <f t="array" ref="E503">SUMPRODUCT((tbl_DataDraftApril26[Phase]=E$1)*(ISNUMBER(tbl_DataDraftApril26[Start]))*(ISNUMBER(tbl_DataDraftApril26[End]))*($A503&gt;tbl_DataDraftApril26[Start])*($A503&lt;tbl_DataDraftApril26[End]))</f>
        <v>0</v>
      </c>
    </row>
    <row r="504" spans="1:5">
      <c r="A504" s="131">
        <v>46372</v>
      </c>
      <c r="B504" s="125" cm="1">
        <f t="array" ref="B504">SUMPRODUCT((tbl_DataDraftApril26[Phase]=B$1)*(ISNUMBER(tbl_DataDraftApril26[Start]))*(ISNUMBER(tbl_DataDraftApril26[End]))*($A504&gt;tbl_DataDraftApril26[Start])*($A504&lt;tbl_DataDraftApril26[End]))</f>
        <v>2</v>
      </c>
      <c r="C504" s="125" cm="1">
        <f t="array" ref="C504">SUMPRODUCT((tbl_DataDraftApril26[Phase]=C$1)*(ISNUMBER(tbl_DataDraftApril26[Start]))*(ISNUMBER(tbl_DataDraftApril26[End]))*($A504&gt;tbl_DataDraftApril26[Start])*($A504&lt;tbl_DataDraftApril26[End]))</f>
        <v>4</v>
      </c>
      <c r="D504" s="125" cm="1">
        <f t="array" ref="D504">SUMPRODUCT((tbl_DataDraftApril26[Phase]=D$1)*(ISNUMBER(tbl_DataDraftApril26[Start]))*(ISNUMBER(tbl_DataDraftApril26[End]))*($A504&gt;tbl_DataDraftApril26[Start])*($A504&lt;tbl_DataDraftApril26[End]))</f>
        <v>0</v>
      </c>
      <c r="E504" s="125" cm="1">
        <f t="array" ref="E504">SUMPRODUCT((tbl_DataDraftApril26[Phase]=E$1)*(ISNUMBER(tbl_DataDraftApril26[Start]))*(ISNUMBER(tbl_DataDraftApril26[End]))*($A504&gt;tbl_DataDraftApril26[Start])*($A504&lt;tbl_DataDraftApril26[End]))</f>
        <v>0</v>
      </c>
    </row>
    <row r="505" spans="1:5">
      <c r="A505" s="131">
        <v>46373</v>
      </c>
      <c r="B505" s="125" cm="1">
        <f t="array" ref="B505">SUMPRODUCT((tbl_DataDraftApril26[Phase]=B$1)*(ISNUMBER(tbl_DataDraftApril26[Start]))*(ISNUMBER(tbl_DataDraftApril26[End]))*($A505&gt;tbl_DataDraftApril26[Start])*($A505&lt;tbl_DataDraftApril26[End]))</f>
        <v>2</v>
      </c>
      <c r="C505" s="125" cm="1">
        <f t="array" ref="C505">SUMPRODUCT((tbl_DataDraftApril26[Phase]=C$1)*(ISNUMBER(tbl_DataDraftApril26[Start]))*(ISNUMBER(tbl_DataDraftApril26[End]))*($A505&gt;tbl_DataDraftApril26[Start])*($A505&lt;tbl_DataDraftApril26[End]))</f>
        <v>4</v>
      </c>
      <c r="D505" s="125" cm="1">
        <f t="array" ref="D505">SUMPRODUCT((tbl_DataDraftApril26[Phase]=D$1)*(ISNUMBER(tbl_DataDraftApril26[Start]))*(ISNUMBER(tbl_DataDraftApril26[End]))*($A505&gt;tbl_DataDraftApril26[Start])*($A505&lt;tbl_DataDraftApril26[End]))</f>
        <v>0</v>
      </c>
      <c r="E505" s="125" cm="1">
        <f t="array" ref="E505">SUMPRODUCT((tbl_DataDraftApril26[Phase]=E$1)*(ISNUMBER(tbl_DataDraftApril26[Start]))*(ISNUMBER(tbl_DataDraftApril26[End]))*($A505&gt;tbl_DataDraftApril26[Start])*($A505&lt;tbl_DataDraftApril26[End]))</f>
        <v>0</v>
      </c>
    </row>
    <row r="506" spans="1:5">
      <c r="A506" s="131">
        <v>46374</v>
      </c>
      <c r="B506" s="125" cm="1">
        <f t="array" ref="B506">SUMPRODUCT((tbl_DataDraftApril26[Phase]=B$1)*(ISNUMBER(tbl_DataDraftApril26[Start]))*(ISNUMBER(tbl_DataDraftApril26[End]))*($A506&gt;tbl_DataDraftApril26[Start])*($A506&lt;tbl_DataDraftApril26[End]))</f>
        <v>2</v>
      </c>
      <c r="C506" s="125" cm="1">
        <f t="array" ref="C506">SUMPRODUCT((tbl_DataDraftApril26[Phase]=C$1)*(ISNUMBER(tbl_DataDraftApril26[Start]))*(ISNUMBER(tbl_DataDraftApril26[End]))*($A506&gt;tbl_DataDraftApril26[Start])*($A506&lt;tbl_DataDraftApril26[End]))</f>
        <v>4</v>
      </c>
      <c r="D506" s="125" cm="1">
        <f t="array" ref="D506">SUMPRODUCT((tbl_DataDraftApril26[Phase]=D$1)*(ISNUMBER(tbl_DataDraftApril26[Start]))*(ISNUMBER(tbl_DataDraftApril26[End]))*($A506&gt;tbl_DataDraftApril26[Start])*($A506&lt;tbl_DataDraftApril26[End]))</f>
        <v>0</v>
      </c>
      <c r="E506" s="125" cm="1">
        <f t="array" ref="E506">SUMPRODUCT((tbl_DataDraftApril26[Phase]=E$1)*(ISNUMBER(tbl_DataDraftApril26[Start]))*(ISNUMBER(tbl_DataDraftApril26[End]))*($A506&gt;tbl_DataDraftApril26[Start])*($A506&lt;tbl_DataDraftApril26[End]))</f>
        <v>0</v>
      </c>
    </row>
    <row r="507" spans="1:5">
      <c r="A507" s="131">
        <v>46375</v>
      </c>
      <c r="B507" s="125" cm="1">
        <f t="array" ref="B507">SUMPRODUCT((tbl_DataDraftApril26[Phase]=B$1)*(ISNUMBER(tbl_DataDraftApril26[Start]))*(ISNUMBER(tbl_DataDraftApril26[End]))*($A507&gt;tbl_DataDraftApril26[Start])*($A507&lt;tbl_DataDraftApril26[End]))</f>
        <v>2</v>
      </c>
      <c r="C507" s="125" cm="1">
        <f t="array" ref="C507">SUMPRODUCT((tbl_DataDraftApril26[Phase]=C$1)*(ISNUMBER(tbl_DataDraftApril26[Start]))*(ISNUMBER(tbl_DataDraftApril26[End]))*($A507&gt;tbl_DataDraftApril26[Start])*($A507&lt;tbl_DataDraftApril26[End]))</f>
        <v>4</v>
      </c>
      <c r="D507" s="125" cm="1">
        <f t="array" ref="D507">SUMPRODUCT((tbl_DataDraftApril26[Phase]=D$1)*(ISNUMBER(tbl_DataDraftApril26[Start]))*(ISNUMBER(tbl_DataDraftApril26[End]))*($A507&gt;tbl_DataDraftApril26[Start])*($A507&lt;tbl_DataDraftApril26[End]))</f>
        <v>0</v>
      </c>
      <c r="E507" s="125" cm="1">
        <f t="array" ref="E507">SUMPRODUCT((tbl_DataDraftApril26[Phase]=E$1)*(ISNUMBER(tbl_DataDraftApril26[Start]))*(ISNUMBER(tbl_DataDraftApril26[End]))*($A507&gt;tbl_DataDraftApril26[Start])*($A507&lt;tbl_DataDraftApril26[End]))</f>
        <v>0</v>
      </c>
    </row>
    <row r="508" spans="1:5">
      <c r="A508" s="131">
        <v>46376</v>
      </c>
      <c r="B508" s="125" cm="1">
        <f t="array" ref="B508">SUMPRODUCT((tbl_DataDraftApril26[Phase]=B$1)*(ISNUMBER(tbl_DataDraftApril26[Start]))*(ISNUMBER(tbl_DataDraftApril26[End]))*($A508&gt;tbl_DataDraftApril26[Start])*($A508&lt;tbl_DataDraftApril26[End]))</f>
        <v>2</v>
      </c>
      <c r="C508" s="125" cm="1">
        <f t="array" ref="C508">SUMPRODUCT((tbl_DataDraftApril26[Phase]=C$1)*(ISNUMBER(tbl_DataDraftApril26[Start]))*(ISNUMBER(tbl_DataDraftApril26[End]))*($A508&gt;tbl_DataDraftApril26[Start])*($A508&lt;tbl_DataDraftApril26[End]))</f>
        <v>4</v>
      </c>
      <c r="D508" s="125" cm="1">
        <f t="array" ref="D508">SUMPRODUCT((tbl_DataDraftApril26[Phase]=D$1)*(ISNUMBER(tbl_DataDraftApril26[Start]))*(ISNUMBER(tbl_DataDraftApril26[End]))*($A508&gt;tbl_DataDraftApril26[Start])*($A508&lt;tbl_DataDraftApril26[End]))</f>
        <v>0</v>
      </c>
      <c r="E508" s="125" cm="1">
        <f t="array" ref="E508">SUMPRODUCT((tbl_DataDraftApril26[Phase]=E$1)*(ISNUMBER(tbl_DataDraftApril26[Start]))*(ISNUMBER(tbl_DataDraftApril26[End]))*($A508&gt;tbl_DataDraftApril26[Start])*($A508&lt;tbl_DataDraftApril26[End]))</f>
        <v>0</v>
      </c>
    </row>
    <row r="509" spans="1:5">
      <c r="A509" s="131">
        <v>46377</v>
      </c>
      <c r="B509" s="125" cm="1">
        <f t="array" ref="B509">SUMPRODUCT((tbl_DataDraftApril26[Phase]=B$1)*(ISNUMBER(tbl_DataDraftApril26[Start]))*(ISNUMBER(tbl_DataDraftApril26[End]))*($A509&gt;tbl_DataDraftApril26[Start])*($A509&lt;tbl_DataDraftApril26[End]))</f>
        <v>2</v>
      </c>
      <c r="C509" s="125" cm="1">
        <f t="array" ref="C509">SUMPRODUCT((tbl_DataDraftApril26[Phase]=C$1)*(ISNUMBER(tbl_DataDraftApril26[Start]))*(ISNUMBER(tbl_DataDraftApril26[End]))*($A509&gt;tbl_DataDraftApril26[Start])*($A509&lt;tbl_DataDraftApril26[End]))</f>
        <v>4</v>
      </c>
      <c r="D509" s="125" cm="1">
        <f t="array" ref="D509">SUMPRODUCT((tbl_DataDraftApril26[Phase]=D$1)*(ISNUMBER(tbl_DataDraftApril26[Start]))*(ISNUMBER(tbl_DataDraftApril26[End]))*($A509&gt;tbl_DataDraftApril26[Start])*($A509&lt;tbl_DataDraftApril26[End]))</f>
        <v>0</v>
      </c>
      <c r="E509" s="125" cm="1">
        <f t="array" ref="E509">SUMPRODUCT((tbl_DataDraftApril26[Phase]=E$1)*(ISNUMBER(tbl_DataDraftApril26[Start]))*(ISNUMBER(tbl_DataDraftApril26[End]))*($A509&gt;tbl_DataDraftApril26[Start])*($A509&lt;tbl_DataDraftApril26[End]))</f>
        <v>0</v>
      </c>
    </row>
    <row r="510" spans="1:5">
      <c r="A510" s="131">
        <v>46378</v>
      </c>
      <c r="B510" s="125" cm="1">
        <f t="array" ref="B510">SUMPRODUCT((tbl_DataDraftApril26[Phase]=B$1)*(ISNUMBER(tbl_DataDraftApril26[Start]))*(ISNUMBER(tbl_DataDraftApril26[End]))*($A510&gt;tbl_DataDraftApril26[Start])*($A510&lt;tbl_DataDraftApril26[End]))</f>
        <v>2</v>
      </c>
      <c r="C510" s="125" cm="1">
        <f t="array" ref="C510">SUMPRODUCT((tbl_DataDraftApril26[Phase]=C$1)*(ISNUMBER(tbl_DataDraftApril26[Start]))*(ISNUMBER(tbl_DataDraftApril26[End]))*($A510&gt;tbl_DataDraftApril26[Start])*($A510&lt;tbl_DataDraftApril26[End]))</f>
        <v>4</v>
      </c>
      <c r="D510" s="125" cm="1">
        <f t="array" ref="D510">SUMPRODUCT((tbl_DataDraftApril26[Phase]=D$1)*(ISNUMBER(tbl_DataDraftApril26[Start]))*(ISNUMBER(tbl_DataDraftApril26[End]))*($A510&gt;tbl_DataDraftApril26[Start])*($A510&lt;tbl_DataDraftApril26[End]))</f>
        <v>0</v>
      </c>
      <c r="E510" s="125" cm="1">
        <f t="array" ref="E510">SUMPRODUCT((tbl_DataDraftApril26[Phase]=E$1)*(ISNUMBER(tbl_DataDraftApril26[Start]))*(ISNUMBER(tbl_DataDraftApril26[End]))*($A510&gt;tbl_DataDraftApril26[Start])*($A510&lt;tbl_DataDraftApril26[End]))</f>
        <v>0</v>
      </c>
    </row>
    <row r="511" spans="1:5">
      <c r="A511" s="131">
        <v>46379</v>
      </c>
      <c r="B511" s="125" cm="1">
        <f t="array" ref="B511">SUMPRODUCT((tbl_DataDraftApril26[Phase]=B$1)*(ISNUMBER(tbl_DataDraftApril26[Start]))*(ISNUMBER(tbl_DataDraftApril26[End]))*($A511&gt;tbl_DataDraftApril26[Start])*($A511&lt;tbl_DataDraftApril26[End]))</f>
        <v>2</v>
      </c>
      <c r="C511" s="125" cm="1">
        <f t="array" ref="C511">SUMPRODUCT((tbl_DataDraftApril26[Phase]=C$1)*(ISNUMBER(tbl_DataDraftApril26[Start]))*(ISNUMBER(tbl_DataDraftApril26[End]))*($A511&gt;tbl_DataDraftApril26[Start])*($A511&lt;tbl_DataDraftApril26[End]))</f>
        <v>3</v>
      </c>
      <c r="D511" s="125" cm="1">
        <f t="array" ref="D511">SUMPRODUCT((tbl_DataDraftApril26[Phase]=D$1)*(ISNUMBER(tbl_DataDraftApril26[Start]))*(ISNUMBER(tbl_DataDraftApril26[End]))*($A511&gt;tbl_DataDraftApril26[Start])*($A511&lt;tbl_DataDraftApril26[End]))</f>
        <v>0</v>
      </c>
      <c r="E511" s="125" cm="1">
        <f t="array" ref="E511">SUMPRODUCT((tbl_DataDraftApril26[Phase]=E$1)*(ISNUMBER(tbl_DataDraftApril26[Start]))*(ISNUMBER(tbl_DataDraftApril26[End]))*($A511&gt;tbl_DataDraftApril26[Start])*($A511&lt;tbl_DataDraftApril26[End]))</f>
        <v>0</v>
      </c>
    </row>
    <row r="512" spans="1:5">
      <c r="A512" s="131">
        <v>46380</v>
      </c>
      <c r="B512" s="125" cm="1">
        <f t="array" ref="B512">SUMPRODUCT((tbl_DataDraftApril26[Phase]=B$1)*(ISNUMBER(tbl_DataDraftApril26[Start]))*(ISNUMBER(tbl_DataDraftApril26[End]))*($A512&gt;tbl_DataDraftApril26[Start])*($A512&lt;tbl_DataDraftApril26[End]))</f>
        <v>2</v>
      </c>
      <c r="C512" s="125" cm="1">
        <f t="array" ref="C512">SUMPRODUCT((tbl_DataDraftApril26[Phase]=C$1)*(ISNUMBER(tbl_DataDraftApril26[Start]))*(ISNUMBER(tbl_DataDraftApril26[End]))*($A512&gt;tbl_DataDraftApril26[Start])*($A512&lt;tbl_DataDraftApril26[End]))</f>
        <v>3</v>
      </c>
      <c r="D512" s="125" cm="1">
        <f t="array" ref="D512">SUMPRODUCT((tbl_DataDraftApril26[Phase]=D$1)*(ISNUMBER(tbl_DataDraftApril26[Start]))*(ISNUMBER(tbl_DataDraftApril26[End]))*($A512&gt;tbl_DataDraftApril26[Start])*($A512&lt;tbl_DataDraftApril26[End]))</f>
        <v>0</v>
      </c>
      <c r="E512" s="125" cm="1">
        <f t="array" ref="E512">SUMPRODUCT((tbl_DataDraftApril26[Phase]=E$1)*(ISNUMBER(tbl_DataDraftApril26[Start]))*(ISNUMBER(tbl_DataDraftApril26[End]))*($A512&gt;tbl_DataDraftApril26[Start])*($A512&lt;tbl_DataDraftApril26[End]))</f>
        <v>0</v>
      </c>
    </row>
    <row r="513" spans="1:5">
      <c r="A513" s="131">
        <v>46381</v>
      </c>
      <c r="B513" s="125" cm="1">
        <f t="array" ref="B513">SUMPRODUCT((tbl_DataDraftApril26[Phase]=B$1)*(ISNUMBER(tbl_DataDraftApril26[Start]))*(ISNUMBER(tbl_DataDraftApril26[End]))*($A513&gt;tbl_DataDraftApril26[Start])*($A513&lt;tbl_DataDraftApril26[End]))</f>
        <v>2</v>
      </c>
      <c r="C513" s="125" cm="1">
        <f t="array" ref="C513">SUMPRODUCT((tbl_DataDraftApril26[Phase]=C$1)*(ISNUMBER(tbl_DataDraftApril26[Start]))*(ISNUMBER(tbl_DataDraftApril26[End]))*($A513&gt;tbl_DataDraftApril26[Start])*($A513&lt;tbl_DataDraftApril26[End]))</f>
        <v>3</v>
      </c>
      <c r="D513" s="125" cm="1">
        <f t="array" ref="D513">SUMPRODUCT((tbl_DataDraftApril26[Phase]=D$1)*(ISNUMBER(tbl_DataDraftApril26[Start]))*(ISNUMBER(tbl_DataDraftApril26[End]))*($A513&gt;tbl_DataDraftApril26[Start])*($A513&lt;tbl_DataDraftApril26[End]))</f>
        <v>0</v>
      </c>
      <c r="E513" s="125" cm="1">
        <f t="array" ref="E513">SUMPRODUCT((tbl_DataDraftApril26[Phase]=E$1)*(ISNUMBER(tbl_DataDraftApril26[Start]))*(ISNUMBER(tbl_DataDraftApril26[End]))*($A513&gt;tbl_DataDraftApril26[Start])*($A513&lt;tbl_DataDraftApril26[End]))</f>
        <v>0</v>
      </c>
    </row>
    <row r="514" spans="1:5">
      <c r="A514" s="131">
        <v>46382</v>
      </c>
      <c r="B514" s="125" cm="1">
        <f t="array" ref="B514">SUMPRODUCT((tbl_DataDraftApril26[Phase]=B$1)*(ISNUMBER(tbl_DataDraftApril26[Start]))*(ISNUMBER(tbl_DataDraftApril26[End]))*($A514&gt;tbl_DataDraftApril26[Start])*($A514&lt;tbl_DataDraftApril26[End]))</f>
        <v>2</v>
      </c>
      <c r="C514" s="125" cm="1">
        <f t="array" ref="C514">SUMPRODUCT((tbl_DataDraftApril26[Phase]=C$1)*(ISNUMBER(tbl_DataDraftApril26[Start]))*(ISNUMBER(tbl_DataDraftApril26[End]))*($A514&gt;tbl_DataDraftApril26[Start])*($A514&lt;tbl_DataDraftApril26[End]))</f>
        <v>3</v>
      </c>
      <c r="D514" s="125" cm="1">
        <f t="array" ref="D514">SUMPRODUCT((tbl_DataDraftApril26[Phase]=D$1)*(ISNUMBER(tbl_DataDraftApril26[Start]))*(ISNUMBER(tbl_DataDraftApril26[End]))*($A514&gt;tbl_DataDraftApril26[Start])*($A514&lt;tbl_DataDraftApril26[End]))</f>
        <v>0</v>
      </c>
      <c r="E514" s="125" cm="1">
        <f t="array" ref="E514">SUMPRODUCT((tbl_DataDraftApril26[Phase]=E$1)*(ISNUMBER(tbl_DataDraftApril26[Start]))*(ISNUMBER(tbl_DataDraftApril26[End]))*($A514&gt;tbl_DataDraftApril26[Start])*($A514&lt;tbl_DataDraftApril26[End]))</f>
        <v>0</v>
      </c>
    </row>
    <row r="515" spans="1:5">
      <c r="A515" s="131">
        <v>46383</v>
      </c>
      <c r="B515" s="125" cm="1">
        <f t="array" ref="B515">SUMPRODUCT((tbl_DataDraftApril26[Phase]=B$1)*(ISNUMBER(tbl_DataDraftApril26[Start]))*(ISNUMBER(tbl_DataDraftApril26[End]))*($A515&gt;tbl_DataDraftApril26[Start])*($A515&lt;tbl_DataDraftApril26[End]))</f>
        <v>2</v>
      </c>
      <c r="C515" s="125" cm="1">
        <f t="array" ref="C515">SUMPRODUCT((tbl_DataDraftApril26[Phase]=C$1)*(ISNUMBER(tbl_DataDraftApril26[Start]))*(ISNUMBER(tbl_DataDraftApril26[End]))*($A515&gt;tbl_DataDraftApril26[Start])*($A515&lt;tbl_DataDraftApril26[End]))</f>
        <v>3</v>
      </c>
      <c r="D515" s="125" cm="1">
        <f t="array" ref="D515">SUMPRODUCT((tbl_DataDraftApril26[Phase]=D$1)*(ISNUMBER(tbl_DataDraftApril26[Start]))*(ISNUMBER(tbl_DataDraftApril26[End]))*($A515&gt;tbl_DataDraftApril26[Start])*($A515&lt;tbl_DataDraftApril26[End]))</f>
        <v>0</v>
      </c>
      <c r="E515" s="125" cm="1">
        <f t="array" ref="E515">SUMPRODUCT((tbl_DataDraftApril26[Phase]=E$1)*(ISNUMBER(tbl_DataDraftApril26[Start]))*(ISNUMBER(tbl_DataDraftApril26[End]))*($A515&gt;tbl_DataDraftApril26[Start])*($A515&lt;tbl_DataDraftApril26[End]))</f>
        <v>0</v>
      </c>
    </row>
    <row r="516" spans="1:5">
      <c r="A516" s="131">
        <v>46384</v>
      </c>
      <c r="B516" s="125" cm="1">
        <f t="array" ref="B516">SUMPRODUCT((tbl_DataDraftApril26[Phase]=B$1)*(ISNUMBER(tbl_DataDraftApril26[Start]))*(ISNUMBER(tbl_DataDraftApril26[End]))*($A516&gt;tbl_DataDraftApril26[Start])*($A516&lt;tbl_DataDraftApril26[End]))</f>
        <v>2</v>
      </c>
      <c r="C516" s="125" cm="1">
        <f t="array" ref="C516">SUMPRODUCT((tbl_DataDraftApril26[Phase]=C$1)*(ISNUMBER(tbl_DataDraftApril26[Start]))*(ISNUMBER(tbl_DataDraftApril26[End]))*($A516&gt;tbl_DataDraftApril26[Start])*($A516&lt;tbl_DataDraftApril26[End]))</f>
        <v>3</v>
      </c>
      <c r="D516" s="125" cm="1">
        <f t="array" ref="D516">SUMPRODUCT((tbl_DataDraftApril26[Phase]=D$1)*(ISNUMBER(tbl_DataDraftApril26[Start]))*(ISNUMBER(tbl_DataDraftApril26[End]))*($A516&gt;tbl_DataDraftApril26[Start])*($A516&lt;tbl_DataDraftApril26[End]))</f>
        <v>0</v>
      </c>
      <c r="E516" s="125" cm="1">
        <f t="array" ref="E516">SUMPRODUCT((tbl_DataDraftApril26[Phase]=E$1)*(ISNUMBER(tbl_DataDraftApril26[Start]))*(ISNUMBER(tbl_DataDraftApril26[End]))*($A516&gt;tbl_DataDraftApril26[Start])*($A516&lt;tbl_DataDraftApril26[End]))</f>
        <v>0</v>
      </c>
    </row>
    <row r="517" spans="1:5">
      <c r="A517" s="131">
        <v>46385</v>
      </c>
      <c r="B517" s="125" cm="1">
        <f t="array" ref="B517">SUMPRODUCT((tbl_DataDraftApril26[Phase]=B$1)*(ISNUMBER(tbl_DataDraftApril26[Start]))*(ISNUMBER(tbl_DataDraftApril26[End]))*($A517&gt;tbl_DataDraftApril26[Start])*($A517&lt;tbl_DataDraftApril26[End]))</f>
        <v>2</v>
      </c>
      <c r="C517" s="125" cm="1">
        <f t="array" ref="C517">SUMPRODUCT((tbl_DataDraftApril26[Phase]=C$1)*(ISNUMBER(tbl_DataDraftApril26[Start]))*(ISNUMBER(tbl_DataDraftApril26[End]))*($A517&gt;tbl_DataDraftApril26[Start])*($A517&lt;tbl_DataDraftApril26[End]))</f>
        <v>3</v>
      </c>
      <c r="D517" s="125" cm="1">
        <f t="array" ref="D517">SUMPRODUCT((tbl_DataDraftApril26[Phase]=D$1)*(ISNUMBER(tbl_DataDraftApril26[Start]))*(ISNUMBER(tbl_DataDraftApril26[End]))*($A517&gt;tbl_DataDraftApril26[Start])*($A517&lt;tbl_DataDraftApril26[End]))</f>
        <v>0</v>
      </c>
      <c r="E517" s="125" cm="1">
        <f t="array" ref="E517">SUMPRODUCT((tbl_DataDraftApril26[Phase]=E$1)*(ISNUMBER(tbl_DataDraftApril26[Start]))*(ISNUMBER(tbl_DataDraftApril26[End]))*($A517&gt;tbl_DataDraftApril26[Start])*($A517&lt;tbl_DataDraftApril26[End]))</f>
        <v>0</v>
      </c>
    </row>
    <row r="518" spans="1:5">
      <c r="A518" s="131">
        <v>46386</v>
      </c>
      <c r="B518" s="125" cm="1">
        <f t="array" ref="B518">SUMPRODUCT((tbl_DataDraftApril26[Phase]=B$1)*(ISNUMBER(tbl_DataDraftApril26[Start]))*(ISNUMBER(tbl_DataDraftApril26[End]))*($A518&gt;tbl_DataDraftApril26[Start])*($A518&lt;tbl_DataDraftApril26[End]))</f>
        <v>2</v>
      </c>
      <c r="C518" s="125" cm="1">
        <f t="array" ref="C518">SUMPRODUCT((tbl_DataDraftApril26[Phase]=C$1)*(ISNUMBER(tbl_DataDraftApril26[Start]))*(ISNUMBER(tbl_DataDraftApril26[End]))*($A518&gt;tbl_DataDraftApril26[Start])*($A518&lt;tbl_DataDraftApril26[End]))</f>
        <v>3</v>
      </c>
      <c r="D518" s="125" cm="1">
        <f t="array" ref="D518">SUMPRODUCT((tbl_DataDraftApril26[Phase]=D$1)*(ISNUMBER(tbl_DataDraftApril26[Start]))*(ISNUMBER(tbl_DataDraftApril26[End]))*($A518&gt;tbl_DataDraftApril26[Start])*($A518&lt;tbl_DataDraftApril26[End]))</f>
        <v>0</v>
      </c>
      <c r="E518" s="125" cm="1">
        <f t="array" ref="E518">SUMPRODUCT((tbl_DataDraftApril26[Phase]=E$1)*(ISNUMBER(tbl_DataDraftApril26[Start]))*(ISNUMBER(tbl_DataDraftApril26[End]))*($A518&gt;tbl_DataDraftApril26[Start])*($A518&lt;tbl_DataDraftApril26[End]))</f>
        <v>0</v>
      </c>
    </row>
    <row r="519" spans="1:5">
      <c r="A519" s="131">
        <v>46387</v>
      </c>
      <c r="B519" s="125" cm="1">
        <f t="array" ref="B519">SUMPRODUCT((tbl_DataDraftApril26[Phase]=B$1)*(ISNUMBER(tbl_DataDraftApril26[Start]))*(ISNUMBER(tbl_DataDraftApril26[End]))*($A519&gt;tbl_DataDraftApril26[Start])*($A519&lt;tbl_DataDraftApril26[End]))</f>
        <v>1</v>
      </c>
      <c r="C519" s="125" cm="1">
        <f t="array" ref="C519">SUMPRODUCT((tbl_DataDraftApril26[Phase]=C$1)*(ISNUMBER(tbl_DataDraftApril26[Start]))*(ISNUMBER(tbl_DataDraftApril26[End]))*($A519&gt;tbl_DataDraftApril26[Start])*($A519&lt;tbl_DataDraftApril26[End]))</f>
        <v>0</v>
      </c>
      <c r="D519" s="125" cm="1">
        <f t="array" ref="D519">SUMPRODUCT((tbl_DataDraftApril26[Phase]=D$1)*(ISNUMBER(tbl_DataDraftApril26[Start]))*(ISNUMBER(tbl_DataDraftApril26[End]))*($A519&gt;tbl_DataDraftApril26[Start])*($A519&lt;tbl_DataDraftApril26[End]))</f>
        <v>0</v>
      </c>
      <c r="E519" s="125" cm="1">
        <f t="array" ref="E519">SUMPRODUCT((tbl_DataDraftApril26[Phase]=E$1)*(ISNUMBER(tbl_DataDraftApril26[Start]))*(ISNUMBER(tbl_DataDraftApril26[End]))*($A519&gt;tbl_DataDraftApril26[Start])*($A519&lt;tbl_DataDraftApril26[End]))</f>
        <v>0</v>
      </c>
    </row>
    <row r="520" spans="1:5">
      <c r="A520" s="131">
        <v>46388</v>
      </c>
      <c r="B520" s="125" cm="1">
        <f t="array" ref="B520">SUMPRODUCT((tbl_DataDraftApril26[Phase]=B$1)*(ISNUMBER(tbl_DataDraftApril26[Start]))*(ISNUMBER(tbl_DataDraftApril26[End]))*($A520&gt;tbl_DataDraftApril26[Start])*($A520&lt;tbl_DataDraftApril26[End]))</f>
        <v>0</v>
      </c>
      <c r="C520" s="125" cm="1">
        <f t="array" ref="C520">SUMPRODUCT((tbl_DataDraftApril26[Phase]=C$1)*(ISNUMBER(tbl_DataDraftApril26[Start]))*(ISNUMBER(tbl_DataDraftApril26[End]))*($A520&gt;tbl_DataDraftApril26[Start])*($A520&lt;tbl_DataDraftApril26[End]))</f>
        <v>0</v>
      </c>
      <c r="D520" s="125" cm="1">
        <f t="array" ref="D520">SUMPRODUCT((tbl_DataDraftApril26[Phase]=D$1)*(ISNUMBER(tbl_DataDraftApril26[Start]))*(ISNUMBER(tbl_DataDraftApril26[End]))*($A520&gt;tbl_DataDraftApril26[Start])*($A520&lt;tbl_DataDraftApril26[End]))</f>
        <v>0</v>
      </c>
      <c r="E520" s="125" cm="1">
        <f t="array" ref="E520">SUMPRODUCT((tbl_DataDraftApril26[Phase]=E$1)*(ISNUMBER(tbl_DataDraftApril26[Start]))*(ISNUMBER(tbl_DataDraftApril26[End]))*($A520&gt;tbl_DataDraftApril26[Start])*($A520&lt;tbl_DataDraftApril26[End]))</f>
        <v>0</v>
      </c>
    </row>
    <row r="521" spans="1:5">
      <c r="A521" s="5"/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1EDF4-AEF0-4EC8-83DD-046334396F05}">
  <dimension ref="A1:AE76"/>
  <sheetViews>
    <sheetView workbookViewId="0"/>
  </sheetViews>
  <sheetFormatPr defaultColWidth="8.85546875" defaultRowHeight="15"/>
  <cols>
    <col min="1" max="1" width="50.28515625" bestFit="1" customWidth="1"/>
    <col min="2" max="2" width="16.42578125" bestFit="1" customWidth="1"/>
    <col min="3" max="3" width="47.7109375" bestFit="1" customWidth="1"/>
    <col min="4" max="4" width="21.28515625" bestFit="1" customWidth="1"/>
    <col min="5" max="5" width="18" bestFit="1" customWidth="1"/>
    <col min="6" max="6" width="10.42578125" bestFit="1" customWidth="1"/>
    <col min="7" max="7" width="13.28515625" bestFit="1" customWidth="1"/>
    <col min="8" max="8" width="12.42578125" bestFit="1" customWidth="1"/>
    <col min="9" max="9" width="11.7109375" bestFit="1" customWidth="1"/>
    <col min="10" max="10" width="11.140625" bestFit="1" customWidth="1"/>
    <col min="11" max="11" width="19.28515625" bestFit="1" customWidth="1"/>
    <col min="12" max="12" width="15.5703125" bestFit="1" customWidth="1"/>
    <col min="13" max="13" width="14.85546875" bestFit="1" customWidth="1"/>
    <col min="14" max="14" width="16.5703125" bestFit="1" customWidth="1"/>
    <col min="15" max="15" width="25.85546875" bestFit="1" customWidth="1"/>
    <col min="16" max="16" width="21" bestFit="1" customWidth="1"/>
    <col min="17" max="17" width="22.7109375" bestFit="1" customWidth="1"/>
    <col min="18" max="18" width="19.28515625" bestFit="1" customWidth="1"/>
    <col min="19" max="19" width="17.140625" bestFit="1" customWidth="1"/>
    <col min="20" max="20" width="14.140625" bestFit="1" customWidth="1"/>
    <col min="22" max="22" width="50.28515625" bestFit="1" customWidth="1"/>
    <col min="23" max="23" width="16.42578125" bestFit="1" customWidth="1"/>
    <col min="24" max="24" width="47.7109375" bestFit="1" customWidth="1"/>
    <col min="25" max="25" width="19.5703125" bestFit="1" customWidth="1"/>
    <col min="26" max="26" width="13.85546875" bestFit="1" customWidth="1"/>
    <col min="27" max="28" width="11.140625" bestFit="1" customWidth="1"/>
    <col min="29" max="29" width="18.140625" bestFit="1" customWidth="1"/>
    <col min="30" max="30" width="24.85546875" bestFit="1" customWidth="1"/>
    <col min="31" max="31" width="21.7109375" bestFit="1" customWidth="1"/>
  </cols>
  <sheetData>
    <row r="1" spans="1:31">
      <c r="A1" s="133" t="s">
        <v>669</v>
      </c>
      <c r="B1" s="133" t="s">
        <v>207</v>
      </c>
      <c r="C1" s="133" t="s">
        <v>214</v>
      </c>
      <c r="D1" s="133" t="s">
        <v>670</v>
      </c>
      <c r="E1" s="133" t="s">
        <v>671</v>
      </c>
      <c r="F1" s="133" t="s">
        <v>672</v>
      </c>
      <c r="G1" s="133" t="s">
        <v>673</v>
      </c>
      <c r="H1" s="133" t="s">
        <v>674</v>
      </c>
      <c r="I1" s="133" t="s">
        <v>675</v>
      </c>
      <c r="J1" s="133" t="s">
        <v>676</v>
      </c>
      <c r="K1" s="133" t="s">
        <v>677</v>
      </c>
      <c r="L1" s="133" t="s">
        <v>637</v>
      </c>
      <c r="M1" s="133" t="s">
        <v>213</v>
      </c>
      <c r="N1" s="133" t="s">
        <v>14</v>
      </c>
      <c r="O1" s="133" t="s">
        <v>461</v>
      </c>
      <c r="P1" s="133" t="s">
        <v>210</v>
      </c>
      <c r="Q1" s="133" t="s">
        <v>209</v>
      </c>
      <c r="R1" s="133" t="s">
        <v>678</v>
      </c>
      <c r="S1" s="133" t="s">
        <v>679</v>
      </c>
      <c r="T1" s="133" t="s">
        <v>680</v>
      </c>
      <c r="V1" s="133" t="s">
        <v>669</v>
      </c>
      <c r="W1" s="133" t="s">
        <v>207</v>
      </c>
      <c r="X1" s="133" t="s">
        <v>214</v>
      </c>
      <c r="Y1" s="133" t="s">
        <v>2</v>
      </c>
      <c r="Z1" s="133" t="s">
        <v>681</v>
      </c>
      <c r="AA1" s="133" t="s">
        <v>9</v>
      </c>
      <c r="AB1" s="133" t="s">
        <v>10</v>
      </c>
      <c r="AC1" s="133" t="s">
        <v>638</v>
      </c>
      <c r="AD1" s="133" t="s">
        <v>14</v>
      </c>
      <c r="AE1" s="133" t="s">
        <v>213</v>
      </c>
    </row>
    <row r="2" spans="1:31">
      <c r="A2" t="s">
        <v>682</v>
      </c>
      <c r="B2" t="s">
        <v>20</v>
      </c>
      <c r="C2" t="s">
        <v>17</v>
      </c>
      <c r="D2" s="125">
        <v>1</v>
      </c>
      <c r="E2" s="125">
        <v>1</v>
      </c>
      <c r="F2" s="125">
        <v>1001</v>
      </c>
      <c r="G2" s="131"/>
      <c r="H2" s="131"/>
      <c r="I2" s="131">
        <v>1</v>
      </c>
      <c r="J2" s="131">
        <v>2</v>
      </c>
      <c r="K2" s="125">
        <v>1</v>
      </c>
      <c r="T2" s="125"/>
      <c r="V2" t="s">
        <v>682</v>
      </c>
      <c r="W2" t="s">
        <v>20</v>
      </c>
      <c r="X2" t="s">
        <v>17</v>
      </c>
      <c r="Y2" t="s">
        <v>22</v>
      </c>
      <c r="Z2" s="125">
        <v>1</v>
      </c>
      <c r="AA2" s="131">
        <v>46055</v>
      </c>
      <c r="AB2" s="131">
        <v>46142</v>
      </c>
      <c r="AC2" s="125">
        <v>64</v>
      </c>
      <c r="AD2" t="s">
        <v>26</v>
      </c>
      <c r="AE2" t="s">
        <v>26</v>
      </c>
    </row>
    <row r="3" spans="1:31">
      <c r="A3" t="s">
        <v>683</v>
      </c>
      <c r="B3" t="s">
        <v>20</v>
      </c>
      <c r="C3" t="s">
        <v>31</v>
      </c>
      <c r="D3" s="125">
        <v>1</v>
      </c>
      <c r="E3" s="125">
        <v>2</v>
      </c>
      <c r="F3" s="125">
        <v>1002</v>
      </c>
      <c r="G3" s="131"/>
      <c r="H3" s="131"/>
      <c r="I3" s="131">
        <v>1</v>
      </c>
      <c r="J3" s="131">
        <v>2</v>
      </c>
      <c r="K3" s="125">
        <v>1</v>
      </c>
      <c r="T3" s="125"/>
      <c r="V3" t="s">
        <v>682</v>
      </c>
      <c r="W3" t="s">
        <v>20</v>
      </c>
      <c r="X3" t="s">
        <v>17</v>
      </c>
      <c r="Y3" t="s">
        <v>28</v>
      </c>
      <c r="Z3" s="125">
        <v>2</v>
      </c>
      <c r="AA3" s="131">
        <v>46156</v>
      </c>
      <c r="AB3" s="131">
        <v>46232</v>
      </c>
      <c r="AC3" s="125">
        <v>55</v>
      </c>
      <c r="AD3" t="s">
        <v>27</v>
      </c>
    </row>
    <row r="4" spans="1:31">
      <c r="A4" t="s">
        <v>684</v>
      </c>
      <c r="B4" t="s">
        <v>20</v>
      </c>
      <c r="C4" t="s">
        <v>34</v>
      </c>
      <c r="D4" s="125">
        <v>1</v>
      </c>
      <c r="E4" s="125">
        <v>3</v>
      </c>
      <c r="F4" s="125">
        <v>1003</v>
      </c>
      <c r="G4" s="131"/>
      <c r="H4" s="131"/>
      <c r="I4" s="131">
        <v>1</v>
      </c>
      <c r="J4" s="131">
        <v>2</v>
      </c>
      <c r="K4" s="125">
        <v>1</v>
      </c>
      <c r="T4" s="125"/>
      <c r="V4" t="s">
        <v>682</v>
      </c>
      <c r="W4" t="s">
        <v>20</v>
      </c>
      <c r="X4" t="s">
        <v>17</v>
      </c>
      <c r="Y4" t="s">
        <v>29</v>
      </c>
      <c r="Z4" s="125">
        <v>4</v>
      </c>
      <c r="AA4" s="131"/>
      <c r="AB4" s="131"/>
      <c r="AC4" s="125">
        <v>0</v>
      </c>
    </row>
    <row r="5" spans="1:31">
      <c r="A5" t="s">
        <v>685</v>
      </c>
      <c r="B5" t="s">
        <v>20</v>
      </c>
      <c r="C5" t="s">
        <v>40</v>
      </c>
      <c r="D5" s="125">
        <v>1</v>
      </c>
      <c r="E5" s="125">
        <v>4</v>
      </c>
      <c r="F5" s="125">
        <v>1004</v>
      </c>
      <c r="G5" s="131"/>
      <c r="H5" s="131"/>
      <c r="I5" s="131">
        <v>1</v>
      </c>
      <c r="J5" s="131">
        <v>2</v>
      </c>
      <c r="K5" s="125">
        <v>1</v>
      </c>
      <c r="T5" s="125"/>
      <c r="V5" t="s">
        <v>682</v>
      </c>
      <c r="W5" t="s">
        <v>20</v>
      </c>
      <c r="X5" t="s">
        <v>17</v>
      </c>
      <c r="Y5" t="s">
        <v>30</v>
      </c>
      <c r="Z5" s="125">
        <v>3</v>
      </c>
      <c r="AA5" s="131"/>
      <c r="AB5" s="131"/>
      <c r="AC5" s="125">
        <v>0</v>
      </c>
    </row>
    <row r="6" spans="1:31">
      <c r="A6" t="s">
        <v>686</v>
      </c>
      <c r="B6" t="s">
        <v>20</v>
      </c>
      <c r="C6" t="s">
        <v>52</v>
      </c>
      <c r="D6" s="125">
        <v>1</v>
      </c>
      <c r="E6" s="125">
        <v>5</v>
      </c>
      <c r="F6" s="125">
        <v>1005</v>
      </c>
      <c r="G6" s="131"/>
      <c r="H6" s="131"/>
      <c r="I6" s="131">
        <v>1</v>
      </c>
      <c r="J6" s="131">
        <v>2</v>
      </c>
      <c r="K6" s="125">
        <v>1</v>
      </c>
      <c r="T6" s="125"/>
      <c r="V6" t="s">
        <v>683</v>
      </c>
      <c r="W6" t="s">
        <v>20</v>
      </c>
      <c r="X6" t="s">
        <v>31</v>
      </c>
      <c r="Y6" t="s">
        <v>22</v>
      </c>
      <c r="Z6" s="125">
        <v>1</v>
      </c>
      <c r="AA6" s="131">
        <v>46097</v>
      </c>
      <c r="AB6" s="131">
        <v>46163</v>
      </c>
      <c r="AC6" s="125">
        <v>49</v>
      </c>
      <c r="AD6" t="s">
        <v>26</v>
      </c>
      <c r="AE6" t="s">
        <v>26</v>
      </c>
    </row>
    <row r="7" spans="1:31">
      <c r="A7" t="s">
        <v>687</v>
      </c>
      <c r="B7" t="s">
        <v>20</v>
      </c>
      <c r="C7" t="s">
        <v>77</v>
      </c>
      <c r="D7" s="125">
        <v>1</v>
      </c>
      <c r="E7" s="125">
        <v>6</v>
      </c>
      <c r="F7" s="125">
        <v>1006</v>
      </c>
      <c r="G7" s="131"/>
      <c r="H7" s="131"/>
      <c r="I7" s="131">
        <v>1</v>
      </c>
      <c r="J7" s="131">
        <v>2</v>
      </c>
      <c r="K7" s="125">
        <v>1</v>
      </c>
      <c r="T7" s="125"/>
      <c r="V7" t="s">
        <v>683</v>
      </c>
      <c r="W7" t="s">
        <v>20</v>
      </c>
      <c r="X7" t="s">
        <v>31</v>
      </c>
      <c r="Y7" t="s">
        <v>28</v>
      </c>
      <c r="Z7" s="125">
        <v>2</v>
      </c>
      <c r="AA7" s="131">
        <v>46167</v>
      </c>
      <c r="AB7" s="131">
        <v>46265</v>
      </c>
      <c r="AC7" s="125">
        <v>71</v>
      </c>
      <c r="AD7" t="s">
        <v>27</v>
      </c>
    </row>
    <row r="8" spans="1:31">
      <c r="A8" t="s">
        <v>688</v>
      </c>
      <c r="B8" t="s">
        <v>20</v>
      </c>
      <c r="C8" t="s">
        <v>78</v>
      </c>
      <c r="D8" s="125">
        <v>1</v>
      </c>
      <c r="E8" s="125">
        <v>7</v>
      </c>
      <c r="F8" s="125">
        <v>1007</v>
      </c>
      <c r="G8" s="131"/>
      <c r="H8" s="131"/>
      <c r="I8" s="131">
        <v>1</v>
      </c>
      <c r="J8" s="131">
        <v>2</v>
      </c>
      <c r="K8" s="125">
        <v>1</v>
      </c>
      <c r="T8" s="125"/>
      <c r="V8" t="s">
        <v>683</v>
      </c>
      <c r="W8" t="s">
        <v>20</v>
      </c>
      <c r="X8" t="s">
        <v>31</v>
      </c>
      <c r="Y8" t="s">
        <v>29</v>
      </c>
      <c r="Z8" s="125">
        <v>4</v>
      </c>
      <c r="AA8" s="131"/>
      <c r="AB8" s="131"/>
      <c r="AC8" s="125">
        <v>0</v>
      </c>
    </row>
    <row r="9" spans="1:31">
      <c r="A9" t="s">
        <v>689</v>
      </c>
      <c r="B9" t="s">
        <v>20</v>
      </c>
      <c r="C9" t="s">
        <v>95</v>
      </c>
      <c r="D9" s="125">
        <v>1</v>
      </c>
      <c r="E9" s="125">
        <v>8</v>
      </c>
      <c r="F9" s="125">
        <v>1008</v>
      </c>
      <c r="G9" s="131"/>
      <c r="H9" s="131"/>
      <c r="I9" s="131">
        <v>1</v>
      </c>
      <c r="J9" s="131">
        <v>2</v>
      </c>
      <c r="K9" s="125">
        <v>1</v>
      </c>
      <c r="T9" s="125"/>
      <c r="V9" t="s">
        <v>683</v>
      </c>
      <c r="W9" t="s">
        <v>20</v>
      </c>
      <c r="X9" t="s">
        <v>31</v>
      </c>
      <c r="Y9" t="s">
        <v>30</v>
      </c>
      <c r="Z9" s="125">
        <v>3</v>
      </c>
      <c r="AA9" s="131"/>
      <c r="AB9" s="131"/>
      <c r="AC9" s="125">
        <v>0</v>
      </c>
    </row>
    <row r="10" spans="1:31">
      <c r="A10" t="s">
        <v>690</v>
      </c>
      <c r="B10" t="s">
        <v>105</v>
      </c>
      <c r="C10" t="s">
        <v>104</v>
      </c>
      <c r="D10" s="125">
        <v>2</v>
      </c>
      <c r="E10" s="125">
        <v>1</v>
      </c>
      <c r="F10" s="125">
        <v>2001</v>
      </c>
      <c r="G10" s="131"/>
      <c r="H10" s="131"/>
      <c r="I10" s="131">
        <v>1</v>
      </c>
      <c r="J10" s="131">
        <v>2</v>
      </c>
      <c r="K10" s="125">
        <v>1</v>
      </c>
      <c r="T10" s="125"/>
      <c r="V10" t="s">
        <v>684</v>
      </c>
      <c r="W10" t="s">
        <v>20</v>
      </c>
      <c r="X10" t="s">
        <v>34</v>
      </c>
      <c r="Y10" t="s">
        <v>22</v>
      </c>
      <c r="Z10" s="125">
        <v>1</v>
      </c>
      <c r="AA10" s="131">
        <v>46076</v>
      </c>
      <c r="AB10" s="131">
        <v>46150</v>
      </c>
      <c r="AC10" s="125">
        <v>54.85</v>
      </c>
      <c r="AD10" t="s">
        <v>26</v>
      </c>
      <c r="AE10" t="s">
        <v>43</v>
      </c>
    </row>
    <row r="11" spans="1:31">
      <c r="A11" t="s">
        <v>691</v>
      </c>
      <c r="B11" t="s">
        <v>105</v>
      </c>
      <c r="C11" t="s">
        <v>115</v>
      </c>
      <c r="D11" s="125">
        <v>2</v>
      </c>
      <c r="E11" s="125">
        <v>2</v>
      </c>
      <c r="F11" s="125">
        <v>2002</v>
      </c>
      <c r="G11" s="131"/>
      <c r="H11" s="131"/>
      <c r="I11" s="131">
        <v>1</v>
      </c>
      <c r="J11" s="131">
        <v>2</v>
      </c>
      <c r="K11" s="125">
        <v>1</v>
      </c>
      <c r="T11" s="125"/>
      <c r="V11" t="s">
        <v>684</v>
      </c>
      <c r="W11" t="s">
        <v>20</v>
      </c>
      <c r="X11" t="s">
        <v>34</v>
      </c>
      <c r="Y11" t="s">
        <v>28</v>
      </c>
      <c r="Z11" s="125">
        <v>2</v>
      </c>
      <c r="AA11" s="131">
        <v>46150</v>
      </c>
      <c r="AB11" s="131">
        <v>46219</v>
      </c>
      <c r="AC11" s="125">
        <v>49</v>
      </c>
      <c r="AD11" t="s">
        <v>27</v>
      </c>
    </row>
    <row r="12" spans="1:31">
      <c r="A12" t="s">
        <v>692</v>
      </c>
      <c r="B12" t="s">
        <v>105</v>
      </c>
      <c r="C12" t="s">
        <v>141</v>
      </c>
      <c r="D12" s="125">
        <v>2</v>
      </c>
      <c r="E12" s="125">
        <v>3</v>
      </c>
      <c r="F12" s="125">
        <v>2003</v>
      </c>
      <c r="G12" s="131"/>
      <c r="H12" s="131"/>
      <c r="I12" s="131">
        <v>1</v>
      </c>
      <c r="J12" s="131">
        <v>2</v>
      </c>
      <c r="K12" s="125">
        <v>1</v>
      </c>
      <c r="T12" s="125"/>
      <c r="V12" t="s">
        <v>684</v>
      </c>
      <c r="W12" t="s">
        <v>20</v>
      </c>
      <c r="X12" t="s">
        <v>34</v>
      </c>
      <c r="Y12" t="s">
        <v>29</v>
      </c>
      <c r="Z12" s="125">
        <v>4</v>
      </c>
      <c r="AA12" s="131">
        <v>46150</v>
      </c>
      <c r="AB12" s="131">
        <v>46153</v>
      </c>
      <c r="AC12" s="125">
        <v>1</v>
      </c>
      <c r="AD12" t="s">
        <v>27</v>
      </c>
    </row>
    <row r="13" spans="1:31">
      <c r="A13" t="s">
        <v>693</v>
      </c>
      <c r="B13" t="s">
        <v>105</v>
      </c>
      <c r="C13" t="s">
        <v>146</v>
      </c>
      <c r="D13" s="125">
        <v>2</v>
      </c>
      <c r="E13" s="125">
        <v>4</v>
      </c>
      <c r="F13" s="125">
        <v>2004</v>
      </c>
      <c r="G13" s="131"/>
      <c r="H13" s="131"/>
      <c r="I13" s="131">
        <v>1</v>
      </c>
      <c r="J13" s="131">
        <v>2</v>
      </c>
      <c r="K13" s="125">
        <v>1</v>
      </c>
      <c r="T13" s="125"/>
      <c r="V13" t="s">
        <v>684</v>
      </c>
      <c r="W13" t="s">
        <v>20</v>
      </c>
      <c r="X13" t="s">
        <v>34</v>
      </c>
      <c r="Y13" t="s">
        <v>30</v>
      </c>
      <c r="Z13" s="125">
        <v>3</v>
      </c>
      <c r="AA13" s="131">
        <v>46150</v>
      </c>
      <c r="AB13" s="131">
        <v>46153</v>
      </c>
      <c r="AC13" s="125">
        <v>1</v>
      </c>
      <c r="AD13" t="s">
        <v>27</v>
      </c>
    </row>
    <row r="14" spans="1:31">
      <c r="A14" t="s">
        <v>694</v>
      </c>
      <c r="B14" t="s">
        <v>170</v>
      </c>
      <c r="C14" t="s">
        <v>169</v>
      </c>
      <c r="D14" s="125">
        <v>3</v>
      </c>
      <c r="E14" s="125">
        <v>1</v>
      </c>
      <c r="F14" s="125">
        <v>3001</v>
      </c>
      <c r="G14" s="131"/>
      <c r="H14" s="131"/>
      <c r="I14" s="131">
        <v>1</v>
      </c>
      <c r="J14" s="131">
        <v>2</v>
      </c>
      <c r="K14" s="125">
        <v>1</v>
      </c>
      <c r="T14" s="125"/>
      <c r="V14" t="s">
        <v>685</v>
      </c>
      <c r="W14" t="s">
        <v>20</v>
      </c>
      <c r="X14" t="s">
        <v>40</v>
      </c>
      <c r="Y14" t="s">
        <v>22</v>
      </c>
      <c r="Z14" s="125">
        <v>1</v>
      </c>
      <c r="AA14" s="131">
        <v>45972</v>
      </c>
      <c r="AB14" s="131">
        <v>46051</v>
      </c>
      <c r="AC14" s="125">
        <v>58</v>
      </c>
      <c r="AD14" t="s">
        <v>108</v>
      </c>
      <c r="AE14" t="s">
        <v>108</v>
      </c>
    </row>
    <row r="15" spans="1:31">
      <c r="A15" t="s">
        <v>695</v>
      </c>
      <c r="B15" t="s">
        <v>170</v>
      </c>
      <c r="C15" t="s">
        <v>174</v>
      </c>
      <c r="D15" s="125">
        <v>3</v>
      </c>
      <c r="E15" s="125">
        <v>2</v>
      </c>
      <c r="F15" s="125">
        <v>3002</v>
      </c>
      <c r="G15" s="131"/>
      <c r="H15" s="131"/>
      <c r="I15" s="131">
        <v>1</v>
      </c>
      <c r="J15" s="131">
        <v>2</v>
      </c>
      <c r="K15" s="125">
        <v>1</v>
      </c>
      <c r="T15" s="125"/>
      <c r="V15" t="s">
        <v>685</v>
      </c>
      <c r="W15" t="s">
        <v>20</v>
      </c>
      <c r="X15" t="s">
        <v>40</v>
      </c>
      <c r="Y15" t="s">
        <v>28</v>
      </c>
      <c r="Z15" s="125">
        <v>2</v>
      </c>
      <c r="AA15" s="131"/>
      <c r="AB15" s="131"/>
      <c r="AC15" s="125">
        <v>0</v>
      </c>
    </row>
    <row r="16" spans="1:31">
      <c r="A16" t="s">
        <v>696</v>
      </c>
      <c r="B16" t="s">
        <v>170</v>
      </c>
      <c r="C16" t="s">
        <v>182</v>
      </c>
      <c r="D16" s="125">
        <v>3</v>
      </c>
      <c r="E16" s="125">
        <v>3</v>
      </c>
      <c r="F16" s="125">
        <v>3003</v>
      </c>
      <c r="G16" s="131"/>
      <c r="H16" s="131"/>
      <c r="I16" s="131">
        <v>1</v>
      </c>
      <c r="J16" s="131">
        <v>2</v>
      </c>
      <c r="K16" s="125">
        <v>1</v>
      </c>
      <c r="T16" s="125"/>
      <c r="V16" t="s">
        <v>685</v>
      </c>
      <c r="W16" t="s">
        <v>20</v>
      </c>
      <c r="X16" t="s">
        <v>40</v>
      </c>
      <c r="Y16" t="s">
        <v>29</v>
      </c>
      <c r="Z16" s="125">
        <v>4</v>
      </c>
      <c r="AA16" s="131"/>
      <c r="AB16" s="131"/>
      <c r="AC16" s="125">
        <v>0</v>
      </c>
    </row>
    <row r="17" spans="1:31">
      <c r="A17" t="s">
        <v>697</v>
      </c>
      <c r="B17" t="s">
        <v>170</v>
      </c>
      <c r="C17" t="s">
        <v>185</v>
      </c>
      <c r="D17" s="125">
        <v>3</v>
      </c>
      <c r="E17" s="125">
        <v>4</v>
      </c>
      <c r="F17" s="125">
        <v>3004</v>
      </c>
      <c r="G17" s="131"/>
      <c r="H17" s="131"/>
      <c r="I17" s="131">
        <v>1</v>
      </c>
      <c r="J17" s="131">
        <v>2</v>
      </c>
      <c r="K17" s="125">
        <v>1</v>
      </c>
      <c r="T17" s="125"/>
      <c r="V17" t="s">
        <v>685</v>
      </c>
      <c r="W17" t="s">
        <v>20</v>
      </c>
      <c r="X17" t="s">
        <v>40</v>
      </c>
      <c r="Y17" t="s">
        <v>30</v>
      </c>
      <c r="Z17" s="125">
        <v>3</v>
      </c>
      <c r="AA17" s="131"/>
      <c r="AB17" s="131"/>
      <c r="AC17" s="125">
        <v>0</v>
      </c>
    </row>
    <row r="18" spans="1:31">
      <c r="A18" t="s">
        <v>698</v>
      </c>
      <c r="B18" t="s">
        <v>170</v>
      </c>
      <c r="C18" t="s">
        <v>200</v>
      </c>
      <c r="D18" s="125">
        <v>3</v>
      </c>
      <c r="E18" s="125">
        <v>5</v>
      </c>
      <c r="F18" s="125">
        <v>3005</v>
      </c>
      <c r="G18" s="131"/>
      <c r="H18" s="131"/>
      <c r="I18" s="131">
        <v>1</v>
      </c>
      <c r="J18" s="131">
        <v>2</v>
      </c>
      <c r="K18" s="125">
        <v>1</v>
      </c>
      <c r="T18" s="125"/>
      <c r="V18" t="s">
        <v>686</v>
      </c>
      <c r="W18" t="s">
        <v>20</v>
      </c>
      <c r="X18" t="s">
        <v>52</v>
      </c>
      <c r="Y18" t="s">
        <v>22</v>
      </c>
      <c r="Z18" s="125">
        <v>1</v>
      </c>
      <c r="AA18" s="131">
        <v>45945</v>
      </c>
      <c r="AB18" s="131">
        <v>46142</v>
      </c>
      <c r="AC18" s="125">
        <v>142</v>
      </c>
      <c r="AD18" t="s">
        <v>26</v>
      </c>
      <c r="AE18" t="s">
        <v>26</v>
      </c>
    </row>
    <row r="19" spans="1:31">
      <c r="A19" t="s">
        <v>699</v>
      </c>
      <c r="B19" t="s">
        <v>170</v>
      </c>
      <c r="C19" t="s">
        <v>202</v>
      </c>
      <c r="D19" s="125">
        <v>3</v>
      </c>
      <c r="E19" s="125">
        <v>6</v>
      </c>
      <c r="F19" s="125">
        <v>3006</v>
      </c>
      <c r="G19" s="131"/>
      <c r="H19" s="131"/>
      <c r="I19" s="131">
        <v>1</v>
      </c>
      <c r="J19" s="131">
        <v>2</v>
      </c>
      <c r="K19" s="125">
        <v>1</v>
      </c>
      <c r="T19" s="125"/>
      <c r="V19" t="s">
        <v>686</v>
      </c>
      <c r="W19" t="s">
        <v>20</v>
      </c>
      <c r="X19" t="s">
        <v>52</v>
      </c>
      <c r="Y19" t="s">
        <v>28</v>
      </c>
      <c r="Z19" s="125">
        <v>2</v>
      </c>
      <c r="AA19" s="131">
        <v>46143</v>
      </c>
      <c r="AB19" s="131">
        <v>46234</v>
      </c>
      <c r="AC19" s="125">
        <v>66</v>
      </c>
      <c r="AD19" t="s">
        <v>27</v>
      </c>
    </row>
    <row r="20" spans="1:31">
      <c r="A20" t="s">
        <v>700</v>
      </c>
      <c r="B20" t="s">
        <v>170</v>
      </c>
      <c r="C20" t="s">
        <v>203</v>
      </c>
      <c r="D20" s="125">
        <v>3</v>
      </c>
      <c r="E20" s="125">
        <v>7</v>
      </c>
      <c r="F20" s="125">
        <v>3007</v>
      </c>
      <c r="G20" s="131"/>
      <c r="H20" s="131"/>
      <c r="I20" s="131">
        <v>1</v>
      </c>
      <c r="J20" s="131">
        <v>2</v>
      </c>
      <c r="K20" s="125">
        <v>1</v>
      </c>
      <c r="T20" s="125"/>
      <c r="V20" t="s">
        <v>686</v>
      </c>
      <c r="W20" t="s">
        <v>20</v>
      </c>
      <c r="X20" t="s">
        <v>52</v>
      </c>
      <c r="Y20" t="s">
        <v>30</v>
      </c>
      <c r="Z20" s="125">
        <v>3</v>
      </c>
      <c r="AA20" s="131"/>
      <c r="AB20" s="131"/>
      <c r="AC20" s="125">
        <v>0</v>
      </c>
    </row>
    <row r="21" spans="1:31">
      <c r="V21" t="s">
        <v>687</v>
      </c>
      <c r="W21" t="s">
        <v>20</v>
      </c>
      <c r="X21" t="s">
        <v>77</v>
      </c>
      <c r="Y21" t="s">
        <v>22</v>
      </c>
      <c r="Z21" s="125">
        <v>1</v>
      </c>
      <c r="AA21" s="131">
        <v>46113</v>
      </c>
      <c r="AB21" s="131">
        <v>46188</v>
      </c>
      <c r="AC21" s="125">
        <v>54</v>
      </c>
      <c r="AD21" t="s">
        <v>26</v>
      </c>
      <c r="AE21" t="s">
        <v>43</v>
      </c>
    </row>
    <row r="22" spans="1:31">
      <c r="V22" t="s">
        <v>687</v>
      </c>
      <c r="W22" t="s">
        <v>20</v>
      </c>
      <c r="X22" t="s">
        <v>77</v>
      </c>
      <c r="Y22" t="s">
        <v>28</v>
      </c>
      <c r="Z22" s="125">
        <v>2</v>
      </c>
      <c r="AA22" s="131">
        <v>46310</v>
      </c>
      <c r="AB22" s="131">
        <v>46379</v>
      </c>
      <c r="AC22" s="125">
        <v>50</v>
      </c>
      <c r="AD22" t="s">
        <v>27</v>
      </c>
    </row>
    <row r="23" spans="1:31">
      <c r="V23" t="s">
        <v>687</v>
      </c>
      <c r="W23" t="s">
        <v>20</v>
      </c>
      <c r="X23" t="s">
        <v>77</v>
      </c>
      <c r="Y23" t="s">
        <v>29</v>
      </c>
      <c r="Z23" s="125">
        <v>4</v>
      </c>
      <c r="AA23" s="131"/>
      <c r="AB23" s="131"/>
      <c r="AC23" s="125">
        <v>0</v>
      </c>
    </row>
    <row r="24" spans="1:31">
      <c r="V24" t="s">
        <v>687</v>
      </c>
      <c r="W24" t="s">
        <v>20</v>
      </c>
      <c r="X24" t="s">
        <v>77</v>
      </c>
      <c r="Y24" t="s">
        <v>30</v>
      </c>
      <c r="Z24" s="125">
        <v>3</v>
      </c>
      <c r="AA24" s="131"/>
      <c r="AB24" s="131"/>
      <c r="AC24" s="125">
        <v>0</v>
      </c>
    </row>
    <row r="25" spans="1:31">
      <c r="V25" t="s">
        <v>688</v>
      </c>
      <c r="W25" t="s">
        <v>20</v>
      </c>
      <c r="X25" t="s">
        <v>78</v>
      </c>
      <c r="Y25" t="s">
        <v>22</v>
      </c>
      <c r="Z25" s="125">
        <v>1</v>
      </c>
      <c r="AA25" s="131">
        <v>45931</v>
      </c>
      <c r="AB25" s="131">
        <v>45931</v>
      </c>
      <c r="AC25" s="125">
        <v>1</v>
      </c>
      <c r="AD25" t="s">
        <v>108</v>
      </c>
      <c r="AE25" t="s">
        <v>108</v>
      </c>
    </row>
    <row r="26" spans="1:31">
      <c r="V26" t="s">
        <v>688</v>
      </c>
      <c r="W26" t="s">
        <v>20</v>
      </c>
      <c r="X26" t="s">
        <v>78</v>
      </c>
      <c r="Y26" t="s">
        <v>28</v>
      </c>
      <c r="Z26" s="125">
        <v>2</v>
      </c>
      <c r="AA26" s="131"/>
      <c r="AB26" s="131"/>
      <c r="AC26" s="125">
        <v>0</v>
      </c>
    </row>
    <row r="27" spans="1:31">
      <c r="V27" t="s">
        <v>688</v>
      </c>
      <c r="W27" t="s">
        <v>20</v>
      </c>
      <c r="X27" t="s">
        <v>78</v>
      </c>
      <c r="Y27" t="s">
        <v>29</v>
      </c>
      <c r="Z27" s="125">
        <v>4</v>
      </c>
      <c r="AA27" s="131"/>
      <c r="AB27" s="131"/>
      <c r="AC27" s="125">
        <v>0</v>
      </c>
    </row>
    <row r="28" spans="1:31">
      <c r="V28" t="s">
        <v>688</v>
      </c>
      <c r="W28" t="s">
        <v>20</v>
      </c>
      <c r="X28" t="s">
        <v>78</v>
      </c>
      <c r="Y28" t="s">
        <v>30</v>
      </c>
      <c r="Z28" s="125">
        <v>3</v>
      </c>
      <c r="AA28" s="131"/>
      <c r="AB28" s="131"/>
      <c r="AC28" s="125">
        <v>0</v>
      </c>
    </row>
    <row r="29" spans="1:31">
      <c r="V29" t="s">
        <v>689</v>
      </c>
      <c r="W29" t="s">
        <v>20</v>
      </c>
      <c r="X29" t="s">
        <v>95</v>
      </c>
      <c r="Y29" t="s">
        <v>22</v>
      </c>
      <c r="Z29" s="125">
        <v>1</v>
      </c>
      <c r="AA29" s="131">
        <v>45931</v>
      </c>
      <c r="AB29" s="131">
        <v>45931</v>
      </c>
      <c r="AC29" s="125">
        <v>1</v>
      </c>
      <c r="AD29" t="s">
        <v>108</v>
      </c>
      <c r="AE29" t="s">
        <v>108</v>
      </c>
    </row>
    <row r="30" spans="1:31">
      <c r="V30" t="s">
        <v>689</v>
      </c>
      <c r="W30" t="s">
        <v>20</v>
      </c>
      <c r="X30" t="s">
        <v>95</v>
      </c>
      <c r="Y30" t="s">
        <v>28</v>
      </c>
      <c r="Z30" s="125">
        <v>2</v>
      </c>
      <c r="AA30" s="131"/>
      <c r="AB30" s="131"/>
      <c r="AC30" s="125">
        <v>0</v>
      </c>
    </row>
    <row r="31" spans="1:31">
      <c r="V31" t="s">
        <v>689</v>
      </c>
      <c r="W31" t="s">
        <v>20</v>
      </c>
      <c r="X31" t="s">
        <v>95</v>
      </c>
      <c r="Y31" t="s">
        <v>29</v>
      </c>
      <c r="Z31" s="125">
        <v>4</v>
      </c>
      <c r="AA31" s="131"/>
      <c r="AB31" s="131"/>
      <c r="AC31" s="125">
        <v>0</v>
      </c>
    </row>
    <row r="32" spans="1:31">
      <c r="V32" t="s">
        <v>689</v>
      </c>
      <c r="W32" t="s">
        <v>20</v>
      </c>
      <c r="X32" t="s">
        <v>95</v>
      </c>
      <c r="Y32" t="s">
        <v>30</v>
      </c>
      <c r="Z32" s="125">
        <v>3</v>
      </c>
      <c r="AA32" s="131"/>
      <c r="AB32" s="131"/>
      <c r="AC32" s="125">
        <v>0</v>
      </c>
    </row>
    <row r="33" spans="22:31">
      <c r="V33" t="s">
        <v>690</v>
      </c>
      <c r="W33" t="s">
        <v>105</v>
      </c>
      <c r="X33" t="s">
        <v>104</v>
      </c>
      <c r="Y33" t="s">
        <v>22</v>
      </c>
      <c r="Z33" s="125">
        <v>1</v>
      </c>
      <c r="AA33" s="131">
        <v>45946</v>
      </c>
      <c r="AB33" s="131">
        <v>45961</v>
      </c>
      <c r="AC33" s="125">
        <v>12</v>
      </c>
      <c r="AD33" t="s">
        <v>108</v>
      </c>
      <c r="AE33" t="s">
        <v>108</v>
      </c>
    </row>
    <row r="34" spans="22:31">
      <c r="V34" t="s">
        <v>690</v>
      </c>
      <c r="W34" t="s">
        <v>105</v>
      </c>
      <c r="X34" t="s">
        <v>104</v>
      </c>
      <c r="Y34" t="s">
        <v>28</v>
      </c>
      <c r="Z34" s="125">
        <v>2</v>
      </c>
      <c r="AA34" s="131">
        <v>45962</v>
      </c>
      <c r="AB34" s="131">
        <v>46081</v>
      </c>
      <c r="AC34" s="125">
        <v>85</v>
      </c>
      <c r="AD34" t="s">
        <v>132</v>
      </c>
      <c r="AE34" t="s">
        <v>43</v>
      </c>
    </row>
    <row r="35" spans="22:31">
      <c r="V35" t="s">
        <v>690</v>
      </c>
      <c r="W35" t="s">
        <v>105</v>
      </c>
      <c r="X35" t="s">
        <v>104</v>
      </c>
      <c r="Y35" t="s">
        <v>29</v>
      </c>
      <c r="Z35" s="125">
        <v>4</v>
      </c>
      <c r="AA35" s="131">
        <v>45964</v>
      </c>
      <c r="AB35" s="131">
        <v>46112</v>
      </c>
      <c r="AC35" s="125">
        <v>107</v>
      </c>
      <c r="AD35" t="s">
        <v>223</v>
      </c>
      <c r="AE35" t="s">
        <v>43</v>
      </c>
    </row>
    <row r="36" spans="22:31">
      <c r="V36" t="s">
        <v>690</v>
      </c>
      <c r="W36" t="s">
        <v>105</v>
      </c>
      <c r="X36" t="s">
        <v>104</v>
      </c>
      <c r="Y36" t="s">
        <v>30</v>
      </c>
      <c r="Z36" s="125">
        <v>3</v>
      </c>
      <c r="AA36" s="131"/>
      <c r="AB36" s="131"/>
      <c r="AC36" s="125">
        <v>0</v>
      </c>
    </row>
    <row r="37" spans="22:31">
      <c r="V37" t="s">
        <v>691</v>
      </c>
      <c r="W37" t="s">
        <v>105</v>
      </c>
      <c r="X37" t="s">
        <v>115</v>
      </c>
      <c r="Y37" t="s">
        <v>22</v>
      </c>
      <c r="Z37" s="125">
        <v>1</v>
      </c>
      <c r="AA37" s="131"/>
      <c r="AB37" s="131"/>
      <c r="AC37" s="125">
        <v>0</v>
      </c>
    </row>
    <row r="38" spans="22:31">
      <c r="V38" t="s">
        <v>691</v>
      </c>
      <c r="W38" t="s">
        <v>105</v>
      </c>
      <c r="X38" t="s">
        <v>115</v>
      </c>
      <c r="Y38" t="s">
        <v>28</v>
      </c>
      <c r="Z38" s="125">
        <v>2</v>
      </c>
      <c r="AA38" s="131"/>
      <c r="AB38" s="131"/>
      <c r="AC38" s="125">
        <v>0</v>
      </c>
    </row>
    <row r="39" spans="22:31">
      <c r="V39" t="s">
        <v>691</v>
      </c>
      <c r="W39" t="s">
        <v>105</v>
      </c>
      <c r="X39" t="s">
        <v>115</v>
      </c>
      <c r="Y39" t="s">
        <v>29</v>
      </c>
      <c r="Z39" s="125">
        <v>4</v>
      </c>
      <c r="AA39" s="131"/>
      <c r="AB39" s="131"/>
      <c r="AC39" s="125">
        <v>0</v>
      </c>
    </row>
    <row r="40" spans="22:31">
      <c r="V40" t="s">
        <v>691</v>
      </c>
      <c r="W40" t="s">
        <v>105</v>
      </c>
      <c r="X40" t="s">
        <v>115</v>
      </c>
      <c r="Y40" t="s">
        <v>30</v>
      </c>
      <c r="Z40" s="125">
        <v>3</v>
      </c>
      <c r="AA40" s="131"/>
      <c r="AB40" s="131"/>
      <c r="AC40" s="125">
        <v>0</v>
      </c>
    </row>
    <row r="41" spans="22:31">
      <c r="V41" t="s">
        <v>692</v>
      </c>
      <c r="W41" t="s">
        <v>105</v>
      </c>
      <c r="X41" t="s">
        <v>141</v>
      </c>
      <c r="Y41" t="s">
        <v>22</v>
      </c>
      <c r="Z41" s="125">
        <v>1</v>
      </c>
      <c r="AA41" s="131"/>
      <c r="AB41" s="131"/>
      <c r="AC41" s="125">
        <v>0</v>
      </c>
    </row>
    <row r="42" spans="22:31">
      <c r="V42" t="s">
        <v>692</v>
      </c>
      <c r="W42" t="s">
        <v>105</v>
      </c>
      <c r="X42" t="s">
        <v>141</v>
      </c>
      <c r="Y42" t="s">
        <v>28</v>
      </c>
      <c r="Z42" s="125">
        <v>2</v>
      </c>
      <c r="AA42" s="131"/>
      <c r="AB42" s="131"/>
      <c r="AC42" s="125">
        <v>0</v>
      </c>
    </row>
    <row r="43" spans="22:31">
      <c r="V43" t="s">
        <v>692</v>
      </c>
      <c r="W43" t="s">
        <v>105</v>
      </c>
      <c r="X43" t="s">
        <v>141</v>
      </c>
      <c r="Y43" t="s">
        <v>29</v>
      </c>
      <c r="Z43" s="125">
        <v>4</v>
      </c>
      <c r="AA43" s="131"/>
      <c r="AB43" s="131"/>
      <c r="AC43" s="125">
        <v>0</v>
      </c>
    </row>
    <row r="44" spans="22:31">
      <c r="V44" t="s">
        <v>692</v>
      </c>
      <c r="W44" t="s">
        <v>105</v>
      </c>
      <c r="X44" t="s">
        <v>141</v>
      </c>
      <c r="Y44" t="s">
        <v>30</v>
      </c>
      <c r="Z44" s="125">
        <v>3</v>
      </c>
      <c r="AA44" s="131"/>
      <c r="AB44" s="131"/>
      <c r="AC44" s="125">
        <v>0</v>
      </c>
    </row>
    <row r="45" spans="22:31">
      <c r="V45" t="s">
        <v>693</v>
      </c>
      <c r="W45" t="s">
        <v>105</v>
      </c>
      <c r="X45" t="s">
        <v>146</v>
      </c>
      <c r="Y45" t="s">
        <v>22</v>
      </c>
      <c r="Z45" s="125">
        <v>1</v>
      </c>
      <c r="AA45" s="131">
        <v>45946</v>
      </c>
      <c r="AB45" s="131">
        <v>46203</v>
      </c>
      <c r="AC45" s="125">
        <v>184</v>
      </c>
      <c r="AD45" t="s">
        <v>26</v>
      </c>
      <c r="AE45" t="s">
        <v>43</v>
      </c>
    </row>
    <row r="46" spans="22:31">
      <c r="V46" t="s">
        <v>693</v>
      </c>
      <c r="W46" t="s">
        <v>105</v>
      </c>
      <c r="X46" t="s">
        <v>146</v>
      </c>
      <c r="Y46" t="s">
        <v>28</v>
      </c>
      <c r="Z46" s="125">
        <v>2</v>
      </c>
      <c r="AA46" s="131"/>
      <c r="AB46" s="131"/>
      <c r="AC46" s="125">
        <v>0</v>
      </c>
    </row>
    <row r="47" spans="22:31">
      <c r="V47" t="s">
        <v>693</v>
      </c>
      <c r="W47" t="s">
        <v>105</v>
      </c>
      <c r="X47" t="s">
        <v>146</v>
      </c>
      <c r="Y47" t="s">
        <v>29</v>
      </c>
      <c r="Z47" s="125">
        <v>4</v>
      </c>
      <c r="AA47" s="131"/>
      <c r="AB47" s="131"/>
      <c r="AC47" s="125">
        <v>0</v>
      </c>
    </row>
    <row r="48" spans="22:31">
      <c r="V48" t="s">
        <v>693</v>
      </c>
      <c r="W48" t="s">
        <v>105</v>
      </c>
      <c r="X48" t="s">
        <v>146</v>
      </c>
      <c r="Y48" t="s">
        <v>30</v>
      </c>
      <c r="Z48" s="125">
        <v>3</v>
      </c>
      <c r="AA48" s="131"/>
      <c r="AB48" s="131"/>
      <c r="AC48" s="125">
        <v>0</v>
      </c>
    </row>
    <row r="49" spans="22:31">
      <c r="V49" t="s">
        <v>694</v>
      </c>
      <c r="W49" t="s">
        <v>170</v>
      </c>
      <c r="X49" t="s">
        <v>169</v>
      </c>
      <c r="Y49" t="s">
        <v>22</v>
      </c>
      <c r="Z49" s="125">
        <v>1</v>
      </c>
      <c r="AA49" s="131">
        <v>45946</v>
      </c>
      <c r="AB49" s="131"/>
      <c r="AC49" s="125">
        <v>0</v>
      </c>
    </row>
    <row r="50" spans="22:31">
      <c r="V50" t="s">
        <v>694</v>
      </c>
      <c r="W50" t="s">
        <v>170</v>
      </c>
      <c r="X50" t="s">
        <v>169</v>
      </c>
      <c r="Y50" t="s">
        <v>28</v>
      </c>
      <c r="Z50" s="125">
        <v>2</v>
      </c>
      <c r="AA50" s="131"/>
      <c r="AB50" s="131"/>
      <c r="AC50" s="125">
        <v>0</v>
      </c>
    </row>
    <row r="51" spans="22:31">
      <c r="V51" t="s">
        <v>694</v>
      </c>
      <c r="W51" t="s">
        <v>170</v>
      </c>
      <c r="X51" t="s">
        <v>169</v>
      </c>
      <c r="Y51" t="s">
        <v>29</v>
      </c>
      <c r="Z51" s="125">
        <v>4</v>
      </c>
      <c r="AA51" s="131"/>
      <c r="AB51" s="131"/>
      <c r="AC51" s="125">
        <v>0</v>
      </c>
    </row>
    <row r="52" spans="22:31">
      <c r="V52" t="s">
        <v>694</v>
      </c>
      <c r="W52" t="s">
        <v>170</v>
      </c>
      <c r="X52" t="s">
        <v>169</v>
      </c>
      <c r="Y52" t="s">
        <v>30</v>
      </c>
      <c r="Z52" s="125">
        <v>3</v>
      </c>
      <c r="AA52" s="131"/>
      <c r="AB52" s="131"/>
      <c r="AC52" s="125">
        <v>0</v>
      </c>
    </row>
    <row r="53" spans="22:31">
      <c r="V53" t="s">
        <v>695</v>
      </c>
      <c r="W53" t="s">
        <v>170</v>
      </c>
      <c r="X53" t="s">
        <v>174</v>
      </c>
      <c r="Y53" t="s">
        <v>22</v>
      </c>
      <c r="Z53" s="125">
        <v>1</v>
      </c>
      <c r="AA53" s="131">
        <v>45972</v>
      </c>
      <c r="AB53" s="131">
        <v>46001</v>
      </c>
      <c r="AC53" s="125">
        <v>22</v>
      </c>
      <c r="AD53" t="s">
        <v>108</v>
      </c>
      <c r="AE53" t="s">
        <v>108</v>
      </c>
    </row>
    <row r="54" spans="22:31">
      <c r="V54" t="s">
        <v>695</v>
      </c>
      <c r="W54" t="s">
        <v>170</v>
      </c>
      <c r="X54" t="s">
        <v>174</v>
      </c>
      <c r="Y54" t="s">
        <v>28</v>
      </c>
      <c r="Z54" s="125">
        <v>2</v>
      </c>
      <c r="AA54" s="131"/>
      <c r="AB54" s="131"/>
      <c r="AC54" s="125">
        <v>0</v>
      </c>
    </row>
    <row r="55" spans="22:31">
      <c r="V55" t="s">
        <v>695</v>
      </c>
      <c r="W55" t="s">
        <v>170</v>
      </c>
      <c r="X55" t="s">
        <v>174</v>
      </c>
      <c r="Y55" t="s">
        <v>29</v>
      </c>
      <c r="Z55" s="125">
        <v>4</v>
      </c>
      <c r="AA55" s="131"/>
      <c r="AB55" s="131"/>
      <c r="AC55" s="125">
        <v>0</v>
      </c>
    </row>
    <row r="56" spans="22:31">
      <c r="V56" t="s">
        <v>695</v>
      </c>
      <c r="W56" t="s">
        <v>170</v>
      </c>
      <c r="X56" t="s">
        <v>174</v>
      </c>
      <c r="Y56" t="s">
        <v>30</v>
      </c>
      <c r="Z56" s="125">
        <v>3</v>
      </c>
      <c r="AA56" s="131"/>
      <c r="AB56" s="131"/>
      <c r="AC56" s="125">
        <v>0</v>
      </c>
    </row>
    <row r="57" spans="22:31">
      <c r="V57" t="s">
        <v>696</v>
      </c>
      <c r="W57" t="s">
        <v>170</v>
      </c>
      <c r="X57" t="s">
        <v>182</v>
      </c>
      <c r="Y57" t="s">
        <v>22</v>
      </c>
      <c r="Z57" s="125">
        <v>1</v>
      </c>
      <c r="AA57" s="131">
        <v>46132</v>
      </c>
      <c r="AB57" s="131">
        <v>46134</v>
      </c>
      <c r="AC57" s="125">
        <v>3</v>
      </c>
      <c r="AD57" t="s">
        <v>108</v>
      </c>
      <c r="AE57" t="s">
        <v>26</v>
      </c>
    </row>
    <row r="58" spans="22:31">
      <c r="V58" t="s">
        <v>696</v>
      </c>
      <c r="W58" t="s">
        <v>170</v>
      </c>
      <c r="X58" t="s">
        <v>182</v>
      </c>
      <c r="Y58" t="s">
        <v>28</v>
      </c>
      <c r="Z58" s="125">
        <v>2</v>
      </c>
      <c r="AA58" s="131"/>
      <c r="AB58" s="131"/>
      <c r="AC58" s="125">
        <v>0</v>
      </c>
    </row>
    <row r="59" spans="22:31">
      <c r="V59" t="s">
        <v>696</v>
      </c>
      <c r="W59" t="s">
        <v>170</v>
      </c>
      <c r="X59" t="s">
        <v>182</v>
      </c>
      <c r="Y59" t="s">
        <v>29</v>
      </c>
      <c r="Z59" s="125">
        <v>4</v>
      </c>
      <c r="AA59" s="131"/>
      <c r="AB59" s="131"/>
      <c r="AC59" s="125">
        <v>0</v>
      </c>
    </row>
    <row r="60" spans="22:31">
      <c r="V60" t="s">
        <v>696</v>
      </c>
      <c r="W60" t="s">
        <v>170</v>
      </c>
      <c r="X60" t="s">
        <v>182</v>
      </c>
      <c r="Y60" t="s">
        <v>30</v>
      </c>
      <c r="Z60" s="125">
        <v>3</v>
      </c>
      <c r="AA60" s="131"/>
      <c r="AB60" s="131"/>
      <c r="AC60" s="125">
        <v>0</v>
      </c>
    </row>
    <row r="61" spans="22:31">
      <c r="V61" t="s">
        <v>697</v>
      </c>
      <c r="W61" t="s">
        <v>170</v>
      </c>
      <c r="X61" t="s">
        <v>185</v>
      </c>
      <c r="Y61" t="s">
        <v>22</v>
      </c>
      <c r="Z61" s="125">
        <v>1</v>
      </c>
      <c r="AA61" s="131">
        <v>45931</v>
      </c>
      <c r="AB61" s="131">
        <v>45931</v>
      </c>
      <c r="AC61" s="125">
        <v>1</v>
      </c>
      <c r="AD61" t="s">
        <v>108</v>
      </c>
      <c r="AE61" t="s">
        <v>108</v>
      </c>
    </row>
    <row r="62" spans="22:31">
      <c r="V62" t="s">
        <v>697</v>
      </c>
      <c r="W62" t="s">
        <v>170</v>
      </c>
      <c r="X62" t="s">
        <v>185</v>
      </c>
      <c r="Y62" t="s">
        <v>28</v>
      </c>
      <c r="Z62" s="125">
        <v>2</v>
      </c>
      <c r="AA62" s="131"/>
      <c r="AB62" s="131"/>
      <c r="AC62" s="125">
        <v>0</v>
      </c>
    </row>
    <row r="63" spans="22:31">
      <c r="V63" t="s">
        <v>697</v>
      </c>
      <c r="W63" t="s">
        <v>170</v>
      </c>
      <c r="X63" t="s">
        <v>185</v>
      </c>
      <c r="Y63" t="s">
        <v>29</v>
      </c>
      <c r="Z63" s="125">
        <v>4</v>
      </c>
      <c r="AA63" s="131"/>
      <c r="AB63" s="131"/>
      <c r="AC63" s="125">
        <v>0</v>
      </c>
    </row>
    <row r="64" spans="22:31">
      <c r="V64" t="s">
        <v>697</v>
      </c>
      <c r="W64" t="s">
        <v>170</v>
      </c>
      <c r="X64" t="s">
        <v>185</v>
      </c>
      <c r="Y64" t="s">
        <v>30</v>
      </c>
      <c r="Z64" s="125">
        <v>3</v>
      </c>
      <c r="AA64" s="131"/>
      <c r="AB64" s="131"/>
      <c r="AC64" s="125">
        <v>0</v>
      </c>
    </row>
    <row r="65" spans="22:31">
      <c r="V65" t="s">
        <v>698</v>
      </c>
      <c r="W65" t="s">
        <v>170</v>
      </c>
      <c r="X65" t="s">
        <v>200</v>
      </c>
      <c r="Y65" t="s">
        <v>22</v>
      </c>
      <c r="Z65" s="125">
        <v>1</v>
      </c>
      <c r="AA65" s="131">
        <v>46127</v>
      </c>
      <c r="AB65" s="131">
        <v>46203</v>
      </c>
      <c r="AC65" s="125">
        <v>55</v>
      </c>
      <c r="AD65" t="s">
        <v>26</v>
      </c>
      <c r="AE65" t="s">
        <v>43</v>
      </c>
    </row>
    <row r="66" spans="22:31">
      <c r="V66" t="s">
        <v>698</v>
      </c>
      <c r="W66" t="s">
        <v>170</v>
      </c>
      <c r="X66" t="s">
        <v>200</v>
      </c>
      <c r="Y66" t="s">
        <v>28</v>
      </c>
      <c r="Z66" s="125">
        <v>2</v>
      </c>
      <c r="AA66" s="131"/>
      <c r="AB66" s="131"/>
      <c r="AC66" s="125">
        <v>0</v>
      </c>
    </row>
    <row r="67" spans="22:31">
      <c r="V67" t="s">
        <v>698</v>
      </c>
      <c r="W67" t="s">
        <v>170</v>
      </c>
      <c r="X67" t="s">
        <v>200</v>
      </c>
      <c r="Y67" t="s">
        <v>29</v>
      </c>
      <c r="Z67" s="125">
        <v>4</v>
      </c>
      <c r="AA67" s="131"/>
      <c r="AB67" s="131"/>
      <c r="AC67" s="125">
        <v>0</v>
      </c>
    </row>
    <row r="68" spans="22:31">
      <c r="V68" t="s">
        <v>698</v>
      </c>
      <c r="W68" t="s">
        <v>170</v>
      </c>
      <c r="X68" t="s">
        <v>200</v>
      </c>
      <c r="Y68" t="s">
        <v>30</v>
      </c>
      <c r="Z68" s="125">
        <v>3</v>
      </c>
      <c r="AA68" s="131"/>
      <c r="AB68" s="131"/>
      <c r="AC68" s="125">
        <v>0</v>
      </c>
    </row>
    <row r="69" spans="22:31">
      <c r="V69" t="s">
        <v>699</v>
      </c>
      <c r="W69" t="s">
        <v>170</v>
      </c>
      <c r="X69" t="s">
        <v>202</v>
      </c>
      <c r="Y69" t="s">
        <v>22</v>
      </c>
      <c r="Z69" s="125">
        <v>1</v>
      </c>
      <c r="AA69" s="131">
        <v>46042</v>
      </c>
      <c r="AB69" s="131">
        <v>46078</v>
      </c>
      <c r="AC69" s="125">
        <v>27</v>
      </c>
      <c r="AD69" t="s">
        <v>108</v>
      </c>
      <c r="AE69" t="s">
        <v>108</v>
      </c>
    </row>
    <row r="70" spans="22:31">
      <c r="V70" t="s">
        <v>699</v>
      </c>
      <c r="W70" t="s">
        <v>170</v>
      </c>
      <c r="X70" t="s">
        <v>202</v>
      </c>
      <c r="Y70" t="s">
        <v>28</v>
      </c>
      <c r="Z70" s="125">
        <v>2</v>
      </c>
      <c r="AA70" s="131">
        <v>46127</v>
      </c>
      <c r="AB70" s="131">
        <v>46203</v>
      </c>
      <c r="AC70" s="125">
        <v>55</v>
      </c>
      <c r="AD70" t="s">
        <v>28</v>
      </c>
      <c r="AE70" t="s">
        <v>43</v>
      </c>
    </row>
    <row r="71" spans="22:31">
      <c r="V71" t="s">
        <v>699</v>
      </c>
      <c r="W71" t="s">
        <v>170</v>
      </c>
      <c r="X71" t="s">
        <v>202</v>
      </c>
      <c r="Y71" t="s">
        <v>29</v>
      </c>
      <c r="Z71" s="125">
        <v>4</v>
      </c>
      <c r="AA71" s="131"/>
      <c r="AB71" s="131"/>
      <c r="AC71" s="125">
        <v>0</v>
      </c>
    </row>
    <row r="72" spans="22:31">
      <c r="V72" t="s">
        <v>699</v>
      </c>
      <c r="W72" t="s">
        <v>170</v>
      </c>
      <c r="X72" t="s">
        <v>202</v>
      </c>
      <c r="Y72" t="s">
        <v>30</v>
      </c>
      <c r="Z72" s="125">
        <v>3</v>
      </c>
      <c r="AA72" s="131"/>
      <c r="AB72" s="131"/>
      <c r="AC72" s="125">
        <v>0</v>
      </c>
    </row>
    <row r="73" spans="22:31">
      <c r="V73" t="s">
        <v>700</v>
      </c>
      <c r="W73" t="s">
        <v>170</v>
      </c>
      <c r="X73" t="s">
        <v>203</v>
      </c>
      <c r="Y73" t="s">
        <v>22</v>
      </c>
      <c r="Z73" s="125">
        <v>1</v>
      </c>
      <c r="AA73" s="131">
        <v>45946</v>
      </c>
      <c r="AB73" s="131"/>
      <c r="AC73" s="125">
        <v>0</v>
      </c>
    </row>
    <row r="74" spans="22:31">
      <c r="V74" t="s">
        <v>700</v>
      </c>
      <c r="W74" t="s">
        <v>170</v>
      </c>
      <c r="X74" t="s">
        <v>203</v>
      </c>
      <c r="Y74" t="s">
        <v>28</v>
      </c>
      <c r="Z74" s="125">
        <v>2</v>
      </c>
      <c r="AA74" s="131"/>
      <c r="AB74" s="131"/>
      <c r="AC74" s="125">
        <v>0</v>
      </c>
    </row>
    <row r="75" spans="22:31">
      <c r="V75" t="s">
        <v>700</v>
      </c>
      <c r="W75" t="s">
        <v>170</v>
      </c>
      <c r="X75" t="s">
        <v>203</v>
      </c>
      <c r="Y75" t="s">
        <v>29</v>
      </c>
      <c r="Z75" s="125">
        <v>4</v>
      </c>
      <c r="AA75" s="131"/>
      <c r="AB75" s="131"/>
      <c r="AC75" s="125">
        <v>0</v>
      </c>
    </row>
    <row r="76" spans="22:31">
      <c r="V76" t="s">
        <v>700</v>
      </c>
      <c r="W76" t="s">
        <v>170</v>
      </c>
      <c r="X76" t="s">
        <v>203</v>
      </c>
      <c r="Y76" t="s">
        <v>30</v>
      </c>
      <c r="Z76" s="125">
        <v>3</v>
      </c>
      <c r="AA76" s="131"/>
      <c r="AB76" s="131"/>
      <c r="AC76" s="125"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289E1-DCE6-4319-9832-966B64E52CEB}">
  <dimension ref="A1:B8"/>
  <sheetViews>
    <sheetView topLeftCell="A7" workbookViewId="0">
      <selection activeCell="B8" sqref="B8"/>
    </sheetView>
  </sheetViews>
  <sheetFormatPr defaultColWidth="8.85546875" defaultRowHeight="15"/>
  <cols>
    <col min="1" max="1" width="26.42578125" style="155" customWidth="1"/>
    <col min="2" max="2" width="161.42578125" style="151" customWidth="1"/>
  </cols>
  <sheetData>
    <row r="1" spans="1:2" ht="16.5" customHeight="1">
      <c r="A1" s="153" t="s">
        <v>701</v>
      </c>
      <c r="B1" s="152" t="s">
        <v>702</v>
      </c>
    </row>
    <row r="2" spans="1:2" ht="409.5">
      <c r="A2" s="154">
        <v>1</v>
      </c>
      <c r="B2" s="151" t="s">
        <v>703</v>
      </c>
    </row>
    <row r="3" spans="1:2" ht="409.5">
      <c r="A3" s="154">
        <v>2</v>
      </c>
      <c r="B3" s="151" t="s">
        <v>704</v>
      </c>
    </row>
    <row r="4" spans="1:2" ht="409.5">
      <c r="A4" s="154">
        <v>3</v>
      </c>
      <c r="B4" s="151" t="s">
        <v>705</v>
      </c>
    </row>
    <row r="5" spans="1:2" ht="409.5">
      <c r="A5" s="154">
        <v>4</v>
      </c>
      <c r="B5" s="151" t="s">
        <v>706</v>
      </c>
    </row>
    <row r="6" spans="1:2" ht="409.5">
      <c r="A6" s="154">
        <v>5</v>
      </c>
      <c r="B6" s="151" t="s">
        <v>707</v>
      </c>
    </row>
    <row r="7" spans="1:2" ht="409.5">
      <c r="A7" s="154">
        <v>6</v>
      </c>
      <c r="B7" s="151" t="s">
        <v>708</v>
      </c>
    </row>
    <row r="8" spans="1:2" ht="409.5">
      <c r="A8" s="154">
        <v>7</v>
      </c>
      <c r="B8" s="151" t="s">
        <v>709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7131F2618DC94EBFE280CA4B2300FA" ma:contentTypeVersion="13" ma:contentTypeDescription="Create a new document." ma:contentTypeScope="" ma:versionID="a414ad384f224f8750dd948197c4c9ba">
  <xsd:schema xmlns:xsd="http://www.w3.org/2001/XMLSchema" xmlns:xs="http://www.w3.org/2001/XMLSchema" xmlns:p="http://schemas.microsoft.com/office/2006/metadata/properties" xmlns:ns2="7de3e136-70a9-48b6-b03f-894bb3389528" targetNamespace="http://schemas.microsoft.com/office/2006/metadata/properties" ma:root="true" ma:fieldsID="a8d457bb1549ee4de22c9111c8aa55f3" ns2:_="">
    <xsd:import namespace="7de3e136-70a9-48b6-b03f-894bb33895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readyforprintou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e3e136-70a9-48b6-b03f-894bb33895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cb9df7f-77c7-4c19-a1f0-028a04891b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readyforprintout" ma:index="20" nillable="true" ma:displayName="ready for printout" ma:format="Dropdown" ma:internalName="readyforprintout">
      <xsd:simpleType>
        <xsd:restriction base="dms:Choice">
          <xsd:enumeration value="yes"/>
          <xsd:enumeration value="no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e3e136-70a9-48b6-b03f-894bb3389528">
      <Terms xmlns="http://schemas.microsoft.com/office/infopath/2007/PartnerControls"/>
    </lcf76f155ced4ddcb4097134ff3c332f>
    <readyforprintout xmlns="7de3e136-70a9-48b6-b03f-894bb338952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283D1D-D589-4745-909D-F8339DA574B9}"/>
</file>

<file path=customXml/itemProps2.xml><?xml version="1.0" encoding="utf-8"?>
<ds:datastoreItem xmlns:ds="http://schemas.openxmlformats.org/officeDocument/2006/customXml" ds:itemID="{C1864527-BF5D-4C13-8421-C12725651D09}"/>
</file>

<file path=customXml/itemProps3.xml><?xml version="1.0" encoding="utf-8"?>
<ds:datastoreItem xmlns:ds="http://schemas.openxmlformats.org/officeDocument/2006/customXml" ds:itemID="{4A6F171C-4BE0-4935-8F40-9C4830665B98}"/>
</file>

<file path=docMetadata/LabelInfo.xml><?xml version="1.0" encoding="utf-8"?>
<clbl:labelList xmlns:clbl="http://schemas.microsoft.com/office/2020/mipLabelMetadata">
  <clbl:label id="{3336d6b0-b132-47ee-a49b-3ab470a5336e}" enabled="0" method="" siteId="{3336d6b0-b132-47ee-a49b-3ab470a5336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Manfras Loana (LIS)</dc:creator>
  <cp:keywords/>
  <dc:description/>
  <cp:lastModifiedBy>Hynek Tobias (LIS)</cp:lastModifiedBy>
  <cp:revision/>
  <dcterms:created xsi:type="dcterms:W3CDTF">2025-12-19T10:47:03Z</dcterms:created>
  <dcterms:modified xsi:type="dcterms:W3CDTF">2026-06-16T12:18:34Z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0x010100A67131F2618DC94EBFE280CA4B2300FA</vt:lpwstr>
  </property>
  <property fmtid="{D5CDD505-2E9C-101B-9397-08002B2CF9AE}" pid="3" name="MediaServiceImageTags">
    <vt:lpwstr/>
  </property>
</Properties>
</file>