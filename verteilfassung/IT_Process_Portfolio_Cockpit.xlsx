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ckpit" sheetId="1" state="visible" r:id="rId3"/>
    <sheet name="Prozesse" sheetId="2" state="visible" r:id="rId4"/>
    <sheet name="Phasen" sheetId="3" state="visible" r:id="rId5"/>
    <sheet name="Listen" sheetId="4" state="hidden" r:id="rId6"/>
    <sheet name="Auswertung" sheetId="5" state="hidden" r:id="rId7"/>
    <sheet name="Hinweis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<sst xmlns="http://schemas.openxmlformats.org/spreadsheetml/2006/main" count="3549" uniqueCount="381">
  <si>
    <t xml:space="preserve">IT</t>
  </si>
  <si>
    <t xml:space="preserve">IT Process Portfolio – Cockpit</t>
  </si>
  <si>
    <t xml:space="preserve">Datenstand Draft April 2026 · Quelle: Process_Portfolio_Timeline.xlsx · Mappe erzeugt am 01.09.2026</t>
  </si>
  <si>
    <t xml:space="preserve">Auswahlfelder ändern – Kennzahlen, Diagramme und Liste rechnen sofort neu.</t>
  </si>
  <si>
    <t xml:space="preserve">PROZESSGRUPPE</t>
  </si>
  <si>
    <t xml:space="preserve">INITIATIVE</t>
  </si>
  <si>
    <t xml:space="preserve">L1-PROZESS</t>
  </si>
  <si>
    <t xml:space="preserve">EBENE</t>
  </si>
  <si>
    <t xml:space="preserve">STATUS</t>
  </si>
  <si>
    <t xml:space="preserve">PROCESS MANAGER</t>
  </si>
  <si>
    <t xml:space="preserve">STICHTAG</t>
  </si>
  <si>
    <t xml:space="preserve">(Alle)</t>
  </si>
  <si>
    <t xml:space="preserve">PROZESSE IM FILTER</t>
  </si>
  <si>
    <t xml:space="preserve">Ø FORTSCHRITT</t>
  </si>
  <si>
    <t xml:space="preserve">VERZÖGERT</t>
  </si>
  <si>
    <t xml:space="preserve">ÜBERFÄLLIG</t>
  </si>
  <si>
    <t xml:space="preserve">ELABORATION FERTIG</t>
  </si>
  <si>
    <t xml:space="preserve">IN IMPLEMENTIERUNG</t>
  </si>
  <si>
    <t xml:space="preserve">TERMINE IN 90 TAGEN</t>
  </si>
  <si>
    <t xml:space="preserve">PROZESSE IM FILTER – VERZÖGERTE ZUERST, ERSTE 15</t>
  </si>
  <si>
    <t xml:space="preserve">Prozess</t>
  </si>
  <si>
    <t xml:space="preserve">Gruppe</t>
  </si>
  <si>
    <t xml:space="preserve">Status</t>
  </si>
  <si>
    <t xml:space="preserve">% fertig</t>
  </si>
  <si>
    <t xml:space="preserve">Ende</t>
  </si>
  <si>
    <t xml:space="preserve">Process Manager</t>
  </si>
  <si>
    <t xml:space="preserve">Nr</t>
  </si>
  <si>
    <t xml:space="preserve">Pfad</t>
  </si>
  <si>
    <t xml:space="preserve">Initiative</t>
  </si>
  <si>
    <t xml:space="preserve">L1-Prozess</t>
  </si>
  <si>
    <t xml:space="preserve">Ebene</t>
  </si>
  <si>
    <t xml:space="preserve">Fortschritt</t>
  </si>
  <si>
    <t xml:space="preserve">Start</t>
  </si>
  <si>
    <t xml:space="preserve">Dauer (T)</t>
  </si>
  <si>
    <t xml:space="preserve">Elaboration</t>
  </si>
  <si>
    <t xml:space="preserve">Initiative Lead</t>
  </si>
  <si>
    <t xml:space="preserve">Consultant</t>
  </si>
  <si>
    <t xml:space="preserve">Überfällig</t>
  </si>
  <si>
    <t xml:space="preserve">In Implementierung</t>
  </si>
  <si>
    <t xml:space="preserve">Treffer</t>
  </si>
  <si>
    <t xml:space="preserve">Rang</t>
  </si>
  <si>
    <t xml:space="preserve">Analyse architecture impact</t>
  </si>
  <si>
    <t xml:space="preserve">Plan IT service › Evaluate and qualify IT demand › Analyse architecture impact</t>
  </si>
  <si>
    <t xml:space="preserve">CP</t>
  </si>
  <si>
    <t xml:space="preserve">Corporate IT body</t>
  </si>
  <si>
    <t xml:space="preserve">Plan IT service</t>
  </si>
  <si>
    <t xml:space="preserve">L3</t>
  </si>
  <si>
    <t xml:space="preserve">Verzögert</t>
  </si>
  <si>
    <t xml:space="preserve">Abgeschlossen</t>
  </si>
  <si>
    <t xml:space="preserve">Pernet Benoit (LEC))</t>
  </si>
  <si>
    <t xml:space="preserve">Mielenz Thomas (LMT)</t>
  </si>
  <si>
    <t xml:space="preserve">Kunz Christina (LIS-MHP)</t>
  </si>
  <si>
    <t xml:space="preserve">Approve IT demand</t>
  </si>
  <si>
    <t xml:space="preserve">Plan IT service › Approve IT demand</t>
  </si>
  <si>
    <t xml:space="preserve">L2</t>
  </si>
  <si>
    <t xml:space="preserve">Spieth Tina (LIS)</t>
  </si>
  <si>
    <t xml:space="preserve">Attract and hire employees</t>
  </si>
  <si>
    <t xml:space="preserve">Provide and develop IT workforce › Attract and hire employees</t>
  </si>
  <si>
    <t xml:space="preserve">SP</t>
  </si>
  <si>
    <t xml:space="preserve">HR initiatives for IT</t>
  </si>
  <si>
    <t xml:space="preserve">Provide and develop IT workforce</t>
  </si>
  <si>
    <t xml:space="preserve">In Arbeit</t>
  </si>
  <si>
    <t xml:space="preserve">Kiesewetter Ivana (LIS)</t>
  </si>
  <si>
    <t xml:space="preserve">Chen Leilei (LIS-BPMO), Hynek Tobias (LIS)</t>
  </si>
  <si>
    <t xml:space="preserve">Define solution target architecture</t>
  </si>
  <si>
    <t xml:space="preserve">Build IT Service › Design IT service › Define solution target architecture</t>
  </si>
  <si>
    <t xml:space="preserve">Architecture management</t>
  </si>
  <si>
    <t xml:space="preserve">Build IT Service</t>
  </si>
  <si>
    <t xml:space="preserve">Hammer Marco (AER)</t>
  </si>
  <si>
    <t xml:space="preserve">Nussbaumer Florian (LBC)</t>
  </si>
  <si>
    <t xml:space="preserve">Hoermann Patrick (LLI)</t>
  </si>
  <si>
    <t xml:space="preserve">Ensure performance and conformance of IT services</t>
  </si>
  <si>
    <t xml:space="preserve">ITSM</t>
  </si>
  <si>
    <t xml:space="preserve">L1</t>
  </si>
  <si>
    <t xml:space="preserve">–</t>
  </si>
  <si>
    <t xml:space="preserve">Sint Rachel (LBH)</t>
  </si>
  <si>
    <t xml:space="preserve">Schroeder Michael (LIS)</t>
  </si>
  <si>
    <t xml:space="preserve">Evaluate and qualify IT demand</t>
  </si>
  <si>
    <t xml:space="preserve">Plan IT service › Evaluate and qualify IT demand</t>
  </si>
  <si>
    <t xml:space="preserve">Handle IT service order</t>
  </si>
  <si>
    <t xml:space="preserve">Deliver IT service › Handle IT service order</t>
  </si>
  <si>
    <t xml:space="preserve">Deliver IT service</t>
  </si>
  <si>
    <t xml:space="preserve">Schnurrenberger Christoph (LIS-LIN)</t>
  </si>
  <si>
    <t xml:space="preserve">Implement and maintain IT job architecture</t>
  </si>
  <si>
    <t xml:space="preserve">Provide and develop IT workforce › Manage HR4IT strategy, governane and framework › Implement and maintain IT job architecture</t>
  </si>
  <si>
    <t xml:space="preserve">Amelang Nicole (LIS)</t>
  </si>
  <si>
    <t xml:space="preserve">Rollinger Alexander (LIS)</t>
  </si>
  <si>
    <t xml:space="preserve">Maintain IT glossary</t>
  </si>
  <si>
    <t xml:space="preserve">Manage IT governance framework › Maintain IT glossary</t>
  </si>
  <si>
    <t xml:space="preserve">MP</t>
  </si>
  <si>
    <t xml:space="preserve">Manage IT governance framework</t>
  </si>
  <si>
    <t xml:space="preserve">Ohne Angabe</t>
  </si>
  <si>
    <t xml:space="preserve">Felder Max (LLI)</t>
  </si>
  <si>
    <t xml:space="preserve">Manage HR4IT service demand</t>
  </si>
  <si>
    <t xml:space="preserve">Provide and develop IT workforce › Manage HR4IT strategy, governane and framework › Manage HR4IT service demand</t>
  </si>
  <si>
    <t xml:space="preserve">Manage IT global orientation programme incl. job shadowing</t>
  </si>
  <si>
    <t xml:space="preserve">Provide and develop IT workforce › Perform, learn and grow › Manage IT global orientation programme incl. job shadowing</t>
  </si>
  <si>
    <t xml:space="preserve">Grabmair Melanie (LIS)</t>
  </si>
  <si>
    <t xml:space="preserve">Manage IT knowledge</t>
  </si>
  <si>
    <t xml:space="preserve">Kuerschner Philipp (LIS)</t>
  </si>
  <si>
    <t xml:space="preserve">Manage IT project portfolio</t>
  </si>
  <si>
    <t xml:space="preserve">Manage IT portfolio › Manage IT project portfolio</t>
  </si>
  <si>
    <t xml:space="preserve">IT project management</t>
  </si>
  <si>
    <t xml:space="preserve">Manage IT portfolio</t>
  </si>
  <si>
    <t xml:space="preserve">Mühlbacher Christian (LIS)</t>
  </si>
  <si>
    <t xml:space="preserve">Frank Maren (LIS)</t>
  </si>
  <si>
    <t xml:space="preserve">Manage IT service provision request</t>
  </si>
  <si>
    <t xml:space="preserve">Deliver IT service › Manage IT service provision request</t>
  </si>
  <si>
    <t xml:space="preserve">Manage IT skills</t>
  </si>
  <si>
    <t xml:space="preserve">Provide and develop IT workforce › Perform, learn and grow › Manage IT skills</t>
  </si>
  <si>
    <t xml:space="preserve">Manage IT stakeholder relationships</t>
  </si>
  <si>
    <t xml:space="preserve">Kreis Andreas (LLI)</t>
  </si>
  <si>
    <t xml:space="preserve">Manage continuous improvement</t>
  </si>
  <si>
    <t xml:space="preserve">Manage IT processes and continuous improvement › Manage continuous improvement</t>
  </si>
  <si>
    <t xml:space="preserve">Manage IT processes and continuous improvement</t>
  </si>
  <si>
    <t xml:space="preserve">Reiner Heiko (HAU-ITSA)</t>
  </si>
  <si>
    <t xml:space="preserve">Boehme Matthias (LIS-BPMO), Rollinger Alexander (LIS)</t>
  </si>
  <si>
    <t xml:space="preserve">Manage enterprise architecture</t>
  </si>
  <si>
    <t xml:space="preserve">Mapping and evaluate IT career level</t>
  </si>
  <si>
    <t xml:space="preserve">Provide and develop IT workforce › Perform, learn and grow › Mapping and evaluate IT career level</t>
  </si>
  <si>
    <t xml:space="preserve">Operate and maintain IT service</t>
  </si>
  <si>
    <t xml:space="preserve">Run IT service › Operate and maintain IT service</t>
  </si>
  <si>
    <t xml:space="preserve">Run IT service</t>
  </si>
  <si>
    <t xml:space="preserve">Kretz Lucas (COC-COT-IT)</t>
  </si>
  <si>
    <t xml:space="preserve">Perform active sourcing</t>
  </si>
  <si>
    <t xml:space="preserve">Provide and develop IT workforce › Attract and hire employees › Perform active sourcing</t>
  </si>
  <si>
    <t xml:space="preserve">Perform initial assessment of customer need</t>
  </si>
  <si>
    <t xml:space="preserve">Plan IT service › Perform initial assessment of customer need</t>
  </si>
  <si>
    <t xml:space="preserve">Perform software selection</t>
  </si>
  <si>
    <t xml:space="preserve">Build IT Service › Design IT service › Perform software selection</t>
  </si>
  <si>
    <t xml:space="preserve">Preiss Matthias (LBC)</t>
  </si>
  <si>
    <t xml:space="preserve">Plan IT workforce</t>
  </si>
  <si>
    <t xml:space="preserve">Provide and develop IT workforce › Manage HR4IT strategy, governane and framework › Plan IT workforce</t>
  </si>
  <si>
    <t xml:space="preserve">Provide IT service support</t>
  </si>
  <si>
    <t xml:space="preserve">Run IT service › Provide IT service support</t>
  </si>
  <si>
    <t xml:space="preserve">Recruit employees and managers</t>
  </si>
  <si>
    <t xml:space="preserve">Provide and develop IT workforce › Attract and hire employees › Recruit employees and managers</t>
  </si>
  <si>
    <t xml:space="preserve">Oey Kai (LIS)</t>
  </si>
  <si>
    <t xml:space="preserve">Schroeder Michael (LIS), Boehme Matthias (LIS-BPMO)</t>
  </si>
  <si>
    <t xml:space="preserve">Strategic architecture process</t>
  </si>
  <si>
    <t xml:space="preserve">Manage enterprise architecture › Strategic architecture process</t>
  </si>
  <si>
    <t xml:space="preserve">Apply cost model to calculate service cost per unit</t>
  </si>
  <si>
    <t xml:space="preserve">Manage and control IT financials › Model and allocate IT costs › Apply cost model to calculate service cost per unit</t>
  </si>
  <si>
    <t xml:space="preserve">IT planning and steering</t>
  </si>
  <si>
    <t xml:space="preserve">Manage and control IT financials</t>
  </si>
  <si>
    <t xml:space="preserve">Frank Nicole (LIS)</t>
  </si>
  <si>
    <t xml:space="preserve">Moser Mario (LIS-LAH)</t>
  </si>
  <si>
    <t xml:space="preserve">Hynek Tobias (LIS), Kreis Andreas (LLI)</t>
  </si>
  <si>
    <t xml:space="preserve">Approve and communicate budget plan</t>
  </si>
  <si>
    <t xml:space="preserve">Manage and control IT financials › Create and maintain IT budgets › Approve and communicate budget plan</t>
  </si>
  <si>
    <t xml:space="preserve">Dalek Martin (LIS)</t>
  </si>
  <si>
    <t xml:space="preserve">Wiehe Alexander (COB)</t>
  </si>
  <si>
    <t xml:space="preserve">Collect and consolidate budget from stakeholders</t>
  </si>
  <si>
    <t xml:space="preserve">Manage and control IT financials › Create and maintain IT budgets › Collect and consolidate budget from stakeholders</t>
  </si>
  <si>
    <t xml:space="preserve">Compare actual cost to budget forecast</t>
  </si>
  <si>
    <t xml:space="preserve">Manage and control IT financials › Manage IT costs › Compare actual cost to budget forecast</t>
  </si>
  <si>
    <t xml:space="preserve">Create and maintain IT budgets</t>
  </si>
  <si>
    <t xml:space="preserve">Manage and control IT financials › Create and maintain IT budgets</t>
  </si>
  <si>
    <t xml:space="preserve">Create, approve and publish trainings for IT workforce within IT Training Catalogue</t>
  </si>
  <si>
    <t xml:space="preserve">Provide and develop IT workforce › Perform, learn and grow › Create, approve and publish trainings for IT workforce within IT Training Catalogue</t>
  </si>
  <si>
    <t xml:space="preserve">DC/DCC/MSC IT-compliance</t>
  </si>
  <si>
    <t xml:space="preserve">Manage IT risks and compliance › Manage IT compliance › DC/DCC/MSC IT-compliance</t>
  </si>
  <si>
    <t xml:space="preserve">Central area (Jan Müskens)</t>
  </si>
  <si>
    <t xml:space="preserve">Manage IT risks and compliance</t>
  </si>
  <si>
    <t xml:space="preserve">Mueskens Jan (LHO)</t>
  </si>
  <si>
    <t xml:space="preserve">Monnier Murielle (LEC)</t>
  </si>
  <si>
    <t xml:space="preserve">Define cost allocation principles</t>
  </si>
  <si>
    <t xml:space="preserve">Manage and control IT financials › Model and allocate IT costs › Define cost allocation principles</t>
  </si>
  <si>
    <t xml:space="preserve">Define financial management framework</t>
  </si>
  <si>
    <t xml:space="preserve">Manage and control IT financials › Manage finance and accounting › Define financial management framework</t>
  </si>
  <si>
    <t xml:space="preserve">Deploy IT service</t>
  </si>
  <si>
    <t xml:space="preserve">Build IT Service › Deploy IT service</t>
  </si>
  <si>
    <t xml:space="preserve">Design IT service</t>
  </si>
  <si>
    <t xml:space="preserve">Build IT Service › Design IT service</t>
  </si>
  <si>
    <t xml:space="preserve">Develop and customise IT service</t>
  </si>
  <si>
    <t xml:space="preserve">Build IT Service › Develop and customise IT service</t>
  </si>
  <si>
    <t xml:space="preserve">Develop preliminary budget plan</t>
  </si>
  <si>
    <t xml:space="preserve">Manage and control IT financials › Create and maintain IT budgets › Develop preliminary budget plan</t>
  </si>
  <si>
    <t xml:space="preserve">Elaborate to-be process</t>
  </si>
  <si>
    <t xml:space="preserve">Manage IT processes and continuous improvement › Perform operational process management › Elaborate to-be process</t>
  </si>
  <si>
    <t xml:space="preserve">Ensure Information security</t>
  </si>
  <si>
    <t xml:space="preserve">Information security</t>
  </si>
  <si>
    <t xml:space="preserve">Da Silva Alessandro (LIN)</t>
  </si>
  <si>
    <t xml:space="preserve">Establish cost allocation model</t>
  </si>
  <si>
    <t xml:space="preserve">Manage and control IT financials › Model and allocate IT costs › Establish cost allocation model</t>
  </si>
  <si>
    <t xml:space="preserve">Establish financial accounting structure</t>
  </si>
  <si>
    <t xml:space="preserve">Manage and control IT financials › Manage finance and accounting › Establish financial accounting structure</t>
  </si>
  <si>
    <t xml:space="preserve">Evaluate success of IT service rollout</t>
  </si>
  <si>
    <t xml:space="preserve">Build IT Service › Evaluate success of IT service rollout</t>
  </si>
  <si>
    <t xml:space="preserve">Gather relevant cost and consumption data</t>
  </si>
  <si>
    <t xml:space="preserve">Manage and control IT financials › Model and allocate IT costs › Gather relevant cost and consumption data</t>
  </si>
  <si>
    <t xml:space="preserve">Handle IT Incident</t>
  </si>
  <si>
    <t xml:space="preserve">Run IT service › Provide IT service support › Handle IT Incident</t>
  </si>
  <si>
    <t xml:space="preserve">Handle IT problem</t>
  </si>
  <si>
    <t xml:space="preserve">Run IT service › Provide IT service support › Handle IT problem</t>
  </si>
  <si>
    <t xml:space="preserve">Identify process and determine goals</t>
  </si>
  <si>
    <t xml:space="preserve">Manage IT processes and continuous improvement › Perform operational process management › Identify process and determine goals</t>
  </si>
  <si>
    <t xml:space="preserve">Implement cost allocation to stakeholders or companies</t>
  </si>
  <si>
    <t xml:space="preserve">Manage and control IT financials › Model and allocate IT costs › Implement cost allocation to stakeholders or companies</t>
  </si>
  <si>
    <t xml:space="preserve">Implement process</t>
  </si>
  <si>
    <t xml:space="preserve">Manage IT processes and continuous improvement › Perform operational process management › Implement process</t>
  </si>
  <si>
    <t xml:space="preserve">Implement to improve</t>
  </si>
  <si>
    <t xml:space="preserve">Manage IT risks and compliance › Manage IT compliance › Implement to improve</t>
  </si>
  <si>
    <t xml:space="preserve">Initiate corrective or preventive actions</t>
  </si>
  <si>
    <t xml:space="preserve">Manage and control IT financials › Manage IT costs › Initiate corrective or preventive actions</t>
  </si>
  <si>
    <t xml:space="preserve">Leverage IT innovation</t>
  </si>
  <si>
    <t xml:space="preserve">Abbondio Viviana (LIS)</t>
  </si>
  <si>
    <t xml:space="preserve">Chen Leilei (LIS-BPMO)</t>
  </si>
  <si>
    <t xml:space="preserve">Maintain CMDB</t>
  </si>
  <si>
    <t xml:space="preserve">Run IT service › Operate and maintain IT service › Maintain CMDB</t>
  </si>
  <si>
    <t xml:space="preserve">Maintan and adjust budget</t>
  </si>
  <si>
    <t xml:space="preserve">Manage and control IT financials › Create and maintain IT budgets › Maintan and adjust budget</t>
  </si>
  <si>
    <t xml:space="preserve">Manage IT compliance</t>
  </si>
  <si>
    <t xml:space="preserve">Manage IT risks and compliance › Manage IT compliance</t>
  </si>
  <si>
    <t xml:space="preserve">Manage IT costs</t>
  </si>
  <si>
    <t xml:space="preserve">Manage and control IT financials › Manage IT costs</t>
  </si>
  <si>
    <t xml:space="preserve">Kunz Christina (LIS-MHP), Kreis Andreas (LLI)</t>
  </si>
  <si>
    <t xml:space="preserve">Frank Maren (LIS), Kunz Christina (LIS-MHP)</t>
  </si>
  <si>
    <t xml:space="preserve">n/a</t>
  </si>
  <si>
    <t xml:space="preserve">Manage IT service portfolio</t>
  </si>
  <si>
    <t xml:space="preserve">Manage IT portfolio › Manage IT service portfolio</t>
  </si>
  <si>
    <t xml:space="preserve">Birgit Gerathewohl (LIS)</t>
  </si>
  <si>
    <t xml:space="preserve">Manage IT service release</t>
  </si>
  <si>
    <t xml:space="preserve">Build IT Service › Manage IT service release</t>
  </si>
  <si>
    <t xml:space="preserve">Hoeller Martin (LBH)</t>
  </si>
  <si>
    <t xml:space="preserve">Kunz Christina (LIS-MHP), Frank Maren (LIS)</t>
  </si>
  <si>
    <t xml:space="preserve">Manage IT sourcing and procurement</t>
  </si>
  <si>
    <t xml:space="preserve">Dolderer Wolfgang (LIS)</t>
  </si>
  <si>
    <t xml:space="preserve">Schoeberl Lorena (LBH)</t>
  </si>
  <si>
    <t xml:space="preserve">Manage IT strategy</t>
  </si>
  <si>
    <t xml:space="preserve">Manage IT-C framework</t>
  </si>
  <si>
    <t xml:space="preserve">Manage IT risks and compliance › Manage IT compliance › Manage IT-C framework</t>
  </si>
  <si>
    <t xml:space="preserve">Manage IT-C strategy</t>
  </si>
  <si>
    <t xml:space="preserve">Manage IT risks and compliance › Manage IT compliance › Manage IT-C strategy</t>
  </si>
  <si>
    <t xml:space="preserve">Manage finance and accounting</t>
  </si>
  <si>
    <t xml:space="preserve">Manage and control IT financials › Manage finance and accounting</t>
  </si>
  <si>
    <t xml:space="preserve">Model and allocate IT costs</t>
  </si>
  <si>
    <t xml:space="preserve">Manage and control IT financials › Model and allocate IT costs</t>
  </si>
  <si>
    <t xml:space="preserve">Monitor to delegate</t>
  </si>
  <si>
    <t xml:space="preserve">Manage IT risks and compliance › Manage IT compliance › Monitor to delegate</t>
  </si>
  <si>
    <t xml:space="preserve">Onboard new IT employee and manager</t>
  </si>
  <si>
    <t xml:space="preserve">Provide and develop IT workforce › Perform onboarding › Onboard new IT employee and manager</t>
  </si>
  <si>
    <t xml:space="preserve">Perform SaaS Security Assessment</t>
  </si>
  <si>
    <t xml:space="preserve">Ensure Information security › Perform SaaS Security Assessment</t>
  </si>
  <si>
    <t xml:space="preserve">Hefele Michael (LIN-LIS)</t>
  </si>
  <si>
    <t xml:space="preserve">Hoermann Patrick (LLI), Rollinger Alexander (LIS)</t>
  </si>
  <si>
    <t xml:space="preserve">Perform onboarding</t>
  </si>
  <si>
    <t xml:space="preserve">Provide and develop IT workforce › Perform onboarding</t>
  </si>
  <si>
    <t xml:space="preserve">Perform operational process management</t>
  </si>
  <si>
    <t xml:space="preserve">Manage IT processes and continuous improvement › Perform operational process management</t>
  </si>
  <si>
    <t xml:space="preserve">Perform, learn and grow</t>
  </si>
  <si>
    <t xml:space="preserve">Provide and develop IT workforce › Perform, learn and grow</t>
  </si>
  <si>
    <t xml:space="preserve">Plan process execution</t>
  </si>
  <si>
    <t xml:space="preserve">Manage IT processes and continuous improvement › Perform operational process management › Plan process execution</t>
  </si>
  <si>
    <t xml:space="preserve">Pre-board new IT employee and manager</t>
  </si>
  <si>
    <t xml:space="preserve">Provide and develop IT workforce › Perform onboarding › Pre-board new IT employee and manager</t>
  </si>
  <si>
    <t xml:space="preserve">Report actual IT costs</t>
  </si>
  <si>
    <t xml:space="preserve">Manage and control IT financials › Manage IT costs › Report actual IT costs</t>
  </si>
  <si>
    <t xml:space="preserve">Requirements to measures</t>
  </si>
  <si>
    <t xml:space="preserve">Manage IT risks and compliance › Manage IT compliance › Requirements to measures</t>
  </si>
  <si>
    <t xml:space="preserve">Review budget plan</t>
  </si>
  <si>
    <t xml:space="preserve">Manage and control IT financials › Create and maintain IT budgets › Review budget plan</t>
  </si>
  <si>
    <t xml:space="preserve">Revise and optimize budget plan</t>
  </si>
  <si>
    <t xml:space="preserve">Manage and control IT financials › Create and maintain IT budgets › Revise and optimize budget plan</t>
  </si>
  <si>
    <t xml:space="preserve">Test and validate IT service</t>
  </si>
  <si>
    <t xml:space="preserve">Build IT Service › Test and validate IT service</t>
  </si>
  <si>
    <t xml:space="preserve">Terminiert</t>
  </si>
  <si>
    <t xml:space="preserve">Manage HR4IT strategy, governane and framework</t>
  </si>
  <si>
    <t xml:space="preserve">Provide and develop IT workforce › Manage HR4IT strategy, governane and framework</t>
  </si>
  <si>
    <t xml:space="preserve">Manage IT development programme</t>
  </si>
  <si>
    <t xml:space="preserve">Provide and develop IT workforce › Perform, learn and grow › Manage IT development programme</t>
  </si>
  <si>
    <t xml:space="preserve">Manage IT risks</t>
  </si>
  <si>
    <t xml:space="preserve">Manage IT risks and compliance › Manage IT risks</t>
  </si>
  <si>
    <t xml:space="preserve">Manage IT talent pool and identify potential</t>
  </si>
  <si>
    <t xml:space="preserve">Provide and develop IT workforce › Perform, learn and grow › Manage IT talent pool and identify potential</t>
  </si>
  <si>
    <t xml:space="preserve">Monitor and report IT service level</t>
  </si>
  <si>
    <t xml:space="preserve">Run IT service › Monitor and report IT service performance › Monitor and report IT service level</t>
  </si>
  <si>
    <t xml:space="preserve">Monitor and report IT service performance</t>
  </si>
  <si>
    <t xml:space="preserve">Run IT service › Monitor and report IT service performance</t>
  </si>
  <si>
    <t xml:space="preserve">Ensure IT service continuity</t>
  </si>
  <si>
    <t xml:space="preserve">Run IT service › Ensure IT service continuity</t>
  </si>
  <si>
    <t xml:space="preserve">Nicht geplant</t>
  </si>
  <si>
    <t xml:space="preserve">Maintain IT asset database</t>
  </si>
  <si>
    <t xml:space="preserve">Run IT service › Operate and maintain IT service › Maintain IT asset database</t>
  </si>
  <si>
    <t xml:space="preserve">Maintain standard change catalogue for IT service</t>
  </si>
  <si>
    <t xml:space="preserve">Run IT service › Operate and maintain IT service › Maintain standard change catalogue for IT service</t>
  </si>
  <si>
    <t xml:space="preserve">Manage IT service capacity</t>
  </si>
  <si>
    <t xml:space="preserve">Run IT service › Ensure IT service continuity › Manage IT service capacity</t>
  </si>
  <si>
    <t xml:space="preserve">Manage IT service desk</t>
  </si>
  <si>
    <t xml:space="preserve">Run IT service › Provide IT service support › Manage IT service desk</t>
  </si>
  <si>
    <t xml:space="preserve">Manage a common approach to contiual improvement</t>
  </si>
  <si>
    <t xml:space="preserve">Manage IT processes and continuous improvement › Manage continuous improvement › Manage a common approach to contiual improvement</t>
  </si>
  <si>
    <t xml:space="preserve">Manage continual improvement initiative</t>
  </si>
  <si>
    <t xml:space="preserve">Manage IT processes and continuous improvement › Manage continuous improvement › Manage continual improvement initiative</t>
  </si>
  <si>
    <t xml:space="preserve">Monitor IT service risk and compliance</t>
  </si>
  <si>
    <t xml:space="preserve">Run IT service › Monitor and report IT service performance › Monitor IT service risk and compliance</t>
  </si>
  <si>
    <t xml:space="preserve">Monitor and analyse events</t>
  </si>
  <si>
    <t xml:space="preserve">Run IT service › Monitor and report IT service performance › Monitor and analyse events</t>
  </si>
  <si>
    <t xml:space="preserve">Monitor and report IT service financials</t>
  </si>
  <si>
    <t xml:space="preserve">Run IT service › Monitor and report IT service performance › Monitor and report IT service financials</t>
  </si>
  <si>
    <t xml:space="preserve">Monitor user experience</t>
  </si>
  <si>
    <t xml:space="preserve">Run IT service › Monitor and report IT service performance › Monitor user experience</t>
  </si>
  <si>
    <t xml:space="preserve">Review and maintain IT service continuity plan</t>
  </si>
  <si>
    <t xml:space="preserve">Run IT service › Ensure IT service continuity › Review and maintain IT service continuity plan</t>
  </si>
  <si>
    <t xml:space="preserve">Analyse process</t>
  </si>
  <si>
    <t xml:space="preserve">Manage IT processes and continuous improvement › Perform operational process management › Analyse process</t>
  </si>
  <si>
    <t xml:space="preserve">Assign personnel resources to IT project</t>
  </si>
  <si>
    <t xml:space="preserve">Manage IT project › Assign personnel resources to IT project</t>
  </si>
  <si>
    <t xml:space="preserve">Manage IT project</t>
  </si>
  <si>
    <t xml:space="preserve">Close IT project</t>
  </si>
  <si>
    <t xml:space="preserve">Manage IT project › Close IT project</t>
  </si>
  <si>
    <t xml:space="preserve">Conduct market analysis and compile long or short list</t>
  </si>
  <si>
    <t xml:space="preserve">Build IT Service › Design IT service › Perform software selection › Conduct market analysis and compile long or short list</t>
  </si>
  <si>
    <t xml:space="preserve">L4</t>
  </si>
  <si>
    <t xml:space="preserve">Develop and maintain IT BPM framework</t>
  </si>
  <si>
    <t xml:space="preserve">Manage IT processes and continuous improvement › Develop and maintain IT BPM framework</t>
  </si>
  <si>
    <t xml:space="preserve">Handle IT service request</t>
  </si>
  <si>
    <t xml:space="preserve">Run IT service › Provide IT service support › Handle IT service request</t>
  </si>
  <si>
    <t xml:space="preserve">Initiate IT project</t>
  </si>
  <si>
    <t xml:space="preserve">Manage IT project › Initiate IT project</t>
  </si>
  <si>
    <t xml:space="preserve">Manage IT project change request</t>
  </si>
  <si>
    <t xml:space="preserve">Manage IT project › Manage IT project change request</t>
  </si>
  <si>
    <t xml:space="preserve">Manage IT service change</t>
  </si>
  <si>
    <t xml:space="preserve">Build IT Service › Manage IT service change</t>
  </si>
  <si>
    <t xml:space="preserve">Perform and measure process</t>
  </si>
  <si>
    <t xml:space="preserve">Manage IT processes and continuous improvement › Perform operational process management › Perform and measure process</t>
  </si>
  <si>
    <t xml:space="preserve">Perform vendor use case pitch and usability test</t>
  </si>
  <si>
    <t xml:space="preserve">Build IT Service › Design IT service › Perform software selection › Perform vendor use case pitch and usability test</t>
  </si>
  <si>
    <t xml:space="preserve">Plan IT project</t>
  </si>
  <si>
    <t xml:space="preserve">Manage IT project › Plan IT project</t>
  </si>
  <si>
    <t xml:space="preserve">Recommendation and EA approval</t>
  </si>
  <si>
    <t xml:space="preserve">Build IT Service › Design IT service › Perform software selection › Recommendation and EA approval</t>
  </si>
  <si>
    <t xml:space="preserve">Record and plan functional requirements</t>
  </si>
  <si>
    <t xml:space="preserve">Build IT Service › Design IT service › Perform software selection › Record and plan functional requirements</t>
  </si>
  <si>
    <t xml:space="preserve">Steer and execute IT project</t>
  </si>
  <si>
    <t xml:space="preserve">Manage IT project › Steer and execute IT project</t>
  </si>
  <si>
    <t xml:space="preserve">Validate strategic fit</t>
  </si>
  <si>
    <t xml:space="preserve">Build IT Service › Design IT service › Perform software selection › Validate strategic fit</t>
  </si>
  <si>
    <t xml:space="preserve">Phase</t>
  </si>
  <si>
    <t xml:space="preserve">Implementation LIS</t>
  </si>
  <si>
    <t xml:space="preserve">Implementation LUS</t>
  </si>
  <si>
    <t xml:space="preserve">Implementation COT</t>
  </si>
  <si>
    <t xml:space="preserve">Auswahllisten für die Felder im Cockpit</t>
  </si>
  <si>
    <t xml:space="preserve">Prozessgruppe</t>
  </si>
  <si>
    <t xml:space="preserve">Auswertung – speist die Diagramme im Cockpit. Alle Werte sind Formeln über die Trefferspalte.</t>
  </si>
  <si>
    <t xml:space="preserve">Anzahl</t>
  </si>
  <si>
    <t xml:space="preserve">MP · Management</t>
  </si>
  <si>
    <t xml:space="preserve">CP · Core</t>
  </si>
  <si>
    <t xml:space="preserve">SP · Support</t>
  </si>
  <si>
    <t xml:space="preserve">Ø Fortschritt</t>
  </si>
  <si>
    <t xml:space="preserve">Prozesse</t>
  </si>
  <si>
    <t xml:space="preserve">L1-Prozessbereich</t>
  </si>
  <si>
    <t xml:space="preserve">davon verzögert</t>
  </si>
  <si>
    <t xml:space="preserve">terminiert</t>
  </si>
  <si>
    <t xml:space="preserve">abgeschlossen</t>
  </si>
  <si>
    <t xml:space="preserve">Bedienung</t>
  </si>
  <si>
    <t xml:space="preserve">Im Blatt Cockpit die gelb hinterlegten Auswahlfelder ändern. Kennzahlen, Diagramme und</t>
  </si>
  <si>
    <t xml:space="preserve">die Trefferliste rechnen sofort neu. Alle übrigen Zellen sind gesperrt, damit nichts</t>
  </si>
  <si>
    <t xml:space="preserve">versehentlich überschrieben wird; ein Kennwort wird dafür nicht benötigt.</t>
  </si>
  <si>
    <t xml:space="preserve">Die Blätter Prozesse und Phasen tragen echte Excel-Tabellen: dort lässt sich zusätzlich</t>
  </si>
  <si>
    <t xml:space="preserve">über die Spaltenköpfe filtern und sortieren.</t>
  </si>
  <si>
    <t xml:space="preserve">Gemeinsames Arbeiten</t>
  </si>
  <si>
    <t xml:space="preserve">Die Auswahlfelder sind Zellen der Mappe. Ändert sie jemand, sehen alle anderen dieselbe</t>
  </si>
  <si>
    <t xml:space="preserve">Auswahl. Wer für sich allein filtern möchte, nutzt in Excel für das Web auf den Blättern</t>
  </si>
  <si>
    <t xml:space="preserve">Prozesse oder Phasen die Blattansicht (Ansicht &gt; Blattansicht &gt; Neu).</t>
  </si>
  <si>
    <t xml:space="preserve">Wie der Status entsteht</t>
  </si>
  <si>
    <t xml:space="preserve">Verzögert  – mindestens eine Phase trägt in der Projektplanung die Ist-Phase "Delayed".</t>
  </si>
  <si>
    <t xml:space="preserve">             Verzögerung hat Vorrang vor allen anderen Zuständen.</t>
  </si>
  <si>
    <t xml:space="preserve">Abgeschlossen – 100 % Arbeitsfortschritt oder alle vier Phasen fertig.</t>
  </si>
  <si>
    <t xml:space="preserve">In Arbeit  – Fortschritt über 0 % oder eine Phase in Bearbeitung.</t>
  </si>
  <si>
    <t xml:space="preserve">Terminiert – Termine vorhanden, aber noch keine Bearbeitung.</t>
  </si>
  <si>
    <t xml:space="preserve">Nicht geplant – weder Termine noch Status.</t>
  </si>
  <si>
    <t xml:space="preserve">Überfällig  – der späteste Phasentermin liegt vor dem Stichtag und der Prozess ist nicht</t>
  </si>
  <si>
    <t xml:space="preserve">              abgeschlossen. Der Stichtag ist das siebte Auswahlfeld und frei setzbar.</t>
  </si>
  <si>
    <t xml:space="preserve">Herkunft der Daten</t>
  </si>
  <si>
    <t xml:space="preserve">Quelle: Process_Portfolio_Timeline.xlsx, Blatt "data Draft-april26" (Draft April 2026).</t>
  </si>
  <si>
    <t xml:space="preserve">Die Hierarchie steckt dort in der Einrückung der Spalte Process; je Prozess gibt es eine</t>
  </si>
  <si>
    <t xml:space="preserve">Summenzeile und vier Phasenzeilen. Daraus entstehen 124 Prozesse über vier Ebenen.</t>
  </si>
  <si>
    <t xml:space="preserve">19 Prozesse tragen keine Termine, in den Phasen LUS und COT ist bislang kein Fortschritt</t>
  </si>
  <si>
    <t xml:space="preserve">erfasst – beides ist so aus der Planung übernommen und nicht geglättet.</t>
  </si>
  <si>
    <t xml:space="preserve">Neu erzeugen nach einer aktualisierten Planung: python3 build/excel.py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</si>
</sst>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#,##0"/>
    <numFmt numFmtId="167" formatCode="0\ 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6181A"/>
      <name val="Arial"/>
      <family val="0"/>
      <charset val="1"/>
    </font>
    <font>
      <b val="true"/>
      <sz val="17"/>
      <color rgb="FF16181A"/>
      <name val="Arial"/>
      <family val="0"/>
      <charset val="1"/>
    </font>
    <font>
      <sz val="9"/>
      <color rgb="FF8E9498"/>
      <name val="Arial"/>
      <family val="0"/>
      <charset val="1"/>
    </font>
    <font>
      <i val="true"/>
      <sz val="9"/>
      <color rgb="FF8E9498"/>
      <name val="Arial"/>
      <family val="0"/>
      <charset val="1"/>
    </font>
    <font>
      <b val="true"/>
      <sz val="8"/>
      <color rgb="FF8E9498"/>
      <name val="Arial"/>
      <family val="0"/>
      <charset val="1"/>
    </font>
    <font>
      <sz val="11"/>
      <color rgb="FF16181A"/>
      <name val="Arial"/>
      <family val="0"/>
      <charset val="1"/>
    </font>
    <font>
      <b val="true"/>
      <sz val="22"/>
      <color rgb="FF16181A"/>
      <name val="Arial"/>
      <family val="0"/>
      <charset val="1"/>
    </font>
    <font>
      <b val="true"/>
      <sz val="22"/>
      <color rgb="FFD03B3B"/>
      <name val="Arial"/>
      <family val="0"/>
      <charset val="1"/>
    </font>
    <font>
      <b val="true"/>
      <sz val="9"/>
      <color rgb="FF16181A"/>
      <name val="Arial"/>
      <family val="0"/>
      <charset val="1"/>
    </font>
    <font>
      <sz val="10"/>
      <color rgb="FF5A5F6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16181A"/>
      <name val="Arial"/>
      <family val="0"/>
      <charset val="1"/>
    </font>
    <font>
      <b val="true"/>
      <sz val="10"/>
      <color rgb="FF8E9498"/>
      <name val="Arial"/>
      <family val="0"/>
      <charset val="1"/>
    </font>
    <font>
      <i val="true"/>
      <sz val="10"/>
      <color rgb="FF8E9498"/>
      <name val="Arial"/>
      <family val="0"/>
      <charset val="1"/>
    </font>
    <font>
      <b val="true"/>
      <sz val="10"/>
      <color rgb="FF5A5F63"/>
      <name val="Arial"/>
      <family val="0"/>
      <charset val="1"/>
    </font>
    <font>
      <b val="true"/>
      <sz val="15"/>
      <color rgb="FF16181A"/>
      <name val="Arial"/>
      <family val="0"/>
      <charset val="1"/>
    </font>
    <font>
      <b val="true"/>
      <sz val="12"/>
      <color rgb="FF16181A"/>
      <name val="Arial"/>
      <family val="0"/>
      <charset val="1"/>
    </font>
    <font>
      <sz val="10"/>
      <color rgb="FF8E949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F6D6"/>
        <bgColor rgb="FFEAE8E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EDCD4"/>
      </left>
      <right style="thin">
        <color rgb="FFDEDCD4"/>
      </right>
      <top style="thin">
        <color rgb="FFDEDCD4"/>
      </top>
      <bottom style="medium">
        <color rgb="FFFFCC00"/>
      </bottom>
      <diagonal/>
    </border>
    <border diagonalUp="false" diagonalDown="false">
      <left/>
      <right/>
      <top style="medium">
        <color rgb="FF16181A"/>
      </top>
      <bottom/>
      <diagonal/>
    </border>
    <border diagonalUp="false" diagonalDown="false">
      <left/>
      <right/>
      <top/>
      <bottom style="medium">
        <color rgb="FF16181A"/>
      </bottom>
      <diagonal/>
    </border>
    <border diagonalUp="false" diagonalDown="false">
      <left/>
      <right/>
      <top/>
      <bottom style="thin">
        <color rgb="FFDEDC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9" fillId="3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16181A"/>
          <bgColor rgb="FF000000"/>
        </patternFill>
      </fill>
    </dxf>
    <dxf>
      <fill>
        <patternFill patternType="solid">
          <fgColor rgb="FF5A5F63"/>
          <bgColor rgb="FF000000"/>
        </patternFill>
      </fill>
    </dxf>
  </dxfs>
  <colors>
    <indexedColors>
      <rgbColor rgb="FF000000"/>
      <rgbColor rgb="FFEAE8E0"/>
      <rgbColor rgb="FFFF0000"/>
      <rgbColor rgb="FF00FF00"/>
      <rgbColor rgb="FF0000FF"/>
      <rgbColor rgb="FFFFFF00"/>
      <rgbColor rgb="FFFF00FF"/>
      <rgbColor rgb="FF00FFFF"/>
      <rgbColor rgb="FF800000"/>
      <rgbColor rgb="FF0CA30C"/>
      <rgbColor rgb="FF000080"/>
      <rgbColor rgb="FF808000"/>
      <rgbColor rgb="FF800080"/>
      <rgbColor rgb="FF008080"/>
      <rgbColor rgb="FFC6C4BA"/>
      <rgbColor rgb="FF878787"/>
      <rgbColor rgb="FF9999FF"/>
      <rgbColor rgb="FFD03B3B"/>
      <rgbColor rgb="FFFFF6D6"/>
      <rgbColor rgb="FFCCFFFF"/>
      <rgbColor rgb="FF660066"/>
      <rgbColor rgb="FFFF8080"/>
      <rgbColor rgb="FF1C5CA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DCD4"/>
      <rgbColor rgb="FFFFFF99"/>
      <rgbColor rgb="FFBFBDB2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5A5F63"/>
      <rgbColor rgb="FF8E9498"/>
      <rgbColor rgb="FF003366"/>
      <rgbColor rgb="FF339966"/>
      <rgbColor rgb="FF16181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Status der Prozesse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Auswertung!B3</c:f>
              <c:strCache>
                <c:ptCount val="1"/>
                <c:pt idx="0">
                  <c:v>Anzahl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d03b3b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2a78d6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8e9498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0ca30c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c6c4ba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Auswertung!$A$4:$A$8</c:f>
              <c:strCache>
                <c:ptCount val="5"/>
                <c:pt idx="0">
                  <c:v>Verzögert</c:v>
                </c:pt>
                <c:pt idx="1">
                  <c:v>In Arbeit</c:v>
                </c:pt>
                <c:pt idx="2">
                  <c:v>Terminiert</c:v>
                </c:pt>
                <c:pt idx="3">
                  <c:v>Abgeschlossen</c:v>
                </c:pt>
                <c:pt idx="4">
                  <c:v>Nicht geplant</c:v>
                </c:pt>
              </c:strCache>
            </c:strRef>
          </c:cat>
          <c:val>
            <c:numRef>
              <c:f>Auswertung!$B$4:$B$8</c:f>
              <c:numCache>
                <c:formatCode>General</c:formatCode>
                <c:ptCount val="5"/>
                <c:pt idx="0">
                  <c:v>29</c:v>
                </c:pt>
                <c:pt idx="1">
                  <c:v>59</c:v>
                </c:pt>
                <c:pt idx="2">
                  <c:v>7</c:v>
                </c:pt>
                <c:pt idx="3">
                  <c:v>17</c:v>
                </c:pt>
                <c:pt idx="4">
                  <c:v>12</c:v>
                </c:pt>
              </c:numCache>
            </c:numRef>
          </c:val>
        </c:ser>
        <c:gapWidth val="150"/>
        <c:overlap val="0"/>
        <c:axId val="48895705"/>
        <c:axId val="27432919"/>
      </c:barChart>
      <c:catAx>
        <c:axId val="488957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432919"/>
        <c:crosses val="autoZero"/>
        <c:auto val="1"/>
        <c:lblAlgn val="ctr"/>
        <c:lblOffset val="100"/>
        <c:noMultiLvlLbl val="0"/>
      </c:catAx>
      <c:valAx>
        <c:axId val="27432919"/>
        <c:scaling>
          <c:orientation val="minMax"/>
        </c:scaling>
        <c:delete val="0"/>
        <c:axPos val="l"/>
        <c:majorGridlines>
          <c:spPr>
            <a:ln w="9360">
              <a:solidFill>
                <a:srgbClr val="eae8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8957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Status je Prozessgruppe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Auswertung!E3</c:f>
              <c:strCache>
                <c:ptCount val="1"/>
                <c:pt idx="0">
                  <c:v>Verzögert</c:v>
                </c:pt>
              </c:strCache>
            </c:strRef>
          </c:tx>
          <c:spPr>
            <a:solidFill>
              <a:srgbClr val="d03b3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Auswertung!$D$4:$D$6</c:f>
              <c:strCache>
                <c:ptCount val="3"/>
                <c:pt idx="0">
                  <c:v>MP · Management</c:v>
                </c:pt>
                <c:pt idx="1">
                  <c:v>CP · Core</c:v>
                </c:pt>
                <c:pt idx="2">
                  <c:v>SP · Support</c:v>
                </c:pt>
              </c:strCache>
            </c:strRef>
          </c:cat>
          <c:val>
            <c:numRef>
              <c:f>Auswertung!$E$4:$E$6</c:f>
              <c:numCache>
                <c:formatCode>General</c:formatCode>
                <c:ptCount val="3"/>
                <c:pt idx="0">
                  <c:v>6</c:v>
                </c:pt>
                <c:pt idx="1">
                  <c:v>12</c:v>
                </c:pt>
                <c:pt idx="2">
                  <c:v>11</c:v>
                </c:pt>
              </c:numCache>
            </c:numRef>
          </c:val>
        </c:ser>
        <c:ser>
          <c:idx val="1"/>
          <c:order val="1"/>
          <c:tx>
            <c:strRef>
              <c:f>Auswertung!F3</c:f>
              <c:strCache>
                <c:ptCount val="1"/>
                <c:pt idx="0">
                  <c:v>In Arbeit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Auswertung!$D$4:$D$6</c:f>
              <c:strCache>
                <c:ptCount val="3"/>
                <c:pt idx="0">
                  <c:v>MP · Management</c:v>
                </c:pt>
                <c:pt idx="1">
                  <c:v>CP · Core</c:v>
                </c:pt>
                <c:pt idx="2">
                  <c:v>SP · Support</c:v>
                </c:pt>
              </c:strCache>
            </c:strRef>
          </c:cat>
          <c:val>
            <c:numRef>
              <c:f>Auswertung!$F$4:$F$6</c:f>
              <c:numCache>
                <c:formatCode>General</c:formatCode>
                <c:ptCount val="3"/>
                <c:pt idx="0">
                  <c:v>39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</c:ser>
        <c:ser>
          <c:idx val="2"/>
          <c:order val="2"/>
          <c:tx>
            <c:strRef>
              <c:f>Auswertung!G3</c:f>
              <c:strCache>
                <c:ptCount val="1"/>
                <c:pt idx="0">
                  <c:v>Terminiert</c:v>
                </c:pt>
              </c:strCache>
            </c:strRef>
          </c:tx>
          <c:spPr>
            <a:solidFill>
              <a:srgbClr val="8e949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Auswertung!$D$4:$D$6</c:f>
              <c:strCache>
                <c:ptCount val="3"/>
                <c:pt idx="0">
                  <c:v>MP · Management</c:v>
                </c:pt>
                <c:pt idx="1">
                  <c:v>CP · Core</c:v>
                </c:pt>
                <c:pt idx="2">
                  <c:v>SP · Support</c:v>
                </c:pt>
              </c:strCache>
            </c:strRef>
          </c:cat>
          <c:val>
            <c:numRef>
              <c:f>Auswertung!$G$4:$G$6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</c:ser>
        <c:ser>
          <c:idx val="3"/>
          <c:order val="3"/>
          <c:tx>
            <c:strRef>
              <c:f>Auswertung!H3</c:f>
              <c:strCache>
                <c:ptCount val="1"/>
                <c:pt idx="0">
                  <c:v>Abgeschlossen</c:v>
                </c:pt>
              </c:strCache>
            </c:strRef>
          </c:tx>
          <c:spPr>
            <a:solidFill>
              <a:srgbClr val="0ca30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Auswertung!$D$4:$D$6</c:f>
              <c:strCache>
                <c:ptCount val="3"/>
                <c:pt idx="0">
                  <c:v>MP · Management</c:v>
                </c:pt>
                <c:pt idx="1">
                  <c:v>CP · Core</c:v>
                </c:pt>
                <c:pt idx="2">
                  <c:v>SP · Support</c:v>
                </c:pt>
              </c:strCache>
            </c:strRef>
          </c:cat>
          <c:val>
            <c:numRef>
              <c:f>Auswertung!$H$4:$H$6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7</c:v>
                </c:pt>
              </c:numCache>
            </c:numRef>
          </c:val>
        </c:ser>
        <c:ser>
          <c:idx val="4"/>
          <c:order val="4"/>
          <c:tx>
            <c:strRef>
              <c:f>Auswertung!I3</c:f>
              <c:strCache>
                <c:ptCount val="1"/>
                <c:pt idx="0">
                  <c:v>Nicht geplant</c:v>
                </c:pt>
              </c:strCache>
            </c:strRef>
          </c:tx>
          <c:spPr>
            <a:solidFill>
              <a:srgbClr val="c6c4b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Auswertung!$D$4:$D$6</c:f>
              <c:strCache>
                <c:ptCount val="3"/>
                <c:pt idx="0">
                  <c:v>MP · Management</c:v>
                </c:pt>
                <c:pt idx="1">
                  <c:v>CP · Core</c:v>
                </c:pt>
                <c:pt idx="2">
                  <c:v>SP · Support</c:v>
                </c:pt>
              </c:strCache>
            </c:strRef>
          </c:cat>
          <c:val>
            <c:numRef>
              <c:f>Auswertung!$I$4:$I$6</c:f>
              <c:numCache>
                <c:formatCode>General</c:formatCode>
                <c:ptCount val="3"/>
                <c:pt idx="0">
                  <c:v>2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</c:ser>
        <c:gapWidth val="150"/>
        <c:overlap val="100"/>
        <c:axId val="60560547"/>
        <c:axId val="16609252"/>
      </c:barChart>
      <c:catAx>
        <c:axId val="605605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09252"/>
        <c:crosses val="autoZero"/>
        <c:auto val="1"/>
        <c:lblAlgn val="ctr"/>
        <c:lblOffset val="100"/>
        <c:noMultiLvlLbl val="0"/>
      </c:catAx>
      <c:valAx>
        <c:axId val="16609252"/>
        <c:scaling>
          <c:orientation val="minMax"/>
        </c:scaling>
        <c:delete val="0"/>
        <c:axPos val="l"/>
        <c:majorGridlines>
          <c:spPr>
            <a:ln w="9360">
              <a:solidFill>
                <a:srgbClr val="eae8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605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Ø Fortschritt je Initiative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Auswertung!B10</c:f>
              <c:strCache>
                <c:ptCount val="1"/>
                <c:pt idx="0">
                  <c:v>Ø Fortschritt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Auswertung!$A$11:$A$19</c:f>
              <c:strCache>
                <c:ptCount val="9"/>
                <c:pt idx="0">
                  <c:v>Architecture management</c:v>
                </c:pt>
                <c:pt idx="1">
                  <c:v>Central area (Jan Müskens)</c:v>
                </c:pt>
                <c:pt idx="2">
                  <c:v>Corporate IT body</c:v>
                </c:pt>
                <c:pt idx="3">
                  <c:v>HR initiatives for IT</c:v>
                </c:pt>
                <c:pt idx="4">
                  <c:v>IT planning and steering</c:v>
                </c:pt>
                <c:pt idx="5">
                  <c:v>IT project management</c:v>
                </c:pt>
                <c:pt idx="6">
                  <c:v>ITSM</c:v>
                </c:pt>
                <c:pt idx="7">
                  <c:v>Information security</c:v>
                </c:pt>
                <c:pt idx="8">
                  <c:v>n/a</c:v>
                </c:pt>
              </c:strCache>
            </c:strRef>
          </c:cat>
          <c:val>
            <c:numRef>
              <c:f>Auswertung!$B$11:$B$19</c:f>
              <c:numCache>
                <c:formatCode>0\ %</c:formatCode>
                <c:ptCount val="9"/>
                <c:pt idx="0">
                  <c:v>0.928571428571429</c:v>
                </c:pt>
                <c:pt idx="1">
                  <c:v>0.21875</c:v>
                </c:pt>
                <c:pt idx="2">
                  <c:v>0.568181818181818</c:v>
                </c:pt>
                <c:pt idx="3">
                  <c:v>0.126111111111111</c:v>
                </c:pt>
                <c:pt idx="4">
                  <c:v>0.5</c:v>
                </c:pt>
                <c:pt idx="5">
                  <c:v>1</c:v>
                </c:pt>
                <c:pt idx="6">
                  <c:v>0.283333333333333</c:v>
                </c:pt>
                <c:pt idx="7">
                  <c:v>0.5</c:v>
                </c:pt>
                <c:pt idx="8">
                  <c:v>0.22</c:v>
                </c:pt>
              </c:numCache>
            </c:numRef>
          </c:val>
        </c:ser>
        <c:gapWidth val="150"/>
        <c:overlap val="0"/>
        <c:axId val="38542126"/>
        <c:axId val="37513406"/>
      </c:barChart>
      <c:catAx>
        <c:axId val="385421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13406"/>
        <c:crosses val="autoZero"/>
        <c:auto val="1"/>
        <c:lblAlgn val="ctr"/>
        <c:lblOffset val="100"/>
        <c:noMultiLvlLbl val="0"/>
      </c:catAx>
      <c:valAx>
        <c:axId val="37513406"/>
        <c:scaling>
          <c:orientation val="minMax"/>
        </c:scaling>
        <c:delete val="0"/>
        <c:axPos val="l"/>
        <c:majorGridlines>
          <c:spPr>
            <a:ln w="9360">
              <a:solidFill>
                <a:srgbClr val="eae8e0"/>
              </a:solidFill>
              <a:round/>
            </a:ln>
          </c:spPr>
        </c:majorGridlines>
        <c:numFmt formatCode="0\ 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5421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Verzögerte Prozesse je L1-Bereich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Auswertung!F10</c:f>
              <c:strCache>
                <c:ptCount val="1"/>
                <c:pt idx="0">
                  <c:v>davon verzögert</c:v>
                </c:pt>
              </c:strCache>
            </c:strRef>
          </c:tx>
          <c:spPr>
            <a:solidFill>
              <a:srgbClr val="d03b3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Auswertung!$E$11:$E$20</c:f>
              <c:strCache>
                <c:ptCount val="10"/>
                <c:pt idx="0">
                  <c:v>Provide and develop IT workforce</c:v>
                </c:pt>
                <c:pt idx="1">
                  <c:v>Plan IT service</c:v>
                </c:pt>
                <c:pt idx="2">
                  <c:v>Run IT service</c:v>
                </c:pt>
                <c:pt idx="3">
                  <c:v>Deliver IT service</c:v>
                </c:pt>
                <c:pt idx="4">
                  <c:v>Build IT Service</c:v>
                </c:pt>
                <c:pt idx="5">
                  <c:v>Manage enterprise architecture</c:v>
                </c:pt>
                <c:pt idx="6">
                  <c:v>Ensure performance and conformance of IT services</c:v>
                </c:pt>
                <c:pt idx="7">
                  <c:v>Manage IT processes and continuous improvement</c:v>
                </c:pt>
                <c:pt idx="8">
                  <c:v>Manage IT knowledge</c:v>
                </c:pt>
                <c:pt idx="9">
                  <c:v>Manage IT portfolio</c:v>
                </c:pt>
              </c:strCache>
            </c:strRef>
          </c:cat>
          <c:val>
            <c:numRef>
              <c:f>Auswertung!$F$11:$F$20</c:f>
              <c:numCache>
                <c:formatCode>General</c:formatCode>
                <c:ptCount val="10"/>
                <c:pt idx="0">
                  <c:v>9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gapWidth val="150"/>
        <c:overlap val="0"/>
        <c:axId val="16034969"/>
        <c:axId val="94204561"/>
      </c:barChart>
      <c:catAx>
        <c:axId val="160349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04561"/>
        <c:crosses val="autoZero"/>
        <c:auto val="1"/>
        <c:lblAlgn val="ctr"/>
        <c:lblOffset val="100"/>
        <c:noMultiLvlLbl val="0"/>
      </c:catAx>
      <c:valAx>
        <c:axId val="94204561"/>
        <c:scaling>
          <c:orientation val="minMax"/>
        </c:scaling>
        <c:delete val="0"/>
        <c:axPos val="l"/>
        <c:majorGridlines>
          <c:spPr>
            <a:ln w="9360">
              <a:solidFill>
                <a:srgbClr val="eae8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349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Roll-out-Trichter: terminiert und abgeschlossen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Auswertung!B23</c:f>
              <c:strCache>
                <c:ptCount val="1"/>
                <c:pt idx="0">
                  <c:v>terminiert</c:v>
                </c:pt>
              </c:strCache>
            </c:strRef>
          </c:tx>
          <c:spPr>
            <a:solidFill>
              <a:srgbClr val="bfbdb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Auswertung!$A$24:$A$27</c:f>
              <c:strCache>
                <c:ptCount val="4"/>
                <c:pt idx="0">
                  <c:v>Elaboration</c:v>
                </c:pt>
                <c:pt idx="1">
                  <c:v>Implementation LIS</c:v>
                </c:pt>
                <c:pt idx="2">
                  <c:v>Implementation LUS</c:v>
                </c:pt>
                <c:pt idx="3">
                  <c:v>Implementation COT</c:v>
                </c:pt>
              </c:strCache>
            </c:strRef>
          </c:cat>
          <c:val>
            <c:numRef>
              <c:f>Auswertung!$B$24:$B$27</c:f>
              <c:numCache>
                <c:formatCode>General</c:formatCode>
                <c:ptCount val="4"/>
                <c:pt idx="0">
                  <c:v>104</c:v>
                </c:pt>
                <c:pt idx="1">
                  <c:v>30</c:v>
                </c:pt>
                <c:pt idx="2">
                  <c:v>4</c:v>
                </c:pt>
                <c:pt idx="3">
                  <c:v>12</c:v>
                </c:pt>
              </c:numCache>
            </c:numRef>
          </c:val>
        </c:ser>
        <c:ser>
          <c:idx val="1"/>
          <c:order val="1"/>
          <c:tx>
            <c:strRef>
              <c:f>Auswertung!C23</c:f>
              <c:strCache>
                <c:ptCount val="1"/>
                <c:pt idx="0">
                  <c:v>abgeschlossen</c:v>
                </c:pt>
              </c:strCache>
            </c:strRef>
          </c:tx>
          <c:spPr>
            <a:solidFill>
              <a:srgbClr val="1c5ca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Auswertung!$A$24:$A$27</c:f>
              <c:strCache>
                <c:ptCount val="4"/>
                <c:pt idx="0">
                  <c:v>Elaboration</c:v>
                </c:pt>
                <c:pt idx="1">
                  <c:v>Implementation LIS</c:v>
                </c:pt>
                <c:pt idx="2">
                  <c:v>Implementation LUS</c:v>
                </c:pt>
                <c:pt idx="3">
                  <c:v>Implementation COT</c:v>
                </c:pt>
              </c:strCache>
            </c:strRef>
          </c:cat>
          <c:val>
            <c:numRef>
              <c:f>Auswertung!$C$24:$C$27</c:f>
              <c:numCache>
                <c:formatCode>General</c:formatCode>
                <c:ptCount val="4"/>
                <c:pt idx="0">
                  <c:v>30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66806752"/>
        <c:axId val="33156651"/>
      </c:barChart>
      <c:catAx>
        <c:axId val="6680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56651"/>
        <c:crosses val="autoZero"/>
        <c:auto val="1"/>
        <c:lblAlgn val="ctr"/>
        <c:lblOffset val="100"/>
        <c:noMultiLvlLbl val="0"/>
      </c:catAx>
      <c:valAx>
        <c:axId val="33156651"/>
        <c:scaling>
          <c:orientation val="minMax"/>
        </c:scaling>
        <c:delete val="0"/>
        <c:axPos val="l"/>
        <c:majorGridlines>
          <c:spPr>
            <a:ln w="9360">
              <a:solidFill>
                <a:srgbClr val="eae8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067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3</xdr:col>
      <xdr:colOff>226080</xdr:colOff>
      <xdr:row>24</xdr:row>
      <xdr:rowOff>115200</xdr:rowOff>
    </xdr:to>
    <xdr:graphicFrame>
      <xdr:nvGraphicFramePr>
        <xdr:cNvPr id="0" name="Chart 1"/>
        <xdr:cNvGraphicFramePr/>
      </xdr:nvGraphicFramePr>
      <xdr:xfrm>
        <a:off x="444600" y="2400480"/>
        <a:ext cx="39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11</xdr:row>
      <xdr:rowOff>0</xdr:rowOff>
    </xdr:from>
    <xdr:to>
      <xdr:col>7</xdr:col>
      <xdr:colOff>225720</xdr:colOff>
      <xdr:row>24</xdr:row>
      <xdr:rowOff>115200</xdr:rowOff>
    </xdr:to>
    <xdr:graphicFrame>
      <xdr:nvGraphicFramePr>
        <xdr:cNvPr id="1" name="Chart 2"/>
        <xdr:cNvGraphicFramePr/>
      </xdr:nvGraphicFramePr>
      <xdr:xfrm>
        <a:off x="7912080" y="2400480"/>
        <a:ext cx="39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0</xdr:rowOff>
    </xdr:from>
    <xdr:to>
      <xdr:col>3</xdr:col>
      <xdr:colOff>226080</xdr:colOff>
      <xdr:row>39</xdr:row>
      <xdr:rowOff>115200</xdr:rowOff>
    </xdr:to>
    <xdr:graphicFrame>
      <xdr:nvGraphicFramePr>
        <xdr:cNvPr id="2" name="Chart 3"/>
        <xdr:cNvGraphicFramePr/>
      </xdr:nvGraphicFramePr>
      <xdr:xfrm>
        <a:off x="444600" y="5257800"/>
        <a:ext cx="39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26</xdr:row>
      <xdr:rowOff>0</xdr:rowOff>
    </xdr:from>
    <xdr:to>
      <xdr:col>7</xdr:col>
      <xdr:colOff>225720</xdr:colOff>
      <xdr:row>39</xdr:row>
      <xdr:rowOff>115200</xdr:rowOff>
    </xdr:to>
    <xdr:graphicFrame>
      <xdr:nvGraphicFramePr>
        <xdr:cNvPr id="3" name="Chart 4"/>
        <xdr:cNvGraphicFramePr/>
      </xdr:nvGraphicFramePr>
      <xdr:xfrm>
        <a:off x="7912080" y="5257800"/>
        <a:ext cx="39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41</xdr:row>
      <xdr:rowOff>0</xdr:rowOff>
    </xdr:from>
    <xdr:to>
      <xdr:col>3</xdr:col>
      <xdr:colOff>226080</xdr:colOff>
      <xdr:row>54</xdr:row>
      <xdr:rowOff>115200</xdr:rowOff>
    </xdr:to>
    <xdr:graphicFrame>
      <xdr:nvGraphicFramePr>
        <xdr:cNvPr id="4" name="Chart 5"/>
        <xdr:cNvGraphicFramePr/>
      </xdr:nvGraphicFramePr>
      <xdr:xfrm>
        <a:off x="444600" y="8115480"/>
        <a:ext cx="395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Phasen" displayName="tblPhasen" ref="A1:I497" headerRowCount="1" totalsRowCount="0" totalsRowShown="0">
  <autoFilter ref="A1:I497"/>
  <tableColumns count="9">
    <tableColumn id="1" name="Nr"/>
    <tableColumn id="2" name="Prozess"/>
    <tableColumn id="3" name="Gruppe"/>
    <tableColumn id="4" name="Phase"/>
    <tableColumn id="5" name="Status"/>
    <tableColumn id="6" name="Start"/>
    <tableColumn id="7" name="Ende"/>
    <tableColumn id="8" name="Dauer (T)"/>
    <tableColumn id="9" name="Treffer"/>
  </tableColumns>
</table>
</file>

<file path=xl/tables/table2.xml><?xml version="1.0" encoding="utf-8"?>
<table xmlns="http://schemas.openxmlformats.org/spreadsheetml/2006/main" id="2" name="tblProzesse" displayName="tblProzesse" ref="A1:T125" headerRowCount="1" totalsRowCount="0" totalsRowShown="0">
  <autoFilter ref="A1:T125"/>
  <tableColumns count="20">
    <tableColumn id="1" name="Nr"/>
    <tableColumn id="2" name="Prozess"/>
    <tableColumn id="3" name="Pfad"/>
    <tableColumn id="4" name="Gruppe"/>
    <tableColumn id="5" name="Initiative"/>
    <tableColumn id="6" name="L1-Prozess"/>
    <tableColumn id="7" name="Ebene"/>
    <tableColumn id="8" name="Status"/>
    <tableColumn id="9" name="Fortschritt"/>
    <tableColumn id="10" name="Start"/>
    <tableColumn id="11" name="Ende"/>
    <tableColumn id="12" name="Dauer (T)"/>
    <tableColumn id="13" name="Elaboration"/>
    <tableColumn id="14" name="Initiative Lead"/>
    <tableColumn id="15" name="Process Manager"/>
    <tableColumn id="16" name="Consultant"/>
    <tableColumn id="17" name="Überfällig"/>
    <tableColumn id="18" name="In Implementierung"/>
    <tableColumn id="19" name="Treffer"/>
    <tableColumn id="20" name="Ran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8" min="2" style="0" width="21"/>
  </cols>
  <sheetData>
    <row r="1" customFormat="false" ht="24" hidden="false" customHeight="tru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B2" s="3" t="s">
        <v>2</v>
      </c>
    </row>
    <row r="3" customFormat="false" ht="15" hidden="false" customHeight="false" outlineLevel="0" collapsed="false">
      <c r="B3" s="4" t="s">
        <v>3</v>
      </c>
    </row>
    <row r="5" customFormat="false" ht="15" hidden="false" customHeight="false" outlineLevel="0" collapsed="false"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15" hidden="false" customHeight="false" outlineLevel="0" collapsed="false"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  <c r="H6" s="7" t="n">
        <v>46266</v>
      </c>
    </row>
    <row r="8" customFormat="false" ht="15" hidden="false" customHeight="false" outlineLevel="0" collapsed="false">
      <c r="B8" s="5" t="s">
        <v>12</v>
      </c>
      <c r="C8" s="5" t="s">
        <v>13</v>
      </c>
      <c r="D8" s="5" t="s">
        <v>14</v>
      </c>
      <c r="E8" s="5" t="s">
        <v>15</v>
      </c>
      <c r="F8" s="5" t="s">
        <v>16</v>
      </c>
      <c r="G8" s="5" t="s">
        <v>17</v>
      </c>
      <c r="H8" s="5" t="s">
        <v>18</v>
      </c>
    </row>
    <row r="9" customFormat="false" ht="30" hidden="false" customHeight="true" outlineLevel="0" collapsed="false">
      <c r="B9" s="8" t="n">
        <f aca="false">SUM(Prozesse!$S$2:$S$125)</f>
        <v>124</v>
      </c>
      <c r="C9" s="9" t="n">
        <f aca="false">IFERROR(SUMPRODUCT(Prozesse!$S$2:$S$125,Prozesse!$I$2:$I$125)/SUM(Prozesse!$S$2:$S$125),0)</f>
        <v>0.403951612903226</v>
      </c>
      <c r="D9" s="10" t="n">
        <f aca="false">SUMPRODUCT(Prozesse!$S$2:$S$125,--(Prozesse!$H$2:$H$125="Verzögert"))</f>
        <v>29</v>
      </c>
      <c r="E9" s="8" t="n">
        <f aca="false">SUMPRODUCT(Prozesse!$S$2:$S$125,Prozesse!$Q$2:$Q$125)</f>
        <v>52</v>
      </c>
      <c r="F9" s="8" t="n">
        <f aca="false">SUMPRODUCT(Prozesse!$S$2:$S$125,--(Prozesse!$M$2:$M$125="Abgeschlossen"))</f>
        <v>30</v>
      </c>
      <c r="G9" s="8" t="n">
        <f aca="false">SUMPRODUCT(Prozesse!$S$2:$S$125,Prozesse!$R$2:$R$125)</f>
        <v>20</v>
      </c>
      <c r="H9" s="8" t="n">
        <f aca="false">SUMPRODUCT(Phasen!$I$2:$I$497,--(Phasen!$G$2:$G$497&gt;=$H$6),--(Phasen!$G$2:$G$497&lt;=$H$6+90))</f>
        <v>8</v>
      </c>
    </row>
    <row r="58" customFormat="false" ht="15" hidden="false" customHeight="false" outlineLevel="0" collapsed="false">
      <c r="B58" s="5" t="s">
        <v>19</v>
      </c>
    </row>
    <row r="59" customFormat="false" ht="15" hidden="false" customHeight="false" outlineLevel="0" collapsed="false">
      <c r="B59" s="11" t="s">
        <v>20</v>
      </c>
      <c r="C59" s="11" t="s">
        <v>21</v>
      </c>
      <c r="D59" s="11" t="s">
        <v>22</v>
      </c>
      <c r="E59" s="11" t="s">
        <v>23</v>
      </c>
      <c r="F59" s="11" t="s">
        <v>24</v>
      </c>
      <c r="G59" s="11" t="s">
        <v>25</v>
      </c>
    </row>
    <row r="60" customFormat="false" ht="15" hidden="false" customHeight="false" outlineLevel="0" collapsed="false">
      <c r="B60" s="12" t="str">
        <f aca="false">IFERROR(INDEX(Prozesse!$B$2:$B$125,MATCH(1,Prozesse!$T$2:$T$125,0)),"")</f>
        <v>Analyse architecture impact</v>
      </c>
      <c r="C60" s="12" t="str">
        <f aca="false">IFERROR(INDEX(Prozesse!$D$2:$D$125,MATCH(1,Prozesse!$T$2:$T$125,0)),"")</f>
        <v>CP</v>
      </c>
      <c r="D60" s="12" t="str">
        <f aca="false">IFERROR(INDEX(Prozesse!$H$2:$H$125,MATCH(1,Prozesse!$T$2:$T$125,0)),"")</f>
        <v>Verzögert</v>
      </c>
      <c r="E60" s="13" t="n">
        <f aca="false">IFERROR(INDEX(Prozesse!$I$2:$I$125,MATCH(1,Prozesse!$T$2:$T$125,0)),"")</f>
        <v>1</v>
      </c>
      <c r="F60" s="14" t="n">
        <f aca="false">IFERROR(INDEX(Prozesse!$K$2:$K$125,MATCH(1,Prozesse!$T$2:$T$125,0)),"")</f>
        <v>46142</v>
      </c>
      <c r="G60" s="12" t="str">
        <f aca="false">IFERROR(INDEX(Prozesse!$O$2:$O$125,MATCH(1,Prozesse!$T$2:$T$125,0)),"")</f>
        <v>Mielenz Thomas (LMT)</v>
      </c>
    </row>
    <row r="61" customFormat="false" ht="15" hidden="false" customHeight="false" outlineLevel="0" collapsed="false">
      <c r="B61" s="12" t="str">
        <f aca="false">IFERROR(INDEX(Prozesse!$B$2:$B$125,MATCH(2,Prozesse!$T$2:$T$125,0)),"")</f>
        <v>Approve IT demand</v>
      </c>
      <c r="C61" s="12" t="str">
        <f aca="false">IFERROR(INDEX(Prozesse!$D$2:$D$125,MATCH(2,Prozesse!$T$2:$T$125,0)),"")</f>
        <v>CP</v>
      </c>
      <c r="D61" s="12" t="str">
        <f aca="false">IFERROR(INDEX(Prozesse!$H$2:$H$125,MATCH(2,Prozesse!$T$2:$T$125,0)),"")</f>
        <v>Verzögert</v>
      </c>
      <c r="E61" s="13" t="n">
        <f aca="false">IFERROR(INDEX(Prozesse!$I$2:$I$125,MATCH(2,Prozesse!$T$2:$T$125,0)),"")</f>
        <v>1</v>
      </c>
      <c r="F61" s="14" t="n">
        <f aca="false">IFERROR(INDEX(Prozesse!$K$2:$K$125,MATCH(2,Prozesse!$T$2:$T$125,0)),"")</f>
        <v>46112</v>
      </c>
      <c r="G61" s="12" t="str">
        <f aca="false">IFERROR(INDEX(Prozesse!$O$2:$O$125,MATCH(2,Prozesse!$T$2:$T$125,0)),"")</f>
        <v>Mielenz Thomas (LMT)</v>
      </c>
    </row>
    <row r="62" customFormat="false" ht="15" hidden="false" customHeight="false" outlineLevel="0" collapsed="false">
      <c r="B62" s="12" t="str">
        <f aca="false">IFERROR(INDEX(Prozesse!$B$2:$B$125,MATCH(3,Prozesse!$T$2:$T$125,0)),"")</f>
        <v>Attract and hire employees</v>
      </c>
      <c r="C62" s="12" t="str">
        <f aca="false">IFERROR(INDEX(Prozesse!$D$2:$D$125,MATCH(3,Prozesse!$T$2:$T$125,0)),"")</f>
        <v>SP</v>
      </c>
      <c r="D62" s="12" t="str">
        <f aca="false">IFERROR(INDEX(Prozesse!$H$2:$H$125,MATCH(3,Prozesse!$T$2:$T$125,0)),"")</f>
        <v>Verzögert</v>
      </c>
      <c r="E62" s="13" t="n">
        <f aca="false">IFERROR(INDEX(Prozesse!$I$2:$I$125,MATCH(3,Prozesse!$T$2:$T$125,0)),"")</f>
        <v>0.18</v>
      </c>
      <c r="F62" s="14" t="n">
        <f aca="false">IFERROR(INDEX(Prozesse!$K$2:$K$125,MATCH(3,Prozesse!$T$2:$T$125,0)),"")</f>
        <v>46387</v>
      </c>
      <c r="G62" s="12" t="str">
        <f aca="false">IFERROR(INDEX(Prozesse!$O$2:$O$125,MATCH(3,Prozesse!$T$2:$T$125,0)),"")</f>
        <v>Mielenz Thomas (LMT)</v>
      </c>
    </row>
    <row r="63" customFormat="false" ht="15" hidden="false" customHeight="false" outlineLevel="0" collapsed="false">
      <c r="B63" s="12" t="str">
        <f aca="false">IFERROR(INDEX(Prozesse!$B$2:$B$125,MATCH(4,Prozesse!$T$2:$T$125,0)),"")</f>
        <v>Define solution target architecture</v>
      </c>
      <c r="C63" s="12" t="str">
        <f aca="false">IFERROR(INDEX(Prozesse!$D$2:$D$125,MATCH(4,Prozesse!$T$2:$T$125,0)),"")</f>
        <v>CP</v>
      </c>
      <c r="D63" s="12" t="str">
        <f aca="false">IFERROR(INDEX(Prozesse!$H$2:$H$125,MATCH(4,Prozesse!$T$2:$T$125,0)),"")</f>
        <v>Verzögert</v>
      </c>
      <c r="E63" s="13" t="n">
        <f aca="false">IFERROR(INDEX(Prozesse!$I$2:$I$125,MATCH(4,Prozesse!$T$2:$T$125,0)),"")</f>
        <v>0.5</v>
      </c>
      <c r="F63" s="14" t="n">
        <f aca="false">IFERROR(INDEX(Prozesse!$K$2:$K$125,MATCH(4,Prozesse!$T$2:$T$125,0)),"")</f>
        <v>46195</v>
      </c>
      <c r="G63" s="12" t="str">
        <f aca="false">IFERROR(INDEX(Prozesse!$O$2:$O$125,MATCH(4,Prozesse!$T$2:$T$125,0)),"")</f>
        <v>Nussbaumer Florian (LBC)</v>
      </c>
    </row>
    <row r="64" customFormat="false" ht="15" hidden="false" customHeight="false" outlineLevel="0" collapsed="false">
      <c r="B64" s="12" t="str">
        <f aca="false">IFERROR(INDEX(Prozesse!$B$2:$B$125,MATCH(5,Prozesse!$T$2:$T$125,0)),"")</f>
        <v>Ensure performance and conformance of IT services</v>
      </c>
      <c r="C64" s="12" t="str">
        <f aca="false">IFERROR(INDEX(Prozesse!$D$2:$D$125,MATCH(5,Prozesse!$T$2:$T$125,0)),"")</f>
        <v>SP</v>
      </c>
      <c r="D64" s="12" t="str">
        <f aca="false">IFERROR(INDEX(Prozesse!$H$2:$H$125,MATCH(5,Prozesse!$T$2:$T$125,0)),"")</f>
        <v>Verzögert</v>
      </c>
      <c r="E64" s="13" t="n">
        <f aca="false">IFERROR(INDEX(Prozesse!$I$2:$I$125,MATCH(5,Prozesse!$T$2:$T$125,0)),"")</f>
        <v>0</v>
      </c>
      <c r="F64" s="14" t="n">
        <f aca="false">IFERROR(INDEX(Prozesse!$K$2:$K$125,MATCH(5,Prozesse!$T$2:$T$125,0)),"")</f>
        <v>0</v>
      </c>
      <c r="G64" s="12" t="str">
        <f aca="false">IFERROR(INDEX(Prozesse!$O$2:$O$125,MATCH(5,Prozesse!$T$2:$T$125,0)),"")</f>
        <v>Sint Rachel (LBH)</v>
      </c>
    </row>
    <row r="65" customFormat="false" ht="15" hidden="false" customHeight="false" outlineLevel="0" collapsed="false">
      <c r="B65" s="12" t="str">
        <f aca="false">IFERROR(INDEX(Prozesse!$B$2:$B$125,MATCH(6,Prozesse!$T$2:$T$125,0)),"")</f>
        <v>Evaluate and qualify IT demand</v>
      </c>
      <c r="C65" s="12" t="str">
        <f aca="false">IFERROR(INDEX(Prozesse!$D$2:$D$125,MATCH(6,Prozesse!$T$2:$T$125,0)),"")</f>
        <v>CP</v>
      </c>
      <c r="D65" s="12" t="str">
        <f aca="false">IFERROR(INDEX(Prozesse!$H$2:$H$125,MATCH(6,Prozesse!$T$2:$T$125,0)),"")</f>
        <v>Verzögert</v>
      </c>
      <c r="E65" s="13" t="n">
        <f aca="false">IFERROR(INDEX(Prozesse!$I$2:$I$125,MATCH(6,Prozesse!$T$2:$T$125,0)),"")</f>
        <v>1</v>
      </c>
      <c r="F65" s="14" t="n">
        <f aca="false">IFERROR(INDEX(Prozesse!$K$2:$K$125,MATCH(6,Prozesse!$T$2:$T$125,0)),"")</f>
        <v>46142</v>
      </c>
      <c r="G65" s="12" t="str">
        <f aca="false">IFERROR(INDEX(Prozesse!$O$2:$O$125,MATCH(6,Prozesse!$T$2:$T$125,0)),"")</f>
        <v>Mielenz Thomas (LMT)</v>
      </c>
    </row>
    <row r="66" customFormat="false" ht="15" hidden="false" customHeight="false" outlineLevel="0" collapsed="false">
      <c r="B66" s="12" t="str">
        <f aca="false">IFERROR(INDEX(Prozesse!$B$2:$B$125,MATCH(7,Prozesse!$T$2:$T$125,0)),"")</f>
        <v>Handle IT service order</v>
      </c>
      <c r="C66" s="12" t="str">
        <f aca="false">IFERROR(INDEX(Prozesse!$D$2:$D$125,MATCH(7,Prozesse!$T$2:$T$125,0)),"")</f>
        <v>CP</v>
      </c>
      <c r="D66" s="12" t="str">
        <f aca="false">IFERROR(INDEX(Prozesse!$H$2:$H$125,MATCH(7,Prozesse!$T$2:$T$125,0)),"")</f>
        <v>Verzögert</v>
      </c>
      <c r="E66" s="13" t="n">
        <f aca="false">IFERROR(INDEX(Prozesse!$I$2:$I$125,MATCH(7,Prozesse!$T$2:$T$125,0)),"")</f>
        <v>0</v>
      </c>
      <c r="F66" s="14" t="n">
        <f aca="false">IFERROR(INDEX(Prozesse!$K$2:$K$125,MATCH(7,Prozesse!$T$2:$T$125,0)),"")</f>
        <v>46190</v>
      </c>
      <c r="G66" s="12" t="str">
        <f aca="false">IFERROR(INDEX(Prozesse!$O$2:$O$125,MATCH(7,Prozesse!$T$2:$T$125,0)),"")</f>
        <v>Schnurrenberger Christoph (LIS-LIN)</v>
      </c>
    </row>
    <row r="67" customFormat="false" ht="15" hidden="false" customHeight="false" outlineLevel="0" collapsed="false">
      <c r="B67" s="12" t="str">
        <f aca="false">IFERROR(INDEX(Prozesse!$B$2:$B$125,MATCH(8,Prozesse!$T$2:$T$125,0)),"")</f>
        <v>Implement and maintain IT job architecture</v>
      </c>
      <c r="C67" s="12" t="str">
        <f aca="false">IFERROR(INDEX(Prozesse!$D$2:$D$125,MATCH(8,Prozesse!$T$2:$T$125,0)),"")</f>
        <v>SP</v>
      </c>
      <c r="D67" s="12" t="str">
        <f aca="false">IFERROR(INDEX(Prozesse!$H$2:$H$125,MATCH(8,Prozesse!$T$2:$T$125,0)),"")</f>
        <v>Verzögert</v>
      </c>
      <c r="E67" s="13" t="n">
        <f aca="false">IFERROR(INDEX(Prozesse!$I$2:$I$125,MATCH(8,Prozesse!$T$2:$T$125,0)),"")</f>
        <v>0</v>
      </c>
      <c r="F67" s="14" t="n">
        <f aca="false">IFERROR(INDEX(Prozesse!$K$2:$K$125,MATCH(8,Prozesse!$T$2:$T$125,0)),"")</f>
        <v>46173</v>
      </c>
      <c r="G67" s="12" t="str">
        <f aca="false">IFERROR(INDEX(Prozesse!$O$2:$O$125,MATCH(8,Prozesse!$T$2:$T$125,0)),"")</f>
        <v>Rollinger Alexander (LIS)</v>
      </c>
    </row>
    <row r="68" customFormat="false" ht="15" hidden="false" customHeight="false" outlineLevel="0" collapsed="false">
      <c r="B68" s="12" t="str">
        <f aca="false">IFERROR(INDEX(Prozesse!$B$2:$B$125,MATCH(9,Prozesse!$T$2:$T$125,0)),"")</f>
        <v>Maintain IT glossary</v>
      </c>
      <c r="C68" s="12" t="str">
        <f aca="false">IFERROR(INDEX(Prozesse!$D$2:$D$125,MATCH(9,Prozesse!$T$2:$T$125,0)),"")</f>
        <v>MP</v>
      </c>
      <c r="D68" s="12" t="str">
        <f aca="false">IFERROR(INDEX(Prozesse!$H$2:$H$125,MATCH(9,Prozesse!$T$2:$T$125,0)),"")</f>
        <v>Verzögert</v>
      </c>
      <c r="E68" s="13" t="n">
        <f aca="false">IFERROR(INDEX(Prozesse!$I$2:$I$125,MATCH(9,Prozesse!$T$2:$T$125,0)),"")</f>
        <v>0.25</v>
      </c>
      <c r="F68" s="14" t="n">
        <f aca="false">IFERROR(INDEX(Prozesse!$K$2:$K$125,MATCH(9,Prozesse!$T$2:$T$125,0)),"")</f>
        <v>46039</v>
      </c>
      <c r="G68" s="12" t="str">
        <f aca="false">IFERROR(INDEX(Prozesse!$O$2:$O$125,MATCH(9,Prozesse!$T$2:$T$125,0)),"")</f>
        <v>Mielenz Thomas (LMT)</v>
      </c>
    </row>
    <row r="69" customFormat="false" ht="15" hidden="false" customHeight="false" outlineLevel="0" collapsed="false">
      <c r="B69" s="12" t="str">
        <f aca="false">IFERROR(INDEX(Prozesse!$B$2:$B$125,MATCH(10,Prozesse!$T$2:$T$125,0)),"")</f>
        <v>Manage HR4IT service demand</v>
      </c>
      <c r="C69" s="12" t="str">
        <f aca="false">IFERROR(INDEX(Prozesse!$D$2:$D$125,MATCH(10,Prozesse!$T$2:$T$125,0)),"")</f>
        <v>SP</v>
      </c>
      <c r="D69" s="12" t="str">
        <f aca="false">IFERROR(INDEX(Prozesse!$H$2:$H$125,MATCH(10,Prozesse!$T$2:$T$125,0)),"")</f>
        <v>Verzögert</v>
      </c>
      <c r="E69" s="13" t="n">
        <f aca="false">IFERROR(INDEX(Prozesse!$I$2:$I$125,MATCH(10,Prozesse!$T$2:$T$125,0)),"")</f>
        <v>0</v>
      </c>
      <c r="F69" s="14" t="n">
        <f aca="false">IFERROR(INDEX(Prozesse!$K$2:$K$125,MATCH(10,Prozesse!$T$2:$T$125,0)),"")</f>
        <v>46203</v>
      </c>
      <c r="G69" s="12" t="str">
        <f aca="false">IFERROR(INDEX(Prozesse!$O$2:$O$125,MATCH(10,Prozesse!$T$2:$T$125,0)),"")</f>
        <v>Rollinger Alexander (LIS)</v>
      </c>
    </row>
    <row r="70" customFormat="false" ht="15" hidden="false" customHeight="false" outlineLevel="0" collapsed="false">
      <c r="B70" s="12" t="str">
        <f aca="false">IFERROR(INDEX(Prozesse!$B$2:$B$125,MATCH(11,Prozesse!$T$2:$T$125,0)),"")</f>
        <v>Manage IT global orientation programme incl. job shadowing</v>
      </c>
      <c r="C70" s="12" t="str">
        <f aca="false">IFERROR(INDEX(Prozesse!$D$2:$D$125,MATCH(11,Prozesse!$T$2:$T$125,0)),"")</f>
        <v>SP</v>
      </c>
      <c r="D70" s="12" t="str">
        <f aca="false">IFERROR(INDEX(Prozesse!$H$2:$H$125,MATCH(11,Prozesse!$T$2:$T$125,0)),"")</f>
        <v>Verzögert</v>
      </c>
      <c r="E70" s="13" t="n">
        <f aca="false">IFERROR(INDEX(Prozesse!$I$2:$I$125,MATCH(11,Prozesse!$T$2:$T$125,0)),"")</f>
        <v>0</v>
      </c>
      <c r="F70" s="14" t="n">
        <f aca="false">IFERROR(INDEX(Prozesse!$K$2:$K$125,MATCH(11,Prozesse!$T$2:$T$125,0)),"")</f>
        <v>46204</v>
      </c>
      <c r="G70" s="12" t="str">
        <f aca="false">IFERROR(INDEX(Prozesse!$O$2:$O$125,MATCH(11,Prozesse!$T$2:$T$125,0)),"")</f>
        <v>Mielenz Thomas (LMT)</v>
      </c>
    </row>
    <row r="71" customFormat="false" ht="15" hidden="false" customHeight="false" outlineLevel="0" collapsed="false">
      <c r="B71" s="12" t="str">
        <f aca="false">IFERROR(INDEX(Prozesse!$B$2:$B$125,MATCH(12,Prozesse!$T$2:$T$125,0)),"")</f>
        <v>Manage IT knowledge</v>
      </c>
      <c r="C71" s="12" t="str">
        <f aca="false">IFERROR(INDEX(Prozesse!$D$2:$D$125,MATCH(12,Prozesse!$T$2:$T$125,0)),"")</f>
        <v>SP</v>
      </c>
      <c r="D71" s="12" t="str">
        <f aca="false">IFERROR(INDEX(Prozesse!$H$2:$H$125,MATCH(12,Prozesse!$T$2:$T$125,0)),"")</f>
        <v>Verzögert</v>
      </c>
      <c r="E71" s="13" t="n">
        <f aca="false">IFERROR(INDEX(Prozesse!$I$2:$I$125,MATCH(12,Prozesse!$T$2:$T$125,0)),"")</f>
        <v>1</v>
      </c>
      <c r="F71" s="14" t="n">
        <f aca="false">IFERROR(INDEX(Prozesse!$K$2:$K$125,MATCH(12,Prozesse!$T$2:$T$125,0)),"")</f>
        <v>46203</v>
      </c>
      <c r="G71" s="12" t="str">
        <f aca="false">IFERROR(INDEX(Prozesse!$O$2:$O$125,MATCH(12,Prozesse!$T$2:$T$125,0)),"")</f>
        <v>Sint Rachel (LBH)</v>
      </c>
    </row>
    <row r="72" customFormat="false" ht="15" hidden="false" customHeight="false" outlineLevel="0" collapsed="false">
      <c r="B72" s="12" t="str">
        <f aca="false">IFERROR(INDEX(Prozesse!$B$2:$B$125,MATCH(13,Prozesse!$T$2:$T$125,0)),"")</f>
        <v>Manage IT project portfolio</v>
      </c>
      <c r="C72" s="12" t="str">
        <f aca="false">IFERROR(INDEX(Prozesse!$D$2:$D$125,MATCH(13,Prozesse!$T$2:$T$125,0)),"")</f>
        <v>MP</v>
      </c>
      <c r="D72" s="12" t="str">
        <f aca="false">IFERROR(INDEX(Prozesse!$H$2:$H$125,MATCH(13,Prozesse!$T$2:$T$125,0)),"")</f>
        <v>Verzögert</v>
      </c>
      <c r="E72" s="13" t="n">
        <f aca="false">IFERROR(INDEX(Prozesse!$I$2:$I$125,MATCH(13,Prozesse!$T$2:$T$125,0)),"")</f>
        <v>1</v>
      </c>
      <c r="F72" s="14" t="n">
        <f aca="false">IFERROR(INDEX(Prozesse!$K$2:$K$125,MATCH(13,Prozesse!$T$2:$T$125,0)),"")</f>
        <v>46173</v>
      </c>
      <c r="G72" s="12" t="str">
        <f aca="false">IFERROR(INDEX(Prozesse!$O$2:$O$125,MATCH(13,Prozesse!$T$2:$T$125,0)),"")</f>
        <v>Rollinger Alexander (LIS)</v>
      </c>
    </row>
    <row r="73" customFormat="false" ht="15" hidden="false" customHeight="false" outlineLevel="0" collapsed="false">
      <c r="B73" s="12" t="str">
        <f aca="false">IFERROR(INDEX(Prozesse!$B$2:$B$125,MATCH(14,Prozesse!$T$2:$T$125,0)),"")</f>
        <v>Manage IT service provision request</v>
      </c>
      <c r="C73" s="12" t="str">
        <f aca="false">IFERROR(INDEX(Prozesse!$D$2:$D$125,MATCH(14,Prozesse!$T$2:$T$125,0)),"")</f>
        <v>CP</v>
      </c>
      <c r="D73" s="12" t="str">
        <f aca="false">IFERROR(INDEX(Prozesse!$H$2:$H$125,MATCH(14,Prozesse!$T$2:$T$125,0)),"")</f>
        <v>Verzögert</v>
      </c>
      <c r="E73" s="13" t="n">
        <f aca="false">IFERROR(INDEX(Prozesse!$I$2:$I$125,MATCH(14,Prozesse!$T$2:$T$125,0)),"")</f>
        <v>0</v>
      </c>
      <c r="F73" s="14" t="n">
        <f aca="false">IFERROR(INDEX(Prozesse!$K$2:$K$125,MATCH(14,Prozesse!$T$2:$T$125,0)),"")</f>
        <v>46190</v>
      </c>
      <c r="G73" s="12" t="str">
        <f aca="false">IFERROR(INDEX(Prozesse!$O$2:$O$125,MATCH(14,Prozesse!$T$2:$T$125,0)),"")</f>
        <v>Schnurrenberger Christoph (LIS-LIN)</v>
      </c>
    </row>
    <row r="74" customFormat="false" ht="15" hidden="false" customHeight="false" outlineLevel="0" collapsed="false">
      <c r="B74" s="12" t="str">
        <f aca="false">IFERROR(INDEX(Prozesse!$B$2:$B$125,MATCH(15,Prozesse!$T$2:$T$125,0)),"")</f>
        <v>Manage IT skills</v>
      </c>
      <c r="C74" s="12" t="str">
        <f aca="false">IFERROR(INDEX(Prozesse!$D$2:$D$125,MATCH(15,Prozesse!$T$2:$T$125,0)),"")</f>
        <v>SP</v>
      </c>
      <c r="D74" s="12" t="str">
        <f aca="false">IFERROR(INDEX(Prozesse!$H$2:$H$125,MATCH(15,Prozesse!$T$2:$T$125,0)),"")</f>
        <v>Verzögert</v>
      </c>
      <c r="E74" s="13" t="n">
        <f aca="false">IFERROR(INDEX(Prozesse!$I$2:$I$125,MATCH(15,Prozesse!$T$2:$T$125,0)),"")</f>
        <v>0</v>
      </c>
      <c r="F74" s="14" t="n">
        <f aca="false">IFERROR(INDEX(Prozesse!$K$2:$K$125,MATCH(15,Prozesse!$T$2:$T$125,0)),"")</f>
        <v>46568</v>
      </c>
      <c r="G74" s="12" t="str">
        <f aca="false">IFERROR(INDEX(Prozesse!$O$2:$O$125,MATCH(15,Prozesse!$T$2:$T$125,0)),"")</f>
        <v>Mielenz Thomas (LMT)</v>
      </c>
    </row>
  </sheetData>
  <sheetProtection sheet="true" password="e4de"/>
  <dataValidations count="6">
    <dataValidation allowBlank="false" errorStyle="stop" operator="between" showDropDown="false" showErrorMessage="false" showInputMessage="false" sqref="B6" type="list">
      <formula1>Listen!$A$3:$A$6</formula1>
      <formula2>0</formula2>
    </dataValidation>
    <dataValidation allowBlank="false" errorStyle="stop" operator="between" showDropDown="false" showErrorMessage="false" showInputMessage="false" sqref="C6" type="list">
      <formula1>Listen!$B$3:$B$12</formula1>
      <formula2>0</formula2>
    </dataValidation>
    <dataValidation allowBlank="false" errorStyle="stop" operator="between" showDropDown="false" showErrorMessage="false" showInputMessage="false" sqref="D6" type="list">
      <formula1>Listen!$C$3:$C$22</formula1>
      <formula2>0</formula2>
    </dataValidation>
    <dataValidation allowBlank="false" errorStyle="stop" operator="between" showDropDown="false" showErrorMessage="false" showInputMessage="false" sqref="E6" type="list">
      <formula1>Listen!$D$3:$D$7</formula1>
      <formula2>0</formula2>
    </dataValidation>
    <dataValidation allowBlank="false" errorStyle="stop" operator="between" showDropDown="false" showErrorMessage="false" showInputMessage="false" sqref="F6" type="list">
      <formula1>Listen!$E$3:$E$8</formula1>
      <formula2>0</formula2>
    </dataValidation>
    <dataValidation allowBlank="false" errorStyle="stop" operator="between" showDropDown="false" showErrorMessage="false" showInputMessage="false" sqref="G6" type="list">
      <formula1>Listen!$F$3:$F$13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52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30"/>
    <col collapsed="false" customWidth="true" hidden="false" outlineLevel="0" max="7" min="7" style="0" width="7"/>
    <col collapsed="false" customWidth="true" hidden="false" outlineLevel="0" max="8" min="8" style="0" width="15"/>
    <col collapsed="false" customWidth="true" hidden="false" outlineLevel="0" max="11" min="9" style="0" width="11"/>
    <col collapsed="false" customWidth="true" hidden="false" outlineLevel="0" max="12" min="12" style="0" width="10"/>
    <col collapsed="false" customWidth="true" hidden="false" outlineLevel="0" max="13" min="13" style="0" width="15"/>
    <col collapsed="false" customWidth="true" hidden="false" outlineLevel="0" max="15" min="14" style="0" width="24"/>
    <col collapsed="false" customWidth="true" hidden="false" outlineLevel="0" max="16" min="16" style="0" width="30"/>
    <col collapsed="false" customWidth="true" hidden="false" outlineLevel="0" max="17" min="17" style="0" width="10"/>
    <col collapsed="false" customWidth="true" hidden="false" outlineLevel="0" max="18" min="18" style="0" width="16"/>
    <col collapsed="false" customWidth="true" hidden="false" outlineLevel="0" max="19" min="19" style="0" width="8"/>
    <col collapsed="false" customWidth="true" hidden="false" outlineLevel="0" max="20" min="20" style="0" width="7"/>
  </cols>
  <sheetData>
    <row r="1" customFormat="false" ht="15" hidden="false" customHeight="false" outlineLevel="0" collapsed="false">
      <c r="A1" s="15" t="s">
        <v>26</v>
      </c>
      <c r="B1" s="15" t="s">
        <v>20</v>
      </c>
      <c r="C1" s="15" t="s">
        <v>27</v>
      </c>
      <c r="D1" s="15" t="s">
        <v>21</v>
      </c>
      <c r="E1" s="15" t="s">
        <v>28</v>
      </c>
      <c r="F1" s="15" t="s">
        <v>29</v>
      </c>
      <c r="G1" s="15" t="s">
        <v>30</v>
      </c>
      <c r="H1" s="15" t="s">
        <v>22</v>
      </c>
      <c r="I1" s="15" t="s">
        <v>31</v>
      </c>
      <c r="J1" s="15" t="s">
        <v>32</v>
      </c>
      <c r="K1" s="15" t="s">
        <v>24</v>
      </c>
      <c r="L1" s="15" t="s">
        <v>33</v>
      </c>
      <c r="M1" s="15" t="s">
        <v>34</v>
      </c>
      <c r="N1" s="15" t="s">
        <v>35</v>
      </c>
      <c r="O1" s="15" t="s">
        <v>25</v>
      </c>
      <c r="P1" s="15" t="s">
        <v>36</v>
      </c>
      <c r="Q1" s="15" t="s">
        <v>37</v>
      </c>
      <c r="R1" s="15" t="s">
        <v>38</v>
      </c>
      <c r="S1" s="15" t="s">
        <v>39</v>
      </c>
      <c r="T1" s="15" t="s">
        <v>40</v>
      </c>
    </row>
    <row r="2" customFormat="false" ht="15" hidden="false" customHeight="false" outlineLevel="0" collapsed="false">
      <c r="A2" s="16" t="n">
        <v>1</v>
      </c>
      <c r="B2" s="16" t="s">
        <v>41</v>
      </c>
      <c r="C2" s="16" t="s">
        <v>42</v>
      </c>
      <c r="D2" s="16" t="s">
        <v>43</v>
      </c>
      <c r="E2" s="16" t="s">
        <v>44</v>
      </c>
      <c r="F2" s="16" t="s">
        <v>45</v>
      </c>
      <c r="G2" s="16" t="s">
        <v>46</v>
      </c>
      <c r="H2" s="16" t="s">
        <v>47</v>
      </c>
      <c r="I2" s="17" t="n">
        <v>1</v>
      </c>
      <c r="J2" s="18" t="n">
        <v>45870</v>
      </c>
      <c r="K2" s="18" t="n">
        <v>46142</v>
      </c>
      <c r="L2" s="16" t="n">
        <v>195</v>
      </c>
      <c r="M2" s="16" t="s">
        <v>48</v>
      </c>
      <c r="N2" s="16" t="s">
        <v>49</v>
      </c>
      <c r="O2" s="16" t="s">
        <v>50</v>
      </c>
      <c r="P2" s="16" t="s">
        <v>51</v>
      </c>
      <c r="Q2" s="16" t="n">
        <f aca="false">IF(AND(K2&lt;&gt;"",K2&lt;Cockpit!$H$6,H2&lt;&gt;"Abgeschlossen"),1,0)</f>
        <v>1</v>
      </c>
      <c r="R2" s="16" t="n">
        <v>1</v>
      </c>
      <c r="S2" s="16" t="n">
        <f aca="false">IF(AND(OR(Cockpit!$B$6="(Alle)",D2=Cockpit!$B$6),OR(Cockpit!$C$6="(Alle)",E2=Cockpit!$C$6),OR(Cockpit!$D$6="(Alle)",F2=Cockpit!$D$6),OR(Cockpit!$E$6="(Alle)",G2=Cockpit!$E$6),OR(Cockpit!$F$6="(Alle)",H2=Cockpit!$F$6),OR(Cockpit!$G$6="(Alle)",O2=Cockpit!$G$6)),1,0)</f>
        <v>1</v>
      </c>
      <c r="T2" s="16" t="n">
        <f aca="false">IF(S2=1,SUM($S$2:S2),"")</f>
        <v>1</v>
      </c>
    </row>
    <row r="3" customFormat="false" ht="15" hidden="false" customHeight="false" outlineLevel="0" collapsed="false">
      <c r="A3" s="16" t="n">
        <v>2</v>
      </c>
      <c r="B3" s="16" t="s">
        <v>52</v>
      </c>
      <c r="C3" s="16" t="s">
        <v>53</v>
      </c>
      <c r="D3" s="16" t="s">
        <v>43</v>
      </c>
      <c r="E3" s="16" t="s">
        <v>44</v>
      </c>
      <c r="F3" s="16" t="s">
        <v>45</v>
      </c>
      <c r="G3" s="16" t="s">
        <v>54</v>
      </c>
      <c r="H3" s="16" t="s">
        <v>47</v>
      </c>
      <c r="I3" s="17" t="n">
        <v>1</v>
      </c>
      <c r="J3" s="18" t="n">
        <v>45870</v>
      </c>
      <c r="K3" s="18" t="n">
        <v>46112</v>
      </c>
      <c r="L3" s="16" t="n">
        <v>1</v>
      </c>
      <c r="M3" s="16" t="s">
        <v>48</v>
      </c>
      <c r="N3" s="16" t="s">
        <v>55</v>
      </c>
      <c r="O3" s="16" t="s">
        <v>50</v>
      </c>
      <c r="P3" s="16" t="s">
        <v>51</v>
      </c>
      <c r="Q3" s="16" t="n">
        <f aca="false">IF(AND(K3&lt;&gt;"",K3&lt;Cockpit!$H$6,H3&lt;&gt;"Abgeschlossen"),1,0)</f>
        <v>1</v>
      </c>
      <c r="R3" s="16" t="n">
        <v>1</v>
      </c>
      <c r="S3" s="16" t="n">
        <f aca="false">IF(AND(OR(Cockpit!$B$6="(Alle)",D3=Cockpit!$B$6),OR(Cockpit!$C$6="(Alle)",E3=Cockpit!$C$6),OR(Cockpit!$D$6="(Alle)",F3=Cockpit!$D$6),OR(Cockpit!$E$6="(Alle)",G3=Cockpit!$E$6),OR(Cockpit!$F$6="(Alle)",H3=Cockpit!$F$6),OR(Cockpit!$G$6="(Alle)",O3=Cockpit!$G$6)),1,0)</f>
        <v>1</v>
      </c>
      <c r="T3" s="16" t="n">
        <f aca="false">IF(S3=1,SUM($S$2:S3),"")</f>
        <v>2</v>
      </c>
    </row>
    <row r="4" customFormat="false" ht="15" hidden="false" customHeight="false" outlineLevel="0" collapsed="false">
      <c r="A4" s="16" t="n">
        <v>3</v>
      </c>
      <c r="B4" s="16" t="s">
        <v>56</v>
      </c>
      <c r="C4" s="16" t="s">
        <v>57</v>
      </c>
      <c r="D4" s="16" t="s">
        <v>58</v>
      </c>
      <c r="E4" s="16" t="s">
        <v>59</v>
      </c>
      <c r="F4" s="16" t="s">
        <v>60</v>
      </c>
      <c r="G4" s="16" t="s">
        <v>54</v>
      </c>
      <c r="H4" s="16" t="s">
        <v>47</v>
      </c>
      <c r="I4" s="17" t="n">
        <v>0.18</v>
      </c>
      <c r="J4" s="18" t="n">
        <v>45931</v>
      </c>
      <c r="K4" s="18" t="n">
        <v>46387</v>
      </c>
      <c r="L4" s="16" t="n">
        <v>327</v>
      </c>
      <c r="M4" s="16" t="s">
        <v>61</v>
      </c>
      <c r="N4" s="16" t="s">
        <v>62</v>
      </c>
      <c r="O4" s="16" t="s">
        <v>50</v>
      </c>
      <c r="P4" s="16" t="s">
        <v>63</v>
      </c>
      <c r="Q4" s="16" t="n">
        <f aca="false">IF(AND(K4&lt;&gt;"",K4&lt;Cockpit!$H$6,H4&lt;&gt;"Abgeschlossen"),1,0)</f>
        <v>0</v>
      </c>
      <c r="R4" s="16" t="n">
        <v>0</v>
      </c>
      <c r="S4" s="16" t="n">
        <f aca="false">IF(AND(OR(Cockpit!$B$6="(Alle)",D4=Cockpit!$B$6),OR(Cockpit!$C$6="(Alle)",E4=Cockpit!$C$6),OR(Cockpit!$D$6="(Alle)",F4=Cockpit!$D$6),OR(Cockpit!$E$6="(Alle)",G4=Cockpit!$E$6),OR(Cockpit!$F$6="(Alle)",H4=Cockpit!$F$6),OR(Cockpit!$G$6="(Alle)",O4=Cockpit!$G$6)),1,0)</f>
        <v>1</v>
      </c>
      <c r="T4" s="16" t="n">
        <f aca="false">IF(S4=1,SUM($S$2:S4),"")</f>
        <v>3</v>
      </c>
    </row>
    <row r="5" customFormat="false" ht="15" hidden="false" customHeight="false" outlineLevel="0" collapsed="false">
      <c r="A5" s="16" t="n">
        <v>4</v>
      </c>
      <c r="B5" s="16" t="s">
        <v>64</v>
      </c>
      <c r="C5" s="16" t="s">
        <v>65</v>
      </c>
      <c r="D5" s="16" t="s">
        <v>43</v>
      </c>
      <c r="E5" s="16" t="s">
        <v>66</v>
      </c>
      <c r="F5" s="16" t="s">
        <v>67</v>
      </c>
      <c r="G5" s="16" t="s">
        <v>46</v>
      </c>
      <c r="H5" s="16" t="s">
        <v>47</v>
      </c>
      <c r="I5" s="17" t="n">
        <v>0.5</v>
      </c>
      <c r="J5" s="18" t="n">
        <v>46036</v>
      </c>
      <c r="K5" s="18" t="n">
        <v>46195</v>
      </c>
      <c r="L5" s="16" t="n">
        <v>114</v>
      </c>
      <c r="M5" s="16" t="s">
        <v>61</v>
      </c>
      <c r="N5" s="16" t="s">
        <v>68</v>
      </c>
      <c r="O5" s="16" t="s">
        <v>69</v>
      </c>
      <c r="P5" s="16" t="s">
        <v>70</v>
      </c>
      <c r="Q5" s="16" t="n">
        <f aca="false">IF(AND(K5&lt;&gt;"",K5&lt;Cockpit!$H$6,H5&lt;&gt;"Abgeschlossen"),1,0)</f>
        <v>1</v>
      </c>
      <c r="R5" s="16" t="n">
        <v>0</v>
      </c>
      <c r="S5" s="16" t="n">
        <f aca="false">IF(AND(OR(Cockpit!$B$6="(Alle)",D5=Cockpit!$B$6),OR(Cockpit!$C$6="(Alle)",E5=Cockpit!$C$6),OR(Cockpit!$D$6="(Alle)",F5=Cockpit!$D$6),OR(Cockpit!$E$6="(Alle)",G5=Cockpit!$E$6),OR(Cockpit!$F$6="(Alle)",H5=Cockpit!$F$6),OR(Cockpit!$G$6="(Alle)",O5=Cockpit!$G$6)),1,0)</f>
        <v>1</v>
      </c>
      <c r="T5" s="16" t="n">
        <f aca="false">IF(S5=1,SUM($S$2:S5),"")</f>
        <v>4</v>
      </c>
    </row>
    <row r="6" customFormat="false" ht="15" hidden="false" customHeight="false" outlineLevel="0" collapsed="false">
      <c r="A6" s="16" t="n">
        <v>5</v>
      </c>
      <c r="B6" s="16" t="s">
        <v>71</v>
      </c>
      <c r="C6" s="16" t="s">
        <v>71</v>
      </c>
      <c r="D6" s="16" t="s">
        <v>58</v>
      </c>
      <c r="E6" s="16" t="s">
        <v>72</v>
      </c>
      <c r="F6" s="16" t="s">
        <v>71</v>
      </c>
      <c r="G6" s="16" t="s">
        <v>73</v>
      </c>
      <c r="H6" s="16" t="s">
        <v>47</v>
      </c>
      <c r="I6" s="17" t="n">
        <v>0</v>
      </c>
      <c r="J6" s="18"/>
      <c r="K6" s="18"/>
      <c r="L6" s="16"/>
      <c r="M6" s="16" t="s">
        <v>47</v>
      </c>
      <c r="N6" s="16" t="s">
        <v>74</v>
      </c>
      <c r="O6" s="16" t="s">
        <v>75</v>
      </c>
      <c r="P6" s="16" t="s">
        <v>76</v>
      </c>
      <c r="Q6" s="16" t="n">
        <f aca="false">IF(AND(K6&lt;&gt;"",K6&lt;Cockpit!$H$6,H6&lt;&gt;"Abgeschlossen"),1,0)</f>
        <v>0</v>
      </c>
      <c r="R6" s="16" t="n">
        <v>0</v>
      </c>
      <c r="S6" s="16" t="n">
        <f aca="false">IF(AND(OR(Cockpit!$B$6="(Alle)",D6=Cockpit!$B$6),OR(Cockpit!$C$6="(Alle)",E6=Cockpit!$C$6),OR(Cockpit!$D$6="(Alle)",F6=Cockpit!$D$6),OR(Cockpit!$E$6="(Alle)",G6=Cockpit!$E$6),OR(Cockpit!$F$6="(Alle)",H6=Cockpit!$F$6),OR(Cockpit!$G$6="(Alle)",O6=Cockpit!$G$6)),1,0)</f>
        <v>1</v>
      </c>
      <c r="T6" s="16" t="n">
        <f aca="false">IF(S6=1,SUM($S$2:S6),"")</f>
        <v>5</v>
      </c>
    </row>
    <row r="7" customFormat="false" ht="15" hidden="false" customHeight="false" outlineLevel="0" collapsed="false">
      <c r="A7" s="16" t="n">
        <v>6</v>
      </c>
      <c r="B7" s="16" t="s">
        <v>77</v>
      </c>
      <c r="C7" s="16" t="s">
        <v>78</v>
      </c>
      <c r="D7" s="16" t="s">
        <v>43</v>
      </c>
      <c r="E7" s="16" t="s">
        <v>44</v>
      </c>
      <c r="F7" s="16" t="s">
        <v>45</v>
      </c>
      <c r="G7" s="16" t="s">
        <v>54</v>
      </c>
      <c r="H7" s="16" t="s">
        <v>47</v>
      </c>
      <c r="I7" s="17" t="n">
        <v>1</v>
      </c>
      <c r="J7" s="18" t="n">
        <v>45870</v>
      </c>
      <c r="K7" s="18" t="n">
        <v>46142</v>
      </c>
      <c r="L7" s="16" t="n">
        <v>195</v>
      </c>
      <c r="M7" s="16" t="s">
        <v>48</v>
      </c>
      <c r="N7" s="16" t="s">
        <v>55</v>
      </c>
      <c r="O7" s="16" t="s">
        <v>50</v>
      </c>
      <c r="P7" s="16" t="s">
        <v>51</v>
      </c>
      <c r="Q7" s="16" t="n">
        <f aca="false">IF(AND(K7&lt;&gt;"",K7&lt;Cockpit!$H$6,H7&lt;&gt;"Abgeschlossen"),1,0)</f>
        <v>1</v>
      </c>
      <c r="R7" s="16" t="n">
        <v>1</v>
      </c>
      <c r="S7" s="16" t="n">
        <f aca="false">IF(AND(OR(Cockpit!$B$6="(Alle)",D7=Cockpit!$B$6),OR(Cockpit!$C$6="(Alle)",E7=Cockpit!$C$6),OR(Cockpit!$D$6="(Alle)",F7=Cockpit!$D$6),OR(Cockpit!$E$6="(Alle)",G7=Cockpit!$E$6),OR(Cockpit!$F$6="(Alle)",H7=Cockpit!$F$6),OR(Cockpit!$G$6="(Alle)",O7=Cockpit!$G$6)),1,0)</f>
        <v>1</v>
      </c>
      <c r="T7" s="16" t="n">
        <f aca="false">IF(S7=1,SUM($S$2:S7),"")</f>
        <v>6</v>
      </c>
    </row>
    <row r="8" customFormat="false" ht="15" hidden="false" customHeight="false" outlineLevel="0" collapsed="false">
      <c r="A8" s="16" t="n">
        <v>7</v>
      </c>
      <c r="B8" s="16" t="s">
        <v>79</v>
      </c>
      <c r="C8" s="16" t="s">
        <v>80</v>
      </c>
      <c r="D8" s="16" t="s">
        <v>43</v>
      </c>
      <c r="E8" s="16" t="s">
        <v>72</v>
      </c>
      <c r="F8" s="16" t="s">
        <v>81</v>
      </c>
      <c r="G8" s="16" t="s">
        <v>54</v>
      </c>
      <c r="H8" s="16" t="s">
        <v>47</v>
      </c>
      <c r="I8" s="17" t="n">
        <v>0</v>
      </c>
      <c r="J8" s="18" t="n">
        <v>46113</v>
      </c>
      <c r="K8" s="18" t="n">
        <v>46190</v>
      </c>
      <c r="L8" s="16" t="n">
        <v>56</v>
      </c>
      <c r="M8" s="16" t="s">
        <v>47</v>
      </c>
      <c r="N8" s="16" t="s">
        <v>74</v>
      </c>
      <c r="O8" s="16" t="s">
        <v>82</v>
      </c>
      <c r="P8" s="16" t="s">
        <v>74</v>
      </c>
      <c r="Q8" s="16" t="n">
        <f aca="false">IF(AND(K8&lt;&gt;"",K8&lt;Cockpit!$H$6,H8&lt;&gt;"Abgeschlossen"),1,0)</f>
        <v>1</v>
      </c>
      <c r="R8" s="16" t="n">
        <v>0</v>
      </c>
      <c r="S8" s="16" t="n">
        <f aca="false">IF(AND(OR(Cockpit!$B$6="(Alle)",D8=Cockpit!$B$6),OR(Cockpit!$C$6="(Alle)",E8=Cockpit!$C$6),OR(Cockpit!$D$6="(Alle)",F8=Cockpit!$D$6),OR(Cockpit!$E$6="(Alle)",G8=Cockpit!$E$6),OR(Cockpit!$F$6="(Alle)",H8=Cockpit!$F$6),OR(Cockpit!$G$6="(Alle)",O8=Cockpit!$G$6)),1,0)</f>
        <v>1</v>
      </c>
      <c r="T8" s="16" t="n">
        <f aca="false">IF(S8=1,SUM($S$2:S8),"")</f>
        <v>7</v>
      </c>
    </row>
    <row r="9" customFormat="false" ht="15" hidden="false" customHeight="false" outlineLevel="0" collapsed="false">
      <c r="A9" s="16" t="n">
        <v>8</v>
      </c>
      <c r="B9" s="16" t="s">
        <v>83</v>
      </c>
      <c r="C9" s="16" t="s">
        <v>84</v>
      </c>
      <c r="D9" s="16" t="s">
        <v>58</v>
      </c>
      <c r="E9" s="16" t="s">
        <v>59</v>
      </c>
      <c r="F9" s="16" t="s">
        <v>60</v>
      </c>
      <c r="G9" s="16" t="s">
        <v>46</v>
      </c>
      <c r="H9" s="16" t="s">
        <v>47</v>
      </c>
      <c r="I9" s="17" t="n">
        <v>0</v>
      </c>
      <c r="J9" s="18" t="n">
        <v>45946</v>
      </c>
      <c r="K9" s="18" t="n">
        <v>46173</v>
      </c>
      <c r="L9" s="16" t="n">
        <v>162</v>
      </c>
      <c r="M9" s="16" t="s">
        <v>47</v>
      </c>
      <c r="N9" s="16" t="s">
        <v>85</v>
      </c>
      <c r="O9" s="16" t="s">
        <v>86</v>
      </c>
      <c r="P9" s="16" t="s">
        <v>63</v>
      </c>
      <c r="Q9" s="16" t="n">
        <f aca="false">IF(AND(K9&lt;&gt;"",K9&lt;Cockpit!$H$6,H9&lt;&gt;"Abgeschlossen"),1,0)</f>
        <v>1</v>
      </c>
      <c r="R9" s="16" t="n">
        <v>0</v>
      </c>
      <c r="S9" s="16" t="n">
        <f aca="false">IF(AND(OR(Cockpit!$B$6="(Alle)",D9=Cockpit!$B$6),OR(Cockpit!$C$6="(Alle)",E9=Cockpit!$C$6),OR(Cockpit!$D$6="(Alle)",F9=Cockpit!$D$6),OR(Cockpit!$E$6="(Alle)",G9=Cockpit!$E$6),OR(Cockpit!$F$6="(Alle)",H9=Cockpit!$F$6),OR(Cockpit!$G$6="(Alle)",O9=Cockpit!$G$6)),1,0)</f>
        <v>1</v>
      </c>
      <c r="T9" s="16" t="n">
        <f aca="false">IF(S9=1,SUM($S$2:S9),"")</f>
        <v>8</v>
      </c>
    </row>
    <row r="10" customFormat="false" ht="15" hidden="false" customHeight="false" outlineLevel="0" collapsed="false">
      <c r="A10" s="16" t="n">
        <v>9</v>
      </c>
      <c r="B10" s="16" t="s">
        <v>87</v>
      </c>
      <c r="C10" s="16" t="s">
        <v>88</v>
      </c>
      <c r="D10" s="16" t="s">
        <v>89</v>
      </c>
      <c r="E10" s="16" t="s">
        <v>44</v>
      </c>
      <c r="F10" s="16" t="s">
        <v>90</v>
      </c>
      <c r="G10" s="16" t="s">
        <v>54</v>
      </c>
      <c r="H10" s="16" t="s">
        <v>47</v>
      </c>
      <c r="I10" s="17" t="n">
        <v>0.25</v>
      </c>
      <c r="J10" s="18" t="n">
        <v>46029</v>
      </c>
      <c r="K10" s="18" t="n">
        <v>46039</v>
      </c>
      <c r="L10" s="16" t="n">
        <v>8</v>
      </c>
      <c r="M10" s="16" t="s">
        <v>91</v>
      </c>
      <c r="N10" s="16" t="s">
        <v>92</v>
      </c>
      <c r="O10" s="16" t="s">
        <v>50</v>
      </c>
      <c r="P10" s="16" t="s">
        <v>51</v>
      </c>
      <c r="Q10" s="16" t="n">
        <f aca="false">IF(AND(K10&lt;&gt;"",K10&lt;Cockpit!$H$6,H10&lt;&gt;"Abgeschlossen"),1,0)</f>
        <v>1</v>
      </c>
      <c r="R10" s="16" t="n">
        <v>0</v>
      </c>
      <c r="S10" s="16" t="n">
        <f aca="false">IF(AND(OR(Cockpit!$B$6="(Alle)",D10=Cockpit!$B$6),OR(Cockpit!$C$6="(Alle)",E10=Cockpit!$C$6),OR(Cockpit!$D$6="(Alle)",F10=Cockpit!$D$6),OR(Cockpit!$E$6="(Alle)",G10=Cockpit!$E$6),OR(Cockpit!$F$6="(Alle)",H10=Cockpit!$F$6),OR(Cockpit!$G$6="(Alle)",O10=Cockpit!$G$6)),1,0)</f>
        <v>1</v>
      </c>
      <c r="T10" s="16" t="n">
        <f aca="false">IF(S10=1,SUM($S$2:S10),"")</f>
        <v>9</v>
      </c>
    </row>
    <row r="11" customFormat="false" ht="15" hidden="false" customHeight="false" outlineLevel="0" collapsed="false">
      <c r="A11" s="16" t="n">
        <v>10</v>
      </c>
      <c r="B11" s="16" t="s">
        <v>93</v>
      </c>
      <c r="C11" s="16" t="s">
        <v>94</v>
      </c>
      <c r="D11" s="16" t="s">
        <v>58</v>
      </c>
      <c r="E11" s="16" t="s">
        <v>59</v>
      </c>
      <c r="F11" s="16" t="s">
        <v>60</v>
      </c>
      <c r="G11" s="16" t="s">
        <v>46</v>
      </c>
      <c r="H11" s="16" t="s">
        <v>47</v>
      </c>
      <c r="I11" s="17" t="n">
        <v>0</v>
      </c>
      <c r="J11" s="18" t="n">
        <v>45931</v>
      </c>
      <c r="K11" s="18" t="n">
        <v>46203</v>
      </c>
      <c r="L11" s="16" t="n">
        <v>195</v>
      </c>
      <c r="M11" s="16" t="s">
        <v>47</v>
      </c>
      <c r="N11" s="16" t="s">
        <v>85</v>
      </c>
      <c r="O11" s="16" t="s">
        <v>86</v>
      </c>
      <c r="P11" s="16" t="s">
        <v>63</v>
      </c>
      <c r="Q11" s="16" t="n">
        <f aca="false">IF(AND(K11&lt;&gt;"",K11&lt;Cockpit!$H$6,H11&lt;&gt;"Abgeschlossen"),1,0)</f>
        <v>1</v>
      </c>
      <c r="R11" s="16" t="n">
        <v>0</v>
      </c>
      <c r="S11" s="16" t="n">
        <f aca="false">IF(AND(OR(Cockpit!$B$6="(Alle)",D11=Cockpit!$B$6),OR(Cockpit!$C$6="(Alle)",E11=Cockpit!$C$6),OR(Cockpit!$D$6="(Alle)",F11=Cockpit!$D$6),OR(Cockpit!$E$6="(Alle)",G11=Cockpit!$E$6),OR(Cockpit!$F$6="(Alle)",H11=Cockpit!$F$6),OR(Cockpit!$G$6="(Alle)",O11=Cockpit!$G$6)),1,0)</f>
        <v>1</v>
      </c>
      <c r="T11" s="16" t="n">
        <f aca="false">IF(S11=1,SUM($S$2:S11),"")</f>
        <v>10</v>
      </c>
    </row>
    <row r="12" customFormat="false" ht="15" hidden="false" customHeight="false" outlineLevel="0" collapsed="false">
      <c r="A12" s="16" t="n">
        <v>11</v>
      </c>
      <c r="B12" s="16" t="s">
        <v>95</v>
      </c>
      <c r="C12" s="16" t="s">
        <v>96</v>
      </c>
      <c r="D12" s="16" t="s">
        <v>58</v>
      </c>
      <c r="E12" s="16" t="s">
        <v>59</v>
      </c>
      <c r="F12" s="16" t="s">
        <v>60</v>
      </c>
      <c r="G12" s="16" t="s">
        <v>46</v>
      </c>
      <c r="H12" s="16" t="s">
        <v>47</v>
      </c>
      <c r="I12" s="17" t="n">
        <v>0</v>
      </c>
      <c r="J12" s="18" t="n">
        <v>46037</v>
      </c>
      <c r="K12" s="18" t="n">
        <v>46204</v>
      </c>
      <c r="L12" s="16" t="n">
        <v>120</v>
      </c>
      <c r="M12" s="16" t="s">
        <v>47</v>
      </c>
      <c r="N12" s="16" t="s">
        <v>97</v>
      </c>
      <c r="O12" s="16" t="s">
        <v>50</v>
      </c>
      <c r="P12" s="16" t="s">
        <v>63</v>
      </c>
      <c r="Q12" s="16" t="n">
        <f aca="false">IF(AND(K12&lt;&gt;"",K12&lt;Cockpit!$H$6,H12&lt;&gt;"Abgeschlossen"),1,0)</f>
        <v>1</v>
      </c>
      <c r="R12" s="16" t="n">
        <v>0</v>
      </c>
      <c r="S12" s="16" t="n">
        <f aca="false">IF(AND(OR(Cockpit!$B$6="(Alle)",D12=Cockpit!$B$6),OR(Cockpit!$C$6="(Alle)",E12=Cockpit!$C$6),OR(Cockpit!$D$6="(Alle)",F12=Cockpit!$D$6),OR(Cockpit!$E$6="(Alle)",G12=Cockpit!$E$6),OR(Cockpit!$F$6="(Alle)",H12=Cockpit!$F$6),OR(Cockpit!$G$6="(Alle)",O12=Cockpit!$G$6)),1,0)</f>
        <v>1</v>
      </c>
      <c r="T12" s="16" t="n">
        <f aca="false">IF(S12=1,SUM($S$2:S12),"")</f>
        <v>11</v>
      </c>
    </row>
    <row r="13" customFormat="false" ht="15" hidden="false" customHeight="false" outlineLevel="0" collapsed="false">
      <c r="A13" s="16" t="n">
        <v>12</v>
      </c>
      <c r="B13" s="16" t="s">
        <v>98</v>
      </c>
      <c r="C13" s="16" t="s">
        <v>98</v>
      </c>
      <c r="D13" s="16" t="s">
        <v>58</v>
      </c>
      <c r="E13" s="16" t="s">
        <v>72</v>
      </c>
      <c r="F13" s="16" t="s">
        <v>98</v>
      </c>
      <c r="G13" s="16" t="s">
        <v>73</v>
      </c>
      <c r="H13" s="16" t="s">
        <v>47</v>
      </c>
      <c r="I13" s="17" t="n">
        <v>1</v>
      </c>
      <c r="J13" s="18" t="n">
        <v>46042</v>
      </c>
      <c r="K13" s="18" t="n">
        <v>46203</v>
      </c>
      <c r="L13" s="16" t="n">
        <v>116</v>
      </c>
      <c r="M13" s="16" t="s">
        <v>48</v>
      </c>
      <c r="N13" s="16" t="s">
        <v>99</v>
      </c>
      <c r="O13" s="16" t="s">
        <v>75</v>
      </c>
      <c r="P13" s="16" t="s">
        <v>76</v>
      </c>
      <c r="Q13" s="16" t="n">
        <f aca="false">IF(AND(K13&lt;&gt;"",K13&lt;Cockpit!$H$6,H13&lt;&gt;"Abgeschlossen"),1,0)</f>
        <v>1</v>
      </c>
      <c r="R13" s="16" t="n">
        <v>1</v>
      </c>
      <c r="S13" s="16" t="n">
        <f aca="false">IF(AND(OR(Cockpit!$B$6="(Alle)",D13=Cockpit!$B$6),OR(Cockpit!$C$6="(Alle)",E13=Cockpit!$C$6),OR(Cockpit!$D$6="(Alle)",F13=Cockpit!$D$6),OR(Cockpit!$E$6="(Alle)",G13=Cockpit!$E$6),OR(Cockpit!$F$6="(Alle)",H13=Cockpit!$F$6),OR(Cockpit!$G$6="(Alle)",O13=Cockpit!$G$6)),1,0)</f>
        <v>1</v>
      </c>
      <c r="T13" s="16" t="n">
        <f aca="false">IF(S13=1,SUM($S$2:S13),"")</f>
        <v>12</v>
      </c>
    </row>
    <row r="14" customFormat="false" ht="15" hidden="false" customHeight="false" outlineLevel="0" collapsed="false">
      <c r="A14" s="16" t="n">
        <v>13</v>
      </c>
      <c r="B14" s="16" t="s">
        <v>100</v>
      </c>
      <c r="C14" s="16" t="s">
        <v>101</v>
      </c>
      <c r="D14" s="16" t="s">
        <v>89</v>
      </c>
      <c r="E14" s="16" t="s">
        <v>102</v>
      </c>
      <c r="F14" s="16" t="s">
        <v>103</v>
      </c>
      <c r="G14" s="16" t="s">
        <v>54</v>
      </c>
      <c r="H14" s="16" t="s">
        <v>47</v>
      </c>
      <c r="I14" s="17" t="n">
        <v>1</v>
      </c>
      <c r="J14" s="18" t="n">
        <v>45971</v>
      </c>
      <c r="K14" s="18" t="n">
        <v>46173</v>
      </c>
      <c r="L14" s="16" t="n">
        <v>145</v>
      </c>
      <c r="M14" s="16" t="s">
        <v>48</v>
      </c>
      <c r="N14" s="16" t="s">
        <v>104</v>
      </c>
      <c r="O14" s="16" t="s">
        <v>86</v>
      </c>
      <c r="P14" s="16" t="s">
        <v>105</v>
      </c>
      <c r="Q14" s="16" t="n">
        <f aca="false">IF(AND(K14&lt;&gt;"",K14&lt;Cockpit!$H$6,H14&lt;&gt;"Abgeschlossen"),1,0)</f>
        <v>1</v>
      </c>
      <c r="R14" s="16" t="n">
        <v>0</v>
      </c>
      <c r="S14" s="16" t="n">
        <f aca="false">IF(AND(OR(Cockpit!$B$6="(Alle)",D14=Cockpit!$B$6),OR(Cockpit!$C$6="(Alle)",E14=Cockpit!$C$6),OR(Cockpit!$D$6="(Alle)",F14=Cockpit!$D$6),OR(Cockpit!$E$6="(Alle)",G14=Cockpit!$E$6),OR(Cockpit!$F$6="(Alle)",H14=Cockpit!$F$6),OR(Cockpit!$G$6="(Alle)",O14=Cockpit!$G$6)),1,0)</f>
        <v>1</v>
      </c>
      <c r="T14" s="16" t="n">
        <f aca="false">IF(S14=1,SUM($S$2:S14),"")</f>
        <v>13</v>
      </c>
    </row>
    <row r="15" customFormat="false" ht="15" hidden="false" customHeight="false" outlineLevel="0" collapsed="false">
      <c r="A15" s="16" t="n">
        <v>14</v>
      </c>
      <c r="B15" s="16" t="s">
        <v>106</v>
      </c>
      <c r="C15" s="16" t="s">
        <v>107</v>
      </c>
      <c r="D15" s="16" t="s">
        <v>43</v>
      </c>
      <c r="E15" s="16" t="s">
        <v>72</v>
      </c>
      <c r="F15" s="16" t="s">
        <v>81</v>
      </c>
      <c r="G15" s="16" t="s">
        <v>54</v>
      </c>
      <c r="H15" s="16" t="s">
        <v>47</v>
      </c>
      <c r="I15" s="17" t="n">
        <v>0</v>
      </c>
      <c r="J15" s="18" t="n">
        <v>46113</v>
      </c>
      <c r="K15" s="18" t="n">
        <v>46190</v>
      </c>
      <c r="L15" s="16" t="n">
        <v>56</v>
      </c>
      <c r="M15" s="16" t="s">
        <v>47</v>
      </c>
      <c r="N15" s="16" t="s">
        <v>74</v>
      </c>
      <c r="O15" s="16" t="s">
        <v>82</v>
      </c>
      <c r="P15" s="16" t="s">
        <v>74</v>
      </c>
      <c r="Q15" s="16" t="n">
        <f aca="false">IF(AND(K15&lt;&gt;"",K15&lt;Cockpit!$H$6,H15&lt;&gt;"Abgeschlossen"),1,0)</f>
        <v>1</v>
      </c>
      <c r="R15" s="16" t="n">
        <v>0</v>
      </c>
      <c r="S15" s="16" t="n">
        <f aca="false">IF(AND(OR(Cockpit!$B$6="(Alle)",D15=Cockpit!$B$6),OR(Cockpit!$C$6="(Alle)",E15=Cockpit!$C$6),OR(Cockpit!$D$6="(Alle)",F15=Cockpit!$D$6),OR(Cockpit!$E$6="(Alle)",G15=Cockpit!$E$6),OR(Cockpit!$F$6="(Alle)",H15=Cockpit!$F$6),OR(Cockpit!$G$6="(Alle)",O15=Cockpit!$G$6)),1,0)</f>
        <v>1</v>
      </c>
      <c r="T15" s="16" t="n">
        <f aca="false">IF(S15=1,SUM($S$2:S15),"")</f>
        <v>14</v>
      </c>
    </row>
    <row r="16" customFormat="false" ht="15" hidden="false" customHeight="false" outlineLevel="0" collapsed="false">
      <c r="A16" s="16" t="n">
        <v>15</v>
      </c>
      <c r="B16" s="16" t="s">
        <v>108</v>
      </c>
      <c r="C16" s="16" t="s">
        <v>109</v>
      </c>
      <c r="D16" s="16" t="s">
        <v>58</v>
      </c>
      <c r="E16" s="16" t="s">
        <v>59</v>
      </c>
      <c r="F16" s="16" t="s">
        <v>60</v>
      </c>
      <c r="G16" s="16" t="s">
        <v>46</v>
      </c>
      <c r="H16" s="16" t="s">
        <v>47</v>
      </c>
      <c r="I16" s="17" t="n">
        <v>0</v>
      </c>
      <c r="J16" s="18" t="n">
        <v>46023</v>
      </c>
      <c r="K16" s="18" t="n">
        <v>46568</v>
      </c>
      <c r="L16" s="16" t="n">
        <v>390</v>
      </c>
      <c r="M16" s="16" t="s">
        <v>47</v>
      </c>
      <c r="N16" s="16" t="s">
        <v>97</v>
      </c>
      <c r="O16" s="16" t="s">
        <v>50</v>
      </c>
      <c r="P16" s="16" t="s">
        <v>63</v>
      </c>
      <c r="Q16" s="16" t="n">
        <f aca="false">IF(AND(K16&lt;&gt;"",K16&lt;Cockpit!$H$6,H16&lt;&gt;"Abgeschlossen"),1,0)</f>
        <v>0</v>
      </c>
      <c r="R16" s="16" t="n">
        <v>0</v>
      </c>
      <c r="S16" s="16" t="n">
        <f aca="false">IF(AND(OR(Cockpit!$B$6="(Alle)",D16=Cockpit!$B$6),OR(Cockpit!$C$6="(Alle)",E16=Cockpit!$C$6),OR(Cockpit!$D$6="(Alle)",F16=Cockpit!$D$6),OR(Cockpit!$E$6="(Alle)",G16=Cockpit!$E$6),OR(Cockpit!$F$6="(Alle)",H16=Cockpit!$F$6),OR(Cockpit!$G$6="(Alle)",O16=Cockpit!$G$6)),1,0)</f>
        <v>1</v>
      </c>
      <c r="T16" s="16" t="n">
        <f aca="false">IF(S16=1,SUM($S$2:S16),"")</f>
        <v>15</v>
      </c>
    </row>
    <row r="17" customFormat="false" ht="15" hidden="false" customHeight="false" outlineLevel="0" collapsed="false">
      <c r="A17" s="16" t="n">
        <v>16</v>
      </c>
      <c r="B17" s="16" t="s">
        <v>110</v>
      </c>
      <c r="C17" s="16" t="s">
        <v>110</v>
      </c>
      <c r="D17" s="16" t="s">
        <v>89</v>
      </c>
      <c r="E17" s="16" t="s">
        <v>44</v>
      </c>
      <c r="F17" s="16" t="s">
        <v>110</v>
      </c>
      <c r="G17" s="16" t="s">
        <v>73</v>
      </c>
      <c r="H17" s="16" t="s">
        <v>47</v>
      </c>
      <c r="I17" s="17" t="n">
        <v>0</v>
      </c>
      <c r="J17" s="18" t="n">
        <v>46113</v>
      </c>
      <c r="K17" s="18" t="n">
        <v>46379</v>
      </c>
      <c r="L17" s="16" t="n">
        <v>191</v>
      </c>
      <c r="M17" s="16" t="s">
        <v>47</v>
      </c>
      <c r="N17" s="16" t="s">
        <v>92</v>
      </c>
      <c r="O17" s="16" t="s">
        <v>50</v>
      </c>
      <c r="P17" s="16" t="s">
        <v>111</v>
      </c>
      <c r="Q17" s="16" t="n">
        <f aca="false">IF(AND(K17&lt;&gt;"",K17&lt;Cockpit!$H$6,H17&lt;&gt;"Abgeschlossen"),1,0)</f>
        <v>0</v>
      </c>
      <c r="R17" s="16" t="n">
        <v>0</v>
      </c>
      <c r="S17" s="16" t="n">
        <f aca="false">IF(AND(OR(Cockpit!$B$6="(Alle)",D17=Cockpit!$B$6),OR(Cockpit!$C$6="(Alle)",E17=Cockpit!$C$6),OR(Cockpit!$D$6="(Alle)",F17=Cockpit!$D$6),OR(Cockpit!$E$6="(Alle)",G17=Cockpit!$E$6),OR(Cockpit!$F$6="(Alle)",H17=Cockpit!$F$6),OR(Cockpit!$G$6="(Alle)",O17=Cockpit!$G$6)),1,0)</f>
        <v>1</v>
      </c>
      <c r="T17" s="16" t="n">
        <f aca="false">IF(S17=1,SUM($S$2:S17),"")</f>
        <v>16</v>
      </c>
    </row>
    <row r="18" customFormat="false" ht="15" hidden="false" customHeight="false" outlineLevel="0" collapsed="false">
      <c r="A18" s="16" t="n">
        <v>17</v>
      </c>
      <c r="B18" s="16" t="s">
        <v>112</v>
      </c>
      <c r="C18" s="16" t="s">
        <v>113</v>
      </c>
      <c r="D18" s="16" t="s">
        <v>89</v>
      </c>
      <c r="E18" s="16" t="s">
        <v>72</v>
      </c>
      <c r="F18" s="16" t="s">
        <v>114</v>
      </c>
      <c r="G18" s="16" t="s">
        <v>54</v>
      </c>
      <c r="H18" s="16" t="s">
        <v>47</v>
      </c>
      <c r="I18" s="17" t="n">
        <v>0</v>
      </c>
      <c r="J18" s="18" t="n">
        <v>45931</v>
      </c>
      <c r="K18" s="18" t="n">
        <v>46052</v>
      </c>
      <c r="L18" s="16" t="n">
        <v>88</v>
      </c>
      <c r="M18" s="16" t="s">
        <v>47</v>
      </c>
      <c r="N18" s="16" t="s">
        <v>99</v>
      </c>
      <c r="O18" s="16" t="s">
        <v>115</v>
      </c>
      <c r="P18" s="16" t="s">
        <v>116</v>
      </c>
      <c r="Q18" s="16" t="n">
        <f aca="false">IF(AND(K18&lt;&gt;"",K18&lt;Cockpit!$H$6,H18&lt;&gt;"Abgeschlossen"),1,0)</f>
        <v>1</v>
      </c>
      <c r="R18" s="16" t="n">
        <v>0</v>
      </c>
      <c r="S18" s="16" t="n">
        <f aca="false">IF(AND(OR(Cockpit!$B$6="(Alle)",D18=Cockpit!$B$6),OR(Cockpit!$C$6="(Alle)",E18=Cockpit!$C$6),OR(Cockpit!$D$6="(Alle)",F18=Cockpit!$D$6),OR(Cockpit!$E$6="(Alle)",G18=Cockpit!$E$6),OR(Cockpit!$F$6="(Alle)",H18=Cockpit!$F$6),OR(Cockpit!$G$6="(Alle)",O18=Cockpit!$G$6)),1,0)</f>
        <v>1</v>
      </c>
      <c r="T18" s="16" t="n">
        <f aca="false">IF(S18=1,SUM($S$2:S18),"")</f>
        <v>17</v>
      </c>
    </row>
    <row r="19" customFormat="false" ht="15" hidden="false" customHeight="false" outlineLevel="0" collapsed="false">
      <c r="A19" s="16" t="n">
        <v>18</v>
      </c>
      <c r="B19" s="16" t="s">
        <v>117</v>
      </c>
      <c r="C19" s="16" t="s">
        <v>117</v>
      </c>
      <c r="D19" s="16" t="s">
        <v>89</v>
      </c>
      <c r="E19" s="16" t="s">
        <v>44</v>
      </c>
      <c r="F19" s="16" t="s">
        <v>117</v>
      </c>
      <c r="G19" s="16" t="s">
        <v>73</v>
      </c>
      <c r="H19" s="16" t="s">
        <v>47</v>
      </c>
      <c r="I19" s="17" t="n">
        <v>0</v>
      </c>
      <c r="J19" s="18" t="n">
        <v>45946</v>
      </c>
      <c r="K19" s="18" t="n">
        <v>46219</v>
      </c>
      <c r="L19" s="16" t="n">
        <v>195.85</v>
      </c>
      <c r="M19" s="16" t="s">
        <v>47</v>
      </c>
      <c r="N19" s="16" t="s">
        <v>74</v>
      </c>
      <c r="O19" s="16" t="s">
        <v>74</v>
      </c>
      <c r="P19" s="16" t="s">
        <v>74</v>
      </c>
      <c r="Q19" s="16" t="n">
        <f aca="false">IF(AND(K19&lt;&gt;"",K19&lt;Cockpit!$H$6,H19&lt;&gt;"Abgeschlossen"),1,0)</f>
        <v>1</v>
      </c>
      <c r="R19" s="16" t="n">
        <v>0</v>
      </c>
      <c r="S19" s="16" t="n">
        <f aca="false">IF(AND(OR(Cockpit!$B$6="(Alle)",D19=Cockpit!$B$6),OR(Cockpit!$C$6="(Alle)",E19=Cockpit!$C$6),OR(Cockpit!$D$6="(Alle)",F19=Cockpit!$D$6),OR(Cockpit!$E$6="(Alle)",G19=Cockpit!$E$6),OR(Cockpit!$F$6="(Alle)",H19=Cockpit!$F$6),OR(Cockpit!$G$6="(Alle)",O19=Cockpit!$G$6)),1,0)</f>
        <v>1</v>
      </c>
      <c r="T19" s="16" t="n">
        <f aca="false">IF(S19=1,SUM($S$2:S19),"")</f>
        <v>18</v>
      </c>
    </row>
    <row r="20" customFormat="false" ht="15" hidden="false" customHeight="false" outlineLevel="0" collapsed="false">
      <c r="A20" s="16" t="n">
        <v>19</v>
      </c>
      <c r="B20" s="16" t="s">
        <v>118</v>
      </c>
      <c r="C20" s="16" t="s">
        <v>119</v>
      </c>
      <c r="D20" s="16" t="s">
        <v>58</v>
      </c>
      <c r="E20" s="16" t="s">
        <v>59</v>
      </c>
      <c r="F20" s="16" t="s">
        <v>60</v>
      </c>
      <c r="G20" s="16" t="s">
        <v>46</v>
      </c>
      <c r="H20" s="16" t="s">
        <v>47</v>
      </c>
      <c r="I20" s="17" t="n">
        <v>0</v>
      </c>
      <c r="J20" s="18" t="n">
        <v>46113</v>
      </c>
      <c r="K20" s="18" t="n">
        <v>46388</v>
      </c>
      <c r="L20" s="16" t="n">
        <v>198</v>
      </c>
      <c r="M20" s="16" t="s">
        <v>47</v>
      </c>
      <c r="N20" s="16" t="s">
        <v>97</v>
      </c>
      <c r="O20" s="16" t="s">
        <v>50</v>
      </c>
      <c r="P20" s="16" t="s">
        <v>63</v>
      </c>
      <c r="Q20" s="16" t="n">
        <f aca="false">IF(AND(K20&lt;&gt;"",K20&lt;Cockpit!$H$6,H20&lt;&gt;"Abgeschlossen"),1,0)</f>
        <v>0</v>
      </c>
      <c r="R20" s="16" t="n">
        <v>0</v>
      </c>
      <c r="S20" s="16" t="n">
        <f aca="false">IF(AND(OR(Cockpit!$B$6="(Alle)",D20=Cockpit!$B$6),OR(Cockpit!$C$6="(Alle)",E20=Cockpit!$C$6),OR(Cockpit!$D$6="(Alle)",F20=Cockpit!$D$6),OR(Cockpit!$E$6="(Alle)",G20=Cockpit!$E$6),OR(Cockpit!$F$6="(Alle)",H20=Cockpit!$F$6),OR(Cockpit!$G$6="(Alle)",O20=Cockpit!$G$6)),1,0)</f>
        <v>1</v>
      </c>
      <c r="T20" s="16" t="n">
        <f aca="false">IF(S20=1,SUM($S$2:S20),"")</f>
        <v>19</v>
      </c>
    </row>
    <row r="21" customFormat="false" ht="15" hidden="false" customHeight="false" outlineLevel="0" collapsed="false">
      <c r="A21" s="16" t="n">
        <v>20</v>
      </c>
      <c r="B21" s="16" t="s">
        <v>120</v>
      </c>
      <c r="C21" s="16" t="s">
        <v>121</v>
      </c>
      <c r="D21" s="16" t="s">
        <v>43</v>
      </c>
      <c r="E21" s="16" t="s">
        <v>72</v>
      </c>
      <c r="F21" s="16" t="s">
        <v>122</v>
      </c>
      <c r="G21" s="16" t="s">
        <v>54</v>
      </c>
      <c r="H21" s="16" t="s">
        <v>47</v>
      </c>
      <c r="I21" s="17" t="n">
        <v>0.21</v>
      </c>
      <c r="J21" s="18" t="n">
        <v>45945</v>
      </c>
      <c r="K21" s="18" t="n">
        <v>46203</v>
      </c>
      <c r="L21" s="16" t="n">
        <v>185</v>
      </c>
      <c r="M21" s="16" t="s">
        <v>47</v>
      </c>
      <c r="N21" s="16" t="s">
        <v>123</v>
      </c>
      <c r="O21" s="16" t="s">
        <v>75</v>
      </c>
      <c r="P21" s="16" t="s">
        <v>76</v>
      </c>
      <c r="Q21" s="16" t="n">
        <f aca="false">IF(AND(K21&lt;&gt;"",K21&lt;Cockpit!$H$6,H21&lt;&gt;"Abgeschlossen"),1,0)</f>
        <v>1</v>
      </c>
      <c r="R21" s="16" t="n">
        <v>0</v>
      </c>
      <c r="S21" s="16" t="n">
        <f aca="false">IF(AND(OR(Cockpit!$B$6="(Alle)",D21=Cockpit!$B$6),OR(Cockpit!$C$6="(Alle)",E21=Cockpit!$C$6),OR(Cockpit!$D$6="(Alle)",F21=Cockpit!$D$6),OR(Cockpit!$E$6="(Alle)",G21=Cockpit!$E$6),OR(Cockpit!$F$6="(Alle)",H21=Cockpit!$F$6),OR(Cockpit!$G$6="(Alle)",O21=Cockpit!$G$6)),1,0)</f>
        <v>1</v>
      </c>
      <c r="T21" s="16" t="n">
        <f aca="false">IF(S21=1,SUM($S$2:S21),"")</f>
        <v>20</v>
      </c>
    </row>
    <row r="22" customFormat="false" ht="15" hidden="false" customHeight="false" outlineLevel="0" collapsed="false">
      <c r="A22" s="16" t="n">
        <v>21</v>
      </c>
      <c r="B22" s="16" t="s">
        <v>124</v>
      </c>
      <c r="C22" s="16" t="s">
        <v>125</v>
      </c>
      <c r="D22" s="16" t="s">
        <v>58</v>
      </c>
      <c r="E22" s="16" t="s">
        <v>59</v>
      </c>
      <c r="F22" s="16" t="s">
        <v>60</v>
      </c>
      <c r="G22" s="16" t="s">
        <v>46</v>
      </c>
      <c r="H22" s="16" t="s">
        <v>47</v>
      </c>
      <c r="I22" s="17" t="n">
        <v>0</v>
      </c>
      <c r="J22" s="18" t="n">
        <v>45931</v>
      </c>
      <c r="K22" s="18" t="n">
        <v>46387</v>
      </c>
      <c r="L22" s="16" t="n">
        <v>327</v>
      </c>
      <c r="M22" s="16" t="s">
        <v>47</v>
      </c>
      <c r="N22" s="16" t="s">
        <v>62</v>
      </c>
      <c r="O22" s="16" t="s">
        <v>50</v>
      </c>
      <c r="P22" s="16" t="s">
        <v>63</v>
      </c>
      <c r="Q22" s="16" t="n">
        <f aca="false">IF(AND(K22&lt;&gt;"",K22&lt;Cockpit!$H$6,H22&lt;&gt;"Abgeschlossen"),1,0)</f>
        <v>0</v>
      </c>
      <c r="R22" s="16" t="n">
        <v>0</v>
      </c>
      <c r="S22" s="16" t="n">
        <f aca="false">IF(AND(OR(Cockpit!$B$6="(Alle)",D22=Cockpit!$B$6),OR(Cockpit!$C$6="(Alle)",E22=Cockpit!$C$6),OR(Cockpit!$D$6="(Alle)",F22=Cockpit!$D$6),OR(Cockpit!$E$6="(Alle)",G22=Cockpit!$E$6),OR(Cockpit!$F$6="(Alle)",H22=Cockpit!$F$6),OR(Cockpit!$G$6="(Alle)",O22=Cockpit!$G$6)),1,0)</f>
        <v>1</v>
      </c>
      <c r="T22" s="16" t="n">
        <f aca="false">IF(S22=1,SUM($S$2:S22),"")</f>
        <v>21</v>
      </c>
    </row>
    <row r="23" customFormat="false" ht="15" hidden="false" customHeight="false" outlineLevel="0" collapsed="false">
      <c r="A23" s="16" t="n">
        <v>22</v>
      </c>
      <c r="B23" s="16" t="s">
        <v>126</v>
      </c>
      <c r="C23" s="16" t="s">
        <v>127</v>
      </c>
      <c r="D23" s="16" t="s">
        <v>43</v>
      </c>
      <c r="E23" s="16" t="s">
        <v>44</v>
      </c>
      <c r="F23" s="16" t="s">
        <v>45</v>
      </c>
      <c r="G23" s="16" t="s">
        <v>54</v>
      </c>
      <c r="H23" s="16" t="s">
        <v>47</v>
      </c>
      <c r="I23" s="17" t="n">
        <v>1</v>
      </c>
      <c r="J23" s="18" t="n">
        <v>45870</v>
      </c>
      <c r="K23" s="18" t="n">
        <v>46112</v>
      </c>
      <c r="L23" s="16" t="n">
        <v>3</v>
      </c>
      <c r="M23" s="16" t="s">
        <v>48</v>
      </c>
      <c r="N23" s="16" t="s">
        <v>55</v>
      </c>
      <c r="O23" s="16" t="s">
        <v>50</v>
      </c>
      <c r="P23" s="16" t="s">
        <v>51</v>
      </c>
      <c r="Q23" s="16" t="n">
        <f aca="false">IF(AND(K23&lt;&gt;"",K23&lt;Cockpit!$H$6,H23&lt;&gt;"Abgeschlossen"),1,0)</f>
        <v>1</v>
      </c>
      <c r="R23" s="16" t="n">
        <v>1</v>
      </c>
      <c r="S23" s="16" t="n">
        <f aca="false">IF(AND(OR(Cockpit!$B$6="(Alle)",D23=Cockpit!$B$6),OR(Cockpit!$C$6="(Alle)",E23=Cockpit!$C$6),OR(Cockpit!$D$6="(Alle)",F23=Cockpit!$D$6),OR(Cockpit!$E$6="(Alle)",G23=Cockpit!$E$6),OR(Cockpit!$F$6="(Alle)",H23=Cockpit!$F$6),OR(Cockpit!$G$6="(Alle)",O23=Cockpit!$G$6)),1,0)</f>
        <v>1</v>
      </c>
      <c r="T23" s="16" t="n">
        <f aca="false">IF(S23=1,SUM($S$2:S23),"")</f>
        <v>22</v>
      </c>
    </row>
    <row r="24" customFormat="false" ht="15" hidden="false" customHeight="false" outlineLevel="0" collapsed="false">
      <c r="A24" s="16" t="n">
        <v>23</v>
      </c>
      <c r="B24" s="16" t="s">
        <v>128</v>
      </c>
      <c r="C24" s="16" t="s">
        <v>129</v>
      </c>
      <c r="D24" s="16" t="s">
        <v>43</v>
      </c>
      <c r="E24" s="16" t="s">
        <v>66</v>
      </c>
      <c r="F24" s="16" t="s">
        <v>67</v>
      </c>
      <c r="G24" s="16" t="s">
        <v>46</v>
      </c>
      <c r="H24" s="16" t="s">
        <v>47</v>
      </c>
      <c r="I24" s="17" t="n">
        <v>1</v>
      </c>
      <c r="J24" s="18" t="n">
        <v>45931</v>
      </c>
      <c r="K24" s="18" t="n">
        <v>46142</v>
      </c>
      <c r="L24" s="16" t="n">
        <v>152</v>
      </c>
      <c r="M24" s="16" t="s">
        <v>48</v>
      </c>
      <c r="N24" s="16" t="s">
        <v>130</v>
      </c>
      <c r="O24" s="16" t="s">
        <v>115</v>
      </c>
      <c r="P24" s="16" t="s">
        <v>70</v>
      </c>
      <c r="Q24" s="16" t="n">
        <f aca="false">IF(AND(K24&lt;&gt;"",K24&lt;Cockpit!$H$6,H24&lt;&gt;"Abgeschlossen"),1,0)</f>
        <v>1</v>
      </c>
      <c r="R24" s="16" t="n">
        <v>1</v>
      </c>
      <c r="S24" s="16" t="n">
        <f aca="false">IF(AND(OR(Cockpit!$B$6="(Alle)",D24=Cockpit!$B$6),OR(Cockpit!$C$6="(Alle)",E24=Cockpit!$C$6),OR(Cockpit!$D$6="(Alle)",F24=Cockpit!$D$6),OR(Cockpit!$E$6="(Alle)",G24=Cockpit!$E$6),OR(Cockpit!$F$6="(Alle)",H24=Cockpit!$F$6),OR(Cockpit!$G$6="(Alle)",O24=Cockpit!$G$6)),1,0)</f>
        <v>1</v>
      </c>
      <c r="T24" s="16" t="n">
        <f aca="false">IF(S24=1,SUM($S$2:S24),"")</f>
        <v>23</v>
      </c>
    </row>
    <row r="25" customFormat="false" ht="15" hidden="false" customHeight="false" outlineLevel="0" collapsed="false">
      <c r="A25" s="16" t="n">
        <v>24</v>
      </c>
      <c r="B25" s="16" t="s">
        <v>45</v>
      </c>
      <c r="C25" s="16" t="s">
        <v>45</v>
      </c>
      <c r="D25" s="16" t="s">
        <v>43</v>
      </c>
      <c r="E25" s="16" t="s">
        <v>44</v>
      </c>
      <c r="F25" s="16" t="s">
        <v>45</v>
      </c>
      <c r="G25" s="16" t="s">
        <v>73</v>
      </c>
      <c r="H25" s="16" t="s">
        <v>47</v>
      </c>
      <c r="I25" s="17" t="n">
        <v>1</v>
      </c>
      <c r="J25" s="18" t="n">
        <v>45870</v>
      </c>
      <c r="K25" s="18" t="n">
        <v>46142</v>
      </c>
      <c r="L25" s="16" t="n">
        <v>195</v>
      </c>
      <c r="M25" s="16" t="s">
        <v>48</v>
      </c>
      <c r="N25" s="16" t="s">
        <v>55</v>
      </c>
      <c r="O25" s="16" t="s">
        <v>50</v>
      </c>
      <c r="P25" s="16" t="s">
        <v>51</v>
      </c>
      <c r="Q25" s="16" t="n">
        <f aca="false">IF(AND(K25&lt;&gt;"",K25&lt;Cockpit!$H$6,H25&lt;&gt;"Abgeschlossen"),1,0)</f>
        <v>1</v>
      </c>
      <c r="R25" s="16" t="n">
        <v>1</v>
      </c>
      <c r="S25" s="16" t="n">
        <f aca="false">IF(AND(OR(Cockpit!$B$6="(Alle)",D25=Cockpit!$B$6),OR(Cockpit!$C$6="(Alle)",E25=Cockpit!$C$6),OR(Cockpit!$D$6="(Alle)",F25=Cockpit!$D$6),OR(Cockpit!$E$6="(Alle)",G25=Cockpit!$E$6),OR(Cockpit!$F$6="(Alle)",H25=Cockpit!$F$6),OR(Cockpit!$G$6="(Alle)",O25=Cockpit!$G$6)),1,0)</f>
        <v>1</v>
      </c>
      <c r="T25" s="16" t="n">
        <f aca="false">IF(S25=1,SUM($S$2:S25),"")</f>
        <v>24</v>
      </c>
    </row>
    <row r="26" customFormat="false" ht="15" hidden="false" customHeight="false" outlineLevel="0" collapsed="false">
      <c r="A26" s="16" t="n">
        <v>25</v>
      </c>
      <c r="B26" s="16" t="s">
        <v>131</v>
      </c>
      <c r="C26" s="16" t="s">
        <v>132</v>
      </c>
      <c r="D26" s="16" t="s">
        <v>58</v>
      </c>
      <c r="E26" s="16" t="s">
        <v>59</v>
      </c>
      <c r="F26" s="16" t="s">
        <v>60</v>
      </c>
      <c r="G26" s="16" t="s">
        <v>46</v>
      </c>
      <c r="H26" s="16" t="s">
        <v>47</v>
      </c>
      <c r="I26" s="17" t="n">
        <v>0</v>
      </c>
      <c r="J26" s="18" t="n">
        <v>45946</v>
      </c>
      <c r="K26" s="18" t="n">
        <v>46387</v>
      </c>
      <c r="L26" s="16" t="n">
        <v>316</v>
      </c>
      <c r="M26" s="16" t="s">
        <v>47</v>
      </c>
      <c r="N26" s="16" t="s">
        <v>85</v>
      </c>
      <c r="O26" s="16" t="s">
        <v>86</v>
      </c>
      <c r="P26" s="16" t="s">
        <v>63</v>
      </c>
      <c r="Q26" s="16" t="n">
        <f aca="false">IF(AND(K26&lt;&gt;"",K26&lt;Cockpit!$H$6,H26&lt;&gt;"Abgeschlossen"),1,0)</f>
        <v>0</v>
      </c>
      <c r="R26" s="16" t="n">
        <v>0</v>
      </c>
      <c r="S26" s="16" t="n">
        <f aca="false">IF(AND(OR(Cockpit!$B$6="(Alle)",D26=Cockpit!$B$6),OR(Cockpit!$C$6="(Alle)",E26=Cockpit!$C$6),OR(Cockpit!$D$6="(Alle)",F26=Cockpit!$D$6),OR(Cockpit!$E$6="(Alle)",G26=Cockpit!$E$6),OR(Cockpit!$F$6="(Alle)",H26=Cockpit!$F$6),OR(Cockpit!$G$6="(Alle)",O26=Cockpit!$G$6)),1,0)</f>
        <v>1</v>
      </c>
      <c r="T26" s="16" t="n">
        <f aca="false">IF(S26=1,SUM($S$2:S26),"")</f>
        <v>25</v>
      </c>
    </row>
    <row r="27" customFormat="false" ht="15" hidden="false" customHeight="false" outlineLevel="0" collapsed="false">
      <c r="A27" s="16" t="n">
        <v>26</v>
      </c>
      <c r="B27" s="16" t="s">
        <v>133</v>
      </c>
      <c r="C27" s="16" t="s">
        <v>134</v>
      </c>
      <c r="D27" s="16" t="s">
        <v>43</v>
      </c>
      <c r="E27" s="16" t="s">
        <v>72</v>
      </c>
      <c r="F27" s="16" t="s">
        <v>122</v>
      </c>
      <c r="G27" s="16" t="s">
        <v>54</v>
      </c>
      <c r="H27" s="16" t="s">
        <v>47</v>
      </c>
      <c r="I27" s="17" t="n">
        <v>0.57</v>
      </c>
      <c r="J27" s="18" t="n">
        <v>45946</v>
      </c>
      <c r="K27" s="18" t="n">
        <v>46188</v>
      </c>
      <c r="L27" s="16" t="n">
        <v>173</v>
      </c>
      <c r="M27" s="16" t="s">
        <v>47</v>
      </c>
      <c r="N27" s="16" t="s">
        <v>99</v>
      </c>
      <c r="O27" s="16" t="s">
        <v>75</v>
      </c>
      <c r="P27" s="16" t="s">
        <v>76</v>
      </c>
      <c r="Q27" s="16" t="n">
        <f aca="false">IF(AND(K27&lt;&gt;"",K27&lt;Cockpit!$H$6,H27&lt;&gt;"Abgeschlossen"),1,0)</f>
        <v>1</v>
      </c>
      <c r="R27" s="16" t="n">
        <v>0</v>
      </c>
      <c r="S27" s="16" t="n">
        <f aca="false">IF(AND(OR(Cockpit!$B$6="(Alle)",D27=Cockpit!$B$6),OR(Cockpit!$C$6="(Alle)",E27=Cockpit!$C$6),OR(Cockpit!$D$6="(Alle)",F27=Cockpit!$D$6),OR(Cockpit!$E$6="(Alle)",G27=Cockpit!$E$6),OR(Cockpit!$F$6="(Alle)",H27=Cockpit!$F$6),OR(Cockpit!$G$6="(Alle)",O27=Cockpit!$G$6)),1,0)</f>
        <v>1</v>
      </c>
      <c r="T27" s="16" t="n">
        <f aca="false">IF(S27=1,SUM($S$2:S27),"")</f>
        <v>26</v>
      </c>
    </row>
    <row r="28" customFormat="false" ht="15" hidden="false" customHeight="false" outlineLevel="0" collapsed="false">
      <c r="A28" s="16" t="n">
        <v>27</v>
      </c>
      <c r="B28" s="16" t="s">
        <v>135</v>
      </c>
      <c r="C28" s="16" t="s">
        <v>136</v>
      </c>
      <c r="D28" s="16" t="s">
        <v>58</v>
      </c>
      <c r="E28" s="16" t="s">
        <v>59</v>
      </c>
      <c r="F28" s="16" t="s">
        <v>60</v>
      </c>
      <c r="G28" s="16" t="s">
        <v>46</v>
      </c>
      <c r="H28" s="16" t="s">
        <v>47</v>
      </c>
      <c r="I28" s="17" t="n">
        <v>0.25</v>
      </c>
      <c r="J28" s="18" t="n">
        <v>45931</v>
      </c>
      <c r="K28" s="18" t="n">
        <v>46387</v>
      </c>
      <c r="L28" s="16" t="n">
        <v>327</v>
      </c>
      <c r="M28" s="16" t="s">
        <v>61</v>
      </c>
      <c r="N28" s="16" t="s">
        <v>62</v>
      </c>
      <c r="O28" s="16" t="s">
        <v>50</v>
      </c>
      <c r="P28" s="16" t="s">
        <v>63</v>
      </c>
      <c r="Q28" s="16" t="n">
        <f aca="false">IF(AND(K28&lt;&gt;"",K28&lt;Cockpit!$H$6,H28&lt;&gt;"Abgeschlossen"),1,0)</f>
        <v>0</v>
      </c>
      <c r="R28" s="16" t="n">
        <v>0</v>
      </c>
      <c r="S28" s="16" t="n">
        <f aca="false">IF(AND(OR(Cockpit!$B$6="(Alle)",D28=Cockpit!$B$6),OR(Cockpit!$C$6="(Alle)",E28=Cockpit!$C$6),OR(Cockpit!$D$6="(Alle)",F28=Cockpit!$D$6),OR(Cockpit!$E$6="(Alle)",G28=Cockpit!$E$6),OR(Cockpit!$F$6="(Alle)",H28=Cockpit!$F$6),OR(Cockpit!$G$6="(Alle)",O28=Cockpit!$G$6)),1,0)</f>
        <v>1</v>
      </c>
      <c r="T28" s="16" t="n">
        <f aca="false">IF(S28=1,SUM($S$2:S28),"")</f>
        <v>27</v>
      </c>
    </row>
    <row r="29" customFormat="false" ht="15" hidden="false" customHeight="false" outlineLevel="0" collapsed="false">
      <c r="A29" s="16" t="n">
        <v>28</v>
      </c>
      <c r="B29" s="16" t="s">
        <v>122</v>
      </c>
      <c r="C29" s="16" t="s">
        <v>122</v>
      </c>
      <c r="D29" s="16" t="s">
        <v>43</v>
      </c>
      <c r="E29" s="16" t="s">
        <v>72</v>
      </c>
      <c r="F29" s="16" t="s">
        <v>122</v>
      </c>
      <c r="G29" s="16" t="s">
        <v>73</v>
      </c>
      <c r="H29" s="16" t="s">
        <v>47</v>
      </c>
      <c r="I29" s="17" t="n">
        <v>0.17</v>
      </c>
      <c r="J29" s="18" t="n">
        <v>45945</v>
      </c>
      <c r="K29" s="18" t="n">
        <v>46290</v>
      </c>
      <c r="L29" s="16" t="n">
        <v>248</v>
      </c>
      <c r="M29" s="16" t="s">
        <v>47</v>
      </c>
      <c r="N29" s="16" t="s">
        <v>137</v>
      </c>
      <c r="O29" s="16" t="s">
        <v>75</v>
      </c>
      <c r="P29" s="16" t="s">
        <v>138</v>
      </c>
      <c r="Q29" s="16" t="n">
        <f aca="false">IF(AND(K29&lt;&gt;"",K29&lt;Cockpit!$H$6,H29&lt;&gt;"Abgeschlossen"),1,0)</f>
        <v>0</v>
      </c>
      <c r="R29" s="16" t="n">
        <v>0</v>
      </c>
      <c r="S29" s="16" t="n">
        <f aca="false">IF(AND(OR(Cockpit!$B$6="(Alle)",D29=Cockpit!$B$6),OR(Cockpit!$C$6="(Alle)",E29=Cockpit!$C$6),OR(Cockpit!$D$6="(Alle)",F29=Cockpit!$D$6),OR(Cockpit!$E$6="(Alle)",G29=Cockpit!$E$6),OR(Cockpit!$F$6="(Alle)",H29=Cockpit!$F$6),OR(Cockpit!$G$6="(Alle)",O29=Cockpit!$G$6)),1,0)</f>
        <v>1</v>
      </c>
      <c r="T29" s="16" t="n">
        <f aca="false">IF(S29=1,SUM($S$2:S29),"")</f>
        <v>28</v>
      </c>
    </row>
    <row r="30" customFormat="false" ht="15" hidden="false" customHeight="false" outlineLevel="0" collapsed="false">
      <c r="A30" s="16" t="n">
        <v>29</v>
      </c>
      <c r="B30" s="16" t="s">
        <v>139</v>
      </c>
      <c r="C30" s="16" t="s">
        <v>140</v>
      </c>
      <c r="D30" s="16" t="s">
        <v>89</v>
      </c>
      <c r="E30" s="16" t="s">
        <v>44</v>
      </c>
      <c r="F30" s="16" t="s">
        <v>117</v>
      </c>
      <c r="G30" s="16" t="s">
        <v>54</v>
      </c>
      <c r="H30" s="16" t="s">
        <v>47</v>
      </c>
      <c r="I30" s="17" t="n">
        <v>0</v>
      </c>
      <c r="J30" s="18" t="n">
        <v>45946</v>
      </c>
      <c r="K30" s="18" t="n">
        <v>46142</v>
      </c>
      <c r="L30" s="16"/>
      <c r="M30" s="16" t="s">
        <v>47</v>
      </c>
      <c r="N30" s="16" t="s">
        <v>74</v>
      </c>
      <c r="O30" s="16" t="s">
        <v>74</v>
      </c>
      <c r="P30" s="16" t="s">
        <v>74</v>
      </c>
      <c r="Q30" s="16" t="n">
        <f aca="false">IF(AND(K30&lt;&gt;"",K30&lt;Cockpit!$H$6,H30&lt;&gt;"Abgeschlossen"),1,0)</f>
        <v>1</v>
      </c>
      <c r="R30" s="16" t="n">
        <v>0</v>
      </c>
      <c r="S30" s="16" t="n">
        <f aca="false">IF(AND(OR(Cockpit!$B$6="(Alle)",D30=Cockpit!$B$6),OR(Cockpit!$C$6="(Alle)",E30=Cockpit!$C$6),OR(Cockpit!$D$6="(Alle)",F30=Cockpit!$D$6),OR(Cockpit!$E$6="(Alle)",G30=Cockpit!$E$6),OR(Cockpit!$F$6="(Alle)",H30=Cockpit!$F$6),OR(Cockpit!$G$6="(Alle)",O30=Cockpit!$G$6)),1,0)</f>
        <v>1</v>
      </c>
      <c r="T30" s="16" t="n">
        <f aca="false">IF(S30=1,SUM($S$2:S30),"")</f>
        <v>29</v>
      </c>
    </row>
    <row r="31" customFormat="false" ht="15" hidden="false" customHeight="false" outlineLevel="0" collapsed="false">
      <c r="A31" s="16" t="n">
        <v>30</v>
      </c>
      <c r="B31" s="16" t="s">
        <v>141</v>
      </c>
      <c r="C31" s="16" t="s">
        <v>142</v>
      </c>
      <c r="D31" s="16" t="s">
        <v>89</v>
      </c>
      <c r="E31" s="16" t="s">
        <v>143</v>
      </c>
      <c r="F31" s="16" t="s">
        <v>144</v>
      </c>
      <c r="G31" s="16" t="s">
        <v>46</v>
      </c>
      <c r="H31" s="16" t="s">
        <v>61</v>
      </c>
      <c r="I31" s="17" t="n">
        <v>0.5</v>
      </c>
      <c r="J31" s="18" t="n">
        <v>45945</v>
      </c>
      <c r="K31" s="18"/>
      <c r="L31" s="16"/>
      <c r="M31" s="16" t="s">
        <v>91</v>
      </c>
      <c r="N31" s="16" t="s">
        <v>145</v>
      </c>
      <c r="O31" s="16" t="s">
        <v>146</v>
      </c>
      <c r="P31" s="16" t="s">
        <v>147</v>
      </c>
      <c r="Q31" s="16" t="n">
        <f aca="false">IF(AND(K31&lt;&gt;"",K31&lt;Cockpit!$H$6,H31&lt;&gt;"Abgeschlossen"),1,0)</f>
        <v>0</v>
      </c>
      <c r="R31" s="16" t="n">
        <v>0</v>
      </c>
      <c r="S31" s="16" t="n">
        <f aca="false">IF(AND(OR(Cockpit!$B$6="(Alle)",D31=Cockpit!$B$6),OR(Cockpit!$C$6="(Alle)",E31=Cockpit!$C$6),OR(Cockpit!$D$6="(Alle)",F31=Cockpit!$D$6),OR(Cockpit!$E$6="(Alle)",G31=Cockpit!$E$6),OR(Cockpit!$F$6="(Alle)",H31=Cockpit!$F$6),OR(Cockpit!$G$6="(Alle)",O31=Cockpit!$G$6)),1,0)</f>
        <v>1</v>
      </c>
      <c r="T31" s="16" t="n">
        <f aca="false">IF(S31=1,SUM($S$2:S31),"")</f>
        <v>30</v>
      </c>
    </row>
    <row r="32" customFormat="false" ht="15" hidden="false" customHeight="false" outlineLevel="0" collapsed="false">
      <c r="A32" s="16" t="n">
        <v>31</v>
      </c>
      <c r="B32" s="16" t="s">
        <v>148</v>
      </c>
      <c r="C32" s="16" t="s">
        <v>149</v>
      </c>
      <c r="D32" s="16" t="s">
        <v>89</v>
      </c>
      <c r="E32" s="16" t="s">
        <v>143</v>
      </c>
      <c r="F32" s="16" t="s">
        <v>144</v>
      </c>
      <c r="G32" s="16" t="s">
        <v>46</v>
      </c>
      <c r="H32" s="16" t="s">
        <v>61</v>
      </c>
      <c r="I32" s="17" t="n">
        <v>0.5</v>
      </c>
      <c r="J32" s="18" t="n">
        <v>45945</v>
      </c>
      <c r="K32" s="18"/>
      <c r="L32" s="16"/>
      <c r="M32" s="16" t="s">
        <v>91</v>
      </c>
      <c r="N32" s="16" t="s">
        <v>145</v>
      </c>
      <c r="O32" s="16" t="s">
        <v>50</v>
      </c>
      <c r="P32" s="16" t="s">
        <v>147</v>
      </c>
      <c r="Q32" s="16" t="n">
        <f aca="false">IF(AND(K32&lt;&gt;"",K32&lt;Cockpit!$H$6,H32&lt;&gt;"Abgeschlossen"),1,0)</f>
        <v>0</v>
      </c>
      <c r="R32" s="16" t="n">
        <v>0</v>
      </c>
      <c r="S32" s="16" t="n">
        <f aca="false">IF(AND(OR(Cockpit!$B$6="(Alle)",D32=Cockpit!$B$6),OR(Cockpit!$C$6="(Alle)",E32=Cockpit!$C$6),OR(Cockpit!$D$6="(Alle)",F32=Cockpit!$D$6),OR(Cockpit!$E$6="(Alle)",G32=Cockpit!$E$6),OR(Cockpit!$F$6="(Alle)",H32=Cockpit!$F$6),OR(Cockpit!$G$6="(Alle)",O32=Cockpit!$G$6)),1,0)</f>
        <v>1</v>
      </c>
      <c r="T32" s="16" t="n">
        <f aca="false">IF(S32=1,SUM($S$2:S32),"")</f>
        <v>31</v>
      </c>
    </row>
    <row r="33" customFormat="false" ht="15" hidden="false" customHeight="false" outlineLevel="0" collapsed="false">
      <c r="A33" s="16" t="n">
        <v>32</v>
      </c>
      <c r="B33" s="16" t="s">
        <v>67</v>
      </c>
      <c r="C33" s="16" t="s">
        <v>67</v>
      </c>
      <c r="D33" s="16" t="s">
        <v>43</v>
      </c>
      <c r="E33" s="16" t="s">
        <v>72</v>
      </c>
      <c r="F33" s="16" t="s">
        <v>67</v>
      </c>
      <c r="G33" s="16" t="s">
        <v>73</v>
      </c>
      <c r="H33" s="16" t="s">
        <v>61</v>
      </c>
      <c r="I33" s="17" t="n">
        <v>0.41</v>
      </c>
      <c r="J33" s="18"/>
      <c r="K33" s="18"/>
      <c r="L33" s="16"/>
      <c r="M33" s="16" t="s">
        <v>91</v>
      </c>
      <c r="N33" s="16" t="s">
        <v>150</v>
      </c>
      <c r="O33" s="16" t="s">
        <v>151</v>
      </c>
      <c r="P33" s="16" t="s">
        <v>51</v>
      </c>
      <c r="Q33" s="16" t="n">
        <f aca="false">IF(AND(K33&lt;&gt;"",K33&lt;Cockpit!$H$6,H33&lt;&gt;"Abgeschlossen"),1,0)</f>
        <v>0</v>
      </c>
      <c r="R33" s="16" t="n">
        <v>0</v>
      </c>
      <c r="S33" s="16" t="n">
        <f aca="false">IF(AND(OR(Cockpit!$B$6="(Alle)",D33=Cockpit!$B$6),OR(Cockpit!$C$6="(Alle)",E33=Cockpit!$C$6),OR(Cockpit!$D$6="(Alle)",F33=Cockpit!$D$6),OR(Cockpit!$E$6="(Alle)",G33=Cockpit!$E$6),OR(Cockpit!$F$6="(Alle)",H33=Cockpit!$F$6),OR(Cockpit!$G$6="(Alle)",O33=Cockpit!$G$6)),1,0)</f>
        <v>1</v>
      </c>
      <c r="T33" s="16" t="n">
        <f aca="false">IF(S33=1,SUM($S$2:S33),"")</f>
        <v>32</v>
      </c>
    </row>
    <row r="34" customFormat="false" ht="15" hidden="false" customHeight="false" outlineLevel="0" collapsed="false">
      <c r="A34" s="16" t="n">
        <v>33</v>
      </c>
      <c r="B34" s="16" t="s">
        <v>152</v>
      </c>
      <c r="C34" s="16" t="s">
        <v>153</v>
      </c>
      <c r="D34" s="16" t="s">
        <v>89</v>
      </c>
      <c r="E34" s="16" t="s">
        <v>143</v>
      </c>
      <c r="F34" s="16" t="s">
        <v>144</v>
      </c>
      <c r="G34" s="16" t="s">
        <v>46</v>
      </c>
      <c r="H34" s="16" t="s">
        <v>61</v>
      </c>
      <c r="I34" s="17" t="n">
        <v>0.5</v>
      </c>
      <c r="J34" s="18" t="n">
        <v>45945</v>
      </c>
      <c r="K34" s="18"/>
      <c r="L34" s="16"/>
      <c r="M34" s="16" t="s">
        <v>91</v>
      </c>
      <c r="N34" s="16" t="s">
        <v>145</v>
      </c>
      <c r="O34" s="16" t="s">
        <v>50</v>
      </c>
      <c r="P34" s="16" t="s">
        <v>147</v>
      </c>
      <c r="Q34" s="16" t="n">
        <f aca="false">IF(AND(K34&lt;&gt;"",K34&lt;Cockpit!$H$6,H34&lt;&gt;"Abgeschlossen"),1,0)</f>
        <v>0</v>
      </c>
      <c r="R34" s="16" t="n">
        <v>0</v>
      </c>
      <c r="S34" s="16" t="n">
        <f aca="false">IF(AND(OR(Cockpit!$B$6="(Alle)",D34=Cockpit!$B$6),OR(Cockpit!$C$6="(Alle)",E34=Cockpit!$C$6),OR(Cockpit!$D$6="(Alle)",F34=Cockpit!$D$6),OR(Cockpit!$E$6="(Alle)",G34=Cockpit!$E$6),OR(Cockpit!$F$6="(Alle)",H34=Cockpit!$F$6),OR(Cockpit!$G$6="(Alle)",O34=Cockpit!$G$6)),1,0)</f>
        <v>1</v>
      </c>
      <c r="T34" s="16" t="n">
        <f aca="false">IF(S34=1,SUM($S$2:S34),"")</f>
        <v>33</v>
      </c>
    </row>
    <row r="35" customFormat="false" ht="15" hidden="false" customHeight="false" outlineLevel="0" collapsed="false">
      <c r="A35" s="16" t="n">
        <v>34</v>
      </c>
      <c r="B35" s="16" t="s">
        <v>154</v>
      </c>
      <c r="C35" s="16" t="s">
        <v>155</v>
      </c>
      <c r="D35" s="16" t="s">
        <v>89</v>
      </c>
      <c r="E35" s="16" t="s">
        <v>143</v>
      </c>
      <c r="F35" s="16" t="s">
        <v>144</v>
      </c>
      <c r="G35" s="16" t="s">
        <v>46</v>
      </c>
      <c r="H35" s="16" t="s">
        <v>61</v>
      </c>
      <c r="I35" s="17" t="n">
        <v>0.5</v>
      </c>
      <c r="J35" s="18" t="n">
        <v>45945</v>
      </c>
      <c r="K35" s="18"/>
      <c r="L35" s="16"/>
      <c r="M35" s="16" t="s">
        <v>91</v>
      </c>
      <c r="N35" s="16" t="s">
        <v>145</v>
      </c>
      <c r="O35" s="16" t="s">
        <v>146</v>
      </c>
      <c r="P35" s="16" t="s">
        <v>147</v>
      </c>
      <c r="Q35" s="16" t="n">
        <f aca="false">IF(AND(K35&lt;&gt;"",K35&lt;Cockpit!$H$6,H35&lt;&gt;"Abgeschlossen"),1,0)</f>
        <v>0</v>
      </c>
      <c r="R35" s="16" t="n">
        <v>0</v>
      </c>
      <c r="S35" s="16" t="n">
        <f aca="false">IF(AND(OR(Cockpit!$B$6="(Alle)",D35=Cockpit!$B$6),OR(Cockpit!$C$6="(Alle)",E35=Cockpit!$C$6),OR(Cockpit!$D$6="(Alle)",F35=Cockpit!$D$6),OR(Cockpit!$E$6="(Alle)",G35=Cockpit!$E$6),OR(Cockpit!$F$6="(Alle)",H35=Cockpit!$F$6),OR(Cockpit!$G$6="(Alle)",O35=Cockpit!$G$6)),1,0)</f>
        <v>1</v>
      </c>
      <c r="T35" s="16" t="n">
        <f aca="false">IF(S35=1,SUM($S$2:S35),"")</f>
        <v>34</v>
      </c>
    </row>
    <row r="36" customFormat="false" ht="15" hidden="false" customHeight="false" outlineLevel="0" collapsed="false">
      <c r="A36" s="16" t="n">
        <v>35</v>
      </c>
      <c r="B36" s="16" t="s">
        <v>156</v>
      </c>
      <c r="C36" s="16" t="s">
        <v>157</v>
      </c>
      <c r="D36" s="16" t="s">
        <v>89</v>
      </c>
      <c r="E36" s="16" t="s">
        <v>143</v>
      </c>
      <c r="F36" s="16" t="s">
        <v>144</v>
      </c>
      <c r="G36" s="16" t="s">
        <v>54</v>
      </c>
      <c r="H36" s="16" t="s">
        <v>61</v>
      </c>
      <c r="I36" s="17" t="n">
        <v>0.5</v>
      </c>
      <c r="J36" s="18" t="n">
        <v>45945</v>
      </c>
      <c r="K36" s="18"/>
      <c r="L36" s="16"/>
      <c r="M36" s="16" t="s">
        <v>91</v>
      </c>
      <c r="N36" s="16" t="s">
        <v>145</v>
      </c>
      <c r="O36" s="16" t="s">
        <v>50</v>
      </c>
      <c r="P36" s="16" t="s">
        <v>147</v>
      </c>
      <c r="Q36" s="16" t="n">
        <f aca="false">IF(AND(K36&lt;&gt;"",K36&lt;Cockpit!$H$6,H36&lt;&gt;"Abgeschlossen"),1,0)</f>
        <v>0</v>
      </c>
      <c r="R36" s="16" t="n">
        <v>0</v>
      </c>
      <c r="S36" s="16" t="n">
        <f aca="false">IF(AND(OR(Cockpit!$B$6="(Alle)",D36=Cockpit!$B$6),OR(Cockpit!$C$6="(Alle)",E36=Cockpit!$C$6),OR(Cockpit!$D$6="(Alle)",F36=Cockpit!$D$6),OR(Cockpit!$E$6="(Alle)",G36=Cockpit!$E$6),OR(Cockpit!$F$6="(Alle)",H36=Cockpit!$F$6),OR(Cockpit!$G$6="(Alle)",O36=Cockpit!$G$6)),1,0)</f>
        <v>1</v>
      </c>
      <c r="T36" s="16" t="n">
        <f aca="false">IF(S36=1,SUM($S$2:S36),"")</f>
        <v>35</v>
      </c>
    </row>
    <row r="37" customFormat="false" ht="15" hidden="false" customHeight="false" outlineLevel="0" collapsed="false">
      <c r="A37" s="16" t="n">
        <v>36</v>
      </c>
      <c r="B37" s="16" t="s">
        <v>158</v>
      </c>
      <c r="C37" s="16" t="s">
        <v>159</v>
      </c>
      <c r="D37" s="16" t="s">
        <v>58</v>
      </c>
      <c r="E37" s="16" t="s">
        <v>59</v>
      </c>
      <c r="F37" s="16" t="s">
        <v>60</v>
      </c>
      <c r="G37" s="16" t="s">
        <v>46</v>
      </c>
      <c r="H37" s="16" t="s">
        <v>61</v>
      </c>
      <c r="I37" s="17" t="n">
        <v>0.5</v>
      </c>
      <c r="J37" s="18" t="n">
        <v>45931</v>
      </c>
      <c r="K37" s="18" t="n">
        <v>46142</v>
      </c>
      <c r="L37" s="16" t="n">
        <v>152</v>
      </c>
      <c r="M37" s="16" t="s">
        <v>61</v>
      </c>
      <c r="N37" s="16" t="s">
        <v>97</v>
      </c>
      <c r="O37" s="16" t="s">
        <v>50</v>
      </c>
      <c r="P37" s="16" t="s">
        <v>63</v>
      </c>
      <c r="Q37" s="16" t="n">
        <f aca="false">IF(AND(K37&lt;&gt;"",K37&lt;Cockpit!$H$6,H37&lt;&gt;"Abgeschlossen"),1,0)</f>
        <v>1</v>
      </c>
      <c r="R37" s="16" t="n">
        <v>0</v>
      </c>
      <c r="S37" s="16" t="n">
        <f aca="false">IF(AND(OR(Cockpit!$B$6="(Alle)",D37=Cockpit!$B$6),OR(Cockpit!$C$6="(Alle)",E37=Cockpit!$C$6),OR(Cockpit!$D$6="(Alle)",F37=Cockpit!$D$6),OR(Cockpit!$E$6="(Alle)",G37=Cockpit!$E$6),OR(Cockpit!$F$6="(Alle)",H37=Cockpit!$F$6),OR(Cockpit!$G$6="(Alle)",O37=Cockpit!$G$6)),1,0)</f>
        <v>1</v>
      </c>
      <c r="T37" s="16" t="n">
        <f aca="false">IF(S37=1,SUM($S$2:S37),"")</f>
        <v>36</v>
      </c>
    </row>
    <row r="38" customFormat="false" ht="15" hidden="false" customHeight="false" outlineLevel="0" collapsed="false">
      <c r="A38" s="16" t="n">
        <v>37</v>
      </c>
      <c r="B38" s="16" t="s">
        <v>160</v>
      </c>
      <c r="C38" s="16" t="s">
        <v>161</v>
      </c>
      <c r="D38" s="16" t="s">
        <v>89</v>
      </c>
      <c r="E38" s="16" t="s">
        <v>162</v>
      </c>
      <c r="F38" s="16" t="s">
        <v>163</v>
      </c>
      <c r="G38" s="16" t="s">
        <v>46</v>
      </c>
      <c r="H38" s="16" t="s">
        <v>61</v>
      </c>
      <c r="I38" s="17" t="n">
        <v>0.25</v>
      </c>
      <c r="J38" s="18" t="n">
        <v>45931</v>
      </c>
      <c r="K38" s="18" t="n">
        <v>46295</v>
      </c>
      <c r="L38" s="16" t="n">
        <v>261</v>
      </c>
      <c r="M38" s="16" t="s">
        <v>61</v>
      </c>
      <c r="N38" s="16" t="s">
        <v>164</v>
      </c>
      <c r="O38" s="16" t="s">
        <v>165</v>
      </c>
      <c r="P38" s="16" t="s">
        <v>111</v>
      </c>
      <c r="Q38" s="16" t="n">
        <f aca="false">IF(AND(K38&lt;&gt;"",K38&lt;Cockpit!$H$6,H38&lt;&gt;"Abgeschlossen"),1,0)</f>
        <v>0</v>
      </c>
      <c r="R38" s="16" t="n">
        <v>0</v>
      </c>
      <c r="S38" s="16" t="n">
        <f aca="false">IF(AND(OR(Cockpit!$B$6="(Alle)",D38=Cockpit!$B$6),OR(Cockpit!$C$6="(Alle)",E38=Cockpit!$C$6),OR(Cockpit!$D$6="(Alle)",F38=Cockpit!$D$6),OR(Cockpit!$E$6="(Alle)",G38=Cockpit!$E$6),OR(Cockpit!$F$6="(Alle)",H38=Cockpit!$F$6),OR(Cockpit!$G$6="(Alle)",O38=Cockpit!$G$6)),1,0)</f>
        <v>1</v>
      </c>
      <c r="T38" s="16" t="n">
        <f aca="false">IF(S38=1,SUM($S$2:S38),"")</f>
        <v>37</v>
      </c>
    </row>
    <row r="39" customFormat="false" ht="15" hidden="false" customHeight="false" outlineLevel="0" collapsed="false">
      <c r="A39" s="16" t="n">
        <v>38</v>
      </c>
      <c r="B39" s="16" t="s">
        <v>166</v>
      </c>
      <c r="C39" s="16" t="s">
        <v>167</v>
      </c>
      <c r="D39" s="16" t="s">
        <v>89</v>
      </c>
      <c r="E39" s="16" t="s">
        <v>143</v>
      </c>
      <c r="F39" s="16" t="s">
        <v>144</v>
      </c>
      <c r="G39" s="16" t="s">
        <v>46</v>
      </c>
      <c r="H39" s="16" t="s">
        <v>61</v>
      </c>
      <c r="I39" s="17" t="n">
        <v>0.5</v>
      </c>
      <c r="J39" s="18" t="n">
        <v>45945</v>
      </c>
      <c r="K39" s="18"/>
      <c r="L39" s="16"/>
      <c r="M39" s="16" t="s">
        <v>91</v>
      </c>
      <c r="N39" s="16" t="s">
        <v>145</v>
      </c>
      <c r="O39" s="16" t="s">
        <v>146</v>
      </c>
      <c r="P39" s="16" t="s">
        <v>147</v>
      </c>
      <c r="Q39" s="16" t="n">
        <f aca="false">IF(AND(K39&lt;&gt;"",K39&lt;Cockpit!$H$6,H39&lt;&gt;"Abgeschlossen"),1,0)</f>
        <v>0</v>
      </c>
      <c r="R39" s="16" t="n">
        <v>0</v>
      </c>
      <c r="S39" s="16" t="n">
        <f aca="false">IF(AND(OR(Cockpit!$B$6="(Alle)",D39=Cockpit!$B$6),OR(Cockpit!$C$6="(Alle)",E39=Cockpit!$C$6),OR(Cockpit!$D$6="(Alle)",F39=Cockpit!$D$6),OR(Cockpit!$E$6="(Alle)",G39=Cockpit!$E$6),OR(Cockpit!$F$6="(Alle)",H39=Cockpit!$F$6),OR(Cockpit!$G$6="(Alle)",O39=Cockpit!$G$6)),1,0)</f>
        <v>1</v>
      </c>
      <c r="T39" s="16" t="n">
        <f aca="false">IF(S39=1,SUM($S$2:S39),"")</f>
        <v>38</v>
      </c>
    </row>
    <row r="40" customFormat="false" ht="15" hidden="false" customHeight="false" outlineLevel="0" collapsed="false">
      <c r="A40" s="16" t="n">
        <v>39</v>
      </c>
      <c r="B40" s="16" t="s">
        <v>168</v>
      </c>
      <c r="C40" s="16" t="s">
        <v>169</v>
      </c>
      <c r="D40" s="16" t="s">
        <v>89</v>
      </c>
      <c r="E40" s="16" t="s">
        <v>143</v>
      </c>
      <c r="F40" s="16" t="s">
        <v>144</v>
      </c>
      <c r="G40" s="16" t="s">
        <v>46</v>
      </c>
      <c r="H40" s="16" t="s">
        <v>61</v>
      </c>
      <c r="I40" s="17" t="n">
        <v>0.5</v>
      </c>
      <c r="J40" s="18" t="n">
        <v>45945</v>
      </c>
      <c r="K40" s="18"/>
      <c r="L40" s="16"/>
      <c r="M40" s="16" t="s">
        <v>91</v>
      </c>
      <c r="N40" s="16" t="s">
        <v>145</v>
      </c>
      <c r="O40" s="16" t="s">
        <v>146</v>
      </c>
      <c r="P40" s="16" t="s">
        <v>147</v>
      </c>
      <c r="Q40" s="16" t="n">
        <f aca="false">IF(AND(K40&lt;&gt;"",K40&lt;Cockpit!$H$6,H40&lt;&gt;"Abgeschlossen"),1,0)</f>
        <v>0</v>
      </c>
      <c r="R40" s="16" t="n">
        <v>0</v>
      </c>
      <c r="S40" s="16" t="n">
        <f aca="false">IF(AND(OR(Cockpit!$B$6="(Alle)",D40=Cockpit!$B$6),OR(Cockpit!$C$6="(Alle)",E40=Cockpit!$C$6),OR(Cockpit!$D$6="(Alle)",F40=Cockpit!$D$6),OR(Cockpit!$E$6="(Alle)",G40=Cockpit!$E$6),OR(Cockpit!$F$6="(Alle)",H40=Cockpit!$F$6),OR(Cockpit!$G$6="(Alle)",O40=Cockpit!$G$6)),1,0)</f>
        <v>1</v>
      </c>
      <c r="T40" s="16" t="n">
        <f aca="false">IF(S40=1,SUM($S$2:S40),"")</f>
        <v>39</v>
      </c>
    </row>
    <row r="41" customFormat="false" ht="15" hidden="false" customHeight="false" outlineLevel="0" collapsed="false">
      <c r="A41" s="16" t="n">
        <v>40</v>
      </c>
      <c r="B41" s="16" t="s">
        <v>170</v>
      </c>
      <c r="C41" s="16" t="s">
        <v>171</v>
      </c>
      <c r="D41" s="16" t="s">
        <v>43</v>
      </c>
      <c r="E41" s="16" t="s">
        <v>72</v>
      </c>
      <c r="F41" s="16" t="s">
        <v>67</v>
      </c>
      <c r="G41" s="16" t="s">
        <v>54</v>
      </c>
      <c r="H41" s="16" t="s">
        <v>61</v>
      </c>
      <c r="I41" s="17" t="n">
        <v>0</v>
      </c>
      <c r="J41" s="18" t="n">
        <v>46146</v>
      </c>
      <c r="K41" s="18" t="n">
        <v>46234</v>
      </c>
      <c r="L41" s="16"/>
      <c r="M41" s="16" t="s">
        <v>61</v>
      </c>
      <c r="N41" s="16" t="s">
        <v>150</v>
      </c>
      <c r="O41" s="16" t="s">
        <v>151</v>
      </c>
      <c r="P41" s="16" t="s">
        <v>51</v>
      </c>
      <c r="Q41" s="16" t="n">
        <f aca="false">IF(AND(K41&lt;&gt;"",K41&lt;Cockpit!$H$6,H41&lt;&gt;"Abgeschlossen"),1,0)</f>
        <v>1</v>
      </c>
      <c r="R41" s="16" t="n">
        <v>0</v>
      </c>
      <c r="S41" s="16" t="n">
        <f aca="false">IF(AND(OR(Cockpit!$B$6="(Alle)",D41=Cockpit!$B$6),OR(Cockpit!$C$6="(Alle)",E41=Cockpit!$C$6),OR(Cockpit!$D$6="(Alle)",F41=Cockpit!$D$6),OR(Cockpit!$E$6="(Alle)",G41=Cockpit!$E$6),OR(Cockpit!$F$6="(Alle)",H41=Cockpit!$F$6),OR(Cockpit!$G$6="(Alle)",O41=Cockpit!$G$6)),1,0)</f>
        <v>1</v>
      </c>
      <c r="T41" s="16" t="n">
        <f aca="false">IF(S41=1,SUM($S$2:S41),"")</f>
        <v>40</v>
      </c>
    </row>
    <row r="42" customFormat="false" ht="15" hidden="false" customHeight="false" outlineLevel="0" collapsed="false">
      <c r="A42" s="16" t="n">
        <v>41</v>
      </c>
      <c r="B42" s="16" t="s">
        <v>172</v>
      </c>
      <c r="C42" s="16" t="s">
        <v>173</v>
      </c>
      <c r="D42" s="16" t="s">
        <v>43</v>
      </c>
      <c r="E42" s="16" t="s">
        <v>72</v>
      </c>
      <c r="F42" s="16" t="s">
        <v>67</v>
      </c>
      <c r="G42" s="16" t="s">
        <v>54</v>
      </c>
      <c r="H42" s="16" t="s">
        <v>61</v>
      </c>
      <c r="I42" s="17" t="n">
        <v>0.5</v>
      </c>
      <c r="J42" s="18" t="n">
        <v>46146</v>
      </c>
      <c r="K42" s="18" t="n">
        <v>46234</v>
      </c>
      <c r="L42" s="16"/>
      <c r="M42" s="16" t="s">
        <v>61</v>
      </c>
      <c r="N42" s="16" t="s">
        <v>150</v>
      </c>
      <c r="O42" s="16" t="s">
        <v>151</v>
      </c>
      <c r="P42" s="16" t="s">
        <v>51</v>
      </c>
      <c r="Q42" s="16" t="n">
        <f aca="false">IF(AND(K42&lt;&gt;"",K42&lt;Cockpit!$H$6,H42&lt;&gt;"Abgeschlossen"),1,0)</f>
        <v>1</v>
      </c>
      <c r="R42" s="16" t="n">
        <v>0</v>
      </c>
      <c r="S42" s="16" t="n">
        <f aca="false">IF(AND(OR(Cockpit!$B$6="(Alle)",D42=Cockpit!$B$6),OR(Cockpit!$C$6="(Alle)",E42=Cockpit!$C$6),OR(Cockpit!$D$6="(Alle)",F42=Cockpit!$D$6),OR(Cockpit!$E$6="(Alle)",G42=Cockpit!$E$6),OR(Cockpit!$F$6="(Alle)",H42=Cockpit!$F$6),OR(Cockpit!$G$6="(Alle)",O42=Cockpit!$G$6)),1,0)</f>
        <v>1</v>
      </c>
      <c r="T42" s="16" t="n">
        <f aca="false">IF(S42=1,SUM($S$2:S42),"")</f>
        <v>41</v>
      </c>
    </row>
    <row r="43" customFormat="false" ht="15" hidden="false" customHeight="false" outlineLevel="0" collapsed="false">
      <c r="A43" s="16" t="n">
        <v>42</v>
      </c>
      <c r="B43" s="16" t="s">
        <v>174</v>
      </c>
      <c r="C43" s="16" t="s">
        <v>175</v>
      </c>
      <c r="D43" s="16" t="s">
        <v>43</v>
      </c>
      <c r="E43" s="16" t="s">
        <v>72</v>
      </c>
      <c r="F43" s="16" t="s">
        <v>67</v>
      </c>
      <c r="G43" s="16" t="s">
        <v>54</v>
      </c>
      <c r="H43" s="16" t="s">
        <v>61</v>
      </c>
      <c r="I43" s="17" t="n">
        <v>0</v>
      </c>
      <c r="J43" s="18" t="n">
        <v>46146</v>
      </c>
      <c r="K43" s="18" t="n">
        <v>46234</v>
      </c>
      <c r="L43" s="16"/>
      <c r="M43" s="16" t="s">
        <v>61</v>
      </c>
      <c r="N43" s="16" t="s">
        <v>150</v>
      </c>
      <c r="O43" s="16" t="s">
        <v>151</v>
      </c>
      <c r="P43" s="16" t="s">
        <v>51</v>
      </c>
      <c r="Q43" s="16" t="n">
        <f aca="false">IF(AND(K43&lt;&gt;"",K43&lt;Cockpit!$H$6,H43&lt;&gt;"Abgeschlossen"),1,0)</f>
        <v>1</v>
      </c>
      <c r="R43" s="16" t="n">
        <v>0</v>
      </c>
      <c r="S43" s="16" t="n">
        <f aca="false">IF(AND(OR(Cockpit!$B$6="(Alle)",D43=Cockpit!$B$6),OR(Cockpit!$C$6="(Alle)",E43=Cockpit!$C$6),OR(Cockpit!$D$6="(Alle)",F43=Cockpit!$D$6),OR(Cockpit!$E$6="(Alle)",G43=Cockpit!$E$6),OR(Cockpit!$F$6="(Alle)",H43=Cockpit!$F$6),OR(Cockpit!$G$6="(Alle)",O43=Cockpit!$G$6)),1,0)</f>
        <v>1</v>
      </c>
      <c r="T43" s="16" t="n">
        <f aca="false">IF(S43=1,SUM($S$2:S43),"")</f>
        <v>42</v>
      </c>
    </row>
    <row r="44" customFormat="false" ht="15" hidden="false" customHeight="false" outlineLevel="0" collapsed="false">
      <c r="A44" s="16" t="n">
        <v>43</v>
      </c>
      <c r="B44" s="16" t="s">
        <v>176</v>
      </c>
      <c r="C44" s="16" t="s">
        <v>177</v>
      </c>
      <c r="D44" s="16" t="s">
        <v>89</v>
      </c>
      <c r="E44" s="16" t="s">
        <v>143</v>
      </c>
      <c r="F44" s="16" t="s">
        <v>144</v>
      </c>
      <c r="G44" s="16" t="s">
        <v>46</v>
      </c>
      <c r="H44" s="16" t="s">
        <v>61</v>
      </c>
      <c r="I44" s="17" t="n">
        <v>0.5</v>
      </c>
      <c r="J44" s="18" t="n">
        <v>45945</v>
      </c>
      <c r="K44" s="18"/>
      <c r="L44" s="16"/>
      <c r="M44" s="16" t="s">
        <v>91</v>
      </c>
      <c r="N44" s="16" t="s">
        <v>145</v>
      </c>
      <c r="O44" s="16" t="s">
        <v>50</v>
      </c>
      <c r="P44" s="16" t="s">
        <v>147</v>
      </c>
      <c r="Q44" s="16" t="n">
        <f aca="false">IF(AND(K44&lt;&gt;"",K44&lt;Cockpit!$H$6,H44&lt;&gt;"Abgeschlossen"),1,0)</f>
        <v>0</v>
      </c>
      <c r="R44" s="16" t="n">
        <v>0</v>
      </c>
      <c r="S44" s="16" t="n">
        <f aca="false">IF(AND(OR(Cockpit!$B$6="(Alle)",D44=Cockpit!$B$6),OR(Cockpit!$C$6="(Alle)",E44=Cockpit!$C$6),OR(Cockpit!$D$6="(Alle)",F44=Cockpit!$D$6),OR(Cockpit!$E$6="(Alle)",G44=Cockpit!$E$6),OR(Cockpit!$F$6="(Alle)",H44=Cockpit!$F$6),OR(Cockpit!$G$6="(Alle)",O44=Cockpit!$G$6)),1,0)</f>
        <v>1</v>
      </c>
      <c r="T44" s="16" t="n">
        <f aca="false">IF(S44=1,SUM($S$2:S44),"")</f>
        <v>43</v>
      </c>
    </row>
    <row r="45" customFormat="false" ht="15" hidden="false" customHeight="false" outlineLevel="0" collapsed="false">
      <c r="A45" s="16" t="n">
        <v>44</v>
      </c>
      <c r="B45" s="16" t="s">
        <v>178</v>
      </c>
      <c r="C45" s="16" t="s">
        <v>179</v>
      </c>
      <c r="D45" s="16" t="s">
        <v>89</v>
      </c>
      <c r="E45" s="16" t="s">
        <v>72</v>
      </c>
      <c r="F45" s="16" t="s">
        <v>114</v>
      </c>
      <c r="G45" s="16" t="s">
        <v>46</v>
      </c>
      <c r="H45" s="16" t="s">
        <v>61</v>
      </c>
      <c r="I45" s="17" t="n">
        <v>0.25</v>
      </c>
      <c r="J45" s="18" t="n">
        <v>46034</v>
      </c>
      <c r="K45" s="18" t="n">
        <v>46173</v>
      </c>
      <c r="L45" s="16" t="n">
        <v>100</v>
      </c>
      <c r="M45" s="16" t="s">
        <v>61</v>
      </c>
      <c r="N45" s="16" t="s">
        <v>86</v>
      </c>
      <c r="O45" s="16" t="s">
        <v>115</v>
      </c>
      <c r="P45" s="16" t="s">
        <v>86</v>
      </c>
      <c r="Q45" s="16" t="n">
        <f aca="false">IF(AND(K45&lt;&gt;"",K45&lt;Cockpit!$H$6,H45&lt;&gt;"Abgeschlossen"),1,0)</f>
        <v>1</v>
      </c>
      <c r="R45" s="16" t="n">
        <v>0</v>
      </c>
      <c r="S45" s="16" t="n">
        <f aca="false">IF(AND(OR(Cockpit!$B$6="(Alle)",D45=Cockpit!$B$6),OR(Cockpit!$C$6="(Alle)",E45=Cockpit!$C$6),OR(Cockpit!$D$6="(Alle)",F45=Cockpit!$D$6),OR(Cockpit!$E$6="(Alle)",G45=Cockpit!$E$6),OR(Cockpit!$F$6="(Alle)",H45=Cockpit!$F$6),OR(Cockpit!$G$6="(Alle)",O45=Cockpit!$G$6)),1,0)</f>
        <v>1</v>
      </c>
      <c r="T45" s="16" t="n">
        <f aca="false">IF(S45=1,SUM($S$2:S45),"")</f>
        <v>44</v>
      </c>
    </row>
    <row r="46" customFormat="false" ht="15" hidden="false" customHeight="false" outlineLevel="0" collapsed="false">
      <c r="A46" s="16" t="n">
        <v>45</v>
      </c>
      <c r="B46" s="16" t="s">
        <v>180</v>
      </c>
      <c r="C46" s="16" t="s">
        <v>180</v>
      </c>
      <c r="D46" s="16" t="s">
        <v>58</v>
      </c>
      <c r="E46" s="16" t="s">
        <v>181</v>
      </c>
      <c r="F46" s="16" t="s">
        <v>180</v>
      </c>
      <c r="G46" s="16" t="s">
        <v>73</v>
      </c>
      <c r="H46" s="16" t="s">
        <v>61</v>
      </c>
      <c r="I46" s="17" t="n">
        <v>0.5</v>
      </c>
      <c r="J46" s="18" t="n">
        <v>45946</v>
      </c>
      <c r="K46" s="18" t="n">
        <v>45946</v>
      </c>
      <c r="L46" s="16" t="n">
        <v>1</v>
      </c>
      <c r="M46" s="16" t="s">
        <v>91</v>
      </c>
      <c r="N46" s="16" t="s">
        <v>182</v>
      </c>
      <c r="O46" s="16" t="s">
        <v>165</v>
      </c>
      <c r="P46" s="16" t="s">
        <v>86</v>
      </c>
      <c r="Q46" s="16" t="n">
        <f aca="false">IF(AND(K46&lt;&gt;"",K46&lt;Cockpit!$H$6,H46&lt;&gt;"Abgeschlossen"),1,0)</f>
        <v>1</v>
      </c>
      <c r="R46" s="16" t="n">
        <v>0</v>
      </c>
      <c r="S46" s="16" t="n">
        <f aca="false">IF(AND(OR(Cockpit!$B$6="(Alle)",D46=Cockpit!$B$6),OR(Cockpit!$C$6="(Alle)",E46=Cockpit!$C$6),OR(Cockpit!$D$6="(Alle)",F46=Cockpit!$D$6),OR(Cockpit!$E$6="(Alle)",G46=Cockpit!$E$6),OR(Cockpit!$F$6="(Alle)",H46=Cockpit!$F$6),OR(Cockpit!$G$6="(Alle)",O46=Cockpit!$G$6)),1,0)</f>
        <v>1</v>
      </c>
      <c r="T46" s="16" t="n">
        <f aca="false">IF(S46=1,SUM($S$2:S46),"")</f>
        <v>45</v>
      </c>
    </row>
    <row r="47" customFormat="false" ht="15" hidden="false" customHeight="false" outlineLevel="0" collapsed="false">
      <c r="A47" s="16" t="n">
        <v>46</v>
      </c>
      <c r="B47" s="16" t="s">
        <v>183</v>
      </c>
      <c r="C47" s="16" t="s">
        <v>184</v>
      </c>
      <c r="D47" s="16" t="s">
        <v>89</v>
      </c>
      <c r="E47" s="16" t="s">
        <v>143</v>
      </c>
      <c r="F47" s="16" t="s">
        <v>144</v>
      </c>
      <c r="G47" s="16" t="s">
        <v>46</v>
      </c>
      <c r="H47" s="16" t="s">
        <v>61</v>
      </c>
      <c r="I47" s="17" t="n">
        <v>0.5</v>
      </c>
      <c r="J47" s="18" t="n">
        <v>45945</v>
      </c>
      <c r="K47" s="18"/>
      <c r="L47" s="16"/>
      <c r="M47" s="16" t="s">
        <v>91</v>
      </c>
      <c r="N47" s="16" t="s">
        <v>145</v>
      </c>
      <c r="O47" s="16" t="s">
        <v>146</v>
      </c>
      <c r="P47" s="16" t="s">
        <v>147</v>
      </c>
      <c r="Q47" s="16" t="n">
        <f aca="false">IF(AND(K47&lt;&gt;"",K47&lt;Cockpit!$H$6,H47&lt;&gt;"Abgeschlossen"),1,0)</f>
        <v>0</v>
      </c>
      <c r="R47" s="16" t="n">
        <v>0</v>
      </c>
      <c r="S47" s="16" t="n">
        <f aca="false">IF(AND(OR(Cockpit!$B$6="(Alle)",D47=Cockpit!$B$6),OR(Cockpit!$C$6="(Alle)",E47=Cockpit!$C$6),OR(Cockpit!$D$6="(Alle)",F47=Cockpit!$D$6),OR(Cockpit!$E$6="(Alle)",G47=Cockpit!$E$6),OR(Cockpit!$F$6="(Alle)",H47=Cockpit!$F$6),OR(Cockpit!$G$6="(Alle)",O47=Cockpit!$G$6)),1,0)</f>
        <v>1</v>
      </c>
      <c r="T47" s="16" t="n">
        <f aca="false">IF(S47=1,SUM($S$2:S47),"")</f>
        <v>46</v>
      </c>
    </row>
    <row r="48" customFormat="false" ht="15" hidden="false" customHeight="false" outlineLevel="0" collapsed="false">
      <c r="A48" s="16" t="n">
        <v>47</v>
      </c>
      <c r="B48" s="16" t="s">
        <v>185</v>
      </c>
      <c r="C48" s="16" t="s">
        <v>186</v>
      </c>
      <c r="D48" s="16" t="s">
        <v>89</v>
      </c>
      <c r="E48" s="16" t="s">
        <v>143</v>
      </c>
      <c r="F48" s="16" t="s">
        <v>144</v>
      </c>
      <c r="G48" s="16" t="s">
        <v>46</v>
      </c>
      <c r="H48" s="16" t="s">
        <v>61</v>
      </c>
      <c r="I48" s="17" t="n">
        <v>0.5</v>
      </c>
      <c r="J48" s="18" t="n">
        <v>45945</v>
      </c>
      <c r="K48" s="18"/>
      <c r="L48" s="16"/>
      <c r="M48" s="16" t="s">
        <v>91</v>
      </c>
      <c r="N48" s="16" t="s">
        <v>145</v>
      </c>
      <c r="O48" s="16" t="s">
        <v>146</v>
      </c>
      <c r="P48" s="16" t="s">
        <v>147</v>
      </c>
      <c r="Q48" s="16" t="n">
        <f aca="false">IF(AND(K48&lt;&gt;"",K48&lt;Cockpit!$H$6,H48&lt;&gt;"Abgeschlossen"),1,0)</f>
        <v>0</v>
      </c>
      <c r="R48" s="16" t="n">
        <v>0</v>
      </c>
      <c r="S48" s="16" t="n">
        <f aca="false">IF(AND(OR(Cockpit!$B$6="(Alle)",D48=Cockpit!$B$6),OR(Cockpit!$C$6="(Alle)",E48=Cockpit!$C$6),OR(Cockpit!$D$6="(Alle)",F48=Cockpit!$D$6),OR(Cockpit!$E$6="(Alle)",G48=Cockpit!$E$6),OR(Cockpit!$F$6="(Alle)",H48=Cockpit!$F$6),OR(Cockpit!$G$6="(Alle)",O48=Cockpit!$G$6)),1,0)</f>
        <v>1</v>
      </c>
      <c r="T48" s="16" t="n">
        <f aca="false">IF(S48=1,SUM($S$2:S48),"")</f>
        <v>47</v>
      </c>
    </row>
    <row r="49" customFormat="false" ht="15" hidden="false" customHeight="false" outlineLevel="0" collapsed="false">
      <c r="A49" s="16" t="n">
        <v>48</v>
      </c>
      <c r="B49" s="16" t="s">
        <v>187</v>
      </c>
      <c r="C49" s="16" t="s">
        <v>188</v>
      </c>
      <c r="D49" s="16" t="s">
        <v>43</v>
      </c>
      <c r="E49" s="16" t="s">
        <v>72</v>
      </c>
      <c r="F49" s="16" t="s">
        <v>67</v>
      </c>
      <c r="G49" s="16" t="s">
        <v>54</v>
      </c>
      <c r="H49" s="16" t="s">
        <v>61</v>
      </c>
      <c r="I49" s="17" t="n">
        <v>0</v>
      </c>
      <c r="J49" s="18" t="n">
        <v>46146</v>
      </c>
      <c r="K49" s="18" t="n">
        <v>46234</v>
      </c>
      <c r="L49" s="16"/>
      <c r="M49" s="16" t="s">
        <v>61</v>
      </c>
      <c r="N49" s="16" t="s">
        <v>150</v>
      </c>
      <c r="O49" s="16" t="s">
        <v>151</v>
      </c>
      <c r="P49" s="16" t="s">
        <v>51</v>
      </c>
      <c r="Q49" s="16" t="n">
        <f aca="false">IF(AND(K49&lt;&gt;"",K49&lt;Cockpit!$H$6,H49&lt;&gt;"Abgeschlossen"),1,0)</f>
        <v>1</v>
      </c>
      <c r="R49" s="16" t="n">
        <v>0</v>
      </c>
      <c r="S49" s="16" t="n">
        <f aca="false">IF(AND(OR(Cockpit!$B$6="(Alle)",D49=Cockpit!$B$6),OR(Cockpit!$C$6="(Alle)",E49=Cockpit!$C$6),OR(Cockpit!$D$6="(Alle)",F49=Cockpit!$D$6),OR(Cockpit!$E$6="(Alle)",G49=Cockpit!$E$6),OR(Cockpit!$F$6="(Alle)",H49=Cockpit!$F$6),OR(Cockpit!$G$6="(Alle)",O49=Cockpit!$G$6)),1,0)</f>
        <v>1</v>
      </c>
      <c r="T49" s="16" t="n">
        <f aca="false">IF(S49=1,SUM($S$2:S49),"")</f>
        <v>48</v>
      </c>
    </row>
    <row r="50" customFormat="false" ht="15" hidden="false" customHeight="false" outlineLevel="0" collapsed="false">
      <c r="A50" s="16" t="n">
        <v>49</v>
      </c>
      <c r="B50" s="16" t="s">
        <v>189</v>
      </c>
      <c r="C50" s="16" t="s">
        <v>190</v>
      </c>
      <c r="D50" s="16" t="s">
        <v>89</v>
      </c>
      <c r="E50" s="16" t="s">
        <v>143</v>
      </c>
      <c r="F50" s="16" t="s">
        <v>144</v>
      </c>
      <c r="G50" s="16" t="s">
        <v>46</v>
      </c>
      <c r="H50" s="16" t="s">
        <v>61</v>
      </c>
      <c r="I50" s="17" t="n">
        <v>0.5</v>
      </c>
      <c r="J50" s="18" t="n">
        <v>45945</v>
      </c>
      <c r="K50" s="18"/>
      <c r="L50" s="16"/>
      <c r="M50" s="16" t="s">
        <v>91</v>
      </c>
      <c r="N50" s="16" t="s">
        <v>145</v>
      </c>
      <c r="O50" s="16" t="s">
        <v>146</v>
      </c>
      <c r="P50" s="16" t="s">
        <v>147</v>
      </c>
      <c r="Q50" s="16" t="n">
        <f aca="false">IF(AND(K50&lt;&gt;"",K50&lt;Cockpit!$H$6,H50&lt;&gt;"Abgeschlossen"),1,0)</f>
        <v>0</v>
      </c>
      <c r="R50" s="16" t="n">
        <v>0</v>
      </c>
      <c r="S50" s="16" t="n">
        <f aca="false">IF(AND(OR(Cockpit!$B$6="(Alle)",D50=Cockpit!$B$6),OR(Cockpit!$C$6="(Alle)",E50=Cockpit!$C$6),OR(Cockpit!$D$6="(Alle)",F50=Cockpit!$D$6),OR(Cockpit!$E$6="(Alle)",G50=Cockpit!$E$6),OR(Cockpit!$F$6="(Alle)",H50=Cockpit!$F$6),OR(Cockpit!$G$6="(Alle)",O50=Cockpit!$G$6)),1,0)</f>
        <v>1</v>
      </c>
      <c r="T50" s="16" t="n">
        <f aca="false">IF(S50=1,SUM($S$2:S50),"")</f>
        <v>49</v>
      </c>
    </row>
    <row r="51" customFormat="false" ht="15" hidden="false" customHeight="false" outlineLevel="0" collapsed="false">
      <c r="A51" s="16" t="n">
        <v>50</v>
      </c>
      <c r="B51" s="16" t="s">
        <v>191</v>
      </c>
      <c r="C51" s="16" t="s">
        <v>192</v>
      </c>
      <c r="D51" s="16" t="s">
        <v>43</v>
      </c>
      <c r="E51" s="16" t="s">
        <v>72</v>
      </c>
      <c r="F51" s="16" t="s">
        <v>122</v>
      </c>
      <c r="G51" s="16" t="s">
        <v>46</v>
      </c>
      <c r="H51" s="16" t="s">
        <v>61</v>
      </c>
      <c r="I51" s="17" t="n">
        <v>0.75</v>
      </c>
      <c r="J51" s="18" t="n">
        <v>46035</v>
      </c>
      <c r="K51" s="18" t="n">
        <v>46100</v>
      </c>
      <c r="L51" s="16" t="n">
        <v>48</v>
      </c>
      <c r="M51" s="16" t="s">
        <v>61</v>
      </c>
      <c r="N51" s="16" t="s">
        <v>99</v>
      </c>
      <c r="O51" s="16" t="s">
        <v>75</v>
      </c>
      <c r="P51" s="16" t="s">
        <v>76</v>
      </c>
      <c r="Q51" s="16" t="n">
        <f aca="false">IF(AND(K51&lt;&gt;"",K51&lt;Cockpit!$H$6,H51&lt;&gt;"Abgeschlossen"),1,0)</f>
        <v>1</v>
      </c>
      <c r="R51" s="16" t="n">
        <v>0</v>
      </c>
      <c r="S51" s="16" t="n">
        <f aca="false">IF(AND(OR(Cockpit!$B$6="(Alle)",D51=Cockpit!$B$6),OR(Cockpit!$C$6="(Alle)",E51=Cockpit!$C$6),OR(Cockpit!$D$6="(Alle)",F51=Cockpit!$D$6),OR(Cockpit!$E$6="(Alle)",G51=Cockpit!$E$6),OR(Cockpit!$F$6="(Alle)",H51=Cockpit!$F$6),OR(Cockpit!$G$6="(Alle)",O51=Cockpit!$G$6)),1,0)</f>
        <v>1</v>
      </c>
      <c r="T51" s="16" t="n">
        <f aca="false">IF(S51=1,SUM($S$2:S51),"")</f>
        <v>50</v>
      </c>
    </row>
    <row r="52" customFormat="false" ht="15" hidden="false" customHeight="false" outlineLevel="0" collapsed="false">
      <c r="A52" s="16" t="n">
        <v>51</v>
      </c>
      <c r="B52" s="16" t="s">
        <v>193</v>
      </c>
      <c r="C52" s="16" t="s">
        <v>194</v>
      </c>
      <c r="D52" s="16" t="s">
        <v>43</v>
      </c>
      <c r="E52" s="16" t="s">
        <v>72</v>
      </c>
      <c r="F52" s="16" t="s">
        <v>122</v>
      </c>
      <c r="G52" s="16" t="s">
        <v>46</v>
      </c>
      <c r="H52" s="16" t="s">
        <v>61</v>
      </c>
      <c r="I52" s="17" t="n">
        <v>0.75</v>
      </c>
      <c r="J52" s="18" t="n">
        <v>46035</v>
      </c>
      <c r="K52" s="18" t="n">
        <v>46100</v>
      </c>
      <c r="L52" s="16" t="n">
        <v>48</v>
      </c>
      <c r="M52" s="16" t="s">
        <v>61</v>
      </c>
      <c r="N52" s="16" t="s">
        <v>99</v>
      </c>
      <c r="O52" s="16" t="s">
        <v>75</v>
      </c>
      <c r="P52" s="16" t="s">
        <v>76</v>
      </c>
      <c r="Q52" s="16" t="n">
        <f aca="false">IF(AND(K52&lt;&gt;"",K52&lt;Cockpit!$H$6,H52&lt;&gt;"Abgeschlossen"),1,0)</f>
        <v>1</v>
      </c>
      <c r="R52" s="16" t="n">
        <v>0</v>
      </c>
      <c r="S52" s="16" t="n">
        <f aca="false">IF(AND(OR(Cockpit!$B$6="(Alle)",D52=Cockpit!$B$6),OR(Cockpit!$C$6="(Alle)",E52=Cockpit!$C$6),OR(Cockpit!$D$6="(Alle)",F52=Cockpit!$D$6),OR(Cockpit!$E$6="(Alle)",G52=Cockpit!$E$6),OR(Cockpit!$F$6="(Alle)",H52=Cockpit!$F$6),OR(Cockpit!$G$6="(Alle)",O52=Cockpit!$G$6)),1,0)</f>
        <v>1</v>
      </c>
      <c r="T52" s="16" t="n">
        <f aca="false">IF(S52=1,SUM($S$2:S52),"")</f>
        <v>51</v>
      </c>
    </row>
    <row r="53" customFormat="false" ht="15" hidden="false" customHeight="false" outlineLevel="0" collapsed="false">
      <c r="A53" s="16" t="n">
        <v>52</v>
      </c>
      <c r="B53" s="16" t="s">
        <v>195</v>
      </c>
      <c r="C53" s="16" t="s">
        <v>196</v>
      </c>
      <c r="D53" s="16" t="s">
        <v>89</v>
      </c>
      <c r="E53" s="16" t="s">
        <v>72</v>
      </c>
      <c r="F53" s="16" t="s">
        <v>114</v>
      </c>
      <c r="G53" s="16" t="s">
        <v>46</v>
      </c>
      <c r="H53" s="16" t="s">
        <v>61</v>
      </c>
      <c r="I53" s="17" t="n">
        <v>0.25</v>
      </c>
      <c r="J53" s="18" t="n">
        <v>46034</v>
      </c>
      <c r="K53" s="18" t="n">
        <v>46173</v>
      </c>
      <c r="L53" s="16" t="n">
        <v>100</v>
      </c>
      <c r="M53" s="16" t="s">
        <v>61</v>
      </c>
      <c r="N53" s="16" t="s">
        <v>86</v>
      </c>
      <c r="O53" s="16" t="s">
        <v>115</v>
      </c>
      <c r="P53" s="16" t="s">
        <v>86</v>
      </c>
      <c r="Q53" s="16" t="n">
        <f aca="false">IF(AND(K53&lt;&gt;"",K53&lt;Cockpit!$H$6,H53&lt;&gt;"Abgeschlossen"),1,0)</f>
        <v>1</v>
      </c>
      <c r="R53" s="16" t="n">
        <v>0</v>
      </c>
      <c r="S53" s="16" t="n">
        <f aca="false">IF(AND(OR(Cockpit!$B$6="(Alle)",D53=Cockpit!$B$6),OR(Cockpit!$C$6="(Alle)",E53=Cockpit!$C$6),OR(Cockpit!$D$6="(Alle)",F53=Cockpit!$D$6),OR(Cockpit!$E$6="(Alle)",G53=Cockpit!$E$6),OR(Cockpit!$F$6="(Alle)",H53=Cockpit!$F$6),OR(Cockpit!$G$6="(Alle)",O53=Cockpit!$G$6)),1,0)</f>
        <v>1</v>
      </c>
      <c r="T53" s="16" t="n">
        <f aca="false">IF(S53=1,SUM($S$2:S53),"")</f>
        <v>52</v>
      </c>
    </row>
    <row r="54" customFormat="false" ht="15" hidden="false" customHeight="false" outlineLevel="0" collapsed="false">
      <c r="A54" s="16" t="n">
        <v>53</v>
      </c>
      <c r="B54" s="16" t="s">
        <v>197</v>
      </c>
      <c r="C54" s="16" t="s">
        <v>198</v>
      </c>
      <c r="D54" s="16" t="s">
        <v>89</v>
      </c>
      <c r="E54" s="16" t="s">
        <v>143</v>
      </c>
      <c r="F54" s="16" t="s">
        <v>144</v>
      </c>
      <c r="G54" s="16" t="s">
        <v>46</v>
      </c>
      <c r="H54" s="16" t="s">
        <v>61</v>
      </c>
      <c r="I54" s="17" t="n">
        <v>0.5</v>
      </c>
      <c r="J54" s="18" t="n">
        <v>45945</v>
      </c>
      <c r="K54" s="18"/>
      <c r="L54" s="16"/>
      <c r="M54" s="16" t="s">
        <v>91</v>
      </c>
      <c r="N54" s="16" t="s">
        <v>145</v>
      </c>
      <c r="O54" s="16" t="s">
        <v>146</v>
      </c>
      <c r="P54" s="16" t="s">
        <v>147</v>
      </c>
      <c r="Q54" s="16" t="n">
        <f aca="false">IF(AND(K54&lt;&gt;"",K54&lt;Cockpit!$H$6,H54&lt;&gt;"Abgeschlossen"),1,0)</f>
        <v>0</v>
      </c>
      <c r="R54" s="16" t="n">
        <v>0</v>
      </c>
      <c r="S54" s="16" t="n">
        <f aca="false">IF(AND(OR(Cockpit!$B$6="(Alle)",D54=Cockpit!$B$6),OR(Cockpit!$C$6="(Alle)",E54=Cockpit!$C$6),OR(Cockpit!$D$6="(Alle)",F54=Cockpit!$D$6),OR(Cockpit!$E$6="(Alle)",G54=Cockpit!$E$6),OR(Cockpit!$F$6="(Alle)",H54=Cockpit!$F$6),OR(Cockpit!$G$6="(Alle)",O54=Cockpit!$G$6)),1,0)</f>
        <v>1</v>
      </c>
      <c r="T54" s="16" t="n">
        <f aca="false">IF(S54=1,SUM($S$2:S54),"")</f>
        <v>53</v>
      </c>
    </row>
    <row r="55" customFormat="false" ht="15" hidden="false" customHeight="false" outlineLevel="0" collapsed="false">
      <c r="A55" s="16" t="n">
        <v>54</v>
      </c>
      <c r="B55" s="16" t="s">
        <v>199</v>
      </c>
      <c r="C55" s="16" t="s">
        <v>200</v>
      </c>
      <c r="D55" s="16" t="s">
        <v>89</v>
      </c>
      <c r="E55" s="16" t="s">
        <v>72</v>
      </c>
      <c r="F55" s="16" t="s">
        <v>114</v>
      </c>
      <c r="G55" s="16" t="s">
        <v>46</v>
      </c>
      <c r="H55" s="16" t="s">
        <v>61</v>
      </c>
      <c r="I55" s="17" t="n">
        <v>0.25</v>
      </c>
      <c r="J55" s="18" t="n">
        <v>46034</v>
      </c>
      <c r="K55" s="18" t="n">
        <v>46173</v>
      </c>
      <c r="L55" s="16" t="n">
        <v>100</v>
      </c>
      <c r="M55" s="16" t="s">
        <v>61</v>
      </c>
      <c r="N55" s="16" t="s">
        <v>86</v>
      </c>
      <c r="O55" s="16" t="s">
        <v>115</v>
      </c>
      <c r="P55" s="16" t="s">
        <v>86</v>
      </c>
      <c r="Q55" s="16" t="n">
        <f aca="false">IF(AND(K55&lt;&gt;"",K55&lt;Cockpit!$H$6,H55&lt;&gt;"Abgeschlossen"),1,0)</f>
        <v>1</v>
      </c>
      <c r="R55" s="16" t="n">
        <v>0</v>
      </c>
      <c r="S55" s="16" t="n">
        <f aca="false">IF(AND(OR(Cockpit!$B$6="(Alle)",D55=Cockpit!$B$6),OR(Cockpit!$C$6="(Alle)",E55=Cockpit!$C$6),OR(Cockpit!$D$6="(Alle)",F55=Cockpit!$D$6),OR(Cockpit!$E$6="(Alle)",G55=Cockpit!$E$6),OR(Cockpit!$F$6="(Alle)",H55=Cockpit!$F$6),OR(Cockpit!$G$6="(Alle)",O55=Cockpit!$G$6)),1,0)</f>
        <v>1</v>
      </c>
      <c r="T55" s="16" t="n">
        <f aca="false">IF(S55=1,SUM($S$2:S55),"")</f>
        <v>54</v>
      </c>
    </row>
    <row r="56" customFormat="false" ht="15" hidden="false" customHeight="false" outlineLevel="0" collapsed="false">
      <c r="A56" s="16" t="n">
        <v>55</v>
      </c>
      <c r="B56" s="16" t="s">
        <v>201</v>
      </c>
      <c r="C56" s="16" t="s">
        <v>202</v>
      </c>
      <c r="D56" s="16" t="s">
        <v>89</v>
      </c>
      <c r="E56" s="16" t="s">
        <v>162</v>
      </c>
      <c r="F56" s="16" t="s">
        <v>163</v>
      </c>
      <c r="G56" s="16" t="s">
        <v>46</v>
      </c>
      <c r="H56" s="16" t="s">
        <v>61</v>
      </c>
      <c r="I56" s="17" t="n">
        <v>0.25</v>
      </c>
      <c r="J56" s="18" t="n">
        <v>45931</v>
      </c>
      <c r="K56" s="18" t="n">
        <v>46295</v>
      </c>
      <c r="L56" s="16" t="n">
        <v>261</v>
      </c>
      <c r="M56" s="16" t="s">
        <v>61</v>
      </c>
      <c r="N56" s="16" t="s">
        <v>164</v>
      </c>
      <c r="O56" s="16" t="s">
        <v>165</v>
      </c>
      <c r="P56" s="16" t="s">
        <v>74</v>
      </c>
      <c r="Q56" s="16" t="n">
        <f aca="false">IF(AND(K56&lt;&gt;"",K56&lt;Cockpit!$H$6,H56&lt;&gt;"Abgeschlossen"),1,0)</f>
        <v>0</v>
      </c>
      <c r="R56" s="16" t="n">
        <v>0</v>
      </c>
      <c r="S56" s="16" t="n">
        <f aca="false">IF(AND(OR(Cockpit!$B$6="(Alle)",D56=Cockpit!$B$6),OR(Cockpit!$C$6="(Alle)",E56=Cockpit!$C$6),OR(Cockpit!$D$6="(Alle)",F56=Cockpit!$D$6),OR(Cockpit!$E$6="(Alle)",G56=Cockpit!$E$6),OR(Cockpit!$F$6="(Alle)",H56=Cockpit!$F$6),OR(Cockpit!$G$6="(Alle)",O56=Cockpit!$G$6)),1,0)</f>
        <v>1</v>
      </c>
      <c r="T56" s="16" t="n">
        <f aca="false">IF(S56=1,SUM($S$2:S56),"")</f>
        <v>55</v>
      </c>
    </row>
    <row r="57" customFormat="false" ht="15" hidden="false" customHeight="false" outlineLevel="0" collapsed="false">
      <c r="A57" s="16" t="n">
        <v>56</v>
      </c>
      <c r="B57" s="16" t="s">
        <v>203</v>
      </c>
      <c r="C57" s="16" t="s">
        <v>204</v>
      </c>
      <c r="D57" s="16" t="s">
        <v>89</v>
      </c>
      <c r="E57" s="16" t="s">
        <v>143</v>
      </c>
      <c r="F57" s="16" t="s">
        <v>144</v>
      </c>
      <c r="G57" s="16" t="s">
        <v>46</v>
      </c>
      <c r="H57" s="16" t="s">
        <v>61</v>
      </c>
      <c r="I57" s="17" t="n">
        <v>0.5</v>
      </c>
      <c r="J57" s="18" t="n">
        <v>45945</v>
      </c>
      <c r="K57" s="18"/>
      <c r="L57" s="16"/>
      <c r="M57" s="16" t="s">
        <v>91</v>
      </c>
      <c r="N57" s="16" t="s">
        <v>145</v>
      </c>
      <c r="O57" s="16" t="s">
        <v>146</v>
      </c>
      <c r="P57" s="16" t="s">
        <v>147</v>
      </c>
      <c r="Q57" s="16" t="n">
        <f aca="false">IF(AND(K57&lt;&gt;"",K57&lt;Cockpit!$H$6,H57&lt;&gt;"Abgeschlossen"),1,0)</f>
        <v>0</v>
      </c>
      <c r="R57" s="16" t="n">
        <v>0</v>
      </c>
      <c r="S57" s="16" t="n">
        <f aca="false">IF(AND(OR(Cockpit!$B$6="(Alle)",D57=Cockpit!$B$6),OR(Cockpit!$C$6="(Alle)",E57=Cockpit!$C$6),OR(Cockpit!$D$6="(Alle)",F57=Cockpit!$D$6),OR(Cockpit!$E$6="(Alle)",G57=Cockpit!$E$6),OR(Cockpit!$F$6="(Alle)",H57=Cockpit!$F$6),OR(Cockpit!$G$6="(Alle)",O57=Cockpit!$G$6)),1,0)</f>
        <v>1</v>
      </c>
      <c r="T57" s="16" t="n">
        <f aca="false">IF(S57=1,SUM($S$2:S57),"")</f>
        <v>56</v>
      </c>
    </row>
    <row r="58" customFormat="false" ht="15" hidden="false" customHeight="false" outlineLevel="0" collapsed="false">
      <c r="A58" s="16" t="n">
        <v>57</v>
      </c>
      <c r="B58" s="16" t="s">
        <v>205</v>
      </c>
      <c r="C58" s="16" t="s">
        <v>205</v>
      </c>
      <c r="D58" s="16" t="s">
        <v>58</v>
      </c>
      <c r="E58" s="16" t="s">
        <v>72</v>
      </c>
      <c r="F58" s="16" t="s">
        <v>205</v>
      </c>
      <c r="G58" s="16" t="s">
        <v>73</v>
      </c>
      <c r="H58" s="16" t="s">
        <v>61</v>
      </c>
      <c r="I58" s="17" t="n">
        <v>0.25</v>
      </c>
      <c r="J58" s="18" t="n">
        <v>46143</v>
      </c>
      <c r="K58" s="18" t="n">
        <v>46326</v>
      </c>
      <c r="L58" s="16" t="n">
        <v>55</v>
      </c>
      <c r="M58" s="16" t="s">
        <v>91</v>
      </c>
      <c r="N58" s="16" t="s">
        <v>206</v>
      </c>
      <c r="O58" s="16" t="s">
        <v>75</v>
      </c>
      <c r="P58" s="16" t="s">
        <v>207</v>
      </c>
      <c r="Q58" s="16" t="n">
        <f aca="false">IF(AND(K58&lt;&gt;"",K58&lt;Cockpit!$H$6,H58&lt;&gt;"Abgeschlossen"),1,0)</f>
        <v>0</v>
      </c>
      <c r="R58" s="16" t="n">
        <v>0</v>
      </c>
      <c r="S58" s="16" t="n">
        <f aca="false">IF(AND(OR(Cockpit!$B$6="(Alle)",D58=Cockpit!$B$6),OR(Cockpit!$C$6="(Alle)",E58=Cockpit!$C$6),OR(Cockpit!$D$6="(Alle)",F58=Cockpit!$D$6),OR(Cockpit!$E$6="(Alle)",G58=Cockpit!$E$6),OR(Cockpit!$F$6="(Alle)",H58=Cockpit!$F$6),OR(Cockpit!$G$6="(Alle)",O58=Cockpit!$G$6)),1,0)</f>
        <v>1</v>
      </c>
      <c r="T58" s="16" t="n">
        <f aca="false">IF(S58=1,SUM($S$2:S58),"")</f>
        <v>57</v>
      </c>
    </row>
    <row r="59" customFormat="false" ht="15" hidden="false" customHeight="false" outlineLevel="0" collapsed="false">
      <c r="A59" s="16" t="n">
        <v>58</v>
      </c>
      <c r="B59" s="16" t="s">
        <v>208</v>
      </c>
      <c r="C59" s="16" t="s">
        <v>209</v>
      </c>
      <c r="D59" s="16" t="s">
        <v>43</v>
      </c>
      <c r="E59" s="16" t="s">
        <v>72</v>
      </c>
      <c r="F59" s="16" t="s">
        <v>122</v>
      </c>
      <c r="G59" s="16" t="s">
        <v>46</v>
      </c>
      <c r="H59" s="16" t="s">
        <v>61</v>
      </c>
      <c r="I59" s="17" t="n">
        <v>0.5</v>
      </c>
      <c r="J59" s="18" t="n">
        <v>46036</v>
      </c>
      <c r="K59" s="18" t="n">
        <v>46189</v>
      </c>
      <c r="L59" s="16" t="n">
        <v>91</v>
      </c>
      <c r="M59" s="16" t="s">
        <v>61</v>
      </c>
      <c r="N59" s="16" t="s">
        <v>123</v>
      </c>
      <c r="O59" s="16" t="s">
        <v>75</v>
      </c>
      <c r="P59" s="16" t="s">
        <v>76</v>
      </c>
      <c r="Q59" s="16" t="n">
        <f aca="false">IF(AND(K59&lt;&gt;"",K59&lt;Cockpit!$H$6,H59&lt;&gt;"Abgeschlossen"),1,0)</f>
        <v>1</v>
      </c>
      <c r="R59" s="16" t="n">
        <v>0</v>
      </c>
      <c r="S59" s="16" t="n">
        <f aca="false">IF(AND(OR(Cockpit!$B$6="(Alle)",D59=Cockpit!$B$6),OR(Cockpit!$C$6="(Alle)",E59=Cockpit!$C$6),OR(Cockpit!$D$6="(Alle)",F59=Cockpit!$D$6),OR(Cockpit!$E$6="(Alle)",G59=Cockpit!$E$6),OR(Cockpit!$F$6="(Alle)",H59=Cockpit!$F$6),OR(Cockpit!$G$6="(Alle)",O59=Cockpit!$G$6)),1,0)</f>
        <v>1</v>
      </c>
      <c r="T59" s="16" t="n">
        <f aca="false">IF(S59=1,SUM($S$2:S59),"")</f>
        <v>58</v>
      </c>
    </row>
    <row r="60" customFormat="false" ht="15" hidden="false" customHeight="false" outlineLevel="0" collapsed="false">
      <c r="A60" s="16" t="n">
        <v>59</v>
      </c>
      <c r="B60" s="16" t="s">
        <v>210</v>
      </c>
      <c r="C60" s="16" t="s">
        <v>211</v>
      </c>
      <c r="D60" s="16" t="s">
        <v>89</v>
      </c>
      <c r="E60" s="16" t="s">
        <v>143</v>
      </c>
      <c r="F60" s="16" t="s">
        <v>144</v>
      </c>
      <c r="G60" s="16" t="s">
        <v>46</v>
      </c>
      <c r="H60" s="16" t="s">
        <v>61</v>
      </c>
      <c r="I60" s="17" t="n">
        <v>0.5</v>
      </c>
      <c r="J60" s="18" t="n">
        <v>45945</v>
      </c>
      <c r="K60" s="18"/>
      <c r="L60" s="16"/>
      <c r="M60" s="16" t="s">
        <v>91</v>
      </c>
      <c r="N60" s="16" t="s">
        <v>145</v>
      </c>
      <c r="O60" s="16" t="s">
        <v>50</v>
      </c>
      <c r="P60" s="16" t="s">
        <v>147</v>
      </c>
      <c r="Q60" s="16" t="n">
        <f aca="false">IF(AND(K60&lt;&gt;"",K60&lt;Cockpit!$H$6,H60&lt;&gt;"Abgeschlossen"),1,0)</f>
        <v>0</v>
      </c>
      <c r="R60" s="16" t="n">
        <v>0</v>
      </c>
      <c r="S60" s="16" t="n">
        <f aca="false">IF(AND(OR(Cockpit!$B$6="(Alle)",D60=Cockpit!$B$6),OR(Cockpit!$C$6="(Alle)",E60=Cockpit!$C$6),OR(Cockpit!$D$6="(Alle)",F60=Cockpit!$D$6),OR(Cockpit!$E$6="(Alle)",G60=Cockpit!$E$6),OR(Cockpit!$F$6="(Alle)",H60=Cockpit!$F$6),OR(Cockpit!$G$6="(Alle)",O60=Cockpit!$G$6)),1,0)</f>
        <v>1</v>
      </c>
      <c r="T60" s="16" t="n">
        <f aca="false">IF(S60=1,SUM($S$2:S60),"")</f>
        <v>59</v>
      </c>
    </row>
    <row r="61" customFormat="false" ht="15" hidden="false" customHeight="false" outlineLevel="0" collapsed="false">
      <c r="A61" s="16" t="n">
        <v>60</v>
      </c>
      <c r="B61" s="16" t="s">
        <v>212</v>
      </c>
      <c r="C61" s="16" t="s">
        <v>213</v>
      </c>
      <c r="D61" s="16" t="s">
        <v>89</v>
      </c>
      <c r="E61" s="16" t="s">
        <v>162</v>
      </c>
      <c r="F61" s="16" t="s">
        <v>163</v>
      </c>
      <c r="G61" s="16" t="s">
        <v>54</v>
      </c>
      <c r="H61" s="16" t="s">
        <v>61</v>
      </c>
      <c r="I61" s="17" t="n">
        <v>0.25</v>
      </c>
      <c r="J61" s="18" t="n">
        <v>45931</v>
      </c>
      <c r="K61" s="18" t="n">
        <v>46295</v>
      </c>
      <c r="L61" s="16" t="n">
        <v>261</v>
      </c>
      <c r="M61" s="16" t="s">
        <v>61</v>
      </c>
      <c r="N61" s="16" t="s">
        <v>164</v>
      </c>
      <c r="O61" s="16" t="s">
        <v>165</v>
      </c>
      <c r="P61" s="16" t="s">
        <v>111</v>
      </c>
      <c r="Q61" s="16" t="n">
        <f aca="false">IF(AND(K61&lt;&gt;"",K61&lt;Cockpit!$H$6,H61&lt;&gt;"Abgeschlossen"),1,0)</f>
        <v>0</v>
      </c>
      <c r="R61" s="16" t="n">
        <v>0</v>
      </c>
      <c r="S61" s="16" t="n">
        <f aca="false">IF(AND(OR(Cockpit!$B$6="(Alle)",D61=Cockpit!$B$6),OR(Cockpit!$C$6="(Alle)",E61=Cockpit!$C$6),OR(Cockpit!$D$6="(Alle)",F61=Cockpit!$D$6),OR(Cockpit!$E$6="(Alle)",G61=Cockpit!$E$6),OR(Cockpit!$F$6="(Alle)",H61=Cockpit!$F$6),OR(Cockpit!$G$6="(Alle)",O61=Cockpit!$G$6)),1,0)</f>
        <v>1</v>
      </c>
      <c r="T61" s="16" t="n">
        <f aca="false">IF(S61=1,SUM($S$2:S61),"")</f>
        <v>60</v>
      </c>
    </row>
    <row r="62" customFormat="false" ht="15" hidden="false" customHeight="false" outlineLevel="0" collapsed="false">
      <c r="A62" s="16" t="n">
        <v>61</v>
      </c>
      <c r="B62" s="16" t="s">
        <v>214</v>
      </c>
      <c r="C62" s="16" t="s">
        <v>215</v>
      </c>
      <c r="D62" s="16" t="s">
        <v>89</v>
      </c>
      <c r="E62" s="16" t="s">
        <v>143</v>
      </c>
      <c r="F62" s="16" t="s">
        <v>144</v>
      </c>
      <c r="G62" s="16" t="s">
        <v>54</v>
      </c>
      <c r="H62" s="16" t="s">
        <v>61</v>
      </c>
      <c r="I62" s="17" t="n">
        <v>0.5</v>
      </c>
      <c r="J62" s="18" t="n">
        <v>45945</v>
      </c>
      <c r="K62" s="18"/>
      <c r="L62" s="16"/>
      <c r="M62" s="16" t="s">
        <v>91</v>
      </c>
      <c r="N62" s="16" t="s">
        <v>145</v>
      </c>
      <c r="O62" s="16" t="s">
        <v>146</v>
      </c>
      <c r="P62" s="16" t="s">
        <v>147</v>
      </c>
      <c r="Q62" s="16" t="n">
        <f aca="false">IF(AND(K62&lt;&gt;"",K62&lt;Cockpit!$H$6,H62&lt;&gt;"Abgeschlossen"),1,0)</f>
        <v>0</v>
      </c>
      <c r="R62" s="16" t="n">
        <v>0</v>
      </c>
      <c r="S62" s="16" t="n">
        <f aca="false">IF(AND(OR(Cockpit!$B$6="(Alle)",D62=Cockpit!$B$6),OR(Cockpit!$C$6="(Alle)",E62=Cockpit!$C$6),OR(Cockpit!$D$6="(Alle)",F62=Cockpit!$D$6),OR(Cockpit!$E$6="(Alle)",G62=Cockpit!$E$6),OR(Cockpit!$F$6="(Alle)",H62=Cockpit!$F$6),OR(Cockpit!$G$6="(Alle)",O62=Cockpit!$G$6)),1,0)</f>
        <v>1</v>
      </c>
      <c r="T62" s="16" t="n">
        <f aca="false">IF(S62=1,SUM($S$2:S62),"")</f>
        <v>61</v>
      </c>
    </row>
    <row r="63" customFormat="false" ht="15" hidden="false" customHeight="false" outlineLevel="0" collapsed="false">
      <c r="A63" s="16" t="n">
        <v>62</v>
      </c>
      <c r="B63" s="16" t="s">
        <v>90</v>
      </c>
      <c r="C63" s="16" t="s">
        <v>90</v>
      </c>
      <c r="D63" s="16" t="s">
        <v>89</v>
      </c>
      <c r="E63" s="16" t="s">
        <v>44</v>
      </c>
      <c r="F63" s="16" t="s">
        <v>90</v>
      </c>
      <c r="G63" s="16" t="s">
        <v>73</v>
      </c>
      <c r="H63" s="16" t="s">
        <v>61</v>
      </c>
      <c r="I63" s="17" t="n">
        <v>0.5</v>
      </c>
      <c r="J63" s="18" t="n">
        <v>46029</v>
      </c>
      <c r="K63" s="18" t="n">
        <v>46265</v>
      </c>
      <c r="L63" s="16" t="n">
        <v>169</v>
      </c>
      <c r="M63" s="16" t="s">
        <v>61</v>
      </c>
      <c r="N63" s="16" t="s">
        <v>92</v>
      </c>
      <c r="O63" s="16" t="s">
        <v>50</v>
      </c>
      <c r="P63" s="16" t="s">
        <v>216</v>
      </c>
      <c r="Q63" s="16" t="n">
        <f aca="false">IF(AND(K63&lt;&gt;"",K63&lt;Cockpit!$H$6,H63&lt;&gt;"Abgeschlossen"),1,0)</f>
        <v>1</v>
      </c>
      <c r="R63" s="16" t="n">
        <v>0</v>
      </c>
      <c r="S63" s="16" t="n">
        <f aca="false">IF(AND(OR(Cockpit!$B$6="(Alle)",D63=Cockpit!$B$6),OR(Cockpit!$C$6="(Alle)",E63=Cockpit!$C$6),OR(Cockpit!$D$6="(Alle)",F63=Cockpit!$D$6),OR(Cockpit!$E$6="(Alle)",G63=Cockpit!$E$6),OR(Cockpit!$F$6="(Alle)",H63=Cockpit!$F$6),OR(Cockpit!$G$6="(Alle)",O63=Cockpit!$G$6)),1,0)</f>
        <v>1</v>
      </c>
      <c r="T63" s="16" t="n">
        <f aca="false">IF(S63=1,SUM($S$2:S63),"")</f>
        <v>62</v>
      </c>
    </row>
    <row r="64" customFormat="false" ht="15" hidden="false" customHeight="false" outlineLevel="0" collapsed="false">
      <c r="A64" s="16" t="n">
        <v>63</v>
      </c>
      <c r="B64" s="16" t="s">
        <v>103</v>
      </c>
      <c r="C64" s="16" t="s">
        <v>103</v>
      </c>
      <c r="D64" s="16" t="s">
        <v>89</v>
      </c>
      <c r="E64" s="16" t="s">
        <v>72</v>
      </c>
      <c r="F64" s="16" t="s">
        <v>103</v>
      </c>
      <c r="G64" s="16" t="s">
        <v>73</v>
      </c>
      <c r="H64" s="16" t="s">
        <v>61</v>
      </c>
      <c r="I64" s="17" t="n">
        <v>0.78</v>
      </c>
      <c r="J64" s="18" t="n">
        <v>45971</v>
      </c>
      <c r="K64" s="18" t="n">
        <v>46157</v>
      </c>
      <c r="L64" s="16" t="n">
        <v>135</v>
      </c>
      <c r="M64" s="16" t="s">
        <v>48</v>
      </c>
      <c r="N64" s="16" t="s">
        <v>74</v>
      </c>
      <c r="O64" s="16" t="s">
        <v>74</v>
      </c>
      <c r="P64" s="16" t="s">
        <v>217</v>
      </c>
      <c r="Q64" s="16" t="n">
        <f aca="false">IF(AND(K64&lt;&gt;"",K64&lt;Cockpit!$H$6,H64&lt;&gt;"Abgeschlossen"),1,0)</f>
        <v>1</v>
      </c>
      <c r="R64" s="16" t="n">
        <v>0</v>
      </c>
      <c r="S64" s="16" t="n">
        <f aca="false">IF(AND(OR(Cockpit!$B$6="(Alle)",D64=Cockpit!$B$6),OR(Cockpit!$C$6="(Alle)",E64=Cockpit!$C$6),OR(Cockpit!$D$6="(Alle)",F64=Cockpit!$D$6),OR(Cockpit!$E$6="(Alle)",G64=Cockpit!$E$6),OR(Cockpit!$F$6="(Alle)",H64=Cockpit!$F$6),OR(Cockpit!$G$6="(Alle)",O64=Cockpit!$G$6)),1,0)</f>
        <v>1</v>
      </c>
      <c r="T64" s="16" t="n">
        <f aca="false">IF(S64=1,SUM($S$2:S64),"")</f>
        <v>63</v>
      </c>
    </row>
    <row r="65" customFormat="false" ht="15" hidden="false" customHeight="false" outlineLevel="0" collapsed="false">
      <c r="A65" s="16" t="n">
        <v>64</v>
      </c>
      <c r="B65" s="16" t="s">
        <v>114</v>
      </c>
      <c r="C65" s="16" t="s">
        <v>114</v>
      </c>
      <c r="D65" s="16" t="s">
        <v>89</v>
      </c>
      <c r="E65" s="16" t="s">
        <v>72</v>
      </c>
      <c r="F65" s="16" t="s">
        <v>114</v>
      </c>
      <c r="G65" s="16" t="s">
        <v>73</v>
      </c>
      <c r="H65" s="16" t="s">
        <v>61</v>
      </c>
      <c r="I65" s="17" t="n">
        <v>0.21</v>
      </c>
      <c r="J65" s="18" t="n">
        <v>45931</v>
      </c>
      <c r="K65" s="18" t="n">
        <v>46173</v>
      </c>
      <c r="L65" s="16" t="n">
        <v>173</v>
      </c>
      <c r="M65" s="16" t="s">
        <v>48</v>
      </c>
      <c r="N65" s="16" t="s">
        <v>86</v>
      </c>
      <c r="O65" s="16" t="s">
        <v>115</v>
      </c>
      <c r="P65" s="16" t="s">
        <v>70</v>
      </c>
      <c r="Q65" s="16" t="n">
        <f aca="false">IF(AND(K65&lt;&gt;"",K65&lt;Cockpit!$H$6,H65&lt;&gt;"Abgeschlossen"),1,0)</f>
        <v>1</v>
      </c>
      <c r="R65" s="16" t="n">
        <v>0</v>
      </c>
      <c r="S65" s="16" t="n">
        <f aca="false">IF(AND(OR(Cockpit!$B$6="(Alle)",D65=Cockpit!$B$6),OR(Cockpit!$C$6="(Alle)",E65=Cockpit!$C$6),OR(Cockpit!$D$6="(Alle)",F65=Cockpit!$D$6),OR(Cockpit!$E$6="(Alle)",G65=Cockpit!$E$6),OR(Cockpit!$F$6="(Alle)",H65=Cockpit!$F$6),OR(Cockpit!$G$6="(Alle)",O65=Cockpit!$G$6)),1,0)</f>
        <v>1</v>
      </c>
      <c r="T65" s="16" t="n">
        <f aca="false">IF(S65=1,SUM($S$2:S65),"")</f>
        <v>64</v>
      </c>
    </row>
    <row r="66" customFormat="false" ht="15" hidden="false" customHeight="false" outlineLevel="0" collapsed="false">
      <c r="A66" s="16" t="n">
        <v>65</v>
      </c>
      <c r="B66" s="16" t="s">
        <v>163</v>
      </c>
      <c r="C66" s="16" t="s">
        <v>163</v>
      </c>
      <c r="D66" s="16" t="s">
        <v>89</v>
      </c>
      <c r="E66" s="16" t="s">
        <v>218</v>
      </c>
      <c r="F66" s="16" t="s">
        <v>163</v>
      </c>
      <c r="G66" s="16" t="s">
        <v>73</v>
      </c>
      <c r="H66" s="16" t="s">
        <v>61</v>
      </c>
      <c r="I66" s="17" t="n">
        <v>0.22</v>
      </c>
      <c r="J66" s="18" t="n">
        <v>45931</v>
      </c>
      <c r="K66" s="18" t="n">
        <v>46295</v>
      </c>
      <c r="L66" s="16"/>
      <c r="M66" s="16" t="s">
        <v>48</v>
      </c>
      <c r="N66" s="16" t="s">
        <v>164</v>
      </c>
      <c r="O66" s="16" t="s">
        <v>165</v>
      </c>
      <c r="P66" s="16" t="s">
        <v>70</v>
      </c>
      <c r="Q66" s="16" t="n">
        <f aca="false">IF(AND(K66&lt;&gt;"",K66&lt;Cockpit!$H$6,H66&lt;&gt;"Abgeschlossen"),1,0)</f>
        <v>0</v>
      </c>
      <c r="R66" s="16" t="n">
        <v>0</v>
      </c>
      <c r="S66" s="16" t="n">
        <f aca="false">IF(AND(OR(Cockpit!$B$6="(Alle)",D66=Cockpit!$B$6),OR(Cockpit!$C$6="(Alle)",E66=Cockpit!$C$6),OR(Cockpit!$D$6="(Alle)",F66=Cockpit!$D$6),OR(Cockpit!$E$6="(Alle)",G66=Cockpit!$E$6),OR(Cockpit!$F$6="(Alle)",H66=Cockpit!$F$6),OR(Cockpit!$G$6="(Alle)",O66=Cockpit!$G$6)),1,0)</f>
        <v>1</v>
      </c>
      <c r="T66" s="16" t="n">
        <f aca="false">IF(S66=1,SUM($S$2:S66),"")</f>
        <v>65</v>
      </c>
    </row>
    <row r="67" customFormat="false" ht="15" hidden="false" customHeight="false" outlineLevel="0" collapsed="false">
      <c r="A67" s="16" t="n">
        <v>66</v>
      </c>
      <c r="B67" s="16" t="s">
        <v>219</v>
      </c>
      <c r="C67" s="16" t="s">
        <v>220</v>
      </c>
      <c r="D67" s="16" t="s">
        <v>89</v>
      </c>
      <c r="E67" s="16" t="s">
        <v>72</v>
      </c>
      <c r="F67" s="16" t="s">
        <v>103</v>
      </c>
      <c r="G67" s="16" t="s">
        <v>54</v>
      </c>
      <c r="H67" s="16" t="s">
        <v>61</v>
      </c>
      <c r="I67" s="17" t="n">
        <v>0.5</v>
      </c>
      <c r="J67" s="18" t="n">
        <v>46113</v>
      </c>
      <c r="K67" s="18" t="n">
        <v>46273</v>
      </c>
      <c r="L67" s="16" t="n">
        <v>115</v>
      </c>
      <c r="M67" s="16" t="s">
        <v>61</v>
      </c>
      <c r="N67" s="16" t="s">
        <v>221</v>
      </c>
      <c r="O67" s="16" t="s">
        <v>115</v>
      </c>
      <c r="P67" s="16" t="s">
        <v>217</v>
      </c>
      <c r="Q67" s="16" t="n">
        <f aca="false">IF(AND(K67&lt;&gt;"",K67&lt;Cockpit!$H$6,H67&lt;&gt;"Abgeschlossen"),1,0)</f>
        <v>0</v>
      </c>
      <c r="R67" s="16" t="n">
        <v>0</v>
      </c>
      <c r="S67" s="16" t="n">
        <f aca="false">IF(AND(OR(Cockpit!$B$6="(Alle)",D67=Cockpit!$B$6),OR(Cockpit!$C$6="(Alle)",E67=Cockpit!$C$6),OR(Cockpit!$D$6="(Alle)",F67=Cockpit!$D$6),OR(Cockpit!$E$6="(Alle)",G67=Cockpit!$E$6),OR(Cockpit!$F$6="(Alle)",H67=Cockpit!$F$6),OR(Cockpit!$G$6="(Alle)",O67=Cockpit!$G$6)),1,0)</f>
        <v>1</v>
      </c>
      <c r="T67" s="16" t="n">
        <f aca="false">IF(S67=1,SUM($S$2:S67),"")</f>
        <v>66</v>
      </c>
    </row>
    <row r="68" customFormat="false" ht="15" hidden="false" customHeight="false" outlineLevel="0" collapsed="false">
      <c r="A68" s="16" t="n">
        <v>67</v>
      </c>
      <c r="B68" s="16" t="s">
        <v>222</v>
      </c>
      <c r="C68" s="16" t="s">
        <v>223</v>
      </c>
      <c r="D68" s="16" t="s">
        <v>43</v>
      </c>
      <c r="E68" s="16" t="s">
        <v>72</v>
      </c>
      <c r="F68" s="16" t="s">
        <v>67</v>
      </c>
      <c r="G68" s="16" t="s">
        <v>54</v>
      </c>
      <c r="H68" s="16" t="s">
        <v>61</v>
      </c>
      <c r="I68" s="17" t="n">
        <v>0.5</v>
      </c>
      <c r="J68" s="18" t="n">
        <v>46073</v>
      </c>
      <c r="K68" s="18" t="n">
        <v>46203</v>
      </c>
      <c r="L68" s="16" t="n">
        <v>93</v>
      </c>
      <c r="M68" s="16" t="s">
        <v>61</v>
      </c>
      <c r="N68" s="16" t="s">
        <v>224</v>
      </c>
      <c r="O68" s="16" t="s">
        <v>151</v>
      </c>
      <c r="P68" s="16" t="s">
        <v>225</v>
      </c>
      <c r="Q68" s="16" t="n">
        <f aca="false">IF(AND(K68&lt;&gt;"",K68&lt;Cockpit!$H$6,H68&lt;&gt;"Abgeschlossen"),1,0)</f>
        <v>1</v>
      </c>
      <c r="R68" s="16" t="n">
        <v>0</v>
      </c>
      <c r="S68" s="16" t="n">
        <f aca="false">IF(AND(OR(Cockpit!$B$6="(Alle)",D68=Cockpit!$B$6),OR(Cockpit!$C$6="(Alle)",E68=Cockpit!$C$6),OR(Cockpit!$D$6="(Alle)",F68=Cockpit!$D$6),OR(Cockpit!$E$6="(Alle)",G68=Cockpit!$E$6),OR(Cockpit!$F$6="(Alle)",H68=Cockpit!$F$6),OR(Cockpit!$G$6="(Alle)",O68=Cockpit!$G$6)),1,0)</f>
        <v>1</v>
      </c>
      <c r="T68" s="16" t="n">
        <f aca="false">IF(S68=1,SUM($S$2:S68),"")</f>
        <v>67</v>
      </c>
    </row>
    <row r="69" customFormat="false" ht="15" hidden="false" customHeight="false" outlineLevel="0" collapsed="false">
      <c r="A69" s="16" t="n">
        <v>68</v>
      </c>
      <c r="B69" s="16" t="s">
        <v>226</v>
      </c>
      <c r="C69" s="16" t="s">
        <v>226</v>
      </c>
      <c r="D69" s="16" t="s">
        <v>58</v>
      </c>
      <c r="E69" s="16" t="s">
        <v>72</v>
      </c>
      <c r="F69" s="16" t="s">
        <v>226</v>
      </c>
      <c r="G69" s="16" t="s">
        <v>73</v>
      </c>
      <c r="H69" s="16" t="s">
        <v>61</v>
      </c>
      <c r="I69" s="17" t="n">
        <v>0.25</v>
      </c>
      <c r="J69" s="18" t="n">
        <v>46132</v>
      </c>
      <c r="K69" s="18" t="n">
        <v>46211</v>
      </c>
      <c r="L69" s="16" t="n">
        <v>118</v>
      </c>
      <c r="M69" s="16" t="s">
        <v>61</v>
      </c>
      <c r="N69" s="16" t="s">
        <v>227</v>
      </c>
      <c r="O69" s="16" t="s">
        <v>165</v>
      </c>
      <c r="P69" s="16" t="s">
        <v>228</v>
      </c>
      <c r="Q69" s="16" t="n">
        <f aca="false">IF(AND(K69&lt;&gt;"",K69&lt;Cockpit!$H$6,H69&lt;&gt;"Abgeschlossen"),1,0)</f>
        <v>1</v>
      </c>
      <c r="R69" s="16" t="n">
        <v>1</v>
      </c>
      <c r="S69" s="16" t="n">
        <f aca="false">IF(AND(OR(Cockpit!$B$6="(Alle)",D69=Cockpit!$B$6),OR(Cockpit!$C$6="(Alle)",E69=Cockpit!$C$6),OR(Cockpit!$D$6="(Alle)",F69=Cockpit!$D$6),OR(Cockpit!$E$6="(Alle)",G69=Cockpit!$E$6),OR(Cockpit!$F$6="(Alle)",H69=Cockpit!$F$6),OR(Cockpit!$G$6="(Alle)",O69=Cockpit!$G$6)),1,0)</f>
        <v>1</v>
      </c>
      <c r="T69" s="16" t="n">
        <f aca="false">IF(S69=1,SUM($S$2:S69),"")</f>
        <v>68</v>
      </c>
    </row>
    <row r="70" customFormat="false" ht="15" hidden="false" customHeight="false" outlineLevel="0" collapsed="false">
      <c r="A70" s="16" t="n">
        <v>69</v>
      </c>
      <c r="B70" s="16" t="s">
        <v>229</v>
      </c>
      <c r="C70" s="16" t="s">
        <v>229</v>
      </c>
      <c r="D70" s="16" t="s">
        <v>89</v>
      </c>
      <c r="E70" s="16" t="s">
        <v>44</v>
      </c>
      <c r="F70" s="16" t="s">
        <v>229</v>
      </c>
      <c r="G70" s="16" t="s">
        <v>73</v>
      </c>
      <c r="H70" s="16" t="s">
        <v>61</v>
      </c>
      <c r="I70" s="17" t="n">
        <v>0.5</v>
      </c>
      <c r="J70" s="18" t="n">
        <v>46055</v>
      </c>
      <c r="K70" s="18" t="n">
        <v>46232</v>
      </c>
      <c r="L70" s="16" t="n">
        <v>128</v>
      </c>
      <c r="M70" s="16" t="s">
        <v>61</v>
      </c>
      <c r="N70" s="16" t="s">
        <v>92</v>
      </c>
      <c r="O70" s="16" t="s">
        <v>50</v>
      </c>
      <c r="P70" s="16" t="s">
        <v>111</v>
      </c>
      <c r="Q70" s="16" t="n">
        <f aca="false">IF(AND(K70&lt;&gt;"",K70&lt;Cockpit!$H$6,H70&lt;&gt;"Abgeschlossen"),1,0)</f>
        <v>1</v>
      </c>
      <c r="R70" s="16" t="n">
        <v>0</v>
      </c>
      <c r="S70" s="16" t="n">
        <f aca="false">IF(AND(OR(Cockpit!$B$6="(Alle)",D70=Cockpit!$B$6),OR(Cockpit!$C$6="(Alle)",E70=Cockpit!$C$6),OR(Cockpit!$D$6="(Alle)",F70=Cockpit!$D$6),OR(Cockpit!$E$6="(Alle)",G70=Cockpit!$E$6),OR(Cockpit!$F$6="(Alle)",H70=Cockpit!$F$6),OR(Cockpit!$G$6="(Alle)",O70=Cockpit!$G$6)),1,0)</f>
        <v>1</v>
      </c>
      <c r="T70" s="16" t="n">
        <f aca="false">IF(S70=1,SUM($S$2:S70),"")</f>
        <v>69</v>
      </c>
    </row>
    <row r="71" customFormat="false" ht="15" hidden="false" customHeight="false" outlineLevel="0" collapsed="false">
      <c r="A71" s="16" t="n">
        <v>70</v>
      </c>
      <c r="B71" s="16" t="s">
        <v>230</v>
      </c>
      <c r="C71" s="16" t="s">
        <v>231</v>
      </c>
      <c r="D71" s="16" t="s">
        <v>89</v>
      </c>
      <c r="E71" s="16" t="s">
        <v>162</v>
      </c>
      <c r="F71" s="16" t="s">
        <v>163</v>
      </c>
      <c r="G71" s="16" t="s">
        <v>46</v>
      </c>
      <c r="H71" s="16" t="s">
        <v>61</v>
      </c>
      <c r="I71" s="17" t="n">
        <v>0.25</v>
      </c>
      <c r="J71" s="18" t="n">
        <v>45931</v>
      </c>
      <c r="K71" s="18" t="n">
        <v>46295</v>
      </c>
      <c r="L71" s="16" t="n">
        <v>261</v>
      </c>
      <c r="M71" s="16" t="s">
        <v>61</v>
      </c>
      <c r="N71" s="16" t="s">
        <v>164</v>
      </c>
      <c r="O71" s="16" t="s">
        <v>165</v>
      </c>
      <c r="P71" s="16" t="s">
        <v>111</v>
      </c>
      <c r="Q71" s="16" t="n">
        <f aca="false">IF(AND(K71&lt;&gt;"",K71&lt;Cockpit!$H$6,H71&lt;&gt;"Abgeschlossen"),1,0)</f>
        <v>0</v>
      </c>
      <c r="R71" s="16" t="n">
        <v>0</v>
      </c>
      <c r="S71" s="16" t="n">
        <f aca="false">IF(AND(OR(Cockpit!$B$6="(Alle)",D71=Cockpit!$B$6),OR(Cockpit!$C$6="(Alle)",E71=Cockpit!$C$6),OR(Cockpit!$D$6="(Alle)",F71=Cockpit!$D$6),OR(Cockpit!$E$6="(Alle)",G71=Cockpit!$E$6),OR(Cockpit!$F$6="(Alle)",H71=Cockpit!$F$6),OR(Cockpit!$G$6="(Alle)",O71=Cockpit!$G$6)),1,0)</f>
        <v>1</v>
      </c>
      <c r="T71" s="16" t="n">
        <f aca="false">IF(S71=1,SUM($S$2:S71),"")</f>
        <v>70</v>
      </c>
    </row>
    <row r="72" customFormat="false" ht="15" hidden="false" customHeight="false" outlineLevel="0" collapsed="false">
      <c r="A72" s="16" t="n">
        <v>71</v>
      </c>
      <c r="B72" s="16" t="s">
        <v>232</v>
      </c>
      <c r="C72" s="16" t="s">
        <v>233</v>
      </c>
      <c r="D72" s="16" t="s">
        <v>89</v>
      </c>
      <c r="E72" s="16" t="s">
        <v>162</v>
      </c>
      <c r="F72" s="16" t="s">
        <v>163</v>
      </c>
      <c r="G72" s="16" t="s">
        <v>46</v>
      </c>
      <c r="H72" s="16" t="s">
        <v>61</v>
      </c>
      <c r="I72" s="17" t="n">
        <v>0.25</v>
      </c>
      <c r="J72" s="18" t="n">
        <v>45931</v>
      </c>
      <c r="K72" s="18" t="n">
        <v>46295</v>
      </c>
      <c r="L72" s="16" t="n">
        <v>261</v>
      </c>
      <c r="M72" s="16" t="s">
        <v>61</v>
      </c>
      <c r="N72" s="16" t="s">
        <v>164</v>
      </c>
      <c r="O72" s="16" t="s">
        <v>165</v>
      </c>
      <c r="P72" s="16" t="s">
        <v>111</v>
      </c>
      <c r="Q72" s="16" t="n">
        <f aca="false">IF(AND(K72&lt;&gt;"",K72&lt;Cockpit!$H$6,H72&lt;&gt;"Abgeschlossen"),1,0)</f>
        <v>0</v>
      </c>
      <c r="R72" s="16" t="n">
        <v>0</v>
      </c>
      <c r="S72" s="16" t="n">
        <f aca="false">IF(AND(OR(Cockpit!$B$6="(Alle)",D72=Cockpit!$B$6),OR(Cockpit!$C$6="(Alle)",E72=Cockpit!$C$6),OR(Cockpit!$D$6="(Alle)",F72=Cockpit!$D$6),OR(Cockpit!$E$6="(Alle)",G72=Cockpit!$E$6),OR(Cockpit!$F$6="(Alle)",H72=Cockpit!$F$6),OR(Cockpit!$G$6="(Alle)",O72=Cockpit!$G$6)),1,0)</f>
        <v>1</v>
      </c>
      <c r="T72" s="16" t="n">
        <f aca="false">IF(S72=1,SUM($S$2:S72),"")</f>
        <v>71</v>
      </c>
    </row>
    <row r="73" customFormat="false" ht="15" hidden="false" customHeight="false" outlineLevel="0" collapsed="false">
      <c r="A73" s="16" t="n">
        <v>72</v>
      </c>
      <c r="B73" s="16" t="s">
        <v>144</v>
      </c>
      <c r="C73" s="16" t="s">
        <v>144</v>
      </c>
      <c r="D73" s="16" t="s">
        <v>89</v>
      </c>
      <c r="E73" s="16" t="s">
        <v>143</v>
      </c>
      <c r="F73" s="16" t="s">
        <v>144</v>
      </c>
      <c r="G73" s="16" t="s">
        <v>73</v>
      </c>
      <c r="H73" s="16" t="s">
        <v>61</v>
      </c>
      <c r="I73" s="17" t="n">
        <v>0.5</v>
      </c>
      <c r="J73" s="18" t="n">
        <v>45945</v>
      </c>
      <c r="K73" s="18" t="n">
        <v>46234</v>
      </c>
      <c r="L73" s="16" t="n">
        <v>208</v>
      </c>
      <c r="M73" s="16" t="s">
        <v>61</v>
      </c>
      <c r="N73" s="16" t="s">
        <v>145</v>
      </c>
      <c r="O73" s="16" t="s">
        <v>146</v>
      </c>
      <c r="P73" s="16" t="s">
        <v>147</v>
      </c>
      <c r="Q73" s="16" t="n">
        <f aca="false">IF(AND(K73&lt;&gt;"",K73&lt;Cockpit!$H$6,H73&lt;&gt;"Abgeschlossen"),1,0)</f>
        <v>1</v>
      </c>
      <c r="R73" s="16" t="n">
        <v>0</v>
      </c>
      <c r="S73" s="16" t="n">
        <f aca="false">IF(AND(OR(Cockpit!$B$6="(Alle)",D73=Cockpit!$B$6),OR(Cockpit!$C$6="(Alle)",E73=Cockpit!$C$6),OR(Cockpit!$D$6="(Alle)",F73=Cockpit!$D$6),OR(Cockpit!$E$6="(Alle)",G73=Cockpit!$E$6),OR(Cockpit!$F$6="(Alle)",H73=Cockpit!$F$6),OR(Cockpit!$G$6="(Alle)",O73=Cockpit!$G$6)),1,0)</f>
        <v>1</v>
      </c>
      <c r="T73" s="16" t="n">
        <f aca="false">IF(S73=1,SUM($S$2:S73),"")</f>
        <v>72</v>
      </c>
    </row>
    <row r="74" customFormat="false" ht="15" hidden="false" customHeight="false" outlineLevel="0" collapsed="false">
      <c r="A74" s="16" t="n">
        <v>73</v>
      </c>
      <c r="B74" s="16" t="s">
        <v>234</v>
      </c>
      <c r="C74" s="16" t="s">
        <v>235</v>
      </c>
      <c r="D74" s="16" t="s">
        <v>89</v>
      </c>
      <c r="E74" s="16" t="s">
        <v>143</v>
      </c>
      <c r="F74" s="16" t="s">
        <v>144</v>
      </c>
      <c r="G74" s="16" t="s">
        <v>54</v>
      </c>
      <c r="H74" s="16" t="s">
        <v>61</v>
      </c>
      <c r="I74" s="17" t="n">
        <v>0.5</v>
      </c>
      <c r="J74" s="18" t="n">
        <v>45945</v>
      </c>
      <c r="K74" s="18"/>
      <c r="L74" s="16"/>
      <c r="M74" s="16" t="s">
        <v>91</v>
      </c>
      <c r="N74" s="16" t="s">
        <v>145</v>
      </c>
      <c r="O74" s="16" t="s">
        <v>50</v>
      </c>
      <c r="P74" s="16" t="s">
        <v>147</v>
      </c>
      <c r="Q74" s="16" t="n">
        <f aca="false">IF(AND(K74&lt;&gt;"",K74&lt;Cockpit!$H$6,H74&lt;&gt;"Abgeschlossen"),1,0)</f>
        <v>0</v>
      </c>
      <c r="R74" s="16" t="n">
        <v>0</v>
      </c>
      <c r="S74" s="16" t="n">
        <f aca="false">IF(AND(OR(Cockpit!$B$6="(Alle)",D74=Cockpit!$B$6),OR(Cockpit!$C$6="(Alle)",E74=Cockpit!$C$6),OR(Cockpit!$D$6="(Alle)",F74=Cockpit!$D$6),OR(Cockpit!$E$6="(Alle)",G74=Cockpit!$E$6),OR(Cockpit!$F$6="(Alle)",H74=Cockpit!$F$6),OR(Cockpit!$G$6="(Alle)",O74=Cockpit!$G$6)),1,0)</f>
        <v>1</v>
      </c>
      <c r="T74" s="16" t="n">
        <f aca="false">IF(S74=1,SUM($S$2:S74),"")</f>
        <v>73</v>
      </c>
    </row>
    <row r="75" customFormat="false" ht="15" hidden="false" customHeight="false" outlineLevel="0" collapsed="false">
      <c r="A75" s="16" t="n">
        <v>74</v>
      </c>
      <c r="B75" s="16" t="s">
        <v>236</v>
      </c>
      <c r="C75" s="16" t="s">
        <v>237</v>
      </c>
      <c r="D75" s="16" t="s">
        <v>89</v>
      </c>
      <c r="E75" s="16" t="s">
        <v>143</v>
      </c>
      <c r="F75" s="16" t="s">
        <v>144</v>
      </c>
      <c r="G75" s="16" t="s">
        <v>54</v>
      </c>
      <c r="H75" s="16" t="s">
        <v>61</v>
      </c>
      <c r="I75" s="17" t="n">
        <v>0.5</v>
      </c>
      <c r="J75" s="18" t="n">
        <v>45945</v>
      </c>
      <c r="K75" s="18"/>
      <c r="L75" s="16"/>
      <c r="M75" s="16" t="s">
        <v>91</v>
      </c>
      <c r="N75" s="16" t="s">
        <v>145</v>
      </c>
      <c r="O75" s="16" t="s">
        <v>146</v>
      </c>
      <c r="P75" s="16" t="s">
        <v>147</v>
      </c>
      <c r="Q75" s="16" t="n">
        <f aca="false">IF(AND(K75&lt;&gt;"",K75&lt;Cockpit!$H$6,H75&lt;&gt;"Abgeschlossen"),1,0)</f>
        <v>0</v>
      </c>
      <c r="R75" s="16" t="n">
        <v>0</v>
      </c>
      <c r="S75" s="16" t="n">
        <f aca="false">IF(AND(OR(Cockpit!$B$6="(Alle)",D75=Cockpit!$B$6),OR(Cockpit!$C$6="(Alle)",E75=Cockpit!$C$6),OR(Cockpit!$D$6="(Alle)",F75=Cockpit!$D$6),OR(Cockpit!$E$6="(Alle)",G75=Cockpit!$E$6),OR(Cockpit!$F$6="(Alle)",H75=Cockpit!$F$6),OR(Cockpit!$G$6="(Alle)",O75=Cockpit!$G$6)),1,0)</f>
        <v>1</v>
      </c>
      <c r="T75" s="16" t="n">
        <f aca="false">IF(S75=1,SUM($S$2:S75),"")</f>
        <v>74</v>
      </c>
    </row>
    <row r="76" customFormat="false" ht="15" hidden="false" customHeight="false" outlineLevel="0" collapsed="false">
      <c r="A76" s="16" t="n">
        <v>75</v>
      </c>
      <c r="B76" s="16" t="s">
        <v>238</v>
      </c>
      <c r="C76" s="16" t="s">
        <v>239</v>
      </c>
      <c r="D76" s="16" t="s">
        <v>89</v>
      </c>
      <c r="E76" s="16" t="s">
        <v>162</v>
      </c>
      <c r="F76" s="16" t="s">
        <v>163</v>
      </c>
      <c r="G76" s="16" t="s">
        <v>46</v>
      </c>
      <c r="H76" s="16" t="s">
        <v>61</v>
      </c>
      <c r="I76" s="17" t="n">
        <v>0.25</v>
      </c>
      <c r="J76" s="18" t="n">
        <v>45931</v>
      </c>
      <c r="K76" s="18" t="n">
        <v>46295</v>
      </c>
      <c r="L76" s="16" t="n">
        <v>261</v>
      </c>
      <c r="M76" s="16" t="s">
        <v>61</v>
      </c>
      <c r="N76" s="16" t="s">
        <v>164</v>
      </c>
      <c r="O76" s="16" t="s">
        <v>165</v>
      </c>
      <c r="P76" s="16" t="s">
        <v>74</v>
      </c>
      <c r="Q76" s="16" t="n">
        <f aca="false">IF(AND(K76&lt;&gt;"",K76&lt;Cockpit!$H$6,H76&lt;&gt;"Abgeschlossen"),1,0)</f>
        <v>0</v>
      </c>
      <c r="R76" s="16" t="n">
        <v>0</v>
      </c>
      <c r="S76" s="16" t="n">
        <f aca="false">IF(AND(OR(Cockpit!$B$6="(Alle)",D76=Cockpit!$B$6),OR(Cockpit!$C$6="(Alle)",E76=Cockpit!$C$6),OR(Cockpit!$D$6="(Alle)",F76=Cockpit!$D$6),OR(Cockpit!$E$6="(Alle)",G76=Cockpit!$E$6),OR(Cockpit!$F$6="(Alle)",H76=Cockpit!$F$6),OR(Cockpit!$G$6="(Alle)",O76=Cockpit!$G$6)),1,0)</f>
        <v>1</v>
      </c>
      <c r="T76" s="16" t="n">
        <f aca="false">IF(S76=1,SUM($S$2:S76),"")</f>
        <v>75</v>
      </c>
    </row>
    <row r="77" customFormat="false" ht="15" hidden="false" customHeight="false" outlineLevel="0" collapsed="false">
      <c r="A77" s="16" t="n">
        <v>76</v>
      </c>
      <c r="B77" s="16" t="s">
        <v>240</v>
      </c>
      <c r="C77" s="16" t="s">
        <v>241</v>
      </c>
      <c r="D77" s="16" t="s">
        <v>58</v>
      </c>
      <c r="E77" s="16" t="s">
        <v>59</v>
      </c>
      <c r="F77" s="16" t="s">
        <v>60</v>
      </c>
      <c r="G77" s="16" t="s">
        <v>46</v>
      </c>
      <c r="H77" s="16" t="s">
        <v>61</v>
      </c>
      <c r="I77" s="17" t="n">
        <v>0.5</v>
      </c>
      <c r="J77" s="18" t="n">
        <v>45946</v>
      </c>
      <c r="K77" s="18" t="n">
        <v>46142</v>
      </c>
      <c r="L77" s="16" t="n">
        <v>141</v>
      </c>
      <c r="M77" s="16" t="s">
        <v>61</v>
      </c>
      <c r="N77" s="16" t="s">
        <v>74</v>
      </c>
      <c r="O77" s="16" t="s">
        <v>50</v>
      </c>
      <c r="P77" s="16" t="s">
        <v>63</v>
      </c>
      <c r="Q77" s="16" t="n">
        <f aca="false">IF(AND(K77&lt;&gt;"",K77&lt;Cockpit!$H$6,H77&lt;&gt;"Abgeschlossen"),1,0)</f>
        <v>1</v>
      </c>
      <c r="R77" s="16" t="n">
        <v>0</v>
      </c>
      <c r="S77" s="16" t="n">
        <f aca="false">IF(AND(OR(Cockpit!$B$6="(Alle)",D77=Cockpit!$B$6),OR(Cockpit!$C$6="(Alle)",E77=Cockpit!$C$6),OR(Cockpit!$D$6="(Alle)",F77=Cockpit!$D$6),OR(Cockpit!$E$6="(Alle)",G77=Cockpit!$E$6),OR(Cockpit!$F$6="(Alle)",H77=Cockpit!$F$6),OR(Cockpit!$G$6="(Alle)",O77=Cockpit!$G$6)),1,0)</f>
        <v>1</v>
      </c>
      <c r="T77" s="16" t="n">
        <f aca="false">IF(S77=1,SUM($S$2:S77),"")</f>
        <v>76</v>
      </c>
    </row>
    <row r="78" customFormat="false" ht="15" hidden="false" customHeight="false" outlineLevel="0" collapsed="false">
      <c r="A78" s="16" t="n">
        <v>77</v>
      </c>
      <c r="B78" s="16" t="s">
        <v>242</v>
      </c>
      <c r="C78" s="16" t="s">
        <v>243</v>
      </c>
      <c r="D78" s="16" t="s">
        <v>58</v>
      </c>
      <c r="E78" s="16" t="s">
        <v>181</v>
      </c>
      <c r="F78" s="16" t="s">
        <v>180</v>
      </c>
      <c r="G78" s="16" t="s">
        <v>54</v>
      </c>
      <c r="H78" s="16" t="s">
        <v>61</v>
      </c>
      <c r="I78" s="17" t="n">
        <v>0.5</v>
      </c>
      <c r="J78" s="18" t="n">
        <v>45949</v>
      </c>
      <c r="K78" s="18" t="n">
        <v>45991</v>
      </c>
      <c r="L78" s="16"/>
      <c r="M78" s="16" t="s">
        <v>61</v>
      </c>
      <c r="N78" s="16" t="s">
        <v>244</v>
      </c>
      <c r="O78" s="16" t="s">
        <v>115</v>
      </c>
      <c r="P78" s="16" t="s">
        <v>245</v>
      </c>
      <c r="Q78" s="16" t="n">
        <f aca="false">IF(AND(K78&lt;&gt;"",K78&lt;Cockpit!$H$6,H78&lt;&gt;"Abgeschlossen"),1,0)</f>
        <v>1</v>
      </c>
      <c r="R78" s="16" t="n">
        <v>0</v>
      </c>
      <c r="S78" s="16" t="n">
        <f aca="false">IF(AND(OR(Cockpit!$B$6="(Alle)",D78=Cockpit!$B$6),OR(Cockpit!$C$6="(Alle)",E78=Cockpit!$C$6),OR(Cockpit!$D$6="(Alle)",F78=Cockpit!$D$6),OR(Cockpit!$E$6="(Alle)",G78=Cockpit!$E$6),OR(Cockpit!$F$6="(Alle)",H78=Cockpit!$F$6),OR(Cockpit!$G$6="(Alle)",O78=Cockpit!$G$6)),1,0)</f>
        <v>1</v>
      </c>
      <c r="T78" s="16" t="n">
        <f aca="false">IF(S78=1,SUM($S$2:S78),"")</f>
        <v>77</v>
      </c>
    </row>
    <row r="79" customFormat="false" ht="15" hidden="false" customHeight="false" outlineLevel="0" collapsed="false">
      <c r="A79" s="16" t="n">
        <v>78</v>
      </c>
      <c r="B79" s="16" t="s">
        <v>246</v>
      </c>
      <c r="C79" s="16" t="s">
        <v>247</v>
      </c>
      <c r="D79" s="16" t="s">
        <v>58</v>
      </c>
      <c r="E79" s="16" t="s">
        <v>59</v>
      </c>
      <c r="F79" s="16" t="s">
        <v>60</v>
      </c>
      <c r="G79" s="16" t="s">
        <v>54</v>
      </c>
      <c r="H79" s="16" t="s">
        <v>61</v>
      </c>
      <c r="I79" s="17" t="n">
        <v>0.33</v>
      </c>
      <c r="J79" s="18" t="n">
        <v>45946</v>
      </c>
      <c r="K79" s="18" t="n">
        <v>46142</v>
      </c>
      <c r="L79" s="16" t="n">
        <v>141</v>
      </c>
      <c r="M79" s="16" t="s">
        <v>61</v>
      </c>
      <c r="N79" s="16" t="s">
        <v>74</v>
      </c>
      <c r="O79" s="16" t="s">
        <v>50</v>
      </c>
      <c r="P79" s="16" t="s">
        <v>63</v>
      </c>
      <c r="Q79" s="16" t="n">
        <f aca="false">IF(AND(K79&lt;&gt;"",K79&lt;Cockpit!$H$6,H79&lt;&gt;"Abgeschlossen"),1,0)</f>
        <v>1</v>
      </c>
      <c r="R79" s="16" t="n">
        <v>0</v>
      </c>
      <c r="S79" s="16" t="n">
        <f aca="false">IF(AND(OR(Cockpit!$B$6="(Alle)",D79=Cockpit!$B$6),OR(Cockpit!$C$6="(Alle)",E79=Cockpit!$C$6),OR(Cockpit!$D$6="(Alle)",F79=Cockpit!$D$6),OR(Cockpit!$E$6="(Alle)",G79=Cockpit!$E$6),OR(Cockpit!$F$6="(Alle)",H79=Cockpit!$F$6),OR(Cockpit!$G$6="(Alle)",O79=Cockpit!$G$6)),1,0)</f>
        <v>1</v>
      </c>
      <c r="T79" s="16" t="n">
        <f aca="false">IF(S79=1,SUM($S$2:S79),"")</f>
        <v>78</v>
      </c>
    </row>
    <row r="80" customFormat="false" ht="15" hidden="false" customHeight="false" outlineLevel="0" collapsed="false">
      <c r="A80" s="16" t="n">
        <v>79</v>
      </c>
      <c r="B80" s="16" t="s">
        <v>248</v>
      </c>
      <c r="C80" s="16" t="s">
        <v>249</v>
      </c>
      <c r="D80" s="16" t="s">
        <v>89</v>
      </c>
      <c r="E80" s="16" t="s">
        <v>72</v>
      </c>
      <c r="F80" s="16" t="s">
        <v>114</v>
      </c>
      <c r="G80" s="16" t="s">
        <v>54</v>
      </c>
      <c r="H80" s="16" t="s">
        <v>61</v>
      </c>
      <c r="I80" s="17" t="n">
        <v>0.25</v>
      </c>
      <c r="J80" s="18" t="n">
        <v>45931</v>
      </c>
      <c r="K80" s="18" t="n">
        <v>46173</v>
      </c>
      <c r="L80" s="16" t="n">
        <v>173</v>
      </c>
      <c r="M80" s="16" t="s">
        <v>61</v>
      </c>
      <c r="N80" s="16" t="s">
        <v>86</v>
      </c>
      <c r="O80" s="16" t="s">
        <v>115</v>
      </c>
      <c r="P80" s="16" t="s">
        <v>86</v>
      </c>
      <c r="Q80" s="16" t="n">
        <f aca="false">IF(AND(K80&lt;&gt;"",K80&lt;Cockpit!$H$6,H80&lt;&gt;"Abgeschlossen"),1,0)</f>
        <v>1</v>
      </c>
      <c r="R80" s="16" t="n">
        <v>0</v>
      </c>
      <c r="S80" s="16" t="n">
        <f aca="false">IF(AND(OR(Cockpit!$B$6="(Alle)",D80=Cockpit!$B$6),OR(Cockpit!$C$6="(Alle)",E80=Cockpit!$C$6),OR(Cockpit!$D$6="(Alle)",F80=Cockpit!$D$6),OR(Cockpit!$E$6="(Alle)",G80=Cockpit!$E$6),OR(Cockpit!$F$6="(Alle)",H80=Cockpit!$F$6),OR(Cockpit!$G$6="(Alle)",O80=Cockpit!$G$6)),1,0)</f>
        <v>1</v>
      </c>
      <c r="T80" s="16" t="n">
        <f aca="false">IF(S80=1,SUM($S$2:S80),"")</f>
        <v>79</v>
      </c>
    </row>
    <row r="81" customFormat="false" ht="15" hidden="false" customHeight="false" outlineLevel="0" collapsed="false">
      <c r="A81" s="16" t="n">
        <v>80</v>
      </c>
      <c r="B81" s="16" t="s">
        <v>250</v>
      </c>
      <c r="C81" s="16" t="s">
        <v>251</v>
      </c>
      <c r="D81" s="16" t="s">
        <v>58</v>
      </c>
      <c r="E81" s="16" t="s">
        <v>59</v>
      </c>
      <c r="F81" s="16" t="s">
        <v>60</v>
      </c>
      <c r="G81" s="16" t="s">
        <v>54</v>
      </c>
      <c r="H81" s="16" t="s">
        <v>61</v>
      </c>
      <c r="I81" s="17" t="n">
        <v>0.11</v>
      </c>
      <c r="J81" s="18" t="n">
        <v>45931</v>
      </c>
      <c r="K81" s="18" t="n">
        <v>46568</v>
      </c>
      <c r="L81" s="16" t="n">
        <v>456</v>
      </c>
      <c r="M81" s="16" t="s">
        <v>91</v>
      </c>
      <c r="N81" s="16" t="s">
        <v>97</v>
      </c>
      <c r="O81" s="16" t="s">
        <v>50</v>
      </c>
      <c r="P81" s="16" t="s">
        <v>63</v>
      </c>
      <c r="Q81" s="16" t="n">
        <f aca="false">IF(AND(K81&lt;&gt;"",K81&lt;Cockpit!$H$6,H81&lt;&gt;"Abgeschlossen"),1,0)</f>
        <v>0</v>
      </c>
      <c r="R81" s="16" t="n">
        <v>0</v>
      </c>
      <c r="S81" s="16" t="n">
        <f aca="false">IF(AND(OR(Cockpit!$B$6="(Alle)",D81=Cockpit!$B$6),OR(Cockpit!$C$6="(Alle)",E81=Cockpit!$C$6),OR(Cockpit!$D$6="(Alle)",F81=Cockpit!$D$6),OR(Cockpit!$E$6="(Alle)",G81=Cockpit!$E$6),OR(Cockpit!$F$6="(Alle)",H81=Cockpit!$F$6),OR(Cockpit!$G$6="(Alle)",O81=Cockpit!$G$6)),1,0)</f>
        <v>1</v>
      </c>
      <c r="T81" s="16" t="n">
        <f aca="false">IF(S81=1,SUM($S$2:S81),"")</f>
        <v>80</v>
      </c>
    </row>
    <row r="82" customFormat="false" ht="15" hidden="false" customHeight="false" outlineLevel="0" collapsed="false">
      <c r="A82" s="16" t="n">
        <v>81</v>
      </c>
      <c r="B82" s="16" t="s">
        <v>252</v>
      </c>
      <c r="C82" s="16" t="s">
        <v>253</v>
      </c>
      <c r="D82" s="16" t="s">
        <v>89</v>
      </c>
      <c r="E82" s="16" t="s">
        <v>72</v>
      </c>
      <c r="F82" s="16" t="s">
        <v>114</v>
      </c>
      <c r="G82" s="16" t="s">
        <v>46</v>
      </c>
      <c r="H82" s="16" t="s">
        <v>61</v>
      </c>
      <c r="I82" s="17" t="n">
        <v>0.25</v>
      </c>
      <c r="J82" s="18" t="n">
        <v>46034</v>
      </c>
      <c r="K82" s="18" t="n">
        <v>46173</v>
      </c>
      <c r="L82" s="16" t="n">
        <v>100</v>
      </c>
      <c r="M82" s="16" t="s">
        <v>61</v>
      </c>
      <c r="N82" s="16" t="s">
        <v>86</v>
      </c>
      <c r="O82" s="16" t="s">
        <v>115</v>
      </c>
      <c r="P82" s="16" t="s">
        <v>86</v>
      </c>
      <c r="Q82" s="16" t="n">
        <f aca="false">IF(AND(K82&lt;&gt;"",K82&lt;Cockpit!$H$6,H82&lt;&gt;"Abgeschlossen"),1,0)</f>
        <v>1</v>
      </c>
      <c r="R82" s="16" t="n">
        <v>0</v>
      </c>
      <c r="S82" s="16" t="n">
        <f aca="false">IF(AND(OR(Cockpit!$B$6="(Alle)",D82=Cockpit!$B$6),OR(Cockpit!$C$6="(Alle)",E82=Cockpit!$C$6),OR(Cockpit!$D$6="(Alle)",F82=Cockpit!$D$6),OR(Cockpit!$E$6="(Alle)",G82=Cockpit!$E$6),OR(Cockpit!$F$6="(Alle)",H82=Cockpit!$F$6),OR(Cockpit!$G$6="(Alle)",O82=Cockpit!$G$6)),1,0)</f>
        <v>1</v>
      </c>
      <c r="T82" s="16" t="n">
        <f aca="false">IF(S82=1,SUM($S$2:S82),"")</f>
        <v>81</v>
      </c>
    </row>
    <row r="83" customFormat="false" ht="15" hidden="false" customHeight="false" outlineLevel="0" collapsed="false">
      <c r="A83" s="16" t="n">
        <v>82</v>
      </c>
      <c r="B83" s="16" t="s">
        <v>254</v>
      </c>
      <c r="C83" s="16" t="s">
        <v>255</v>
      </c>
      <c r="D83" s="16" t="s">
        <v>58</v>
      </c>
      <c r="E83" s="16" t="s">
        <v>59</v>
      </c>
      <c r="F83" s="16" t="s">
        <v>60</v>
      </c>
      <c r="G83" s="16" t="s">
        <v>46</v>
      </c>
      <c r="H83" s="16" t="s">
        <v>61</v>
      </c>
      <c r="I83" s="17" t="n">
        <v>0.25</v>
      </c>
      <c r="J83" s="18" t="n">
        <v>45946</v>
      </c>
      <c r="K83" s="18" t="n">
        <v>46142</v>
      </c>
      <c r="L83" s="16" t="n">
        <v>141</v>
      </c>
      <c r="M83" s="16" t="s">
        <v>61</v>
      </c>
      <c r="N83" s="16" t="s">
        <v>74</v>
      </c>
      <c r="O83" s="16" t="s">
        <v>50</v>
      </c>
      <c r="P83" s="16" t="s">
        <v>63</v>
      </c>
      <c r="Q83" s="16" t="n">
        <f aca="false">IF(AND(K83&lt;&gt;"",K83&lt;Cockpit!$H$6,H83&lt;&gt;"Abgeschlossen"),1,0)</f>
        <v>1</v>
      </c>
      <c r="R83" s="16" t="n">
        <v>0</v>
      </c>
      <c r="S83" s="16" t="n">
        <f aca="false">IF(AND(OR(Cockpit!$B$6="(Alle)",D83=Cockpit!$B$6),OR(Cockpit!$C$6="(Alle)",E83=Cockpit!$C$6),OR(Cockpit!$D$6="(Alle)",F83=Cockpit!$D$6),OR(Cockpit!$E$6="(Alle)",G83=Cockpit!$E$6),OR(Cockpit!$F$6="(Alle)",H83=Cockpit!$F$6),OR(Cockpit!$G$6="(Alle)",O83=Cockpit!$G$6)),1,0)</f>
        <v>1</v>
      </c>
      <c r="T83" s="16" t="n">
        <f aca="false">IF(S83=1,SUM($S$2:S83),"")</f>
        <v>82</v>
      </c>
    </row>
    <row r="84" customFormat="false" ht="15" hidden="false" customHeight="false" outlineLevel="0" collapsed="false">
      <c r="A84" s="16" t="n">
        <v>83</v>
      </c>
      <c r="B84" s="16" t="s">
        <v>60</v>
      </c>
      <c r="C84" s="16" t="s">
        <v>60</v>
      </c>
      <c r="D84" s="16" t="s">
        <v>58</v>
      </c>
      <c r="E84" s="16" t="s">
        <v>59</v>
      </c>
      <c r="F84" s="16" t="s">
        <v>60</v>
      </c>
      <c r="G84" s="16" t="s">
        <v>73</v>
      </c>
      <c r="H84" s="16" t="s">
        <v>61</v>
      </c>
      <c r="I84" s="17" t="n">
        <v>0.15</v>
      </c>
      <c r="J84" s="18" t="n">
        <v>45931</v>
      </c>
      <c r="K84" s="18" t="n">
        <v>46568</v>
      </c>
      <c r="L84" s="16" t="n">
        <v>456</v>
      </c>
      <c r="M84" s="16" t="s">
        <v>48</v>
      </c>
      <c r="N84" s="16" t="s">
        <v>85</v>
      </c>
      <c r="O84" s="16" t="s">
        <v>86</v>
      </c>
      <c r="P84" s="16" t="s">
        <v>63</v>
      </c>
      <c r="Q84" s="16" t="n">
        <f aca="false">IF(AND(K84&lt;&gt;"",K84&lt;Cockpit!$H$6,H84&lt;&gt;"Abgeschlossen"),1,0)</f>
        <v>0</v>
      </c>
      <c r="R84" s="16" t="n">
        <v>0</v>
      </c>
      <c r="S84" s="16" t="n">
        <f aca="false">IF(AND(OR(Cockpit!$B$6="(Alle)",D84=Cockpit!$B$6),OR(Cockpit!$C$6="(Alle)",E84=Cockpit!$C$6),OR(Cockpit!$D$6="(Alle)",F84=Cockpit!$D$6),OR(Cockpit!$E$6="(Alle)",G84=Cockpit!$E$6),OR(Cockpit!$F$6="(Alle)",H84=Cockpit!$F$6),OR(Cockpit!$G$6="(Alle)",O84=Cockpit!$G$6)),1,0)</f>
        <v>1</v>
      </c>
      <c r="T84" s="16" t="n">
        <f aca="false">IF(S84=1,SUM($S$2:S84),"")</f>
        <v>83</v>
      </c>
    </row>
    <row r="85" customFormat="false" ht="15" hidden="false" customHeight="false" outlineLevel="0" collapsed="false">
      <c r="A85" s="16" t="n">
        <v>84</v>
      </c>
      <c r="B85" s="16" t="s">
        <v>256</v>
      </c>
      <c r="C85" s="16" t="s">
        <v>257</v>
      </c>
      <c r="D85" s="16" t="s">
        <v>89</v>
      </c>
      <c r="E85" s="16" t="s">
        <v>143</v>
      </c>
      <c r="F85" s="16" t="s">
        <v>144</v>
      </c>
      <c r="G85" s="16" t="s">
        <v>46</v>
      </c>
      <c r="H85" s="16" t="s">
        <v>61</v>
      </c>
      <c r="I85" s="17" t="n">
        <v>0.5</v>
      </c>
      <c r="J85" s="18" t="n">
        <v>45945</v>
      </c>
      <c r="K85" s="18"/>
      <c r="L85" s="16"/>
      <c r="M85" s="16" t="s">
        <v>91</v>
      </c>
      <c r="N85" s="16" t="s">
        <v>145</v>
      </c>
      <c r="O85" s="16" t="s">
        <v>146</v>
      </c>
      <c r="P85" s="16" t="s">
        <v>147</v>
      </c>
      <c r="Q85" s="16" t="n">
        <f aca="false">IF(AND(K85&lt;&gt;"",K85&lt;Cockpit!$H$6,H85&lt;&gt;"Abgeschlossen"),1,0)</f>
        <v>0</v>
      </c>
      <c r="R85" s="16" t="n">
        <v>0</v>
      </c>
      <c r="S85" s="16" t="n">
        <f aca="false">IF(AND(OR(Cockpit!$B$6="(Alle)",D85=Cockpit!$B$6),OR(Cockpit!$C$6="(Alle)",E85=Cockpit!$C$6),OR(Cockpit!$D$6="(Alle)",F85=Cockpit!$D$6),OR(Cockpit!$E$6="(Alle)",G85=Cockpit!$E$6),OR(Cockpit!$F$6="(Alle)",H85=Cockpit!$F$6),OR(Cockpit!$G$6="(Alle)",O85=Cockpit!$G$6)),1,0)</f>
        <v>1</v>
      </c>
      <c r="T85" s="16" t="n">
        <f aca="false">IF(S85=1,SUM($S$2:S85),"")</f>
        <v>84</v>
      </c>
    </row>
    <row r="86" customFormat="false" ht="15" hidden="false" customHeight="false" outlineLevel="0" collapsed="false">
      <c r="A86" s="16" t="n">
        <v>85</v>
      </c>
      <c r="B86" s="16" t="s">
        <v>258</v>
      </c>
      <c r="C86" s="16" t="s">
        <v>259</v>
      </c>
      <c r="D86" s="16" t="s">
        <v>89</v>
      </c>
      <c r="E86" s="16" t="s">
        <v>162</v>
      </c>
      <c r="F86" s="16" t="s">
        <v>163</v>
      </c>
      <c r="G86" s="16" t="s">
        <v>46</v>
      </c>
      <c r="H86" s="16" t="s">
        <v>61</v>
      </c>
      <c r="I86" s="17" t="n">
        <v>0.25</v>
      </c>
      <c r="J86" s="18" t="n">
        <v>45931</v>
      </c>
      <c r="K86" s="18" t="n">
        <v>46295</v>
      </c>
      <c r="L86" s="16" t="n">
        <v>261</v>
      </c>
      <c r="M86" s="16" t="s">
        <v>61</v>
      </c>
      <c r="N86" s="16" t="s">
        <v>164</v>
      </c>
      <c r="O86" s="16" t="s">
        <v>165</v>
      </c>
      <c r="P86" s="16" t="s">
        <v>74</v>
      </c>
      <c r="Q86" s="16" t="n">
        <f aca="false">IF(AND(K86&lt;&gt;"",K86&lt;Cockpit!$H$6,H86&lt;&gt;"Abgeschlossen"),1,0)</f>
        <v>0</v>
      </c>
      <c r="R86" s="16" t="n">
        <v>0</v>
      </c>
      <c r="S86" s="16" t="n">
        <f aca="false">IF(AND(OR(Cockpit!$B$6="(Alle)",D86=Cockpit!$B$6),OR(Cockpit!$C$6="(Alle)",E86=Cockpit!$C$6),OR(Cockpit!$D$6="(Alle)",F86=Cockpit!$D$6),OR(Cockpit!$E$6="(Alle)",G86=Cockpit!$E$6),OR(Cockpit!$F$6="(Alle)",H86=Cockpit!$F$6),OR(Cockpit!$G$6="(Alle)",O86=Cockpit!$G$6)),1,0)</f>
        <v>1</v>
      </c>
      <c r="T86" s="16" t="n">
        <f aca="false">IF(S86=1,SUM($S$2:S86),"")</f>
        <v>85</v>
      </c>
    </row>
    <row r="87" customFormat="false" ht="15" hidden="false" customHeight="false" outlineLevel="0" collapsed="false">
      <c r="A87" s="16" t="n">
        <v>86</v>
      </c>
      <c r="B87" s="16" t="s">
        <v>260</v>
      </c>
      <c r="C87" s="16" t="s">
        <v>261</v>
      </c>
      <c r="D87" s="16" t="s">
        <v>89</v>
      </c>
      <c r="E87" s="16" t="s">
        <v>143</v>
      </c>
      <c r="F87" s="16" t="s">
        <v>144</v>
      </c>
      <c r="G87" s="16" t="s">
        <v>46</v>
      </c>
      <c r="H87" s="16" t="s">
        <v>61</v>
      </c>
      <c r="I87" s="17" t="n">
        <v>0.5</v>
      </c>
      <c r="J87" s="18" t="n">
        <v>45945</v>
      </c>
      <c r="K87" s="18"/>
      <c r="L87" s="16"/>
      <c r="M87" s="16" t="s">
        <v>91</v>
      </c>
      <c r="N87" s="16" t="s">
        <v>145</v>
      </c>
      <c r="O87" s="16" t="s">
        <v>50</v>
      </c>
      <c r="P87" s="16" t="s">
        <v>147</v>
      </c>
      <c r="Q87" s="16" t="n">
        <f aca="false">IF(AND(K87&lt;&gt;"",K87&lt;Cockpit!$H$6,H87&lt;&gt;"Abgeschlossen"),1,0)</f>
        <v>0</v>
      </c>
      <c r="R87" s="16" t="n">
        <v>0</v>
      </c>
      <c r="S87" s="16" t="n">
        <f aca="false">IF(AND(OR(Cockpit!$B$6="(Alle)",D87=Cockpit!$B$6),OR(Cockpit!$C$6="(Alle)",E87=Cockpit!$C$6),OR(Cockpit!$D$6="(Alle)",F87=Cockpit!$D$6),OR(Cockpit!$E$6="(Alle)",G87=Cockpit!$E$6),OR(Cockpit!$F$6="(Alle)",H87=Cockpit!$F$6),OR(Cockpit!$G$6="(Alle)",O87=Cockpit!$G$6)),1,0)</f>
        <v>1</v>
      </c>
      <c r="T87" s="16" t="n">
        <f aca="false">IF(S87=1,SUM($S$2:S87),"")</f>
        <v>86</v>
      </c>
    </row>
    <row r="88" customFormat="false" ht="15" hidden="false" customHeight="false" outlineLevel="0" collapsed="false">
      <c r="A88" s="16" t="n">
        <v>87</v>
      </c>
      <c r="B88" s="16" t="s">
        <v>262</v>
      </c>
      <c r="C88" s="16" t="s">
        <v>263</v>
      </c>
      <c r="D88" s="16" t="s">
        <v>89</v>
      </c>
      <c r="E88" s="16" t="s">
        <v>143</v>
      </c>
      <c r="F88" s="16" t="s">
        <v>144</v>
      </c>
      <c r="G88" s="16" t="s">
        <v>46</v>
      </c>
      <c r="H88" s="16" t="s">
        <v>61</v>
      </c>
      <c r="I88" s="17" t="n">
        <v>0.5</v>
      </c>
      <c r="J88" s="18" t="n">
        <v>45945</v>
      </c>
      <c r="K88" s="18"/>
      <c r="L88" s="16"/>
      <c r="M88" s="16" t="s">
        <v>91</v>
      </c>
      <c r="N88" s="16" t="s">
        <v>145</v>
      </c>
      <c r="O88" s="16" t="s">
        <v>50</v>
      </c>
      <c r="P88" s="16" t="s">
        <v>147</v>
      </c>
      <c r="Q88" s="16" t="n">
        <f aca="false">IF(AND(K88&lt;&gt;"",K88&lt;Cockpit!$H$6,H88&lt;&gt;"Abgeschlossen"),1,0)</f>
        <v>0</v>
      </c>
      <c r="R88" s="16" t="n">
        <v>0</v>
      </c>
      <c r="S88" s="16" t="n">
        <f aca="false">IF(AND(OR(Cockpit!$B$6="(Alle)",D88=Cockpit!$B$6),OR(Cockpit!$C$6="(Alle)",E88=Cockpit!$C$6),OR(Cockpit!$D$6="(Alle)",F88=Cockpit!$D$6),OR(Cockpit!$E$6="(Alle)",G88=Cockpit!$E$6),OR(Cockpit!$F$6="(Alle)",H88=Cockpit!$F$6),OR(Cockpit!$G$6="(Alle)",O88=Cockpit!$G$6)),1,0)</f>
        <v>1</v>
      </c>
      <c r="T88" s="16" t="n">
        <f aca="false">IF(S88=1,SUM($S$2:S88),"")</f>
        <v>87</v>
      </c>
    </row>
    <row r="89" customFormat="false" ht="15" hidden="false" customHeight="false" outlineLevel="0" collapsed="false">
      <c r="A89" s="16" t="n">
        <v>88</v>
      </c>
      <c r="B89" s="16" t="s">
        <v>264</v>
      </c>
      <c r="C89" s="16" t="s">
        <v>265</v>
      </c>
      <c r="D89" s="16" t="s">
        <v>43</v>
      </c>
      <c r="E89" s="16" t="s">
        <v>72</v>
      </c>
      <c r="F89" s="16" t="s">
        <v>67</v>
      </c>
      <c r="G89" s="16" t="s">
        <v>54</v>
      </c>
      <c r="H89" s="16" t="s">
        <v>61</v>
      </c>
      <c r="I89" s="17" t="n">
        <v>0</v>
      </c>
      <c r="J89" s="18" t="n">
        <v>46146</v>
      </c>
      <c r="K89" s="18" t="n">
        <v>46234</v>
      </c>
      <c r="L89" s="16"/>
      <c r="M89" s="16" t="s">
        <v>61</v>
      </c>
      <c r="N89" s="16" t="s">
        <v>150</v>
      </c>
      <c r="O89" s="16" t="s">
        <v>151</v>
      </c>
      <c r="P89" s="16" t="s">
        <v>51</v>
      </c>
      <c r="Q89" s="16" t="n">
        <f aca="false">IF(AND(K89&lt;&gt;"",K89&lt;Cockpit!$H$6,H89&lt;&gt;"Abgeschlossen"),1,0)</f>
        <v>1</v>
      </c>
      <c r="R89" s="16" t="n">
        <v>0</v>
      </c>
      <c r="S89" s="16" t="n">
        <f aca="false">IF(AND(OR(Cockpit!$B$6="(Alle)",D89=Cockpit!$B$6),OR(Cockpit!$C$6="(Alle)",E89=Cockpit!$C$6),OR(Cockpit!$D$6="(Alle)",F89=Cockpit!$D$6),OR(Cockpit!$E$6="(Alle)",G89=Cockpit!$E$6),OR(Cockpit!$F$6="(Alle)",H89=Cockpit!$F$6),OR(Cockpit!$G$6="(Alle)",O89=Cockpit!$G$6)),1,0)</f>
        <v>1</v>
      </c>
      <c r="T89" s="16" t="n">
        <f aca="false">IF(S89=1,SUM($S$2:S89),"")</f>
        <v>88</v>
      </c>
    </row>
    <row r="90" customFormat="false" ht="15" hidden="false" customHeight="false" outlineLevel="0" collapsed="false">
      <c r="A90" s="16" t="n">
        <v>89</v>
      </c>
      <c r="B90" s="16" t="s">
        <v>81</v>
      </c>
      <c r="C90" s="16" t="s">
        <v>81</v>
      </c>
      <c r="D90" s="16" t="s">
        <v>43</v>
      </c>
      <c r="E90" s="16" t="s">
        <v>72</v>
      </c>
      <c r="F90" s="16" t="s">
        <v>81</v>
      </c>
      <c r="G90" s="16" t="s">
        <v>73</v>
      </c>
      <c r="H90" s="16" t="s">
        <v>266</v>
      </c>
      <c r="I90" s="17" t="n">
        <v>0</v>
      </c>
      <c r="J90" s="18" t="n">
        <v>46113</v>
      </c>
      <c r="K90" s="18" t="n">
        <v>46190</v>
      </c>
      <c r="L90" s="16" t="n">
        <v>56</v>
      </c>
      <c r="M90" s="16" t="s">
        <v>91</v>
      </c>
      <c r="N90" s="16" t="s">
        <v>74</v>
      </c>
      <c r="O90" s="16" t="s">
        <v>82</v>
      </c>
      <c r="P90" s="16" t="s">
        <v>74</v>
      </c>
      <c r="Q90" s="16" t="n">
        <f aca="false">IF(AND(K90&lt;&gt;"",K90&lt;Cockpit!$H$6,H90&lt;&gt;"Abgeschlossen"),1,0)</f>
        <v>1</v>
      </c>
      <c r="R90" s="16" t="n">
        <v>0</v>
      </c>
      <c r="S90" s="16" t="n">
        <f aca="false">IF(AND(OR(Cockpit!$B$6="(Alle)",D90=Cockpit!$B$6),OR(Cockpit!$C$6="(Alle)",E90=Cockpit!$C$6),OR(Cockpit!$D$6="(Alle)",F90=Cockpit!$D$6),OR(Cockpit!$E$6="(Alle)",G90=Cockpit!$E$6),OR(Cockpit!$F$6="(Alle)",H90=Cockpit!$F$6),OR(Cockpit!$G$6="(Alle)",O90=Cockpit!$G$6)),1,0)</f>
        <v>1</v>
      </c>
      <c r="T90" s="16" t="n">
        <f aca="false">IF(S90=1,SUM($S$2:S90),"")</f>
        <v>89</v>
      </c>
    </row>
    <row r="91" customFormat="false" ht="15" hidden="false" customHeight="false" outlineLevel="0" collapsed="false">
      <c r="A91" s="16" t="n">
        <v>90</v>
      </c>
      <c r="B91" s="16" t="s">
        <v>267</v>
      </c>
      <c r="C91" s="16" t="s">
        <v>268</v>
      </c>
      <c r="D91" s="16" t="s">
        <v>58</v>
      </c>
      <c r="E91" s="16" t="s">
        <v>59</v>
      </c>
      <c r="F91" s="16" t="s">
        <v>60</v>
      </c>
      <c r="G91" s="16" t="s">
        <v>54</v>
      </c>
      <c r="H91" s="16" t="s">
        <v>266</v>
      </c>
      <c r="I91" s="17" t="n">
        <v>0</v>
      </c>
      <c r="J91" s="18" t="n">
        <v>45931</v>
      </c>
      <c r="K91" s="18" t="n">
        <v>46387</v>
      </c>
      <c r="L91" s="16"/>
      <c r="M91" s="16" t="s">
        <v>48</v>
      </c>
      <c r="N91" s="16" t="s">
        <v>85</v>
      </c>
      <c r="O91" s="16" t="s">
        <v>86</v>
      </c>
      <c r="P91" s="16" t="s">
        <v>63</v>
      </c>
      <c r="Q91" s="16" t="n">
        <f aca="false">IF(AND(K91&lt;&gt;"",K91&lt;Cockpit!$H$6,H91&lt;&gt;"Abgeschlossen"),1,0)</f>
        <v>0</v>
      </c>
      <c r="R91" s="16" t="n">
        <v>0</v>
      </c>
      <c r="S91" s="16" t="n">
        <f aca="false">IF(AND(OR(Cockpit!$B$6="(Alle)",D91=Cockpit!$B$6),OR(Cockpit!$C$6="(Alle)",E91=Cockpit!$C$6),OR(Cockpit!$D$6="(Alle)",F91=Cockpit!$D$6),OR(Cockpit!$E$6="(Alle)",G91=Cockpit!$E$6),OR(Cockpit!$F$6="(Alle)",H91=Cockpit!$F$6),OR(Cockpit!$G$6="(Alle)",O91=Cockpit!$G$6)),1,0)</f>
        <v>1</v>
      </c>
      <c r="T91" s="16" t="n">
        <f aca="false">IF(S91=1,SUM($S$2:S91),"")</f>
        <v>90</v>
      </c>
    </row>
    <row r="92" customFormat="false" ht="15" hidden="false" customHeight="false" outlineLevel="0" collapsed="false">
      <c r="A92" s="16" t="n">
        <v>91</v>
      </c>
      <c r="B92" s="16" t="s">
        <v>269</v>
      </c>
      <c r="C92" s="16" t="s">
        <v>270</v>
      </c>
      <c r="D92" s="16" t="s">
        <v>58</v>
      </c>
      <c r="E92" s="16" t="s">
        <v>59</v>
      </c>
      <c r="F92" s="16" t="s">
        <v>60</v>
      </c>
      <c r="G92" s="16" t="s">
        <v>46</v>
      </c>
      <c r="H92" s="16" t="s">
        <v>266</v>
      </c>
      <c r="I92" s="17" t="n">
        <v>0</v>
      </c>
      <c r="J92" s="18" t="n">
        <v>45946</v>
      </c>
      <c r="K92" s="18" t="n">
        <v>45946</v>
      </c>
      <c r="L92" s="16" t="n">
        <v>0</v>
      </c>
      <c r="M92" s="16" t="s">
        <v>91</v>
      </c>
      <c r="N92" s="16" t="s">
        <v>97</v>
      </c>
      <c r="O92" s="16" t="s">
        <v>50</v>
      </c>
      <c r="P92" s="16" t="s">
        <v>63</v>
      </c>
      <c r="Q92" s="16" t="n">
        <f aca="false">IF(AND(K92&lt;&gt;"",K92&lt;Cockpit!$H$6,H92&lt;&gt;"Abgeschlossen"),1,0)</f>
        <v>1</v>
      </c>
      <c r="R92" s="16" t="n">
        <v>0</v>
      </c>
      <c r="S92" s="16" t="n">
        <f aca="false">IF(AND(OR(Cockpit!$B$6="(Alle)",D92=Cockpit!$B$6),OR(Cockpit!$C$6="(Alle)",E92=Cockpit!$C$6),OR(Cockpit!$D$6="(Alle)",F92=Cockpit!$D$6),OR(Cockpit!$E$6="(Alle)",G92=Cockpit!$E$6),OR(Cockpit!$F$6="(Alle)",H92=Cockpit!$F$6),OR(Cockpit!$G$6="(Alle)",O92=Cockpit!$G$6)),1,0)</f>
        <v>1</v>
      </c>
      <c r="T92" s="16" t="n">
        <f aca="false">IF(S92=1,SUM($S$2:S92),"")</f>
        <v>91</v>
      </c>
    </row>
    <row r="93" customFormat="false" ht="15" hidden="false" customHeight="false" outlineLevel="0" collapsed="false">
      <c r="A93" s="16" t="n">
        <v>92</v>
      </c>
      <c r="B93" s="16" t="s">
        <v>271</v>
      </c>
      <c r="C93" s="16" t="s">
        <v>272</v>
      </c>
      <c r="D93" s="16" t="s">
        <v>89</v>
      </c>
      <c r="E93" s="16" t="s">
        <v>162</v>
      </c>
      <c r="F93" s="16" t="s">
        <v>163</v>
      </c>
      <c r="G93" s="16" t="s">
        <v>54</v>
      </c>
      <c r="H93" s="16" t="s">
        <v>266</v>
      </c>
      <c r="I93" s="17" t="n">
        <v>0</v>
      </c>
      <c r="J93" s="18" t="n">
        <v>45931</v>
      </c>
      <c r="K93" s="18" t="n">
        <v>46295</v>
      </c>
      <c r="L93" s="16" t="n">
        <v>261</v>
      </c>
      <c r="M93" s="16" t="s">
        <v>91</v>
      </c>
      <c r="N93" s="16" t="s">
        <v>74</v>
      </c>
      <c r="O93" s="16" t="s">
        <v>165</v>
      </c>
      <c r="P93" s="16" t="s">
        <v>74</v>
      </c>
      <c r="Q93" s="16" t="n">
        <f aca="false">IF(AND(K93&lt;&gt;"",K93&lt;Cockpit!$H$6,H93&lt;&gt;"Abgeschlossen"),1,0)</f>
        <v>0</v>
      </c>
      <c r="R93" s="16" t="n">
        <v>0</v>
      </c>
      <c r="S93" s="16" t="n">
        <f aca="false">IF(AND(OR(Cockpit!$B$6="(Alle)",D93=Cockpit!$B$6),OR(Cockpit!$C$6="(Alle)",E93=Cockpit!$C$6),OR(Cockpit!$D$6="(Alle)",F93=Cockpit!$D$6),OR(Cockpit!$E$6="(Alle)",G93=Cockpit!$E$6),OR(Cockpit!$F$6="(Alle)",H93=Cockpit!$F$6),OR(Cockpit!$G$6="(Alle)",O93=Cockpit!$G$6)),1,0)</f>
        <v>1</v>
      </c>
      <c r="T93" s="16" t="n">
        <f aca="false">IF(S93=1,SUM($S$2:S93),"")</f>
        <v>92</v>
      </c>
    </row>
    <row r="94" customFormat="false" ht="15" hidden="false" customHeight="false" outlineLevel="0" collapsed="false">
      <c r="A94" s="16" t="n">
        <v>93</v>
      </c>
      <c r="B94" s="16" t="s">
        <v>273</v>
      </c>
      <c r="C94" s="16" t="s">
        <v>274</v>
      </c>
      <c r="D94" s="16" t="s">
        <v>58</v>
      </c>
      <c r="E94" s="16" t="s">
        <v>59</v>
      </c>
      <c r="F94" s="16" t="s">
        <v>60</v>
      </c>
      <c r="G94" s="16" t="s">
        <v>46</v>
      </c>
      <c r="H94" s="16" t="s">
        <v>266</v>
      </c>
      <c r="I94" s="17" t="n">
        <v>0</v>
      </c>
      <c r="J94" s="18" t="n">
        <v>45946</v>
      </c>
      <c r="K94" s="18" t="n">
        <v>45946</v>
      </c>
      <c r="L94" s="16" t="n">
        <v>0</v>
      </c>
      <c r="M94" s="16" t="s">
        <v>91</v>
      </c>
      <c r="N94" s="16" t="s">
        <v>97</v>
      </c>
      <c r="O94" s="16" t="s">
        <v>50</v>
      </c>
      <c r="P94" s="16" t="s">
        <v>63</v>
      </c>
      <c r="Q94" s="16" t="n">
        <f aca="false">IF(AND(K94&lt;&gt;"",K94&lt;Cockpit!$H$6,H94&lt;&gt;"Abgeschlossen"),1,0)</f>
        <v>1</v>
      </c>
      <c r="R94" s="16" t="n">
        <v>0</v>
      </c>
      <c r="S94" s="16" t="n">
        <f aca="false">IF(AND(OR(Cockpit!$B$6="(Alle)",D94=Cockpit!$B$6),OR(Cockpit!$C$6="(Alle)",E94=Cockpit!$C$6),OR(Cockpit!$D$6="(Alle)",F94=Cockpit!$D$6),OR(Cockpit!$E$6="(Alle)",G94=Cockpit!$E$6),OR(Cockpit!$F$6="(Alle)",H94=Cockpit!$F$6),OR(Cockpit!$G$6="(Alle)",O94=Cockpit!$G$6)),1,0)</f>
        <v>1</v>
      </c>
      <c r="T94" s="16" t="n">
        <f aca="false">IF(S94=1,SUM($S$2:S94),"")</f>
        <v>93</v>
      </c>
    </row>
    <row r="95" customFormat="false" ht="15" hidden="false" customHeight="false" outlineLevel="0" collapsed="false">
      <c r="A95" s="16" t="n">
        <v>94</v>
      </c>
      <c r="B95" s="16" t="s">
        <v>275</v>
      </c>
      <c r="C95" s="16" t="s">
        <v>276</v>
      </c>
      <c r="D95" s="16" t="s">
        <v>43</v>
      </c>
      <c r="E95" s="16" t="s">
        <v>72</v>
      </c>
      <c r="F95" s="16" t="s">
        <v>122</v>
      </c>
      <c r="G95" s="16" t="s">
        <v>46</v>
      </c>
      <c r="H95" s="16" t="s">
        <v>266</v>
      </c>
      <c r="I95" s="17" t="n">
        <v>0</v>
      </c>
      <c r="J95" s="18" t="n">
        <v>46127</v>
      </c>
      <c r="K95" s="18" t="n">
        <v>46234</v>
      </c>
      <c r="L95" s="16" t="n">
        <v>0</v>
      </c>
      <c r="M95" s="16" t="s">
        <v>91</v>
      </c>
      <c r="N95" s="16" t="s">
        <v>99</v>
      </c>
      <c r="O95" s="16" t="s">
        <v>75</v>
      </c>
      <c r="P95" s="16" t="s">
        <v>76</v>
      </c>
      <c r="Q95" s="16" t="n">
        <f aca="false">IF(AND(K95&lt;&gt;"",K95&lt;Cockpit!$H$6,H95&lt;&gt;"Abgeschlossen"),1,0)</f>
        <v>1</v>
      </c>
      <c r="R95" s="16" t="n">
        <v>0</v>
      </c>
      <c r="S95" s="16" t="n">
        <f aca="false">IF(AND(OR(Cockpit!$B$6="(Alle)",D95=Cockpit!$B$6),OR(Cockpit!$C$6="(Alle)",E95=Cockpit!$C$6),OR(Cockpit!$D$6="(Alle)",F95=Cockpit!$D$6),OR(Cockpit!$E$6="(Alle)",G95=Cockpit!$E$6),OR(Cockpit!$F$6="(Alle)",H95=Cockpit!$F$6),OR(Cockpit!$G$6="(Alle)",O95=Cockpit!$G$6)),1,0)</f>
        <v>1</v>
      </c>
      <c r="T95" s="16" t="n">
        <f aca="false">IF(S95=1,SUM($S$2:S95),"")</f>
        <v>94</v>
      </c>
    </row>
    <row r="96" customFormat="false" ht="15" hidden="false" customHeight="false" outlineLevel="0" collapsed="false">
      <c r="A96" s="16" t="n">
        <v>95</v>
      </c>
      <c r="B96" s="16" t="s">
        <v>277</v>
      </c>
      <c r="C96" s="16" t="s">
        <v>278</v>
      </c>
      <c r="D96" s="16" t="s">
        <v>43</v>
      </c>
      <c r="E96" s="16" t="s">
        <v>72</v>
      </c>
      <c r="F96" s="16" t="s">
        <v>122</v>
      </c>
      <c r="G96" s="16" t="s">
        <v>54</v>
      </c>
      <c r="H96" s="16" t="s">
        <v>266</v>
      </c>
      <c r="I96" s="17" t="n">
        <v>0</v>
      </c>
      <c r="J96" s="18" t="n">
        <v>46127</v>
      </c>
      <c r="K96" s="18"/>
      <c r="L96" s="16"/>
      <c r="M96" s="16" t="s">
        <v>91</v>
      </c>
      <c r="N96" s="16" t="s">
        <v>99</v>
      </c>
      <c r="O96" s="16" t="s">
        <v>75</v>
      </c>
      <c r="P96" s="16" t="s">
        <v>76</v>
      </c>
      <c r="Q96" s="16" t="n">
        <f aca="false">IF(AND(K96&lt;&gt;"",K96&lt;Cockpit!$H$6,H96&lt;&gt;"Abgeschlossen"),1,0)</f>
        <v>0</v>
      </c>
      <c r="R96" s="16" t="n">
        <v>0</v>
      </c>
      <c r="S96" s="16" t="n">
        <f aca="false">IF(AND(OR(Cockpit!$B$6="(Alle)",D96=Cockpit!$B$6),OR(Cockpit!$C$6="(Alle)",E96=Cockpit!$C$6),OR(Cockpit!$D$6="(Alle)",F96=Cockpit!$D$6),OR(Cockpit!$E$6="(Alle)",G96=Cockpit!$E$6),OR(Cockpit!$F$6="(Alle)",H96=Cockpit!$F$6),OR(Cockpit!$G$6="(Alle)",O96=Cockpit!$G$6)),1,0)</f>
        <v>1</v>
      </c>
      <c r="T96" s="16" t="n">
        <f aca="false">IF(S96=1,SUM($S$2:S96),"")</f>
        <v>95</v>
      </c>
    </row>
    <row r="97" customFormat="false" ht="15" hidden="false" customHeight="false" outlineLevel="0" collapsed="false">
      <c r="A97" s="16" t="n">
        <v>96</v>
      </c>
      <c r="B97" s="16" t="s">
        <v>279</v>
      </c>
      <c r="C97" s="16" t="s">
        <v>280</v>
      </c>
      <c r="D97" s="16" t="s">
        <v>43</v>
      </c>
      <c r="E97" s="16" t="s">
        <v>72</v>
      </c>
      <c r="F97" s="16" t="s">
        <v>122</v>
      </c>
      <c r="G97" s="16" t="s">
        <v>54</v>
      </c>
      <c r="H97" s="16" t="s">
        <v>281</v>
      </c>
      <c r="I97" s="17" t="n">
        <v>0</v>
      </c>
      <c r="J97" s="18"/>
      <c r="K97" s="18"/>
      <c r="L97" s="16"/>
      <c r="M97" s="16" t="s">
        <v>91</v>
      </c>
      <c r="N97" s="16" t="s">
        <v>74</v>
      </c>
      <c r="O97" s="16" t="s">
        <v>75</v>
      </c>
      <c r="P97" s="16" t="s">
        <v>138</v>
      </c>
      <c r="Q97" s="16" t="n">
        <f aca="false">IF(AND(K97&lt;&gt;"",K97&lt;Cockpit!$H$6,H97&lt;&gt;"Abgeschlossen"),1,0)</f>
        <v>0</v>
      </c>
      <c r="R97" s="16" t="n">
        <v>0</v>
      </c>
      <c r="S97" s="16" t="n">
        <f aca="false">IF(AND(OR(Cockpit!$B$6="(Alle)",D97=Cockpit!$B$6),OR(Cockpit!$C$6="(Alle)",E97=Cockpit!$C$6),OR(Cockpit!$D$6="(Alle)",F97=Cockpit!$D$6),OR(Cockpit!$E$6="(Alle)",G97=Cockpit!$E$6),OR(Cockpit!$F$6="(Alle)",H97=Cockpit!$F$6),OR(Cockpit!$G$6="(Alle)",O97=Cockpit!$G$6)),1,0)</f>
        <v>1</v>
      </c>
      <c r="T97" s="16" t="n">
        <f aca="false">IF(S97=1,SUM($S$2:S97),"")</f>
        <v>96</v>
      </c>
    </row>
    <row r="98" customFormat="false" ht="15" hidden="false" customHeight="false" outlineLevel="0" collapsed="false">
      <c r="A98" s="16" t="n">
        <v>97</v>
      </c>
      <c r="B98" s="16" t="s">
        <v>282</v>
      </c>
      <c r="C98" s="16" t="s">
        <v>283</v>
      </c>
      <c r="D98" s="16" t="s">
        <v>43</v>
      </c>
      <c r="E98" s="16" t="s">
        <v>72</v>
      </c>
      <c r="F98" s="16" t="s">
        <v>122</v>
      </c>
      <c r="G98" s="16" t="s">
        <v>46</v>
      </c>
      <c r="H98" s="16" t="s">
        <v>281</v>
      </c>
      <c r="I98" s="17" t="n">
        <v>0</v>
      </c>
      <c r="J98" s="18"/>
      <c r="K98" s="18"/>
      <c r="L98" s="16"/>
      <c r="M98" s="16" t="s">
        <v>91</v>
      </c>
      <c r="N98" s="16" t="s">
        <v>74</v>
      </c>
      <c r="O98" s="16" t="s">
        <v>75</v>
      </c>
      <c r="P98" s="16" t="s">
        <v>76</v>
      </c>
      <c r="Q98" s="16" t="n">
        <f aca="false">IF(AND(K98&lt;&gt;"",K98&lt;Cockpit!$H$6,H98&lt;&gt;"Abgeschlossen"),1,0)</f>
        <v>0</v>
      </c>
      <c r="R98" s="16" t="n">
        <v>0</v>
      </c>
      <c r="S98" s="16" t="n">
        <f aca="false">IF(AND(OR(Cockpit!$B$6="(Alle)",D98=Cockpit!$B$6),OR(Cockpit!$C$6="(Alle)",E98=Cockpit!$C$6),OR(Cockpit!$D$6="(Alle)",F98=Cockpit!$D$6),OR(Cockpit!$E$6="(Alle)",G98=Cockpit!$E$6),OR(Cockpit!$F$6="(Alle)",H98=Cockpit!$F$6),OR(Cockpit!$G$6="(Alle)",O98=Cockpit!$G$6)),1,0)</f>
        <v>1</v>
      </c>
      <c r="T98" s="16" t="n">
        <f aca="false">IF(S98=1,SUM($S$2:S98),"")</f>
        <v>97</v>
      </c>
    </row>
    <row r="99" customFormat="false" ht="15" hidden="false" customHeight="false" outlineLevel="0" collapsed="false">
      <c r="A99" s="16" t="n">
        <v>98</v>
      </c>
      <c r="B99" s="16" t="s">
        <v>284</v>
      </c>
      <c r="C99" s="16" t="s">
        <v>285</v>
      </c>
      <c r="D99" s="16" t="s">
        <v>43</v>
      </c>
      <c r="E99" s="16" t="s">
        <v>72</v>
      </c>
      <c r="F99" s="16" t="s">
        <v>122</v>
      </c>
      <c r="G99" s="16" t="s">
        <v>46</v>
      </c>
      <c r="H99" s="16" t="s">
        <v>281</v>
      </c>
      <c r="I99" s="17" t="n">
        <v>0</v>
      </c>
      <c r="J99" s="18"/>
      <c r="K99" s="18"/>
      <c r="L99" s="16"/>
      <c r="M99" s="16" t="s">
        <v>91</v>
      </c>
      <c r="N99" s="16" t="s">
        <v>74</v>
      </c>
      <c r="O99" s="16" t="s">
        <v>75</v>
      </c>
      <c r="P99" s="16" t="s">
        <v>76</v>
      </c>
      <c r="Q99" s="16" t="n">
        <f aca="false">IF(AND(K99&lt;&gt;"",K99&lt;Cockpit!$H$6,H99&lt;&gt;"Abgeschlossen"),1,0)</f>
        <v>0</v>
      </c>
      <c r="R99" s="16" t="n">
        <v>0</v>
      </c>
      <c r="S99" s="16" t="n">
        <f aca="false">IF(AND(OR(Cockpit!$B$6="(Alle)",D99=Cockpit!$B$6),OR(Cockpit!$C$6="(Alle)",E99=Cockpit!$C$6),OR(Cockpit!$D$6="(Alle)",F99=Cockpit!$D$6),OR(Cockpit!$E$6="(Alle)",G99=Cockpit!$E$6),OR(Cockpit!$F$6="(Alle)",H99=Cockpit!$F$6),OR(Cockpit!$G$6="(Alle)",O99=Cockpit!$G$6)),1,0)</f>
        <v>1</v>
      </c>
      <c r="T99" s="16" t="n">
        <f aca="false">IF(S99=1,SUM($S$2:S99),"")</f>
        <v>98</v>
      </c>
    </row>
    <row r="100" customFormat="false" ht="15" hidden="false" customHeight="false" outlineLevel="0" collapsed="false">
      <c r="A100" s="16" t="n">
        <v>99</v>
      </c>
      <c r="B100" s="16" t="s">
        <v>286</v>
      </c>
      <c r="C100" s="16" t="s">
        <v>287</v>
      </c>
      <c r="D100" s="16" t="s">
        <v>43</v>
      </c>
      <c r="E100" s="16" t="s">
        <v>72</v>
      </c>
      <c r="F100" s="16" t="s">
        <v>122</v>
      </c>
      <c r="G100" s="16" t="s">
        <v>46</v>
      </c>
      <c r="H100" s="16" t="s">
        <v>281</v>
      </c>
      <c r="I100" s="17" t="n">
        <v>0</v>
      </c>
      <c r="J100" s="18"/>
      <c r="K100" s="18"/>
      <c r="L100" s="16"/>
      <c r="M100" s="16" t="s">
        <v>91</v>
      </c>
      <c r="N100" s="16" t="s">
        <v>74</v>
      </c>
      <c r="O100" s="16" t="s">
        <v>75</v>
      </c>
      <c r="P100" s="16" t="s">
        <v>138</v>
      </c>
      <c r="Q100" s="16" t="n">
        <f aca="false">IF(AND(K100&lt;&gt;"",K100&lt;Cockpit!$H$6,H100&lt;&gt;"Abgeschlossen"),1,0)</f>
        <v>0</v>
      </c>
      <c r="R100" s="16" t="n">
        <v>0</v>
      </c>
      <c r="S100" s="16" t="n">
        <f aca="false">IF(AND(OR(Cockpit!$B$6="(Alle)",D100=Cockpit!$B$6),OR(Cockpit!$C$6="(Alle)",E100=Cockpit!$C$6),OR(Cockpit!$D$6="(Alle)",F100=Cockpit!$D$6),OR(Cockpit!$E$6="(Alle)",G100=Cockpit!$E$6),OR(Cockpit!$F$6="(Alle)",H100=Cockpit!$F$6),OR(Cockpit!$G$6="(Alle)",O100=Cockpit!$G$6)),1,0)</f>
        <v>1</v>
      </c>
      <c r="T100" s="16" t="n">
        <f aca="false">IF(S100=1,SUM($S$2:S100),"")</f>
        <v>99</v>
      </c>
    </row>
    <row r="101" customFormat="false" ht="15" hidden="false" customHeight="false" outlineLevel="0" collapsed="false">
      <c r="A101" s="16" t="n">
        <v>100</v>
      </c>
      <c r="B101" s="16" t="s">
        <v>288</v>
      </c>
      <c r="C101" s="16" t="s">
        <v>289</v>
      </c>
      <c r="D101" s="16" t="s">
        <v>43</v>
      </c>
      <c r="E101" s="16" t="s">
        <v>72</v>
      </c>
      <c r="F101" s="16" t="s">
        <v>122</v>
      </c>
      <c r="G101" s="16" t="s">
        <v>46</v>
      </c>
      <c r="H101" s="16" t="s">
        <v>281</v>
      </c>
      <c r="I101" s="17" t="n">
        <v>0</v>
      </c>
      <c r="J101" s="18"/>
      <c r="K101" s="18"/>
      <c r="L101" s="16"/>
      <c r="M101" s="16" t="s">
        <v>91</v>
      </c>
      <c r="N101" s="16" t="s">
        <v>74</v>
      </c>
      <c r="O101" s="16" t="s">
        <v>75</v>
      </c>
      <c r="P101" s="16" t="s">
        <v>76</v>
      </c>
      <c r="Q101" s="16" t="n">
        <f aca="false">IF(AND(K101&lt;&gt;"",K101&lt;Cockpit!$H$6,H101&lt;&gt;"Abgeschlossen"),1,0)</f>
        <v>0</v>
      </c>
      <c r="R101" s="16" t="n">
        <v>0</v>
      </c>
      <c r="S101" s="16" t="n">
        <f aca="false">IF(AND(OR(Cockpit!$B$6="(Alle)",D101=Cockpit!$B$6),OR(Cockpit!$C$6="(Alle)",E101=Cockpit!$C$6),OR(Cockpit!$D$6="(Alle)",F101=Cockpit!$D$6),OR(Cockpit!$E$6="(Alle)",G101=Cockpit!$E$6),OR(Cockpit!$F$6="(Alle)",H101=Cockpit!$F$6),OR(Cockpit!$G$6="(Alle)",O101=Cockpit!$G$6)),1,0)</f>
        <v>1</v>
      </c>
      <c r="T101" s="16" t="n">
        <f aca="false">IF(S101=1,SUM($S$2:S101),"")</f>
        <v>100</v>
      </c>
    </row>
    <row r="102" customFormat="false" ht="15" hidden="false" customHeight="false" outlineLevel="0" collapsed="false">
      <c r="A102" s="16" t="n">
        <v>101</v>
      </c>
      <c r="B102" s="16" t="s">
        <v>290</v>
      </c>
      <c r="C102" s="16" t="s">
        <v>291</v>
      </c>
      <c r="D102" s="16" t="s">
        <v>89</v>
      </c>
      <c r="E102" s="16" t="s">
        <v>72</v>
      </c>
      <c r="F102" s="16" t="s">
        <v>114</v>
      </c>
      <c r="G102" s="16" t="s">
        <v>46</v>
      </c>
      <c r="H102" s="16" t="s">
        <v>281</v>
      </c>
      <c r="I102" s="17" t="n">
        <v>0</v>
      </c>
      <c r="J102" s="18"/>
      <c r="K102" s="18" t="n">
        <v>45946</v>
      </c>
      <c r="L102" s="16"/>
      <c r="M102" s="16" t="s">
        <v>91</v>
      </c>
      <c r="N102" s="16" t="s">
        <v>99</v>
      </c>
      <c r="O102" s="16" t="s">
        <v>115</v>
      </c>
      <c r="P102" s="16" t="s">
        <v>116</v>
      </c>
      <c r="Q102" s="16" t="n">
        <f aca="false">IF(AND(K102&lt;&gt;"",K102&lt;Cockpit!$H$6,H102&lt;&gt;"Abgeschlossen"),1,0)</f>
        <v>1</v>
      </c>
      <c r="R102" s="16" t="n">
        <v>0</v>
      </c>
      <c r="S102" s="16" t="n">
        <f aca="false">IF(AND(OR(Cockpit!$B$6="(Alle)",D102=Cockpit!$B$6),OR(Cockpit!$C$6="(Alle)",E102=Cockpit!$C$6),OR(Cockpit!$D$6="(Alle)",F102=Cockpit!$D$6),OR(Cockpit!$E$6="(Alle)",G102=Cockpit!$E$6),OR(Cockpit!$F$6="(Alle)",H102=Cockpit!$F$6),OR(Cockpit!$G$6="(Alle)",O102=Cockpit!$G$6)),1,0)</f>
        <v>1</v>
      </c>
      <c r="T102" s="16" t="n">
        <f aca="false">IF(S102=1,SUM($S$2:S102),"")</f>
        <v>101</v>
      </c>
    </row>
    <row r="103" customFormat="false" ht="15" hidden="false" customHeight="false" outlineLevel="0" collapsed="false">
      <c r="A103" s="16" t="n">
        <v>102</v>
      </c>
      <c r="B103" s="16" t="s">
        <v>292</v>
      </c>
      <c r="C103" s="16" t="s">
        <v>293</v>
      </c>
      <c r="D103" s="16" t="s">
        <v>89</v>
      </c>
      <c r="E103" s="16" t="s">
        <v>72</v>
      </c>
      <c r="F103" s="16" t="s">
        <v>114</v>
      </c>
      <c r="G103" s="16" t="s">
        <v>46</v>
      </c>
      <c r="H103" s="16" t="s">
        <v>281</v>
      </c>
      <c r="I103" s="17" t="n">
        <v>0</v>
      </c>
      <c r="J103" s="18"/>
      <c r="K103" s="18" t="n">
        <v>45946</v>
      </c>
      <c r="L103" s="16"/>
      <c r="M103" s="16" t="s">
        <v>91</v>
      </c>
      <c r="N103" s="16" t="s">
        <v>99</v>
      </c>
      <c r="O103" s="16" t="s">
        <v>115</v>
      </c>
      <c r="P103" s="16" t="s">
        <v>116</v>
      </c>
      <c r="Q103" s="16" t="n">
        <f aca="false">IF(AND(K103&lt;&gt;"",K103&lt;Cockpit!$H$6,H103&lt;&gt;"Abgeschlossen"),1,0)</f>
        <v>1</v>
      </c>
      <c r="R103" s="16" t="n">
        <v>0</v>
      </c>
      <c r="S103" s="16" t="n">
        <f aca="false">IF(AND(OR(Cockpit!$B$6="(Alle)",D103=Cockpit!$B$6),OR(Cockpit!$C$6="(Alle)",E103=Cockpit!$C$6),OR(Cockpit!$D$6="(Alle)",F103=Cockpit!$D$6),OR(Cockpit!$E$6="(Alle)",G103=Cockpit!$E$6),OR(Cockpit!$F$6="(Alle)",H103=Cockpit!$F$6),OR(Cockpit!$G$6="(Alle)",O103=Cockpit!$G$6)),1,0)</f>
        <v>1</v>
      </c>
      <c r="T103" s="16" t="n">
        <f aca="false">IF(S103=1,SUM($S$2:S103),"")</f>
        <v>102</v>
      </c>
    </row>
    <row r="104" customFormat="false" ht="15" hidden="false" customHeight="false" outlineLevel="0" collapsed="false">
      <c r="A104" s="16" t="n">
        <v>103</v>
      </c>
      <c r="B104" s="16" t="s">
        <v>294</v>
      </c>
      <c r="C104" s="16" t="s">
        <v>295</v>
      </c>
      <c r="D104" s="16" t="s">
        <v>43</v>
      </c>
      <c r="E104" s="16" t="s">
        <v>72</v>
      </c>
      <c r="F104" s="16" t="s">
        <v>122</v>
      </c>
      <c r="G104" s="16" t="s">
        <v>46</v>
      </c>
      <c r="H104" s="16" t="s">
        <v>281</v>
      </c>
      <c r="I104" s="17" t="n">
        <v>0</v>
      </c>
      <c r="J104" s="18"/>
      <c r="K104" s="18"/>
      <c r="L104" s="16"/>
      <c r="M104" s="16" t="s">
        <v>91</v>
      </c>
      <c r="N104" s="16" t="s">
        <v>99</v>
      </c>
      <c r="O104" s="16" t="s">
        <v>75</v>
      </c>
      <c r="P104" s="16" t="s">
        <v>76</v>
      </c>
      <c r="Q104" s="16" t="n">
        <f aca="false">IF(AND(K104&lt;&gt;"",K104&lt;Cockpit!$H$6,H104&lt;&gt;"Abgeschlossen"),1,0)</f>
        <v>0</v>
      </c>
      <c r="R104" s="16" t="n">
        <v>0</v>
      </c>
      <c r="S104" s="16" t="n">
        <f aca="false">IF(AND(OR(Cockpit!$B$6="(Alle)",D104=Cockpit!$B$6),OR(Cockpit!$C$6="(Alle)",E104=Cockpit!$C$6),OR(Cockpit!$D$6="(Alle)",F104=Cockpit!$D$6),OR(Cockpit!$E$6="(Alle)",G104=Cockpit!$E$6),OR(Cockpit!$F$6="(Alle)",H104=Cockpit!$F$6),OR(Cockpit!$G$6="(Alle)",O104=Cockpit!$G$6)),1,0)</f>
        <v>1</v>
      </c>
      <c r="T104" s="16" t="n">
        <f aca="false">IF(S104=1,SUM($S$2:S104),"")</f>
        <v>103</v>
      </c>
    </row>
    <row r="105" customFormat="false" ht="15" hidden="false" customHeight="false" outlineLevel="0" collapsed="false">
      <c r="A105" s="16" t="n">
        <v>104</v>
      </c>
      <c r="B105" s="16" t="s">
        <v>296</v>
      </c>
      <c r="C105" s="16" t="s">
        <v>297</v>
      </c>
      <c r="D105" s="16" t="s">
        <v>43</v>
      </c>
      <c r="E105" s="16" t="s">
        <v>72</v>
      </c>
      <c r="F105" s="16" t="s">
        <v>122</v>
      </c>
      <c r="G105" s="16" t="s">
        <v>46</v>
      </c>
      <c r="H105" s="16" t="s">
        <v>281</v>
      </c>
      <c r="I105" s="17" t="n">
        <v>0</v>
      </c>
      <c r="J105" s="18"/>
      <c r="K105" s="18"/>
      <c r="L105" s="16"/>
      <c r="M105" s="16" t="s">
        <v>91</v>
      </c>
      <c r="N105" s="16" t="s">
        <v>99</v>
      </c>
      <c r="O105" s="16" t="s">
        <v>75</v>
      </c>
      <c r="P105" s="16" t="s">
        <v>76</v>
      </c>
      <c r="Q105" s="16" t="n">
        <f aca="false">IF(AND(K105&lt;&gt;"",K105&lt;Cockpit!$H$6,H105&lt;&gt;"Abgeschlossen"),1,0)</f>
        <v>0</v>
      </c>
      <c r="R105" s="16" t="n">
        <v>0</v>
      </c>
      <c r="S105" s="16" t="n">
        <f aca="false">IF(AND(OR(Cockpit!$B$6="(Alle)",D105=Cockpit!$B$6),OR(Cockpit!$C$6="(Alle)",E105=Cockpit!$C$6),OR(Cockpit!$D$6="(Alle)",F105=Cockpit!$D$6),OR(Cockpit!$E$6="(Alle)",G105=Cockpit!$E$6),OR(Cockpit!$F$6="(Alle)",H105=Cockpit!$F$6),OR(Cockpit!$G$6="(Alle)",O105=Cockpit!$G$6)),1,0)</f>
        <v>1</v>
      </c>
      <c r="T105" s="16" t="n">
        <f aca="false">IF(S105=1,SUM($S$2:S105),"")</f>
        <v>104</v>
      </c>
    </row>
    <row r="106" customFormat="false" ht="15" hidden="false" customHeight="false" outlineLevel="0" collapsed="false">
      <c r="A106" s="16" t="n">
        <v>105</v>
      </c>
      <c r="B106" s="16" t="s">
        <v>298</v>
      </c>
      <c r="C106" s="16" t="s">
        <v>299</v>
      </c>
      <c r="D106" s="16" t="s">
        <v>43</v>
      </c>
      <c r="E106" s="16" t="s">
        <v>72</v>
      </c>
      <c r="F106" s="16" t="s">
        <v>122</v>
      </c>
      <c r="G106" s="16" t="s">
        <v>46</v>
      </c>
      <c r="H106" s="16" t="s">
        <v>281</v>
      </c>
      <c r="I106" s="17" t="n">
        <v>0</v>
      </c>
      <c r="J106" s="18"/>
      <c r="K106" s="18"/>
      <c r="L106" s="16"/>
      <c r="M106" s="16" t="s">
        <v>91</v>
      </c>
      <c r="N106" s="16" t="s">
        <v>99</v>
      </c>
      <c r="O106" s="16" t="s">
        <v>75</v>
      </c>
      <c r="P106" s="16" t="s">
        <v>76</v>
      </c>
      <c r="Q106" s="16" t="n">
        <f aca="false">IF(AND(K106&lt;&gt;"",K106&lt;Cockpit!$H$6,H106&lt;&gt;"Abgeschlossen"),1,0)</f>
        <v>0</v>
      </c>
      <c r="R106" s="16" t="n">
        <v>0</v>
      </c>
      <c r="S106" s="16" t="n">
        <f aca="false">IF(AND(OR(Cockpit!$B$6="(Alle)",D106=Cockpit!$B$6),OR(Cockpit!$C$6="(Alle)",E106=Cockpit!$C$6),OR(Cockpit!$D$6="(Alle)",F106=Cockpit!$D$6),OR(Cockpit!$E$6="(Alle)",G106=Cockpit!$E$6),OR(Cockpit!$F$6="(Alle)",H106=Cockpit!$F$6),OR(Cockpit!$G$6="(Alle)",O106=Cockpit!$G$6)),1,0)</f>
        <v>1</v>
      </c>
      <c r="T106" s="16" t="n">
        <f aca="false">IF(S106=1,SUM($S$2:S106),"")</f>
        <v>105</v>
      </c>
    </row>
    <row r="107" customFormat="false" ht="15" hidden="false" customHeight="false" outlineLevel="0" collapsed="false">
      <c r="A107" s="16" t="n">
        <v>106</v>
      </c>
      <c r="B107" s="16" t="s">
        <v>300</v>
      </c>
      <c r="C107" s="16" t="s">
        <v>301</v>
      </c>
      <c r="D107" s="16" t="s">
        <v>43</v>
      </c>
      <c r="E107" s="16" t="s">
        <v>72</v>
      </c>
      <c r="F107" s="16" t="s">
        <v>122</v>
      </c>
      <c r="G107" s="16" t="s">
        <v>46</v>
      </c>
      <c r="H107" s="16" t="s">
        <v>281</v>
      </c>
      <c r="I107" s="17" t="n">
        <v>0</v>
      </c>
      <c r="J107" s="18"/>
      <c r="K107" s="18"/>
      <c r="L107" s="16"/>
      <c r="M107" s="16" t="s">
        <v>91</v>
      </c>
      <c r="N107" s="16" t="s">
        <v>99</v>
      </c>
      <c r="O107" s="16" t="s">
        <v>75</v>
      </c>
      <c r="P107" s="16" t="s">
        <v>76</v>
      </c>
      <c r="Q107" s="16" t="n">
        <f aca="false">IF(AND(K107&lt;&gt;"",K107&lt;Cockpit!$H$6,H107&lt;&gt;"Abgeschlossen"),1,0)</f>
        <v>0</v>
      </c>
      <c r="R107" s="16" t="n">
        <v>0</v>
      </c>
      <c r="S107" s="16" t="n">
        <f aca="false">IF(AND(OR(Cockpit!$B$6="(Alle)",D107=Cockpit!$B$6),OR(Cockpit!$C$6="(Alle)",E107=Cockpit!$C$6),OR(Cockpit!$D$6="(Alle)",F107=Cockpit!$D$6),OR(Cockpit!$E$6="(Alle)",G107=Cockpit!$E$6),OR(Cockpit!$F$6="(Alle)",H107=Cockpit!$F$6),OR(Cockpit!$G$6="(Alle)",O107=Cockpit!$G$6)),1,0)</f>
        <v>1</v>
      </c>
      <c r="T107" s="16" t="n">
        <f aca="false">IF(S107=1,SUM($S$2:S107),"")</f>
        <v>106</v>
      </c>
    </row>
    <row r="108" customFormat="false" ht="15" hidden="false" customHeight="false" outlineLevel="0" collapsed="false">
      <c r="A108" s="16" t="n">
        <v>107</v>
      </c>
      <c r="B108" s="16" t="s">
        <v>302</v>
      </c>
      <c r="C108" s="16" t="s">
        <v>303</v>
      </c>
      <c r="D108" s="16" t="s">
        <v>43</v>
      </c>
      <c r="E108" s="16" t="s">
        <v>72</v>
      </c>
      <c r="F108" s="16" t="s">
        <v>122</v>
      </c>
      <c r="G108" s="16" t="s">
        <v>46</v>
      </c>
      <c r="H108" s="16" t="s">
        <v>281</v>
      </c>
      <c r="I108" s="17" t="n">
        <v>0</v>
      </c>
      <c r="J108" s="18"/>
      <c r="K108" s="18"/>
      <c r="L108" s="16"/>
      <c r="M108" s="16" t="s">
        <v>91</v>
      </c>
      <c r="N108" s="16" t="s">
        <v>74</v>
      </c>
      <c r="O108" s="16" t="s">
        <v>75</v>
      </c>
      <c r="P108" s="16" t="s">
        <v>138</v>
      </c>
      <c r="Q108" s="16" t="n">
        <f aca="false">IF(AND(K108&lt;&gt;"",K108&lt;Cockpit!$H$6,H108&lt;&gt;"Abgeschlossen"),1,0)</f>
        <v>0</v>
      </c>
      <c r="R108" s="16" t="n">
        <v>0</v>
      </c>
      <c r="S108" s="16" t="n">
        <f aca="false">IF(AND(OR(Cockpit!$B$6="(Alle)",D108=Cockpit!$B$6),OR(Cockpit!$C$6="(Alle)",E108=Cockpit!$C$6),OR(Cockpit!$D$6="(Alle)",F108=Cockpit!$D$6),OR(Cockpit!$E$6="(Alle)",G108=Cockpit!$E$6),OR(Cockpit!$F$6="(Alle)",H108=Cockpit!$F$6),OR(Cockpit!$G$6="(Alle)",O108=Cockpit!$G$6)),1,0)</f>
        <v>1</v>
      </c>
      <c r="T108" s="16" t="n">
        <f aca="false">IF(S108=1,SUM($S$2:S108),"")</f>
        <v>107</v>
      </c>
    </row>
    <row r="109" customFormat="false" ht="15" hidden="false" customHeight="false" outlineLevel="0" collapsed="false">
      <c r="A109" s="16" t="n">
        <v>108</v>
      </c>
      <c r="B109" s="16" t="s">
        <v>304</v>
      </c>
      <c r="C109" s="16" t="s">
        <v>305</v>
      </c>
      <c r="D109" s="16" t="s">
        <v>89</v>
      </c>
      <c r="E109" s="16" t="s">
        <v>72</v>
      </c>
      <c r="F109" s="16" t="s">
        <v>114</v>
      </c>
      <c r="G109" s="16" t="s">
        <v>46</v>
      </c>
      <c r="H109" s="16" t="s">
        <v>48</v>
      </c>
      <c r="I109" s="17" t="n">
        <v>1</v>
      </c>
      <c r="J109" s="18" t="n">
        <v>45931</v>
      </c>
      <c r="K109" s="18" t="n">
        <v>45931</v>
      </c>
      <c r="L109" s="16" t="n">
        <v>1</v>
      </c>
      <c r="M109" s="16" t="s">
        <v>48</v>
      </c>
      <c r="N109" s="16" t="s">
        <v>86</v>
      </c>
      <c r="O109" s="16" t="s">
        <v>115</v>
      </c>
      <c r="P109" s="16" t="s">
        <v>70</v>
      </c>
      <c r="Q109" s="16" t="n">
        <f aca="false">IF(AND(K109&lt;&gt;"",K109&lt;Cockpit!$H$6,H109&lt;&gt;"Abgeschlossen"),1,0)</f>
        <v>0</v>
      </c>
      <c r="R109" s="16" t="n">
        <v>0</v>
      </c>
      <c r="S109" s="16" t="n">
        <f aca="false">IF(AND(OR(Cockpit!$B$6="(Alle)",D109=Cockpit!$B$6),OR(Cockpit!$C$6="(Alle)",E109=Cockpit!$C$6),OR(Cockpit!$D$6="(Alle)",F109=Cockpit!$D$6),OR(Cockpit!$E$6="(Alle)",G109=Cockpit!$E$6),OR(Cockpit!$F$6="(Alle)",H109=Cockpit!$F$6),OR(Cockpit!$G$6="(Alle)",O109=Cockpit!$G$6)),1,0)</f>
        <v>1</v>
      </c>
      <c r="T109" s="16" t="n">
        <f aca="false">IF(S109=1,SUM($S$2:S109),"")</f>
        <v>108</v>
      </c>
    </row>
    <row r="110" customFormat="false" ht="15" hidden="false" customHeight="false" outlineLevel="0" collapsed="false">
      <c r="A110" s="16" t="n">
        <v>109</v>
      </c>
      <c r="B110" s="16" t="s">
        <v>306</v>
      </c>
      <c r="C110" s="16" t="s">
        <v>307</v>
      </c>
      <c r="D110" s="16" t="s">
        <v>58</v>
      </c>
      <c r="E110" s="16" t="s">
        <v>102</v>
      </c>
      <c r="F110" s="16" t="s">
        <v>308</v>
      </c>
      <c r="G110" s="16" t="s">
        <v>54</v>
      </c>
      <c r="H110" s="16" t="s">
        <v>48</v>
      </c>
      <c r="I110" s="17" t="n">
        <v>1</v>
      </c>
      <c r="J110" s="18" t="n">
        <v>45852</v>
      </c>
      <c r="K110" s="18" t="n">
        <v>46001</v>
      </c>
      <c r="L110" s="16" t="n">
        <v>1</v>
      </c>
      <c r="M110" s="16" t="s">
        <v>48</v>
      </c>
      <c r="N110" s="16" t="s">
        <v>104</v>
      </c>
      <c r="O110" s="16" t="s">
        <v>86</v>
      </c>
      <c r="P110" s="16" t="s">
        <v>105</v>
      </c>
      <c r="Q110" s="16" t="n">
        <f aca="false">IF(AND(K110&lt;&gt;"",K110&lt;Cockpit!$H$6,H110&lt;&gt;"Abgeschlossen"),1,0)</f>
        <v>0</v>
      </c>
      <c r="R110" s="16" t="n">
        <v>1</v>
      </c>
      <c r="S110" s="16" t="n">
        <f aca="false">IF(AND(OR(Cockpit!$B$6="(Alle)",D110=Cockpit!$B$6),OR(Cockpit!$C$6="(Alle)",E110=Cockpit!$C$6),OR(Cockpit!$D$6="(Alle)",F110=Cockpit!$D$6),OR(Cockpit!$E$6="(Alle)",G110=Cockpit!$E$6),OR(Cockpit!$F$6="(Alle)",H110=Cockpit!$F$6),OR(Cockpit!$G$6="(Alle)",O110=Cockpit!$G$6)),1,0)</f>
        <v>1</v>
      </c>
      <c r="T110" s="16" t="n">
        <f aca="false">IF(S110=1,SUM($S$2:S110),"")</f>
        <v>109</v>
      </c>
    </row>
    <row r="111" customFormat="false" ht="15" hidden="false" customHeight="false" outlineLevel="0" collapsed="false">
      <c r="A111" s="16" t="n">
        <v>110</v>
      </c>
      <c r="B111" s="16" t="s">
        <v>309</v>
      </c>
      <c r="C111" s="16" t="s">
        <v>310</v>
      </c>
      <c r="D111" s="16" t="s">
        <v>58</v>
      </c>
      <c r="E111" s="16" t="s">
        <v>102</v>
      </c>
      <c r="F111" s="16" t="s">
        <v>308</v>
      </c>
      <c r="G111" s="16" t="s">
        <v>54</v>
      </c>
      <c r="H111" s="16" t="s">
        <v>48</v>
      </c>
      <c r="I111" s="17" t="n">
        <v>1</v>
      </c>
      <c r="J111" s="18" t="n">
        <v>45852</v>
      </c>
      <c r="K111" s="18" t="n">
        <v>46001</v>
      </c>
      <c r="L111" s="16" t="n">
        <v>1</v>
      </c>
      <c r="M111" s="16" t="s">
        <v>48</v>
      </c>
      <c r="N111" s="16" t="s">
        <v>104</v>
      </c>
      <c r="O111" s="16" t="s">
        <v>86</v>
      </c>
      <c r="P111" s="16" t="s">
        <v>105</v>
      </c>
      <c r="Q111" s="16" t="n">
        <f aca="false">IF(AND(K111&lt;&gt;"",K111&lt;Cockpit!$H$6,H111&lt;&gt;"Abgeschlossen"),1,0)</f>
        <v>0</v>
      </c>
      <c r="R111" s="16" t="n">
        <v>1</v>
      </c>
      <c r="S111" s="16" t="n">
        <f aca="false">IF(AND(OR(Cockpit!$B$6="(Alle)",D111=Cockpit!$B$6),OR(Cockpit!$C$6="(Alle)",E111=Cockpit!$C$6),OR(Cockpit!$D$6="(Alle)",F111=Cockpit!$D$6),OR(Cockpit!$E$6="(Alle)",G111=Cockpit!$E$6),OR(Cockpit!$F$6="(Alle)",H111=Cockpit!$F$6),OR(Cockpit!$G$6="(Alle)",O111=Cockpit!$G$6)),1,0)</f>
        <v>1</v>
      </c>
      <c r="T111" s="16" t="n">
        <f aca="false">IF(S111=1,SUM($S$2:S111),"")</f>
        <v>110</v>
      </c>
    </row>
    <row r="112" customFormat="false" ht="15" hidden="false" customHeight="false" outlineLevel="0" collapsed="false">
      <c r="A112" s="16" t="n">
        <v>111</v>
      </c>
      <c r="B112" s="16" t="s">
        <v>311</v>
      </c>
      <c r="C112" s="16" t="s">
        <v>312</v>
      </c>
      <c r="D112" s="16" t="s">
        <v>43</v>
      </c>
      <c r="E112" s="16" t="s">
        <v>66</v>
      </c>
      <c r="F112" s="16" t="s">
        <v>67</v>
      </c>
      <c r="G112" s="16" t="s">
        <v>313</v>
      </c>
      <c r="H112" s="16" t="s">
        <v>48</v>
      </c>
      <c r="I112" s="17" t="n">
        <v>1</v>
      </c>
      <c r="J112" s="18" t="n">
        <v>45931</v>
      </c>
      <c r="K112" s="18" t="n">
        <v>46142</v>
      </c>
      <c r="L112" s="16" t="n">
        <v>1</v>
      </c>
      <c r="M112" s="16" t="s">
        <v>48</v>
      </c>
      <c r="N112" s="16" t="s">
        <v>130</v>
      </c>
      <c r="O112" s="16" t="s">
        <v>115</v>
      </c>
      <c r="P112" s="16" t="s">
        <v>70</v>
      </c>
      <c r="Q112" s="16" t="n">
        <f aca="false">IF(AND(K112&lt;&gt;"",K112&lt;Cockpit!$H$6,H112&lt;&gt;"Abgeschlossen"),1,0)</f>
        <v>0</v>
      </c>
      <c r="R112" s="16" t="n">
        <v>1</v>
      </c>
      <c r="S112" s="16" t="n">
        <f aca="false">IF(AND(OR(Cockpit!$B$6="(Alle)",D112=Cockpit!$B$6),OR(Cockpit!$C$6="(Alle)",E112=Cockpit!$C$6),OR(Cockpit!$D$6="(Alle)",F112=Cockpit!$D$6),OR(Cockpit!$E$6="(Alle)",G112=Cockpit!$E$6),OR(Cockpit!$F$6="(Alle)",H112=Cockpit!$F$6),OR(Cockpit!$G$6="(Alle)",O112=Cockpit!$G$6)),1,0)</f>
        <v>1</v>
      </c>
      <c r="T112" s="16" t="n">
        <f aca="false">IF(S112=1,SUM($S$2:S112),"")</f>
        <v>111</v>
      </c>
    </row>
    <row r="113" customFormat="false" ht="15" hidden="false" customHeight="false" outlineLevel="0" collapsed="false">
      <c r="A113" s="16" t="n">
        <v>112</v>
      </c>
      <c r="B113" s="16" t="s">
        <v>314</v>
      </c>
      <c r="C113" s="16" t="s">
        <v>315</v>
      </c>
      <c r="D113" s="16" t="s">
        <v>89</v>
      </c>
      <c r="E113" s="16" t="s">
        <v>72</v>
      </c>
      <c r="F113" s="16" t="s">
        <v>114</v>
      </c>
      <c r="G113" s="16" t="s">
        <v>54</v>
      </c>
      <c r="H113" s="16" t="s">
        <v>48</v>
      </c>
      <c r="I113" s="17" t="n">
        <v>1</v>
      </c>
      <c r="J113" s="18" t="n">
        <v>45873</v>
      </c>
      <c r="K113" s="18" t="n">
        <v>45946</v>
      </c>
      <c r="L113" s="16" t="n">
        <v>1</v>
      </c>
      <c r="M113" s="16" t="s">
        <v>48</v>
      </c>
      <c r="N113" s="16" t="s">
        <v>86</v>
      </c>
      <c r="O113" s="16" t="s">
        <v>115</v>
      </c>
      <c r="P113" s="16" t="s">
        <v>70</v>
      </c>
      <c r="Q113" s="16" t="n">
        <f aca="false">IF(AND(K113&lt;&gt;"",K113&lt;Cockpit!$H$6,H113&lt;&gt;"Abgeschlossen"),1,0)</f>
        <v>0</v>
      </c>
      <c r="R113" s="16" t="n">
        <v>0</v>
      </c>
      <c r="S113" s="16" t="n">
        <f aca="false">IF(AND(OR(Cockpit!$B$6="(Alle)",D113=Cockpit!$B$6),OR(Cockpit!$C$6="(Alle)",E113=Cockpit!$C$6),OR(Cockpit!$D$6="(Alle)",F113=Cockpit!$D$6),OR(Cockpit!$E$6="(Alle)",G113=Cockpit!$E$6),OR(Cockpit!$F$6="(Alle)",H113=Cockpit!$F$6),OR(Cockpit!$G$6="(Alle)",O113=Cockpit!$G$6)),1,0)</f>
        <v>1</v>
      </c>
      <c r="T113" s="16" t="n">
        <f aca="false">IF(S113=1,SUM($S$2:S113),"")</f>
        <v>112</v>
      </c>
    </row>
    <row r="114" customFormat="false" ht="15" hidden="false" customHeight="false" outlineLevel="0" collapsed="false">
      <c r="A114" s="16" t="n">
        <v>113</v>
      </c>
      <c r="B114" s="16" t="s">
        <v>316</v>
      </c>
      <c r="C114" s="16" t="s">
        <v>317</v>
      </c>
      <c r="D114" s="16" t="s">
        <v>43</v>
      </c>
      <c r="E114" s="16" t="s">
        <v>72</v>
      </c>
      <c r="F114" s="16" t="s">
        <v>122</v>
      </c>
      <c r="G114" s="16" t="s">
        <v>46</v>
      </c>
      <c r="H114" s="16" t="s">
        <v>48</v>
      </c>
      <c r="I114" s="17" t="n">
        <v>1</v>
      </c>
      <c r="J114" s="18" t="n">
        <v>46055</v>
      </c>
      <c r="K114" s="18" t="n">
        <v>46100</v>
      </c>
      <c r="L114" s="16"/>
      <c r="M114" s="16" t="s">
        <v>48</v>
      </c>
      <c r="N114" s="16" t="s">
        <v>99</v>
      </c>
      <c r="O114" s="16" t="s">
        <v>75</v>
      </c>
      <c r="P114" s="16" t="s">
        <v>105</v>
      </c>
      <c r="Q114" s="16" t="n">
        <f aca="false">IF(AND(K114&lt;&gt;"",K114&lt;Cockpit!$H$6,H114&lt;&gt;"Abgeschlossen"),1,0)</f>
        <v>0</v>
      </c>
      <c r="R114" s="16" t="n">
        <v>0</v>
      </c>
      <c r="S114" s="16" t="n">
        <f aca="false">IF(AND(OR(Cockpit!$B$6="(Alle)",D114=Cockpit!$B$6),OR(Cockpit!$C$6="(Alle)",E114=Cockpit!$C$6),OR(Cockpit!$D$6="(Alle)",F114=Cockpit!$D$6),OR(Cockpit!$E$6="(Alle)",G114=Cockpit!$E$6),OR(Cockpit!$F$6="(Alle)",H114=Cockpit!$F$6),OR(Cockpit!$G$6="(Alle)",O114=Cockpit!$G$6)),1,0)</f>
        <v>1</v>
      </c>
      <c r="T114" s="16" t="n">
        <f aca="false">IF(S114=1,SUM($S$2:S114),"")</f>
        <v>113</v>
      </c>
    </row>
    <row r="115" customFormat="false" ht="15" hidden="false" customHeight="false" outlineLevel="0" collapsed="false">
      <c r="A115" s="16" t="n">
        <v>114</v>
      </c>
      <c r="B115" s="16" t="s">
        <v>318</v>
      </c>
      <c r="C115" s="16" t="s">
        <v>319</v>
      </c>
      <c r="D115" s="16" t="s">
        <v>58</v>
      </c>
      <c r="E115" s="16" t="s">
        <v>102</v>
      </c>
      <c r="F115" s="16" t="s">
        <v>308</v>
      </c>
      <c r="G115" s="16" t="s">
        <v>54</v>
      </c>
      <c r="H115" s="16" t="s">
        <v>48</v>
      </c>
      <c r="I115" s="17" t="n">
        <v>1</v>
      </c>
      <c r="J115" s="18" t="n">
        <v>45852</v>
      </c>
      <c r="K115" s="18" t="n">
        <v>46001</v>
      </c>
      <c r="L115" s="16" t="n">
        <v>1</v>
      </c>
      <c r="M115" s="16" t="s">
        <v>48</v>
      </c>
      <c r="N115" s="16" t="s">
        <v>104</v>
      </c>
      <c r="O115" s="16" t="s">
        <v>86</v>
      </c>
      <c r="P115" s="16" t="s">
        <v>105</v>
      </c>
      <c r="Q115" s="16" t="n">
        <f aca="false">IF(AND(K115&lt;&gt;"",K115&lt;Cockpit!$H$6,H115&lt;&gt;"Abgeschlossen"),1,0)</f>
        <v>0</v>
      </c>
      <c r="R115" s="16" t="n">
        <v>1</v>
      </c>
      <c r="S115" s="16" t="n">
        <f aca="false">IF(AND(OR(Cockpit!$B$6="(Alle)",D115=Cockpit!$B$6),OR(Cockpit!$C$6="(Alle)",E115=Cockpit!$C$6),OR(Cockpit!$D$6="(Alle)",F115=Cockpit!$D$6),OR(Cockpit!$E$6="(Alle)",G115=Cockpit!$E$6),OR(Cockpit!$F$6="(Alle)",H115=Cockpit!$F$6),OR(Cockpit!$G$6="(Alle)",O115=Cockpit!$G$6)),1,0)</f>
        <v>1</v>
      </c>
      <c r="T115" s="16" t="n">
        <f aca="false">IF(S115=1,SUM($S$2:S115),"")</f>
        <v>114</v>
      </c>
    </row>
    <row r="116" customFormat="false" ht="15" hidden="false" customHeight="false" outlineLevel="0" collapsed="false">
      <c r="A116" s="16" t="n">
        <v>115</v>
      </c>
      <c r="B116" s="16" t="s">
        <v>308</v>
      </c>
      <c r="C116" s="16" t="s">
        <v>308</v>
      </c>
      <c r="D116" s="16" t="s">
        <v>58</v>
      </c>
      <c r="E116" s="16" t="s">
        <v>102</v>
      </c>
      <c r="F116" s="16" t="s">
        <v>308</v>
      </c>
      <c r="G116" s="16" t="s">
        <v>73</v>
      </c>
      <c r="H116" s="16" t="s">
        <v>48</v>
      </c>
      <c r="I116" s="17" t="n">
        <v>1</v>
      </c>
      <c r="J116" s="18" t="n">
        <v>45852</v>
      </c>
      <c r="K116" s="18" t="n">
        <v>46001</v>
      </c>
      <c r="L116" s="16" t="n">
        <v>108</v>
      </c>
      <c r="M116" s="16" t="s">
        <v>48</v>
      </c>
      <c r="N116" s="16" t="s">
        <v>104</v>
      </c>
      <c r="O116" s="16" t="s">
        <v>86</v>
      </c>
      <c r="P116" s="16" t="s">
        <v>105</v>
      </c>
      <c r="Q116" s="16" t="n">
        <f aca="false">IF(AND(K116&lt;&gt;"",K116&lt;Cockpit!$H$6,H116&lt;&gt;"Abgeschlossen"),1,0)</f>
        <v>0</v>
      </c>
      <c r="R116" s="16" t="n">
        <v>1</v>
      </c>
      <c r="S116" s="16" t="n">
        <f aca="false">IF(AND(OR(Cockpit!$B$6="(Alle)",D116=Cockpit!$B$6),OR(Cockpit!$C$6="(Alle)",E116=Cockpit!$C$6),OR(Cockpit!$D$6="(Alle)",F116=Cockpit!$D$6),OR(Cockpit!$E$6="(Alle)",G116=Cockpit!$E$6),OR(Cockpit!$F$6="(Alle)",H116=Cockpit!$F$6),OR(Cockpit!$G$6="(Alle)",O116=Cockpit!$G$6)),1,0)</f>
        <v>1</v>
      </c>
      <c r="T116" s="16" t="n">
        <f aca="false">IF(S116=1,SUM($S$2:S116),"")</f>
        <v>115</v>
      </c>
    </row>
    <row r="117" customFormat="false" ht="15" hidden="false" customHeight="false" outlineLevel="0" collapsed="false">
      <c r="A117" s="16" t="n">
        <v>116</v>
      </c>
      <c r="B117" s="16" t="s">
        <v>320</v>
      </c>
      <c r="C117" s="16" t="s">
        <v>321</v>
      </c>
      <c r="D117" s="16" t="s">
        <v>58</v>
      </c>
      <c r="E117" s="16" t="s">
        <v>102</v>
      </c>
      <c r="F117" s="16" t="s">
        <v>308</v>
      </c>
      <c r="G117" s="16" t="s">
        <v>54</v>
      </c>
      <c r="H117" s="16" t="s">
        <v>48</v>
      </c>
      <c r="I117" s="17" t="n">
        <v>1</v>
      </c>
      <c r="J117" s="18" t="n">
        <v>45852</v>
      </c>
      <c r="K117" s="18" t="n">
        <v>46001</v>
      </c>
      <c r="L117" s="16" t="n">
        <v>1</v>
      </c>
      <c r="M117" s="16" t="s">
        <v>48</v>
      </c>
      <c r="N117" s="16" t="s">
        <v>104</v>
      </c>
      <c r="O117" s="16" t="s">
        <v>86</v>
      </c>
      <c r="P117" s="16" t="s">
        <v>105</v>
      </c>
      <c r="Q117" s="16" t="n">
        <f aca="false">IF(AND(K117&lt;&gt;"",K117&lt;Cockpit!$H$6,H117&lt;&gt;"Abgeschlossen"),1,0)</f>
        <v>0</v>
      </c>
      <c r="R117" s="16" t="n">
        <v>1</v>
      </c>
      <c r="S117" s="16" t="n">
        <f aca="false">IF(AND(OR(Cockpit!$B$6="(Alle)",D117=Cockpit!$B$6),OR(Cockpit!$C$6="(Alle)",E117=Cockpit!$C$6),OR(Cockpit!$D$6="(Alle)",F117=Cockpit!$D$6),OR(Cockpit!$E$6="(Alle)",G117=Cockpit!$E$6),OR(Cockpit!$F$6="(Alle)",H117=Cockpit!$F$6),OR(Cockpit!$G$6="(Alle)",O117=Cockpit!$G$6)),1,0)</f>
        <v>1</v>
      </c>
      <c r="T117" s="16" t="n">
        <f aca="false">IF(S117=1,SUM($S$2:S117),"")</f>
        <v>116</v>
      </c>
    </row>
    <row r="118" customFormat="false" ht="15" hidden="false" customHeight="false" outlineLevel="0" collapsed="false">
      <c r="A118" s="16" t="n">
        <v>117</v>
      </c>
      <c r="B118" s="16" t="s">
        <v>322</v>
      </c>
      <c r="C118" s="16" t="s">
        <v>323</v>
      </c>
      <c r="D118" s="16" t="s">
        <v>43</v>
      </c>
      <c r="E118" s="16" t="s">
        <v>72</v>
      </c>
      <c r="F118" s="16" t="s">
        <v>67</v>
      </c>
      <c r="G118" s="16" t="s">
        <v>54</v>
      </c>
      <c r="H118" s="16" t="s">
        <v>48</v>
      </c>
      <c r="I118" s="17" t="n">
        <v>1</v>
      </c>
      <c r="J118" s="18" t="n">
        <v>46034</v>
      </c>
      <c r="K118" s="18" t="n">
        <v>46203</v>
      </c>
      <c r="L118" s="16" t="n">
        <v>122</v>
      </c>
      <c r="M118" s="16" t="s">
        <v>48</v>
      </c>
      <c r="N118" s="16" t="s">
        <v>75</v>
      </c>
      <c r="O118" s="16" t="s">
        <v>151</v>
      </c>
      <c r="P118" s="16" t="s">
        <v>225</v>
      </c>
      <c r="Q118" s="16" t="n">
        <f aca="false">IF(AND(K118&lt;&gt;"",K118&lt;Cockpit!$H$6,H118&lt;&gt;"Abgeschlossen"),1,0)</f>
        <v>0</v>
      </c>
      <c r="R118" s="16" t="n">
        <v>0</v>
      </c>
      <c r="S118" s="16" t="n">
        <f aca="false">IF(AND(OR(Cockpit!$B$6="(Alle)",D118=Cockpit!$B$6),OR(Cockpit!$C$6="(Alle)",E118=Cockpit!$C$6),OR(Cockpit!$D$6="(Alle)",F118=Cockpit!$D$6),OR(Cockpit!$E$6="(Alle)",G118=Cockpit!$E$6),OR(Cockpit!$F$6="(Alle)",H118=Cockpit!$F$6),OR(Cockpit!$G$6="(Alle)",O118=Cockpit!$G$6)),1,0)</f>
        <v>1</v>
      </c>
      <c r="T118" s="16" t="n">
        <f aca="false">IF(S118=1,SUM($S$2:S118),"")</f>
        <v>117</v>
      </c>
    </row>
    <row r="119" customFormat="false" ht="15" hidden="false" customHeight="false" outlineLevel="0" collapsed="false">
      <c r="A119" s="16" t="n">
        <v>118</v>
      </c>
      <c r="B119" s="16" t="s">
        <v>324</v>
      </c>
      <c r="C119" s="16" t="s">
        <v>325</v>
      </c>
      <c r="D119" s="16" t="s">
        <v>89</v>
      </c>
      <c r="E119" s="16" t="s">
        <v>72</v>
      </c>
      <c r="F119" s="16" t="s">
        <v>114</v>
      </c>
      <c r="G119" s="16" t="s">
        <v>46</v>
      </c>
      <c r="H119" s="16" t="s">
        <v>48</v>
      </c>
      <c r="I119" s="17" t="n">
        <v>1</v>
      </c>
      <c r="J119" s="18" t="n">
        <v>45931</v>
      </c>
      <c r="K119" s="18" t="n">
        <v>45931</v>
      </c>
      <c r="L119" s="16" t="n">
        <v>1</v>
      </c>
      <c r="M119" s="16" t="s">
        <v>48</v>
      </c>
      <c r="N119" s="16" t="s">
        <v>86</v>
      </c>
      <c r="O119" s="16" t="s">
        <v>115</v>
      </c>
      <c r="P119" s="16" t="s">
        <v>70</v>
      </c>
      <c r="Q119" s="16" t="n">
        <f aca="false">IF(AND(K119&lt;&gt;"",K119&lt;Cockpit!$H$6,H119&lt;&gt;"Abgeschlossen"),1,0)</f>
        <v>0</v>
      </c>
      <c r="R119" s="16" t="n">
        <v>0</v>
      </c>
      <c r="S119" s="16" t="n">
        <f aca="false">IF(AND(OR(Cockpit!$B$6="(Alle)",D119=Cockpit!$B$6),OR(Cockpit!$C$6="(Alle)",E119=Cockpit!$C$6),OR(Cockpit!$D$6="(Alle)",F119=Cockpit!$D$6),OR(Cockpit!$E$6="(Alle)",G119=Cockpit!$E$6),OR(Cockpit!$F$6="(Alle)",H119=Cockpit!$F$6),OR(Cockpit!$G$6="(Alle)",O119=Cockpit!$G$6)),1,0)</f>
        <v>1</v>
      </c>
      <c r="T119" s="16" t="n">
        <f aca="false">IF(S119=1,SUM($S$2:S119),"")</f>
        <v>118</v>
      </c>
    </row>
    <row r="120" customFormat="false" ht="15" hidden="false" customHeight="false" outlineLevel="0" collapsed="false">
      <c r="A120" s="16" t="n">
        <v>119</v>
      </c>
      <c r="B120" s="16" t="s">
        <v>326</v>
      </c>
      <c r="C120" s="16" t="s">
        <v>327</v>
      </c>
      <c r="D120" s="16" t="s">
        <v>43</v>
      </c>
      <c r="E120" s="16" t="s">
        <v>66</v>
      </c>
      <c r="F120" s="16" t="s">
        <v>67</v>
      </c>
      <c r="G120" s="16" t="s">
        <v>313</v>
      </c>
      <c r="H120" s="16" t="s">
        <v>48</v>
      </c>
      <c r="I120" s="17" t="n">
        <v>1</v>
      </c>
      <c r="J120" s="18" t="n">
        <v>45931</v>
      </c>
      <c r="K120" s="18" t="n">
        <v>46142</v>
      </c>
      <c r="L120" s="16" t="n">
        <v>1</v>
      </c>
      <c r="M120" s="16" t="s">
        <v>48</v>
      </c>
      <c r="N120" s="16" t="s">
        <v>130</v>
      </c>
      <c r="O120" s="16" t="s">
        <v>115</v>
      </c>
      <c r="P120" s="16" t="s">
        <v>70</v>
      </c>
      <c r="Q120" s="16" t="n">
        <f aca="false">IF(AND(K120&lt;&gt;"",K120&lt;Cockpit!$H$6,H120&lt;&gt;"Abgeschlossen"),1,0)</f>
        <v>0</v>
      </c>
      <c r="R120" s="16" t="n">
        <v>1</v>
      </c>
      <c r="S120" s="16" t="n">
        <f aca="false">IF(AND(OR(Cockpit!$B$6="(Alle)",D120=Cockpit!$B$6),OR(Cockpit!$C$6="(Alle)",E120=Cockpit!$C$6),OR(Cockpit!$D$6="(Alle)",F120=Cockpit!$D$6),OR(Cockpit!$E$6="(Alle)",G120=Cockpit!$E$6),OR(Cockpit!$F$6="(Alle)",H120=Cockpit!$F$6),OR(Cockpit!$G$6="(Alle)",O120=Cockpit!$G$6)),1,0)</f>
        <v>1</v>
      </c>
      <c r="T120" s="16" t="n">
        <f aca="false">IF(S120=1,SUM($S$2:S120),"")</f>
        <v>119</v>
      </c>
    </row>
    <row r="121" customFormat="false" ht="15" hidden="false" customHeight="false" outlineLevel="0" collapsed="false">
      <c r="A121" s="16" t="n">
        <v>120</v>
      </c>
      <c r="B121" s="16" t="s">
        <v>328</v>
      </c>
      <c r="C121" s="16" t="s">
        <v>329</v>
      </c>
      <c r="D121" s="16" t="s">
        <v>58</v>
      </c>
      <c r="E121" s="16" t="s">
        <v>102</v>
      </c>
      <c r="F121" s="16" t="s">
        <v>308</v>
      </c>
      <c r="G121" s="16" t="s">
        <v>54</v>
      </c>
      <c r="H121" s="16" t="s">
        <v>48</v>
      </c>
      <c r="I121" s="17" t="n">
        <v>1</v>
      </c>
      <c r="J121" s="18" t="n">
        <v>45852</v>
      </c>
      <c r="K121" s="18" t="n">
        <v>46001</v>
      </c>
      <c r="L121" s="16" t="n">
        <v>1</v>
      </c>
      <c r="M121" s="16" t="s">
        <v>48</v>
      </c>
      <c r="N121" s="16" t="s">
        <v>104</v>
      </c>
      <c r="O121" s="16" t="s">
        <v>86</v>
      </c>
      <c r="P121" s="16" t="s">
        <v>105</v>
      </c>
      <c r="Q121" s="16" t="n">
        <f aca="false">IF(AND(K121&lt;&gt;"",K121&lt;Cockpit!$H$6,H121&lt;&gt;"Abgeschlossen"),1,0)</f>
        <v>0</v>
      </c>
      <c r="R121" s="16" t="n">
        <v>1</v>
      </c>
      <c r="S121" s="16" t="n">
        <f aca="false">IF(AND(OR(Cockpit!$B$6="(Alle)",D121=Cockpit!$B$6),OR(Cockpit!$C$6="(Alle)",E121=Cockpit!$C$6),OR(Cockpit!$D$6="(Alle)",F121=Cockpit!$D$6),OR(Cockpit!$E$6="(Alle)",G121=Cockpit!$E$6),OR(Cockpit!$F$6="(Alle)",H121=Cockpit!$F$6),OR(Cockpit!$G$6="(Alle)",O121=Cockpit!$G$6)),1,0)</f>
        <v>1</v>
      </c>
      <c r="T121" s="16" t="n">
        <f aca="false">IF(S121=1,SUM($S$2:S121),"")</f>
        <v>120</v>
      </c>
    </row>
    <row r="122" customFormat="false" ht="15" hidden="false" customHeight="false" outlineLevel="0" collapsed="false">
      <c r="A122" s="16" t="n">
        <v>121</v>
      </c>
      <c r="B122" s="16" t="s">
        <v>330</v>
      </c>
      <c r="C122" s="16" t="s">
        <v>331</v>
      </c>
      <c r="D122" s="16" t="s">
        <v>43</v>
      </c>
      <c r="E122" s="16" t="s">
        <v>66</v>
      </c>
      <c r="F122" s="16" t="s">
        <v>67</v>
      </c>
      <c r="G122" s="16" t="s">
        <v>313</v>
      </c>
      <c r="H122" s="16" t="s">
        <v>48</v>
      </c>
      <c r="I122" s="17" t="n">
        <v>1</v>
      </c>
      <c r="J122" s="18" t="n">
        <v>45931</v>
      </c>
      <c r="K122" s="18" t="n">
        <v>46142</v>
      </c>
      <c r="L122" s="16" t="n">
        <v>1</v>
      </c>
      <c r="M122" s="16" t="s">
        <v>48</v>
      </c>
      <c r="N122" s="16" t="s">
        <v>130</v>
      </c>
      <c r="O122" s="16" t="s">
        <v>115</v>
      </c>
      <c r="P122" s="16" t="s">
        <v>70</v>
      </c>
      <c r="Q122" s="16" t="n">
        <f aca="false">IF(AND(K122&lt;&gt;"",K122&lt;Cockpit!$H$6,H122&lt;&gt;"Abgeschlossen"),1,0)</f>
        <v>0</v>
      </c>
      <c r="R122" s="16" t="n">
        <v>1</v>
      </c>
      <c r="S122" s="16" t="n">
        <f aca="false">IF(AND(OR(Cockpit!$B$6="(Alle)",D122=Cockpit!$B$6),OR(Cockpit!$C$6="(Alle)",E122=Cockpit!$C$6),OR(Cockpit!$D$6="(Alle)",F122=Cockpit!$D$6),OR(Cockpit!$E$6="(Alle)",G122=Cockpit!$E$6),OR(Cockpit!$F$6="(Alle)",H122=Cockpit!$F$6),OR(Cockpit!$G$6="(Alle)",O122=Cockpit!$G$6)),1,0)</f>
        <v>1</v>
      </c>
      <c r="T122" s="16" t="n">
        <f aca="false">IF(S122=1,SUM($S$2:S122),"")</f>
        <v>121</v>
      </c>
    </row>
    <row r="123" customFormat="false" ht="15" hidden="false" customHeight="false" outlineLevel="0" collapsed="false">
      <c r="A123" s="16" t="n">
        <v>122</v>
      </c>
      <c r="B123" s="16" t="s">
        <v>332</v>
      </c>
      <c r="C123" s="16" t="s">
        <v>333</v>
      </c>
      <c r="D123" s="16" t="s">
        <v>43</v>
      </c>
      <c r="E123" s="16" t="s">
        <v>66</v>
      </c>
      <c r="F123" s="16" t="s">
        <v>67</v>
      </c>
      <c r="G123" s="16" t="s">
        <v>313</v>
      </c>
      <c r="H123" s="16" t="s">
        <v>48</v>
      </c>
      <c r="I123" s="17" t="n">
        <v>1</v>
      </c>
      <c r="J123" s="18" t="n">
        <v>45931</v>
      </c>
      <c r="K123" s="18" t="n">
        <v>46142</v>
      </c>
      <c r="L123" s="16" t="n">
        <v>1</v>
      </c>
      <c r="M123" s="16" t="s">
        <v>48</v>
      </c>
      <c r="N123" s="16" t="s">
        <v>130</v>
      </c>
      <c r="O123" s="16" t="s">
        <v>115</v>
      </c>
      <c r="P123" s="16" t="s">
        <v>70</v>
      </c>
      <c r="Q123" s="16" t="n">
        <f aca="false">IF(AND(K123&lt;&gt;"",K123&lt;Cockpit!$H$6,H123&lt;&gt;"Abgeschlossen"),1,0)</f>
        <v>0</v>
      </c>
      <c r="R123" s="16" t="n">
        <v>1</v>
      </c>
      <c r="S123" s="16" t="n">
        <f aca="false">IF(AND(OR(Cockpit!$B$6="(Alle)",D123=Cockpit!$B$6),OR(Cockpit!$C$6="(Alle)",E123=Cockpit!$C$6),OR(Cockpit!$D$6="(Alle)",F123=Cockpit!$D$6),OR(Cockpit!$E$6="(Alle)",G123=Cockpit!$E$6),OR(Cockpit!$F$6="(Alle)",H123=Cockpit!$F$6),OR(Cockpit!$G$6="(Alle)",O123=Cockpit!$G$6)),1,0)</f>
        <v>1</v>
      </c>
      <c r="T123" s="16" t="n">
        <f aca="false">IF(S123=1,SUM($S$2:S123),"")</f>
        <v>122</v>
      </c>
    </row>
    <row r="124" customFormat="false" ht="15" hidden="false" customHeight="false" outlineLevel="0" collapsed="false">
      <c r="A124" s="16" t="n">
        <v>123</v>
      </c>
      <c r="B124" s="16" t="s">
        <v>334</v>
      </c>
      <c r="C124" s="16" t="s">
        <v>335</v>
      </c>
      <c r="D124" s="16" t="s">
        <v>58</v>
      </c>
      <c r="E124" s="16" t="s">
        <v>102</v>
      </c>
      <c r="F124" s="16" t="s">
        <v>308</v>
      </c>
      <c r="G124" s="16" t="s">
        <v>54</v>
      </c>
      <c r="H124" s="16" t="s">
        <v>48</v>
      </c>
      <c r="I124" s="17" t="n">
        <v>1</v>
      </c>
      <c r="J124" s="18" t="n">
        <v>45852</v>
      </c>
      <c r="K124" s="18" t="n">
        <v>46001</v>
      </c>
      <c r="L124" s="16" t="n">
        <v>1</v>
      </c>
      <c r="M124" s="16" t="s">
        <v>48</v>
      </c>
      <c r="N124" s="16" t="s">
        <v>104</v>
      </c>
      <c r="O124" s="16" t="s">
        <v>86</v>
      </c>
      <c r="P124" s="16" t="s">
        <v>105</v>
      </c>
      <c r="Q124" s="16" t="n">
        <f aca="false">IF(AND(K124&lt;&gt;"",K124&lt;Cockpit!$H$6,H124&lt;&gt;"Abgeschlossen"),1,0)</f>
        <v>0</v>
      </c>
      <c r="R124" s="16" t="n">
        <v>1</v>
      </c>
      <c r="S124" s="16" t="n">
        <f aca="false">IF(AND(OR(Cockpit!$B$6="(Alle)",D124=Cockpit!$B$6),OR(Cockpit!$C$6="(Alle)",E124=Cockpit!$C$6),OR(Cockpit!$D$6="(Alle)",F124=Cockpit!$D$6),OR(Cockpit!$E$6="(Alle)",G124=Cockpit!$E$6),OR(Cockpit!$F$6="(Alle)",H124=Cockpit!$F$6),OR(Cockpit!$G$6="(Alle)",O124=Cockpit!$G$6)),1,0)</f>
        <v>1</v>
      </c>
      <c r="T124" s="16" t="n">
        <f aca="false">IF(S124=1,SUM($S$2:S124),"")</f>
        <v>123</v>
      </c>
    </row>
    <row r="125" customFormat="false" ht="15" hidden="false" customHeight="false" outlineLevel="0" collapsed="false">
      <c r="A125" s="16" t="n">
        <v>124</v>
      </c>
      <c r="B125" s="16" t="s">
        <v>336</v>
      </c>
      <c r="C125" s="16" t="s">
        <v>337</v>
      </c>
      <c r="D125" s="16" t="s">
        <v>43</v>
      </c>
      <c r="E125" s="16" t="s">
        <v>66</v>
      </c>
      <c r="F125" s="16" t="s">
        <v>67</v>
      </c>
      <c r="G125" s="16" t="s">
        <v>313</v>
      </c>
      <c r="H125" s="16" t="s">
        <v>48</v>
      </c>
      <c r="I125" s="17" t="n">
        <v>1</v>
      </c>
      <c r="J125" s="18" t="n">
        <v>45931</v>
      </c>
      <c r="K125" s="18" t="n">
        <v>46142</v>
      </c>
      <c r="L125" s="16" t="n">
        <v>2</v>
      </c>
      <c r="M125" s="16" t="s">
        <v>48</v>
      </c>
      <c r="N125" s="16" t="s">
        <v>130</v>
      </c>
      <c r="O125" s="16" t="s">
        <v>115</v>
      </c>
      <c r="P125" s="16" t="s">
        <v>70</v>
      </c>
      <c r="Q125" s="16" t="n">
        <f aca="false">IF(AND(K125&lt;&gt;"",K125&lt;Cockpit!$H$6,H125&lt;&gt;"Abgeschlossen"),1,0)</f>
        <v>0</v>
      </c>
      <c r="R125" s="16" t="n">
        <v>1</v>
      </c>
      <c r="S125" s="16" t="n">
        <f aca="false">IF(AND(OR(Cockpit!$B$6="(Alle)",D125=Cockpit!$B$6),OR(Cockpit!$C$6="(Alle)",E125=Cockpit!$C$6),OR(Cockpit!$D$6="(Alle)",F125=Cockpit!$D$6),OR(Cockpit!$E$6="(Alle)",G125=Cockpit!$E$6),OR(Cockpit!$F$6="(Alle)",H125=Cockpit!$F$6),OR(Cockpit!$G$6="(Alle)",O125=Cockpit!$G$6)),1,0)</f>
        <v>1</v>
      </c>
      <c r="T125" s="16" t="n">
        <f aca="false">IF(S125=1,SUM($S$2:S125),"")</f>
        <v>124</v>
      </c>
    </row>
  </sheetData>
  <conditionalFormatting sqref="I2:I125">
    <cfRule type="dataBar" priority="2">
      <dataBar showValue="1" minLength="10" maxLength="90">
        <cfvo type="num" val="0"/>
        <cfvo type="num" val="1"/>
        <color rgb="FF2A78D6"/>
      </dataBar>
      <extLst>
        <ext xmlns:x14="http://schemas.microsoft.com/office/spreadsheetml/2009/9/main" uri="{B025F937-C7B1-47D3-B67F-A62EFF666E3E}">
          <x14:id>{35635585-AE97-45DB-AE89-88A4AFA837D2}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635585-AE97-45DB-AE89-88A4AFA837D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A78D6"/>
              <x14:axisColor rgb="FF000000"/>
            </x14:dataBar>
          </x14:cfRule>
          <xm:sqref>I2:I125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8"/>
  </cols>
  <sheetData>
    <row r="1" customFormat="false" ht="15" hidden="false" customHeight="false" outlineLevel="0" collapsed="false">
      <c r="A1" s="15" t="s">
        <v>26</v>
      </c>
      <c r="B1" s="15" t="s">
        <v>20</v>
      </c>
      <c r="C1" s="15" t="s">
        <v>21</v>
      </c>
      <c r="D1" s="15" t="s">
        <v>338</v>
      </c>
      <c r="E1" s="15" t="s">
        <v>22</v>
      </c>
      <c r="F1" s="15" t="s">
        <v>32</v>
      </c>
      <c r="G1" s="15" t="s">
        <v>24</v>
      </c>
      <c r="H1" s="15" t="s">
        <v>33</v>
      </c>
      <c r="I1" s="15" t="s">
        <v>39</v>
      </c>
    </row>
    <row r="2" customFormat="false" ht="15" hidden="false" customHeight="false" outlineLevel="0" collapsed="false">
      <c r="A2" s="16" t="n">
        <v>1</v>
      </c>
      <c r="B2" s="16" t="s">
        <v>41</v>
      </c>
      <c r="C2" s="16" t="s">
        <v>43</v>
      </c>
      <c r="D2" s="16" t="s">
        <v>34</v>
      </c>
      <c r="E2" s="16" t="s">
        <v>48</v>
      </c>
      <c r="F2" s="18" t="n">
        <v>45870</v>
      </c>
      <c r="G2" s="18" t="n">
        <v>45945</v>
      </c>
      <c r="H2" s="16" t="n">
        <v>54</v>
      </c>
      <c r="I2" s="16" t="n">
        <f aca="false">INDEX(Prozesse!$S$2:$S$125,MATCH(A2,Prozesse!$A$2:$A$125,0))</f>
        <v>1</v>
      </c>
    </row>
    <row r="3" customFormat="false" ht="15" hidden="false" customHeight="false" outlineLevel="0" collapsed="false">
      <c r="A3" s="16" t="n">
        <v>1</v>
      </c>
      <c r="B3" s="16" t="s">
        <v>41</v>
      </c>
      <c r="C3" s="16" t="s">
        <v>43</v>
      </c>
      <c r="D3" s="16" t="s">
        <v>339</v>
      </c>
      <c r="E3" s="16" t="s">
        <v>91</v>
      </c>
      <c r="F3" s="18" t="n">
        <v>46327</v>
      </c>
      <c r="G3" s="18" t="n">
        <v>46081</v>
      </c>
      <c r="H3" s="16" t="n">
        <v>0</v>
      </c>
      <c r="I3" s="16" t="n">
        <f aca="false">INDEX(Prozesse!$S$2:$S$125,MATCH(A3,Prozesse!$A$2:$A$125,0))</f>
        <v>1</v>
      </c>
    </row>
    <row r="4" customFormat="false" ht="15" hidden="false" customHeight="false" outlineLevel="0" collapsed="false">
      <c r="A4" s="16" t="n">
        <v>1</v>
      </c>
      <c r="B4" s="16" t="s">
        <v>41</v>
      </c>
      <c r="C4" s="16" t="s">
        <v>43</v>
      </c>
      <c r="D4" s="16" t="s">
        <v>340</v>
      </c>
      <c r="E4" s="16" t="s">
        <v>91</v>
      </c>
      <c r="F4" s="18"/>
      <c r="G4" s="18"/>
      <c r="H4" s="16"/>
      <c r="I4" s="16" t="n">
        <f aca="false">INDEX(Prozesse!$S$2:$S$125,MATCH(A4,Prozesse!$A$2:$A$125,0))</f>
        <v>1</v>
      </c>
    </row>
    <row r="5" customFormat="false" ht="15" hidden="false" customHeight="false" outlineLevel="0" collapsed="false">
      <c r="A5" s="16" t="n">
        <v>1</v>
      </c>
      <c r="B5" s="16" t="s">
        <v>41</v>
      </c>
      <c r="C5" s="16" t="s">
        <v>43</v>
      </c>
      <c r="D5" s="16" t="s">
        <v>341</v>
      </c>
      <c r="E5" s="16" t="s">
        <v>47</v>
      </c>
      <c r="F5" s="18" t="n">
        <v>45946</v>
      </c>
      <c r="G5" s="18" t="n">
        <v>46142</v>
      </c>
      <c r="H5" s="16" t="n">
        <v>141</v>
      </c>
      <c r="I5" s="16" t="n">
        <f aca="false">INDEX(Prozesse!$S$2:$S$125,MATCH(A5,Prozesse!$A$2:$A$125,0))</f>
        <v>1</v>
      </c>
    </row>
    <row r="6" customFormat="false" ht="15" hidden="false" customHeight="false" outlineLevel="0" collapsed="false">
      <c r="A6" s="16" t="n">
        <v>2</v>
      </c>
      <c r="B6" s="16" t="s">
        <v>52</v>
      </c>
      <c r="C6" s="16" t="s">
        <v>43</v>
      </c>
      <c r="D6" s="16" t="s">
        <v>34</v>
      </c>
      <c r="E6" s="16" t="s">
        <v>48</v>
      </c>
      <c r="F6" s="18" t="n">
        <v>45870</v>
      </c>
      <c r="G6" s="18" t="n">
        <v>45870</v>
      </c>
      <c r="H6" s="16" t="n">
        <v>1</v>
      </c>
      <c r="I6" s="16" t="n">
        <f aca="false">INDEX(Prozesse!$S$2:$S$125,MATCH(A6,Prozesse!$A$2:$A$125,0))</f>
        <v>1</v>
      </c>
    </row>
    <row r="7" customFormat="false" ht="15" hidden="false" customHeight="false" outlineLevel="0" collapsed="false">
      <c r="A7" s="16" t="n">
        <v>2</v>
      </c>
      <c r="B7" s="16" t="s">
        <v>52</v>
      </c>
      <c r="C7" s="16" t="s">
        <v>43</v>
      </c>
      <c r="D7" s="16" t="s">
        <v>339</v>
      </c>
      <c r="E7" s="16" t="s">
        <v>47</v>
      </c>
      <c r="F7" s="18" t="n">
        <v>45962</v>
      </c>
      <c r="G7" s="18" t="n">
        <v>46081</v>
      </c>
      <c r="H7" s="16" t="n">
        <v>85</v>
      </c>
      <c r="I7" s="16" t="n">
        <f aca="false">INDEX(Prozesse!$S$2:$S$125,MATCH(A7,Prozesse!$A$2:$A$125,0))</f>
        <v>1</v>
      </c>
    </row>
    <row r="8" customFormat="false" ht="15" hidden="false" customHeight="false" outlineLevel="0" collapsed="false">
      <c r="A8" s="16" t="n">
        <v>2</v>
      </c>
      <c r="B8" s="16" t="s">
        <v>52</v>
      </c>
      <c r="C8" s="16" t="s">
        <v>43</v>
      </c>
      <c r="D8" s="16" t="s">
        <v>340</v>
      </c>
      <c r="E8" s="16" t="s">
        <v>91</v>
      </c>
      <c r="F8" s="18"/>
      <c r="G8" s="18"/>
      <c r="H8" s="16"/>
      <c r="I8" s="16" t="n">
        <f aca="false">INDEX(Prozesse!$S$2:$S$125,MATCH(A8,Prozesse!$A$2:$A$125,0))</f>
        <v>1</v>
      </c>
    </row>
    <row r="9" customFormat="false" ht="15" hidden="false" customHeight="false" outlineLevel="0" collapsed="false">
      <c r="A9" s="16" t="n">
        <v>2</v>
      </c>
      <c r="B9" s="16" t="s">
        <v>52</v>
      </c>
      <c r="C9" s="16" t="s">
        <v>43</v>
      </c>
      <c r="D9" s="16" t="s">
        <v>341</v>
      </c>
      <c r="E9" s="16" t="s">
        <v>47</v>
      </c>
      <c r="F9" s="18" t="n">
        <v>45964</v>
      </c>
      <c r="G9" s="18" t="n">
        <v>46112</v>
      </c>
      <c r="H9" s="16" t="n">
        <v>107</v>
      </c>
      <c r="I9" s="16" t="n">
        <f aca="false">INDEX(Prozesse!$S$2:$S$125,MATCH(A9,Prozesse!$A$2:$A$125,0))</f>
        <v>1</v>
      </c>
    </row>
    <row r="10" customFormat="false" ht="15" hidden="false" customHeight="false" outlineLevel="0" collapsed="false">
      <c r="A10" s="16" t="n">
        <v>3</v>
      </c>
      <c r="B10" s="16" t="s">
        <v>56</v>
      </c>
      <c r="C10" s="16" t="s">
        <v>58</v>
      </c>
      <c r="D10" s="16" t="s">
        <v>34</v>
      </c>
      <c r="E10" s="16" t="s">
        <v>61</v>
      </c>
      <c r="F10" s="18" t="n">
        <v>46029</v>
      </c>
      <c r="G10" s="18" t="n">
        <v>46097</v>
      </c>
      <c r="H10" s="16" t="n">
        <v>49</v>
      </c>
      <c r="I10" s="16" t="n">
        <f aca="false">INDEX(Prozesse!$S$2:$S$125,MATCH(A10,Prozesse!$A$2:$A$125,0))</f>
        <v>1</v>
      </c>
    </row>
    <row r="11" customFormat="false" ht="15" hidden="false" customHeight="false" outlineLevel="0" collapsed="false">
      <c r="A11" s="16" t="n">
        <v>3</v>
      </c>
      <c r="B11" s="16" t="s">
        <v>56</v>
      </c>
      <c r="C11" s="16" t="s">
        <v>58</v>
      </c>
      <c r="D11" s="16" t="s">
        <v>339</v>
      </c>
      <c r="E11" s="16" t="s">
        <v>47</v>
      </c>
      <c r="F11" s="18" t="n">
        <v>46113</v>
      </c>
      <c r="G11" s="18" t="n">
        <v>46188</v>
      </c>
      <c r="H11" s="16" t="n">
        <v>54</v>
      </c>
      <c r="I11" s="16" t="n">
        <f aca="false">INDEX(Prozesse!$S$2:$S$125,MATCH(A11,Prozesse!$A$2:$A$125,0))</f>
        <v>1</v>
      </c>
    </row>
    <row r="12" customFormat="false" ht="15" hidden="false" customHeight="false" outlineLevel="0" collapsed="false">
      <c r="A12" s="16" t="n">
        <v>3</v>
      </c>
      <c r="B12" s="16" t="s">
        <v>56</v>
      </c>
      <c r="C12" s="16" t="s">
        <v>58</v>
      </c>
      <c r="D12" s="16" t="s">
        <v>340</v>
      </c>
      <c r="E12" s="16" t="s">
        <v>91</v>
      </c>
      <c r="F12" s="18"/>
      <c r="G12" s="18"/>
      <c r="H12" s="16"/>
      <c r="I12" s="16" t="n">
        <f aca="false">INDEX(Prozesse!$S$2:$S$125,MATCH(A12,Prozesse!$A$2:$A$125,0))</f>
        <v>1</v>
      </c>
    </row>
    <row r="13" customFormat="false" ht="15" hidden="false" customHeight="false" outlineLevel="0" collapsed="false">
      <c r="A13" s="16" t="n">
        <v>3</v>
      </c>
      <c r="B13" s="16" t="s">
        <v>56</v>
      </c>
      <c r="C13" s="16" t="s">
        <v>58</v>
      </c>
      <c r="D13" s="16" t="s">
        <v>341</v>
      </c>
      <c r="E13" s="16" t="s">
        <v>47</v>
      </c>
      <c r="F13" s="18" t="n">
        <v>46113</v>
      </c>
      <c r="G13" s="18" t="n">
        <v>46188</v>
      </c>
      <c r="H13" s="16" t="n">
        <v>54</v>
      </c>
      <c r="I13" s="16" t="n">
        <f aca="false">INDEX(Prozesse!$S$2:$S$125,MATCH(A13,Prozesse!$A$2:$A$125,0))</f>
        <v>1</v>
      </c>
    </row>
    <row r="14" customFormat="false" ht="15" hidden="false" customHeight="false" outlineLevel="0" collapsed="false">
      <c r="A14" s="16" t="n">
        <v>4</v>
      </c>
      <c r="B14" s="16" t="s">
        <v>64</v>
      </c>
      <c r="C14" s="16" t="s">
        <v>43</v>
      </c>
      <c r="D14" s="16" t="s">
        <v>34</v>
      </c>
      <c r="E14" s="16" t="s">
        <v>61</v>
      </c>
      <c r="F14" s="18" t="n">
        <v>46058</v>
      </c>
      <c r="G14" s="18" t="n">
        <v>46188</v>
      </c>
      <c r="H14" s="16" t="n">
        <v>54</v>
      </c>
      <c r="I14" s="16" t="n">
        <f aca="false">INDEX(Prozesse!$S$2:$S$125,MATCH(A14,Prozesse!$A$2:$A$125,0))</f>
        <v>1</v>
      </c>
    </row>
    <row r="15" customFormat="false" ht="15" hidden="false" customHeight="false" outlineLevel="0" collapsed="false">
      <c r="A15" s="16" t="n">
        <v>4</v>
      </c>
      <c r="B15" s="16" t="s">
        <v>64</v>
      </c>
      <c r="C15" s="16" t="s">
        <v>43</v>
      </c>
      <c r="D15" s="16" t="s">
        <v>339</v>
      </c>
      <c r="E15" s="16" t="s">
        <v>47</v>
      </c>
      <c r="F15" s="18"/>
      <c r="G15" s="18"/>
      <c r="H15" s="16"/>
      <c r="I15" s="16" t="n">
        <f aca="false">INDEX(Prozesse!$S$2:$S$125,MATCH(A15,Prozesse!$A$2:$A$125,0))</f>
        <v>1</v>
      </c>
    </row>
    <row r="16" customFormat="false" ht="15" hidden="false" customHeight="false" outlineLevel="0" collapsed="false">
      <c r="A16" s="16" t="n">
        <v>4</v>
      </c>
      <c r="B16" s="16" t="s">
        <v>64</v>
      </c>
      <c r="C16" s="16" t="s">
        <v>43</v>
      </c>
      <c r="D16" s="16" t="s">
        <v>340</v>
      </c>
      <c r="E16" s="16" t="s">
        <v>47</v>
      </c>
      <c r="F16" s="18"/>
      <c r="G16" s="18"/>
      <c r="H16" s="16"/>
      <c r="I16" s="16" t="n">
        <f aca="false">INDEX(Prozesse!$S$2:$S$125,MATCH(A16,Prozesse!$A$2:$A$125,0))</f>
        <v>1</v>
      </c>
    </row>
    <row r="17" customFormat="false" ht="15" hidden="false" customHeight="false" outlineLevel="0" collapsed="false">
      <c r="A17" s="16" t="n">
        <v>4</v>
      </c>
      <c r="B17" s="16" t="s">
        <v>64</v>
      </c>
      <c r="C17" s="16" t="s">
        <v>43</v>
      </c>
      <c r="D17" s="16" t="s">
        <v>341</v>
      </c>
      <c r="E17" s="16" t="s">
        <v>47</v>
      </c>
      <c r="F17" s="18"/>
      <c r="G17" s="18"/>
      <c r="H17" s="16"/>
      <c r="I17" s="16" t="n">
        <f aca="false">INDEX(Prozesse!$S$2:$S$125,MATCH(A17,Prozesse!$A$2:$A$125,0))</f>
        <v>1</v>
      </c>
    </row>
    <row r="18" customFormat="false" ht="15" hidden="false" customHeight="false" outlineLevel="0" collapsed="false">
      <c r="A18" s="16" t="n">
        <v>5</v>
      </c>
      <c r="B18" s="16" t="s">
        <v>71</v>
      </c>
      <c r="C18" s="16" t="s">
        <v>58</v>
      </c>
      <c r="D18" s="16" t="s">
        <v>34</v>
      </c>
      <c r="E18" s="16" t="s">
        <v>47</v>
      </c>
      <c r="F18" s="18"/>
      <c r="G18" s="18"/>
      <c r="H18" s="16"/>
      <c r="I18" s="16" t="n">
        <f aca="false">INDEX(Prozesse!$S$2:$S$125,MATCH(A18,Prozesse!$A$2:$A$125,0))</f>
        <v>1</v>
      </c>
    </row>
    <row r="19" customFormat="false" ht="15" hidden="false" customHeight="false" outlineLevel="0" collapsed="false">
      <c r="A19" s="16" t="n">
        <v>5</v>
      </c>
      <c r="B19" s="16" t="s">
        <v>71</v>
      </c>
      <c r="C19" s="16" t="s">
        <v>58</v>
      </c>
      <c r="D19" s="16" t="s">
        <v>339</v>
      </c>
      <c r="E19" s="16" t="s">
        <v>91</v>
      </c>
      <c r="F19" s="18"/>
      <c r="G19" s="18"/>
      <c r="H19" s="16"/>
      <c r="I19" s="16" t="n">
        <f aca="false">INDEX(Prozesse!$S$2:$S$125,MATCH(A19,Prozesse!$A$2:$A$125,0))</f>
        <v>1</v>
      </c>
    </row>
    <row r="20" customFormat="false" ht="15" hidden="false" customHeight="false" outlineLevel="0" collapsed="false">
      <c r="A20" s="16" t="n">
        <v>5</v>
      </c>
      <c r="B20" s="16" t="s">
        <v>71</v>
      </c>
      <c r="C20" s="16" t="s">
        <v>58</v>
      </c>
      <c r="D20" s="16" t="s">
        <v>340</v>
      </c>
      <c r="E20" s="16" t="s">
        <v>91</v>
      </c>
      <c r="F20" s="18"/>
      <c r="G20" s="18"/>
      <c r="H20" s="16"/>
      <c r="I20" s="16" t="n">
        <f aca="false">INDEX(Prozesse!$S$2:$S$125,MATCH(A20,Prozesse!$A$2:$A$125,0))</f>
        <v>1</v>
      </c>
    </row>
    <row r="21" customFormat="false" ht="15" hidden="false" customHeight="false" outlineLevel="0" collapsed="false">
      <c r="A21" s="16" t="n">
        <v>5</v>
      </c>
      <c r="B21" s="16" t="s">
        <v>71</v>
      </c>
      <c r="C21" s="16" t="s">
        <v>58</v>
      </c>
      <c r="D21" s="16" t="s">
        <v>341</v>
      </c>
      <c r="E21" s="16" t="s">
        <v>91</v>
      </c>
      <c r="F21" s="18"/>
      <c r="G21" s="18"/>
      <c r="H21" s="16"/>
      <c r="I21" s="16" t="n">
        <f aca="false">INDEX(Prozesse!$S$2:$S$125,MATCH(A21,Prozesse!$A$2:$A$125,0))</f>
        <v>1</v>
      </c>
    </row>
    <row r="22" customFormat="false" ht="15" hidden="false" customHeight="false" outlineLevel="0" collapsed="false">
      <c r="A22" s="16" t="n">
        <v>6</v>
      </c>
      <c r="B22" s="16" t="s">
        <v>77</v>
      </c>
      <c r="C22" s="16" t="s">
        <v>43</v>
      </c>
      <c r="D22" s="16" t="s">
        <v>34</v>
      </c>
      <c r="E22" s="16" t="s">
        <v>48</v>
      </c>
      <c r="F22" s="18" t="n">
        <v>45870</v>
      </c>
      <c r="G22" s="18" t="n">
        <v>45870</v>
      </c>
      <c r="H22" s="16" t="n">
        <v>1</v>
      </c>
      <c r="I22" s="16" t="n">
        <f aca="false">INDEX(Prozesse!$S$2:$S$125,MATCH(A22,Prozesse!$A$2:$A$125,0))</f>
        <v>1</v>
      </c>
    </row>
    <row r="23" customFormat="false" ht="15" hidden="false" customHeight="false" outlineLevel="0" collapsed="false">
      <c r="A23" s="16" t="n">
        <v>6</v>
      </c>
      <c r="B23" s="16" t="s">
        <v>77</v>
      </c>
      <c r="C23" s="16" t="s">
        <v>43</v>
      </c>
      <c r="D23" s="16" t="s">
        <v>339</v>
      </c>
      <c r="E23" s="16" t="s">
        <v>47</v>
      </c>
      <c r="F23" s="18" t="n">
        <v>45962</v>
      </c>
      <c r="G23" s="18" t="n">
        <v>46081</v>
      </c>
      <c r="H23" s="16" t="n">
        <v>85</v>
      </c>
      <c r="I23" s="16" t="n">
        <f aca="false">INDEX(Prozesse!$S$2:$S$125,MATCH(A23,Prozesse!$A$2:$A$125,0))</f>
        <v>1</v>
      </c>
    </row>
    <row r="24" customFormat="false" ht="15" hidden="false" customHeight="false" outlineLevel="0" collapsed="false">
      <c r="A24" s="16" t="n">
        <v>6</v>
      </c>
      <c r="B24" s="16" t="s">
        <v>77</v>
      </c>
      <c r="C24" s="16" t="s">
        <v>43</v>
      </c>
      <c r="D24" s="16" t="s">
        <v>340</v>
      </c>
      <c r="E24" s="16" t="s">
        <v>91</v>
      </c>
      <c r="F24" s="18"/>
      <c r="G24" s="18"/>
      <c r="H24" s="16"/>
      <c r="I24" s="16" t="n">
        <f aca="false">INDEX(Prozesse!$S$2:$S$125,MATCH(A24,Prozesse!$A$2:$A$125,0))</f>
        <v>1</v>
      </c>
    </row>
    <row r="25" customFormat="false" ht="15" hidden="false" customHeight="false" outlineLevel="0" collapsed="false">
      <c r="A25" s="16" t="n">
        <v>6</v>
      </c>
      <c r="B25" s="16" t="s">
        <v>77</v>
      </c>
      <c r="C25" s="16" t="s">
        <v>43</v>
      </c>
      <c r="D25" s="16" t="s">
        <v>341</v>
      </c>
      <c r="E25" s="16" t="s">
        <v>47</v>
      </c>
      <c r="F25" s="18" t="n">
        <v>45964</v>
      </c>
      <c r="G25" s="18" t="n">
        <v>46112</v>
      </c>
      <c r="H25" s="16" t="n">
        <v>107</v>
      </c>
      <c r="I25" s="16" t="n">
        <f aca="false">INDEX(Prozesse!$S$2:$S$125,MATCH(A25,Prozesse!$A$2:$A$125,0))</f>
        <v>1</v>
      </c>
    </row>
    <row r="26" customFormat="false" ht="15" hidden="false" customHeight="false" outlineLevel="0" collapsed="false">
      <c r="A26" s="16" t="n">
        <v>7</v>
      </c>
      <c r="B26" s="16" t="s">
        <v>79</v>
      </c>
      <c r="C26" s="16" t="s">
        <v>43</v>
      </c>
      <c r="D26" s="16" t="s">
        <v>34</v>
      </c>
      <c r="E26" s="16" t="s">
        <v>47</v>
      </c>
      <c r="F26" s="18" t="n">
        <v>46113</v>
      </c>
      <c r="G26" s="18" t="n">
        <v>46190</v>
      </c>
      <c r="H26" s="16" t="n">
        <v>56</v>
      </c>
      <c r="I26" s="16" t="n">
        <f aca="false">INDEX(Prozesse!$S$2:$S$125,MATCH(A26,Prozesse!$A$2:$A$125,0))</f>
        <v>1</v>
      </c>
    </row>
    <row r="27" customFormat="false" ht="15" hidden="false" customHeight="false" outlineLevel="0" collapsed="false">
      <c r="A27" s="16" t="n">
        <v>7</v>
      </c>
      <c r="B27" s="16" t="s">
        <v>79</v>
      </c>
      <c r="C27" s="16" t="s">
        <v>43</v>
      </c>
      <c r="D27" s="16" t="s">
        <v>339</v>
      </c>
      <c r="E27" s="16" t="s">
        <v>47</v>
      </c>
      <c r="F27" s="18" t="n">
        <v>46113</v>
      </c>
      <c r="G27" s="18" t="n">
        <v>46188</v>
      </c>
      <c r="H27" s="16" t="n">
        <v>54</v>
      </c>
      <c r="I27" s="16" t="n">
        <f aca="false">INDEX(Prozesse!$S$2:$S$125,MATCH(A27,Prozesse!$A$2:$A$125,0))</f>
        <v>1</v>
      </c>
    </row>
    <row r="28" customFormat="false" ht="15" hidden="false" customHeight="false" outlineLevel="0" collapsed="false">
      <c r="A28" s="16" t="n">
        <v>7</v>
      </c>
      <c r="B28" s="16" t="s">
        <v>79</v>
      </c>
      <c r="C28" s="16" t="s">
        <v>43</v>
      </c>
      <c r="D28" s="16" t="s">
        <v>340</v>
      </c>
      <c r="E28" s="16" t="s">
        <v>91</v>
      </c>
      <c r="F28" s="18"/>
      <c r="G28" s="18"/>
      <c r="H28" s="16"/>
      <c r="I28" s="16" t="n">
        <f aca="false">INDEX(Prozesse!$S$2:$S$125,MATCH(A28,Prozesse!$A$2:$A$125,0))</f>
        <v>1</v>
      </c>
    </row>
    <row r="29" customFormat="false" ht="15" hidden="false" customHeight="false" outlineLevel="0" collapsed="false">
      <c r="A29" s="16" t="n">
        <v>7</v>
      </c>
      <c r="B29" s="16" t="s">
        <v>79</v>
      </c>
      <c r="C29" s="16" t="s">
        <v>43</v>
      </c>
      <c r="D29" s="16" t="s">
        <v>341</v>
      </c>
      <c r="E29" s="16" t="s">
        <v>91</v>
      </c>
      <c r="F29" s="18"/>
      <c r="G29" s="18"/>
      <c r="H29" s="16"/>
      <c r="I29" s="16" t="n">
        <f aca="false">INDEX(Prozesse!$S$2:$S$125,MATCH(A29,Prozesse!$A$2:$A$125,0))</f>
        <v>1</v>
      </c>
    </row>
    <row r="30" customFormat="false" ht="15" hidden="false" customHeight="false" outlineLevel="0" collapsed="false">
      <c r="A30" s="16" t="n">
        <v>8</v>
      </c>
      <c r="B30" s="16" t="s">
        <v>83</v>
      </c>
      <c r="C30" s="16" t="s">
        <v>58</v>
      </c>
      <c r="D30" s="16" t="s">
        <v>34</v>
      </c>
      <c r="E30" s="16" t="s">
        <v>47</v>
      </c>
      <c r="F30" s="18" t="n">
        <v>45946</v>
      </c>
      <c r="G30" s="18" t="n">
        <v>46173</v>
      </c>
      <c r="H30" s="16" t="n">
        <v>162</v>
      </c>
      <c r="I30" s="16" t="n">
        <f aca="false">INDEX(Prozesse!$S$2:$S$125,MATCH(A30,Prozesse!$A$2:$A$125,0))</f>
        <v>1</v>
      </c>
    </row>
    <row r="31" customFormat="false" ht="15" hidden="false" customHeight="false" outlineLevel="0" collapsed="false">
      <c r="A31" s="16" t="n">
        <v>8</v>
      </c>
      <c r="B31" s="16" t="s">
        <v>83</v>
      </c>
      <c r="C31" s="16" t="s">
        <v>58</v>
      </c>
      <c r="D31" s="16" t="s">
        <v>339</v>
      </c>
      <c r="E31" s="16" t="s">
        <v>91</v>
      </c>
      <c r="F31" s="18"/>
      <c r="G31" s="18"/>
      <c r="H31" s="16"/>
      <c r="I31" s="16" t="n">
        <f aca="false">INDEX(Prozesse!$S$2:$S$125,MATCH(A31,Prozesse!$A$2:$A$125,0))</f>
        <v>1</v>
      </c>
    </row>
    <row r="32" customFormat="false" ht="15" hidden="false" customHeight="false" outlineLevel="0" collapsed="false">
      <c r="A32" s="16" t="n">
        <v>8</v>
      </c>
      <c r="B32" s="16" t="s">
        <v>83</v>
      </c>
      <c r="C32" s="16" t="s">
        <v>58</v>
      </c>
      <c r="D32" s="16" t="s">
        <v>340</v>
      </c>
      <c r="E32" s="16" t="s">
        <v>91</v>
      </c>
      <c r="F32" s="18"/>
      <c r="G32" s="18"/>
      <c r="H32" s="16"/>
      <c r="I32" s="16" t="n">
        <f aca="false">INDEX(Prozesse!$S$2:$S$125,MATCH(A32,Prozesse!$A$2:$A$125,0))</f>
        <v>1</v>
      </c>
    </row>
    <row r="33" customFormat="false" ht="15" hidden="false" customHeight="false" outlineLevel="0" collapsed="false">
      <c r="A33" s="16" t="n">
        <v>8</v>
      </c>
      <c r="B33" s="16" t="s">
        <v>83</v>
      </c>
      <c r="C33" s="16" t="s">
        <v>58</v>
      </c>
      <c r="D33" s="16" t="s">
        <v>341</v>
      </c>
      <c r="E33" s="16" t="s">
        <v>91</v>
      </c>
      <c r="F33" s="18"/>
      <c r="G33" s="18"/>
      <c r="H33" s="16"/>
      <c r="I33" s="16" t="n">
        <f aca="false">INDEX(Prozesse!$S$2:$S$125,MATCH(A33,Prozesse!$A$2:$A$125,0))</f>
        <v>1</v>
      </c>
    </row>
    <row r="34" customFormat="false" ht="15" hidden="false" customHeight="false" outlineLevel="0" collapsed="false">
      <c r="A34" s="16" t="n">
        <v>9</v>
      </c>
      <c r="B34" s="16" t="s">
        <v>87</v>
      </c>
      <c r="C34" s="16" t="s">
        <v>89</v>
      </c>
      <c r="D34" s="16" t="s">
        <v>34</v>
      </c>
      <c r="E34" s="16" t="s">
        <v>91</v>
      </c>
      <c r="F34" s="18" t="n">
        <v>46029</v>
      </c>
      <c r="G34" s="18"/>
      <c r="H34" s="16"/>
      <c r="I34" s="16" t="n">
        <f aca="false">INDEX(Prozesse!$S$2:$S$125,MATCH(A34,Prozesse!$A$2:$A$125,0))</f>
        <v>1</v>
      </c>
    </row>
    <row r="35" customFormat="false" ht="15" hidden="false" customHeight="false" outlineLevel="0" collapsed="false">
      <c r="A35" s="16" t="n">
        <v>9</v>
      </c>
      <c r="B35" s="16" t="s">
        <v>87</v>
      </c>
      <c r="C35" s="16" t="s">
        <v>89</v>
      </c>
      <c r="D35" s="16" t="s">
        <v>339</v>
      </c>
      <c r="E35" s="16" t="s">
        <v>47</v>
      </c>
      <c r="F35" s="18" t="n">
        <v>46029</v>
      </c>
      <c r="G35" s="18" t="n">
        <v>46039</v>
      </c>
      <c r="H35" s="16" t="n">
        <v>7</v>
      </c>
      <c r="I35" s="16" t="n">
        <f aca="false">INDEX(Prozesse!$S$2:$S$125,MATCH(A35,Prozesse!$A$2:$A$125,0))</f>
        <v>1</v>
      </c>
    </row>
    <row r="36" customFormat="false" ht="15" hidden="false" customHeight="false" outlineLevel="0" collapsed="false">
      <c r="A36" s="16" t="n">
        <v>9</v>
      </c>
      <c r="B36" s="16" t="s">
        <v>87</v>
      </c>
      <c r="C36" s="16" t="s">
        <v>89</v>
      </c>
      <c r="D36" s="16" t="s">
        <v>340</v>
      </c>
      <c r="E36" s="16" t="s">
        <v>91</v>
      </c>
      <c r="F36" s="18"/>
      <c r="G36" s="18"/>
      <c r="H36" s="16"/>
      <c r="I36" s="16" t="n">
        <f aca="false">INDEX(Prozesse!$S$2:$S$125,MATCH(A36,Prozesse!$A$2:$A$125,0))</f>
        <v>1</v>
      </c>
    </row>
    <row r="37" customFormat="false" ht="15" hidden="false" customHeight="false" outlineLevel="0" collapsed="false">
      <c r="A37" s="16" t="n">
        <v>9</v>
      </c>
      <c r="B37" s="16" t="s">
        <v>87</v>
      </c>
      <c r="C37" s="16" t="s">
        <v>89</v>
      </c>
      <c r="D37" s="16" t="s">
        <v>341</v>
      </c>
      <c r="E37" s="16" t="s">
        <v>91</v>
      </c>
      <c r="F37" s="18" t="n">
        <v>46029</v>
      </c>
      <c r="G37" s="18"/>
      <c r="H37" s="16"/>
      <c r="I37" s="16" t="n">
        <f aca="false">INDEX(Prozesse!$S$2:$S$125,MATCH(A37,Prozesse!$A$2:$A$125,0))</f>
        <v>1</v>
      </c>
    </row>
    <row r="38" customFormat="false" ht="15" hidden="false" customHeight="false" outlineLevel="0" collapsed="false">
      <c r="A38" s="16" t="n">
        <v>10</v>
      </c>
      <c r="B38" s="16" t="s">
        <v>93</v>
      </c>
      <c r="C38" s="16" t="s">
        <v>58</v>
      </c>
      <c r="D38" s="16" t="s">
        <v>34</v>
      </c>
      <c r="E38" s="16" t="s">
        <v>47</v>
      </c>
      <c r="F38" s="18" t="n">
        <v>45931</v>
      </c>
      <c r="G38" s="18" t="n">
        <v>46173</v>
      </c>
      <c r="H38" s="16" t="n">
        <v>173</v>
      </c>
      <c r="I38" s="16" t="n">
        <f aca="false">INDEX(Prozesse!$S$2:$S$125,MATCH(A38,Prozesse!$A$2:$A$125,0))</f>
        <v>1</v>
      </c>
    </row>
    <row r="39" customFormat="false" ht="15" hidden="false" customHeight="false" outlineLevel="0" collapsed="false">
      <c r="A39" s="16" t="n">
        <v>10</v>
      </c>
      <c r="B39" s="16" t="s">
        <v>93</v>
      </c>
      <c r="C39" s="16" t="s">
        <v>58</v>
      </c>
      <c r="D39" s="16" t="s">
        <v>339</v>
      </c>
      <c r="E39" s="16" t="s">
        <v>266</v>
      </c>
      <c r="F39" s="18" t="n">
        <v>46174</v>
      </c>
      <c r="G39" s="18" t="n">
        <v>46203</v>
      </c>
      <c r="H39" s="16" t="n">
        <v>22</v>
      </c>
      <c r="I39" s="16" t="n">
        <f aca="false">INDEX(Prozesse!$S$2:$S$125,MATCH(A39,Prozesse!$A$2:$A$125,0))</f>
        <v>1</v>
      </c>
    </row>
    <row r="40" customFormat="false" ht="15" hidden="false" customHeight="false" outlineLevel="0" collapsed="false">
      <c r="A40" s="16" t="n">
        <v>10</v>
      </c>
      <c r="B40" s="16" t="s">
        <v>93</v>
      </c>
      <c r="C40" s="16" t="s">
        <v>58</v>
      </c>
      <c r="D40" s="16" t="s">
        <v>340</v>
      </c>
      <c r="E40" s="16" t="s">
        <v>266</v>
      </c>
      <c r="F40" s="18" t="n">
        <v>46174</v>
      </c>
      <c r="G40" s="18" t="n">
        <v>46203</v>
      </c>
      <c r="H40" s="16" t="n">
        <v>22</v>
      </c>
      <c r="I40" s="16" t="n">
        <f aca="false">INDEX(Prozesse!$S$2:$S$125,MATCH(A40,Prozesse!$A$2:$A$125,0))</f>
        <v>1</v>
      </c>
    </row>
    <row r="41" customFormat="false" ht="15" hidden="false" customHeight="false" outlineLevel="0" collapsed="false">
      <c r="A41" s="16" t="n">
        <v>10</v>
      </c>
      <c r="B41" s="16" t="s">
        <v>93</v>
      </c>
      <c r="C41" s="16" t="s">
        <v>58</v>
      </c>
      <c r="D41" s="16" t="s">
        <v>341</v>
      </c>
      <c r="E41" s="16" t="s">
        <v>266</v>
      </c>
      <c r="F41" s="18" t="n">
        <v>46174</v>
      </c>
      <c r="G41" s="18" t="n">
        <v>46203</v>
      </c>
      <c r="H41" s="16" t="n">
        <v>22</v>
      </c>
      <c r="I41" s="16" t="n">
        <f aca="false">INDEX(Prozesse!$S$2:$S$125,MATCH(A41,Prozesse!$A$2:$A$125,0))</f>
        <v>1</v>
      </c>
    </row>
    <row r="42" customFormat="false" ht="15" hidden="false" customHeight="false" outlineLevel="0" collapsed="false">
      <c r="A42" s="16" t="n">
        <v>11</v>
      </c>
      <c r="B42" s="16" t="s">
        <v>95</v>
      </c>
      <c r="C42" s="16" t="s">
        <v>58</v>
      </c>
      <c r="D42" s="16" t="s">
        <v>34</v>
      </c>
      <c r="E42" s="16" t="s">
        <v>47</v>
      </c>
      <c r="F42" s="18" t="n">
        <v>46037</v>
      </c>
      <c r="G42" s="18" t="n">
        <v>46112</v>
      </c>
      <c r="H42" s="16" t="n">
        <v>54</v>
      </c>
      <c r="I42" s="16" t="n">
        <f aca="false">INDEX(Prozesse!$S$2:$S$125,MATCH(A42,Prozesse!$A$2:$A$125,0))</f>
        <v>1</v>
      </c>
    </row>
    <row r="43" customFormat="false" ht="15" hidden="false" customHeight="false" outlineLevel="0" collapsed="false">
      <c r="A43" s="16" t="n">
        <v>11</v>
      </c>
      <c r="B43" s="16" t="s">
        <v>95</v>
      </c>
      <c r="C43" s="16" t="s">
        <v>58</v>
      </c>
      <c r="D43" s="16" t="s">
        <v>339</v>
      </c>
      <c r="E43" s="16" t="s">
        <v>47</v>
      </c>
      <c r="F43" s="18" t="n">
        <v>46113</v>
      </c>
      <c r="G43" s="18" t="n">
        <v>46204</v>
      </c>
      <c r="H43" s="16" t="n">
        <v>66</v>
      </c>
      <c r="I43" s="16" t="n">
        <f aca="false">INDEX(Prozesse!$S$2:$S$125,MATCH(A43,Prozesse!$A$2:$A$125,0))</f>
        <v>1</v>
      </c>
    </row>
    <row r="44" customFormat="false" ht="15" hidden="false" customHeight="false" outlineLevel="0" collapsed="false">
      <c r="A44" s="16" t="n">
        <v>11</v>
      </c>
      <c r="B44" s="16" t="s">
        <v>95</v>
      </c>
      <c r="C44" s="16" t="s">
        <v>58</v>
      </c>
      <c r="D44" s="16" t="s">
        <v>340</v>
      </c>
      <c r="E44" s="16" t="s">
        <v>47</v>
      </c>
      <c r="F44" s="18" t="n">
        <v>46113</v>
      </c>
      <c r="G44" s="18" t="n">
        <v>46204</v>
      </c>
      <c r="H44" s="16" t="n">
        <v>66</v>
      </c>
      <c r="I44" s="16" t="n">
        <f aca="false">INDEX(Prozesse!$S$2:$S$125,MATCH(A44,Prozesse!$A$2:$A$125,0))</f>
        <v>1</v>
      </c>
    </row>
    <row r="45" customFormat="false" ht="15" hidden="false" customHeight="false" outlineLevel="0" collapsed="false">
      <c r="A45" s="16" t="n">
        <v>11</v>
      </c>
      <c r="B45" s="16" t="s">
        <v>95</v>
      </c>
      <c r="C45" s="16" t="s">
        <v>58</v>
      </c>
      <c r="D45" s="16" t="s">
        <v>341</v>
      </c>
      <c r="E45" s="16" t="s">
        <v>47</v>
      </c>
      <c r="F45" s="18" t="n">
        <v>46113</v>
      </c>
      <c r="G45" s="18" t="n">
        <v>46204</v>
      </c>
      <c r="H45" s="16" t="n">
        <v>66</v>
      </c>
      <c r="I45" s="16" t="n">
        <f aca="false">INDEX(Prozesse!$S$2:$S$125,MATCH(A45,Prozesse!$A$2:$A$125,0))</f>
        <v>1</v>
      </c>
    </row>
    <row r="46" customFormat="false" ht="15" hidden="false" customHeight="false" outlineLevel="0" collapsed="false">
      <c r="A46" s="16" t="n">
        <v>12</v>
      </c>
      <c r="B46" s="16" t="s">
        <v>98</v>
      </c>
      <c r="C46" s="16" t="s">
        <v>58</v>
      </c>
      <c r="D46" s="16" t="s">
        <v>34</v>
      </c>
      <c r="E46" s="16" t="s">
        <v>48</v>
      </c>
      <c r="F46" s="18" t="n">
        <v>46042</v>
      </c>
      <c r="G46" s="18" t="n">
        <v>46078</v>
      </c>
      <c r="H46" s="16" t="n">
        <v>27</v>
      </c>
      <c r="I46" s="16" t="n">
        <f aca="false">INDEX(Prozesse!$S$2:$S$125,MATCH(A46,Prozesse!$A$2:$A$125,0))</f>
        <v>1</v>
      </c>
    </row>
    <row r="47" customFormat="false" ht="15" hidden="false" customHeight="false" outlineLevel="0" collapsed="false">
      <c r="A47" s="16" t="n">
        <v>12</v>
      </c>
      <c r="B47" s="16" t="s">
        <v>98</v>
      </c>
      <c r="C47" s="16" t="s">
        <v>58</v>
      </c>
      <c r="D47" s="16" t="s">
        <v>339</v>
      </c>
      <c r="E47" s="16" t="s">
        <v>47</v>
      </c>
      <c r="F47" s="18" t="n">
        <v>46127</v>
      </c>
      <c r="G47" s="18" t="n">
        <v>46203</v>
      </c>
      <c r="H47" s="16" t="n">
        <v>55</v>
      </c>
      <c r="I47" s="16" t="n">
        <f aca="false">INDEX(Prozesse!$S$2:$S$125,MATCH(A47,Prozesse!$A$2:$A$125,0))</f>
        <v>1</v>
      </c>
    </row>
    <row r="48" customFormat="false" ht="15" hidden="false" customHeight="false" outlineLevel="0" collapsed="false">
      <c r="A48" s="16" t="n">
        <v>12</v>
      </c>
      <c r="B48" s="16" t="s">
        <v>98</v>
      </c>
      <c r="C48" s="16" t="s">
        <v>58</v>
      </c>
      <c r="D48" s="16" t="s">
        <v>340</v>
      </c>
      <c r="E48" s="16" t="s">
        <v>91</v>
      </c>
      <c r="F48" s="18"/>
      <c r="G48" s="18"/>
      <c r="H48" s="16"/>
      <c r="I48" s="16" t="n">
        <f aca="false">INDEX(Prozesse!$S$2:$S$125,MATCH(A48,Prozesse!$A$2:$A$125,0))</f>
        <v>1</v>
      </c>
    </row>
    <row r="49" customFormat="false" ht="15" hidden="false" customHeight="false" outlineLevel="0" collapsed="false">
      <c r="A49" s="16" t="n">
        <v>12</v>
      </c>
      <c r="B49" s="16" t="s">
        <v>98</v>
      </c>
      <c r="C49" s="16" t="s">
        <v>58</v>
      </c>
      <c r="D49" s="16" t="s">
        <v>341</v>
      </c>
      <c r="E49" s="16" t="s">
        <v>91</v>
      </c>
      <c r="F49" s="18"/>
      <c r="G49" s="18"/>
      <c r="H49" s="16"/>
      <c r="I49" s="16" t="n">
        <f aca="false">INDEX(Prozesse!$S$2:$S$125,MATCH(A49,Prozesse!$A$2:$A$125,0))</f>
        <v>1</v>
      </c>
    </row>
    <row r="50" customFormat="false" ht="15" hidden="false" customHeight="false" outlineLevel="0" collapsed="false">
      <c r="A50" s="16" t="n">
        <v>13</v>
      </c>
      <c r="B50" s="16" t="s">
        <v>100</v>
      </c>
      <c r="C50" s="16" t="s">
        <v>89</v>
      </c>
      <c r="D50" s="16" t="s">
        <v>34</v>
      </c>
      <c r="E50" s="16" t="s">
        <v>48</v>
      </c>
      <c r="F50" s="18" t="n">
        <v>45971</v>
      </c>
      <c r="G50" s="18" t="n">
        <v>46001</v>
      </c>
      <c r="H50" s="16" t="n">
        <v>23</v>
      </c>
      <c r="I50" s="16" t="n">
        <f aca="false">INDEX(Prozesse!$S$2:$S$125,MATCH(A50,Prozesse!$A$2:$A$125,0))</f>
        <v>1</v>
      </c>
    </row>
    <row r="51" customFormat="false" ht="15" hidden="false" customHeight="false" outlineLevel="0" collapsed="false">
      <c r="A51" s="16" t="n">
        <v>13</v>
      </c>
      <c r="B51" s="16" t="s">
        <v>100</v>
      </c>
      <c r="C51" s="16" t="s">
        <v>89</v>
      </c>
      <c r="D51" s="16" t="s">
        <v>339</v>
      </c>
      <c r="E51" s="16" t="s">
        <v>47</v>
      </c>
      <c r="F51" s="18" t="n">
        <v>46054</v>
      </c>
      <c r="G51" s="18" t="n">
        <v>46173</v>
      </c>
      <c r="H51" s="16" t="n">
        <v>85</v>
      </c>
      <c r="I51" s="16" t="n">
        <f aca="false">INDEX(Prozesse!$S$2:$S$125,MATCH(A51,Prozesse!$A$2:$A$125,0))</f>
        <v>1</v>
      </c>
    </row>
    <row r="52" customFormat="false" ht="15" hidden="false" customHeight="false" outlineLevel="0" collapsed="false">
      <c r="A52" s="16" t="n">
        <v>13</v>
      </c>
      <c r="B52" s="16" t="s">
        <v>100</v>
      </c>
      <c r="C52" s="16" t="s">
        <v>89</v>
      </c>
      <c r="D52" s="16" t="s">
        <v>340</v>
      </c>
      <c r="E52" s="16" t="s">
        <v>91</v>
      </c>
      <c r="F52" s="18"/>
      <c r="G52" s="18"/>
      <c r="H52" s="16"/>
      <c r="I52" s="16" t="n">
        <f aca="false">INDEX(Prozesse!$S$2:$S$125,MATCH(A52,Prozesse!$A$2:$A$125,0))</f>
        <v>1</v>
      </c>
    </row>
    <row r="53" customFormat="false" ht="15" hidden="false" customHeight="false" outlineLevel="0" collapsed="false">
      <c r="A53" s="16" t="n">
        <v>13</v>
      </c>
      <c r="B53" s="16" t="s">
        <v>100</v>
      </c>
      <c r="C53" s="16" t="s">
        <v>89</v>
      </c>
      <c r="D53" s="16" t="s">
        <v>341</v>
      </c>
      <c r="E53" s="16" t="s">
        <v>91</v>
      </c>
      <c r="F53" s="18"/>
      <c r="G53" s="18"/>
      <c r="H53" s="16"/>
      <c r="I53" s="16" t="n">
        <f aca="false">INDEX(Prozesse!$S$2:$S$125,MATCH(A53,Prozesse!$A$2:$A$125,0))</f>
        <v>1</v>
      </c>
    </row>
    <row r="54" customFormat="false" ht="15" hidden="false" customHeight="false" outlineLevel="0" collapsed="false">
      <c r="A54" s="16" t="n">
        <v>14</v>
      </c>
      <c r="B54" s="16" t="s">
        <v>106</v>
      </c>
      <c r="C54" s="16" t="s">
        <v>43</v>
      </c>
      <c r="D54" s="16" t="s">
        <v>34</v>
      </c>
      <c r="E54" s="16" t="s">
        <v>47</v>
      </c>
      <c r="F54" s="18" t="n">
        <v>46113</v>
      </c>
      <c r="G54" s="18" t="n">
        <v>46190</v>
      </c>
      <c r="H54" s="16" t="n">
        <v>56</v>
      </c>
      <c r="I54" s="16" t="n">
        <f aca="false">INDEX(Prozesse!$S$2:$S$125,MATCH(A54,Prozesse!$A$2:$A$125,0))</f>
        <v>1</v>
      </c>
    </row>
    <row r="55" customFormat="false" ht="15" hidden="false" customHeight="false" outlineLevel="0" collapsed="false">
      <c r="A55" s="16" t="n">
        <v>14</v>
      </c>
      <c r="B55" s="16" t="s">
        <v>106</v>
      </c>
      <c r="C55" s="16" t="s">
        <v>43</v>
      </c>
      <c r="D55" s="16" t="s">
        <v>339</v>
      </c>
      <c r="E55" s="16" t="s">
        <v>47</v>
      </c>
      <c r="F55" s="18" t="n">
        <v>46113</v>
      </c>
      <c r="G55" s="18" t="n">
        <v>46188</v>
      </c>
      <c r="H55" s="16" t="n">
        <v>54</v>
      </c>
      <c r="I55" s="16" t="n">
        <f aca="false">INDEX(Prozesse!$S$2:$S$125,MATCH(A55,Prozesse!$A$2:$A$125,0))</f>
        <v>1</v>
      </c>
    </row>
    <row r="56" customFormat="false" ht="15" hidden="false" customHeight="false" outlineLevel="0" collapsed="false">
      <c r="A56" s="16" t="n">
        <v>14</v>
      </c>
      <c r="B56" s="16" t="s">
        <v>106</v>
      </c>
      <c r="C56" s="16" t="s">
        <v>43</v>
      </c>
      <c r="D56" s="16" t="s">
        <v>340</v>
      </c>
      <c r="E56" s="16" t="s">
        <v>91</v>
      </c>
      <c r="F56" s="18"/>
      <c r="G56" s="18"/>
      <c r="H56" s="16"/>
      <c r="I56" s="16" t="n">
        <f aca="false">INDEX(Prozesse!$S$2:$S$125,MATCH(A56,Prozesse!$A$2:$A$125,0))</f>
        <v>1</v>
      </c>
    </row>
    <row r="57" customFormat="false" ht="15" hidden="false" customHeight="false" outlineLevel="0" collapsed="false">
      <c r="A57" s="16" t="n">
        <v>14</v>
      </c>
      <c r="B57" s="16" t="s">
        <v>106</v>
      </c>
      <c r="C57" s="16" t="s">
        <v>43</v>
      </c>
      <c r="D57" s="16" t="s">
        <v>341</v>
      </c>
      <c r="E57" s="16" t="s">
        <v>91</v>
      </c>
      <c r="F57" s="18"/>
      <c r="G57" s="18"/>
      <c r="H57" s="16"/>
      <c r="I57" s="16" t="n">
        <f aca="false">INDEX(Prozesse!$S$2:$S$125,MATCH(A57,Prozesse!$A$2:$A$125,0))</f>
        <v>1</v>
      </c>
    </row>
    <row r="58" customFormat="false" ht="15" hidden="false" customHeight="false" outlineLevel="0" collapsed="false">
      <c r="A58" s="16" t="n">
        <v>15</v>
      </c>
      <c r="B58" s="16" t="s">
        <v>108</v>
      </c>
      <c r="C58" s="16" t="s">
        <v>58</v>
      </c>
      <c r="D58" s="16" t="s">
        <v>34</v>
      </c>
      <c r="E58" s="16" t="s">
        <v>47</v>
      </c>
      <c r="F58" s="18" t="n">
        <v>46023</v>
      </c>
      <c r="G58" s="18" t="n">
        <v>46387</v>
      </c>
      <c r="H58" s="16" t="n">
        <v>261</v>
      </c>
      <c r="I58" s="16" t="n">
        <f aca="false">INDEX(Prozesse!$S$2:$S$125,MATCH(A58,Prozesse!$A$2:$A$125,0))</f>
        <v>1</v>
      </c>
    </row>
    <row r="59" customFormat="false" ht="15" hidden="false" customHeight="false" outlineLevel="0" collapsed="false">
      <c r="A59" s="16" t="n">
        <v>15</v>
      </c>
      <c r="B59" s="16" t="s">
        <v>108</v>
      </c>
      <c r="C59" s="16" t="s">
        <v>58</v>
      </c>
      <c r="D59" s="16" t="s">
        <v>339</v>
      </c>
      <c r="E59" s="16" t="s">
        <v>266</v>
      </c>
      <c r="F59" s="18" t="n">
        <v>46388</v>
      </c>
      <c r="G59" s="18" t="n">
        <v>46568</v>
      </c>
      <c r="H59" s="16" t="n">
        <v>129</v>
      </c>
      <c r="I59" s="16" t="n">
        <f aca="false">INDEX(Prozesse!$S$2:$S$125,MATCH(A59,Prozesse!$A$2:$A$125,0))</f>
        <v>1</v>
      </c>
    </row>
    <row r="60" customFormat="false" ht="15" hidden="false" customHeight="false" outlineLevel="0" collapsed="false">
      <c r="A60" s="16" t="n">
        <v>15</v>
      </c>
      <c r="B60" s="16" t="s">
        <v>108</v>
      </c>
      <c r="C60" s="16" t="s">
        <v>58</v>
      </c>
      <c r="D60" s="16" t="s">
        <v>340</v>
      </c>
      <c r="E60" s="16" t="s">
        <v>266</v>
      </c>
      <c r="F60" s="18" t="n">
        <v>46388</v>
      </c>
      <c r="G60" s="18" t="n">
        <v>46568</v>
      </c>
      <c r="H60" s="16" t="n">
        <v>129</v>
      </c>
      <c r="I60" s="16" t="n">
        <f aca="false">INDEX(Prozesse!$S$2:$S$125,MATCH(A60,Prozesse!$A$2:$A$125,0))</f>
        <v>1</v>
      </c>
    </row>
    <row r="61" customFormat="false" ht="15" hidden="false" customHeight="false" outlineLevel="0" collapsed="false">
      <c r="A61" s="16" t="n">
        <v>15</v>
      </c>
      <c r="B61" s="16" t="s">
        <v>108</v>
      </c>
      <c r="C61" s="16" t="s">
        <v>58</v>
      </c>
      <c r="D61" s="16" t="s">
        <v>341</v>
      </c>
      <c r="E61" s="16" t="s">
        <v>266</v>
      </c>
      <c r="F61" s="18" t="n">
        <v>46388</v>
      </c>
      <c r="G61" s="18" t="n">
        <v>46568</v>
      </c>
      <c r="H61" s="16" t="n">
        <v>129</v>
      </c>
      <c r="I61" s="16" t="n">
        <f aca="false">INDEX(Prozesse!$S$2:$S$125,MATCH(A61,Prozesse!$A$2:$A$125,0))</f>
        <v>1</v>
      </c>
    </row>
    <row r="62" customFormat="false" ht="15" hidden="false" customHeight="false" outlineLevel="0" collapsed="false">
      <c r="A62" s="16" t="n">
        <v>16</v>
      </c>
      <c r="B62" s="16" t="s">
        <v>110</v>
      </c>
      <c r="C62" s="16" t="s">
        <v>89</v>
      </c>
      <c r="D62" s="16" t="s">
        <v>34</v>
      </c>
      <c r="E62" s="16" t="s">
        <v>47</v>
      </c>
      <c r="F62" s="18" t="n">
        <v>46113</v>
      </c>
      <c r="G62" s="18" t="n">
        <v>46188</v>
      </c>
      <c r="H62" s="16" t="n">
        <v>54</v>
      </c>
      <c r="I62" s="16" t="n">
        <f aca="false">INDEX(Prozesse!$S$2:$S$125,MATCH(A62,Prozesse!$A$2:$A$125,0))</f>
        <v>1</v>
      </c>
    </row>
    <row r="63" customFormat="false" ht="15" hidden="false" customHeight="false" outlineLevel="0" collapsed="false">
      <c r="A63" s="16" t="n">
        <v>16</v>
      </c>
      <c r="B63" s="16" t="s">
        <v>110</v>
      </c>
      <c r="C63" s="16" t="s">
        <v>89</v>
      </c>
      <c r="D63" s="16" t="s">
        <v>339</v>
      </c>
      <c r="E63" s="16" t="s">
        <v>266</v>
      </c>
      <c r="F63" s="18" t="n">
        <v>46310</v>
      </c>
      <c r="G63" s="18" t="n">
        <v>46379</v>
      </c>
      <c r="H63" s="16" t="n">
        <v>50</v>
      </c>
      <c r="I63" s="16" t="n">
        <f aca="false">INDEX(Prozesse!$S$2:$S$125,MATCH(A63,Prozesse!$A$2:$A$125,0))</f>
        <v>1</v>
      </c>
    </row>
    <row r="64" customFormat="false" ht="15" hidden="false" customHeight="false" outlineLevel="0" collapsed="false">
      <c r="A64" s="16" t="n">
        <v>16</v>
      </c>
      <c r="B64" s="16" t="s">
        <v>110</v>
      </c>
      <c r="C64" s="16" t="s">
        <v>89</v>
      </c>
      <c r="D64" s="16" t="s">
        <v>340</v>
      </c>
      <c r="E64" s="16" t="s">
        <v>91</v>
      </c>
      <c r="F64" s="18"/>
      <c r="G64" s="18"/>
      <c r="H64" s="16"/>
      <c r="I64" s="16" t="n">
        <f aca="false">INDEX(Prozesse!$S$2:$S$125,MATCH(A64,Prozesse!$A$2:$A$125,0))</f>
        <v>1</v>
      </c>
    </row>
    <row r="65" customFormat="false" ht="15" hidden="false" customHeight="false" outlineLevel="0" collapsed="false">
      <c r="A65" s="16" t="n">
        <v>16</v>
      </c>
      <c r="B65" s="16" t="s">
        <v>110</v>
      </c>
      <c r="C65" s="16" t="s">
        <v>89</v>
      </c>
      <c r="D65" s="16" t="s">
        <v>341</v>
      </c>
      <c r="E65" s="16" t="s">
        <v>91</v>
      </c>
      <c r="F65" s="18"/>
      <c r="G65" s="18"/>
      <c r="H65" s="16"/>
      <c r="I65" s="16" t="n">
        <f aca="false">INDEX(Prozesse!$S$2:$S$125,MATCH(A65,Prozesse!$A$2:$A$125,0))</f>
        <v>1</v>
      </c>
    </row>
    <row r="66" customFormat="false" ht="15" hidden="false" customHeight="false" outlineLevel="0" collapsed="false">
      <c r="A66" s="16" t="n">
        <v>17</v>
      </c>
      <c r="B66" s="16" t="s">
        <v>112</v>
      </c>
      <c r="C66" s="16" t="s">
        <v>89</v>
      </c>
      <c r="D66" s="16" t="s">
        <v>34</v>
      </c>
      <c r="E66" s="16" t="s">
        <v>47</v>
      </c>
      <c r="F66" s="18" t="n">
        <v>45931</v>
      </c>
      <c r="G66" s="18" t="n">
        <v>46052</v>
      </c>
      <c r="H66" s="16" t="n">
        <v>88</v>
      </c>
      <c r="I66" s="16" t="n">
        <f aca="false">INDEX(Prozesse!$S$2:$S$125,MATCH(A66,Prozesse!$A$2:$A$125,0))</f>
        <v>1</v>
      </c>
    </row>
    <row r="67" customFormat="false" ht="15" hidden="false" customHeight="false" outlineLevel="0" collapsed="false">
      <c r="A67" s="16" t="n">
        <v>17</v>
      </c>
      <c r="B67" s="16" t="s">
        <v>112</v>
      </c>
      <c r="C67" s="16" t="s">
        <v>89</v>
      </c>
      <c r="D67" s="16" t="s">
        <v>339</v>
      </c>
      <c r="E67" s="16" t="s">
        <v>91</v>
      </c>
      <c r="F67" s="18"/>
      <c r="G67" s="18"/>
      <c r="H67" s="16"/>
      <c r="I67" s="16" t="n">
        <f aca="false">INDEX(Prozesse!$S$2:$S$125,MATCH(A67,Prozesse!$A$2:$A$125,0))</f>
        <v>1</v>
      </c>
    </row>
    <row r="68" customFormat="false" ht="15" hidden="false" customHeight="false" outlineLevel="0" collapsed="false">
      <c r="A68" s="16" t="n">
        <v>17</v>
      </c>
      <c r="B68" s="16" t="s">
        <v>112</v>
      </c>
      <c r="C68" s="16" t="s">
        <v>89</v>
      </c>
      <c r="D68" s="16" t="s">
        <v>340</v>
      </c>
      <c r="E68" s="16" t="s">
        <v>91</v>
      </c>
      <c r="F68" s="18"/>
      <c r="G68" s="18"/>
      <c r="H68" s="16"/>
      <c r="I68" s="16" t="n">
        <f aca="false">INDEX(Prozesse!$S$2:$S$125,MATCH(A68,Prozesse!$A$2:$A$125,0))</f>
        <v>1</v>
      </c>
    </row>
    <row r="69" customFormat="false" ht="15" hidden="false" customHeight="false" outlineLevel="0" collapsed="false">
      <c r="A69" s="16" t="n">
        <v>17</v>
      </c>
      <c r="B69" s="16" t="s">
        <v>112</v>
      </c>
      <c r="C69" s="16" t="s">
        <v>89</v>
      </c>
      <c r="D69" s="16" t="s">
        <v>341</v>
      </c>
      <c r="E69" s="16" t="s">
        <v>91</v>
      </c>
      <c r="F69" s="18"/>
      <c r="G69" s="18"/>
      <c r="H69" s="16"/>
      <c r="I69" s="16" t="n">
        <f aca="false">INDEX(Prozesse!$S$2:$S$125,MATCH(A69,Prozesse!$A$2:$A$125,0))</f>
        <v>1</v>
      </c>
    </row>
    <row r="70" customFormat="false" ht="15" hidden="false" customHeight="false" outlineLevel="0" collapsed="false">
      <c r="A70" s="16" t="n">
        <v>18</v>
      </c>
      <c r="B70" s="16" t="s">
        <v>117</v>
      </c>
      <c r="C70" s="16" t="s">
        <v>89</v>
      </c>
      <c r="D70" s="16" t="s">
        <v>34</v>
      </c>
      <c r="E70" s="16" t="s">
        <v>47</v>
      </c>
      <c r="F70" s="18" t="n">
        <v>46076</v>
      </c>
      <c r="G70" s="18" t="n">
        <v>46150</v>
      </c>
      <c r="H70" s="16"/>
      <c r="I70" s="16" t="n">
        <f aca="false">INDEX(Prozesse!$S$2:$S$125,MATCH(A70,Prozesse!$A$2:$A$125,0))</f>
        <v>1</v>
      </c>
    </row>
    <row r="71" customFormat="false" ht="15" hidden="false" customHeight="false" outlineLevel="0" collapsed="false">
      <c r="A71" s="16" t="n">
        <v>18</v>
      </c>
      <c r="B71" s="16" t="s">
        <v>117</v>
      </c>
      <c r="C71" s="16" t="s">
        <v>89</v>
      </c>
      <c r="D71" s="16" t="s">
        <v>339</v>
      </c>
      <c r="E71" s="16" t="s">
        <v>266</v>
      </c>
      <c r="F71" s="18" t="n">
        <v>46150</v>
      </c>
      <c r="G71" s="18" t="n">
        <v>46219</v>
      </c>
      <c r="H71" s="16"/>
      <c r="I71" s="16" t="n">
        <f aca="false">INDEX(Prozesse!$S$2:$S$125,MATCH(A71,Prozesse!$A$2:$A$125,0))</f>
        <v>1</v>
      </c>
    </row>
    <row r="72" customFormat="false" ht="15" hidden="false" customHeight="false" outlineLevel="0" collapsed="false">
      <c r="A72" s="16" t="n">
        <v>18</v>
      </c>
      <c r="B72" s="16" t="s">
        <v>117</v>
      </c>
      <c r="C72" s="16" t="s">
        <v>89</v>
      </c>
      <c r="D72" s="16" t="s">
        <v>340</v>
      </c>
      <c r="E72" s="16" t="s">
        <v>266</v>
      </c>
      <c r="F72" s="18" t="n">
        <v>46150</v>
      </c>
      <c r="G72" s="18" t="n">
        <v>46153</v>
      </c>
      <c r="H72" s="16"/>
      <c r="I72" s="16" t="n">
        <f aca="false">INDEX(Prozesse!$S$2:$S$125,MATCH(A72,Prozesse!$A$2:$A$125,0))</f>
        <v>1</v>
      </c>
    </row>
    <row r="73" customFormat="false" ht="15" hidden="false" customHeight="false" outlineLevel="0" collapsed="false">
      <c r="A73" s="16" t="n">
        <v>18</v>
      </c>
      <c r="B73" s="16" t="s">
        <v>117</v>
      </c>
      <c r="C73" s="16" t="s">
        <v>89</v>
      </c>
      <c r="D73" s="16" t="s">
        <v>341</v>
      </c>
      <c r="E73" s="16" t="s">
        <v>266</v>
      </c>
      <c r="F73" s="18" t="n">
        <v>46150</v>
      </c>
      <c r="G73" s="18" t="n">
        <v>46153</v>
      </c>
      <c r="H73" s="16"/>
      <c r="I73" s="16" t="n">
        <f aca="false">INDEX(Prozesse!$S$2:$S$125,MATCH(A73,Prozesse!$A$2:$A$125,0))</f>
        <v>1</v>
      </c>
    </row>
    <row r="74" customFormat="false" ht="15" hidden="false" customHeight="false" outlineLevel="0" collapsed="false">
      <c r="A74" s="16" t="n">
        <v>19</v>
      </c>
      <c r="B74" s="16" t="s">
        <v>118</v>
      </c>
      <c r="C74" s="16" t="s">
        <v>58</v>
      </c>
      <c r="D74" s="16" t="s">
        <v>34</v>
      </c>
      <c r="E74" s="16" t="s">
        <v>47</v>
      </c>
      <c r="F74" s="18" t="n">
        <v>46113</v>
      </c>
      <c r="G74" s="18" t="n">
        <v>46388</v>
      </c>
      <c r="H74" s="16" t="n">
        <v>198</v>
      </c>
      <c r="I74" s="16" t="n">
        <f aca="false">INDEX(Prozesse!$S$2:$S$125,MATCH(A74,Prozesse!$A$2:$A$125,0))</f>
        <v>1</v>
      </c>
    </row>
    <row r="75" customFormat="false" ht="15" hidden="false" customHeight="false" outlineLevel="0" collapsed="false">
      <c r="A75" s="16" t="n">
        <v>19</v>
      </c>
      <c r="B75" s="16" t="s">
        <v>118</v>
      </c>
      <c r="C75" s="16" t="s">
        <v>58</v>
      </c>
      <c r="D75" s="16" t="s">
        <v>339</v>
      </c>
      <c r="E75" s="16" t="s">
        <v>91</v>
      </c>
      <c r="F75" s="18"/>
      <c r="G75" s="18"/>
      <c r="H75" s="16"/>
      <c r="I75" s="16" t="n">
        <f aca="false">INDEX(Prozesse!$S$2:$S$125,MATCH(A75,Prozesse!$A$2:$A$125,0))</f>
        <v>1</v>
      </c>
    </row>
    <row r="76" customFormat="false" ht="15" hidden="false" customHeight="false" outlineLevel="0" collapsed="false">
      <c r="A76" s="16" t="n">
        <v>19</v>
      </c>
      <c r="B76" s="16" t="s">
        <v>118</v>
      </c>
      <c r="C76" s="16" t="s">
        <v>58</v>
      </c>
      <c r="D76" s="16" t="s">
        <v>340</v>
      </c>
      <c r="E76" s="16" t="s">
        <v>91</v>
      </c>
      <c r="F76" s="18"/>
      <c r="G76" s="18"/>
      <c r="H76" s="16"/>
      <c r="I76" s="16" t="n">
        <f aca="false">INDEX(Prozesse!$S$2:$S$125,MATCH(A76,Prozesse!$A$2:$A$125,0))</f>
        <v>1</v>
      </c>
    </row>
    <row r="77" customFormat="false" ht="15" hidden="false" customHeight="false" outlineLevel="0" collapsed="false">
      <c r="A77" s="16" t="n">
        <v>19</v>
      </c>
      <c r="B77" s="16" t="s">
        <v>118</v>
      </c>
      <c r="C77" s="16" t="s">
        <v>58</v>
      </c>
      <c r="D77" s="16" t="s">
        <v>341</v>
      </c>
      <c r="E77" s="16" t="s">
        <v>91</v>
      </c>
      <c r="F77" s="18"/>
      <c r="G77" s="18"/>
      <c r="H77" s="16"/>
      <c r="I77" s="16" t="n">
        <f aca="false">INDEX(Prozesse!$S$2:$S$125,MATCH(A77,Prozesse!$A$2:$A$125,0))</f>
        <v>1</v>
      </c>
    </row>
    <row r="78" customFormat="false" ht="15" hidden="false" customHeight="false" outlineLevel="0" collapsed="false">
      <c r="A78" s="16" t="n">
        <v>20</v>
      </c>
      <c r="B78" s="16" t="s">
        <v>120</v>
      </c>
      <c r="C78" s="16" t="s">
        <v>43</v>
      </c>
      <c r="D78" s="16" t="s">
        <v>34</v>
      </c>
      <c r="E78" s="16" t="s">
        <v>47</v>
      </c>
      <c r="F78" s="18" t="n">
        <v>46034</v>
      </c>
      <c r="G78" s="18" t="n">
        <v>46203</v>
      </c>
      <c r="H78" s="16" t="n">
        <v>122</v>
      </c>
      <c r="I78" s="16" t="n">
        <f aca="false">INDEX(Prozesse!$S$2:$S$125,MATCH(A78,Prozesse!$A$2:$A$125,0))</f>
        <v>1</v>
      </c>
    </row>
    <row r="79" customFormat="false" ht="15" hidden="false" customHeight="false" outlineLevel="0" collapsed="false">
      <c r="A79" s="16" t="n">
        <v>20</v>
      </c>
      <c r="B79" s="16" t="s">
        <v>120</v>
      </c>
      <c r="C79" s="16" t="s">
        <v>43</v>
      </c>
      <c r="D79" s="16" t="s">
        <v>339</v>
      </c>
      <c r="E79" s="16" t="s">
        <v>47</v>
      </c>
      <c r="F79" s="18" t="n">
        <v>46127</v>
      </c>
      <c r="G79" s="18" t="n">
        <v>46203</v>
      </c>
      <c r="H79" s="16" t="n">
        <v>55</v>
      </c>
      <c r="I79" s="16" t="n">
        <f aca="false">INDEX(Prozesse!$S$2:$S$125,MATCH(A79,Prozesse!$A$2:$A$125,0))</f>
        <v>1</v>
      </c>
    </row>
    <row r="80" customFormat="false" ht="15" hidden="false" customHeight="false" outlineLevel="0" collapsed="false">
      <c r="A80" s="16" t="n">
        <v>20</v>
      </c>
      <c r="B80" s="16" t="s">
        <v>120</v>
      </c>
      <c r="C80" s="16" t="s">
        <v>43</v>
      </c>
      <c r="D80" s="16" t="s">
        <v>340</v>
      </c>
      <c r="E80" s="16" t="s">
        <v>91</v>
      </c>
      <c r="F80" s="18"/>
      <c r="G80" s="18"/>
      <c r="H80" s="16"/>
      <c r="I80" s="16" t="n">
        <f aca="false">INDEX(Prozesse!$S$2:$S$125,MATCH(A80,Prozesse!$A$2:$A$125,0))</f>
        <v>1</v>
      </c>
    </row>
    <row r="81" customFormat="false" ht="15" hidden="false" customHeight="false" outlineLevel="0" collapsed="false">
      <c r="A81" s="16" t="n">
        <v>20</v>
      </c>
      <c r="B81" s="16" t="s">
        <v>120</v>
      </c>
      <c r="C81" s="16" t="s">
        <v>43</v>
      </c>
      <c r="D81" s="16" t="s">
        <v>341</v>
      </c>
      <c r="E81" s="16" t="s">
        <v>91</v>
      </c>
      <c r="F81" s="18"/>
      <c r="G81" s="18"/>
      <c r="H81" s="16"/>
      <c r="I81" s="16" t="n">
        <f aca="false">INDEX(Prozesse!$S$2:$S$125,MATCH(A81,Prozesse!$A$2:$A$125,0))</f>
        <v>1</v>
      </c>
    </row>
    <row r="82" customFormat="false" ht="15" hidden="false" customHeight="false" outlineLevel="0" collapsed="false">
      <c r="A82" s="16" t="n">
        <v>21</v>
      </c>
      <c r="B82" s="16" t="s">
        <v>124</v>
      </c>
      <c r="C82" s="16" t="s">
        <v>58</v>
      </c>
      <c r="D82" s="16" t="s">
        <v>34</v>
      </c>
      <c r="E82" s="16" t="s">
        <v>47</v>
      </c>
      <c r="F82" s="18" t="n">
        <v>45931</v>
      </c>
      <c r="G82" s="18" t="n">
        <v>46142</v>
      </c>
      <c r="H82" s="16" t="n">
        <v>152</v>
      </c>
      <c r="I82" s="16" t="n">
        <f aca="false">INDEX(Prozesse!$S$2:$S$125,MATCH(A82,Prozesse!$A$2:$A$125,0))</f>
        <v>1</v>
      </c>
    </row>
    <row r="83" customFormat="false" ht="15" hidden="false" customHeight="false" outlineLevel="0" collapsed="false">
      <c r="A83" s="16" t="n">
        <v>21</v>
      </c>
      <c r="B83" s="16" t="s">
        <v>124</v>
      </c>
      <c r="C83" s="16" t="s">
        <v>58</v>
      </c>
      <c r="D83" s="16" t="s">
        <v>339</v>
      </c>
      <c r="E83" s="16" t="s">
        <v>47</v>
      </c>
      <c r="F83" s="18" t="n">
        <v>46082</v>
      </c>
      <c r="G83" s="18" t="n">
        <v>46387</v>
      </c>
      <c r="H83" s="16" t="n">
        <v>219</v>
      </c>
      <c r="I83" s="16" t="n">
        <f aca="false">INDEX(Prozesse!$S$2:$S$125,MATCH(A83,Prozesse!$A$2:$A$125,0))</f>
        <v>1</v>
      </c>
    </row>
    <row r="84" customFormat="false" ht="15" hidden="false" customHeight="false" outlineLevel="0" collapsed="false">
      <c r="A84" s="16" t="n">
        <v>21</v>
      </c>
      <c r="B84" s="16" t="s">
        <v>124</v>
      </c>
      <c r="C84" s="16" t="s">
        <v>58</v>
      </c>
      <c r="D84" s="16" t="s">
        <v>340</v>
      </c>
      <c r="E84" s="16" t="s">
        <v>91</v>
      </c>
      <c r="F84" s="18"/>
      <c r="G84" s="18"/>
      <c r="H84" s="16"/>
      <c r="I84" s="16" t="n">
        <f aca="false">INDEX(Prozesse!$S$2:$S$125,MATCH(A84,Prozesse!$A$2:$A$125,0))</f>
        <v>1</v>
      </c>
    </row>
    <row r="85" customFormat="false" ht="15" hidden="false" customHeight="false" outlineLevel="0" collapsed="false">
      <c r="A85" s="16" t="n">
        <v>21</v>
      </c>
      <c r="B85" s="16" t="s">
        <v>124</v>
      </c>
      <c r="C85" s="16" t="s">
        <v>58</v>
      </c>
      <c r="D85" s="16" t="s">
        <v>341</v>
      </c>
      <c r="E85" s="16" t="s">
        <v>91</v>
      </c>
      <c r="F85" s="18"/>
      <c r="G85" s="18"/>
      <c r="H85" s="16"/>
      <c r="I85" s="16" t="n">
        <f aca="false">INDEX(Prozesse!$S$2:$S$125,MATCH(A85,Prozesse!$A$2:$A$125,0))</f>
        <v>1</v>
      </c>
    </row>
    <row r="86" customFormat="false" ht="15" hidden="false" customHeight="false" outlineLevel="0" collapsed="false">
      <c r="A86" s="16" t="n">
        <v>22</v>
      </c>
      <c r="B86" s="16" t="s">
        <v>126</v>
      </c>
      <c r="C86" s="16" t="s">
        <v>43</v>
      </c>
      <c r="D86" s="16" t="s">
        <v>34</v>
      </c>
      <c r="E86" s="16" t="s">
        <v>48</v>
      </c>
      <c r="F86" s="18" t="n">
        <v>45870</v>
      </c>
      <c r="G86" s="18" t="n">
        <v>45870</v>
      </c>
      <c r="H86" s="16" t="n">
        <v>1</v>
      </c>
      <c r="I86" s="16" t="n">
        <f aca="false">INDEX(Prozesse!$S$2:$S$125,MATCH(A86,Prozesse!$A$2:$A$125,0))</f>
        <v>1</v>
      </c>
    </row>
    <row r="87" customFormat="false" ht="15" hidden="false" customHeight="false" outlineLevel="0" collapsed="false">
      <c r="A87" s="16" t="n">
        <v>22</v>
      </c>
      <c r="B87" s="16" t="s">
        <v>126</v>
      </c>
      <c r="C87" s="16" t="s">
        <v>43</v>
      </c>
      <c r="D87" s="16" t="s">
        <v>339</v>
      </c>
      <c r="E87" s="16" t="s">
        <v>47</v>
      </c>
      <c r="F87" s="18" t="n">
        <v>45962</v>
      </c>
      <c r="G87" s="18" t="n">
        <v>46081</v>
      </c>
      <c r="H87" s="16" t="n">
        <v>85</v>
      </c>
      <c r="I87" s="16" t="n">
        <f aca="false">INDEX(Prozesse!$S$2:$S$125,MATCH(A87,Prozesse!$A$2:$A$125,0))</f>
        <v>1</v>
      </c>
    </row>
    <row r="88" customFormat="false" ht="15" hidden="false" customHeight="false" outlineLevel="0" collapsed="false">
      <c r="A88" s="16" t="n">
        <v>22</v>
      </c>
      <c r="B88" s="16" t="s">
        <v>126</v>
      </c>
      <c r="C88" s="16" t="s">
        <v>43</v>
      </c>
      <c r="D88" s="16" t="s">
        <v>340</v>
      </c>
      <c r="E88" s="16" t="s">
        <v>91</v>
      </c>
      <c r="F88" s="18"/>
      <c r="G88" s="18"/>
      <c r="H88" s="16"/>
      <c r="I88" s="16" t="n">
        <f aca="false">INDEX(Prozesse!$S$2:$S$125,MATCH(A88,Prozesse!$A$2:$A$125,0))</f>
        <v>1</v>
      </c>
    </row>
    <row r="89" customFormat="false" ht="15" hidden="false" customHeight="false" outlineLevel="0" collapsed="false">
      <c r="A89" s="16" t="n">
        <v>22</v>
      </c>
      <c r="B89" s="16" t="s">
        <v>126</v>
      </c>
      <c r="C89" s="16" t="s">
        <v>43</v>
      </c>
      <c r="D89" s="16" t="s">
        <v>341</v>
      </c>
      <c r="E89" s="16" t="s">
        <v>47</v>
      </c>
      <c r="F89" s="18" t="n">
        <v>45964</v>
      </c>
      <c r="G89" s="18" t="n">
        <v>46112</v>
      </c>
      <c r="H89" s="16" t="n">
        <v>107</v>
      </c>
      <c r="I89" s="16" t="n">
        <f aca="false">INDEX(Prozesse!$S$2:$S$125,MATCH(A89,Prozesse!$A$2:$A$125,0))</f>
        <v>1</v>
      </c>
    </row>
    <row r="90" customFormat="false" ht="15" hidden="false" customHeight="false" outlineLevel="0" collapsed="false">
      <c r="A90" s="16" t="n">
        <v>23</v>
      </c>
      <c r="B90" s="16" t="s">
        <v>128</v>
      </c>
      <c r="C90" s="16" t="s">
        <v>43</v>
      </c>
      <c r="D90" s="16" t="s">
        <v>34</v>
      </c>
      <c r="E90" s="16" t="s">
        <v>48</v>
      </c>
      <c r="F90" s="18" t="n">
        <v>45931</v>
      </c>
      <c r="G90" s="18" t="n">
        <v>46014</v>
      </c>
      <c r="H90" s="16" t="n">
        <v>60</v>
      </c>
      <c r="I90" s="16" t="n">
        <f aca="false">INDEX(Prozesse!$S$2:$S$125,MATCH(A90,Prozesse!$A$2:$A$125,0))</f>
        <v>1</v>
      </c>
    </row>
    <row r="91" customFormat="false" ht="15" hidden="false" customHeight="false" outlineLevel="0" collapsed="false">
      <c r="A91" s="16" t="n">
        <v>23</v>
      </c>
      <c r="B91" s="16" t="s">
        <v>128</v>
      </c>
      <c r="C91" s="16" t="s">
        <v>43</v>
      </c>
      <c r="D91" s="16" t="s">
        <v>339</v>
      </c>
      <c r="E91" s="16" t="s">
        <v>47</v>
      </c>
      <c r="F91" s="18" t="n">
        <v>46069</v>
      </c>
      <c r="G91" s="18" t="n">
        <v>46142</v>
      </c>
      <c r="H91" s="16" t="n">
        <v>54</v>
      </c>
      <c r="I91" s="16" t="n">
        <f aca="false">INDEX(Prozesse!$S$2:$S$125,MATCH(A91,Prozesse!$A$2:$A$125,0))</f>
        <v>1</v>
      </c>
    </row>
    <row r="92" customFormat="false" ht="15" hidden="false" customHeight="false" outlineLevel="0" collapsed="false">
      <c r="A92" s="16" t="n">
        <v>23</v>
      </c>
      <c r="B92" s="16" t="s">
        <v>128</v>
      </c>
      <c r="C92" s="16" t="s">
        <v>43</v>
      </c>
      <c r="D92" s="16" t="s">
        <v>340</v>
      </c>
      <c r="E92" s="16" t="s">
        <v>91</v>
      </c>
      <c r="F92" s="18"/>
      <c r="G92" s="18"/>
      <c r="H92" s="16"/>
      <c r="I92" s="16" t="n">
        <f aca="false">INDEX(Prozesse!$S$2:$S$125,MATCH(A92,Prozesse!$A$2:$A$125,0))</f>
        <v>1</v>
      </c>
    </row>
    <row r="93" customFormat="false" ht="15" hidden="false" customHeight="false" outlineLevel="0" collapsed="false">
      <c r="A93" s="16" t="n">
        <v>23</v>
      </c>
      <c r="B93" s="16" t="s">
        <v>128</v>
      </c>
      <c r="C93" s="16" t="s">
        <v>43</v>
      </c>
      <c r="D93" s="16" t="s">
        <v>341</v>
      </c>
      <c r="E93" s="16" t="s">
        <v>47</v>
      </c>
      <c r="F93" s="18" t="n">
        <v>45946</v>
      </c>
      <c r="G93" s="18" t="n">
        <v>46022</v>
      </c>
      <c r="H93" s="16" t="n">
        <v>55</v>
      </c>
      <c r="I93" s="16" t="n">
        <f aca="false">INDEX(Prozesse!$S$2:$S$125,MATCH(A93,Prozesse!$A$2:$A$125,0))</f>
        <v>1</v>
      </c>
    </row>
    <row r="94" customFormat="false" ht="15" hidden="false" customHeight="false" outlineLevel="0" collapsed="false">
      <c r="A94" s="16" t="n">
        <v>24</v>
      </c>
      <c r="B94" s="16" t="s">
        <v>45</v>
      </c>
      <c r="C94" s="16" t="s">
        <v>43</v>
      </c>
      <c r="D94" s="16" t="s">
        <v>34</v>
      </c>
      <c r="E94" s="16" t="s">
        <v>48</v>
      </c>
      <c r="F94" s="18" t="n">
        <v>45946</v>
      </c>
      <c r="G94" s="18" t="n">
        <v>45961</v>
      </c>
      <c r="H94" s="16" t="n">
        <v>12</v>
      </c>
      <c r="I94" s="16" t="n">
        <f aca="false">INDEX(Prozesse!$S$2:$S$125,MATCH(A94,Prozesse!$A$2:$A$125,0))</f>
        <v>1</v>
      </c>
    </row>
    <row r="95" customFormat="false" ht="15" hidden="false" customHeight="false" outlineLevel="0" collapsed="false">
      <c r="A95" s="16" t="n">
        <v>24</v>
      </c>
      <c r="B95" s="16" t="s">
        <v>45</v>
      </c>
      <c r="C95" s="16" t="s">
        <v>43</v>
      </c>
      <c r="D95" s="16" t="s">
        <v>339</v>
      </c>
      <c r="E95" s="16" t="s">
        <v>47</v>
      </c>
      <c r="F95" s="18" t="n">
        <v>45962</v>
      </c>
      <c r="G95" s="18" t="n">
        <v>46081</v>
      </c>
      <c r="H95" s="16" t="n">
        <v>85</v>
      </c>
      <c r="I95" s="16" t="n">
        <f aca="false">INDEX(Prozesse!$S$2:$S$125,MATCH(A95,Prozesse!$A$2:$A$125,0))</f>
        <v>1</v>
      </c>
    </row>
    <row r="96" customFormat="false" ht="15" hidden="false" customHeight="false" outlineLevel="0" collapsed="false">
      <c r="A96" s="16" t="n">
        <v>24</v>
      </c>
      <c r="B96" s="16" t="s">
        <v>45</v>
      </c>
      <c r="C96" s="16" t="s">
        <v>43</v>
      </c>
      <c r="D96" s="16" t="s">
        <v>340</v>
      </c>
      <c r="E96" s="16" t="s">
        <v>91</v>
      </c>
      <c r="F96" s="18"/>
      <c r="G96" s="18"/>
      <c r="H96" s="16"/>
      <c r="I96" s="16" t="n">
        <f aca="false">INDEX(Prozesse!$S$2:$S$125,MATCH(A96,Prozesse!$A$2:$A$125,0))</f>
        <v>1</v>
      </c>
    </row>
    <row r="97" customFormat="false" ht="15" hidden="false" customHeight="false" outlineLevel="0" collapsed="false">
      <c r="A97" s="16" t="n">
        <v>24</v>
      </c>
      <c r="B97" s="16" t="s">
        <v>45</v>
      </c>
      <c r="C97" s="16" t="s">
        <v>43</v>
      </c>
      <c r="D97" s="16" t="s">
        <v>341</v>
      </c>
      <c r="E97" s="16" t="s">
        <v>47</v>
      </c>
      <c r="F97" s="18" t="n">
        <v>45964</v>
      </c>
      <c r="G97" s="18" t="n">
        <v>46112</v>
      </c>
      <c r="H97" s="16" t="n">
        <v>107</v>
      </c>
      <c r="I97" s="16" t="n">
        <f aca="false">INDEX(Prozesse!$S$2:$S$125,MATCH(A97,Prozesse!$A$2:$A$125,0))</f>
        <v>1</v>
      </c>
    </row>
    <row r="98" customFormat="false" ht="15" hidden="false" customHeight="false" outlineLevel="0" collapsed="false">
      <c r="A98" s="16" t="n">
        <v>25</v>
      </c>
      <c r="B98" s="16" t="s">
        <v>131</v>
      </c>
      <c r="C98" s="16" t="s">
        <v>58</v>
      </c>
      <c r="D98" s="16" t="s">
        <v>34</v>
      </c>
      <c r="E98" s="16" t="s">
        <v>47</v>
      </c>
      <c r="F98" s="18" t="n">
        <v>45946</v>
      </c>
      <c r="G98" s="18" t="n">
        <v>46022</v>
      </c>
      <c r="H98" s="16" t="n">
        <v>55</v>
      </c>
      <c r="I98" s="16" t="n">
        <f aca="false">INDEX(Prozesse!$S$2:$S$125,MATCH(A98,Prozesse!$A$2:$A$125,0))</f>
        <v>1</v>
      </c>
    </row>
    <row r="99" customFormat="false" ht="15" hidden="false" customHeight="false" outlineLevel="0" collapsed="false">
      <c r="A99" s="16" t="n">
        <v>25</v>
      </c>
      <c r="B99" s="16" t="s">
        <v>131</v>
      </c>
      <c r="C99" s="16" t="s">
        <v>58</v>
      </c>
      <c r="D99" s="16" t="s">
        <v>339</v>
      </c>
      <c r="E99" s="16" t="s">
        <v>47</v>
      </c>
      <c r="F99" s="18" t="n">
        <v>46023</v>
      </c>
      <c r="G99" s="18" t="n">
        <v>46387</v>
      </c>
      <c r="H99" s="16" t="n">
        <v>261</v>
      </c>
      <c r="I99" s="16" t="n">
        <f aca="false">INDEX(Prozesse!$S$2:$S$125,MATCH(A99,Prozesse!$A$2:$A$125,0))</f>
        <v>1</v>
      </c>
    </row>
    <row r="100" customFormat="false" ht="15" hidden="false" customHeight="false" outlineLevel="0" collapsed="false">
      <c r="A100" s="16" t="n">
        <v>25</v>
      </c>
      <c r="B100" s="16" t="s">
        <v>131</v>
      </c>
      <c r="C100" s="16" t="s">
        <v>58</v>
      </c>
      <c r="D100" s="16" t="s">
        <v>340</v>
      </c>
      <c r="E100" s="16" t="s">
        <v>91</v>
      </c>
      <c r="F100" s="18"/>
      <c r="G100" s="18"/>
      <c r="H100" s="16"/>
      <c r="I100" s="16" t="n">
        <f aca="false">INDEX(Prozesse!$S$2:$S$125,MATCH(A100,Prozesse!$A$2:$A$125,0))</f>
        <v>1</v>
      </c>
    </row>
    <row r="101" customFormat="false" ht="15" hidden="false" customHeight="false" outlineLevel="0" collapsed="false">
      <c r="A101" s="16" t="n">
        <v>25</v>
      </c>
      <c r="B101" s="16" t="s">
        <v>131</v>
      </c>
      <c r="C101" s="16" t="s">
        <v>58</v>
      </c>
      <c r="D101" s="16" t="s">
        <v>341</v>
      </c>
      <c r="E101" s="16" t="s">
        <v>91</v>
      </c>
      <c r="F101" s="18"/>
      <c r="G101" s="18"/>
      <c r="H101" s="16"/>
      <c r="I101" s="16" t="n">
        <f aca="false">INDEX(Prozesse!$S$2:$S$125,MATCH(A101,Prozesse!$A$2:$A$125,0))</f>
        <v>1</v>
      </c>
    </row>
    <row r="102" customFormat="false" ht="15" hidden="false" customHeight="false" outlineLevel="0" collapsed="false">
      <c r="A102" s="16" t="n">
        <v>26</v>
      </c>
      <c r="B102" s="16" t="s">
        <v>133</v>
      </c>
      <c r="C102" s="16" t="s">
        <v>43</v>
      </c>
      <c r="D102" s="16" t="s">
        <v>34</v>
      </c>
      <c r="E102" s="16" t="s">
        <v>47</v>
      </c>
      <c r="F102" s="18" t="n">
        <v>46034</v>
      </c>
      <c r="G102" s="18" t="n">
        <v>46111</v>
      </c>
      <c r="H102" s="16" t="n">
        <v>56</v>
      </c>
      <c r="I102" s="16" t="n">
        <f aca="false">INDEX(Prozesse!$S$2:$S$125,MATCH(A102,Prozesse!$A$2:$A$125,0))</f>
        <v>1</v>
      </c>
    </row>
    <row r="103" customFormat="false" ht="15" hidden="false" customHeight="false" outlineLevel="0" collapsed="false">
      <c r="A103" s="16" t="n">
        <v>26</v>
      </c>
      <c r="B103" s="16" t="s">
        <v>133</v>
      </c>
      <c r="C103" s="16" t="s">
        <v>43</v>
      </c>
      <c r="D103" s="16" t="s">
        <v>339</v>
      </c>
      <c r="E103" s="16" t="s">
        <v>47</v>
      </c>
      <c r="F103" s="18" t="n">
        <v>46113</v>
      </c>
      <c r="G103" s="18" t="n">
        <v>46188</v>
      </c>
      <c r="H103" s="16" t="n">
        <v>54</v>
      </c>
      <c r="I103" s="16" t="n">
        <f aca="false">INDEX(Prozesse!$S$2:$S$125,MATCH(A103,Prozesse!$A$2:$A$125,0))</f>
        <v>1</v>
      </c>
    </row>
    <row r="104" customFormat="false" ht="15" hidden="false" customHeight="false" outlineLevel="0" collapsed="false">
      <c r="A104" s="16" t="n">
        <v>26</v>
      </c>
      <c r="B104" s="16" t="s">
        <v>133</v>
      </c>
      <c r="C104" s="16" t="s">
        <v>43</v>
      </c>
      <c r="D104" s="16" t="s">
        <v>340</v>
      </c>
      <c r="E104" s="16" t="s">
        <v>91</v>
      </c>
      <c r="F104" s="18"/>
      <c r="G104" s="18"/>
      <c r="H104" s="16"/>
      <c r="I104" s="16" t="n">
        <f aca="false">INDEX(Prozesse!$S$2:$S$125,MATCH(A104,Prozesse!$A$2:$A$125,0))</f>
        <v>1</v>
      </c>
    </row>
    <row r="105" customFormat="false" ht="15" hidden="false" customHeight="false" outlineLevel="0" collapsed="false">
      <c r="A105" s="16" t="n">
        <v>26</v>
      </c>
      <c r="B105" s="16" t="s">
        <v>133</v>
      </c>
      <c r="C105" s="16" t="s">
        <v>43</v>
      </c>
      <c r="D105" s="16" t="s">
        <v>341</v>
      </c>
      <c r="E105" s="16" t="s">
        <v>91</v>
      </c>
      <c r="F105" s="18"/>
      <c r="G105" s="18"/>
      <c r="H105" s="16"/>
      <c r="I105" s="16" t="n">
        <f aca="false">INDEX(Prozesse!$S$2:$S$125,MATCH(A105,Prozesse!$A$2:$A$125,0))</f>
        <v>1</v>
      </c>
    </row>
    <row r="106" customFormat="false" ht="15" hidden="false" customHeight="false" outlineLevel="0" collapsed="false">
      <c r="A106" s="16" t="n">
        <v>27</v>
      </c>
      <c r="B106" s="16" t="s">
        <v>135</v>
      </c>
      <c r="C106" s="16" t="s">
        <v>58</v>
      </c>
      <c r="D106" s="16" t="s">
        <v>34</v>
      </c>
      <c r="E106" s="16" t="s">
        <v>61</v>
      </c>
      <c r="F106" s="18" t="n">
        <v>45931</v>
      </c>
      <c r="G106" s="18" t="n">
        <v>46142</v>
      </c>
      <c r="H106" s="16" t="n">
        <v>152</v>
      </c>
      <c r="I106" s="16" t="n">
        <f aca="false">INDEX(Prozesse!$S$2:$S$125,MATCH(A106,Prozesse!$A$2:$A$125,0))</f>
        <v>1</v>
      </c>
    </row>
    <row r="107" customFormat="false" ht="15" hidden="false" customHeight="false" outlineLevel="0" collapsed="false">
      <c r="A107" s="16" t="n">
        <v>27</v>
      </c>
      <c r="B107" s="16" t="s">
        <v>135</v>
      </c>
      <c r="C107" s="16" t="s">
        <v>58</v>
      </c>
      <c r="D107" s="16" t="s">
        <v>339</v>
      </c>
      <c r="E107" s="16" t="s">
        <v>47</v>
      </c>
      <c r="F107" s="18" t="n">
        <v>46082</v>
      </c>
      <c r="G107" s="18" t="n">
        <v>46387</v>
      </c>
      <c r="H107" s="16" t="n">
        <v>219</v>
      </c>
      <c r="I107" s="16" t="n">
        <f aca="false">INDEX(Prozesse!$S$2:$S$125,MATCH(A107,Prozesse!$A$2:$A$125,0))</f>
        <v>1</v>
      </c>
    </row>
    <row r="108" customFormat="false" ht="15" hidden="false" customHeight="false" outlineLevel="0" collapsed="false">
      <c r="A108" s="16" t="n">
        <v>27</v>
      </c>
      <c r="B108" s="16" t="s">
        <v>135</v>
      </c>
      <c r="C108" s="16" t="s">
        <v>58</v>
      </c>
      <c r="D108" s="16" t="s">
        <v>340</v>
      </c>
      <c r="E108" s="16" t="s">
        <v>91</v>
      </c>
      <c r="F108" s="18"/>
      <c r="G108" s="18"/>
      <c r="H108" s="16"/>
      <c r="I108" s="16" t="n">
        <f aca="false">INDEX(Prozesse!$S$2:$S$125,MATCH(A108,Prozesse!$A$2:$A$125,0))</f>
        <v>1</v>
      </c>
    </row>
    <row r="109" customFormat="false" ht="15" hidden="false" customHeight="false" outlineLevel="0" collapsed="false">
      <c r="A109" s="16" t="n">
        <v>27</v>
      </c>
      <c r="B109" s="16" t="s">
        <v>135</v>
      </c>
      <c r="C109" s="16" t="s">
        <v>58</v>
      </c>
      <c r="D109" s="16" t="s">
        <v>341</v>
      </c>
      <c r="E109" s="16" t="s">
        <v>91</v>
      </c>
      <c r="F109" s="18"/>
      <c r="G109" s="18"/>
      <c r="H109" s="16"/>
      <c r="I109" s="16" t="n">
        <f aca="false">INDEX(Prozesse!$S$2:$S$125,MATCH(A109,Prozesse!$A$2:$A$125,0))</f>
        <v>1</v>
      </c>
    </row>
    <row r="110" customFormat="false" ht="15" hidden="false" customHeight="false" outlineLevel="0" collapsed="false">
      <c r="A110" s="16" t="n">
        <v>28</v>
      </c>
      <c r="B110" s="16" t="s">
        <v>122</v>
      </c>
      <c r="C110" s="16" t="s">
        <v>43</v>
      </c>
      <c r="D110" s="16" t="s">
        <v>34</v>
      </c>
      <c r="E110" s="16" t="s">
        <v>47</v>
      </c>
      <c r="F110" s="18" t="n">
        <v>45946</v>
      </c>
      <c r="G110" s="18" t="n">
        <v>46203</v>
      </c>
      <c r="H110" s="16" t="n">
        <v>184</v>
      </c>
      <c r="I110" s="16" t="n">
        <f aca="false">INDEX(Prozesse!$S$2:$S$125,MATCH(A110,Prozesse!$A$2:$A$125,0))</f>
        <v>1</v>
      </c>
    </row>
    <row r="111" customFormat="false" ht="15" hidden="false" customHeight="false" outlineLevel="0" collapsed="false">
      <c r="A111" s="16" t="n">
        <v>28</v>
      </c>
      <c r="B111" s="16" t="s">
        <v>122</v>
      </c>
      <c r="C111" s="16" t="s">
        <v>43</v>
      </c>
      <c r="D111" s="16" t="s">
        <v>339</v>
      </c>
      <c r="E111" s="16" t="s">
        <v>91</v>
      </c>
      <c r="F111" s="18"/>
      <c r="G111" s="18"/>
      <c r="H111" s="16"/>
      <c r="I111" s="16" t="n">
        <f aca="false">INDEX(Prozesse!$S$2:$S$125,MATCH(A111,Prozesse!$A$2:$A$125,0))</f>
        <v>1</v>
      </c>
    </row>
    <row r="112" customFormat="false" ht="15" hidden="false" customHeight="false" outlineLevel="0" collapsed="false">
      <c r="A112" s="16" t="n">
        <v>28</v>
      </c>
      <c r="B112" s="16" t="s">
        <v>122</v>
      </c>
      <c r="C112" s="16" t="s">
        <v>43</v>
      </c>
      <c r="D112" s="16" t="s">
        <v>340</v>
      </c>
      <c r="E112" s="16" t="s">
        <v>91</v>
      </c>
      <c r="F112" s="18"/>
      <c r="G112" s="18"/>
      <c r="H112" s="16"/>
      <c r="I112" s="16" t="n">
        <f aca="false">INDEX(Prozesse!$S$2:$S$125,MATCH(A112,Prozesse!$A$2:$A$125,0))</f>
        <v>1</v>
      </c>
    </row>
    <row r="113" customFormat="false" ht="15" hidden="false" customHeight="false" outlineLevel="0" collapsed="false">
      <c r="A113" s="16" t="n">
        <v>28</v>
      </c>
      <c r="B113" s="16" t="s">
        <v>122</v>
      </c>
      <c r="C113" s="16" t="s">
        <v>43</v>
      </c>
      <c r="D113" s="16" t="s">
        <v>341</v>
      </c>
      <c r="E113" s="16" t="s">
        <v>91</v>
      </c>
      <c r="F113" s="18"/>
      <c r="G113" s="18"/>
      <c r="H113" s="16"/>
      <c r="I113" s="16" t="n">
        <f aca="false">INDEX(Prozesse!$S$2:$S$125,MATCH(A113,Prozesse!$A$2:$A$125,0))</f>
        <v>1</v>
      </c>
    </row>
    <row r="114" customFormat="false" ht="15" hidden="false" customHeight="false" outlineLevel="0" collapsed="false">
      <c r="A114" s="16" t="n">
        <v>29</v>
      </c>
      <c r="B114" s="16" t="s">
        <v>139</v>
      </c>
      <c r="C114" s="16" t="s">
        <v>89</v>
      </c>
      <c r="D114" s="16" t="s">
        <v>34</v>
      </c>
      <c r="E114" s="16" t="s">
        <v>47</v>
      </c>
      <c r="F114" s="18" t="n">
        <v>46076</v>
      </c>
      <c r="G114" s="18" t="n">
        <v>46142</v>
      </c>
      <c r="H114" s="16"/>
      <c r="I114" s="16" t="n">
        <f aca="false">INDEX(Prozesse!$S$2:$S$125,MATCH(A114,Prozesse!$A$2:$A$125,0))</f>
        <v>1</v>
      </c>
    </row>
    <row r="115" customFormat="false" ht="15" hidden="false" customHeight="false" outlineLevel="0" collapsed="false">
      <c r="A115" s="16" t="n">
        <v>29</v>
      </c>
      <c r="B115" s="16" t="s">
        <v>139</v>
      </c>
      <c r="C115" s="16" t="s">
        <v>89</v>
      </c>
      <c r="D115" s="16" t="s">
        <v>339</v>
      </c>
      <c r="E115" s="16" t="s">
        <v>91</v>
      </c>
      <c r="F115" s="18"/>
      <c r="G115" s="18"/>
      <c r="H115" s="16"/>
      <c r="I115" s="16" t="n">
        <f aca="false">INDEX(Prozesse!$S$2:$S$125,MATCH(A115,Prozesse!$A$2:$A$125,0))</f>
        <v>1</v>
      </c>
    </row>
    <row r="116" customFormat="false" ht="15" hidden="false" customHeight="false" outlineLevel="0" collapsed="false">
      <c r="A116" s="16" t="n">
        <v>29</v>
      </c>
      <c r="B116" s="16" t="s">
        <v>139</v>
      </c>
      <c r="C116" s="16" t="s">
        <v>89</v>
      </c>
      <c r="D116" s="16" t="s">
        <v>340</v>
      </c>
      <c r="E116" s="16" t="s">
        <v>91</v>
      </c>
      <c r="F116" s="18"/>
      <c r="G116" s="18"/>
      <c r="H116" s="16"/>
      <c r="I116" s="16" t="n">
        <f aca="false">INDEX(Prozesse!$S$2:$S$125,MATCH(A116,Prozesse!$A$2:$A$125,0))</f>
        <v>1</v>
      </c>
    </row>
    <row r="117" customFormat="false" ht="15" hidden="false" customHeight="false" outlineLevel="0" collapsed="false">
      <c r="A117" s="16" t="n">
        <v>29</v>
      </c>
      <c r="B117" s="16" t="s">
        <v>139</v>
      </c>
      <c r="C117" s="16" t="s">
        <v>89</v>
      </c>
      <c r="D117" s="16" t="s">
        <v>341</v>
      </c>
      <c r="E117" s="16" t="s">
        <v>91</v>
      </c>
      <c r="F117" s="18"/>
      <c r="G117" s="18"/>
      <c r="H117" s="16"/>
      <c r="I117" s="16" t="n">
        <f aca="false">INDEX(Prozesse!$S$2:$S$125,MATCH(A117,Prozesse!$A$2:$A$125,0))</f>
        <v>1</v>
      </c>
    </row>
    <row r="118" customFormat="false" ht="15" hidden="false" customHeight="false" outlineLevel="0" collapsed="false">
      <c r="A118" s="16" t="n">
        <v>30</v>
      </c>
      <c r="B118" s="16" t="s">
        <v>141</v>
      </c>
      <c r="C118" s="16" t="s">
        <v>89</v>
      </c>
      <c r="D118" s="16" t="s">
        <v>34</v>
      </c>
      <c r="E118" s="16" t="s">
        <v>91</v>
      </c>
      <c r="F118" s="18" t="n">
        <v>45945</v>
      </c>
      <c r="G118" s="18"/>
      <c r="H118" s="16"/>
      <c r="I118" s="16" t="n">
        <f aca="false">INDEX(Prozesse!$S$2:$S$125,MATCH(A118,Prozesse!$A$2:$A$125,0))</f>
        <v>1</v>
      </c>
    </row>
    <row r="119" customFormat="false" ht="15" hidden="false" customHeight="false" outlineLevel="0" collapsed="false">
      <c r="A119" s="16" t="n">
        <v>30</v>
      </c>
      <c r="B119" s="16" t="s">
        <v>141</v>
      </c>
      <c r="C119" s="16" t="s">
        <v>89</v>
      </c>
      <c r="D119" s="16" t="s">
        <v>339</v>
      </c>
      <c r="E119" s="16" t="s">
        <v>91</v>
      </c>
      <c r="F119" s="18"/>
      <c r="G119" s="18"/>
      <c r="H119" s="16"/>
      <c r="I119" s="16" t="n">
        <f aca="false">INDEX(Prozesse!$S$2:$S$125,MATCH(A119,Prozesse!$A$2:$A$125,0))</f>
        <v>1</v>
      </c>
    </row>
    <row r="120" customFormat="false" ht="15" hidden="false" customHeight="false" outlineLevel="0" collapsed="false">
      <c r="A120" s="16" t="n">
        <v>30</v>
      </c>
      <c r="B120" s="16" t="s">
        <v>141</v>
      </c>
      <c r="C120" s="16" t="s">
        <v>89</v>
      </c>
      <c r="D120" s="16" t="s">
        <v>340</v>
      </c>
      <c r="E120" s="16" t="s">
        <v>91</v>
      </c>
      <c r="F120" s="18"/>
      <c r="G120" s="18"/>
      <c r="H120" s="16"/>
      <c r="I120" s="16" t="n">
        <f aca="false">INDEX(Prozesse!$S$2:$S$125,MATCH(A120,Prozesse!$A$2:$A$125,0))</f>
        <v>1</v>
      </c>
    </row>
    <row r="121" customFormat="false" ht="15" hidden="false" customHeight="false" outlineLevel="0" collapsed="false">
      <c r="A121" s="16" t="n">
        <v>30</v>
      </c>
      <c r="B121" s="16" t="s">
        <v>141</v>
      </c>
      <c r="C121" s="16" t="s">
        <v>89</v>
      </c>
      <c r="D121" s="16" t="s">
        <v>341</v>
      </c>
      <c r="E121" s="16" t="s">
        <v>91</v>
      </c>
      <c r="F121" s="18"/>
      <c r="G121" s="18"/>
      <c r="H121" s="16"/>
      <c r="I121" s="16" t="n">
        <f aca="false">INDEX(Prozesse!$S$2:$S$125,MATCH(A121,Prozesse!$A$2:$A$125,0))</f>
        <v>1</v>
      </c>
    </row>
    <row r="122" customFormat="false" ht="15" hidden="false" customHeight="false" outlineLevel="0" collapsed="false">
      <c r="A122" s="16" t="n">
        <v>31</v>
      </c>
      <c r="B122" s="16" t="s">
        <v>148</v>
      </c>
      <c r="C122" s="16" t="s">
        <v>89</v>
      </c>
      <c r="D122" s="16" t="s">
        <v>34</v>
      </c>
      <c r="E122" s="16" t="s">
        <v>91</v>
      </c>
      <c r="F122" s="18" t="n">
        <v>45945</v>
      </c>
      <c r="G122" s="18"/>
      <c r="H122" s="16"/>
      <c r="I122" s="16" t="n">
        <f aca="false">INDEX(Prozesse!$S$2:$S$125,MATCH(A122,Prozesse!$A$2:$A$125,0))</f>
        <v>1</v>
      </c>
    </row>
    <row r="123" customFormat="false" ht="15" hidden="false" customHeight="false" outlineLevel="0" collapsed="false">
      <c r="A123" s="16" t="n">
        <v>31</v>
      </c>
      <c r="B123" s="16" t="s">
        <v>148</v>
      </c>
      <c r="C123" s="16" t="s">
        <v>89</v>
      </c>
      <c r="D123" s="16" t="s">
        <v>339</v>
      </c>
      <c r="E123" s="16" t="s">
        <v>91</v>
      </c>
      <c r="F123" s="18"/>
      <c r="G123" s="18"/>
      <c r="H123" s="16"/>
      <c r="I123" s="16" t="n">
        <f aca="false">INDEX(Prozesse!$S$2:$S$125,MATCH(A123,Prozesse!$A$2:$A$125,0))</f>
        <v>1</v>
      </c>
    </row>
    <row r="124" customFormat="false" ht="15" hidden="false" customHeight="false" outlineLevel="0" collapsed="false">
      <c r="A124" s="16" t="n">
        <v>31</v>
      </c>
      <c r="B124" s="16" t="s">
        <v>148</v>
      </c>
      <c r="C124" s="16" t="s">
        <v>89</v>
      </c>
      <c r="D124" s="16" t="s">
        <v>340</v>
      </c>
      <c r="E124" s="16" t="s">
        <v>91</v>
      </c>
      <c r="F124" s="18"/>
      <c r="G124" s="18"/>
      <c r="H124" s="16"/>
      <c r="I124" s="16" t="n">
        <f aca="false">INDEX(Prozesse!$S$2:$S$125,MATCH(A124,Prozesse!$A$2:$A$125,0))</f>
        <v>1</v>
      </c>
    </row>
    <row r="125" customFormat="false" ht="15" hidden="false" customHeight="false" outlineLevel="0" collapsed="false">
      <c r="A125" s="16" t="n">
        <v>31</v>
      </c>
      <c r="B125" s="16" t="s">
        <v>148</v>
      </c>
      <c r="C125" s="16" t="s">
        <v>89</v>
      </c>
      <c r="D125" s="16" t="s">
        <v>341</v>
      </c>
      <c r="E125" s="16" t="s">
        <v>91</v>
      </c>
      <c r="F125" s="18"/>
      <c r="G125" s="18"/>
      <c r="H125" s="16"/>
      <c r="I125" s="16" t="n">
        <f aca="false">INDEX(Prozesse!$S$2:$S$125,MATCH(A125,Prozesse!$A$2:$A$125,0))</f>
        <v>1</v>
      </c>
    </row>
    <row r="126" customFormat="false" ht="15" hidden="false" customHeight="false" outlineLevel="0" collapsed="false">
      <c r="A126" s="16" t="n">
        <v>32</v>
      </c>
      <c r="B126" s="16" t="s">
        <v>67</v>
      </c>
      <c r="C126" s="16" t="s">
        <v>43</v>
      </c>
      <c r="D126" s="16" t="s">
        <v>34</v>
      </c>
      <c r="E126" s="16" t="s">
        <v>91</v>
      </c>
      <c r="F126" s="18"/>
      <c r="G126" s="18"/>
      <c r="H126" s="16"/>
      <c r="I126" s="16" t="n">
        <f aca="false">INDEX(Prozesse!$S$2:$S$125,MATCH(A126,Prozesse!$A$2:$A$125,0))</f>
        <v>1</v>
      </c>
    </row>
    <row r="127" customFormat="false" ht="15" hidden="false" customHeight="false" outlineLevel="0" collapsed="false">
      <c r="A127" s="16" t="n">
        <v>32</v>
      </c>
      <c r="B127" s="16" t="s">
        <v>67</v>
      </c>
      <c r="C127" s="16" t="s">
        <v>43</v>
      </c>
      <c r="D127" s="16" t="s">
        <v>339</v>
      </c>
      <c r="E127" s="16" t="s">
        <v>91</v>
      </c>
      <c r="F127" s="18"/>
      <c r="G127" s="18"/>
      <c r="H127" s="16"/>
      <c r="I127" s="16" t="n">
        <f aca="false">INDEX(Prozesse!$S$2:$S$125,MATCH(A127,Prozesse!$A$2:$A$125,0))</f>
        <v>1</v>
      </c>
    </row>
    <row r="128" customFormat="false" ht="15" hidden="false" customHeight="false" outlineLevel="0" collapsed="false">
      <c r="A128" s="16" t="n">
        <v>32</v>
      </c>
      <c r="B128" s="16" t="s">
        <v>67</v>
      </c>
      <c r="C128" s="16" t="s">
        <v>43</v>
      </c>
      <c r="D128" s="16" t="s">
        <v>340</v>
      </c>
      <c r="E128" s="16" t="s">
        <v>91</v>
      </c>
      <c r="F128" s="18"/>
      <c r="G128" s="18"/>
      <c r="H128" s="16"/>
      <c r="I128" s="16" t="n">
        <f aca="false">INDEX(Prozesse!$S$2:$S$125,MATCH(A128,Prozesse!$A$2:$A$125,0))</f>
        <v>1</v>
      </c>
    </row>
    <row r="129" customFormat="false" ht="15" hidden="false" customHeight="false" outlineLevel="0" collapsed="false">
      <c r="A129" s="16" t="n">
        <v>32</v>
      </c>
      <c r="B129" s="16" t="s">
        <v>67</v>
      </c>
      <c r="C129" s="16" t="s">
        <v>43</v>
      </c>
      <c r="D129" s="16" t="s">
        <v>341</v>
      </c>
      <c r="E129" s="16" t="s">
        <v>91</v>
      </c>
      <c r="F129" s="18"/>
      <c r="G129" s="18"/>
      <c r="H129" s="16"/>
      <c r="I129" s="16" t="n">
        <f aca="false">INDEX(Prozesse!$S$2:$S$125,MATCH(A129,Prozesse!$A$2:$A$125,0))</f>
        <v>1</v>
      </c>
    </row>
    <row r="130" customFormat="false" ht="15" hidden="false" customHeight="false" outlineLevel="0" collapsed="false">
      <c r="A130" s="16" t="n">
        <v>33</v>
      </c>
      <c r="B130" s="16" t="s">
        <v>152</v>
      </c>
      <c r="C130" s="16" t="s">
        <v>89</v>
      </c>
      <c r="D130" s="16" t="s">
        <v>34</v>
      </c>
      <c r="E130" s="16" t="s">
        <v>91</v>
      </c>
      <c r="F130" s="18" t="n">
        <v>45945</v>
      </c>
      <c r="G130" s="18"/>
      <c r="H130" s="16"/>
      <c r="I130" s="16" t="n">
        <f aca="false">INDEX(Prozesse!$S$2:$S$125,MATCH(A130,Prozesse!$A$2:$A$125,0))</f>
        <v>1</v>
      </c>
    </row>
    <row r="131" customFormat="false" ht="15" hidden="false" customHeight="false" outlineLevel="0" collapsed="false">
      <c r="A131" s="16" t="n">
        <v>33</v>
      </c>
      <c r="B131" s="16" t="s">
        <v>152</v>
      </c>
      <c r="C131" s="16" t="s">
        <v>89</v>
      </c>
      <c r="D131" s="16" t="s">
        <v>339</v>
      </c>
      <c r="E131" s="16" t="s">
        <v>91</v>
      </c>
      <c r="F131" s="18"/>
      <c r="G131" s="18"/>
      <c r="H131" s="16"/>
      <c r="I131" s="16" t="n">
        <f aca="false">INDEX(Prozesse!$S$2:$S$125,MATCH(A131,Prozesse!$A$2:$A$125,0))</f>
        <v>1</v>
      </c>
    </row>
    <row r="132" customFormat="false" ht="15" hidden="false" customHeight="false" outlineLevel="0" collapsed="false">
      <c r="A132" s="16" t="n">
        <v>33</v>
      </c>
      <c r="B132" s="16" t="s">
        <v>152</v>
      </c>
      <c r="C132" s="16" t="s">
        <v>89</v>
      </c>
      <c r="D132" s="16" t="s">
        <v>340</v>
      </c>
      <c r="E132" s="16" t="s">
        <v>91</v>
      </c>
      <c r="F132" s="18"/>
      <c r="G132" s="18"/>
      <c r="H132" s="16"/>
      <c r="I132" s="16" t="n">
        <f aca="false">INDEX(Prozesse!$S$2:$S$125,MATCH(A132,Prozesse!$A$2:$A$125,0))</f>
        <v>1</v>
      </c>
    </row>
    <row r="133" customFormat="false" ht="15" hidden="false" customHeight="false" outlineLevel="0" collapsed="false">
      <c r="A133" s="16" t="n">
        <v>33</v>
      </c>
      <c r="B133" s="16" t="s">
        <v>152</v>
      </c>
      <c r="C133" s="16" t="s">
        <v>89</v>
      </c>
      <c r="D133" s="16" t="s">
        <v>341</v>
      </c>
      <c r="E133" s="16" t="s">
        <v>91</v>
      </c>
      <c r="F133" s="18"/>
      <c r="G133" s="18"/>
      <c r="H133" s="16"/>
      <c r="I133" s="16" t="n">
        <f aca="false">INDEX(Prozesse!$S$2:$S$125,MATCH(A133,Prozesse!$A$2:$A$125,0))</f>
        <v>1</v>
      </c>
    </row>
    <row r="134" customFormat="false" ht="15" hidden="false" customHeight="false" outlineLevel="0" collapsed="false">
      <c r="A134" s="16" t="n">
        <v>34</v>
      </c>
      <c r="B134" s="16" t="s">
        <v>154</v>
      </c>
      <c r="C134" s="16" t="s">
        <v>89</v>
      </c>
      <c r="D134" s="16" t="s">
        <v>34</v>
      </c>
      <c r="E134" s="16" t="s">
        <v>91</v>
      </c>
      <c r="F134" s="18" t="n">
        <v>45945</v>
      </c>
      <c r="G134" s="18"/>
      <c r="H134" s="16"/>
      <c r="I134" s="16" t="n">
        <f aca="false">INDEX(Prozesse!$S$2:$S$125,MATCH(A134,Prozesse!$A$2:$A$125,0))</f>
        <v>1</v>
      </c>
    </row>
    <row r="135" customFormat="false" ht="15" hidden="false" customHeight="false" outlineLevel="0" collapsed="false">
      <c r="A135" s="16" t="n">
        <v>34</v>
      </c>
      <c r="B135" s="16" t="s">
        <v>154</v>
      </c>
      <c r="C135" s="16" t="s">
        <v>89</v>
      </c>
      <c r="D135" s="16" t="s">
        <v>339</v>
      </c>
      <c r="E135" s="16" t="s">
        <v>91</v>
      </c>
      <c r="F135" s="18"/>
      <c r="G135" s="18"/>
      <c r="H135" s="16"/>
      <c r="I135" s="16" t="n">
        <f aca="false">INDEX(Prozesse!$S$2:$S$125,MATCH(A135,Prozesse!$A$2:$A$125,0))</f>
        <v>1</v>
      </c>
    </row>
    <row r="136" customFormat="false" ht="15" hidden="false" customHeight="false" outlineLevel="0" collapsed="false">
      <c r="A136" s="16" t="n">
        <v>34</v>
      </c>
      <c r="B136" s="16" t="s">
        <v>154</v>
      </c>
      <c r="C136" s="16" t="s">
        <v>89</v>
      </c>
      <c r="D136" s="16" t="s">
        <v>340</v>
      </c>
      <c r="E136" s="16" t="s">
        <v>91</v>
      </c>
      <c r="F136" s="18"/>
      <c r="G136" s="18"/>
      <c r="H136" s="16"/>
      <c r="I136" s="16" t="n">
        <f aca="false">INDEX(Prozesse!$S$2:$S$125,MATCH(A136,Prozesse!$A$2:$A$125,0))</f>
        <v>1</v>
      </c>
    </row>
    <row r="137" customFormat="false" ht="15" hidden="false" customHeight="false" outlineLevel="0" collapsed="false">
      <c r="A137" s="16" t="n">
        <v>34</v>
      </c>
      <c r="B137" s="16" t="s">
        <v>154</v>
      </c>
      <c r="C137" s="16" t="s">
        <v>89</v>
      </c>
      <c r="D137" s="16" t="s">
        <v>341</v>
      </c>
      <c r="E137" s="16" t="s">
        <v>91</v>
      </c>
      <c r="F137" s="18"/>
      <c r="G137" s="18"/>
      <c r="H137" s="16"/>
      <c r="I137" s="16" t="n">
        <f aca="false">INDEX(Prozesse!$S$2:$S$125,MATCH(A137,Prozesse!$A$2:$A$125,0))</f>
        <v>1</v>
      </c>
    </row>
    <row r="138" customFormat="false" ht="15" hidden="false" customHeight="false" outlineLevel="0" collapsed="false">
      <c r="A138" s="16" t="n">
        <v>35</v>
      </c>
      <c r="B138" s="16" t="s">
        <v>156</v>
      </c>
      <c r="C138" s="16" t="s">
        <v>89</v>
      </c>
      <c r="D138" s="16" t="s">
        <v>34</v>
      </c>
      <c r="E138" s="16" t="s">
        <v>91</v>
      </c>
      <c r="F138" s="18" t="n">
        <v>45945</v>
      </c>
      <c r="G138" s="18"/>
      <c r="H138" s="16"/>
      <c r="I138" s="16" t="n">
        <f aca="false">INDEX(Prozesse!$S$2:$S$125,MATCH(A138,Prozesse!$A$2:$A$125,0))</f>
        <v>1</v>
      </c>
    </row>
    <row r="139" customFormat="false" ht="15" hidden="false" customHeight="false" outlineLevel="0" collapsed="false">
      <c r="A139" s="16" t="n">
        <v>35</v>
      </c>
      <c r="B139" s="16" t="s">
        <v>156</v>
      </c>
      <c r="C139" s="16" t="s">
        <v>89</v>
      </c>
      <c r="D139" s="16" t="s">
        <v>339</v>
      </c>
      <c r="E139" s="16" t="s">
        <v>91</v>
      </c>
      <c r="F139" s="18"/>
      <c r="G139" s="18"/>
      <c r="H139" s="16"/>
      <c r="I139" s="16" t="n">
        <f aca="false">INDEX(Prozesse!$S$2:$S$125,MATCH(A139,Prozesse!$A$2:$A$125,0))</f>
        <v>1</v>
      </c>
    </row>
    <row r="140" customFormat="false" ht="15" hidden="false" customHeight="false" outlineLevel="0" collapsed="false">
      <c r="A140" s="16" t="n">
        <v>35</v>
      </c>
      <c r="B140" s="16" t="s">
        <v>156</v>
      </c>
      <c r="C140" s="16" t="s">
        <v>89</v>
      </c>
      <c r="D140" s="16" t="s">
        <v>340</v>
      </c>
      <c r="E140" s="16" t="s">
        <v>91</v>
      </c>
      <c r="F140" s="18"/>
      <c r="G140" s="18"/>
      <c r="H140" s="16"/>
      <c r="I140" s="16" t="n">
        <f aca="false">INDEX(Prozesse!$S$2:$S$125,MATCH(A140,Prozesse!$A$2:$A$125,0))</f>
        <v>1</v>
      </c>
    </row>
    <row r="141" customFormat="false" ht="15" hidden="false" customHeight="false" outlineLevel="0" collapsed="false">
      <c r="A141" s="16" t="n">
        <v>35</v>
      </c>
      <c r="B141" s="16" t="s">
        <v>156</v>
      </c>
      <c r="C141" s="16" t="s">
        <v>89</v>
      </c>
      <c r="D141" s="16" t="s">
        <v>341</v>
      </c>
      <c r="E141" s="16" t="s">
        <v>91</v>
      </c>
      <c r="F141" s="18"/>
      <c r="G141" s="18"/>
      <c r="H141" s="16"/>
      <c r="I141" s="16" t="n">
        <f aca="false">INDEX(Prozesse!$S$2:$S$125,MATCH(A141,Prozesse!$A$2:$A$125,0))</f>
        <v>1</v>
      </c>
    </row>
    <row r="142" customFormat="false" ht="15" hidden="false" customHeight="false" outlineLevel="0" collapsed="false">
      <c r="A142" s="16" t="n">
        <v>36</v>
      </c>
      <c r="B142" s="16" t="s">
        <v>158</v>
      </c>
      <c r="C142" s="16" t="s">
        <v>58</v>
      </c>
      <c r="D142" s="16" t="s">
        <v>34</v>
      </c>
      <c r="E142" s="16" t="s">
        <v>61</v>
      </c>
      <c r="F142" s="18" t="n">
        <v>45931</v>
      </c>
      <c r="G142" s="18" t="n">
        <v>46142</v>
      </c>
      <c r="H142" s="16" t="n">
        <v>152</v>
      </c>
      <c r="I142" s="16" t="n">
        <f aca="false">INDEX(Prozesse!$S$2:$S$125,MATCH(A142,Prozesse!$A$2:$A$125,0))</f>
        <v>1</v>
      </c>
    </row>
    <row r="143" customFormat="false" ht="15" hidden="false" customHeight="false" outlineLevel="0" collapsed="false">
      <c r="A143" s="16" t="n">
        <v>36</v>
      </c>
      <c r="B143" s="16" t="s">
        <v>158</v>
      </c>
      <c r="C143" s="16" t="s">
        <v>58</v>
      </c>
      <c r="D143" s="16" t="s">
        <v>339</v>
      </c>
      <c r="E143" s="16" t="s">
        <v>91</v>
      </c>
      <c r="F143" s="18"/>
      <c r="G143" s="18"/>
      <c r="H143" s="16"/>
      <c r="I143" s="16" t="n">
        <f aca="false">INDEX(Prozesse!$S$2:$S$125,MATCH(A143,Prozesse!$A$2:$A$125,0))</f>
        <v>1</v>
      </c>
    </row>
    <row r="144" customFormat="false" ht="15" hidden="false" customHeight="false" outlineLevel="0" collapsed="false">
      <c r="A144" s="16" t="n">
        <v>36</v>
      </c>
      <c r="B144" s="16" t="s">
        <v>158</v>
      </c>
      <c r="C144" s="16" t="s">
        <v>58</v>
      </c>
      <c r="D144" s="16" t="s">
        <v>340</v>
      </c>
      <c r="E144" s="16" t="s">
        <v>91</v>
      </c>
      <c r="F144" s="18"/>
      <c r="G144" s="18"/>
      <c r="H144" s="16"/>
      <c r="I144" s="16" t="n">
        <f aca="false">INDEX(Prozesse!$S$2:$S$125,MATCH(A144,Prozesse!$A$2:$A$125,0))</f>
        <v>1</v>
      </c>
    </row>
    <row r="145" customFormat="false" ht="15" hidden="false" customHeight="false" outlineLevel="0" collapsed="false">
      <c r="A145" s="16" t="n">
        <v>36</v>
      </c>
      <c r="B145" s="16" t="s">
        <v>158</v>
      </c>
      <c r="C145" s="16" t="s">
        <v>58</v>
      </c>
      <c r="D145" s="16" t="s">
        <v>341</v>
      </c>
      <c r="E145" s="16" t="s">
        <v>91</v>
      </c>
      <c r="F145" s="18"/>
      <c r="G145" s="18"/>
      <c r="H145" s="16"/>
      <c r="I145" s="16" t="n">
        <f aca="false">INDEX(Prozesse!$S$2:$S$125,MATCH(A145,Prozesse!$A$2:$A$125,0))</f>
        <v>1</v>
      </c>
    </row>
    <row r="146" customFormat="false" ht="15" hidden="false" customHeight="false" outlineLevel="0" collapsed="false">
      <c r="A146" s="16" t="n">
        <v>37</v>
      </c>
      <c r="B146" s="16" t="s">
        <v>160</v>
      </c>
      <c r="C146" s="16" t="s">
        <v>89</v>
      </c>
      <c r="D146" s="16" t="s">
        <v>34</v>
      </c>
      <c r="E146" s="16" t="s">
        <v>61</v>
      </c>
      <c r="F146" s="18" t="n">
        <v>45931</v>
      </c>
      <c r="G146" s="18" t="n">
        <v>46295</v>
      </c>
      <c r="H146" s="16" t="n">
        <v>261</v>
      </c>
      <c r="I146" s="16" t="n">
        <f aca="false">INDEX(Prozesse!$S$2:$S$125,MATCH(A146,Prozesse!$A$2:$A$125,0))</f>
        <v>1</v>
      </c>
    </row>
    <row r="147" customFormat="false" ht="15" hidden="false" customHeight="false" outlineLevel="0" collapsed="false">
      <c r="A147" s="16" t="n">
        <v>37</v>
      </c>
      <c r="B147" s="16" t="s">
        <v>160</v>
      </c>
      <c r="C147" s="16" t="s">
        <v>89</v>
      </c>
      <c r="D147" s="16" t="s">
        <v>339</v>
      </c>
      <c r="E147" s="16" t="s">
        <v>91</v>
      </c>
      <c r="F147" s="18"/>
      <c r="G147" s="18"/>
      <c r="H147" s="16"/>
      <c r="I147" s="16" t="n">
        <f aca="false">INDEX(Prozesse!$S$2:$S$125,MATCH(A147,Prozesse!$A$2:$A$125,0))</f>
        <v>1</v>
      </c>
    </row>
    <row r="148" customFormat="false" ht="15" hidden="false" customHeight="false" outlineLevel="0" collapsed="false">
      <c r="A148" s="16" t="n">
        <v>37</v>
      </c>
      <c r="B148" s="16" t="s">
        <v>160</v>
      </c>
      <c r="C148" s="16" t="s">
        <v>89</v>
      </c>
      <c r="D148" s="16" t="s">
        <v>340</v>
      </c>
      <c r="E148" s="16" t="s">
        <v>91</v>
      </c>
      <c r="F148" s="18"/>
      <c r="G148" s="18"/>
      <c r="H148" s="16"/>
      <c r="I148" s="16" t="n">
        <f aca="false">INDEX(Prozesse!$S$2:$S$125,MATCH(A148,Prozesse!$A$2:$A$125,0))</f>
        <v>1</v>
      </c>
    </row>
    <row r="149" customFormat="false" ht="15" hidden="false" customHeight="false" outlineLevel="0" collapsed="false">
      <c r="A149" s="16" t="n">
        <v>37</v>
      </c>
      <c r="B149" s="16" t="s">
        <v>160</v>
      </c>
      <c r="C149" s="16" t="s">
        <v>89</v>
      </c>
      <c r="D149" s="16" t="s">
        <v>341</v>
      </c>
      <c r="E149" s="16" t="s">
        <v>91</v>
      </c>
      <c r="F149" s="18"/>
      <c r="G149" s="18"/>
      <c r="H149" s="16"/>
      <c r="I149" s="16" t="n">
        <f aca="false">INDEX(Prozesse!$S$2:$S$125,MATCH(A149,Prozesse!$A$2:$A$125,0))</f>
        <v>1</v>
      </c>
    </row>
    <row r="150" customFormat="false" ht="15" hidden="false" customHeight="false" outlineLevel="0" collapsed="false">
      <c r="A150" s="16" t="n">
        <v>38</v>
      </c>
      <c r="B150" s="16" t="s">
        <v>166</v>
      </c>
      <c r="C150" s="16" t="s">
        <v>89</v>
      </c>
      <c r="D150" s="16" t="s">
        <v>34</v>
      </c>
      <c r="E150" s="16" t="s">
        <v>91</v>
      </c>
      <c r="F150" s="18" t="n">
        <v>45945</v>
      </c>
      <c r="G150" s="18"/>
      <c r="H150" s="16"/>
      <c r="I150" s="16" t="n">
        <f aca="false">INDEX(Prozesse!$S$2:$S$125,MATCH(A150,Prozesse!$A$2:$A$125,0))</f>
        <v>1</v>
      </c>
    </row>
    <row r="151" customFormat="false" ht="15" hidden="false" customHeight="false" outlineLevel="0" collapsed="false">
      <c r="A151" s="16" t="n">
        <v>38</v>
      </c>
      <c r="B151" s="16" t="s">
        <v>166</v>
      </c>
      <c r="C151" s="16" t="s">
        <v>89</v>
      </c>
      <c r="D151" s="16" t="s">
        <v>339</v>
      </c>
      <c r="E151" s="16" t="s">
        <v>91</v>
      </c>
      <c r="F151" s="18"/>
      <c r="G151" s="18"/>
      <c r="H151" s="16"/>
      <c r="I151" s="16" t="n">
        <f aca="false">INDEX(Prozesse!$S$2:$S$125,MATCH(A151,Prozesse!$A$2:$A$125,0))</f>
        <v>1</v>
      </c>
    </row>
    <row r="152" customFormat="false" ht="15" hidden="false" customHeight="false" outlineLevel="0" collapsed="false">
      <c r="A152" s="16" t="n">
        <v>38</v>
      </c>
      <c r="B152" s="16" t="s">
        <v>166</v>
      </c>
      <c r="C152" s="16" t="s">
        <v>89</v>
      </c>
      <c r="D152" s="16" t="s">
        <v>340</v>
      </c>
      <c r="E152" s="16" t="s">
        <v>91</v>
      </c>
      <c r="F152" s="18"/>
      <c r="G152" s="18"/>
      <c r="H152" s="16"/>
      <c r="I152" s="16" t="n">
        <f aca="false">INDEX(Prozesse!$S$2:$S$125,MATCH(A152,Prozesse!$A$2:$A$125,0))</f>
        <v>1</v>
      </c>
    </row>
    <row r="153" customFormat="false" ht="15" hidden="false" customHeight="false" outlineLevel="0" collapsed="false">
      <c r="A153" s="16" t="n">
        <v>38</v>
      </c>
      <c r="B153" s="16" t="s">
        <v>166</v>
      </c>
      <c r="C153" s="16" t="s">
        <v>89</v>
      </c>
      <c r="D153" s="16" t="s">
        <v>341</v>
      </c>
      <c r="E153" s="16" t="s">
        <v>91</v>
      </c>
      <c r="F153" s="18"/>
      <c r="G153" s="18"/>
      <c r="H153" s="16"/>
      <c r="I153" s="16" t="n">
        <f aca="false">INDEX(Prozesse!$S$2:$S$125,MATCH(A153,Prozesse!$A$2:$A$125,0))</f>
        <v>1</v>
      </c>
    </row>
    <row r="154" customFormat="false" ht="15" hidden="false" customHeight="false" outlineLevel="0" collapsed="false">
      <c r="A154" s="16" t="n">
        <v>39</v>
      </c>
      <c r="B154" s="16" t="s">
        <v>168</v>
      </c>
      <c r="C154" s="16" t="s">
        <v>89</v>
      </c>
      <c r="D154" s="16" t="s">
        <v>34</v>
      </c>
      <c r="E154" s="16" t="s">
        <v>91</v>
      </c>
      <c r="F154" s="18" t="n">
        <v>45945</v>
      </c>
      <c r="G154" s="18"/>
      <c r="H154" s="16"/>
      <c r="I154" s="16" t="n">
        <f aca="false">INDEX(Prozesse!$S$2:$S$125,MATCH(A154,Prozesse!$A$2:$A$125,0))</f>
        <v>1</v>
      </c>
    </row>
    <row r="155" customFormat="false" ht="15" hidden="false" customHeight="false" outlineLevel="0" collapsed="false">
      <c r="A155" s="16" t="n">
        <v>39</v>
      </c>
      <c r="B155" s="16" t="s">
        <v>168</v>
      </c>
      <c r="C155" s="16" t="s">
        <v>89</v>
      </c>
      <c r="D155" s="16" t="s">
        <v>339</v>
      </c>
      <c r="E155" s="16" t="s">
        <v>91</v>
      </c>
      <c r="F155" s="18"/>
      <c r="G155" s="18"/>
      <c r="H155" s="16"/>
      <c r="I155" s="16" t="n">
        <f aca="false">INDEX(Prozesse!$S$2:$S$125,MATCH(A155,Prozesse!$A$2:$A$125,0))</f>
        <v>1</v>
      </c>
    </row>
    <row r="156" customFormat="false" ht="15" hidden="false" customHeight="false" outlineLevel="0" collapsed="false">
      <c r="A156" s="16" t="n">
        <v>39</v>
      </c>
      <c r="B156" s="16" t="s">
        <v>168</v>
      </c>
      <c r="C156" s="16" t="s">
        <v>89</v>
      </c>
      <c r="D156" s="16" t="s">
        <v>340</v>
      </c>
      <c r="E156" s="16" t="s">
        <v>91</v>
      </c>
      <c r="F156" s="18"/>
      <c r="G156" s="18"/>
      <c r="H156" s="16"/>
      <c r="I156" s="16" t="n">
        <f aca="false">INDEX(Prozesse!$S$2:$S$125,MATCH(A156,Prozesse!$A$2:$A$125,0))</f>
        <v>1</v>
      </c>
    </row>
    <row r="157" customFormat="false" ht="15" hidden="false" customHeight="false" outlineLevel="0" collapsed="false">
      <c r="A157" s="16" t="n">
        <v>39</v>
      </c>
      <c r="B157" s="16" t="s">
        <v>168</v>
      </c>
      <c r="C157" s="16" t="s">
        <v>89</v>
      </c>
      <c r="D157" s="16" t="s">
        <v>341</v>
      </c>
      <c r="E157" s="16" t="s">
        <v>91</v>
      </c>
      <c r="F157" s="18"/>
      <c r="G157" s="18"/>
      <c r="H157" s="16"/>
      <c r="I157" s="16" t="n">
        <f aca="false">INDEX(Prozesse!$S$2:$S$125,MATCH(A157,Prozesse!$A$2:$A$125,0))</f>
        <v>1</v>
      </c>
    </row>
    <row r="158" customFormat="false" ht="15" hidden="false" customHeight="false" outlineLevel="0" collapsed="false">
      <c r="A158" s="16" t="n">
        <v>40</v>
      </c>
      <c r="B158" s="16" t="s">
        <v>170</v>
      </c>
      <c r="C158" s="16" t="s">
        <v>43</v>
      </c>
      <c r="D158" s="16" t="s">
        <v>34</v>
      </c>
      <c r="E158" s="16" t="s">
        <v>61</v>
      </c>
      <c r="F158" s="18" t="n">
        <v>46146</v>
      </c>
      <c r="G158" s="18" t="n">
        <v>46234</v>
      </c>
      <c r="H158" s="16" t="n">
        <v>44</v>
      </c>
      <c r="I158" s="16" t="n">
        <f aca="false">INDEX(Prozesse!$S$2:$S$125,MATCH(A158,Prozesse!$A$2:$A$125,0))</f>
        <v>1</v>
      </c>
    </row>
    <row r="159" customFormat="false" ht="15" hidden="false" customHeight="false" outlineLevel="0" collapsed="false">
      <c r="A159" s="16" t="n">
        <v>40</v>
      </c>
      <c r="B159" s="16" t="s">
        <v>170</v>
      </c>
      <c r="C159" s="16" t="s">
        <v>43</v>
      </c>
      <c r="D159" s="16" t="s">
        <v>339</v>
      </c>
      <c r="E159" s="16" t="s">
        <v>91</v>
      </c>
      <c r="F159" s="18"/>
      <c r="G159" s="18"/>
      <c r="H159" s="16"/>
      <c r="I159" s="16" t="n">
        <f aca="false">INDEX(Prozesse!$S$2:$S$125,MATCH(A159,Prozesse!$A$2:$A$125,0))</f>
        <v>1</v>
      </c>
    </row>
    <row r="160" customFormat="false" ht="15" hidden="false" customHeight="false" outlineLevel="0" collapsed="false">
      <c r="A160" s="16" t="n">
        <v>40</v>
      </c>
      <c r="B160" s="16" t="s">
        <v>170</v>
      </c>
      <c r="C160" s="16" t="s">
        <v>43</v>
      </c>
      <c r="D160" s="16" t="s">
        <v>340</v>
      </c>
      <c r="E160" s="16" t="s">
        <v>91</v>
      </c>
      <c r="F160" s="18"/>
      <c r="G160" s="18"/>
      <c r="H160" s="16"/>
      <c r="I160" s="16" t="n">
        <f aca="false">INDEX(Prozesse!$S$2:$S$125,MATCH(A160,Prozesse!$A$2:$A$125,0))</f>
        <v>1</v>
      </c>
    </row>
    <row r="161" customFormat="false" ht="15" hidden="false" customHeight="false" outlineLevel="0" collapsed="false">
      <c r="A161" s="16" t="n">
        <v>40</v>
      </c>
      <c r="B161" s="16" t="s">
        <v>170</v>
      </c>
      <c r="C161" s="16" t="s">
        <v>43</v>
      </c>
      <c r="D161" s="16" t="s">
        <v>341</v>
      </c>
      <c r="E161" s="16" t="s">
        <v>91</v>
      </c>
      <c r="F161" s="18"/>
      <c r="G161" s="18"/>
      <c r="H161" s="16"/>
      <c r="I161" s="16" t="n">
        <f aca="false">INDEX(Prozesse!$S$2:$S$125,MATCH(A161,Prozesse!$A$2:$A$125,0))</f>
        <v>1</v>
      </c>
    </row>
    <row r="162" customFormat="false" ht="15" hidden="false" customHeight="false" outlineLevel="0" collapsed="false">
      <c r="A162" s="16" t="n">
        <v>41</v>
      </c>
      <c r="B162" s="16" t="s">
        <v>172</v>
      </c>
      <c r="C162" s="16" t="s">
        <v>43</v>
      </c>
      <c r="D162" s="16" t="s">
        <v>34</v>
      </c>
      <c r="E162" s="16" t="s">
        <v>61</v>
      </c>
      <c r="F162" s="18" t="n">
        <v>46146</v>
      </c>
      <c r="G162" s="18" t="n">
        <v>46234</v>
      </c>
      <c r="H162" s="16" t="n">
        <v>65</v>
      </c>
      <c r="I162" s="16" t="n">
        <f aca="false">INDEX(Prozesse!$S$2:$S$125,MATCH(A162,Prozesse!$A$2:$A$125,0))</f>
        <v>1</v>
      </c>
    </row>
    <row r="163" customFormat="false" ht="15" hidden="false" customHeight="false" outlineLevel="0" collapsed="false">
      <c r="A163" s="16" t="n">
        <v>41</v>
      </c>
      <c r="B163" s="16" t="s">
        <v>172</v>
      </c>
      <c r="C163" s="16" t="s">
        <v>43</v>
      </c>
      <c r="D163" s="16" t="s">
        <v>339</v>
      </c>
      <c r="E163" s="16" t="s">
        <v>91</v>
      </c>
      <c r="F163" s="18"/>
      <c r="G163" s="18"/>
      <c r="H163" s="16"/>
      <c r="I163" s="16" t="n">
        <f aca="false">INDEX(Prozesse!$S$2:$S$125,MATCH(A163,Prozesse!$A$2:$A$125,0))</f>
        <v>1</v>
      </c>
    </row>
    <row r="164" customFormat="false" ht="15" hidden="false" customHeight="false" outlineLevel="0" collapsed="false">
      <c r="A164" s="16" t="n">
        <v>41</v>
      </c>
      <c r="B164" s="16" t="s">
        <v>172</v>
      </c>
      <c r="C164" s="16" t="s">
        <v>43</v>
      </c>
      <c r="D164" s="16" t="s">
        <v>340</v>
      </c>
      <c r="E164" s="16" t="s">
        <v>91</v>
      </c>
      <c r="F164" s="18"/>
      <c r="G164" s="18"/>
      <c r="H164" s="16"/>
      <c r="I164" s="16" t="n">
        <f aca="false">INDEX(Prozesse!$S$2:$S$125,MATCH(A164,Prozesse!$A$2:$A$125,0))</f>
        <v>1</v>
      </c>
    </row>
    <row r="165" customFormat="false" ht="15" hidden="false" customHeight="false" outlineLevel="0" collapsed="false">
      <c r="A165" s="16" t="n">
        <v>41</v>
      </c>
      <c r="B165" s="16" t="s">
        <v>172</v>
      </c>
      <c r="C165" s="16" t="s">
        <v>43</v>
      </c>
      <c r="D165" s="16" t="s">
        <v>341</v>
      </c>
      <c r="E165" s="16" t="s">
        <v>91</v>
      </c>
      <c r="F165" s="18"/>
      <c r="G165" s="18"/>
      <c r="H165" s="16"/>
      <c r="I165" s="16" t="n">
        <f aca="false">INDEX(Prozesse!$S$2:$S$125,MATCH(A165,Prozesse!$A$2:$A$125,0))</f>
        <v>1</v>
      </c>
    </row>
    <row r="166" customFormat="false" ht="15" hidden="false" customHeight="false" outlineLevel="0" collapsed="false">
      <c r="A166" s="16" t="n">
        <v>42</v>
      </c>
      <c r="B166" s="16" t="s">
        <v>174</v>
      </c>
      <c r="C166" s="16" t="s">
        <v>43</v>
      </c>
      <c r="D166" s="16" t="s">
        <v>34</v>
      </c>
      <c r="E166" s="16" t="s">
        <v>61</v>
      </c>
      <c r="F166" s="18" t="n">
        <v>46146</v>
      </c>
      <c r="G166" s="18" t="n">
        <v>46234</v>
      </c>
      <c r="H166" s="16" t="n">
        <v>65</v>
      </c>
      <c r="I166" s="16" t="n">
        <f aca="false">INDEX(Prozesse!$S$2:$S$125,MATCH(A166,Prozesse!$A$2:$A$125,0))</f>
        <v>1</v>
      </c>
    </row>
    <row r="167" customFormat="false" ht="15" hidden="false" customHeight="false" outlineLevel="0" collapsed="false">
      <c r="A167" s="16" t="n">
        <v>42</v>
      </c>
      <c r="B167" s="16" t="s">
        <v>174</v>
      </c>
      <c r="C167" s="16" t="s">
        <v>43</v>
      </c>
      <c r="D167" s="16" t="s">
        <v>339</v>
      </c>
      <c r="E167" s="16" t="s">
        <v>91</v>
      </c>
      <c r="F167" s="18"/>
      <c r="G167" s="18"/>
      <c r="H167" s="16"/>
      <c r="I167" s="16" t="n">
        <f aca="false">INDEX(Prozesse!$S$2:$S$125,MATCH(A167,Prozesse!$A$2:$A$125,0))</f>
        <v>1</v>
      </c>
    </row>
    <row r="168" customFormat="false" ht="15" hidden="false" customHeight="false" outlineLevel="0" collapsed="false">
      <c r="A168" s="16" t="n">
        <v>42</v>
      </c>
      <c r="B168" s="16" t="s">
        <v>174</v>
      </c>
      <c r="C168" s="16" t="s">
        <v>43</v>
      </c>
      <c r="D168" s="16" t="s">
        <v>340</v>
      </c>
      <c r="E168" s="16" t="s">
        <v>91</v>
      </c>
      <c r="F168" s="18"/>
      <c r="G168" s="18"/>
      <c r="H168" s="16"/>
      <c r="I168" s="16" t="n">
        <f aca="false">INDEX(Prozesse!$S$2:$S$125,MATCH(A168,Prozesse!$A$2:$A$125,0))</f>
        <v>1</v>
      </c>
    </row>
    <row r="169" customFormat="false" ht="15" hidden="false" customHeight="false" outlineLevel="0" collapsed="false">
      <c r="A169" s="16" t="n">
        <v>42</v>
      </c>
      <c r="B169" s="16" t="s">
        <v>174</v>
      </c>
      <c r="C169" s="16" t="s">
        <v>43</v>
      </c>
      <c r="D169" s="16" t="s">
        <v>341</v>
      </c>
      <c r="E169" s="16" t="s">
        <v>91</v>
      </c>
      <c r="F169" s="18"/>
      <c r="G169" s="18"/>
      <c r="H169" s="16"/>
      <c r="I169" s="16" t="n">
        <f aca="false">INDEX(Prozesse!$S$2:$S$125,MATCH(A169,Prozesse!$A$2:$A$125,0))</f>
        <v>1</v>
      </c>
    </row>
    <row r="170" customFormat="false" ht="15" hidden="false" customHeight="false" outlineLevel="0" collapsed="false">
      <c r="A170" s="16" t="n">
        <v>43</v>
      </c>
      <c r="B170" s="16" t="s">
        <v>176</v>
      </c>
      <c r="C170" s="16" t="s">
        <v>89</v>
      </c>
      <c r="D170" s="16" t="s">
        <v>34</v>
      </c>
      <c r="E170" s="16" t="s">
        <v>91</v>
      </c>
      <c r="F170" s="18" t="n">
        <v>45945</v>
      </c>
      <c r="G170" s="18"/>
      <c r="H170" s="16"/>
      <c r="I170" s="16" t="n">
        <f aca="false">INDEX(Prozesse!$S$2:$S$125,MATCH(A170,Prozesse!$A$2:$A$125,0))</f>
        <v>1</v>
      </c>
    </row>
    <row r="171" customFormat="false" ht="15" hidden="false" customHeight="false" outlineLevel="0" collapsed="false">
      <c r="A171" s="16" t="n">
        <v>43</v>
      </c>
      <c r="B171" s="16" t="s">
        <v>176</v>
      </c>
      <c r="C171" s="16" t="s">
        <v>89</v>
      </c>
      <c r="D171" s="16" t="s">
        <v>339</v>
      </c>
      <c r="E171" s="16" t="s">
        <v>91</v>
      </c>
      <c r="F171" s="18"/>
      <c r="G171" s="18"/>
      <c r="H171" s="16"/>
      <c r="I171" s="16" t="n">
        <f aca="false">INDEX(Prozesse!$S$2:$S$125,MATCH(A171,Prozesse!$A$2:$A$125,0))</f>
        <v>1</v>
      </c>
    </row>
    <row r="172" customFormat="false" ht="15" hidden="false" customHeight="false" outlineLevel="0" collapsed="false">
      <c r="A172" s="16" t="n">
        <v>43</v>
      </c>
      <c r="B172" s="16" t="s">
        <v>176</v>
      </c>
      <c r="C172" s="16" t="s">
        <v>89</v>
      </c>
      <c r="D172" s="16" t="s">
        <v>340</v>
      </c>
      <c r="E172" s="16" t="s">
        <v>91</v>
      </c>
      <c r="F172" s="18"/>
      <c r="G172" s="18"/>
      <c r="H172" s="16"/>
      <c r="I172" s="16" t="n">
        <f aca="false">INDEX(Prozesse!$S$2:$S$125,MATCH(A172,Prozesse!$A$2:$A$125,0))</f>
        <v>1</v>
      </c>
    </row>
    <row r="173" customFormat="false" ht="15" hidden="false" customHeight="false" outlineLevel="0" collapsed="false">
      <c r="A173" s="16" t="n">
        <v>43</v>
      </c>
      <c r="B173" s="16" t="s">
        <v>176</v>
      </c>
      <c r="C173" s="16" t="s">
        <v>89</v>
      </c>
      <c r="D173" s="16" t="s">
        <v>341</v>
      </c>
      <c r="E173" s="16" t="s">
        <v>91</v>
      </c>
      <c r="F173" s="18"/>
      <c r="G173" s="18"/>
      <c r="H173" s="16"/>
      <c r="I173" s="16" t="n">
        <f aca="false">INDEX(Prozesse!$S$2:$S$125,MATCH(A173,Prozesse!$A$2:$A$125,0))</f>
        <v>1</v>
      </c>
    </row>
    <row r="174" customFormat="false" ht="15" hidden="false" customHeight="false" outlineLevel="0" collapsed="false">
      <c r="A174" s="16" t="n">
        <v>44</v>
      </c>
      <c r="B174" s="16" t="s">
        <v>178</v>
      </c>
      <c r="C174" s="16" t="s">
        <v>89</v>
      </c>
      <c r="D174" s="16" t="s">
        <v>34</v>
      </c>
      <c r="E174" s="16" t="s">
        <v>61</v>
      </c>
      <c r="F174" s="18" t="n">
        <v>46034</v>
      </c>
      <c r="G174" s="18" t="n">
        <v>46173</v>
      </c>
      <c r="H174" s="16" t="n">
        <v>100</v>
      </c>
      <c r="I174" s="16" t="n">
        <f aca="false">INDEX(Prozesse!$S$2:$S$125,MATCH(A174,Prozesse!$A$2:$A$125,0))</f>
        <v>1</v>
      </c>
    </row>
    <row r="175" customFormat="false" ht="15" hidden="false" customHeight="false" outlineLevel="0" collapsed="false">
      <c r="A175" s="16" t="n">
        <v>44</v>
      </c>
      <c r="B175" s="16" t="s">
        <v>178</v>
      </c>
      <c r="C175" s="16" t="s">
        <v>89</v>
      </c>
      <c r="D175" s="16" t="s">
        <v>339</v>
      </c>
      <c r="E175" s="16" t="s">
        <v>91</v>
      </c>
      <c r="F175" s="18"/>
      <c r="G175" s="18"/>
      <c r="H175" s="16"/>
      <c r="I175" s="16" t="n">
        <f aca="false">INDEX(Prozesse!$S$2:$S$125,MATCH(A175,Prozesse!$A$2:$A$125,0))</f>
        <v>1</v>
      </c>
    </row>
    <row r="176" customFormat="false" ht="15" hidden="false" customHeight="false" outlineLevel="0" collapsed="false">
      <c r="A176" s="16" t="n">
        <v>44</v>
      </c>
      <c r="B176" s="16" t="s">
        <v>178</v>
      </c>
      <c r="C176" s="16" t="s">
        <v>89</v>
      </c>
      <c r="D176" s="16" t="s">
        <v>340</v>
      </c>
      <c r="E176" s="16" t="s">
        <v>91</v>
      </c>
      <c r="F176" s="18"/>
      <c r="G176" s="18"/>
      <c r="H176" s="16"/>
      <c r="I176" s="16" t="n">
        <f aca="false">INDEX(Prozesse!$S$2:$S$125,MATCH(A176,Prozesse!$A$2:$A$125,0))</f>
        <v>1</v>
      </c>
    </row>
    <row r="177" customFormat="false" ht="15" hidden="false" customHeight="false" outlineLevel="0" collapsed="false">
      <c r="A177" s="16" t="n">
        <v>44</v>
      </c>
      <c r="B177" s="16" t="s">
        <v>178</v>
      </c>
      <c r="C177" s="16" t="s">
        <v>89</v>
      </c>
      <c r="D177" s="16" t="s">
        <v>341</v>
      </c>
      <c r="E177" s="16" t="s">
        <v>91</v>
      </c>
      <c r="F177" s="18"/>
      <c r="G177" s="18"/>
      <c r="H177" s="16"/>
      <c r="I177" s="16" t="n">
        <f aca="false">INDEX(Prozesse!$S$2:$S$125,MATCH(A177,Prozesse!$A$2:$A$125,0))</f>
        <v>1</v>
      </c>
    </row>
    <row r="178" customFormat="false" ht="15" hidden="false" customHeight="false" outlineLevel="0" collapsed="false">
      <c r="A178" s="16" t="n">
        <v>45</v>
      </c>
      <c r="B178" s="16" t="s">
        <v>180</v>
      </c>
      <c r="C178" s="16" t="s">
        <v>58</v>
      </c>
      <c r="D178" s="16" t="s">
        <v>34</v>
      </c>
      <c r="E178" s="16" t="s">
        <v>91</v>
      </c>
      <c r="F178" s="18" t="n">
        <v>45946</v>
      </c>
      <c r="G178" s="18"/>
      <c r="H178" s="16"/>
      <c r="I178" s="16" t="n">
        <f aca="false">INDEX(Prozesse!$S$2:$S$125,MATCH(A178,Prozesse!$A$2:$A$125,0))</f>
        <v>1</v>
      </c>
    </row>
    <row r="179" customFormat="false" ht="15" hidden="false" customHeight="false" outlineLevel="0" collapsed="false">
      <c r="A179" s="16" t="n">
        <v>45</v>
      </c>
      <c r="B179" s="16" t="s">
        <v>180</v>
      </c>
      <c r="C179" s="16" t="s">
        <v>58</v>
      </c>
      <c r="D179" s="16" t="s">
        <v>339</v>
      </c>
      <c r="E179" s="16" t="s">
        <v>91</v>
      </c>
      <c r="F179" s="18"/>
      <c r="G179" s="18"/>
      <c r="H179" s="16"/>
      <c r="I179" s="16" t="n">
        <f aca="false">INDEX(Prozesse!$S$2:$S$125,MATCH(A179,Prozesse!$A$2:$A$125,0))</f>
        <v>1</v>
      </c>
    </row>
    <row r="180" customFormat="false" ht="15" hidden="false" customHeight="false" outlineLevel="0" collapsed="false">
      <c r="A180" s="16" t="n">
        <v>45</v>
      </c>
      <c r="B180" s="16" t="s">
        <v>180</v>
      </c>
      <c r="C180" s="16" t="s">
        <v>58</v>
      </c>
      <c r="D180" s="16" t="s">
        <v>340</v>
      </c>
      <c r="E180" s="16" t="s">
        <v>91</v>
      </c>
      <c r="F180" s="18"/>
      <c r="G180" s="18"/>
      <c r="H180" s="16"/>
      <c r="I180" s="16" t="n">
        <f aca="false">INDEX(Prozesse!$S$2:$S$125,MATCH(A180,Prozesse!$A$2:$A$125,0))</f>
        <v>1</v>
      </c>
    </row>
    <row r="181" customFormat="false" ht="15" hidden="false" customHeight="false" outlineLevel="0" collapsed="false">
      <c r="A181" s="16" t="n">
        <v>45</v>
      </c>
      <c r="B181" s="16" t="s">
        <v>180</v>
      </c>
      <c r="C181" s="16" t="s">
        <v>58</v>
      </c>
      <c r="D181" s="16" t="s">
        <v>341</v>
      </c>
      <c r="E181" s="16" t="s">
        <v>91</v>
      </c>
      <c r="F181" s="18"/>
      <c r="G181" s="18"/>
      <c r="H181" s="16"/>
      <c r="I181" s="16" t="n">
        <f aca="false">INDEX(Prozesse!$S$2:$S$125,MATCH(A181,Prozesse!$A$2:$A$125,0))</f>
        <v>1</v>
      </c>
    </row>
    <row r="182" customFormat="false" ht="15" hidden="false" customHeight="false" outlineLevel="0" collapsed="false">
      <c r="A182" s="16" t="n">
        <v>46</v>
      </c>
      <c r="B182" s="16" t="s">
        <v>183</v>
      </c>
      <c r="C182" s="16" t="s">
        <v>89</v>
      </c>
      <c r="D182" s="16" t="s">
        <v>34</v>
      </c>
      <c r="E182" s="16" t="s">
        <v>91</v>
      </c>
      <c r="F182" s="18" t="n">
        <v>45945</v>
      </c>
      <c r="G182" s="18"/>
      <c r="H182" s="16"/>
      <c r="I182" s="16" t="n">
        <f aca="false">INDEX(Prozesse!$S$2:$S$125,MATCH(A182,Prozesse!$A$2:$A$125,0))</f>
        <v>1</v>
      </c>
    </row>
    <row r="183" customFormat="false" ht="15" hidden="false" customHeight="false" outlineLevel="0" collapsed="false">
      <c r="A183" s="16" t="n">
        <v>46</v>
      </c>
      <c r="B183" s="16" t="s">
        <v>183</v>
      </c>
      <c r="C183" s="16" t="s">
        <v>89</v>
      </c>
      <c r="D183" s="16" t="s">
        <v>339</v>
      </c>
      <c r="E183" s="16" t="s">
        <v>91</v>
      </c>
      <c r="F183" s="18"/>
      <c r="G183" s="18"/>
      <c r="H183" s="16"/>
      <c r="I183" s="16" t="n">
        <f aca="false">INDEX(Prozesse!$S$2:$S$125,MATCH(A183,Prozesse!$A$2:$A$125,0))</f>
        <v>1</v>
      </c>
    </row>
    <row r="184" customFormat="false" ht="15" hidden="false" customHeight="false" outlineLevel="0" collapsed="false">
      <c r="A184" s="16" t="n">
        <v>46</v>
      </c>
      <c r="B184" s="16" t="s">
        <v>183</v>
      </c>
      <c r="C184" s="16" t="s">
        <v>89</v>
      </c>
      <c r="D184" s="16" t="s">
        <v>340</v>
      </c>
      <c r="E184" s="16" t="s">
        <v>91</v>
      </c>
      <c r="F184" s="18"/>
      <c r="G184" s="18"/>
      <c r="H184" s="16"/>
      <c r="I184" s="16" t="n">
        <f aca="false">INDEX(Prozesse!$S$2:$S$125,MATCH(A184,Prozesse!$A$2:$A$125,0))</f>
        <v>1</v>
      </c>
    </row>
    <row r="185" customFormat="false" ht="15" hidden="false" customHeight="false" outlineLevel="0" collapsed="false">
      <c r="A185" s="16" t="n">
        <v>46</v>
      </c>
      <c r="B185" s="16" t="s">
        <v>183</v>
      </c>
      <c r="C185" s="16" t="s">
        <v>89</v>
      </c>
      <c r="D185" s="16" t="s">
        <v>341</v>
      </c>
      <c r="E185" s="16" t="s">
        <v>91</v>
      </c>
      <c r="F185" s="18"/>
      <c r="G185" s="18"/>
      <c r="H185" s="16"/>
      <c r="I185" s="16" t="n">
        <f aca="false">INDEX(Prozesse!$S$2:$S$125,MATCH(A185,Prozesse!$A$2:$A$125,0))</f>
        <v>1</v>
      </c>
    </row>
    <row r="186" customFormat="false" ht="15" hidden="false" customHeight="false" outlineLevel="0" collapsed="false">
      <c r="A186" s="16" t="n">
        <v>47</v>
      </c>
      <c r="B186" s="16" t="s">
        <v>185</v>
      </c>
      <c r="C186" s="16" t="s">
        <v>89</v>
      </c>
      <c r="D186" s="16" t="s">
        <v>34</v>
      </c>
      <c r="E186" s="16" t="s">
        <v>91</v>
      </c>
      <c r="F186" s="18" t="n">
        <v>45945</v>
      </c>
      <c r="G186" s="18"/>
      <c r="H186" s="16"/>
      <c r="I186" s="16" t="n">
        <f aca="false">INDEX(Prozesse!$S$2:$S$125,MATCH(A186,Prozesse!$A$2:$A$125,0))</f>
        <v>1</v>
      </c>
    </row>
    <row r="187" customFormat="false" ht="15" hidden="false" customHeight="false" outlineLevel="0" collapsed="false">
      <c r="A187" s="16" t="n">
        <v>47</v>
      </c>
      <c r="B187" s="16" t="s">
        <v>185</v>
      </c>
      <c r="C187" s="16" t="s">
        <v>89</v>
      </c>
      <c r="D187" s="16" t="s">
        <v>339</v>
      </c>
      <c r="E187" s="16" t="s">
        <v>91</v>
      </c>
      <c r="F187" s="18"/>
      <c r="G187" s="18"/>
      <c r="H187" s="16"/>
      <c r="I187" s="16" t="n">
        <f aca="false">INDEX(Prozesse!$S$2:$S$125,MATCH(A187,Prozesse!$A$2:$A$125,0))</f>
        <v>1</v>
      </c>
    </row>
    <row r="188" customFormat="false" ht="15" hidden="false" customHeight="false" outlineLevel="0" collapsed="false">
      <c r="A188" s="16" t="n">
        <v>47</v>
      </c>
      <c r="B188" s="16" t="s">
        <v>185</v>
      </c>
      <c r="C188" s="16" t="s">
        <v>89</v>
      </c>
      <c r="D188" s="16" t="s">
        <v>340</v>
      </c>
      <c r="E188" s="16" t="s">
        <v>91</v>
      </c>
      <c r="F188" s="18"/>
      <c r="G188" s="18"/>
      <c r="H188" s="16"/>
      <c r="I188" s="16" t="n">
        <f aca="false">INDEX(Prozesse!$S$2:$S$125,MATCH(A188,Prozesse!$A$2:$A$125,0))</f>
        <v>1</v>
      </c>
    </row>
    <row r="189" customFormat="false" ht="15" hidden="false" customHeight="false" outlineLevel="0" collapsed="false">
      <c r="A189" s="16" t="n">
        <v>47</v>
      </c>
      <c r="B189" s="16" t="s">
        <v>185</v>
      </c>
      <c r="C189" s="16" t="s">
        <v>89</v>
      </c>
      <c r="D189" s="16" t="s">
        <v>341</v>
      </c>
      <c r="E189" s="16" t="s">
        <v>91</v>
      </c>
      <c r="F189" s="18"/>
      <c r="G189" s="18"/>
      <c r="H189" s="16"/>
      <c r="I189" s="16" t="n">
        <f aca="false">INDEX(Prozesse!$S$2:$S$125,MATCH(A189,Prozesse!$A$2:$A$125,0))</f>
        <v>1</v>
      </c>
    </row>
    <row r="190" customFormat="false" ht="15" hidden="false" customHeight="false" outlineLevel="0" collapsed="false">
      <c r="A190" s="16" t="n">
        <v>48</v>
      </c>
      <c r="B190" s="16" t="s">
        <v>187</v>
      </c>
      <c r="C190" s="16" t="s">
        <v>43</v>
      </c>
      <c r="D190" s="16" t="s">
        <v>34</v>
      </c>
      <c r="E190" s="16" t="s">
        <v>61</v>
      </c>
      <c r="F190" s="18" t="n">
        <v>46146</v>
      </c>
      <c r="G190" s="18" t="n">
        <v>46234</v>
      </c>
      <c r="H190" s="16" t="n">
        <v>0</v>
      </c>
      <c r="I190" s="16" t="n">
        <f aca="false">INDEX(Prozesse!$S$2:$S$125,MATCH(A190,Prozesse!$A$2:$A$125,0))</f>
        <v>1</v>
      </c>
    </row>
    <row r="191" customFormat="false" ht="15" hidden="false" customHeight="false" outlineLevel="0" collapsed="false">
      <c r="A191" s="16" t="n">
        <v>48</v>
      </c>
      <c r="B191" s="16" t="s">
        <v>187</v>
      </c>
      <c r="C191" s="16" t="s">
        <v>43</v>
      </c>
      <c r="D191" s="16" t="s">
        <v>339</v>
      </c>
      <c r="E191" s="16" t="s">
        <v>91</v>
      </c>
      <c r="F191" s="18"/>
      <c r="G191" s="18"/>
      <c r="H191" s="16"/>
      <c r="I191" s="16" t="n">
        <f aca="false">INDEX(Prozesse!$S$2:$S$125,MATCH(A191,Prozesse!$A$2:$A$125,0))</f>
        <v>1</v>
      </c>
    </row>
    <row r="192" customFormat="false" ht="15" hidden="false" customHeight="false" outlineLevel="0" collapsed="false">
      <c r="A192" s="16" t="n">
        <v>48</v>
      </c>
      <c r="B192" s="16" t="s">
        <v>187</v>
      </c>
      <c r="C192" s="16" t="s">
        <v>43</v>
      </c>
      <c r="D192" s="16" t="s">
        <v>340</v>
      </c>
      <c r="E192" s="16" t="s">
        <v>91</v>
      </c>
      <c r="F192" s="18"/>
      <c r="G192" s="18"/>
      <c r="H192" s="16"/>
      <c r="I192" s="16" t="n">
        <f aca="false">INDEX(Prozesse!$S$2:$S$125,MATCH(A192,Prozesse!$A$2:$A$125,0))</f>
        <v>1</v>
      </c>
    </row>
    <row r="193" customFormat="false" ht="15" hidden="false" customHeight="false" outlineLevel="0" collapsed="false">
      <c r="A193" s="16" t="n">
        <v>48</v>
      </c>
      <c r="B193" s="16" t="s">
        <v>187</v>
      </c>
      <c r="C193" s="16" t="s">
        <v>43</v>
      </c>
      <c r="D193" s="16" t="s">
        <v>341</v>
      </c>
      <c r="E193" s="16" t="s">
        <v>91</v>
      </c>
      <c r="F193" s="18"/>
      <c r="G193" s="18"/>
      <c r="H193" s="16"/>
      <c r="I193" s="16" t="n">
        <f aca="false">INDEX(Prozesse!$S$2:$S$125,MATCH(A193,Prozesse!$A$2:$A$125,0))</f>
        <v>1</v>
      </c>
    </row>
    <row r="194" customFormat="false" ht="15" hidden="false" customHeight="false" outlineLevel="0" collapsed="false">
      <c r="A194" s="16" t="n">
        <v>49</v>
      </c>
      <c r="B194" s="16" t="s">
        <v>189</v>
      </c>
      <c r="C194" s="16" t="s">
        <v>89</v>
      </c>
      <c r="D194" s="16" t="s">
        <v>34</v>
      </c>
      <c r="E194" s="16" t="s">
        <v>91</v>
      </c>
      <c r="F194" s="18" t="n">
        <v>45945</v>
      </c>
      <c r="G194" s="18"/>
      <c r="H194" s="16"/>
      <c r="I194" s="16" t="n">
        <f aca="false">INDEX(Prozesse!$S$2:$S$125,MATCH(A194,Prozesse!$A$2:$A$125,0))</f>
        <v>1</v>
      </c>
    </row>
    <row r="195" customFormat="false" ht="15" hidden="false" customHeight="false" outlineLevel="0" collapsed="false">
      <c r="A195" s="16" t="n">
        <v>49</v>
      </c>
      <c r="B195" s="16" t="s">
        <v>189</v>
      </c>
      <c r="C195" s="16" t="s">
        <v>89</v>
      </c>
      <c r="D195" s="16" t="s">
        <v>339</v>
      </c>
      <c r="E195" s="16" t="s">
        <v>91</v>
      </c>
      <c r="F195" s="18"/>
      <c r="G195" s="18"/>
      <c r="H195" s="16"/>
      <c r="I195" s="16" t="n">
        <f aca="false">INDEX(Prozesse!$S$2:$S$125,MATCH(A195,Prozesse!$A$2:$A$125,0))</f>
        <v>1</v>
      </c>
    </row>
    <row r="196" customFormat="false" ht="15" hidden="false" customHeight="false" outlineLevel="0" collapsed="false">
      <c r="A196" s="16" t="n">
        <v>49</v>
      </c>
      <c r="B196" s="16" t="s">
        <v>189</v>
      </c>
      <c r="C196" s="16" t="s">
        <v>89</v>
      </c>
      <c r="D196" s="16" t="s">
        <v>340</v>
      </c>
      <c r="E196" s="16" t="s">
        <v>91</v>
      </c>
      <c r="F196" s="18"/>
      <c r="G196" s="18"/>
      <c r="H196" s="16"/>
      <c r="I196" s="16" t="n">
        <f aca="false">INDEX(Prozesse!$S$2:$S$125,MATCH(A196,Prozesse!$A$2:$A$125,0))</f>
        <v>1</v>
      </c>
    </row>
    <row r="197" customFormat="false" ht="15" hidden="false" customHeight="false" outlineLevel="0" collapsed="false">
      <c r="A197" s="16" t="n">
        <v>49</v>
      </c>
      <c r="B197" s="16" t="s">
        <v>189</v>
      </c>
      <c r="C197" s="16" t="s">
        <v>89</v>
      </c>
      <c r="D197" s="16" t="s">
        <v>341</v>
      </c>
      <c r="E197" s="16" t="s">
        <v>91</v>
      </c>
      <c r="F197" s="18"/>
      <c r="G197" s="18"/>
      <c r="H197" s="16"/>
      <c r="I197" s="16" t="n">
        <f aca="false">INDEX(Prozesse!$S$2:$S$125,MATCH(A197,Prozesse!$A$2:$A$125,0))</f>
        <v>1</v>
      </c>
    </row>
    <row r="198" customFormat="false" ht="15" hidden="false" customHeight="false" outlineLevel="0" collapsed="false">
      <c r="A198" s="16" t="n">
        <v>50</v>
      </c>
      <c r="B198" s="16" t="s">
        <v>191</v>
      </c>
      <c r="C198" s="16" t="s">
        <v>43</v>
      </c>
      <c r="D198" s="16" t="s">
        <v>34</v>
      </c>
      <c r="E198" s="16" t="s">
        <v>61</v>
      </c>
      <c r="F198" s="18" t="n">
        <v>46035</v>
      </c>
      <c r="G198" s="18" t="n">
        <v>46100</v>
      </c>
      <c r="H198" s="16" t="n">
        <v>48</v>
      </c>
      <c r="I198" s="16" t="n">
        <f aca="false">INDEX(Prozesse!$S$2:$S$125,MATCH(A198,Prozesse!$A$2:$A$125,0))</f>
        <v>1</v>
      </c>
    </row>
    <row r="199" customFormat="false" ht="15" hidden="false" customHeight="false" outlineLevel="0" collapsed="false">
      <c r="A199" s="16" t="n">
        <v>50</v>
      </c>
      <c r="B199" s="16" t="s">
        <v>191</v>
      </c>
      <c r="C199" s="16" t="s">
        <v>43</v>
      </c>
      <c r="D199" s="16" t="s">
        <v>339</v>
      </c>
      <c r="E199" s="16" t="s">
        <v>91</v>
      </c>
      <c r="F199" s="18"/>
      <c r="G199" s="18"/>
      <c r="H199" s="16"/>
      <c r="I199" s="16" t="n">
        <f aca="false">INDEX(Prozesse!$S$2:$S$125,MATCH(A199,Prozesse!$A$2:$A$125,0))</f>
        <v>1</v>
      </c>
    </row>
    <row r="200" customFormat="false" ht="15" hidden="false" customHeight="false" outlineLevel="0" collapsed="false">
      <c r="A200" s="16" t="n">
        <v>50</v>
      </c>
      <c r="B200" s="16" t="s">
        <v>191</v>
      </c>
      <c r="C200" s="16" t="s">
        <v>43</v>
      </c>
      <c r="D200" s="16" t="s">
        <v>340</v>
      </c>
      <c r="E200" s="16" t="s">
        <v>91</v>
      </c>
      <c r="F200" s="18"/>
      <c r="G200" s="18"/>
      <c r="H200" s="16"/>
      <c r="I200" s="16" t="n">
        <f aca="false">INDEX(Prozesse!$S$2:$S$125,MATCH(A200,Prozesse!$A$2:$A$125,0))</f>
        <v>1</v>
      </c>
    </row>
    <row r="201" customFormat="false" ht="15" hidden="false" customHeight="false" outlineLevel="0" collapsed="false">
      <c r="A201" s="16" t="n">
        <v>50</v>
      </c>
      <c r="B201" s="16" t="s">
        <v>191</v>
      </c>
      <c r="C201" s="16" t="s">
        <v>43</v>
      </c>
      <c r="D201" s="16" t="s">
        <v>341</v>
      </c>
      <c r="E201" s="16" t="s">
        <v>91</v>
      </c>
      <c r="F201" s="18"/>
      <c r="G201" s="18"/>
      <c r="H201" s="16"/>
      <c r="I201" s="16" t="n">
        <f aca="false">INDEX(Prozesse!$S$2:$S$125,MATCH(A201,Prozesse!$A$2:$A$125,0))</f>
        <v>1</v>
      </c>
    </row>
    <row r="202" customFormat="false" ht="15" hidden="false" customHeight="false" outlineLevel="0" collapsed="false">
      <c r="A202" s="16" t="n">
        <v>51</v>
      </c>
      <c r="B202" s="16" t="s">
        <v>193</v>
      </c>
      <c r="C202" s="16" t="s">
        <v>43</v>
      </c>
      <c r="D202" s="16" t="s">
        <v>34</v>
      </c>
      <c r="E202" s="16" t="s">
        <v>61</v>
      </c>
      <c r="F202" s="18" t="n">
        <v>46035</v>
      </c>
      <c r="G202" s="18" t="n">
        <v>46100</v>
      </c>
      <c r="H202" s="16" t="n">
        <v>48</v>
      </c>
      <c r="I202" s="16" t="n">
        <f aca="false">INDEX(Prozesse!$S$2:$S$125,MATCH(A202,Prozesse!$A$2:$A$125,0))</f>
        <v>1</v>
      </c>
    </row>
    <row r="203" customFormat="false" ht="15" hidden="false" customHeight="false" outlineLevel="0" collapsed="false">
      <c r="A203" s="16" t="n">
        <v>51</v>
      </c>
      <c r="B203" s="16" t="s">
        <v>193</v>
      </c>
      <c r="C203" s="16" t="s">
        <v>43</v>
      </c>
      <c r="D203" s="16" t="s">
        <v>339</v>
      </c>
      <c r="E203" s="16" t="s">
        <v>91</v>
      </c>
      <c r="F203" s="18"/>
      <c r="G203" s="18"/>
      <c r="H203" s="16"/>
      <c r="I203" s="16" t="n">
        <f aca="false">INDEX(Prozesse!$S$2:$S$125,MATCH(A203,Prozesse!$A$2:$A$125,0))</f>
        <v>1</v>
      </c>
    </row>
    <row r="204" customFormat="false" ht="15" hidden="false" customHeight="false" outlineLevel="0" collapsed="false">
      <c r="A204" s="16" t="n">
        <v>51</v>
      </c>
      <c r="B204" s="16" t="s">
        <v>193</v>
      </c>
      <c r="C204" s="16" t="s">
        <v>43</v>
      </c>
      <c r="D204" s="16" t="s">
        <v>340</v>
      </c>
      <c r="E204" s="16" t="s">
        <v>91</v>
      </c>
      <c r="F204" s="18"/>
      <c r="G204" s="18"/>
      <c r="H204" s="16"/>
      <c r="I204" s="16" t="n">
        <f aca="false">INDEX(Prozesse!$S$2:$S$125,MATCH(A204,Prozesse!$A$2:$A$125,0))</f>
        <v>1</v>
      </c>
    </row>
    <row r="205" customFormat="false" ht="15" hidden="false" customHeight="false" outlineLevel="0" collapsed="false">
      <c r="A205" s="16" t="n">
        <v>51</v>
      </c>
      <c r="B205" s="16" t="s">
        <v>193</v>
      </c>
      <c r="C205" s="16" t="s">
        <v>43</v>
      </c>
      <c r="D205" s="16" t="s">
        <v>341</v>
      </c>
      <c r="E205" s="16" t="s">
        <v>91</v>
      </c>
      <c r="F205" s="18"/>
      <c r="G205" s="18"/>
      <c r="H205" s="16"/>
      <c r="I205" s="16" t="n">
        <f aca="false">INDEX(Prozesse!$S$2:$S$125,MATCH(A205,Prozesse!$A$2:$A$125,0))</f>
        <v>1</v>
      </c>
    </row>
    <row r="206" customFormat="false" ht="15" hidden="false" customHeight="false" outlineLevel="0" collapsed="false">
      <c r="A206" s="16" t="n">
        <v>52</v>
      </c>
      <c r="B206" s="16" t="s">
        <v>195</v>
      </c>
      <c r="C206" s="16" t="s">
        <v>89</v>
      </c>
      <c r="D206" s="16" t="s">
        <v>34</v>
      </c>
      <c r="E206" s="16" t="s">
        <v>61</v>
      </c>
      <c r="F206" s="18" t="n">
        <v>46034</v>
      </c>
      <c r="G206" s="18" t="n">
        <v>46173</v>
      </c>
      <c r="H206" s="16" t="n">
        <v>100</v>
      </c>
      <c r="I206" s="16" t="n">
        <f aca="false">INDEX(Prozesse!$S$2:$S$125,MATCH(A206,Prozesse!$A$2:$A$125,0))</f>
        <v>1</v>
      </c>
    </row>
    <row r="207" customFormat="false" ht="15" hidden="false" customHeight="false" outlineLevel="0" collapsed="false">
      <c r="A207" s="16" t="n">
        <v>52</v>
      </c>
      <c r="B207" s="16" t="s">
        <v>195</v>
      </c>
      <c r="C207" s="16" t="s">
        <v>89</v>
      </c>
      <c r="D207" s="16" t="s">
        <v>339</v>
      </c>
      <c r="E207" s="16" t="s">
        <v>91</v>
      </c>
      <c r="F207" s="18"/>
      <c r="G207" s="18"/>
      <c r="H207" s="16"/>
      <c r="I207" s="16" t="n">
        <f aca="false">INDEX(Prozesse!$S$2:$S$125,MATCH(A207,Prozesse!$A$2:$A$125,0))</f>
        <v>1</v>
      </c>
    </row>
    <row r="208" customFormat="false" ht="15" hidden="false" customHeight="false" outlineLevel="0" collapsed="false">
      <c r="A208" s="16" t="n">
        <v>52</v>
      </c>
      <c r="B208" s="16" t="s">
        <v>195</v>
      </c>
      <c r="C208" s="16" t="s">
        <v>89</v>
      </c>
      <c r="D208" s="16" t="s">
        <v>340</v>
      </c>
      <c r="E208" s="16" t="s">
        <v>91</v>
      </c>
      <c r="F208" s="18"/>
      <c r="G208" s="18"/>
      <c r="H208" s="16"/>
      <c r="I208" s="16" t="n">
        <f aca="false">INDEX(Prozesse!$S$2:$S$125,MATCH(A208,Prozesse!$A$2:$A$125,0))</f>
        <v>1</v>
      </c>
    </row>
    <row r="209" customFormat="false" ht="15" hidden="false" customHeight="false" outlineLevel="0" collapsed="false">
      <c r="A209" s="16" t="n">
        <v>52</v>
      </c>
      <c r="B209" s="16" t="s">
        <v>195</v>
      </c>
      <c r="C209" s="16" t="s">
        <v>89</v>
      </c>
      <c r="D209" s="16" t="s">
        <v>341</v>
      </c>
      <c r="E209" s="16" t="s">
        <v>91</v>
      </c>
      <c r="F209" s="18"/>
      <c r="G209" s="18"/>
      <c r="H209" s="16"/>
      <c r="I209" s="16" t="n">
        <f aca="false">INDEX(Prozesse!$S$2:$S$125,MATCH(A209,Prozesse!$A$2:$A$125,0))</f>
        <v>1</v>
      </c>
    </row>
    <row r="210" customFormat="false" ht="15" hidden="false" customHeight="false" outlineLevel="0" collapsed="false">
      <c r="A210" s="16" t="n">
        <v>53</v>
      </c>
      <c r="B210" s="16" t="s">
        <v>197</v>
      </c>
      <c r="C210" s="16" t="s">
        <v>89</v>
      </c>
      <c r="D210" s="16" t="s">
        <v>34</v>
      </c>
      <c r="E210" s="16" t="s">
        <v>91</v>
      </c>
      <c r="F210" s="18" t="n">
        <v>45945</v>
      </c>
      <c r="G210" s="18"/>
      <c r="H210" s="16"/>
      <c r="I210" s="16" t="n">
        <f aca="false">INDEX(Prozesse!$S$2:$S$125,MATCH(A210,Prozesse!$A$2:$A$125,0))</f>
        <v>1</v>
      </c>
    </row>
    <row r="211" customFormat="false" ht="15" hidden="false" customHeight="false" outlineLevel="0" collapsed="false">
      <c r="A211" s="16" t="n">
        <v>53</v>
      </c>
      <c r="B211" s="16" t="s">
        <v>197</v>
      </c>
      <c r="C211" s="16" t="s">
        <v>89</v>
      </c>
      <c r="D211" s="16" t="s">
        <v>339</v>
      </c>
      <c r="E211" s="16" t="s">
        <v>91</v>
      </c>
      <c r="F211" s="18"/>
      <c r="G211" s="18"/>
      <c r="H211" s="16"/>
      <c r="I211" s="16" t="n">
        <f aca="false">INDEX(Prozesse!$S$2:$S$125,MATCH(A211,Prozesse!$A$2:$A$125,0))</f>
        <v>1</v>
      </c>
    </row>
    <row r="212" customFormat="false" ht="15" hidden="false" customHeight="false" outlineLevel="0" collapsed="false">
      <c r="A212" s="16" t="n">
        <v>53</v>
      </c>
      <c r="B212" s="16" t="s">
        <v>197</v>
      </c>
      <c r="C212" s="16" t="s">
        <v>89</v>
      </c>
      <c r="D212" s="16" t="s">
        <v>340</v>
      </c>
      <c r="E212" s="16" t="s">
        <v>91</v>
      </c>
      <c r="F212" s="18"/>
      <c r="G212" s="18"/>
      <c r="H212" s="16"/>
      <c r="I212" s="16" t="n">
        <f aca="false">INDEX(Prozesse!$S$2:$S$125,MATCH(A212,Prozesse!$A$2:$A$125,0))</f>
        <v>1</v>
      </c>
    </row>
    <row r="213" customFormat="false" ht="15" hidden="false" customHeight="false" outlineLevel="0" collapsed="false">
      <c r="A213" s="16" t="n">
        <v>53</v>
      </c>
      <c r="B213" s="16" t="s">
        <v>197</v>
      </c>
      <c r="C213" s="16" t="s">
        <v>89</v>
      </c>
      <c r="D213" s="16" t="s">
        <v>341</v>
      </c>
      <c r="E213" s="16" t="s">
        <v>91</v>
      </c>
      <c r="F213" s="18"/>
      <c r="G213" s="18"/>
      <c r="H213" s="16"/>
      <c r="I213" s="16" t="n">
        <f aca="false">INDEX(Prozesse!$S$2:$S$125,MATCH(A213,Prozesse!$A$2:$A$125,0))</f>
        <v>1</v>
      </c>
    </row>
    <row r="214" customFormat="false" ht="15" hidden="false" customHeight="false" outlineLevel="0" collapsed="false">
      <c r="A214" s="16" t="n">
        <v>54</v>
      </c>
      <c r="B214" s="16" t="s">
        <v>199</v>
      </c>
      <c r="C214" s="16" t="s">
        <v>89</v>
      </c>
      <c r="D214" s="16" t="s">
        <v>34</v>
      </c>
      <c r="E214" s="16" t="s">
        <v>61</v>
      </c>
      <c r="F214" s="18" t="n">
        <v>46034</v>
      </c>
      <c r="G214" s="18" t="n">
        <v>46173</v>
      </c>
      <c r="H214" s="16" t="n">
        <v>100</v>
      </c>
      <c r="I214" s="16" t="n">
        <f aca="false">INDEX(Prozesse!$S$2:$S$125,MATCH(A214,Prozesse!$A$2:$A$125,0))</f>
        <v>1</v>
      </c>
    </row>
    <row r="215" customFormat="false" ht="15" hidden="false" customHeight="false" outlineLevel="0" collapsed="false">
      <c r="A215" s="16" t="n">
        <v>54</v>
      </c>
      <c r="B215" s="16" t="s">
        <v>199</v>
      </c>
      <c r="C215" s="16" t="s">
        <v>89</v>
      </c>
      <c r="D215" s="16" t="s">
        <v>339</v>
      </c>
      <c r="E215" s="16" t="s">
        <v>91</v>
      </c>
      <c r="F215" s="18"/>
      <c r="G215" s="18"/>
      <c r="H215" s="16"/>
      <c r="I215" s="16" t="n">
        <f aca="false">INDEX(Prozesse!$S$2:$S$125,MATCH(A215,Prozesse!$A$2:$A$125,0))</f>
        <v>1</v>
      </c>
    </row>
    <row r="216" customFormat="false" ht="15" hidden="false" customHeight="false" outlineLevel="0" collapsed="false">
      <c r="A216" s="16" t="n">
        <v>54</v>
      </c>
      <c r="B216" s="16" t="s">
        <v>199</v>
      </c>
      <c r="C216" s="16" t="s">
        <v>89</v>
      </c>
      <c r="D216" s="16" t="s">
        <v>340</v>
      </c>
      <c r="E216" s="16" t="s">
        <v>91</v>
      </c>
      <c r="F216" s="18"/>
      <c r="G216" s="18"/>
      <c r="H216" s="16"/>
      <c r="I216" s="16" t="n">
        <f aca="false">INDEX(Prozesse!$S$2:$S$125,MATCH(A216,Prozesse!$A$2:$A$125,0))</f>
        <v>1</v>
      </c>
    </row>
    <row r="217" customFormat="false" ht="15" hidden="false" customHeight="false" outlineLevel="0" collapsed="false">
      <c r="A217" s="16" t="n">
        <v>54</v>
      </c>
      <c r="B217" s="16" t="s">
        <v>199</v>
      </c>
      <c r="C217" s="16" t="s">
        <v>89</v>
      </c>
      <c r="D217" s="16" t="s">
        <v>341</v>
      </c>
      <c r="E217" s="16" t="s">
        <v>91</v>
      </c>
      <c r="F217" s="18"/>
      <c r="G217" s="18"/>
      <c r="H217" s="16"/>
      <c r="I217" s="16" t="n">
        <f aca="false">INDEX(Prozesse!$S$2:$S$125,MATCH(A217,Prozesse!$A$2:$A$125,0))</f>
        <v>1</v>
      </c>
    </row>
    <row r="218" customFormat="false" ht="15" hidden="false" customHeight="false" outlineLevel="0" collapsed="false">
      <c r="A218" s="16" t="n">
        <v>55</v>
      </c>
      <c r="B218" s="16" t="s">
        <v>201</v>
      </c>
      <c r="C218" s="16" t="s">
        <v>89</v>
      </c>
      <c r="D218" s="16" t="s">
        <v>34</v>
      </c>
      <c r="E218" s="16" t="s">
        <v>61</v>
      </c>
      <c r="F218" s="18" t="n">
        <v>45931</v>
      </c>
      <c r="G218" s="18" t="n">
        <v>46295</v>
      </c>
      <c r="H218" s="16" t="n">
        <v>261</v>
      </c>
      <c r="I218" s="16" t="n">
        <f aca="false">INDEX(Prozesse!$S$2:$S$125,MATCH(A218,Prozesse!$A$2:$A$125,0))</f>
        <v>1</v>
      </c>
    </row>
    <row r="219" customFormat="false" ht="15" hidden="false" customHeight="false" outlineLevel="0" collapsed="false">
      <c r="A219" s="16" t="n">
        <v>55</v>
      </c>
      <c r="B219" s="16" t="s">
        <v>201</v>
      </c>
      <c r="C219" s="16" t="s">
        <v>89</v>
      </c>
      <c r="D219" s="16" t="s">
        <v>339</v>
      </c>
      <c r="E219" s="16" t="s">
        <v>91</v>
      </c>
      <c r="F219" s="18"/>
      <c r="G219" s="18"/>
      <c r="H219" s="16"/>
      <c r="I219" s="16" t="n">
        <f aca="false">INDEX(Prozesse!$S$2:$S$125,MATCH(A219,Prozesse!$A$2:$A$125,0))</f>
        <v>1</v>
      </c>
    </row>
    <row r="220" customFormat="false" ht="15" hidden="false" customHeight="false" outlineLevel="0" collapsed="false">
      <c r="A220" s="16" t="n">
        <v>55</v>
      </c>
      <c r="B220" s="16" t="s">
        <v>201</v>
      </c>
      <c r="C220" s="16" t="s">
        <v>89</v>
      </c>
      <c r="D220" s="16" t="s">
        <v>340</v>
      </c>
      <c r="E220" s="16" t="s">
        <v>91</v>
      </c>
      <c r="F220" s="18"/>
      <c r="G220" s="18"/>
      <c r="H220" s="16"/>
      <c r="I220" s="16" t="n">
        <f aca="false">INDEX(Prozesse!$S$2:$S$125,MATCH(A220,Prozesse!$A$2:$A$125,0))</f>
        <v>1</v>
      </c>
    </row>
    <row r="221" customFormat="false" ht="15" hidden="false" customHeight="false" outlineLevel="0" collapsed="false">
      <c r="A221" s="16" t="n">
        <v>55</v>
      </c>
      <c r="B221" s="16" t="s">
        <v>201</v>
      </c>
      <c r="C221" s="16" t="s">
        <v>89</v>
      </c>
      <c r="D221" s="16" t="s">
        <v>341</v>
      </c>
      <c r="E221" s="16" t="s">
        <v>91</v>
      </c>
      <c r="F221" s="18"/>
      <c r="G221" s="18"/>
      <c r="H221" s="16"/>
      <c r="I221" s="16" t="n">
        <f aca="false">INDEX(Prozesse!$S$2:$S$125,MATCH(A221,Prozesse!$A$2:$A$125,0))</f>
        <v>1</v>
      </c>
    </row>
    <row r="222" customFormat="false" ht="15" hidden="false" customHeight="false" outlineLevel="0" collapsed="false">
      <c r="A222" s="16" t="n">
        <v>56</v>
      </c>
      <c r="B222" s="16" t="s">
        <v>203</v>
      </c>
      <c r="C222" s="16" t="s">
        <v>89</v>
      </c>
      <c r="D222" s="16" t="s">
        <v>34</v>
      </c>
      <c r="E222" s="16" t="s">
        <v>91</v>
      </c>
      <c r="F222" s="18" t="n">
        <v>45945</v>
      </c>
      <c r="G222" s="18"/>
      <c r="H222" s="16"/>
      <c r="I222" s="16" t="n">
        <f aca="false">INDEX(Prozesse!$S$2:$S$125,MATCH(A222,Prozesse!$A$2:$A$125,0))</f>
        <v>1</v>
      </c>
    </row>
    <row r="223" customFormat="false" ht="15" hidden="false" customHeight="false" outlineLevel="0" collapsed="false">
      <c r="A223" s="16" t="n">
        <v>56</v>
      </c>
      <c r="B223" s="16" t="s">
        <v>203</v>
      </c>
      <c r="C223" s="16" t="s">
        <v>89</v>
      </c>
      <c r="D223" s="16" t="s">
        <v>339</v>
      </c>
      <c r="E223" s="16" t="s">
        <v>91</v>
      </c>
      <c r="F223" s="18"/>
      <c r="G223" s="18"/>
      <c r="H223" s="16"/>
      <c r="I223" s="16" t="n">
        <f aca="false">INDEX(Prozesse!$S$2:$S$125,MATCH(A223,Prozesse!$A$2:$A$125,0))</f>
        <v>1</v>
      </c>
    </row>
    <row r="224" customFormat="false" ht="15" hidden="false" customHeight="false" outlineLevel="0" collapsed="false">
      <c r="A224" s="16" t="n">
        <v>56</v>
      </c>
      <c r="B224" s="16" t="s">
        <v>203</v>
      </c>
      <c r="C224" s="16" t="s">
        <v>89</v>
      </c>
      <c r="D224" s="16" t="s">
        <v>340</v>
      </c>
      <c r="E224" s="16" t="s">
        <v>91</v>
      </c>
      <c r="F224" s="18"/>
      <c r="G224" s="18"/>
      <c r="H224" s="16"/>
      <c r="I224" s="16" t="n">
        <f aca="false">INDEX(Prozesse!$S$2:$S$125,MATCH(A224,Prozesse!$A$2:$A$125,0))</f>
        <v>1</v>
      </c>
    </row>
    <row r="225" customFormat="false" ht="15" hidden="false" customHeight="false" outlineLevel="0" collapsed="false">
      <c r="A225" s="16" t="n">
        <v>56</v>
      </c>
      <c r="B225" s="16" t="s">
        <v>203</v>
      </c>
      <c r="C225" s="16" t="s">
        <v>89</v>
      </c>
      <c r="D225" s="16" t="s">
        <v>341</v>
      </c>
      <c r="E225" s="16" t="s">
        <v>91</v>
      </c>
      <c r="F225" s="18"/>
      <c r="G225" s="18"/>
      <c r="H225" s="16"/>
      <c r="I225" s="16" t="n">
        <f aca="false">INDEX(Prozesse!$S$2:$S$125,MATCH(A225,Prozesse!$A$2:$A$125,0))</f>
        <v>1</v>
      </c>
    </row>
    <row r="226" customFormat="false" ht="15" hidden="false" customHeight="false" outlineLevel="0" collapsed="false">
      <c r="A226" s="16" t="n">
        <v>57</v>
      </c>
      <c r="B226" s="16" t="s">
        <v>205</v>
      </c>
      <c r="C226" s="16" t="s">
        <v>58</v>
      </c>
      <c r="D226" s="16" t="s">
        <v>34</v>
      </c>
      <c r="E226" s="16" t="s">
        <v>91</v>
      </c>
      <c r="F226" s="18" t="n">
        <v>46143</v>
      </c>
      <c r="G226" s="18" t="n">
        <v>46326</v>
      </c>
      <c r="H226" s="16" t="n">
        <v>0</v>
      </c>
      <c r="I226" s="16" t="n">
        <f aca="false">INDEX(Prozesse!$S$2:$S$125,MATCH(A226,Prozesse!$A$2:$A$125,0))</f>
        <v>1</v>
      </c>
    </row>
    <row r="227" customFormat="false" ht="15" hidden="false" customHeight="false" outlineLevel="0" collapsed="false">
      <c r="A227" s="16" t="n">
        <v>57</v>
      </c>
      <c r="B227" s="16" t="s">
        <v>205</v>
      </c>
      <c r="C227" s="16" t="s">
        <v>58</v>
      </c>
      <c r="D227" s="16" t="s">
        <v>339</v>
      </c>
      <c r="E227" s="16" t="s">
        <v>91</v>
      </c>
      <c r="F227" s="18"/>
      <c r="G227" s="18"/>
      <c r="H227" s="16"/>
      <c r="I227" s="16" t="n">
        <f aca="false">INDEX(Prozesse!$S$2:$S$125,MATCH(A227,Prozesse!$A$2:$A$125,0))</f>
        <v>1</v>
      </c>
    </row>
    <row r="228" customFormat="false" ht="15" hidden="false" customHeight="false" outlineLevel="0" collapsed="false">
      <c r="A228" s="16" t="n">
        <v>57</v>
      </c>
      <c r="B228" s="16" t="s">
        <v>205</v>
      </c>
      <c r="C228" s="16" t="s">
        <v>58</v>
      </c>
      <c r="D228" s="16" t="s">
        <v>340</v>
      </c>
      <c r="E228" s="16" t="s">
        <v>91</v>
      </c>
      <c r="F228" s="18"/>
      <c r="G228" s="18"/>
      <c r="H228" s="16"/>
      <c r="I228" s="16" t="n">
        <f aca="false">INDEX(Prozesse!$S$2:$S$125,MATCH(A228,Prozesse!$A$2:$A$125,0))</f>
        <v>1</v>
      </c>
    </row>
    <row r="229" customFormat="false" ht="15" hidden="false" customHeight="false" outlineLevel="0" collapsed="false">
      <c r="A229" s="16" t="n">
        <v>57</v>
      </c>
      <c r="B229" s="16" t="s">
        <v>205</v>
      </c>
      <c r="C229" s="16" t="s">
        <v>58</v>
      </c>
      <c r="D229" s="16" t="s">
        <v>341</v>
      </c>
      <c r="E229" s="16" t="s">
        <v>91</v>
      </c>
      <c r="F229" s="18"/>
      <c r="G229" s="18"/>
      <c r="H229" s="16"/>
      <c r="I229" s="16" t="n">
        <f aca="false">INDEX(Prozesse!$S$2:$S$125,MATCH(A229,Prozesse!$A$2:$A$125,0))</f>
        <v>1</v>
      </c>
    </row>
    <row r="230" customFormat="false" ht="15" hidden="false" customHeight="false" outlineLevel="0" collapsed="false">
      <c r="A230" s="16" t="n">
        <v>58</v>
      </c>
      <c r="B230" s="16" t="s">
        <v>208</v>
      </c>
      <c r="C230" s="16" t="s">
        <v>43</v>
      </c>
      <c r="D230" s="16" t="s">
        <v>34</v>
      </c>
      <c r="E230" s="16" t="s">
        <v>61</v>
      </c>
      <c r="F230" s="18" t="n">
        <v>46036</v>
      </c>
      <c r="G230" s="18" t="n">
        <v>46189</v>
      </c>
      <c r="H230" s="16" t="n">
        <v>91</v>
      </c>
      <c r="I230" s="16" t="n">
        <f aca="false">INDEX(Prozesse!$S$2:$S$125,MATCH(A230,Prozesse!$A$2:$A$125,0))</f>
        <v>1</v>
      </c>
    </row>
    <row r="231" customFormat="false" ht="15" hidden="false" customHeight="false" outlineLevel="0" collapsed="false">
      <c r="A231" s="16" t="n">
        <v>58</v>
      </c>
      <c r="B231" s="16" t="s">
        <v>208</v>
      </c>
      <c r="C231" s="16" t="s">
        <v>43</v>
      </c>
      <c r="D231" s="16" t="s">
        <v>339</v>
      </c>
      <c r="E231" s="16" t="s">
        <v>91</v>
      </c>
      <c r="F231" s="18"/>
      <c r="G231" s="18"/>
      <c r="H231" s="16"/>
      <c r="I231" s="16" t="n">
        <f aca="false">INDEX(Prozesse!$S$2:$S$125,MATCH(A231,Prozesse!$A$2:$A$125,0))</f>
        <v>1</v>
      </c>
    </row>
    <row r="232" customFormat="false" ht="15" hidden="false" customHeight="false" outlineLevel="0" collapsed="false">
      <c r="A232" s="16" t="n">
        <v>58</v>
      </c>
      <c r="B232" s="16" t="s">
        <v>208</v>
      </c>
      <c r="C232" s="16" t="s">
        <v>43</v>
      </c>
      <c r="D232" s="16" t="s">
        <v>340</v>
      </c>
      <c r="E232" s="16" t="s">
        <v>91</v>
      </c>
      <c r="F232" s="18"/>
      <c r="G232" s="18"/>
      <c r="H232" s="16"/>
      <c r="I232" s="16" t="n">
        <f aca="false">INDEX(Prozesse!$S$2:$S$125,MATCH(A232,Prozesse!$A$2:$A$125,0))</f>
        <v>1</v>
      </c>
    </row>
    <row r="233" customFormat="false" ht="15" hidden="false" customHeight="false" outlineLevel="0" collapsed="false">
      <c r="A233" s="16" t="n">
        <v>58</v>
      </c>
      <c r="B233" s="16" t="s">
        <v>208</v>
      </c>
      <c r="C233" s="16" t="s">
        <v>43</v>
      </c>
      <c r="D233" s="16" t="s">
        <v>341</v>
      </c>
      <c r="E233" s="16" t="s">
        <v>91</v>
      </c>
      <c r="F233" s="18"/>
      <c r="G233" s="18"/>
      <c r="H233" s="16"/>
      <c r="I233" s="16" t="n">
        <f aca="false">INDEX(Prozesse!$S$2:$S$125,MATCH(A233,Prozesse!$A$2:$A$125,0))</f>
        <v>1</v>
      </c>
    </row>
    <row r="234" customFormat="false" ht="15" hidden="false" customHeight="false" outlineLevel="0" collapsed="false">
      <c r="A234" s="16" t="n">
        <v>59</v>
      </c>
      <c r="B234" s="16" t="s">
        <v>210</v>
      </c>
      <c r="C234" s="16" t="s">
        <v>89</v>
      </c>
      <c r="D234" s="16" t="s">
        <v>34</v>
      </c>
      <c r="E234" s="16" t="s">
        <v>91</v>
      </c>
      <c r="F234" s="18" t="n">
        <v>45945</v>
      </c>
      <c r="G234" s="18"/>
      <c r="H234" s="16"/>
      <c r="I234" s="16" t="n">
        <f aca="false">INDEX(Prozesse!$S$2:$S$125,MATCH(A234,Prozesse!$A$2:$A$125,0))</f>
        <v>1</v>
      </c>
    </row>
    <row r="235" customFormat="false" ht="15" hidden="false" customHeight="false" outlineLevel="0" collapsed="false">
      <c r="A235" s="16" t="n">
        <v>59</v>
      </c>
      <c r="B235" s="16" t="s">
        <v>210</v>
      </c>
      <c r="C235" s="16" t="s">
        <v>89</v>
      </c>
      <c r="D235" s="16" t="s">
        <v>339</v>
      </c>
      <c r="E235" s="16" t="s">
        <v>91</v>
      </c>
      <c r="F235" s="18"/>
      <c r="G235" s="18"/>
      <c r="H235" s="16"/>
      <c r="I235" s="16" t="n">
        <f aca="false">INDEX(Prozesse!$S$2:$S$125,MATCH(A235,Prozesse!$A$2:$A$125,0))</f>
        <v>1</v>
      </c>
    </row>
    <row r="236" customFormat="false" ht="15" hidden="false" customHeight="false" outlineLevel="0" collapsed="false">
      <c r="A236" s="16" t="n">
        <v>59</v>
      </c>
      <c r="B236" s="16" t="s">
        <v>210</v>
      </c>
      <c r="C236" s="16" t="s">
        <v>89</v>
      </c>
      <c r="D236" s="16" t="s">
        <v>340</v>
      </c>
      <c r="E236" s="16" t="s">
        <v>91</v>
      </c>
      <c r="F236" s="18"/>
      <c r="G236" s="18"/>
      <c r="H236" s="16"/>
      <c r="I236" s="16" t="n">
        <f aca="false">INDEX(Prozesse!$S$2:$S$125,MATCH(A236,Prozesse!$A$2:$A$125,0))</f>
        <v>1</v>
      </c>
    </row>
    <row r="237" customFormat="false" ht="15" hidden="false" customHeight="false" outlineLevel="0" collapsed="false">
      <c r="A237" s="16" t="n">
        <v>59</v>
      </c>
      <c r="B237" s="16" t="s">
        <v>210</v>
      </c>
      <c r="C237" s="16" t="s">
        <v>89</v>
      </c>
      <c r="D237" s="16" t="s">
        <v>341</v>
      </c>
      <c r="E237" s="16" t="s">
        <v>91</v>
      </c>
      <c r="F237" s="18"/>
      <c r="G237" s="18"/>
      <c r="H237" s="16"/>
      <c r="I237" s="16" t="n">
        <f aca="false">INDEX(Prozesse!$S$2:$S$125,MATCH(A237,Prozesse!$A$2:$A$125,0))</f>
        <v>1</v>
      </c>
    </row>
    <row r="238" customFormat="false" ht="15" hidden="false" customHeight="false" outlineLevel="0" collapsed="false">
      <c r="A238" s="16" t="n">
        <v>60</v>
      </c>
      <c r="B238" s="16" t="s">
        <v>212</v>
      </c>
      <c r="C238" s="16" t="s">
        <v>89</v>
      </c>
      <c r="D238" s="16" t="s">
        <v>34</v>
      </c>
      <c r="E238" s="16" t="s">
        <v>61</v>
      </c>
      <c r="F238" s="18" t="n">
        <v>45931</v>
      </c>
      <c r="G238" s="18" t="n">
        <v>46295</v>
      </c>
      <c r="H238" s="16" t="n">
        <v>261</v>
      </c>
      <c r="I238" s="16" t="n">
        <f aca="false">INDEX(Prozesse!$S$2:$S$125,MATCH(A238,Prozesse!$A$2:$A$125,0))</f>
        <v>1</v>
      </c>
    </row>
    <row r="239" customFormat="false" ht="15" hidden="false" customHeight="false" outlineLevel="0" collapsed="false">
      <c r="A239" s="16" t="n">
        <v>60</v>
      </c>
      <c r="B239" s="16" t="s">
        <v>212</v>
      </c>
      <c r="C239" s="16" t="s">
        <v>89</v>
      </c>
      <c r="D239" s="16" t="s">
        <v>339</v>
      </c>
      <c r="E239" s="16" t="s">
        <v>91</v>
      </c>
      <c r="F239" s="18"/>
      <c r="G239" s="18"/>
      <c r="H239" s="16"/>
      <c r="I239" s="16" t="n">
        <f aca="false">INDEX(Prozesse!$S$2:$S$125,MATCH(A239,Prozesse!$A$2:$A$125,0))</f>
        <v>1</v>
      </c>
    </row>
    <row r="240" customFormat="false" ht="15" hidden="false" customHeight="false" outlineLevel="0" collapsed="false">
      <c r="A240" s="16" t="n">
        <v>60</v>
      </c>
      <c r="B240" s="16" t="s">
        <v>212</v>
      </c>
      <c r="C240" s="16" t="s">
        <v>89</v>
      </c>
      <c r="D240" s="16" t="s">
        <v>340</v>
      </c>
      <c r="E240" s="16" t="s">
        <v>91</v>
      </c>
      <c r="F240" s="18"/>
      <c r="G240" s="18"/>
      <c r="H240" s="16"/>
      <c r="I240" s="16" t="n">
        <f aca="false">INDEX(Prozesse!$S$2:$S$125,MATCH(A240,Prozesse!$A$2:$A$125,0))</f>
        <v>1</v>
      </c>
    </row>
    <row r="241" customFormat="false" ht="15" hidden="false" customHeight="false" outlineLevel="0" collapsed="false">
      <c r="A241" s="16" t="n">
        <v>60</v>
      </c>
      <c r="B241" s="16" t="s">
        <v>212</v>
      </c>
      <c r="C241" s="16" t="s">
        <v>89</v>
      </c>
      <c r="D241" s="16" t="s">
        <v>341</v>
      </c>
      <c r="E241" s="16" t="s">
        <v>91</v>
      </c>
      <c r="F241" s="18"/>
      <c r="G241" s="18"/>
      <c r="H241" s="16"/>
      <c r="I241" s="16" t="n">
        <f aca="false">INDEX(Prozesse!$S$2:$S$125,MATCH(A241,Prozesse!$A$2:$A$125,0))</f>
        <v>1</v>
      </c>
    </row>
    <row r="242" customFormat="false" ht="15" hidden="false" customHeight="false" outlineLevel="0" collapsed="false">
      <c r="A242" s="16" t="n">
        <v>61</v>
      </c>
      <c r="B242" s="16" t="s">
        <v>214</v>
      </c>
      <c r="C242" s="16" t="s">
        <v>89</v>
      </c>
      <c r="D242" s="16" t="s">
        <v>34</v>
      </c>
      <c r="E242" s="16" t="s">
        <v>91</v>
      </c>
      <c r="F242" s="18" t="n">
        <v>45945</v>
      </c>
      <c r="G242" s="18"/>
      <c r="H242" s="16"/>
      <c r="I242" s="16" t="n">
        <f aca="false">INDEX(Prozesse!$S$2:$S$125,MATCH(A242,Prozesse!$A$2:$A$125,0))</f>
        <v>1</v>
      </c>
    </row>
    <row r="243" customFormat="false" ht="15" hidden="false" customHeight="false" outlineLevel="0" collapsed="false">
      <c r="A243" s="16" t="n">
        <v>61</v>
      </c>
      <c r="B243" s="16" t="s">
        <v>214</v>
      </c>
      <c r="C243" s="16" t="s">
        <v>89</v>
      </c>
      <c r="D243" s="16" t="s">
        <v>339</v>
      </c>
      <c r="E243" s="16" t="s">
        <v>91</v>
      </c>
      <c r="F243" s="18"/>
      <c r="G243" s="18"/>
      <c r="H243" s="16"/>
      <c r="I243" s="16" t="n">
        <f aca="false">INDEX(Prozesse!$S$2:$S$125,MATCH(A243,Prozesse!$A$2:$A$125,0))</f>
        <v>1</v>
      </c>
    </row>
    <row r="244" customFormat="false" ht="15" hidden="false" customHeight="false" outlineLevel="0" collapsed="false">
      <c r="A244" s="16" t="n">
        <v>61</v>
      </c>
      <c r="B244" s="16" t="s">
        <v>214</v>
      </c>
      <c r="C244" s="16" t="s">
        <v>89</v>
      </c>
      <c r="D244" s="16" t="s">
        <v>340</v>
      </c>
      <c r="E244" s="16" t="s">
        <v>91</v>
      </c>
      <c r="F244" s="18"/>
      <c r="G244" s="18"/>
      <c r="H244" s="16"/>
      <c r="I244" s="16" t="n">
        <f aca="false">INDEX(Prozesse!$S$2:$S$125,MATCH(A244,Prozesse!$A$2:$A$125,0))</f>
        <v>1</v>
      </c>
    </row>
    <row r="245" customFormat="false" ht="15" hidden="false" customHeight="false" outlineLevel="0" collapsed="false">
      <c r="A245" s="16" t="n">
        <v>61</v>
      </c>
      <c r="B245" s="16" t="s">
        <v>214</v>
      </c>
      <c r="C245" s="16" t="s">
        <v>89</v>
      </c>
      <c r="D245" s="16" t="s">
        <v>341</v>
      </c>
      <c r="E245" s="16" t="s">
        <v>91</v>
      </c>
      <c r="F245" s="18"/>
      <c r="G245" s="18"/>
      <c r="H245" s="16"/>
      <c r="I245" s="16" t="n">
        <f aca="false">INDEX(Prozesse!$S$2:$S$125,MATCH(A245,Prozesse!$A$2:$A$125,0))</f>
        <v>1</v>
      </c>
    </row>
    <row r="246" customFormat="false" ht="15" hidden="false" customHeight="false" outlineLevel="0" collapsed="false">
      <c r="A246" s="16" t="n">
        <v>62</v>
      </c>
      <c r="B246" s="16" t="s">
        <v>90</v>
      </c>
      <c r="C246" s="16" t="s">
        <v>89</v>
      </c>
      <c r="D246" s="16" t="s">
        <v>34</v>
      </c>
      <c r="E246" s="16" t="s">
        <v>61</v>
      </c>
      <c r="F246" s="18" t="n">
        <v>46097</v>
      </c>
      <c r="G246" s="18" t="n">
        <v>46163</v>
      </c>
      <c r="H246" s="16" t="n">
        <v>49</v>
      </c>
      <c r="I246" s="16" t="n">
        <f aca="false">INDEX(Prozesse!$S$2:$S$125,MATCH(A246,Prozesse!$A$2:$A$125,0))</f>
        <v>1</v>
      </c>
    </row>
    <row r="247" customFormat="false" ht="15" hidden="false" customHeight="false" outlineLevel="0" collapsed="false">
      <c r="A247" s="16" t="n">
        <v>62</v>
      </c>
      <c r="B247" s="16" t="s">
        <v>90</v>
      </c>
      <c r="C247" s="16" t="s">
        <v>89</v>
      </c>
      <c r="D247" s="16" t="s">
        <v>339</v>
      </c>
      <c r="E247" s="16" t="s">
        <v>266</v>
      </c>
      <c r="F247" s="18" t="n">
        <v>46167</v>
      </c>
      <c r="G247" s="18" t="n">
        <v>46265</v>
      </c>
      <c r="H247" s="16" t="n">
        <v>71</v>
      </c>
      <c r="I247" s="16" t="n">
        <f aca="false">INDEX(Prozesse!$S$2:$S$125,MATCH(A247,Prozesse!$A$2:$A$125,0))</f>
        <v>1</v>
      </c>
    </row>
    <row r="248" customFormat="false" ht="15" hidden="false" customHeight="false" outlineLevel="0" collapsed="false">
      <c r="A248" s="16" t="n">
        <v>62</v>
      </c>
      <c r="B248" s="16" t="s">
        <v>90</v>
      </c>
      <c r="C248" s="16" t="s">
        <v>89</v>
      </c>
      <c r="D248" s="16" t="s">
        <v>340</v>
      </c>
      <c r="E248" s="16" t="s">
        <v>91</v>
      </c>
      <c r="F248" s="18"/>
      <c r="G248" s="18"/>
      <c r="H248" s="16"/>
      <c r="I248" s="16" t="n">
        <f aca="false">INDEX(Prozesse!$S$2:$S$125,MATCH(A248,Prozesse!$A$2:$A$125,0))</f>
        <v>1</v>
      </c>
    </row>
    <row r="249" customFormat="false" ht="15" hidden="false" customHeight="false" outlineLevel="0" collapsed="false">
      <c r="A249" s="16" t="n">
        <v>62</v>
      </c>
      <c r="B249" s="16" t="s">
        <v>90</v>
      </c>
      <c r="C249" s="16" t="s">
        <v>89</v>
      </c>
      <c r="D249" s="16" t="s">
        <v>341</v>
      </c>
      <c r="E249" s="16" t="s">
        <v>91</v>
      </c>
      <c r="F249" s="18"/>
      <c r="G249" s="18"/>
      <c r="H249" s="16"/>
      <c r="I249" s="16" t="n">
        <f aca="false">INDEX(Prozesse!$S$2:$S$125,MATCH(A249,Prozesse!$A$2:$A$125,0))</f>
        <v>1</v>
      </c>
    </row>
    <row r="250" customFormat="false" ht="15" hidden="false" customHeight="false" outlineLevel="0" collapsed="false">
      <c r="A250" s="16" t="n">
        <v>63</v>
      </c>
      <c r="B250" s="16" t="s">
        <v>103</v>
      </c>
      <c r="C250" s="16" t="s">
        <v>89</v>
      </c>
      <c r="D250" s="16" t="s">
        <v>34</v>
      </c>
      <c r="E250" s="16" t="s">
        <v>48</v>
      </c>
      <c r="F250" s="18" t="n">
        <v>45972</v>
      </c>
      <c r="G250" s="18" t="n">
        <v>46051</v>
      </c>
      <c r="H250" s="16" t="n">
        <v>58</v>
      </c>
      <c r="I250" s="16" t="n">
        <f aca="false">INDEX(Prozesse!$S$2:$S$125,MATCH(A250,Prozesse!$A$2:$A$125,0))</f>
        <v>1</v>
      </c>
    </row>
    <row r="251" customFormat="false" ht="15" hidden="false" customHeight="false" outlineLevel="0" collapsed="false">
      <c r="A251" s="16" t="n">
        <v>63</v>
      </c>
      <c r="B251" s="16" t="s">
        <v>103</v>
      </c>
      <c r="C251" s="16" t="s">
        <v>89</v>
      </c>
      <c r="D251" s="16" t="s">
        <v>339</v>
      </c>
      <c r="E251" s="16" t="s">
        <v>91</v>
      </c>
      <c r="F251" s="18"/>
      <c r="G251" s="18"/>
      <c r="H251" s="16"/>
      <c r="I251" s="16" t="n">
        <f aca="false">INDEX(Prozesse!$S$2:$S$125,MATCH(A251,Prozesse!$A$2:$A$125,0))</f>
        <v>1</v>
      </c>
    </row>
    <row r="252" customFormat="false" ht="15" hidden="false" customHeight="false" outlineLevel="0" collapsed="false">
      <c r="A252" s="16" t="n">
        <v>63</v>
      </c>
      <c r="B252" s="16" t="s">
        <v>103</v>
      </c>
      <c r="C252" s="16" t="s">
        <v>89</v>
      </c>
      <c r="D252" s="16" t="s">
        <v>340</v>
      </c>
      <c r="E252" s="16" t="s">
        <v>91</v>
      </c>
      <c r="F252" s="18"/>
      <c r="G252" s="18"/>
      <c r="H252" s="16"/>
      <c r="I252" s="16" t="n">
        <f aca="false">INDEX(Prozesse!$S$2:$S$125,MATCH(A252,Prozesse!$A$2:$A$125,0))</f>
        <v>1</v>
      </c>
    </row>
    <row r="253" customFormat="false" ht="15" hidden="false" customHeight="false" outlineLevel="0" collapsed="false">
      <c r="A253" s="16" t="n">
        <v>63</v>
      </c>
      <c r="B253" s="16" t="s">
        <v>103</v>
      </c>
      <c r="C253" s="16" t="s">
        <v>89</v>
      </c>
      <c r="D253" s="16" t="s">
        <v>341</v>
      </c>
      <c r="E253" s="16" t="s">
        <v>91</v>
      </c>
      <c r="F253" s="18"/>
      <c r="G253" s="18"/>
      <c r="H253" s="16"/>
      <c r="I253" s="16" t="n">
        <f aca="false">INDEX(Prozesse!$S$2:$S$125,MATCH(A253,Prozesse!$A$2:$A$125,0))</f>
        <v>1</v>
      </c>
    </row>
    <row r="254" customFormat="false" ht="15" hidden="false" customHeight="false" outlineLevel="0" collapsed="false">
      <c r="A254" s="16" t="n">
        <v>64</v>
      </c>
      <c r="B254" s="16" t="s">
        <v>114</v>
      </c>
      <c r="C254" s="16" t="s">
        <v>89</v>
      </c>
      <c r="D254" s="16" t="s">
        <v>34</v>
      </c>
      <c r="E254" s="16" t="s">
        <v>48</v>
      </c>
      <c r="F254" s="18" t="n">
        <v>45931</v>
      </c>
      <c r="G254" s="18" t="n">
        <v>45931</v>
      </c>
      <c r="H254" s="16" t="n">
        <v>1</v>
      </c>
      <c r="I254" s="16" t="n">
        <f aca="false">INDEX(Prozesse!$S$2:$S$125,MATCH(A254,Prozesse!$A$2:$A$125,0))</f>
        <v>1</v>
      </c>
    </row>
    <row r="255" customFormat="false" ht="15" hidden="false" customHeight="false" outlineLevel="0" collapsed="false">
      <c r="A255" s="16" t="n">
        <v>64</v>
      </c>
      <c r="B255" s="16" t="s">
        <v>114</v>
      </c>
      <c r="C255" s="16" t="s">
        <v>89</v>
      </c>
      <c r="D255" s="16" t="s">
        <v>339</v>
      </c>
      <c r="E255" s="16" t="s">
        <v>91</v>
      </c>
      <c r="F255" s="18"/>
      <c r="G255" s="18"/>
      <c r="H255" s="16"/>
      <c r="I255" s="16" t="n">
        <f aca="false">INDEX(Prozesse!$S$2:$S$125,MATCH(A255,Prozesse!$A$2:$A$125,0))</f>
        <v>1</v>
      </c>
    </row>
    <row r="256" customFormat="false" ht="15" hidden="false" customHeight="false" outlineLevel="0" collapsed="false">
      <c r="A256" s="16" t="n">
        <v>64</v>
      </c>
      <c r="B256" s="16" t="s">
        <v>114</v>
      </c>
      <c r="C256" s="16" t="s">
        <v>89</v>
      </c>
      <c r="D256" s="16" t="s">
        <v>340</v>
      </c>
      <c r="E256" s="16" t="s">
        <v>91</v>
      </c>
      <c r="F256" s="18"/>
      <c r="G256" s="18"/>
      <c r="H256" s="16"/>
      <c r="I256" s="16" t="n">
        <f aca="false">INDEX(Prozesse!$S$2:$S$125,MATCH(A256,Prozesse!$A$2:$A$125,0))</f>
        <v>1</v>
      </c>
    </row>
    <row r="257" customFormat="false" ht="15" hidden="false" customHeight="false" outlineLevel="0" collapsed="false">
      <c r="A257" s="16" t="n">
        <v>64</v>
      </c>
      <c r="B257" s="16" t="s">
        <v>114</v>
      </c>
      <c r="C257" s="16" t="s">
        <v>89</v>
      </c>
      <c r="D257" s="16" t="s">
        <v>341</v>
      </c>
      <c r="E257" s="16" t="s">
        <v>91</v>
      </c>
      <c r="F257" s="18"/>
      <c r="G257" s="18"/>
      <c r="H257" s="16"/>
      <c r="I257" s="16" t="n">
        <f aca="false">INDEX(Prozesse!$S$2:$S$125,MATCH(A257,Prozesse!$A$2:$A$125,0))</f>
        <v>1</v>
      </c>
    </row>
    <row r="258" customFormat="false" ht="15" hidden="false" customHeight="false" outlineLevel="0" collapsed="false">
      <c r="A258" s="16" t="n">
        <v>65</v>
      </c>
      <c r="B258" s="16" t="s">
        <v>163</v>
      </c>
      <c r="C258" s="16" t="s">
        <v>89</v>
      </c>
      <c r="D258" s="16" t="s">
        <v>34</v>
      </c>
      <c r="E258" s="16" t="s">
        <v>48</v>
      </c>
      <c r="F258" s="18" t="n">
        <v>45931</v>
      </c>
      <c r="G258" s="18" t="n">
        <v>45931</v>
      </c>
      <c r="H258" s="16" t="n">
        <v>1</v>
      </c>
      <c r="I258" s="16" t="n">
        <f aca="false">INDEX(Prozesse!$S$2:$S$125,MATCH(A258,Prozesse!$A$2:$A$125,0))</f>
        <v>1</v>
      </c>
    </row>
    <row r="259" customFormat="false" ht="15" hidden="false" customHeight="false" outlineLevel="0" collapsed="false">
      <c r="A259" s="16" t="n">
        <v>65</v>
      </c>
      <c r="B259" s="16" t="s">
        <v>163</v>
      </c>
      <c r="C259" s="16" t="s">
        <v>89</v>
      </c>
      <c r="D259" s="16" t="s">
        <v>339</v>
      </c>
      <c r="E259" s="16" t="s">
        <v>91</v>
      </c>
      <c r="F259" s="18"/>
      <c r="G259" s="18"/>
      <c r="H259" s="16"/>
      <c r="I259" s="16" t="n">
        <f aca="false">INDEX(Prozesse!$S$2:$S$125,MATCH(A259,Prozesse!$A$2:$A$125,0))</f>
        <v>1</v>
      </c>
    </row>
    <row r="260" customFormat="false" ht="15" hidden="false" customHeight="false" outlineLevel="0" collapsed="false">
      <c r="A260" s="16" t="n">
        <v>65</v>
      </c>
      <c r="B260" s="16" t="s">
        <v>163</v>
      </c>
      <c r="C260" s="16" t="s">
        <v>89</v>
      </c>
      <c r="D260" s="16" t="s">
        <v>340</v>
      </c>
      <c r="E260" s="16" t="s">
        <v>91</v>
      </c>
      <c r="F260" s="18"/>
      <c r="G260" s="18"/>
      <c r="H260" s="16"/>
      <c r="I260" s="16" t="n">
        <f aca="false">INDEX(Prozesse!$S$2:$S$125,MATCH(A260,Prozesse!$A$2:$A$125,0))</f>
        <v>1</v>
      </c>
    </row>
    <row r="261" customFormat="false" ht="15" hidden="false" customHeight="false" outlineLevel="0" collapsed="false">
      <c r="A261" s="16" t="n">
        <v>65</v>
      </c>
      <c r="B261" s="16" t="s">
        <v>163</v>
      </c>
      <c r="C261" s="16" t="s">
        <v>89</v>
      </c>
      <c r="D261" s="16" t="s">
        <v>341</v>
      </c>
      <c r="E261" s="16" t="s">
        <v>91</v>
      </c>
      <c r="F261" s="18"/>
      <c r="G261" s="18"/>
      <c r="H261" s="16"/>
      <c r="I261" s="16" t="n">
        <f aca="false">INDEX(Prozesse!$S$2:$S$125,MATCH(A261,Prozesse!$A$2:$A$125,0))</f>
        <v>1</v>
      </c>
    </row>
    <row r="262" customFormat="false" ht="15" hidden="false" customHeight="false" outlineLevel="0" collapsed="false">
      <c r="A262" s="16" t="n">
        <v>66</v>
      </c>
      <c r="B262" s="16" t="s">
        <v>219</v>
      </c>
      <c r="C262" s="16" t="s">
        <v>89</v>
      </c>
      <c r="D262" s="16" t="s">
        <v>34</v>
      </c>
      <c r="E262" s="16" t="s">
        <v>61</v>
      </c>
      <c r="F262" s="18" t="n">
        <v>46113</v>
      </c>
      <c r="G262" s="18" t="n">
        <v>46218</v>
      </c>
      <c r="H262" s="16" t="n">
        <v>54</v>
      </c>
      <c r="I262" s="16" t="n">
        <f aca="false">INDEX(Prozesse!$S$2:$S$125,MATCH(A262,Prozesse!$A$2:$A$125,0))</f>
        <v>1</v>
      </c>
    </row>
    <row r="263" customFormat="false" ht="15" hidden="false" customHeight="false" outlineLevel="0" collapsed="false">
      <c r="A263" s="16" t="n">
        <v>66</v>
      </c>
      <c r="B263" s="16" t="s">
        <v>219</v>
      </c>
      <c r="C263" s="16" t="s">
        <v>89</v>
      </c>
      <c r="D263" s="16" t="s">
        <v>339</v>
      </c>
      <c r="E263" s="16" t="s">
        <v>281</v>
      </c>
      <c r="F263" s="18"/>
      <c r="G263" s="18"/>
      <c r="H263" s="16"/>
      <c r="I263" s="16" t="n">
        <f aca="false">INDEX(Prozesse!$S$2:$S$125,MATCH(A263,Prozesse!$A$2:$A$125,0))</f>
        <v>1</v>
      </c>
    </row>
    <row r="264" customFormat="false" ht="15" hidden="false" customHeight="false" outlineLevel="0" collapsed="false">
      <c r="A264" s="16" t="n">
        <v>66</v>
      </c>
      <c r="B264" s="16" t="s">
        <v>219</v>
      </c>
      <c r="C264" s="16" t="s">
        <v>89</v>
      </c>
      <c r="D264" s="16" t="s">
        <v>340</v>
      </c>
      <c r="E264" s="16" t="s">
        <v>281</v>
      </c>
      <c r="F264" s="18"/>
      <c r="G264" s="18"/>
      <c r="H264" s="16"/>
      <c r="I264" s="16" t="n">
        <f aca="false">INDEX(Prozesse!$S$2:$S$125,MATCH(A264,Prozesse!$A$2:$A$125,0))</f>
        <v>1</v>
      </c>
    </row>
    <row r="265" customFormat="false" ht="15" hidden="false" customHeight="false" outlineLevel="0" collapsed="false">
      <c r="A265" s="16" t="n">
        <v>66</v>
      </c>
      <c r="B265" s="16" t="s">
        <v>219</v>
      </c>
      <c r="C265" s="16" t="s">
        <v>89</v>
      </c>
      <c r="D265" s="16" t="s">
        <v>341</v>
      </c>
      <c r="E265" s="16" t="s">
        <v>281</v>
      </c>
      <c r="F265" s="18"/>
      <c r="G265" s="18"/>
      <c r="H265" s="16"/>
      <c r="I265" s="16" t="n">
        <f aca="false">INDEX(Prozesse!$S$2:$S$125,MATCH(A265,Prozesse!$A$2:$A$125,0))</f>
        <v>1</v>
      </c>
    </row>
    <row r="266" customFormat="false" ht="15" hidden="false" customHeight="false" outlineLevel="0" collapsed="false">
      <c r="A266" s="16" t="n">
        <v>67</v>
      </c>
      <c r="B266" s="16" t="s">
        <v>222</v>
      </c>
      <c r="C266" s="16" t="s">
        <v>43</v>
      </c>
      <c r="D266" s="16" t="s">
        <v>34</v>
      </c>
      <c r="E266" s="16" t="s">
        <v>61</v>
      </c>
      <c r="F266" s="18" t="n">
        <v>46073</v>
      </c>
      <c r="G266" s="18" t="n">
        <v>46150</v>
      </c>
      <c r="H266" s="16" t="n">
        <v>56</v>
      </c>
      <c r="I266" s="16" t="n">
        <f aca="false">INDEX(Prozesse!$S$2:$S$125,MATCH(A266,Prozesse!$A$2:$A$125,0))</f>
        <v>1</v>
      </c>
    </row>
    <row r="267" customFormat="false" ht="15" hidden="false" customHeight="false" outlineLevel="0" collapsed="false">
      <c r="A267" s="16" t="n">
        <v>67</v>
      </c>
      <c r="B267" s="16" t="s">
        <v>222</v>
      </c>
      <c r="C267" s="16" t="s">
        <v>43</v>
      </c>
      <c r="D267" s="16" t="s">
        <v>339</v>
      </c>
      <c r="E267" s="16" t="s">
        <v>281</v>
      </c>
      <c r="F267" s="18"/>
      <c r="G267" s="18"/>
      <c r="H267" s="16"/>
      <c r="I267" s="16" t="n">
        <f aca="false">INDEX(Prozesse!$S$2:$S$125,MATCH(A267,Prozesse!$A$2:$A$125,0))</f>
        <v>1</v>
      </c>
    </row>
    <row r="268" customFormat="false" ht="15" hidden="false" customHeight="false" outlineLevel="0" collapsed="false">
      <c r="A268" s="16" t="n">
        <v>67</v>
      </c>
      <c r="B268" s="16" t="s">
        <v>222</v>
      </c>
      <c r="C268" s="16" t="s">
        <v>43</v>
      </c>
      <c r="D268" s="16" t="s">
        <v>340</v>
      </c>
      <c r="E268" s="16" t="s">
        <v>281</v>
      </c>
      <c r="F268" s="18"/>
      <c r="G268" s="18"/>
      <c r="H268" s="16"/>
      <c r="I268" s="16" t="n">
        <f aca="false">INDEX(Prozesse!$S$2:$S$125,MATCH(A268,Prozesse!$A$2:$A$125,0))</f>
        <v>1</v>
      </c>
    </row>
    <row r="269" customFormat="false" ht="15" hidden="false" customHeight="false" outlineLevel="0" collapsed="false">
      <c r="A269" s="16" t="n">
        <v>67</v>
      </c>
      <c r="B269" s="16" t="s">
        <v>222</v>
      </c>
      <c r="C269" s="16" t="s">
        <v>43</v>
      </c>
      <c r="D269" s="16" t="s">
        <v>341</v>
      </c>
      <c r="E269" s="16" t="s">
        <v>281</v>
      </c>
      <c r="F269" s="18"/>
      <c r="G269" s="18"/>
      <c r="H269" s="16"/>
      <c r="I269" s="16" t="n">
        <f aca="false">INDEX(Prozesse!$S$2:$S$125,MATCH(A269,Prozesse!$A$2:$A$125,0))</f>
        <v>1</v>
      </c>
    </row>
    <row r="270" customFormat="false" ht="15" hidden="false" customHeight="false" outlineLevel="0" collapsed="false">
      <c r="A270" s="16" t="n">
        <v>68</v>
      </c>
      <c r="B270" s="16" t="s">
        <v>226</v>
      </c>
      <c r="C270" s="16" t="s">
        <v>58</v>
      </c>
      <c r="D270" s="16" t="s">
        <v>34</v>
      </c>
      <c r="E270" s="16" t="s">
        <v>61</v>
      </c>
      <c r="F270" s="18" t="n">
        <v>46132</v>
      </c>
      <c r="G270" s="18" t="n">
        <v>46134</v>
      </c>
      <c r="H270" s="16" t="n">
        <v>52</v>
      </c>
      <c r="I270" s="16" t="n">
        <f aca="false">INDEX(Prozesse!$S$2:$S$125,MATCH(A270,Prozesse!$A$2:$A$125,0))</f>
        <v>1</v>
      </c>
    </row>
    <row r="271" customFormat="false" ht="15" hidden="false" customHeight="false" outlineLevel="0" collapsed="false">
      <c r="A271" s="16" t="n">
        <v>68</v>
      </c>
      <c r="B271" s="16" t="s">
        <v>226</v>
      </c>
      <c r="C271" s="16" t="s">
        <v>58</v>
      </c>
      <c r="D271" s="16" t="s">
        <v>339</v>
      </c>
      <c r="E271" s="16" t="s">
        <v>91</v>
      </c>
      <c r="F271" s="18"/>
      <c r="G271" s="18"/>
      <c r="H271" s="16"/>
      <c r="I271" s="16" t="n">
        <f aca="false">INDEX(Prozesse!$S$2:$S$125,MATCH(A271,Prozesse!$A$2:$A$125,0))</f>
        <v>1</v>
      </c>
    </row>
    <row r="272" customFormat="false" ht="15" hidden="false" customHeight="false" outlineLevel="0" collapsed="false">
      <c r="A272" s="16" t="n">
        <v>68</v>
      </c>
      <c r="B272" s="16" t="s">
        <v>226</v>
      </c>
      <c r="C272" s="16" t="s">
        <v>58</v>
      </c>
      <c r="D272" s="16" t="s">
        <v>340</v>
      </c>
      <c r="E272" s="16" t="s">
        <v>91</v>
      </c>
      <c r="F272" s="18"/>
      <c r="G272" s="18"/>
      <c r="H272" s="16"/>
      <c r="I272" s="16" t="n">
        <f aca="false">INDEX(Prozesse!$S$2:$S$125,MATCH(A272,Prozesse!$A$2:$A$125,0))</f>
        <v>1</v>
      </c>
    </row>
    <row r="273" customFormat="false" ht="15" hidden="false" customHeight="false" outlineLevel="0" collapsed="false">
      <c r="A273" s="16" t="n">
        <v>68</v>
      </c>
      <c r="B273" s="16" t="s">
        <v>226</v>
      </c>
      <c r="C273" s="16" t="s">
        <v>58</v>
      </c>
      <c r="D273" s="16" t="s">
        <v>341</v>
      </c>
      <c r="E273" s="16" t="s">
        <v>91</v>
      </c>
      <c r="F273" s="18"/>
      <c r="G273" s="18"/>
      <c r="H273" s="16"/>
      <c r="I273" s="16" t="n">
        <f aca="false">INDEX(Prozesse!$S$2:$S$125,MATCH(A273,Prozesse!$A$2:$A$125,0))</f>
        <v>1</v>
      </c>
    </row>
    <row r="274" customFormat="false" ht="15" hidden="false" customHeight="false" outlineLevel="0" collapsed="false">
      <c r="A274" s="16" t="n">
        <v>69</v>
      </c>
      <c r="B274" s="16" t="s">
        <v>229</v>
      </c>
      <c r="C274" s="16" t="s">
        <v>89</v>
      </c>
      <c r="D274" s="16" t="s">
        <v>34</v>
      </c>
      <c r="E274" s="16" t="s">
        <v>61</v>
      </c>
      <c r="F274" s="18" t="n">
        <v>46055</v>
      </c>
      <c r="G274" s="18" t="n">
        <v>46142</v>
      </c>
      <c r="H274" s="16" t="n">
        <v>64</v>
      </c>
      <c r="I274" s="16" t="n">
        <f aca="false">INDEX(Prozesse!$S$2:$S$125,MATCH(A274,Prozesse!$A$2:$A$125,0))</f>
        <v>1</v>
      </c>
    </row>
    <row r="275" customFormat="false" ht="15" hidden="false" customHeight="false" outlineLevel="0" collapsed="false">
      <c r="A275" s="16" t="n">
        <v>69</v>
      </c>
      <c r="B275" s="16" t="s">
        <v>229</v>
      </c>
      <c r="C275" s="16" t="s">
        <v>89</v>
      </c>
      <c r="D275" s="16" t="s">
        <v>339</v>
      </c>
      <c r="E275" s="16" t="s">
        <v>266</v>
      </c>
      <c r="F275" s="18" t="n">
        <v>46156</v>
      </c>
      <c r="G275" s="18" t="n">
        <v>46232</v>
      </c>
      <c r="H275" s="16" t="n">
        <v>55</v>
      </c>
      <c r="I275" s="16" t="n">
        <f aca="false">INDEX(Prozesse!$S$2:$S$125,MATCH(A275,Prozesse!$A$2:$A$125,0))</f>
        <v>1</v>
      </c>
    </row>
    <row r="276" customFormat="false" ht="15" hidden="false" customHeight="false" outlineLevel="0" collapsed="false">
      <c r="A276" s="16" t="n">
        <v>69</v>
      </c>
      <c r="B276" s="16" t="s">
        <v>229</v>
      </c>
      <c r="C276" s="16" t="s">
        <v>89</v>
      </c>
      <c r="D276" s="16" t="s">
        <v>340</v>
      </c>
      <c r="E276" s="16" t="s">
        <v>91</v>
      </c>
      <c r="F276" s="18"/>
      <c r="G276" s="18"/>
      <c r="H276" s="16"/>
      <c r="I276" s="16" t="n">
        <f aca="false">INDEX(Prozesse!$S$2:$S$125,MATCH(A276,Prozesse!$A$2:$A$125,0))</f>
        <v>1</v>
      </c>
    </row>
    <row r="277" customFormat="false" ht="15" hidden="false" customHeight="false" outlineLevel="0" collapsed="false">
      <c r="A277" s="16" t="n">
        <v>69</v>
      </c>
      <c r="B277" s="16" t="s">
        <v>229</v>
      </c>
      <c r="C277" s="16" t="s">
        <v>89</v>
      </c>
      <c r="D277" s="16" t="s">
        <v>341</v>
      </c>
      <c r="E277" s="16" t="s">
        <v>91</v>
      </c>
      <c r="F277" s="18"/>
      <c r="G277" s="18"/>
      <c r="H277" s="16"/>
      <c r="I277" s="16" t="n">
        <f aca="false">INDEX(Prozesse!$S$2:$S$125,MATCH(A277,Prozesse!$A$2:$A$125,0))</f>
        <v>1</v>
      </c>
    </row>
    <row r="278" customFormat="false" ht="15" hidden="false" customHeight="false" outlineLevel="0" collapsed="false">
      <c r="A278" s="16" t="n">
        <v>70</v>
      </c>
      <c r="B278" s="16" t="s">
        <v>230</v>
      </c>
      <c r="C278" s="16" t="s">
        <v>89</v>
      </c>
      <c r="D278" s="16" t="s">
        <v>34</v>
      </c>
      <c r="E278" s="16" t="s">
        <v>61</v>
      </c>
      <c r="F278" s="18" t="n">
        <v>45931</v>
      </c>
      <c r="G278" s="18" t="n">
        <v>46295</v>
      </c>
      <c r="H278" s="16" t="n">
        <v>261</v>
      </c>
      <c r="I278" s="16" t="n">
        <f aca="false">INDEX(Prozesse!$S$2:$S$125,MATCH(A278,Prozesse!$A$2:$A$125,0))</f>
        <v>1</v>
      </c>
    </row>
    <row r="279" customFormat="false" ht="15" hidden="false" customHeight="false" outlineLevel="0" collapsed="false">
      <c r="A279" s="16" t="n">
        <v>70</v>
      </c>
      <c r="B279" s="16" t="s">
        <v>230</v>
      </c>
      <c r="C279" s="16" t="s">
        <v>89</v>
      </c>
      <c r="D279" s="16" t="s">
        <v>339</v>
      </c>
      <c r="E279" s="16" t="s">
        <v>91</v>
      </c>
      <c r="F279" s="18"/>
      <c r="G279" s="18"/>
      <c r="H279" s="16"/>
      <c r="I279" s="16" t="n">
        <f aca="false">INDEX(Prozesse!$S$2:$S$125,MATCH(A279,Prozesse!$A$2:$A$125,0))</f>
        <v>1</v>
      </c>
    </row>
    <row r="280" customFormat="false" ht="15" hidden="false" customHeight="false" outlineLevel="0" collapsed="false">
      <c r="A280" s="16" t="n">
        <v>70</v>
      </c>
      <c r="B280" s="16" t="s">
        <v>230</v>
      </c>
      <c r="C280" s="16" t="s">
        <v>89</v>
      </c>
      <c r="D280" s="16" t="s">
        <v>340</v>
      </c>
      <c r="E280" s="16" t="s">
        <v>91</v>
      </c>
      <c r="F280" s="18"/>
      <c r="G280" s="18"/>
      <c r="H280" s="16"/>
      <c r="I280" s="16" t="n">
        <f aca="false">INDEX(Prozesse!$S$2:$S$125,MATCH(A280,Prozesse!$A$2:$A$125,0))</f>
        <v>1</v>
      </c>
    </row>
    <row r="281" customFormat="false" ht="15" hidden="false" customHeight="false" outlineLevel="0" collapsed="false">
      <c r="A281" s="16" t="n">
        <v>70</v>
      </c>
      <c r="B281" s="16" t="s">
        <v>230</v>
      </c>
      <c r="C281" s="16" t="s">
        <v>89</v>
      </c>
      <c r="D281" s="16" t="s">
        <v>341</v>
      </c>
      <c r="E281" s="16" t="s">
        <v>91</v>
      </c>
      <c r="F281" s="18"/>
      <c r="G281" s="18"/>
      <c r="H281" s="16"/>
      <c r="I281" s="16" t="n">
        <f aca="false">INDEX(Prozesse!$S$2:$S$125,MATCH(A281,Prozesse!$A$2:$A$125,0))</f>
        <v>1</v>
      </c>
    </row>
    <row r="282" customFormat="false" ht="15" hidden="false" customHeight="false" outlineLevel="0" collapsed="false">
      <c r="A282" s="16" t="n">
        <v>71</v>
      </c>
      <c r="B282" s="16" t="s">
        <v>232</v>
      </c>
      <c r="C282" s="16" t="s">
        <v>89</v>
      </c>
      <c r="D282" s="16" t="s">
        <v>34</v>
      </c>
      <c r="E282" s="16" t="s">
        <v>61</v>
      </c>
      <c r="F282" s="18" t="n">
        <v>45931</v>
      </c>
      <c r="G282" s="18" t="n">
        <v>46295</v>
      </c>
      <c r="H282" s="16" t="n">
        <v>261</v>
      </c>
      <c r="I282" s="16" t="n">
        <f aca="false">INDEX(Prozesse!$S$2:$S$125,MATCH(A282,Prozesse!$A$2:$A$125,0))</f>
        <v>1</v>
      </c>
    </row>
    <row r="283" customFormat="false" ht="15" hidden="false" customHeight="false" outlineLevel="0" collapsed="false">
      <c r="A283" s="16" t="n">
        <v>71</v>
      </c>
      <c r="B283" s="16" t="s">
        <v>232</v>
      </c>
      <c r="C283" s="16" t="s">
        <v>89</v>
      </c>
      <c r="D283" s="16" t="s">
        <v>339</v>
      </c>
      <c r="E283" s="16" t="s">
        <v>91</v>
      </c>
      <c r="F283" s="18"/>
      <c r="G283" s="18"/>
      <c r="H283" s="16"/>
      <c r="I283" s="16" t="n">
        <f aca="false">INDEX(Prozesse!$S$2:$S$125,MATCH(A283,Prozesse!$A$2:$A$125,0))</f>
        <v>1</v>
      </c>
    </row>
    <row r="284" customFormat="false" ht="15" hidden="false" customHeight="false" outlineLevel="0" collapsed="false">
      <c r="A284" s="16" t="n">
        <v>71</v>
      </c>
      <c r="B284" s="16" t="s">
        <v>232</v>
      </c>
      <c r="C284" s="16" t="s">
        <v>89</v>
      </c>
      <c r="D284" s="16" t="s">
        <v>340</v>
      </c>
      <c r="E284" s="16" t="s">
        <v>91</v>
      </c>
      <c r="F284" s="18"/>
      <c r="G284" s="18"/>
      <c r="H284" s="16"/>
      <c r="I284" s="16" t="n">
        <f aca="false">INDEX(Prozesse!$S$2:$S$125,MATCH(A284,Prozesse!$A$2:$A$125,0))</f>
        <v>1</v>
      </c>
    </row>
    <row r="285" customFormat="false" ht="15" hidden="false" customHeight="false" outlineLevel="0" collapsed="false">
      <c r="A285" s="16" t="n">
        <v>71</v>
      </c>
      <c r="B285" s="16" t="s">
        <v>232</v>
      </c>
      <c r="C285" s="16" t="s">
        <v>89</v>
      </c>
      <c r="D285" s="16" t="s">
        <v>341</v>
      </c>
      <c r="E285" s="16" t="s">
        <v>91</v>
      </c>
      <c r="F285" s="18"/>
      <c r="G285" s="18"/>
      <c r="H285" s="16"/>
      <c r="I285" s="16" t="n">
        <f aca="false">INDEX(Prozesse!$S$2:$S$125,MATCH(A285,Prozesse!$A$2:$A$125,0))</f>
        <v>1</v>
      </c>
    </row>
    <row r="286" customFormat="false" ht="15" hidden="false" customHeight="false" outlineLevel="0" collapsed="false">
      <c r="A286" s="16" t="n">
        <v>72</v>
      </c>
      <c r="B286" s="16" t="s">
        <v>144</v>
      </c>
      <c r="C286" s="16" t="s">
        <v>89</v>
      </c>
      <c r="D286" s="16" t="s">
        <v>34</v>
      </c>
      <c r="E286" s="16" t="s">
        <v>61</v>
      </c>
      <c r="F286" s="18" t="n">
        <v>45945</v>
      </c>
      <c r="G286" s="18" t="n">
        <v>46142</v>
      </c>
      <c r="H286" s="16" t="n">
        <v>142</v>
      </c>
      <c r="I286" s="16" t="n">
        <f aca="false">INDEX(Prozesse!$S$2:$S$125,MATCH(A286,Prozesse!$A$2:$A$125,0))</f>
        <v>1</v>
      </c>
    </row>
    <row r="287" customFormat="false" ht="15" hidden="false" customHeight="false" outlineLevel="0" collapsed="false">
      <c r="A287" s="16" t="n">
        <v>72</v>
      </c>
      <c r="B287" s="16" t="s">
        <v>144</v>
      </c>
      <c r="C287" s="16" t="s">
        <v>89</v>
      </c>
      <c r="D287" s="16" t="s">
        <v>339</v>
      </c>
      <c r="E287" s="16" t="s">
        <v>266</v>
      </c>
      <c r="F287" s="18" t="n">
        <v>46143</v>
      </c>
      <c r="G287" s="18" t="n">
        <v>46234</v>
      </c>
      <c r="H287" s="16" t="n">
        <v>66</v>
      </c>
      <c r="I287" s="16" t="n">
        <f aca="false">INDEX(Prozesse!$S$2:$S$125,MATCH(A287,Prozesse!$A$2:$A$125,0))</f>
        <v>1</v>
      </c>
    </row>
    <row r="288" customFormat="false" ht="15" hidden="false" customHeight="false" outlineLevel="0" collapsed="false">
      <c r="A288" s="16" t="n">
        <v>72</v>
      </c>
      <c r="B288" s="16" t="s">
        <v>144</v>
      </c>
      <c r="C288" s="16" t="s">
        <v>89</v>
      </c>
      <c r="D288" s="16" t="s">
        <v>340</v>
      </c>
      <c r="E288" s="16" t="s">
        <v>91</v>
      </c>
      <c r="F288" s="18"/>
      <c r="G288" s="18"/>
      <c r="H288" s="16"/>
      <c r="I288" s="16" t="n">
        <f aca="false">INDEX(Prozesse!$S$2:$S$125,MATCH(A288,Prozesse!$A$2:$A$125,0))</f>
        <v>1</v>
      </c>
    </row>
    <row r="289" customFormat="false" ht="15" hidden="false" customHeight="false" outlineLevel="0" collapsed="false">
      <c r="A289" s="16" t="n">
        <v>72</v>
      </c>
      <c r="B289" s="16" t="s">
        <v>144</v>
      </c>
      <c r="C289" s="16" t="s">
        <v>89</v>
      </c>
      <c r="D289" s="16" t="s">
        <v>341</v>
      </c>
      <c r="E289" s="16" t="s">
        <v>91</v>
      </c>
      <c r="F289" s="18"/>
      <c r="G289" s="18"/>
      <c r="H289" s="16"/>
      <c r="I289" s="16" t="n">
        <f aca="false">INDEX(Prozesse!$S$2:$S$125,MATCH(A289,Prozesse!$A$2:$A$125,0))</f>
        <v>1</v>
      </c>
    </row>
    <row r="290" customFormat="false" ht="15" hidden="false" customHeight="false" outlineLevel="0" collapsed="false">
      <c r="A290" s="16" t="n">
        <v>73</v>
      </c>
      <c r="B290" s="16" t="s">
        <v>234</v>
      </c>
      <c r="C290" s="16" t="s">
        <v>89</v>
      </c>
      <c r="D290" s="16" t="s">
        <v>34</v>
      </c>
      <c r="E290" s="16" t="s">
        <v>91</v>
      </c>
      <c r="F290" s="18" t="n">
        <v>45945</v>
      </c>
      <c r="G290" s="18"/>
      <c r="H290" s="16"/>
      <c r="I290" s="16" t="n">
        <f aca="false">INDEX(Prozesse!$S$2:$S$125,MATCH(A290,Prozesse!$A$2:$A$125,0))</f>
        <v>1</v>
      </c>
    </row>
    <row r="291" customFormat="false" ht="15" hidden="false" customHeight="false" outlineLevel="0" collapsed="false">
      <c r="A291" s="16" t="n">
        <v>73</v>
      </c>
      <c r="B291" s="16" t="s">
        <v>234</v>
      </c>
      <c r="C291" s="16" t="s">
        <v>89</v>
      </c>
      <c r="D291" s="16" t="s">
        <v>339</v>
      </c>
      <c r="E291" s="16" t="s">
        <v>91</v>
      </c>
      <c r="F291" s="18"/>
      <c r="G291" s="18"/>
      <c r="H291" s="16"/>
      <c r="I291" s="16" t="n">
        <f aca="false">INDEX(Prozesse!$S$2:$S$125,MATCH(A291,Prozesse!$A$2:$A$125,0))</f>
        <v>1</v>
      </c>
    </row>
    <row r="292" customFormat="false" ht="15" hidden="false" customHeight="false" outlineLevel="0" collapsed="false">
      <c r="A292" s="16" t="n">
        <v>73</v>
      </c>
      <c r="B292" s="16" t="s">
        <v>234</v>
      </c>
      <c r="C292" s="16" t="s">
        <v>89</v>
      </c>
      <c r="D292" s="16" t="s">
        <v>340</v>
      </c>
      <c r="E292" s="16" t="s">
        <v>91</v>
      </c>
      <c r="F292" s="18"/>
      <c r="G292" s="18"/>
      <c r="H292" s="16"/>
      <c r="I292" s="16" t="n">
        <f aca="false">INDEX(Prozesse!$S$2:$S$125,MATCH(A292,Prozesse!$A$2:$A$125,0))</f>
        <v>1</v>
      </c>
    </row>
    <row r="293" customFormat="false" ht="15" hidden="false" customHeight="false" outlineLevel="0" collapsed="false">
      <c r="A293" s="16" t="n">
        <v>73</v>
      </c>
      <c r="B293" s="16" t="s">
        <v>234</v>
      </c>
      <c r="C293" s="16" t="s">
        <v>89</v>
      </c>
      <c r="D293" s="16" t="s">
        <v>341</v>
      </c>
      <c r="E293" s="16" t="s">
        <v>91</v>
      </c>
      <c r="F293" s="18"/>
      <c r="G293" s="18"/>
      <c r="H293" s="16"/>
      <c r="I293" s="16" t="n">
        <f aca="false">INDEX(Prozesse!$S$2:$S$125,MATCH(A293,Prozesse!$A$2:$A$125,0))</f>
        <v>1</v>
      </c>
    </row>
    <row r="294" customFormat="false" ht="15" hidden="false" customHeight="false" outlineLevel="0" collapsed="false">
      <c r="A294" s="16" t="n">
        <v>74</v>
      </c>
      <c r="B294" s="16" t="s">
        <v>236</v>
      </c>
      <c r="C294" s="16" t="s">
        <v>89</v>
      </c>
      <c r="D294" s="16" t="s">
        <v>34</v>
      </c>
      <c r="E294" s="16" t="s">
        <v>91</v>
      </c>
      <c r="F294" s="18" t="n">
        <v>45945</v>
      </c>
      <c r="G294" s="18"/>
      <c r="H294" s="16"/>
      <c r="I294" s="16" t="n">
        <f aca="false">INDEX(Prozesse!$S$2:$S$125,MATCH(A294,Prozesse!$A$2:$A$125,0))</f>
        <v>1</v>
      </c>
    </row>
    <row r="295" customFormat="false" ht="15" hidden="false" customHeight="false" outlineLevel="0" collapsed="false">
      <c r="A295" s="16" t="n">
        <v>74</v>
      </c>
      <c r="B295" s="16" t="s">
        <v>236</v>
      </c>
      <c r="C295" s="16" t="s">
        <v>89</v>
      </c>
      <c r="D295" s="16" t="s">
        <v>339</v>
      </c>
      <c r="E295" s="16" t="s">
        <v>91</v>
      </c>
      <c r="F295" s="18"/>
      <c r="G295" s="18"/>
      <c r="H295" s="16"/>
      <c r="I295" s="16" t="n">
        <f aca="false">INDEX(Prozesse!$S$2:$S$125,MATCH(A295,Prozesse!$A$2:$A$125,0))</f>
        <v>1</v>
      </c>
    </row>
    <row r="296" customFormat="false" ht="15" hidden="false" customHeight="false" outlineLevel="0" collapsed="false">
      <c r="A296" s="16" t="n">
        <v>74</v>
      </c>
      <c r="B296" s="16" t="s">
        <v>236</v>
      </c>
      <c r="C296" s="16" t="s">
        <v>89</v>
      </c>
      <c r="D296" s="16" t="s">
        <v>340</v>
      </c>
      <c r="E296" s="16" t="s">
        <v>91</v>
      </c>
      <c r="F296" s="18"/>
      <c r="G296" s="18"/>
      <c r="H296" s="16"/>
      <c r="I296" s="16" t="n">
        <f aca="false">INDEX(Prozesse!$S$2:$S$125,MATCH(A296,Prozesse!$A$2:$A$125,0))</f>
        <v>1</v>
      </c>
    </row>
    <row r="297" customFormat="false" ht="15" hidden="false" customHeight="false" outlineLevel="0" collapsed="false">
      <c r="A297" s="16" t="n">
        <v>74</v>
      </c>
      <c r="B297" s="16" t="s">
        <v>236</v>
      </c>
      <c r="C297" s="16" t="s">
        <v>89</v>
      </c>
      <c r="D297" s="16" t="s">
        <v>341</v>
      </c>
      <c r="E297" s="16" t="s">
        <v>91</v>
      </c>
      <c r="F297" s="18"/>
      <c r="G297" s="18"/>
      <c r="H297" s="16"/>
      <c r="I297" s="16" t="n">
        <f aca="false">INDEX(Prozesse!$S$2:$S$125,MATCH(A297,Prozesse!$A$2:$A$125,0))</f>
        <v>1</v>
      </c>
    </row>
    <row r="298" customFormat="false" ht="15" hidden="false" customHeight="false" outlineLevel="0" collapsed="false">
      <c r="A298" s="16" t="n">
        <v>75</v>
      </c>
      <c r="B298" s="16" t="s">
        <v>238</v>
      </c>
      <c r="C298" s="16" t="s">
        <v>89</v>
      </c>
      <c r="D298" s="16" t="s">
        <v>34</v>
      </c>
      <c r="E298" s="16" t="s">
        <v>61</v>
      </c>
      <c r="F298" s="18" t="n">
        <v>45931</v>
      </c>
      <c r="G298" s="18" t="n">
        <v>46295</v>
      </c>
      <c r="H298" s="16" t="n">
        <v>261</v>
      </c>
      <c r="I298" s="16" t="n">
        <f aca="false">INDEX(Prozesse!$S$2:$S$125,MATCH(A298,Prozesse!$A$2:$A$125,0))</f>
        <v>1</v>
      </c>
    </row>
    <row r="299" customFormat="false" ht="15" hidden="false" customHeight="false" outlineLevel="0" collapsed="false">
      <c r="A299" s="16" t="n">
        <v>75</v>
      </c>
      <c r="B299" s="16" t="s">
        <v>238</v>
      </c>
      <c r="C299" s="16" t="s">
        <v>89</v>
      </c>
      <c r="D299" s="16" t="s">
        <v>339</v>
      </c>
      <c r="E299" s="16" t="s">
        <v>91</v>
      </c>
      <c r="F299" s="18"/>
      <c r="G299" s="18"/>
      <c r="H299" s="16"/>
      <c r="I299" s="16" t="n">
        <f aca="false">INDEX(Prozesse!$S$2:$S$125,MATCH(A299,Prozesse!$A$2:$A$125,0))</f>
        <v>1</v>
      </c>
    </row>
    <row r="300" customFormat="false" ht="15" hidden="false" customHeight="false" outlineLevel="0" collapsed="false">
      <c r="A300" s="16" t="n">
        <v>75</v>
      </c>
      <c r="B300" s="16" t="s">
        <v>238</v>
      </c>
      <c r="C300" s="16" t="s">
        <v>89</v>
      </c>
      <c r="D300" s="16" t="s">
        <v>340</v>
      </c>
      <c r="E300" s="16" t="s">
        <v>91</v>
      </c>
      <c r="F300" s="18"/>
      <c r="G300" s="18"/>
      <c r="H300" s="16"/>
      <c r="I300" s="16" t="n">
        <f aca="false">INDEX(Prozesse!$S$2:$S$125,MATCH(A300,Prozesse!$A$2:$A$125,0))</f>
        <v>1</v>
      </c>
    </row>
    <row r="301" customFormat="false" ht="15" hidden="false" customHeight="false" outlineLevel="0" collapsed="false">
      <c r="A301" s="16" t="n">
        <v>75</v>
      </c>
      <c r="B301" s="16" t="s">
        <v>238</v>
      </c>
      <c r="C301" s="16" t="s">
        <v>89</v>
      </c>
      <c r="D301" s="16" t="s">
        <v>341</v>
      </c>
      <c r="E301" s="16" t="s">
        <v>91</v>
      </c>
      <c r="F301" s="18"/>
      <c r="G301" s="18"/>
      <c r="H301" s="16"/>
      <c r="I301" s="16" t="n">
        <f aca="false">INDEX(Prozesse!$S$2:$S$125,MATCH(A301,Prozesse!$A$2:$A$125,0))</f>
        <v>1</v>
      </c>
    </row>
    <row r="302" customFormat="false" ht="15" hidden="false" customHeight="false" outlineLevel="0" collapsed="false">
      <c r="A302" s="16" t="n">
        <v>76</v>
      </c>
      <c r="B302" s="16" t="s">
        <v>240</v>
      </c>
      <c r="C302" s="16" t="s">
        <v>58</v>
      </c>
      <c r="D302" s="16" t="s">
        <v>34</v>
      </c>
      <c r="E302" s="16" t="s">
        <v>61</v>
      </c>
      <c r="F302" s="18" t="n">
        <v>45946</v>
      </c>
      <c r="G302" s="18" t="n">
        <v>46142</v>
      </c>
      <c r="H302" s="16" t="n">
        <v>141</v>
      </c>
      <c r="I302" s="16" t="n">
        <f aca="false">INDEX(Prozesse!$S$2:$S$125,MATCH(A302,Prozesse!$A$2:$A$125,0))</f>
        <v>1</v>
      </c>
    </row>
    <row r="303" customFormat="false" ht="15" hidden="false" customHeight="false" outlineLevel="0" collapsed="false">
      <c r="A303" s="16" t="n">
        <v>76</v>
      </c>
      <c r="B303" s="16" t="s">
        <v>240</v>
      </c>
      <c r="C303" s="16" t="s">
        <v>58</v>
      </c>
      <c r="D303" s="16" t="s">
        <v>339</v>
      </c>
      <c r="E303" s="16" t="s">
        <v>91</v>
      </c>
      <c r="F303" s="18"/>
      <c r="G303" s="18"/>
      <c r="H303" s="16"/>
      <c r="I303" s="16" t="n">
        <f aca="false">INDEX(Prozesse!$S$2:$S$125,MATCH(A303,Prozesse!$A$2:$A$125,0))</f>
        <v>1</v>
      </c>
    </row>
    <row r="304" customFormat="false" ht="15" hidden="false" customHeight="false" outlineLevel="0" collapsed="false">
      <c r="A304" s="16" t="n">
        <v>76</v>
      </c>
      <c r="B304" s="16" t="s">
        <v>240</v>
      </c>
      <c r="C304" s="16" t="s">
        <v>58</v>
      </c>
      <c r="D304" s="16" t="s">
        <v>340</v>
      </c>
      <c r="E304" s="16" t="s">
        <v>91</v>
      </c>
      <c r="F304" s="18"/>
      <c r="G304" s="18"/>
      <c r="H304" s="16"/>
      <c r="I304" s="16" t="n">
        <f aca="false">INDEX(Prozesse!$S$2:$S$125,MATCH(A304,Prozesse!$A$2:$A$125,0))</f>
        <v>1</v>
      </c>
    </row>
    <row r="305" customFormat="false" ht="15" hidden="false" customHeight="false" outlineLevel="0" collapsed="false">
      <c r="A305" s="16" t="n">
        <v>76</v>
      </c>
      <c r="B305" s="16" t="s">
        <v>240</v>
      </c>
      <c r="C305" s="16" t="s">
        <v>58</v>
      </c>
      <c r="D305" s="16" t="s">
        <v>341</v>
      </c>
      <c r="E305" s="16" t="s">
        <v>91</v>
      </c>
      <c r="F305" s="18"/>
      <c r="G305" s="18"/>
      <c r="H305" s="16"/>
      <c r="I305" s="16" t="n">
        <f aca="false">INDEX(Prozesse!$S$2:$S$125,MATCH(A305,Prozesse!$A$2:$A$125,0))</f>
        <v>1</v>
      </c>
    </row>
    <row r="306" customFormat="false" ht="15" hidden="false" customHeight="false" outlineLevel="0" collapsed="false">
      <c r="A306" s="16" t="n">
        <v>77</v>
      </c>
      <c r="B306" s="16" t="s">
        <v>242</v>
      </c>
      <c r="C306" s="16" t="s">
        <v>58</v>
      </c>
      <c r="D306" s="16" t="s">
        <v>34</v>
      </c>
      <c r="E306" s="16" t="s">
        <v>61</v>
      </c>
      <c r="F306" s="18" t="n">
        <v>45949</v>
      </c>
      <c r="G306" s="18" t="n">
        <v>45991</v>
      </c>
      <c r="H306" s="16" t="n">
        <v>139</v>
      </c>
      <c r="I306" s="16" t="n">
        <f aca="false">INDEX(Prozesse!$S$2:$S$125,MATCH(A306,Prozesse!$A$2:$A$125,0))</f>
        <v>1</v>
      </c>
    </row>
    <row r="307" customFormat="false" ht="15" hidden="false" customHeight="false" outlineLevel="0" collapsed="false">
      <c r="A307" s="16" t="n">
        <v>77</v>
      </c>
      <c r="B307" s="16" t="s">
        <v>242</v>
      </c>
      <c r="C307" s="16" t="s">
        <v>58</v>
      </c>
      <c r="D307" s="16" t="s">
        <v>339</v>
      </c>
      <c r="E307" s="16" t="s">
        <v>91</v>
      </c>
      <c r="F307" s="18"/>
      <c r="G307" s="18"/>
      <c r="H307" s="16"/>
      <c r="I307" s="16" t="n">
        <f aca="false">INDEX(Prozesse!$S$2:$S$125,MATCH(A307,Prozesse!$A$2:$A$125,0))</f>
        <v>1</v>
      </c>
    </row>
    <row r="308" customFormat="false" ht="15" hidden="false" customHeight="false" outlineLevel="0" collapsed="false">
      <c r="A308" s="16" t="n">
        <v>77</v>
      </c>
      <c r="B308" s="16" t="s">
        <v>242</v>
      </c>
      <c r="C308" s="16" t="s">
        <v>58</v>
      </c>
      <c r="D308" s="16" t="s">
        <v>340</v>
      </c>
      <c r="E308" s="16" t="s">
        <v>91</v>
      </c>
      <c r="F308" s="18"/>
      <c r="G308" s="18"/>
      <c r="H308" s="16"/>
      <c r="I308" s="16" t="n">
        <f aca="false">INDEX(Prozesse!$S$2:$S$125,MATCH(A308,Prozesse!$A$2:$A$125,0))</f>
        <v>1</v>
      </c>
    </row>
    <row r="309" customFormat="false" ht="15" hidden="false" customHeight="false" outlineLevel="0" collapsed="false">
      <c r="A309" s="16" t="n">
        <v>77</v>
      </c>
      <c r="B309" s="16" t="s">
        <v>242</v>
      </c>
      <c r="C309" s="16" t="s">
        <v>58</v>
      </c>
      <c r="D309" s="16" t="s">
        <v>341</v>
      </c>
      <c r="E309" s="16" t="s">
        <v>91</v>
      </c>
      <c r="F309" s="18"/>
      <c r="G309" s="18"/>
      <c r="H309" s="16"/>
      <c r="I309" s="16" t="n">
        <f aca="false">INDEX(Prozesse!$S$2:$S$125,MATCH(A309,Prozesse!$A$2:$A$125,0))</f>
        <v>1</v>
      </c>
    </row>
    <row r="310" customFormat="false" ht="15" hidden="false" customHeight="false" outlineLevel="0" collapsed="false">
      <c r="A310" s="16" t="n">
        <v>78</v>
      </c>
      <c r="B310" s="16" t="s">
        <v>246</v>
      </c>
      <c r="C310" s="16" t="s">
        <v>58</v>
      </c>
      <c r="D310" s="16" t="s">
        <v>34</v>
      </c>
      <c r="E310" s="16" t="s">
        <v>61</v>
      </c>
      <c r="F310" s="18" t="n">
        <v>45946</v>
      </c>
      <c r="G310" s="18" t="n">
        <v>46142</v>
      </c>
      <c r="H310" s="16" t="n">
        <v>141</v>
      </c>
      <c r="I310" s="16" t="n">
        <f aca="false">INDEX(Prozesse!$S$2:$S$125,MATCH(A310,Prozesse!$A$2:$A$125,0))</f>
        <v>1</v>
      </c>
    </row>
    <row r="311" customFormat="false" ht="15" hidden="false" customHeight="false" outlineLevel="0" collapsed="false">
      <c r="A311" s="16" t="n">
        <v>78</v>
      </c>
      <c r="B311" s="16" t="s">
        <v>246</v>
      </c>
      <c r="C311" s="16" t="s">
        <v>58</v>
      </c>
      <c r="D311" s="16" t="s">
        <v>339</v>
      </c>
      <c r="E311" s="16" t="s">
        <v>91</v>
      </c>
      <c r="F311" s="18"/>
      <c r="G311" s="18"/>
      <c r="H311" s="16"/>
      <c r="I311" s="16" t="n">
        <f aca="false">INDEX(Prozesse!$S$2:$S$125,MATCH(A311,Prozesse!$A$2:$A$125,0))</f>
        <v>1</v>
      </c>
    </row>
    <row r="312" customFormat="false" ht="15" hidden="false" customHeight="false" outlineLevel="0" collapsed="false">
      <c r="A312" s="16" t="n">
        <v>78</v>
      </c>
      <c r="B312" s="16" t="s">
        <v>246</v>
      </c>
      <c r="C312" s="16" t="s">
        <v>58</v>
      </c>
      <c r="D312" s="16" t="s">
        <v>340</v>
      </c>
      <c r="E312" s="16" t="s">
        <v>91</v>
      </c>
      <c r="F312" s="18"/>
      <c r="G312" s="18"/>
      <c r="H312" s="16"/>
      <c r="I312" s="16" t="n">
        <f aca="false">INDEX(Prozesse!$S$2:$S$125,MATCH(A312,Prozesse!$A$2:$A$125,0))</f>
        <v>1</v>
      </c>
    </row>
    <row r="313" customFormat="false" ht="15" hidden="false" customHeight="false" outlineLevel="0" collapsed="false">
      <c r="A313" s="16" t="n">
        <v>78</v>
      </c>
      <c r="B313" s="16" t="s">
        <v>246</v>
      </c>
      <c r="C313" s="16" t="s">
        <v>58</v>
      </c>
      <c r="D313" s="16" t="s">
        <v>341</v>
      </c>
      <c r="E313" s="16" t="s">
        <v>91</v>
      </c>
      <c r="F313" s="18"/>
      <c r="G313" s="18"/>
      <c r="H313" s="16"/>
      <c r="I313" s="16" t="n">
        <f aca="false">INDEX(Prozesse!$S$2:$S$125,MATCH(A313,Prozesse!$A$2:$A$125,0))</f>
        <v>1</v>
      </c>
    </row>
    <row r="314" customFormat="false" ht="15" hidden="false" customHeight="false" outlineLevel="0" collapsed="false">
      <c r="A314" s="16" t="n">
        <v>79</v>
      </c>
      <c r="B314" s="16" t="s">
        <v>248</v>
      </c>
      <c r="C314" s="16" t="s">
        <v>89</v>
      </c>
      <c r="D314" s="16" t="s">
        <v>34</v>
      </c>
      <c r="E314" s="16" t="s">
        <v>61</v>
      </c>
      <c r="F314" s="18" t="n">
        <v>46034</v>
      </c>
      <c r="G314" s="18" t="n">
        <v>46173</v>
      </c>
      <c r="H314" s="16" t="n">
        <v>100</v>
      </c>
      <c r="I314" s="16" t="n">
        <f aca="false">INDEX(Prozesse!$S$2:$S$125,MATCH(A314,Prozesse!$A$2:$A$125,0))</f>
        <v>1</v>
      </c>
    </row>
    <row r="315" customFormat="false" ht="15" hidden="false" customHeight="false" outlineLevel="0" collapsed="false">
      <c r="A315" s="16" t="n">
        <v>79</v>
      </c>
      <c r="B315" s="16" t="s">
        <v>248</v>
      </c>
      <c r="C315" s="16" t="s">
        <v>89</v>
      </c>
      <c r="D315" s="16" t="s">
        <v>339</v>
      </c>
      <c r="E315" s="16" t="s">
        <v>91</v>
      </c>
      <c r="F315" s="18"/>
      <c r="G315" s="18"/>
      <c r="H315" s="16"/>
      <c r="I315" s="16" t="n">
        <f aca="false">INDEX(Prozesse!$S$2:$S$125,MATCH(A315,Prozesse!$A$2:$A$125,0))</f>
        <v>1</v>
      </c>
    </row>
    <row r="316" customFormat="false" ht="15" hidden="false" customHeight="false" outlineLevel="0" collapsed="false">
      <c r="A316" s="16" t="n">
        <v>79</v>
      </c>
      <c r="B316" s="16" t="s">
        <v>248</v>
      </c>
      <c r="C316" s="16" t="s">
        <v>89</v>
      </c>
      <c r="D316" s="16" t="s">
        <v>340</v>
      </c>
      <c r="E316" s="16" t="s">
        <v>91</v>
      </c>
      <c r="F316" s="18"/>
      <c r="G316" s="18"/>
      <c r="H316" s="16"/>
      <c r="I316" s="16" t="n">
        <f aca="false">INDEX(Prozesse!$S$2:$S$125,MATCH(A316,Prozesse!$A$2:$A$125,0))</f>
        <v>1</v>
      </c>
    </row>
    <row r="317" customFormat="false" ht="15" hidden="false" customHeight="false" outlineLevel="0" collapsed="false">
      <c r="A317" s="16" t="n">
        <v>79</v>
      </c>
      <c r="B317" s="16" t="s">
        <v>248</v>
      </c>
      <c r="C317" s="16" t="s">
        <v>89</v>
      </c>
      <c r="D317" s="16" t="s">
        <v>341</v>
      </c>
      <c r="E317" s="16" t="s">
        <v>91</v>
      </c>
      <c r="F317" s="18"/>
      <c r="G317" s="18"/>
      <c r="H317" s="16"/>
      <c r="I317" s="16" t="n">
        <f aca="false">INDEX(Prozesse!$S$2:$S$125,MATCH(A317,Prozesse!$A$2:$A$125,0))</f>
        <v>1</v>
      </c>
    </row>
    <row r="318" customFormat="false" ht="15" hidden="false" customHeight="false" outlineLevel="0" collapsed="false">
      <c r="A318" s="16" t="n">
        <v>80</v>
      </c>
      <c r="B318" s="16" t="s">
        <v>250</v>
      </c>
      <c r="C318" s="16" t="s">
        <v>58</v>
      </c>
      <c r="D318" s="16" t="s">
        <v>34</v>
      </c>
      <c r="E318" s="16" t="s">
        <v>91</v>
      </c>
      <c r="F318" s="18" t="n">
        <v>45931</v>
      </c>
      <c r="G318" s="18"/>
      <c r="H318" s="16"/>
      <c r="I318" s="16" t="n">
        <f aca="false">INDEX(Prozesse!$S$2:$S$125,MATCH(A318,Prozesse!$A$2:$A$125,0))</f>
        <v>1</v>
      </c>
    </row>
    <row r="319" customFormat="false" ht="15" hidden="false" customHeight="false" outlineLevel="0" collapsed="false">
      <c r="A319" s="16" t="n">
        <v>80</v>
      </c>
      <c r="B319" s="16" t="s">
        <v>250</v>
      </c>
      <c r="C319" s="16" t="s">
        <v>58</v>
      </c>
      <c r="D319" s="16" t="s">
        <v>339</v>
      </c>
      <c r="E319" s="16" t="s">
        <v>91</v>
      </c>
      <c r="F319" s="18"/>
      <c r="G319" s="18"/>
      <c r="H319" s="16"/>
      <c r="I319" s="16" t="n">
        <f aca="false">INDEX(Prozesse!$S$2:$S$125,MATCH(A319,Prozesse!$A$2:$A$125,0))</f>
        <v>1</v>
      </c>
    </row>
    <row r="320" customFormat="false" ht="15" hidden="false" customHeight="false" outlineLevel="0" collapsed="false">
      <c r="A320" s="16" t="n">
        <v>80</v>
      </c>
      <c r="B320" s="16" t="s">
        <v>250</v>
      </c>
      <c r="C320" s="16" t="s">
        <v>58</v>
      </c>
      <c r="D320" s="16" t="s">
        <v>340</v>
      </c>
      <c r="E320" s="16" t="s">
        <v>91</v>
      </c>
      <c r="F320" s="18"/>
      <c r="G320" s="18"/>
      <c r="H320" s="16"/>
      <c r="I320" s="16" t="n">
        <f aca="false">INDEX(Prozesse!$S$2:$S$125,MATCH(A320,Prozesse!$A$2:$A$125,0))</f>
        <v>1</v>
      </c>
    </row>
    <row r="321" customFormat="false" ht="15" hidden="false" customHeight="false" outlineLevel="0" collapsed="false">
      <c r="A321" s="16" t="n">
        <v>80</v>
      </c>
      <c r="B321" s="16" t="s">
        <v>250</v>
      </c>
      <c r="C321" s="16" t="s">
        <v>58</v>
      </c>
      <c r="D321" s="16" t="s">
        <v>341</v>
      </c>
      <c r="E321" s="16" t="s">
        <v>91</v>
      </c>
      <c r="F321" s="18"/>
      <c r="G321" s="18"/>
      <c r="H321" s="16"/>
      <c r="I321" s="16" t="n">
        <f aca="false">INDEX(Prozesse!$S$2:$S$125,MATCH(A321,Prozesse!$A$2:$A$125,0))</f>
        <v>1</v>
      </c>
    </row>
    <row r="322" customFormat="false" ht="15" hidden="false" customHeight="false" outlineLevel="0" collapsed="false">
      <c r="A322" s="16" t="n">
        <v>81</v>
      </c>
      <c r="B322" s="16" t="s">
        <v>252</v>
      </c>
      <c r="C322" s="16" t="s">
        <v>89</v>
      </c>
      <c r="D322" s="16" t="s">
        <v>34</v>
      </c>
      <c r="E322" s="16" t="s">
        <v>61</v>
      </c>
      <c r="F322" s="18" t="n">
        <v>46034</v>
      </c>
      <c r="G322" s="18" t="n">
        <v>46173</v>
      </c>
      <c r="H322" s="16" t="n">
        <v>100</v>
      </c>
      <c r="I322" s="16" t="n">
        <f aca="false">INDEX(Prozesse!$S$2:$S$125,MATCH(A322,Prozesse!$A$2:$A$125,0))</f>
        <v>1</v>
      </c>
    </row>
    <row r="323" customFormat="false" ht="15" hidden="false" customHeight="false" outlineLevel="0" collapsed="false">
      <c r="A323" s="16" t="n">
        <v>81</v>
      </c>
      <c r="B323" s="16" t="s">
        <v>252</v>
      </c>
      <c r="C323" s="16" t="s">
        <v>89</v>
      </c>
      <c r="D323" s="16" t="s">
        <v>339</v>
      </c>
      <c r="E323" s="16" t="s">
        <v>91</v>
      </c>
      <c r="F323" s="18"/>
      <c r="G323" s="18"/>
      <c r="H323" s="16"/>
      <c r="I323" s="16" t="n">
        <f aca="false">INDEX(Prozesse!$S$2:$S$125,MATCH(A323,Prozesse!$A$2:$A$125,0))</f>
        <v>1</v>
      </c>
    </row>
    <row r="324" customFormat="false" ht="15" hidden="false" customHeight="false" outlineLevel="0" collapsed="false">
      <c r="A324" s="16" t="n">
        <v>81</v>
      </c>
      <c r="B324" s="16" t="s">
        <v>252</v>
      </c>
      <c r="C324" s="16" t="s">
        <v>89</v>
      </c>
      <c r="D324" s="16" t="s">
        <v>340</v>
      </c>
      <c r="E324" s="16" t="s">
        <v>91</v>
      </c>
      <c r="F324" s="18"/>
      <c r="G324" s="18"/>
      <c r="H324" s="16"/>
      <c r="I324" s="16" t="n">
        <f aca="false">INDEX(Prozesse!$S$2:$S$125,MATCH(A324,Prozesse!$A$2:$A$125,0))</f>
        <v>1</v>
      </c>
    </row>
    <row r="325" customFormat="false" ht="15" hidden="false" customHeight="false" outlineLevel="0" collapsed="false">
      <c r="A325" s="16" t="n">
        <v>81</v>
      </c>
      <c r="B325" s="16" t="s">
        <v>252</v>
      </c>
      <c r="C325" s="16" t="s">
        <v>89</v>
      </c>
      <c r="D325" s="16" t="s">
        <v>341</v>
      </c>
      <c r="E325" s="16" t="s">
        <v>91</v>
      </c>
      <c r="F325" s="18"/>
      <c r="G325" s="18"/>
      <c r="H325" s="16"/>
      <c r="I325" s="16" t="n">
        <f aca="false">INDEX(Prozesse!$S$2:$S$125,MATCH(A325,Prozesse!$A$2:$A$125,0))</f>
        <v>1</v>
      </c>
    </row>
    <row r="326" customFormat="false" ht="15" hidden="false" customHeight="false" outlineLevel="0" collapsed="false">
      <c r="A326" s="16" t="n">
        <v>82</v>
      </c>
      <c r="B326" s="16" t="s">
        <v>254</v>
      </c>
      <c r="C326" s="16" t="s">
        <v>58</v>
      </c>
      <c r="D326" s="16" t="s">
        <v>34</v>
      </c>
      <c r="E326" s="16" t="s">
        <v>61</v>
      </c>
      <c r="F326" s="18" t="n">
        <v>45946</v>
      </c>
      <c r="G326" s="18" t="n">
        <v>46142</v>
      </c>
      <c r="H326" s="16" t="n">
        <v>141</v>
      </c>
      <c r="I326" s="16" t="n">
        <f aca="false">INDEX(Prozesse!$S$2:$S$125,MATCH(A326,Prozesse!$A$2:$A$125,0))</f>
        <v>1</v>
      </c>
    </row>
    <row r="327" customFormat="false" ht="15" hidden="false" customHeight="false" outlineLevel="0" collapsed="false">
      <c r="A327" s="16" t="n">
        <v>82</v>
      </c>
      <c r="B327" s="16" t="s">
        <v>254</v>
      </c>
      <c r="C327" s="16" t="s">
        <v>58</v>
      </c>
      <c r="D327" s="16" t="s">
        <v>339</v>
      </c>
      <c r="E327" s="16" t="s">
        <v>91</v>
      </c>
      <c r="F327" s="18"/>
      <c r="G327" s="18"/>
      <c r="H327" s="16"/>
      <c r="I327" s="16" t="n">
        <f aca="false">INDEX(Prozesse!$S$2:$S$125,MATCH(A327,Prozesse!$A$2:$A$125,0))</f>
        <v>1</v>
      </c>
    </row>
    <row r="328" customFormat="false" ht="15" hidden="false" customHeight="false" outlineLevel="0" collapsed="false">
      <c r="A328" s="16" t="n">
        <v>82</v>
      </c>
      <c r="B328" s="16" t="s">
        <v>254</v>
      </c>
      <c r="C328" s="16" t="s">
        <v>58</v>
      </c>
      <c r="D328" s="16" t="s">
        <v>340</v>
      </c>
      <c r="E328" s="16" t="s">
        <v>91</v>
      </c>
      <c r="F328" s="18"/>
      <c r="G328" s="18"/>
      <c r="H328" s="16"/>
      <c r="I328" s="16" t="n">
        <f aca="false">INDEX(Prozesse!$S$2:$S$125,MATCH(A328,Prozesse!$A$2:$A$125,0))</f>
        <v>1</v>
      </c>
    </row>
    <row r="329" customFormat="false" ht="15" hidden="false" customHeight="false" outlineLevel="0" collapsed="false">
      <c r="A329" s="16" t="n">
        <v>82</v>
      </c>
      <c r="B329" s="16" t="s">
        <v>254</v>
      </c>
      <c r="C329" s="16" t="s">
        <v>58</v>
      </c>
      <c r="D329" s="16" t="s">
        <v>341</v>
      </c>
      <c r="E329" s="16" t="s">
        <v>91</v>
      </c>
      <c r="F329" s="18"/>
      <c r="G329" s="18"/>
      <c r="H329" s="16"/>
      <c r="I329" s="16" t="n">
        <f aca="false">INDEX(Prozesse!$S$2:$S$125,MATCH(A329,Prozesse!$A$2:$A$125,0))</f>
        <v>1</v>
      </c>
    </row>
    <row r="330" customFormat="false" ht="15" hidden="false" customHeight="false" outlineLevel="0" collapsed="false">
      <c r="A330" s="16" t="n">
        <v>83</v>
      </c>
      <c r="B330" s="16" t="s">
        <v>60</v>
      </c>
      <c r="C330" s="16" t="s">
        <v>58</v>
      </c>
      <c r="D330" s="16" t="s">
        <v>34</v>
      </c>
      <c r="E330" s="16" t="s">
        <v>48</v>
      </c>
      <c r="F330" s="18" t="n">
        <v>45931</v>
      </c>
      <c r="G330" s="18" t="n">
        <v>45931</v>
      </c>
      <c r="H330" s="16" t="n">
        <v>1</v>
      </c>
      <c r="I330" s="16" t="n">
        <f aca="false">INDEX(Prozesse!$S$2:$S$125,MATCH(A330,Prozesse!$A$2:$A$125,0))</f>
        <v>1</v>
      </c>
    </row>
    <row r="331" customFormat="false" ht="15" hidden="false" customHeight="false" outlineLevel="0" collapsed="false">
      <c r="A331" s="16" t="n">
        <v>83</v>
      </c>
      <c r="B331" s="16" t="s">
        <v>60</v>
      </c>
      <c r="C331" s="16" t="s">
        <v>58</v>
      </c>
      <c r="D331" s="16" t="s">
        <v>339</v>
      </c>
      <c r="E331" s="16" t="s">
        <v>91</v>
      </c>
      <c r="F331" s="18"/>
      <c r="G331" s="18"/>
      <c r="H331" s="16"/>
      <c r="I331" s="16" t="n">
        <f aca="false">INDEX(Prozesse!$S$2:$S$125,MATCH(A331,Prozesse!$A$2:$A$125,0))</f>
        <v>1</v>
      </c>
    </row>
    <row r="332" customFormat="false" ht="15" hidden="false" customHeight="false" outlineLevel="0" collapsed="false">
      <c r="A332" s="16" t="n">
        <v>83</v>
      </c>
      <c r="B332" s="16" t="s">
        <v>60</v>
      </c>
      <c r="C332" s="16" t="s">
        <v>58</v>
      </c>
      <c r="D332" s="16" t="s">
        <v>340</v>
      </c>
      <c r="E332" s="16" t="s">
        <v>91</v>
      </c>
      <c r="F332" s="18"/>
      <c r="G332" s="18"/>
      <c r="H332" s="16"/>
      <c r="I332" s="16" t="n">
        <f aca="false">INDEX(Prozesse!$S$2:$S$125,MATCH(A332,Prozesse!$A$2:$A$125,0))</f>
        <v>1</v>
      </c>
    </row>
    <row r="333" customFormat="false" ht="15" hidden="false" customHeight="false" outlineLevel="0" collapsed="false">
      <c r="A333" s="16" t="n">
        <v>83</v>
      </c>
      <c r="B333" s="16" t="s">
        <v>60</v>
      </c>
      <c r="C333" s="16" t="s">
        <v>58</v>
      </c>
      <c r="D333" s="16" t="s">
        <v>341</v>
      </c>
      <c r="E333" s="16" t="s">
        <v>91</v>
      </c>
      <c r="F333" s="18"/>
      <c r="G333" s="18"/>
      <c r="H333" s="16"/>
      <c r="I333" s="16" t="n">
        <f aca="false">INDEX(Prozesse!$S$2:$S$125,MATCH(A333,Prozesse!$A$2:$A$125,0))</f>
        <v>1</v>
      </c>
    </row>
    <row r="334" customFormat="false" ht="15" hidden="false" customHeight="false" outlineLevel="0" collapsed="false">
      <c r="A334" s="16" t="n">
        <v>84</v>
      </c>
      <c r="B334" s="16" t="s">
        <v>256</v>
      </c>
      <c r="C334" s="16" t="s">
        <v>89</v>
      </c>
      <c r="D334" s="16" t="s">
        <v>34</v>
      </c>
      <c r="E334" s="16" t="s">
        <v>91</v>
      </c>
      <c r="F334" s="18" t="n">
        <v>45945</v>
      </c>
      <c r="G334" s="18"/>
      <c r="H334" s="16"/>
      <c r="I334" s="16" t="n">
        <f aca="false">INDEX(Prozesse!$S$2:$S$125,MATCH(A334,Prozesse!$A$2:$A$125,0))</f>
        <v>1</v>
      </c>
    </row>
    <row r="335" customFormat="false" ht="15" hidden="false" customHeight="false" outlineLevel="0" collapsed="false">
      <c r="A335" s="16" t="n">
        <v>84</v>
      </c>
      <c r="B335" s="16" t="s">
        <v>256</v>
      </c>
      <c r="C335" s="16" t="s">
        <v>89</v>
      </c>
      <c r="D335" s="16" t="s">
        <v>339</v>
      </c>
      <c r="E335" s="16" t="s">
        <v>91</v>
      </c>
      <c r="F335" s="18"/>
      <c r="G335" s="18"/>
      <c r="H335" s="16"/>
      <c r="I335" s="16" t="n">
        <f aca="false">INDEX(Prozesse!$S$2:$S$125,MATCH(A335,Prozesse!$A$2:$A$125,0))</f>
        <v>1</v>
      </c>
    </row>
    <row r="336" customFormat="false" ht="15" hidden="false" customHeight="false" outlineLevel="0" collapsed="false">
      <c r="A336" s="16" t="n">
        <v>84</v>
      </c>
      <c r="B336" s="16" t="s">
        <v>256</v>
      </c>
      <c r="C336" s="16" t="s">
        <v>89</v>
      </c>
      <c r="D336" s="16" t="s">
        <v>340</v>
      </c>
      <c r="E336" s="16" t="s">
        <v>91</v>
      </c>
      <c r="F336" s="18"/>
      <c r="G336" s="18"/>
      <c r="H336" s="16"/>
      <c r="I336" s="16" t="n">
        <f aca="false">INDEX(Prozesse!$S$2:$S$125,MATCH(A336,Prozesse!$A$2:$A$125,0))</f>
        <v>1</v>
      </c>
    </row>
    <row r="337" customFormat="false" ht="15" hidden="false" customHeight="false" outlineLevel="0" collapsed="false">
      <c r="A337" s="16" t="n">
        <v>84</v>
      </c>
      <c r="B337" s="16" t="s">
        <v>256</v>
      </c>
      <c r="C337" s="16" t="s">
        <v>89</v>
      </c>
      <c r="D337" s="16" t="s">
        <v>341</v>
      </c>
      <c r="E337" s="16" t="s">
        <v>91</v>
      </c>
      <c r="F337" s="18"/>
      <c r="G337" s="18"/>
      <c r="H337" s="16"/>
      <c r="I337" s="16" t="n">
        <f aca="false">INDEX(Prozesse!$S$2:$S$125,MATCH(A337,Prozesse!$A$2:$A$125,0))</f>
        <v>1</v>
      </c>
    </row>
    <row r="338" customFormat="false" ht="15" hidden="false" customHeight="false" outlineLevel="0" collapsed="false">
      <c r="A338" s="16" t="n">
        <v>85</v>
      </c>
      <c r="B338" s="16" t="s">
        <v>258</v>
      </c>
      <c r="C338" s="16" t="s">
        <v>89</v>
      </c>
      <c r="D338" s="16" t="s">
        <v>34</v>
      </c>
      <c r="E338" s="16" t="s">
        <v>61</v>
      </c>
      <c r="F338" s="18" t="n">
        <v>45931</v>
      </c>
      <c r="G338" s="18" t="n">
        <v>46295</v>
      </c>
      <c r="H338" s="16" t="n">
        <v>261</v>
      </c>
      <c r="I338" s="16" t="n">
        <f aca="false">INDEX(Prozesse!$S$2:$S$125,MATCH(A338,Prozesse!$A$2:$A$125,0))</f>
        <v>1</v>
      </c>
    </row>
    <row r="339" customFormat="false" ht="15" hidden="false" customHeight="false" outlineLevel="0" collapsed="false">
      <c r="A339" s="16" t="n">
        <v>85</v>
      </c>
      <c r="B339" s="16" t="s">
        <v>258</v>
      </c>
      <c r="C339" s="16" t="s">
        <v>89</v>
      </c>
      <c r="D339" s="16" t="s">
        <v>339</v>
      </c>
      <c r="E339" s="16" t="s">
        <v>91</v>
      </c>
      <c r="F339" s="18"/>
      <c r="G339" s="18"/>
      <c r="H339" s="16"/>
      <c r="I339" s="16" t="n">
        <f aca="false">INDEX(Prozesse!$S$2:$S$125,MATCH(A339,Prozesse!$A$2:$A$125,0))</f>
        <v>1</v>
      </c>
    </row>
    <row r="340" customFormat="false" ht="15" hidden="false" customHeight="false" outlineLevel="0" collapsed="false">
      <c r="A340" s="16" t="n">
        <v>85</v>
      </c>
      <c r="B340" s="16" t="s">
        <v>258</v>
      </c>
      <c r="C340" s="16" t="s">
        <v>89</v>
      </c>
      <c r="D340" s="16" t="s">
        <v>340</v>
      </c>
      <c r="E340" s="16" t="s">
        <v>91</v>
      </c>
      <c r="F340" s="18"/>
      <c r="G340" s="18"/>
      <c r="H340" s="16"/>
      <c r="I340" s="16" t="n">
        <f aca="false">INDEX(Prozesse!$S$2:$S$125,MATCH(A340,Prozesse!$A$2:$A$125,0))</f>
        <v>1</v>
      </c>
    </row>
    <row r="341" customFormat="false" ht="15" hidden="false" customHeight="false" outlineLevel="0" collapsed="false">
      <c r="A341" s="16" t="n">
        <v>85</v>
      </c>
      <c r="B341" s="16" t="s">
        <v>258</v>
      </c>
      <c r="C341" s="16" t="s">
        <v>89</v>
      </c>
      <c r="D341" s="16" t="s">
        <v>341</v>
      </c>
      <c r="E341" s="16" t="s">
        <v>91</v>
      </c>
      <c r="F341" s="18"/>
      <c r="G341" s="18"/>
      <c r="H341" s="16"/>
      <c r="I341" s="16" t="n">
        <f aca="false">INDEX(Prozesse!$S$2:$S$125,MATCH(A341,Prozesse!$A$2:$A$125,0))</f>
        <v>1</v>
      </c>
    </row>
    <row r="342" customFormat="false" ht="15" hidden="false" customHeight="false" outlineLevel="0" collapsed="false">
      <c r="A342" s="16" t="n">
        <v>86</v>
      </c>
      <c r="B342" s="16" t="s">
        <v>260</v>
      </c>
      <c r="C342" s="16" t="s">
        <v>89</v>
      </c>
      <c r="D342" s="16" t="s">
        <v>34</v>
      </c>
      <c r="E342" s="16" t="s">
        <v>91</v>
      </c>
      <c r="F342" s="18" t="n">
        <v>45945</v>
      </c>
      <c r="G342" s="18"/>
      <c r="H342" s="16"/>
      <c r="I342" s="16" t="n">
        <f aca="false">INDEX(Prozesse!$S$2:$S$125,MATCH(A342,Prozesse!$A$2:$A$125,0))</f>
        <v>1</v>
      </c>
    </row>
    <row r="343" customFormat="false" ht="15" hidden="false" customHeight="false" outlineLevel="0" collapsed="false">
      <c r="A343" s="16" t="n">
        <v>86</v>
      </c>
      <c r="B343" s="16" t="s">
        <v>260</v>
      </c>
      <c r="C343" s="16" t="s">
        <v>89</v>
      </c>
      <c r="D343" s="16" t="s">
        <v>339</v>
      </c>
      <c r="E343" s="16" t="s">
        <v>91</v>
      </c>
      <c r="F343" s="18"/>
      <c r="G343" s="18"/>
      <c r="H343" s="16"/>
      <c r="I343" s="16" t="n">
        <f aca="false">INDEX(Prozesse!$S$2:$S$125,MATCH(A343,Prozesse!$A$2:$A$125,0))</f>
        <v>1</v>
      </c>
    </row>
    <row r="344" customFormat="false" ht="15" hidden="false" customHeight="false" outlineLevel="0" collapsed="false">
      <c r="A344" s="16" t="n">
        <v>86</v>
      </c>
      <c r="B344" s="16" t="s">
        <v>260</v>
      </c>
      <c r="C344" s="16" t="s">
        <v>89</v>
      </c>
      <c r="D344" s="16" t="s">
        <v>340</v>
      </c>
      <c r="E344" s="16" t="s">
        <v>91</v>
      </c>
      <c r="F344" s="18"/>
      <c r="G344" s="18"/>
      <c r="H344" s="16"/>
      <c r="I344" s="16" t="n">
        <f aca="false">INDEX(Prozesse!$S$2:$S$125,MATCH(A344,Prozesse!$A$2:$A$125,0))</f>
        <v>1</v>
      </c>
    </row>
    <row r="345" customFormat="false" ht="15" hidden="false" customHeight="false" outlineLevel="0" collapsed="false">
      <c r="A345" s="16" t="n">
        <v>86</v>
      </c>
      <c r="B345" s="16" t="s">
        <v>260</v>
      </c>
      <c r="C345" s="16" t="s">
        <v>89</v>
      </c>
      <c r="D345" s="16" t="s">
        <v>341</v>
      </c>
      <c r="E345" s="16" t="s">
        <v>91</v>
      </c>
      <c r="F345" s="18"/>
      <c r="G345" s="18"/>
      <c r="H345" s="16"/>
      <c r="I345" s="16" t="n">
        <f aca="false">INDEX(Prozesse!$S$2:$S$125,MATCH(A345,Prozesse!$A$2:$A$125,0))</f>
        <v>1</v>
      </c>
    </row>
    <row r="346" customFormat="false" ht="15" hidden="false" customHeight="false" outlineLevel="0" collapsed="false">
      <c r="A346" s="16" t="n">
        <v>87</v>
      </c>
      <c r="B346" s="16" t="s">
        <v>262</v>
      </c>
      <c r="C346" s="16" t="s">
        <v>89</v>
      </c>
      <c r="D346" s="16" t="s">
        <v>34</v>
      </c>
      <c r="E346" s="16" t="s">
        <v>91</v>
      </c>
      <c r="F346" s="18" t="n">
        <v>45945</v>
      </c>
      <c r="G346" s="18"/>
      <c r="H346" s="16"/>
      <c r="I346" s="16" t="n">
        <f aca="false">INDEX(Prozesse!$S$2:$S$125,MATCH(A346,Prozesse!$A$2:$A$125,0))</f>
        <v>1</v>
      </c>
    </row>
    <row r="347" customFormat="false" ht="15" hidden="false" customHeight="false" outlineLevel="0" collapsed="false">
      <c r="A347" s="16" t="n">
        <v>87</v>
      </c>
      <c r="B347" s="16" t="s">
        <v>262</v>
      </c>
      <c r="C347" s="16" t="s">
        <v>89</v>
      </c>
      <c r="D347" s="16" t="s">
        <v>339</v>
      </c>
      <c r="E347" s="16" t="s">
        <v>91</v>
      </c>
      <c r="F347" s="18"/>
      <c r="G347" s="18"/>
      <c r="H347" s="16"/>
      <c r="I347" s="16" t="n">
        <f aca="false">INDEX(Prozesse!$S$2:$S$125,MATCH(A347,Prozesse!$A$2:$A$125,0))</f>
        <v>1</v>
      </c>
    </row>
    <row r="348" customFormat="false" ht="15" hidden="false" customHeight="false" outlineLevel="0" collapsed="false">
      <c r="A348" s="16" t="n">
        <v>87</v>
      </c>
      <c r="B348" s="16" t="s">
        <v>262</v>
      </c>
      <c r="C348" s="16" t="s">
        <v>89</v>
      </c>
      <c r="D348" s="16" t="s">
        <v>340</v>
      </c>
      <c r="E348" s="16" t="s">
        <v>91</v>
      </c>
      <c r="F348" s="18"/>
      <c r="G348" s="18"/>
      <c r="H348" s="16"/>
      <c r="I348" s="16" t="n">
        <f aca="false">INDEX(Prozesse!$S$2:$S$125,MATCH(A348,Prozesse!$A$2:$A$125,0))</f>
        <v>1</v>
      </c>
    </row>
    <row r="349" customFormat="false" ht="15" hidden="false" customHeight="false" outlineLevel="0" collapsed="false">
      <c r="A349" s="16" t="n">
        <v>87</v>
      </c>
      <c r="B349" s="16" t="s">
        <v>262</v>
      </c>
      <c r="C349" s="16" t="s">
        <v>89</v>
      </c>
      <c r="D349" s="16" t="s">
        <v>341</v>
      </c>
      <c r="E349" s="16" t="s">
        <v>91</v>
      </c>
      <c r="F349" s="18"/>
      <c r="G349" s="18"/>
      <c r="H349" s="16"/>
      <c r="I349" s="16" t="n">
        <f aca="false">INDEX(Prozesse!$S$2:$S$125,MATCH(A349,Prozesse!$A$2:$A$125,0))</f>
        <v>1</v>
      </c>
    </row>
    <row r="350" customFormat="false" ht="15" hidden="false" customHeight="false" outlineLevel="0" collapsed="false">
      <c r="A350" s="16" t="n">
        <v>88</v>
      </c>
      <c r="B350" s="16" t="s">
        <v>264</v>
      </c>
      <c r="C350" s="16" t="s">
        <v>43</v>
      </c>
      <c r="D350" s="16" t="s">
        <v>34</v>
      </c>
      <c r="E350" s="16" t="s">
        <v>61</v>
      </c>
      <c r="F350" s="18" t="n">
        <v>46146</v>
      </c>
      <c r="G350" s="18" t="n">
        <v>46234</v>
      </c>
      <c r="H350" s="16" t="n">
        <v>44</v>
      </c>
      <c r="I350" s="16" t="n">
        <f aca="false">INDEX(Prozesse!$S$2:$S$125,MATCH(A350,Prozesse!$A$2:$A$125,0))</f>
        <v>1</v>
      </c>
    </row>
    <row r="351" customFormat="false" ht="15" hidden="false" customHeight="false" outlineLevel="0" collapsed="false">
      <c r="A351" s="16" t="n">
        <v>88</v>
      </c>
      <c r="B351" s="16" t="s">
        <v>264</v>
      </c>
      <c r="C351" s="16" t="s">
        <v>43</v>
      </c>
      <c r="D351" s="16" t="s">
        <v>339</v>
      </c>
      <c r="E351" s="16" t="s">
        <v>91</v>
      </c>
      <c r="F351" s="18"/>
      <c r="G351" s="18"/>
      <c r="H351" s="16"/>
      <c r="I351" s="16" t="n">
        <f aca="false">INDEX(Prozesse!$S$2:$S$125,MATCH(A351,Prozesse!$A$2:$A$125,0))</f>
        <v>1</v>
      </c>
    </row>
    <row r="352" customFormat="false" ht="15" hidden="false" customHeight="false" outlineLevel="0" collapsed="false">
      <c r="A352" s="16" t="n">
        <v>88</v>
      </c>
      <c r="B352" s="16" t="s">
        <v>264</v>
      </c>
      <c r="C352" s="16" t="s">
        <v>43</v>
      </c>
      <c r="D352" s="16" t="s">
        <v>340</v>
      </c>
      <c r="E352" s="16" t="s">
        <v>91</v>
      </c>
      <c r="F352" s="18"/>
      <c r="G352" s="18"/>
      <c r="H352" s="16"/>
      <c r="I352" s="16" t="n">
        <f aca="false">INDEX(Prozesse!$S$2:$S$125,MATCH(A352,Prozesse!$A$2:$A$125,0))</f>
        <v>1</v>
      </c>
    </row>
    <row r="353" customFormat="false" ht="15" hidden="false" customHeight="false" outlineLevel="0" collapsed="false">
      <c r="A353" s="16" t="n">
        <v>88</v>
      </c>
      <c r="B353" s="16" t="s">
        <v>264</v>
      </c>
      <c r="C353" s="16" t="s">
        <v>43</v>
      </c>
      <c r="D353" s="16" t="s">
        <v>341</v>
      </c>
      <c r="E353" s="16" t="s">
        <v>91</v>
      </c>
      <c r="F353" s="18"/>
      <c r="G353" s="18"/>
      <c r="H353" s="16"/>
      <c r="I353" s="16" t="n">
        <f aca="false">INDEX(Prozesse!$S$2:$S$125,MATCH(A353,Prozesse!$A$2:$A$125,0))</f>
        <v>1</v>
      </c>
    </row>
    <row r="354" customFormat="false" ht="15" hidden="false" customHeight="false" outlineLevel="0" collapsed="false">
      <c r="A354" s="16" t="n">
        <v>89</v>
      </c>
      <c r="B354" s="16" t="s">
        <v>81</v>
      </c>
      <c r="C354" s="16" t="s">
        <v>43</v>
      </c>
      <c r="D354" s="16" t="s">
        <v>34</v>
      </c>
      <c r="E354" s="16" t="s">
        <v>91</v>
      </c>
      <c r="F354" s="18"/>
      <c r="G354" s="18"/>
      <c r="H354" s="16"/>
      <c r="I354" s="16" t="n">
        <f aca="false">INDEX(Prozesse!$S$2:$S$125,MATCH(A354,Prozesse!$A$2:$A$125,0))</f>
        <v>1</v>
      </c>
    </row>
    <row r="355" customFormat="false" ht="15" hidden="false" customHeight="false" outlineLevel="0" collapsed="false">
      <c r="A355" s="16" t="n">
        <v>89</v>
      </c>
      <c r="B355" s="16" t="s">
        <v>81</v>
      </c>
      <c r="C355" s="16" t="s">
        <v>43</v>
      </c>
      <c r="D355" s="16" t="s">
        <v>339</v>
      </c>
      <c r="E355" s="16" t="s">
        <v>91</v>
      </c>
      <c r="F355" s="18"/>
      <c r="G355" s="18"/>
      <c r="H355" s="16"/>
      <c r="I355" s="16" t="n">
        <f aca="false">INDEX(Prozesse!$S$2:$S$125,MATCH(A355,Prozesse!$A$2:$A$125,0))</f>
        <v>1</v>
      </c>
    </row>
    <row r="356" customFormat="false" ht="15" hidden="false" customHeight="false" outlineLevel="0" collapsed="false">
      <c r="A356" s="16" t="n">
        <v>89</v>
      </c>
      <c r="B356" s="16" t="s">
        <v>81</v>
      </c>
      <c r="C356" s="16" t="s">
        <v>43</v>
      </c>
      <c r="D356" s="16" t="s">
        <v>340</v>
      </c>
      <c r="E356" s="16" t="s">
        <v>91</v>
      </c>
      <c r="F356" s="18"/>
      <c r="G356" s="18"/>
      <c r="H356" s="16"/>
      <c r="I356" s="16" t="n">
        <f aca="false">INDEX(Prozesse!$S$2:$S$125,MATCH(A356,Prozesse!$A$2:$A$125,0))</f>
        <v>1</v>
      </c>
    </row>
    <row r="357" customFormat="false" ht="15" hidden="false" customHeight="false" outlineLevel="0" collapsed="false">
      <c r="A357" s="16" t="n">
        <v>89</v>
      </c>
      <c r="B357" s="16" t="s">
        <v>81</v>
      </c>
      <c r="C357" s="16" t="s">
        <v>43</v>
      </c>
      <c r="D357" s="16" t="s">
        <v>341</v>
      </c>
      <c r="E357" s="16" t="s">
        <v>91</v>
      </c>
      <c r="F357" s="18"/>
      <c r="G357" s="18"/>
      <c r="H357" s="16"/>
      <c r="I357" s="16" t="n">
        <f aca="false">INDEX(Prozesse!$S$2:$S$125,MATCH(A357,Prozesse!$A$2:$A$125,0))</f>
        <v>1</v>
      </c>
    </row>
    <row r="358" customFormat="false" ht="15" hidden="false" customHeight="false" outlineLevel="0" collapsed="false">
      <c r="A358" s="16" t="n">
        <v>90</v>
      </c>
      <c r="B358" s="16" t="s">
        <v>267</v>
      </c>
      <c r="C358" s="16" t="s">
        <v>58</v>
      </c>
      <c r="D358" s="16" t="s">
        <v>34</v>
      </c>
      <c r="E358" s="16" t="s">
        <v>48</v>
      </c>
      <c r="F358" s="18" t="n">
        <v>45931</v>
      </c>
      <c r="G358" s="18" t="n">
        <v>45931</v>
      </c>
      <c r="H358" s="16" t="n">
        <v>1</v>
      </c>
      <c r="I358" s="16" t="n">
        <f aca="false">INDEX(Prozesse!$S$2:$S$125,MATCH(A358,Prozesse!$A$2:$A$125,0))</f>
        <v>1</v>
      </c>
    </row>
    <row r="359" customFormat="false" ht="15" hidden="false" customHeight="false" outlineLevel="0" collapsed="false">
      <c r="A359" s="16" t="n">
        <v>90</v>
      </c>
      <c r="B359" s="16" t="s">
        <v>267</v>
      </c>
      <c r="C359" s="16" t="s">
        <v>58</v>
      </c>
      <c r="D359" s="16" t="s">
        <v>339</v>
      </c>
      <c r="E359" s="16" t="s">
        <v>91</v>
      </c>
      <c r="F359" s="18"/>
      <c r="G359" s="18"/>
      <c r="H359" s="16"/>
      <c r="I359" s="16" t="n">
        <f aca="false">INDEX(Prozesse!$S$2:$S$125,MATCH(A359,Prozesse!$A$2:$A$125,0))</f>
        <v>1</v>
      </c>
    </row>
    <row r="360" customFormat="false" ht="15" hidden="false" customHeight="false" outlineLevel="0" collapsed="false">
      <c r="A360" s="16" t="n">
        <v>90</v>
      </c>
      <c r="B360" s="16" t="s">
        <v>267</v>
      </c>
      <c r="C360" s="16" t="s">
        <v>58</v>
      </c>
      <c r="D360" s="16" t="s">
        <v>340</v>
      </c>
      <c r="E360" s="16" t="s">
        <v>91</v>
      </c>
      <c r="F360" s="18"/>
      <c r="G360" s="18"/>
      <c r="H360" s="16"/>
      <c r="I360" s="16" t="n">
        <f aca="false">INDEX(Prozesse!$S$2:$S$125,MATCH(A360,Prozesse!$A$2:$A$125,0))</f>
        <v>1</v>
      </c>
    </row>
    <row r="361" customFormat="false" ht="15" hidden="false" customHeight="false" outlineLevel="0" collapsed="false">
      <c r="A361" s="16" t="n">
        <v>90</v>
      </c>
      <c r="B361" s="16" t="s">
        <v>267</v>
      </c>
      <c r="C361" s="16" t="s">
        <v>58</v>
      </c>
      <c r="D361" s="16" t="s">
        <v>341</v>
      </c>
      <c r="E361" s="16" t="s">
        <v>91</v>
      </c>
      <c r="F361" s="18"/>
      <c r="G361" s="18"/>
      <c r="H361" s="16"/>
      <c r="I361" s="16" t="n">
        <f aca="false">INDEX(Prozesse!$S$2:$S$125,MATCH(A361,Prozesse!$A$2:$A$125,0))</f>
        <v>1</v>
      </c>
    </row>
    <row r="362" customFormat="false" ht="15" hidden="false" customHeight="false" outlineLevel="0" collapsed="false">
      <c r="A362" s="16" t="n">
        <v>91</v>
      </c>
      <c r="B362" s="16" t="s">
        <v>269</v>
      </c>
      <c r="C362" s="16" t="s">
        <v>58</v>
      </c>
      <c r="D362" s="16" t="s">
        <v>34</v>
      </c>
      <c r="E362" s="16" t="s">
        <v>91</v>
      </c>
      <c r="F362" s="18"/>
      <c r="G362" s="18"/>
      <c r="H362" s="16"/>
      <c r="I362" s="16" t="n">
        <f aca="false">INDEX(Prozesse!$S$2:$S$125,MATCH(A362,Prozesse!$A$2:$A$125,0))</f>
        <v>1</v>
      </c>
    </row>
    <row r="363" customFormat="false" ht="15" hidden="false" customHeight="false" outlineLevel="0" collapsed="false">
      <c r="A363" s="16" t="n">
        <v>91</v>
      </c>
      <c r="B363" s="16" t="s">
        <v>269</v>
      </c>
      <c r="C363" s="16" t="s">
        <v>58</v>
      </c>
      <c r="D363" s="16" t="s">
        <v>339</v>
      </c>
      <c r="E363" s="16" t="s">
        <v>91</v>
      </c>
      <c r="F363" s="18"/>
      <c r="G363" s="18"/>
      <c r="H363" s="16"/>
      <c r="I363" s="16" t="n">
        <f aca="false">INDEX(Prozesse!$S$2:$S$125,MATCH(A363,Prozesse!$A$2:$A$125,0))</f>
        <v>1</v>
      </c>
    </row>
    <row r="364" customFormat="false" ht="15" hidden="false" customHeight="false" outlineLevel="0" collapsed="false">
      <c r="A364" s="16" t="n">
        <v>91</v>
      </c>
      <c r="B364" s="16" t="s">
        <v>269</v>
      </c>
      <c r="C364" s="16" t="s">
        <v>58</v>
      </c>
      <c r="D364" s="16" t="s">
        <v>340</v>
      </c>
      <c r="E364" s="16" t="s">
        <v>91</v>
      </c>
      <c r="F364" s="18"/>
      <c r="G364" s="18"/>
      <c r="H364" s="16"/>
      <c r="I364" s="16" t="n">
        <f aca="false">INDEX(Prozesse!$S$2:$S$125,MATCH(A364,Prozesse!$A$2:$A$125,0))</f>
        <v>1</v>
      </c>
    </row>
    <row r="365" customFormat="false" ht="15" hidden="false" customHeight="false" outlineLevel="0" collapsed="false">
      <c r="A365" s="16" t="n">
        <v>91</v>
      </c>
      <c r="B365" s="16" t="s">
        <v>269</v>
      </c>
      <c r="C365" s="16" t="s">
        <v>58</v>
      </c>
      <c r="D365" s="16" t="s">
        <v>341</v>
      </c>
      <c r="E365" s="16" t="s">
        <v>91</v>
      </c>
      <c r="F365" s="18"/>
      <c r="G365" s="18"/>
      <c r="H365" s="16"/>
      <c r="I365" s="16" t="n">
        <f aca="false">INDEX(Prozesse!$S$2:$S$125,MATCH(A365,Prozesse!$A$2:$A$125,0))</f>
        <v>1</v>
      </c>
    </row>
    <row r="366" customFormat="false" ht="15" hidden="false" customHeight="false" outlineLevel="0" collapsed="false">
      <c r="A366" s="16" t="n">
        <v>92</v>
      </c>
      <c r="B366" s="16" t="s">
        <v>271</v>
      </c>
      <c r="C366" s="16" t="s">
        <v>89</v>
      </c>
      <c r="D366" s="16" t="s">
        <v>34</v>
      </c>
      <c r="E366" s="16" t="s">
        <v>91</v>
      </c>
      <c r="F366" s="18"/>
      <c r="G366" s="18"/>
      <c r="H366" s="16"/>
      <c r="I366" s="16" t="n">
        <f aca="false">INDEX(Prozesse!$S$2:$S$125,MATCH(A366,Prozesse!$A$2:$A$125,0))</f>
        <v>1</v>
      </c>
    </row>
    <row r="367" customFormat="false" ht="15" hidden="false" customHeight="false" outlineLevel="0" collapsed="false">
      <c r="A367" s="16" t="n">
        <v>92</v>
      </c>
      <c r="B367" s="16" t="s">
        <v>271</v>
      </c>
      <c r="C367" s="16" t="s">
        <v>89</v>
      </c>
      <c r="D367" s="16" t="s">
        <v>339</v>
      </c>
      <c r="E367" s="16" t="s">
        <v>91</v>
      </c>
      <c r="F367" s="18"/>
      <c r="G367" s="18"/>
      <c r="H367" s="16"/>
      <c r="I367" s="16" t="n">
        <f aca="false">INDEX(Prozesse!$S$2:$S$125,MATCH(A367,Prozesse!$A$2:$A$125,0))</f>
        <v>1</v>
      </c>
    </row>
    <row r="368" customFormat="false" ht="15" hidden="false" customHeight="false" outlineLevel="0" collapsed="false">
      <c r="A368" s="16" t="n">
        <v>92</v>
      </c>
      <c r="B368" s="16" t="s">
        <v>271</v>
      </c>
      <c r="C368" s="16" t="s">
        <v>89</v>
      </c>
      <c r="D368" s="16" t="s">
        <v>340</v>
      </c>
      <c r="E368" s="16" t="s">
        <v>91</v>
      </c>
      <c r="F368" s="18"/>
      <c r="G368" s="18"/>
      <c r="H368" s="16"/>
      <c r="I368" s="16" t="n">
        <f aca="false">INDEX(Prozesse!$S$2:$S$125,MATCH(A368,Prozesse!$A$2:$A$125,0))</f>
        <v>1</v>
      </c>
    </row>
    <row r="369" customFormat="false" ht="15" hidden="false" customHeight="false" outlineLevel="0" collapsed="false">
      <c r="A369" s="16" t="n">
        <v>92</v>
      </c>
      <c r="B369" s="16" t="s">
        <v>271</v>
      </c>
      <c r="C369" s="16" t="s">
        <v>89</v>
      </c>
      <c r="D369" s="16" t="s">
        <v>341</v>
      </c>
      <c r="E369" s="16" t="s">
        <v>91</v>
      </c>
      <c r="F369" s="18"/>
      <c r="G369" s="18"/>
      <c r="H369" s="16"/>
      <c r="I369" s="16" t="n">
        <f aca="false">INDEX(Prozesse!$S$2:$S$125,MATCH(A369,Prozesse!$A$2:$A$125,0))</f>
        <v>1</v>
      </c>
    </row>
    <row r="370" customFormat="false" ht="15" hidden="false" customHeight="false" outlineLevel="0" collapsed="false">
      <c r="A370" s="16" t="n">
        <v>93</v>
      </c>
      <c r="B370" s="16" t="s">
        <v>273</v>
      </c>
      <c r="C370" s="16" t="s">
        <v>58</v>
      </c>
      <c r="D370" s="16" t="s">
        <v>34</v>
      </c>
      <c r="E370" s="16" t="s">
        <v>91</v>
      </c>
      <c r="F370" s="18"/>
      <c r="G370" s="18"/>
      <c r="H370" s="16"/>
      <c r="I370" s="16" t="n">
        <f aca="false">INDEX(Prozesse!$S$2:$S$125,MATCH(A370,Prozesse!$A$2:$A$125,0))</f>
        <v>1</v>
      </c>
    </row>
    <row r="371" customFormat="false" ht="15" hidden="false" customHeight="false" outlineLevel="0" collapsed="false">
      <c r="A371" s="16" t="n">
        <v>93</v>
      </c>
      <c r="B371" s="16" t="s">
        <v>273</v>
      </c>
      <c r="C371" s="16" t="s">
        <v>58</v>
      </c>
      <c r="D371" s="16" t="s">
        <v>339</v>
      </c>
      <c r="E371" s="16" t="s">
        <v>91</v>
      </c>
      <c r="F371" s="18"/>
      <c r="G371" s="18"/>
      <c r="H371" s="16"/>
      <c r="I371" s="16" t="n">
        <f aca="false">INDEX(Prozesse!$S$2:$S$125,MATCH(A371,Prozesse!$A$2:$A$125,0))</f>
        <v>1</v>
      </c>
    </row>
    <row r="372" customFormat="false" ht="15" hidden="false" customHeight="false" outlineLevel="0" collapsed="false">
      <c r="A372" s="16" t="n">
        <v>93</v>
      </c>
      <c r="B372" s="16" t="s">
        <v>273</v>
      </c>
      <c r="C372" s="16" t="s">
        <v>58</v>
      </c>
      <c r="D372" s="16" t="s">
        <v>340</v>
      </c>
      <c r="E372" s="16" t="s">
        <v>91</v>
      </c>
      <c r="F372" s="18"/>
      <c r="G372" s="18"/>
      <c r="H372" s="16"/>
      <c r="I372" s="16" t="n">
        <f aca="false">INDEX(Prozesse!$S$2:$S$125,MATCH(A372,Prozesse!$A$2:$A$125,0))</f>
        <v>1</v>
      </c>
    </row>
    <row r="373" customFormat="false" ht="15" hidden="false" customHeight="false" outlineLevel="0" collapsed="false">
      <c r="A373" s="16" t="n">
        <v>93</v>
      </c>
      <c r="B373" s="16" t="s">
        <v>273</v>
      </c>
      <c r="C373" s="16" t="s">
        <v>58</v>
      </c>
      <c r="D373" s="16" t="s">
        <v>341</v>
      </c>
      <c r="E373" s="16" t="s">
        <v>91</v>
      </c>
      <c r="F373" s="18"/>
      <c r="G373" s="18"/>
      <c r="H373" s="16"/>
      <c r="I373" s="16" t="n">
        <f aca="false">INDEX(Prozesse!$S$2:$S$125,MATCH(A373,Prozesse!$A$2:$A$125,0))</f>
        <v>1</v>
      </c>
    </row>
    <row r="374" customFormat="false" ht="15" hidden="false" customHeight="false" outlineLevel="0" collapsed="false">
      <c r="A374" s="16" t="n">
        <v>94</v>
      </c>
      <c r="B374" s="16" t="s">
        <v>275</v>
      </c>
      <c r="C374" s="16" t="s">
        <v>43</v>
      </c>
      <c r="D374" s="16" t="s">
        <v>34</v>
      </c>
      <c r="E374" s="16" t="s">
        <v>91</v>
      </c>
      <c r="F374" s="18"/>
      <c r="G374" s="18"/>
      <c r="H374" s="16"/>
      <c r="I374" s="16" t="n">
        <f aca="false">INDEX(Prozesse!$S$2:$S$125,MATCH(A374,Prozesse!$A$2:$A$125,0))</f>
        <v>1</v>
      </c>
    </row>
    <row r="375" customFormat="false" ht="15" hidden="false" customHeight="false" outlineLevel="0" collapsed="false">
      <c r="A375" s="16" t="n">
        <v>94</v>
      </c>
      <c r="B375" s="16" t="s">
        <v>275</v>
      </c>
      <c r="C375" s="16" t="s">
        <v>43</v>
      </c>
      <c r="D375" s="16" t="s">
        <v>339</v>
      </c>
      <c r="E375" s="16" t="s">
        <v>91</v>
      </c>
      <c r="F375" s="18"/>
      <c r="G375" s="18"/>
      <c r="H375" s="16"/>
      <c r="I375" s="16" t="n">
        <f aca="false">INDEX(Prozesse!$S$2:$S$125,MATCH(A375,Prozesse!$A$2:$A$125,0))</f>
        <v>1</v>
      </c>
    </row>
    <row r="376" customFormat="false" ht="15" hidden="false" customHeight="false" outlineLevel="0" collapsed="false">
      <c r="A376" s="16" t="n">
        <v>94</v>
      </c>
      <c r="B376" s="16" t="s">
        <v>275</v>
      </c>
      <c r="C376" s="16" t="s">
        <v>43</v>
      </c>
      <c r="D376" s="16" t="s">
        <v>340</v>
      </c>
      <c r="E376" s="16" t="s">
        <v>91</v>
      </c>
      <c r="F376" s="18"/>
      <c r="G376" s="18"/>
      <c r="H376" s="16"/>
      <c r="I376" s="16" t="n">
        <f aca="false">INDEX(Prozesse!$S$2:$S$125,MATCH(A376,Prozesse!$A$2:$A$125,0))</f>
        <v>1</v>
      </c>
    </row>
    <row r="377" customFormat="false" ht="15" hidden="false" customHeight="false" outlineLevel="0" collapsed="false">
      <c r="A377" s="16" t="n">
        <v>94</v>
      </c>
      <c r="B377" s="16" t="s">
        <v>275</v>
      </c>
      <c r="C377" s="16" t="s">
        <v>43</v>
      </c>
      <c r="D377" s="16" t="s">
        <v>341</v>
      </c>
      <c r="E377" s="16" t="s">
        <v>91</v>
      </c>
      <c r="F377" s="18"/>
      <c r="G377" s="18"/>
      <c r="H377" s="16"/>
      <c r="I377" s="16" t="n">
        <f aca="false">INDEX(Prozesse!$S$2:$S$125,MATCH(A377,Prozesse!$A$2:$A$125,0))</f>
        <v>1</v>
      </c>
    </row>
    <row r="378" customFormat="false" ht="15" hidden="false" customHeight="false" outlineLevel="0" collapsed="false">
      <c r="A378" s="16" t="n">
        <v>95</v>
      </c>
      <c r="B378" s="16" t="s">
        <v>277</v>
      </c>
      <c r="C378" s="16" t="s">
        <v>43</v>
      </c>
      <c r="D378" s="16" t="s">
        <v>34</v>
      </c>
      <c r="E378" s="16" t="s">
        <v>91</v>
      </c>
      <c r="F378" s="18"/>
      <c r="G378" s="18"/>
      <c r="H378" s="16"/>
      <c r="I378" s="16" t="n">
        <f aca="false">INDEX(Prozesse!$S$2:$S$125,MATCH(A378,Prozesse!$A$2:$A$125,0))</f>
        <v>1</v>
      </c>
    </row>
    <row r="379" customFormat="false" ht="15" hidden="false" customHeight="false" outlineLevel="0" collapsed="false">
      <c r="A379" s="16" t="n">
        <v>95</v>
      </c>
      <c r="B379" s="16" t="s">
        <v>277</v>
      </c>
      <c r="C379" s="16" t="s">
        <v>43</v>
      </c>
      <c r="D379" s="16" t="s">
        <v>339</v>
      </c>
      <c r="E379" s="16" t="s">
        <v>91</v>
      </c>
      <c r="F379" s="18"/>
      <c r="G379" s="18"/>
      <c r="H379" s="16"/>
      <c r="I379" s="16" t="n">
        <f aca="false">INDEX(Prozesse!$S$2:$S$125,MATCH(A379,Prozesse!$A$2:$A$125,0))</f>
        <v>1</v>
      </c>
    </row>
    <row r="380" customFormat="false" ht="15" hidden="false" customHeight="false" outlineLevel="0" collapsed="false">
      <c r="A380" s="16" t="n">
        <v>95</v>
      </c>
      <c r="B380" s="16" t="s">
        <v>277</v>
      </c>
      <c r="C380" s="16" t="s">
        <v>43</v>
      </c>
      <c r="D380" s="16" t="s">
        <v>340</v>
      </c>
      <c r="E380" s="16" t="s">
        <v>91</v>
      </c>
      <c r="F380" s="18"/>
      <c r="G380" s="18"/>
      <c r="H380" s="16"/>
      <c r="I380" s="16" t="n">
        <f aca="false">INDEX(Prozesse!$S$2:$S$125,MATCH(A380,Prozesse!$A$2:$A$125,0))</f>
        <v>1</v>
      </c>
    </row>
    <row r="381" customFormat="false" ht="15" hidden="false" customHeight="false" outlineLevel="0" collapsed="false">
      <c r="A381" s="16" t="n">
        <v>95</v>
      </c>
      <c r="B381" s="16" t="s">
        <v>277</v>
      </c>
      <c r="C381" s="16" t="s">
        <v>43</v>
      </c>
      <c r="D381" s="16" t="s">
        <v>341</v>
      </c>
      <c r="E381" s="16" t="s">
        <v>91</v>
      </c>
      <c r="F381" s="18"/>
      <c r="G381" s="18"/>
      <c r="H381" s="16"/>
      <c r="I381" s="16" t="n">
        <f aca="false">INDEX(Prozesse!$S$2:$S$125,MATCH(A381,Prozesse!$A$2:$A$125,0))</f>
        <v>1</v>
      </c>
    </row>
    <row r="382" customFormat="false" ht="15" hidden="false" customHeight="false" outlineLevel="0" collapsed="false">
      <c r="A382" s="16" t="n">
        <v>96</v>
      </c>
      <c r="B382" s="16" t="s">
        <v>279</v>
      </c>
      <c r="C382" s="16" t="s">
        <v>43</v>
      </c>
      <c r="D382" s="16" t="s">
        <v>34</v>
      </c>
      <c r="E382" s="16" t="s">
        <v>91</v>
      </c>
      <c r="F382" s="18"/>
      <c r="G382" s="18"/>
      <c r="H382" s="16"/>
      <c r="I382" s="16" t="n">
        <f aca="false">INDEX(Prozesse!$S$2:$S$125,MATCH(A382,Prozesse!$A$2:$A$125,0))</f>
        <v>1</v>
      </c>
    </row>
    <row r="383" customFormat="false" ht="15" hidden="false" customHeight="false" outlineLevel="0" collapsed="false">
      <c r="A383" s="16" t="n">
        <v>96</v>
      </c>
      <c r="B383" s="16" t="s">
        <v>279</v>
      </c>
      <c r="C383" s="16" t="s">
        <v>43</v>
      </c>
      <c r="D383" s="16" t="s">
        <v>339</v>
      </c>
      <c r="E383" s="16" t="s">
        <v>91</v>
      </c>
      <c r="F383" s="18"/>
      <c r="G383" s="18"/>
      <c r="H383" s="16"/>
      <c r="I383" s="16" t="n">
        <f aca="false">INDEX(Prozesse!$S$2:$S$125,MATCH(A383,Prozesse!$A$2:$A$125,0))</f>
        <v>1</v>
      </c>
    </row>
    <row r="384" customFormat="false" ht="15" hidden="false" customHeight="false" outlineLevel="0" collapsed="false">
      <c r="A384" s="16" t="n">
        <v>96</v>
      </c>
      <c r="B384" s="16" t="s">
        <v>279</v>
      </c>
      <c r="C384" s="16" t="s">
        <v>43</v>
      </c>
      <c r="D384" s="16" t="s">
        <v>340</v>
      </c>
      <c r="E384" s="16" t="s">
        <v>91</v>
      </c>
      <c r="F384" s="18"/>
      <c r="G384" s="18"/>
      <c r="H384" s="16"/>
      <c r="I384" s="16" t="n">
        <f aca="false">INDEX(Prozesse!$S$2:$S$125,MATCH(A384,Prozesse!$A$2:$A$125,0))</f>
        <v>1</v>
      </c>
    </row>
    <row r="385" customFormat="false" ht="15" hidden="false" customHeight="false" outlineLevel="0" collapsed="false">
      <c r="A385" s="16" t="n">
        <v>96</v>
      </c>
      <c r="B385" s="16" t="s">
        <v>279</v>
      </c>
      <c r="C385" s="16" t="s">
        <v>43</v>
      </c>
      <c r="D385" s="16" t="s">
        <v>341</v>
      </c>
      <c r="E385" s="16" t="s">
        <v>91</v>
      </c>
      <c r="F385" s="18"/>
      <c r="G385" s="18"/>
      <c r="H385" s="16"/>
      <c r="I385" s="16" t="n">
        <f aca="false">INDEX(Prozesse!$S$2:$S$125,MATCH(A385,Prozesse!$A$2:$A$125,0))</f>
        <v>1</v>
      </c>
    </row>
    <row r="386" customFormat="false" ht="15" hidden="false" customHeight="false" outlineLevel="0" collapsed="false">
      <c r="A386" s="16" t="n">
        <v>97</v>
      </c>
      <c r="B386" s="16" t="s">
        <v>282</v>
      </c>
      <c r="C386" s="16" t="s">
        <v>43</v>
      </c>
      <c r="D386" s="16" t="s">
        <v>34</v>
      </c>
      <c r="E386" s="16" t="s">
        <v>91</v>
      </c>
      <c r="F386" s="18"/>
      <c r="G386" s="18"/>
      <c r="H386" s="16"/>
      <c r="I386" s="16" t="n">
        <f aca="false">INDEX(Prozesse!$S$2:$S$125,MATCH(A386,Prozesse!$A$2:$A$125,0))</f>
        <v>1</v>
      </c>
    </row>
    <row r="387" customFormat="false" ht="15" hidden="false" customHeight="false" outlineLevel="0" collapsed="false">
      <c r="A387" s="16" t="n">
        <v>97</v>
      </c>
      <c r="B387" s="16" t="s">
        <v>282</v>
      </c>
      <c r="C387" s="16" t="s">
        <v>43</v>
      </c>
      <c r="D387" s="16" t="s">
        <v>339</v>
      </c>
      <c r="E387" s="16" t="s">
        <v>91</v>
      </c>
      <c r="F387" s="18"/>
      <c r="G387" s="18"/>
      <c r="H387" s="16"/>
      <c r="I387" s="16" t="n">
        <f aca="false">INDEX(Prozesse!$S$2:$S$125,MATCH(A387,Prozesse!$A$2:$A$125,0))</f>
        <v>1</v>
      </c>
    </row>
    <row r="388" customFormat="false" ht="15" hidden="false" customHeight="false" outlineLevel="0" collapsed="false">
      <c r="A388" s="16" t="n">
        <v>97</v>
      </c>
      <c r="B388" s="16" t="s">
        <v>282</v>
      </c>
      <c r="C388" s="16" t="s">
        <v>43</v>
      </c>
      <c r="D388" s="16" t="s">
        <v>340</v>
      </c>
      <c r="E388" s="16" t="s">
        <v>91</v>
      </c>
      <c r="F388" s="18"/>
      <c r="G388" s="18"/>
      <c r="H388" s="16"/>
      <c r="I388" s="16" t="n">
        <f aca="false">INDEX(Prozesse!$S$2:$S$125,MATCH(A388,Prozesse!$A$2:$A$125,0))</f>
        <v>1</v>
      </c>
    </row>
    <row r="389" customFormat="false" ht="15" hidden="false" customHeight="false" outlineLevel="0" collapsed="false">
      <c r="A389" s="16" t="n">
        <v>97</v>
      </c>
      <c r="B389" s="16" t="s">
        <v>282</v>
      </c>
      <c r="C389" s="16" t="s">
        <v>43</v>
      </c>
      <c r="D389" s="16" t="s">
        <v>341</v>
      </c>
      <c r="E389" s="16" t="s">
        <v>91</v>
      </c>
      <c r="F389" s="18"/>
      <c r="G389" s="18"/>
      <c r="H389" s="16"/>
      <c r="I389" s="16" t="n">
        <f aca="false">INDEX(Prozesse!$S$2:$S$125,MATCH(A389,Prozesse!$A$2:$A$125,0))</f>
        <v>1</v>
      </c>
    </row>
    <row r="390" customFormat="false" ht="15" hidden="false" customHeight="false" outlineLevel="0" collapsed="false">
      <c r="A390" s="16" t="n">
        <v>98</v>
      </c>
      <c r="B390" s="16" t="s">
        <v>284</v>
      </c>
      <c r="C390" s="16" t="s">
        <v>43</v>
      </c>
      <c r="D390" s="16" t="s">
        <v>34</v>
      </c>
      <c r="E390" s="16" t="s">
        <v>91</v>
      </c>
      <c r="F390" s="18"/>
      <c r="G390" s="18"/>
      <c r="H390" s="16"/>
      <c r="I390" s="16" t="n">
        <f aca="false">INDEX(Prozesse!$S$2:$S$125,MATCH(A390,Prozesse!$A$2:$A$125,0))</f>
        <v>1</v>
      </c>
    </row>
    <row r="391" customFormat="false" ht="15" hidden="false" customHeight="false" outlineLevel="0" collapsed="false">
      <c r="A391" s="16" t="n">
        <v>98</v>
      </c>
      <c r="B391" s="16" t="s">
        <v>284</v>
      </c>
      <c r="C391" s="16" t="s">
        <v>43</v>
      </c>
      <c r="D391" s="16" t="s">
        <v>339</v>
      </c>
      <c r="E391" s="16" t="s">
        <v>91</v>
      </c>
      <c r="F391" s="18"/>
      <c r="G391" s="18"/>
      <c r="H391" s="16"/>
      <c r="I391" s="16" t="n">
        <f aca="false">INDEX(Prozesse!$S$2:$S$125,MATCH(A391,Prozesse!$A$2:$A$125,0))</f>
        <v>1</v>
      </c>
    </row>
    <row r="392" customFormat="false" ht="15" hidden="false" customHeight="false" outlineLevel="0" collapsed="false">
      <c r="A392" s="16" t="n">
        <v>98</v>
      </c>
      <c r="B392" s="16" t="s">
        <v>284</v>
      </c>
      <c r="C392" s="16" t="s">
        <v>43</v>
      </c>
      <c r="D392" s="16" t="s">
        <v>340</v>
      </c>
      <c r="E392" s="16" t="s">
        <v>91</v>
      </c>
      <c r="F392" s="18"/>
      <c r="G392" s="18"/>
      <c r="H392" s="16"/>
      <c r="I392" s="16" t="n">
        <f aca="false">INDEX(Prozesse!$S$2:$S$125,MATCH(A392,Prozesse!$A$2:$A$125,0))</f>
        <v>1</v>
      </c>
    </row>
    <row r="393" customFormat="false" ht="15" hidden="false" customHeight="false" outlineLevel="0" collapsed="false">
      <c r="A393" s="16" t="n">
        <v>98</v>
      </c>
      <c r="B393" s="16" t="s">
        <v>284</v>
      </c>
      <c r="C393" s="16" t="s">
        <v>43</v>
      </c>
      <c r="D393" s="16" t="s">
        <v>341</v>
      </c>
      <c r="E393" s="16" t="s">
        <v>91</v>
      </c>
      <c r="F393" s="18"/>
      <c r="G393" s="18"/>
      <c r="H393" s="16"/>
      <c r="I393" s="16" t="n">
        <f aca="false">INDEX(Prozesse!$S$2:$S$125,MATCH(A393,Prozesse!$A$2:$A$125,0))</f>
        <v>1</v>
      </c>
    </row>
    <row r="394" customFormat="false" ht="15" hidden="false" customHeight="false" outlineLevel="0" collapsed="false">
      <c r="A394" s="16" t="n">
        <v>99</v>
      </c>
      <c r="B394" s="16" t="s">
        <v>286</v>
      </c>
      <c r="C394" s="16" t="s">
        <v>43</v>
      </c>
      <c r="D394" s="16" t="s">
        <v>34</v>
      </c>
      <c r="E394" s="16" t="s">
        <v>91</v>
      </c>
      <c r="F394" s="18"/>
      <c r="G394" s="18"/>
      <c r="H394" s="16"/>
      <c r="I394" s="16" t="n">
        <f aca="false">INDEX(Prozesse!$S$2:$S$125,MATCH(A394,Prozesse!$A$2:$A$125,0))</f>
        <v>1</v>
      </c>
    </row>
    <row r="395" customFormat="false" ht="15" hidden="false" customHeight="false" outlineLevel="0" collapsed="false">
      <c r="A395" s="16" t="n">
        <v>99</v>
      </c>
      <c r="B395" s="16" t="s">
        <v>286</v>
      </c>
      <c r="C395" s="16" t="s">
        <v>43</v>
      </c>
      <c r="D395" s="16" t="s">
        <v>339</v>
      </c>
      <c r="E395" s="16" t="s">
        <v>91</v>
      </c>
      <c r="F395" s="18"/>
      <c r="G395" s="18"/>
      <c r="H395" s="16"/>
      <c r="I395" s="16" t="n">
        <f aca="false">INDEX(Prozesse!$S$2:$S$125,MATCH(A395,Prozesse!$A$2:$A$125,0))</f>
        <v>1</v>
      </c>
    </row>
    <row r="396" customFormat="false" ht="15" hidden="false" customHeight="false" outlineLevel="0" collapsed="false">
      <c r="A396" s="16" t="n">
        <v>99</v>
      </c>
      <c r="B396" s="16" t="s">
        <v>286</v>
      </c>
      <c r="C396" s="16" t="s">
        <v>43</v>
      </c>
      <c r="D396" s="16" t="s">
        <v>340</v>
      </c>
      <c r="E396" s="16" t="s">
        <v>91</v>
      </c>
      <c r="F396" s="18"/>
      <c r="G396" s="18"/>
      <c r="H396" s="16"/>
      <c r="I396" s="16" t="n">
        <f aca="false">INDEX(Prozesse!$S$2:$S$125,MATCH(A396,Prozesse!$A$2:$A$125,0))</f>
        <v>1</v>
      </c>
    </row>
    <row r="397" customFormat="false" ht="15" hidden="false" customHeight="false" outlineLevel="0" collapsed="false">
      <c r="A397" s="16" t="n">
        <v>99</v>
      </c>
      <c r="B397" s="16" t="s">
        <v>286</v>
      </c>
      <c r="C397" s="16" t="s">
        <v>43</v>
      </c>
      <c r="D397" s="16" t="s">
        <v>341</v>
      </c>
      <c r="E397" s="16" t="s">
        <v>91</v>
      </c>
      <c r="F397" s="18"/>
      <c r="G397" s="18"/>
      <c r="H397" s="16"/>
      <c r="I397" s="16" t="n">
        <f aca="false">INDEX(Prozesse!$S$2:$S$125,MATCH(A397,Prozesse!$A$2:$A$125,0))</f>
        <v>1</v>
      </c>
    </row>
    <row r="398" customFormat="false" ht="15" hidden="false" customHeight="false" outlineLevel="0" collapsed="false">
      <c r="A398" s="16" t="n">
        <v>100</v>
      </c>
      <c r="B398" s="16" t="s">
        <v>288</v>
      </c>
      <c r="C398" s="16" t="s">
        <v>43</v>
      </c>
      <c r="D398" s="16" t="s">
        <v>34</v>
      </c>
      <c r="E398" s="16" t="s">
        <v>91</v>
      </c>
      <c r="F398" s="18"/>
      <c r="G398" s="18"/>
      <c r="H398" s="16"/>
      <c r="I398" s="16" t="n">
        <f aca="false">INDEX(Prozesse!$S$2:$S$125,MATCH(A398,Prozesse!$A$2:$A$125,0))</f>
        <v>1</v>
      </c>
    </row>
    <row r="399" customFormat="false" ht="15" hidden="false" customHeight="false" outlineLevel="0" collapsed="false">
      <c r="A399" s="16" t="n">
        <v>100</v>
      </c>
      <c r="B399" s="16" t="s">
        <v>288</v>
      </c>
      <c r="C399" s="16" t="s">
        <v>43</v>
      </c>
      <c r="D399" s="16" t="s">
        <v>339</v>
      </c>
      <c r="E399" s="16" t="s">
        <v>91</v>
      </c>
      <c r="F399" s="18"/>
      <c r="G399" s="18"/>
      <c r="H399" s="16"/>
      <c r="I399" s="16" t="n">
        <f aca="false">INDEX(Prozesse!$S$2:$S$125,MATCH(A399,Prozesse!$A$2:$A$125,0))</f>
        <v>1</v>
      </c>
    </row>
    <row r="400" customFormat="false" ht="15" hidden="false" customHeight="false" outlineLevel="0" collapsed="false">
      <c r="A400" s="16" t="n">
        <v>100</v>
      </c>
      <c r="B400" s="16" t="s">
        <v>288</v>
      </c>
      <c r="C400" s="16" t="s">
        <v>43</v>
      </c>
      <c r="D400" s="16" t="s">
        <v>340</v>
      </c>
      <c r="E400" s="16" t="s">
        <v>91</v>
      </c>
      <c r="F400" s="18"/>
      <c r="G400" s="18"/>
      <c r="H400" s="16"/>
      <c r="I400" s="16" t="n">
        <f aca="false">INDEX(Prozesse!$S$2:$S$125,MATCH(A400,Prozesse!$A$2:$A$125,0))</f>
        <v>1</v>
      </c>
    </row>
    <row r="401" customFormat="false" ht="15" hidden="false" customHeight="false" outlineLevel="0" collapsed="false">
      <c r="A401" s="16" t="n">
        <v>100</v>
      </c>
      <c r="B401" s="16" t="s">
        <v>288</v>
      </c>
      <c r="C401" s="16" t="s">
        <v>43</v>
      </c>
      <c r="D401" s="16" t="s">
        <v>341</v>
      </c>
      <c r="E401" s="16" t="s">
        <v>91</v>
      </c>
      <c r="F401" s="18"/>
      <c r="G401" s="18"/>
      <c r="H401" s="16"/>
      <c r="I401" s="16" t="n">
        <f aca="false">INDEX(Prozesse!$S$2:$S$125,MATCH(A401,Prozesse!$A$2:$A$125,0))</f>
        <v>1</v>
      </c>
    </row>
    <row r="402" customFormat="false" ht="15" hidden="false" customHeight="false" outlineLevel="0" collapsed="false">
      <c r="A402" s="16" t="n">
        <v>101</v>
      </c>
      <c r="B402" s="16" t="s">
        <v>290</v>
      </c>
      <c r="C402" s="16" t="s">
        <v>89</v>
      </c>
      <c r="D402" s="16" t="s">
        <v>34</v>
      </c>
      <c r="E402" s="16" t="s">
        <v>91</v>
      </c>
      <c r="F402" s="18"/>
      <c r="G402" s="18"/>
      <c r="H402" s="16"/>
      <c r="I402" s="16" t="n">
        <f aca="false">INDEX(Prozesse!$S$2:$S$125,MATCH(A402,Prozesse!$A$2:$A$125,0))</f>
        <v>1</v>
      </c>
    </row>
    <row r="403" customFormat="false" ht="15" hidden="false" customHeight="false" outlineLevel="0" collapsed="false">
      <c r="A403" s="16" t="n">
        <v>101</v>
      </c>
      <c r="B403" s="16" t="s">
        <v>290</v>
      </c>
      <c r="C403" s="16" t="s">
        <v>89</v>
      </c>
      <c r="D403" s="16" t="s">
        <v>339</v>
      </c>
      <c r="E403" s="16" t="s">
        <v>91</v>
      </c>
      <c r="F403" s="18"/>
      <c r="G403" s="18"/>
      <c r="H403" s="16"/>
      <c r="I403" s="16" t="n">
        <f aca="false">INDEX(Prozesse!$S$2:$S$125,MATCH(A403,Prozesse!$A$2:$A$125,0))</f>
        <v>1</v>
      </c>
    </row>
    <row r="404" customFormat="false" ht="15" hidden="false" customHeight="false" outlineLevel="0" collapsed="false">
      <c r="A404" s="16" t="n">
        <v>101</v>
      </c>
      <c r="B404" s="16" t="s">
        <v>290</v>
      </c>
      <c r="C404" s="16" t="s">
        <v>89</v>
      </c>
      <c r="D404" s="16" t="s">
        <v>340</v>
      </c>
      <c r="E404" s="16" t="s">
        <v>91</v>
      </c>
      <c r="F404" s="18"/>
      <c r="G404" s="18"/>
      <c r="H404" s="16"/>
      <c r="I404" s="16" t="n">
        <f aca="false">INDEX(Prozesse!$S$2:$S$125,MATCH(A404,Prozesse!$A$2:$A$125,0))</f>
        <v>1</v>
      </c>
    </row>
    <row r="405" customFormat="false" ht="15" hidden="false" customHeight="false" outlineLevel="0" collapsed="false">
      <c r="A405" s="16" t="n">
        <v>101</v>
      </c>
      <c r="B405" s="16" t="s">
        <v>290</v>
      </c>
      <c r="C405" s="16" t="s">
        <v>89</v>
      </c>
      <c r="D405" s="16" t="s">
        <v>341</v>
      </c>
      <c r="E405" s="16" t="s">
        <v>91</v>
      </c>
      <c r="F405" s="18"/>
      <c r="G405" s="18"/>
      <c r="H405" s="16"/>
      <c r="I405" s="16" t="n">
        <f aca="false">INDEX(Prozesse!$S$2:$S$125,MATCH(A405,Prozesse!$A$2:$A$125,0))</f>
        <v>1</v>
      </c>
    </row>
    <row r="406" customFormat="false" ht="15" hidden="false" customHeight="false" outlineLevel="0" collapsed="false">
      <c r="A406" s="16" t="n">
        <v>102</v>
      </c>
      <c r="B406" s="16" t="s">
        <v>292</v>
      </c>
      <c r="C406" s="16" t="s">
        <v>89</v>
      </c>
      <c r="D406" s="16" t="s">
        <v>34</v>
      </c>
      <c r="E406" s="16" t="s">
        <v>91</v>
      </c>
      <c r="F406" s="18"/>
      <c r="G406" s="18"/>
      <c r="H406" s="16"/>
      <c r="I406" s="16" t="n">
        <f aca="false">INDEX(Prozesse!$S$2:$S$125,MATCH(A406,Prozesse!$A$2:$A$125,0))</f>
        <v>1</v>
      </c>
    </row>
    <row r="407" customFormat="false" ht="15" hidden="false" customHeight="false" outlineLevel="0" collapsed="false">
      <c r="A407" s="16" t="n">
        <v>102</v>
      </c>
      <c r="B407" s="16" t="s">
        <v>292</v>
      </c>
      <c r="C407" s="16" t="s">
        <v>89</v>
      </c>
      <c r="D407" s="16" t="s">
        <v>339</v>
      </c>
      <c r="E407" s="16" t="s">
        <v>91</v>
      </c>
      <c r="F407" s="18"/>
      <c r="G407" s="18"/>
      <c r="H407" s="16"/>
      <c r="I407" s="16" t="n">
        <f aca="false">INDEX(Prozesse!$S$2:$S$125,MATCH(A407,Prozesse!$A$2:$A$125,0))</f>
        <v>1</v>
      </c>
    </row>
    <row r="408" customFormat="false" ht="15" hidden="false" customHeight="false" outlineLevel="0" collapsed="false">
      <c r="A408" s="16" t="n">
        <v>102</v>
      </c>
      <c r="B408" s="16" t="s">
        <v>292</v>
      </c>
      <c r="C408" s="16" t="s">
        <v>89</v>
      </c>
      <c r="D408" s="16" t="s">
        <v>340</v>
      </c>
      <c r="E408" s="16" t="s">
        <v>91</v>
      </c>
      <c r="F408" s="18"/>
      <c r="G408" s="18"/>
      <c r="H408" s="16"/>
      <c r="I408" s="16" t="n">
        <f aca="false">INDEX(Prozesse!$S$2:$S$125,MATCH(A408,Prozesse!$A$2:$A$125,0))</f>
        <v>1</v>
      </c>
    </row>
    <row r="409" customFormat="false" ht="15" hidden="false" customHeight="false" outlineLevel="0" collapsed="false">
      <c r="A409" s="16" t="n">
        <v>102</v>
      </c>
      <c r="B409" s="16" t="s">
        <v>292</v>
      </c>
      <c r="C409" s="16" t="s">
        <v>89</v>
      </c>
      <c r="D409" s="16" t="s">
        <v>341</v>
      </c>
      <c r="E409" s="16" t="s">
        <v>91</v>
      </c>
      <c r="F409" s="18"/>
      <c r="G409" s="18"/>
      <c r="H409" s="16"/>
      <c r="I409" s="16" t="n">
        <f aca="false">INDEX(Prozesse!$S$2:$S$125,MATCH(A409,Prozesse!$A$2:$A$125,0))</f>
        <v>1</v>
      </c>
    </row>
    <row r="410" customFormat="false" ht="15" hidden="false" customHeight="false" outlineLevel="0" collapsed="false">
      <c r="A410" s="16" t="n">
        <v>103</v>
      </c>
      <c r="B410" s="16" t="s">
        <v>294</v>
      </c>
      <c r="C410" s="16" t="s">
        <v>43</v>
      </c>
      <c r="D410" s="16" t="s">
        <v>34</v>
      </c>
      <c r="E410" s="16" t="s">
        <v>91</v>
      </c>
      <c r="F410" s="18"/>
      <c r="G410" s="18"/>
      <c r="H410" s="16"/>
      <c r="I410" s="16" t="n">
        <f aca="false">INDEX(Prozesse!$S$2:$S$125,MATCH(A410,Prozesse!$A$2:$A$125,0))</f>
        <v>1</v>
      </c>
    </row>
    <row r="411" customFormat="false" ht="15" hidden="false" customHeight="false" outlineLevel="0" collapsed="false">
      <c r="A411" s="16" t="n">
        <v>103</v>
      </c>
      <c r="B411" s="16" t="s">
        <v>294</v>
      </c>
      <c r="C411" s="16" t="s">
        <v>43</v>
      </c>
      <c r="D411" s="16" t="s">
        <v>339</v>
      </c>
      <c r="E411" s="16" t="s">
        <v>91</v>
      </c>
      <c r="F411" s="18"/>
      <c r="G411" s="18"/>
      <c r="H411" s="16"/>
      <c r="I411" s="16" t="n">
        <f aca="false">INDEX(Prozesse!$S$2:$S$125,MATCH(A411,Prozesse!$A$2:$A$125,0))</f>
        <v>1</v>
      </c>
    </row>
    <row r="412" customFormat="false" ht="15" hidden="false" customHeight="false" outlineLevel="0" collapsed="false">
      <c r="A412" s="16" t="n">
        <v>103</v>
      </c>
      <c r="B412" s="16" t="s">
        <v>294</v>
      </c>
      <c r="C412" s="16" t="s">
        <v>43</v>
      </c>
      <c r="D412" s="16" t="s">
        <v>340</v>
      </c>
      <c r="E412" s="16" t="s">
        <v>91</v>
      </c>
      <c r="F412" s="18"/>
      <c r="G412" s="18"/>
      <c r="H412" s="16"/>
      <c r="I412" s="16" t="n">
        <f aca="false">INDEX(Prozesse!$S$2:$S$125,MATCH(A412,Prozesse!$A$2:$A$125,0))</f>
        <v>1</v>
      </c>
    </row>
    <row r="413" customFormat="false" ht="15" hidden="false" customHeight="false" outlineLevel="0" collapsed="false">
      <c r="A413" s="16" t="n">
        <v>103</v>
      </c>
      <c r="B413" s="16" t="s">
        <v>294</v>
      </c>
      <c r="C413" s="16" t="s">
        <v>43</v>
      </c>
      <c r="D413" s="16" t="s">
        <v>341</v>
      </c>
      <c r="E413" s="16" t="s">
        <v>91</v>
      </c>
      <c r="F413" s="18"/>
      <c r="G413" s="18"/>
      <c r="H413" s="16"/>
      <c r="I413" s="16" t="n">
        <f aca="false">INDEX(Prozesse!$S$2:$S$125,MATCH(A413,Prozesse!$A$2:$A$125,0))</f>
        <v>1</v>
      </c>
    </row>
    <row r="414" customFormat="false" ht="15" hidden="false" customHeight="false" outlineLevel="0" collapsed="false">
      <c r="A414" s="16" t="n">
        <v>104</v>
      </c>
      <c r="B414" s="16" t="s">
        <v>296</v>
      </c>
      <c r="C414" s="16" t="s">
        <v>43</v>
      </c>
      <c r="D414" s="16" t="s">
        <v>34</v>
      </c>
      <c r="E414" s="16" t="s">
        <v>91</v>
      </c>
      <c r="F414" s="18"/>
      <c r="G414" s="18"/>
      <c r="H414" s="16"/>
      <c r="I414" s="16" t="n">
        <f aca="false">INDEX(Prozesse!$S$2:$S$125,MATCH(A414,Prozesse!$A$2:$A$125,0))</f>
        <v>1</v>
      </c>
    </row>
    <row r="415" customFormat="false" ht="15" hidden="false" customHeight="false" outlineLevel="0" collapsed="false">
      <c r="A415" s="16" t="n">
        <v>104</v>
      </c>
      <c r="B415" s="16" t="s">
        <v>296</v>
      </c>
      <c r="C415" s="16" t="s">
        <v>43</v>
      </c>
      <c r="D415" s="16" t="s">
        <v>339</v>
      </c>
      <c r="E415" s="16" t="s">
        <v>91</v>
      </c>
      <c r="F415" s="18"/>
      <c r="G415" s="18"/>
      <c r="H415" s="16"/>
      <c r="I415" s="16" t="n">
        <f aca="false">INDEX(Prozesse!$S$2:$S$125,MATCH(A415,Prozesse!$A$2:$A$125,0))</f>
        <v>1</v>
      </c>
    </row>
    <row r="416" customFormat="false" ht="15" hidden="false" customHeight="false" outlineLevel="0" collapsed="false">
      <c r="A416" s="16" t="n">
        <v>104</v>
      </c>
      <c r="B416" s="16" t="s">
        <v>296</v>
      </c>
      <c r="C416" s="16" t="s">
        <v>43</v>
      </c>
      <c r="D416" s="16" t="s">
        <v>340</v>
      </c>
      <c r="E416" s="16" t="s">
        <v>91</v>
      </c>
      <c r="F416" s="18"/>
      <c r="G416" s="18"/>
      <c r="H416" s="16"/>
      <c r="I416" s="16" t="n">
        <f aca="false">INDEX(Prozesse!$S$2:$S$125,MATCH(A416,Prozesse!$A$2:$A$125,0))</f>
        <v>1</v>
      </c>
    </row>
    <row r="417" customFormat="false" ht="15" hidden="false" customHeight="false" outlineLevel="0" collapsed="false">
      <c r="A417" s="16" t="n">
        <v>104</v>
      </c>
      <c r="B417" s="16" t="s">
        <v>296</v>
      </c>
      <c r="C417" s="16" t="s">
        <v>43</v>
      </c>
      <c r="D417" s="16" t="s">
        <v>341</v>
      </c>
      <c r="E417" s="16" t="s">
        <v>91</v>
      </c>
      <c r="F417" s="18"/>
      <c r="G417" s="18"/>
      <c r="H417" s="16"/>
      <c r="I417" s="16" t="n">
        <f aca="false">INDEX(Prozesse!$S$2:$S$125,MATCH(A417,Prozesse!$A$2:$A$125,0))</f>
        <v>1</v>
      </c>
    </row>
    <row r="418" customFormat="false" ht="15" hidden="false" customHeight="false" outlineLevel="0" collapsed="false">
      <c r="A418" s="16" t="n">
        <v>105</v>
      </c>
      <c r="B418" s="16" t="s">
        <v>298</v>
      </c>
      <c r="C418" s="16" t="s">
        <v>43</v>
      </c>
      <c r="D418" s="16" t="s">
        <v>34</v>
      </c>
      <c r="E418" s="16" t="s">
        <v>91</v>
      </c>
      <c r="F418" s="18"/>
      <c r="G418" s="18"/>
      <c r="H418" s="16"/>
      <c r="I418" s="16" t="n">
        <f aca="false">INDEX(Prozesse!$S$2:$S$125,MATCH(A418,Prozesse!$A$2:$A$125,0))</f>
        <v>1</v>
      </c>
    </row>
    <row r="419" customFormat="false" ht="15" hidden="false" customHeight="false" outlineLevel="0" collapsed="false">
      <c r="A419" s="16" t="n">
        <v>105</v>
      </c>
      <c r="B419" s="16" t="s">
        <v>298</v>
      </c>
      <c r="C419" s="16" t="s">
        <v>43</v>
      </c>
      <c r="D419" s="16" t="s">
        <v>339</v>
      </c>
      <c r="E419" s="16" t="s">
        <v>91</v>
      </c>
      <c r="F419" s="18"/>
      <c r="G419" s="18"/>
      <c r="H419" s="16"/>
      <c r="I419" s="16" t="n">
        <f aca="false">INDEX(Prozesse!$S$2:$S$125,MATCH(A419,Prozesse!$A$2:$A$125,0))</f>
        <v>1</v>
      </c>
    </row>
    <row r="420" customFormat="false" ht="15" hidden="false" customHeight="false" outlineLevel="0" collapsed="false">
      <c r="A420" s="16" t="n">
        <v>105</v>
      </c>
      <c r="B420" s="16" t="s">
        <v>298</v>
      </c>
      <c r="C420" s="16" t="s">
        <v>43</v>
      </c>
      <c r="D420" s="16" t="s">
        <v>340</v>
      </c>
      <c r="E420" s="16" t="s">
        <v>91</v>
      </c>
      <c r="F420" s="18"/>
      <c r="G420" s="18"/>
      <c r="H420" s="16"/>
      <c r="I420" s="16" t="n">
        <f aca="false">INDEX(Prozesse!$S$2:$S$125,MATCH(A420,Prozesse!$A$2:$A$125,0))</f>
        <v>1</v>
      </c>
    </row>
    <row r="421" customFormat="false" ht="15" hidden="false" customHeight="false" outlineLevel="0" collapsed="false">
      <c r="A421" s="16" t="n">
        <v>105</v>
      </c>
      <c r="B421" s="16" t="s">
        <v>298</v>
      </c>
      <c r="C421" s="16" t="s">
        <v>43</v>
      </c>
      <c r="D421" s="16" t="s">
        <v>341</v>
      </c>
      <c r="E421" s="16" t="s">
        <v>91</v>
      </c>
      <c r="F421" s="18"/>
      <c r="G421" s="18"/>
      <c r="H421" s="16"/>
      <c r="I421" s="16" t="n">
        <f aca="false">INDEX(Prozesse!$S$2:$S$125,MATCH(A421,Prozesse!$A$2:$A$125,0))</f>
        <v>1</v>
      </c>
    </row>
    <row r="422" customFormat="false" ht="15" hidden="false" customHeight="false" outlineLevel="0" collapsed="false">
      <c r="A422" s="16" t="n">
        <v>106</v>
      </c>
      <c r="B422" s="16" t="s">
        <v>300</v>
      </c>
      <c r="C422" s="16" t="s">
        <v>43</v>
      </c>
      <c r="D422" s="16" t="s">
        <v>34</v>
      </c>
      <c r="E422" s="16" t="s">
        <v>91</v>
      </c>
      <c r="F422" s="18"/>
      <c r="G422" s="18"/>
      <c r="H422" s="16"/>
      <c r="I422" s="16" t="n">
        <f aca="false">INDEX(Prozesse!$S$2:$S$125,MATCH(A422,Prozesse!$A$2:$A$125,0))</f>
        <v>1</v>
      </c>
    </row>
    <row r="423" customFormat="false" ht="15" hidden="false" customHeight="false" outlineLevel="0" collapsed="false">
      <c r="A423" s="16" t="n">
        <v>106</v>
      </c>
      <c r="B423" s="16" t="s">
        <v>300</v>
      </c>
      <c r="C423" s="16" t="s">
        <v>43</v>
      </c>
      <c r="D423" s="16" t="s">
        <v>339</v>
      </c>
      <c r="E423" s="16" t="s">
        <v>91</v>
      </c>
      <c r="F423" s="18"/>
      <c r="G423" s="18"/>
      <c r="H423" s="16"/>
      <c r="I423" s="16" t="n">
        <f aca="false">INDEX(Prozesse!$S$2:$S$125,MATCH(A423,Prozesse!$A$2:$A$125,0))</f>
        <v>1</v>
      </c>
    </row>
    <row r="424" customFormat="false" ht="15" hidden="false" customHeight="false" outlineLevel="0" collapsed="false">
      <c r="A424" s="16" t="n">
        <v>106</v>
      </c>
      <c r="B424" s="16" t="s">
        <v>300</v>
      </c>
      <c r="C424" s="16" t="s">
        <v>43</v>
      </c>
      <c r="D424" s="16" t="s">
        <v>340</v>
      </c>
      <c r="E424" s="16" t="s">
        <v>91</v>
      </c>
      <c r="F424" s="18"/>
      <c r="G424" s="18"/>
      <c r="H424" s="16"/>
      <c r="I424" s="16" t="n">
        <f aca="false">INDEX(Prozesse!$S$2:$S$125,MATCH(A424,Prozesse!$A$2:$A$125,0))</f>
        <v>1</v>
      </c>
    </row>
    <row r="425" customFormat="false" ht="15" hidden="false" customHeight="false" outlineLevel="0" collapsed="false">
      <c r="A425" s="16" t="n">
        <v>106</v>
      </c>
      <c r="B425" s="16" t="s">
        <v>300</v>
      </c>
      <c r="C425" s="16" t="s">
        <v>43</v>
      </c>
      <c r="D425" s="16" t="s">
        <v>341</v>
      </c>
      <c r="E425" s="16" t="s">
        <v>91</v>
      </c>
      <c r="F425" s="18"/>
      <c r="G425" s="18"/>
      <c r="H425" s="16"/>
      <c r="I425" s="16" t="n">
        <f aca="false">INDEX(Prozesse!$S$2:$S$125,MATCH(A425,Prozesse!$A$2:$A$125,0))</f>
        <v>1</v>
      </c>
    </row>
    <row r="426" customFormat="false" ht="15" hidden="false" customHeight="false" outlineLevel="0" collapsed="false">
      <c r="A426" s="16" t="n">
        <v>107</v>
      </c>
      <c r="B426" s="16" t="s">
        <v>302</v>
      </c>
      <c r="C426" s="16" t="s">
        <v>43</v>
      </c>
      <c r="D426" s="16" t="s">
        <v>34</v>
      </c>
      <c r="E426" s="16" t="s">
        <v>91</v>
      </c>
      <c r="F426" s="18"/>
      <c r="G426" s="18"/>
      <c r="H426" s="16"/>
      <c r="I426" s="16" t="n">
        <f aca="false">INDEX(Prozesse!$S$2:$S$125,MATCH(A426,Prozesse!$A$2:$A$125,0))</f>
        <v>1</v>
      </c>
    </row>
    <row r="427" customFormat="false" ht="15" hidden="false" customHeight="false" outlineLevel="0" collapsed="false">
      <c r="A427" s="16" t="n">
        <v>107</v>
      </c>
      <c r="B427" s="16" t="s">
        <v>302</v>
      </c>
      <c r="C427" s="16" t="s">
        <v>43</v>
      </c>
      <c r="D427" s="16" t="s">
        <v>339</v>
      </c>
      <c r="E427" s="16" t="s">
        <v>91</v>
      </c>
      <c r="F427" s="18"/>
      <c r="G427" s="18"/>
      <c r="H427" s="16"/>
      <c r="I427" s="16" t="n">
        <f aca="false">INDEX(Prozesse!$S$2:$S$125,MATCH(A427,Prozesse!$A$2:$A$125,0))</f>
        <v>1</v>
      </c>
    </row>
    <row r="428" customFormat="false" ht="15" hidden="false" customHeight="false" outlineLevel="0" collapsed="false">
      <c r="A428" s="16" t="n">
        <v>107</v>
      </c>
      <c r="B428" s="16" t="s">
        <v>302</v>
      </c>
      <c r="C428" s="16" t="s">
        <v>43</v>
      </c>
      <c r="D428" s="16" t="s">
        <v>340</v>
      </c>
      <c r="E428" s="16" t="s">
        <v>91</v>
      </c>
      <c r="F428" s="18"/>
      <c r="G428" s="18"/>
      <c r="H428" s="16"/>
      <c r="I428" s="16" t="n">
        <f aca="false">INDEX(Prozesse!$S$2:$S$125,MATCH(A428,Prozesse!$A$2:$A$125,0))</f>
        <v>1</v>
      </c>
    </row>
    <row r="429" customFormat="false" ht="15" hidden="false" customHeight="false" outlineLevel="0" collapsed="false">
      <c r="A429" s="16" t="n">
        <v>107</v>
      </c>
      <c r="B429" s="16" t="s">
        <v>302</v>
      </c>
      <c r="C429" s="16" t="s">
        <v>43</v>
      </c>
      <c r="D429" s="16" t="s">
        <v>341</v>
      </c>
      <c r="E429" s="16" t="s">
        <v>91</v>
      </c>
      <c r="F429" s="18"/>
      <c r="G429" s="18"/>
      <c r="H429" s="16"/>
      <c r="I429" s="16" t="n">
        <f aca="false">INDEX(Prozesse!$S$2:$S$125,MATCH(A429,Prozesse!$A$2:$A$125,0))</f>
        <v>1</v>
      </c>
    </row>
    <row r="430" customFormat="false" ht="15" hidden="false" customHeight="false" outlineLevel="0" collapsed="false">
      <c r="A430" s="16" t="n">
        <v>108</v>
      </c>
      <c r="B430" s="16" t="s">
        <v>304</v>
      </c>
      <c r="C430" s="16" t="s">
        <v>89</v>
      </c>
      <c r="D430" s="16" t="s">
        <v>34</v>
      </c>
      <c r="E430" s="16" t="s">
        <v>48</v>
      </c>
      <c r="F430" s="18" t="n">
        <v>45931</v>
      </c>
      <c r="G430" s="18" t="n">
        <v>45931</v>
      </c>
      <c r="H430" s="16" t="n">
        <v>1</v>
      </c>
      <c r="I430" s="16" t="n">
        <f aca="false">INDEX(Prozesse!$S$2:$S$125,MATCH(A430,Prozesse!$A$2:$A$125,0))</f>
        <v>1</v>
      </c>
    </row>
    <row r="431" customFormat="false" ht="15" hidden="false" customHeight="false" outlineLevel="0" collapsed="false">
      <c r="A431" s="16" t="n">
        <v>108</v>
      </c>
      <c r="B431" s="16" t="s">
        <v>304</v>
      </c>
      <c r="C431" s="16" t="s">
        <v>89</v>
      </c>
      <c r="D431" s="16" t="s">
        <v>339</v>
      </c>
      <c r="E431" s="16" t="s">
        <v>91</v>
      </c>
      <c r="F431" s="18"/>
      <c r="G431" s="18"/>
      <c r="H431" s="16"/>
      <c r="I431" s="16" t="n">
        <f aca="false">INDEX(Prozesse!$S$2:$S$125,MATCH(A431,Prozesse!$A$2:$A$125,0))</f>
        <v>1</v>
      </c>
    </row>
    <row r="432" customFormat="false" ht="15" hidden="false" customHeight="false" outlineLevel="0" collapsed="false">
      <c r="A432" s="16" t="n">
        <v>108</v>
      </c>
      <c r="B432" s="16" t="s">
        <v>304</v>
      </c>
      <c r="C432" s="16" t="s">
        <v>89</v>
      </c>
      <c r="D432" s="16" t="s">
        <v>340</v>
      </c>
      <c r="E432" s="16" t="s">
        <v>91</v>
      </c>
      <c r="F432" s="18"/>
      <c r="G432" s="18"/>
      <c r="H432" s="16"/>
      <c r="I432" s="16" t="n">
        <f aca="false">INDEX(Prozesse!$S$2:$S$125,MATCH(A432,Prozesse!$A$2:$A$125,0))</f>
        <v>1</v>
      </c>
    </row>
    <row r="433" customFormat="false" ht="15" hidden="false" customHeight="false" outlineLevel="0" collapsed="false">
      <c r="A433" s="16" t="n">
        <v>108</v>
      </c>
      <c r="B433" s="16" t="s">
        <v>304</v>
      </c>
      <c r="C433" s="16" t="s">
        <v>89</v>
      </c>
      <c r="D433" s="16" t="s">
        <v>341</v>
      </c>
      <c r="E433" s="16" t="s">
        <v>91</v>
      </c>
      <c r="F433" s="18"/>
      <c r="G433" s="18"/>
      <c r="H433" s="16"/>
      <c r="I433" s="16" t="n">
        <f aca="false">INDEX(Prozesse!$S$2:$S$125,MATCH(A433,Prozesse!$A$2:$A$125,0))</f>
        <v>1</v>
      </c>
    </row>
    <row r="434" customFormat="false" ht="15" hidden="false" customHeight="false" outlineLevel="0" collapsed="false">
      <c r="A434" s="16" t="n">
        <v>109</v>
      </c>
      <c r="B434" s="16" t="s">
        <v>306</v>
      </c>
      <c r="C434" s="16" t="s">
        <v>58</v>
      </c>
      <c r="D434" s="16" t="s">
        <v>34</v>
      </c>
      <c r="E434" s="16" t="s">
        <v>48</v>
      </c>
      <c r="F434" s="18" t="n">
        <v>45972</v>
      </c>
      <c r="G434" s="18" t="n">
        <v>46001</v>
      </c>
      <c r="H434" s="16" t="n">
        <v>22</v>
      </c>
      <c r="I434" s="16" t="n">
        <f aca="false">INDEX(Prozesse!$S$2:$S$125,MATCH(A434,Prozesse!$A$2:$A$125,0))</f>
        <v>1</v>
      </c>
    </row>
    <row r="435" customFormat="false" ht="15" hidden="false" customHeight="false" outlineLevel="0" collapsed="false">
      <c r="A435" s="16" t="n">
        <v>109</v>
      </c>
      <c r="B435" s="16" t="s">
        <v>306</v>
      </c>
      <c r="C435" s="16" t="s">
        <v>58</v>
      </c>
      <c r="D435" s="16" t="s">
        <v>339</v>
      </c>
      <c r="E435" s="16" t="s">
        <v>91</v>
      </c>
      <c r="F435" s="18"/>
      <c r="G435" s="18"/>
      <c r="H435" s="16"/>
      <c r="I435" s="16" t="n">
        <f aca="false">INDEX(Prozesse!$S$2:$S$125,MATCH(A435,Prozesse!$A$2:$A$125,0))</f>
        <v>1</v>
      </c>
    </row>
    <row r="436" customFormat="false" ht="15" hidden="false" customHeight="false" outlineLevel="0" collapsed="false">
      <c r="A436" s="16" t="n">
        <v>109</v>
      </c>
      <c r="B436" s="16" t="s">
        <v>306</v>
      </c>
      <c r="C436" s="16" t="s">
        <v>58</v>
      </c>
      <c r="D436" s="16" t="s">
        <v>340</v>
      </c>
      <c r="E436" s="16" t="s">
        <v>91</v>
      </c>
      <c r="F436" s="18"/>
      <c r="G436" s="18"/>
      <c r="H436" s="16"/>
      <c r="I436" s="16" t="n">
        <f aca="false">INDEX(Prozesse!$S$2:$S$125,MATCH(A436,Prozesse!$A$2:$A$125,0))</f>
        <v>1</v>
      </c>
    </row>
    <row r="437" customFormat="false" ht="15" hidden="false" customHeight="false" outlineLevel="0" collapsed="false">
      <c r="A437" s="16" t="n">
        <v>109</v>
      </c>
      <c r="B437" s="16" t="s">
        <v>306</v>
      </c>
      <c r="C437" s="16" t="s">
        <v>58</v>
      </c>
      <c r="D437" s="16" t="s">
        <v>341</v>
      </c>
      <c r="E437" s="16" t="s">
        <v>91</v>
      </c>
      <c r="F437" s="18"/>
      <c r="G437" s="18"/>
      <c r="H437" s="16"/>
      <c r="I437" s="16" t="n">
        <f aca="false">INDEX(Prozesse!$S$2:$S$125,MATCH(A437,Prozesse!$A$2:$A$125,0))</f>
        <v>1</v>
      </c>
    </row>
    <row r="438" customFormat="false" ht="15" hidden="false" customHeight="false" outlineLevel="0" collapsed="false">
      <c r="A438" s="16" t="n">
        <v>110</v>
      </c>
      <c r="B438" s="16" t="s">
        <v>309</v>
      </c>
      <c r="C438" s="16" t="s">
        <v>58</v>
      </c>
      <c r="D438" s="16" t="s">
        <v>34</v>
      </c>
      <c r="E438" s="16" t="s">
        <v>48</v>
      </c>
      <c r="F438" s="18" t="n">
        <v>45972</v>
      </c>
      <c r="G438" s="18" t="n">
        <v>46001</v>
      </c>
      <c r="H438" s="16" t="n">
        <v>22</v>
      </c>
      <c r="I438" s="16" t="n">
        <f aca="false">INDEX(Prozesse!$S$2:$S$125,MATCH(A438,Prozesse!$A$2:$A$125,0))</f>
        <v>1</v>
      </c>
    </row>
    <row r="439" customFormat="false" ht="15" hidden="false" customHeight="false" outlineLevel="0" collapsed="false">
      <c r="A439" s="16" t="n">
        <v>110</v>
      </c>
      <c r="B439" s="16" t="s">
        <v>309</v>
      </c>
      <c r="C439" s="16" t="s">
        <v>58</v>
      </c>
      <c r="D439" s="16" t="s">
        <v>339</v>
      </c>
      <c r="E439" s="16" t="s">
        <v>91</v>
      </c>
      <c r="F439" s="18"/>
      <c r="G439" s="18"/>
      <c r="H439" s="16"/>
      <c r="I439" s="16" t="n">
        <f aca="false">INDEX(Prozesse!$S$2:$S$125,MATCH(A439,Prozesse!$A$2:$A$125,0))</f>
        <v>1</v>
      </c>
    </row>
    <row r="440" customFormat="false" ht="15" hidden="false" customHeight="false" outlineLevel="0" collapsed="false">
      <c r="A440" s="16" t="n">
        <v>110</v>
      </c>
      <c r="B440" s="16" t="s">
        <v>309</v>
      </c>
      <c r="C440" s="16" t="s">
        <v>58</v>
      </c>
      <c r="D440" s="16" t="s">
        <v>340</v>
      </c>
      <c r="E440" s="16" t="s">
        <v>91</v>
      </c>
      <c r="F440" s="18"/>
      <c r="G440" s="18"/>
      <c r="H440" s="16"/>
      <c r="I440" s="16" t="n">
        <f aca="false">INDEX(Prozesse!$S$2:$S$125,MATCH(A440,Prozesse!$A$2:$A$125,0))</f>
        <v>1</v>
      </c>
    </row>
    <row r="441" customFormat="false" ht="15" hidden="false" customHeight="false" outlineLevel="0" collapsed="false">
      <c r="A441" s="16" t="n">
        <v>110</v>
      </c>
      <c r="B441" s="16" t="s">
        <v>309</v>
      </c>
      <c r="C441" s="16" t="s">
        <v>58</v>
      </c>
      <c r="D441" s="16" t="s">
        <v>341</v>
      </c>
      <c r="E441" s="16" t="s">
        <v>91</v>
      </c>
      <c r="F441" s="18"/>
      <c r="G441" s="18"/>
      <c r="H441" s="16"/>
      <c r="I441" s="16" t="n">
        <f aca="false">INDEX(Prozesse!$S$2:$S$125,MATCH(A441,Prozesse!$A$2:$A$125,0))</f>
        <v>1</v>
      </c>
    </row>
    <row r="442" customFormat="false" ht="15" hidden="false" customHeight="false" outlineLevel="0" collapsed="false">
      <c r="A442" s="16" t="n">
        <v>111</v>
      </c>
      <c r="B442" s="16" t="s">
        <v>311</v>
      </c>
      <c r="C442" s="16" t="s">
        <v>43</v>
      </c>
      <c r="D442" s="16" t="s">
        <v>34</v>
      </c>
      <c r="E442" s="16" t="s">
        <v>48</v>
      </c>
      <c r="F442" s="18" t="n">
        <v>45931</v>
      </c>
      <c r="G442" s="18" t="n">
        <v>46014</v>
      </c>
      <c r="H442" s="16" t="n">
        <v>1</v>
      </c>
      <c r="I442" s="16" t="n">
        <f aca="false">INDEX(Prozesse!$S$2:$S$125,MATCH(A442,Prozesse!$A$2:$A$125,0))</f>
        <v>1</v>
      </c>
    </row>
    <row r="443" customFormat="false" ht="15" hidden="false" customHeight="false" outlineLevel="0" collapsed="false">
      <c r="A443" s="16" t="n">
        <v>111</v>
      </c>
      <c r="B443" s="16" t="s">
        <v>311</v>
      </c>
      <c r="C443" s="16" t="s">
        <v>43</v>
      </c>
      <c r="D443" s="16" t="s">
        <v>339</v>
      </c>
      <c r="E443" s="16" t="s">
        <v>91</v>
      </c>
      <c r="F443" s="18" t="n">
        <v>46069</v>
      </c>
      <c r="G443" s="18" t="n">
        <v>46142</v>
      </c>
      <c r="H443" s="16" t="n">
        <v>0</v>
      </c>
      <c r="I443" s="16" t="n">
        <f aca="false">INDEX(Prozesse!$S$2:$S$125,MATCH(A443,Prozesse!$A$2:$A$125,0))</f>
        <v>1</v>
      </c>
    </row>
    <row r="444" customFormat="false" ht="15" hidden="false" customHeight="false" outlineLevel="0" collapsed="false">
      <c r="A444" s="16" t="n">
        <v>111</v>
      </c>
      <c r="B444" s="16" t="s">
        <v>311</v>
      </c>
      <c r="C444" s="16" t="s">
        <v>43</v>
      </c>
      <c r="D444" s="16" t="s">
        <v>340</v>
      </c>
      <c r="E444" s="16" t="s">
        <v>91</v>
      </c>
      <c r="F444" s="18"/>
      <c r="G444" s="18"/>
      <c r="H444" s="16"/>
      <c r="I444" s="16" t="n">
        <f aca="false">INDEX(Prozesse!$S$2:$S$125,MATCH(A444,Prozesse!$A$2:$A$125,0))</f>
        <v>1</v>
      </c>
    </row>
    <row r="445" customFormat="false" ht="15" hidden="false" customHeight="false" outlineLevel="0" collapsed="false">
      <c r="A445" s="16" t="n">
        <v>111</v>
      </c>
      <c r="B445" s="16" t="s">
        <v>311</v>
      </c>
      <c r="C445" s="16" t="s">
        <v>43</v>
      </c>
      <c r="D445" s="16" t="s">
        <v>341</v>
      </c>
      <c r="E445" s="16" t="s">
        <v>91</v>
      </c>
      <c r="F445" s="18"/>
      <c r="G445" s="18"/>
      <c r="H445" s="16"/>
      <c r="I445" s="16" t="n">
        <f aca="false">INDEX(Prozesse!$S$2:$S$125,MATCH(A445,Prozesse!$A$2:$A$125,0))</f>
        <v>1</v>
      </c>
    </row>
    <row r="446" customFormat="false" ht="15" hidden="false" customHeight="false" outlineLevel="0" collapsed="false">
      <c r="A446" s="16" t="n">
        <v>112</v>
      </c>
      <c r="B446" s="16" t="s">
        <v>314</v>
      </c>
      <c r="C446" s="16" t="s">
        <v>89</v>
      </c>
      <c r="D446" s="16" t="s">
        <v>34</v>
      </c>
      <c r="E446" s="16" t="s">
        <v>48</v>
      </c>
      <c r="F446" s="18" t="n">
        <v>45873</v>
      </c>
      <c r="G446" s="18" t="n">
        <v>45899</v>
      </c>
      <c r="H446" s="16" t="n">
        <v>20</v>
      </c>
      <c r="I446" s="16" t="n">
        <f aca="false">INDEX(Prozesse!$S$2:$S$125,MATCH(A446,Prozesse!$A$2:$A$125,0))</f>
        <v>1</v>
      </c>
    </row>
    <row r="447" customFormat="false" ht="15" hidden="false" customHeight="false" outlineLevel="0" collapsed="false">
      <c r="A447" s="16" t="n">
        <v>112</v>
      </c>
      <c r="B447" s="16" t="s">
        <v>314</v>
      </c>
      <c r="C447" s="16" t="s">
        <v>89</v>
      </c>
      <c r="D447" s="16" t="s">
        <v>339</v>
      </c>
      <c r="E447" s="16" t="s">
        <v>91</v>
      </c>
      <c r="F447" s="18"/>
      <c r="G447" s="18"/>
      <c r="H447" s="16"/>
      <c r="I447" s="16" t="n">
        <f aca="false">INDEX(Prozesse!$S$2:$S$125,MATCH(A447,Prozesse!$A$2:$A$125,0))</f>
        <v>1</v>
      </c>
    </row>
    <row r="448" customFormat="false" ht="15" hidden="false" customHeight="false" outlineLevel="0" collapsed="false">
      <c r="A448" s="16" t="n">
        <v>112</v>
      </c>
      <c r="B448" s="16" t="s">
        <v>314</v>
      </c>
      <c r="C448" s="16" t="s">
        <v>89</v>
      </c>
      <c r="D448" s="16" t="s">
        <v>340</v>
      </c>
      <c r="E448" s="16" t="s">
        <v>91</v>
      </c>
      <c r="F448" s="18"/>
      <c r="G448" s="18"/>
      <c r="H448" s="16"/>
      <c r="I448" s="16" t="n">
        <f aca="false">INDEX(Prozesse!$S$2:$S$125,MATCH(A448,Prozesse!$A$2:$A$125,0))</f>
        <v>1</v>
      </c>
    </row>
    <row r="449" customFormat="false" ht="15" hidden="false" customHeight="false" outlineLevel="0" collapsed="false">
      <c r="A449" s="16" t="n">
        <v>112</v>
      </c>
      <c r="B449" s="16" t="s">
        <v>314</v>
      </c>
      <c r="C449" s="16" t="s">
        <v>89</v>
      </c>
      <c r="D449" s="16" t="s">
        <v>341</v>
      </c>
      <c r="E449" s="16" t="s">
        <v>91</v>
      </c>
      <c r="F449" s="18"/>
      <c r="G449" s="18"/>
      <c r="H449" s="16"/>
      <c r="I449" s="16" t="n">
        <f aca="false">INDEX(Prozesse!$S$2:$S$125,MATCH(A449,Prozesse!$A$2:$A$125,0))</f>
        <v>1</v>
      </c>
    </row>
    <row r="450" customFormat="false" ht="15" hidden="false" customHeight="false" outlineLevel="0" collapsed="false">
      <c r="A450" s="16" t="n">
        <v>113</v>
      </c>
      <c r="B450" s="16" t="s">
        <v>316</v>
      </c>
      <c r="C450" s="16" t="s">
        <v>43</v>
      </c>
      <c r="D450" s="16" t="s">
        <v>34</v>
      </c>
      <c r="E450" s="16" t="s">
        <v>48</v>
      </c>
      <c r="F450" s="18" t="n">
        <v>46055</v>
      </c>
      <c r="G450" s="18" t="n">
        <v>46100</v>
      </c>
      <c r="H450" s="16" t="n">
        <v>34</v>
      </c>
      <c r="I450" s="16" t="n">
        <f aca="false">INDEX(Prozesse!$S$2:$S$125,MATCH(A450,Prozesse!$A$2:$A$125,0))</f>
        <v>1</v>
      </c>
    </row>
    <row r="451" customFormat="false" ht="15" hidden="false" customHeight="false" outlineLevel="0" collapsed="false">
      <c r="A451" s="16" t="n">
        <v>113</v>
      </c>
      <c r="B451" s="16" t="s">
        <v>316</v>
      </c>
      <c r="C451" s="16" t="s">
        <v>43</v>
      </c>
      <c r="D451" s="16" t="s">
        <v>339</v>
      </c>
      <c r="E451" s="16" t="s">
        <v>91</v>
      </c>
      <c r="F451" s="18"/>
      <c r="G451" s="18"/>
      <c r="H451" s="16"/>
      <c r="I451" s="16" t="n">
        <f aca="false">INDEX(Prozesse!$S$2:$S$125,MATCH(A451,Prozesse!$A$2:$A$125,0))</f>
        <v>1</v>
      </c>
    </row>
    <row r="452" customFormat="false" ht="15" hidden="false" customHeight="false" outlineLevel="0" collapsed="false">
      <c r="A452" s="16" t="n">
        <v>113</v>
      </c>
      <c r="B452" s="16" t="s">
        <v>316</v>
      </c>
      <c r="C452" s="16" t="s">
        <v>43</v>
      </c>
      <c r="D452" s="16" t="s">
        <v>340</v>
      </c>
      <c r="E452" s="16" t="s">
        <v>91</v>
      </c>
      <c r="F452" s="18"/>
      <c r="G452" s="18"/>
      <c r="H452" s="16"/>
      <c r="I452" s="16" t="n">
        <f aca="false">INDEX(Prozesse!$S$2:$S$125,MATCH(A452,Prozesse!$A$2:$A$125,0))</f>
        <v>1</v>
      </c>
    </row>
    <row r="453" customFormat="false" ht="15" hidden="false" customHeight="false" outlineLevel="0" collapsed="false">
      <c r="A453" s="16" t="n">
        <v>113</v>
      </c>
      <c r="B453" s="16" t="s">
        <v>316</v>
      </c>
      <c r="C453" s="16" t="s">
        <v>43</v>
      </c>
      <c r="D453" s="16" t="s">
        <v>341</v>
      </c>
      <c r="E453" s="16" t="s">
        <v>91</v>
      </c>
      <c r="F453" s="18"/>
      <c r="G453" s="18"/>
      <c r="H453" s="16"/>
      <c r="I453" s="16" t="n">
        <f aca="false">INDEX(Prozesse!$S$2:$S$125,MATCH(A453,Prozesse!$A$2:$A$125,0))</f>
        <v>1</v>
      </c>
    </row>
    <row r="454" customFormat="false" ht="15" hidden="false" customHeight="false" outlineLevel="0" collapsed="false">
      <c r="A454" s="16" t="n">
        <v>114</v>
      </c>
      <c r="B454" s="16" t="s">
        <v>318</v>
      </c>
      <c r="C454" s="16" t="s">
        <v>58</v>
      </c>
      <c r="D454" s="16" t="s">
        <v>34</v>
      </c>
      <c r="E454" s="16" t="s">
        <v>48</v>
      </c>
      <c r="F454" s="18" t="n">
        <v>45972</v>
      </c>
      <c r="G454" s="18" t="n">
        <v>46001</v>
      </c>
      <c r="H454" s="16" t="n">
        <v>22</v>
      </c>
      <c r="I454" s="16" t="n">
        <f aca="false">INDEX(Prozesse!$S$2:$S$125,MATCH(A454,Prozesse!$A$2:$A$125,0))</f>
        <v>1</v>
      </c>
    </row>
    <row r="455" customFormat="false" ht="15" hidden="false" customHeight="false" outlineLevel="0" collapsed="false">
      <c r="A455" s="16" t="n">
        <v>114</v>
      </c>
      <c r="B455" s="16" t="s">
        <v>318</v>
      </c>
      <c r="C455" s="16" t="s">
        <v>58</v>
      </c>
      <c r="D455" s="16" t="s">
        <v>339</v>
      </c>
      <c r="E455" s="16" t="s">
        <v>91</v>
      </c>
      <c r="F455" s="18"/>
      <c r="G455" s="18"/>
      <c r="H455" s="16"/>
      <c r="I455" s="16" t="n">
        <f aca="false">INDEX(Prozesse!$S$2:$S$125,MATCH(A455,Prozesse!$A$2:$A$125,0))</f>
        <v>1</v>
      </c>
    </row>
    <row r="456" customFormat="false" ht="15" hidden="false" customHeight="false" outlineLevel="0" collapsed="false">
      <c r="A456" s="16" t="n">
        <v>114</v>
      </c>
      <c r="B456" s="16" t="s">
        <v>318</v>
      </c>
      <c r="C456" s="16" t="s">
        <v>58</v>
      </c>
      <c r="D456" s="16" t="s">
        <v>340</v>
      </c>
      <c r="E456" s="16" t="s">
        <v>91</v>
      </c>
      <c r="F456" s="18"/>
      <c r="G456" s="18"/>
      <c r="H456" s="16"/>
      <c r="I456" s="16" t="n">
        <f aca="false">INDEX(Prozesse!$S$2:$S$125,MATCH(A456,Prozesse!$A$2:$A$125,0))</f>
        <v>1</v>
      </c>
    </row>
    <row r="457" customFormat="false" ht="15" hidden="false" customHeight="false" outlineLevel="0" collapsed="false">
      <c r="A457" s="16" t="n">
        <v>114</v>
      </c>
      <c r="B457" s="16" t="s">
        <v>318</v>
      </c>
      <c r="C457" s="16" t="s">
        <v>58</v>
      </c>
      <c r="D457" s="16" t="s">
        <v>341</v>
      </c>
      <c r="E457" s="16" t="s">
        <v>91</v>
      </c>
      <c r="F457" s="18"/>
      <c r="G457" s="18"/>
      <c r="H457" s="16"/>
      <c r="I457" s="16" t="n">
        <f aca="false">INDEX(Prozesse!$S$2:$S$125,MATCH(A457,Prozesse!$A$2:$A$125,0))</f>
        <v>1</v>
      </c>
    </row>
    <row r="458" customFormat="false" ht="15" hidden="false" customHeight="false" outlineLevel="0" collapsed="false">
      <c r="A458" s="16" t="n">
        <v>115</v>
      </c>
      <c r="B458" s="16" t="s">
        <v>308</v>
      </c>
      <c r="C458" s="16" t="s">
        <v>58</v>
      </c>
      <c r="D458" s="16" t="s">
        <v>34</v>
      </c>
      <c r="E458" s="16" t="s">
        <v>48</v>
      </c>
      <c r="F458" s="18" t="n">
        <v>45972</v>
      </c>
      <c r="G458" s="18" t="n">
        <v>46001</v>
      </c>
      <c r="H458" s="16" t="n">
        <v>22</v>
      </c>
      <c r="I458" s="16" t="n">
        <f aca="false">INDEX(Prozesse!$S$2:$S$125,MATCH(A458,Prozesse!$A$2:$A$125,0))</f>
        <v>1</v>
      </c>
    </row>
    <row r="459" customFormat="false" ht="15" hidden="false" customHeight="false" outlineLevel="0" collapsed="false">
      <c r="A459" s="16" t="n">
        <v>115</v>
      </c>
      <c r="B459" s="16" t="s">
        <v>308</v>
      </c>
      <c r="C459" s="16" t="s">
        <v>58</v>
      </c>
      <c r="D459" s="16" t="s">
        <v>339</v>
      </c>
      <c r="E459" s="16" t="s">
        <v>91</v>
      </c>
      <c r="F459" s="18"/>
      <c r="G459" s="18"/>
      <c r="H459" s="16"/>
      <c r="I459" s="16" t="n">
        <f aca="false">INDEX(Prozesse!$S$2:$S$125,MATCH(A459,Prozesse!$A$2:$A$125,0))</f>
        <v>1</v>
      </c>
    </row>
    <row r="460" customFormat="false" ht="15" hidden="false" customHeight="false" outlineLevel="0" collapsed="false">
      <c r="A460" s="16" t="n">
        <v>115</v>
      </c>
      <c r="B460" s="16" t="s">
        <v>308</v>
      </c>
      <c r="C460" s="16" t="s">
        <v>58</v>
      </c>
      <c r="D460" s="16" t="s">
        <v>340</v>
      </c>
      <c r="E460" s="16" t="s">
        <v>91</v>
      </c>
      <c r="F460" s="18"/>
      <c r="G460" s="18"/>
      <c r="H460" s="16"/>
      <c r="I460" s="16" t="n">
        <f aca="false">INDEX(Prozesse!$S$2:$S$125,MATCH(A460,Prozesse!$A$2:$A$125,0))</f>
        <v>1</v>
      </c>
    </row>
    <row r="461" customFormat="false" ht="15" hidden="false" customHeight="false" outlineLevel="0" collapsed="false">
      <c r="A461" s="16" t="n">
        <v>115</v>
      </c>
      <c r="B461" s="16" t="s">
        <v>308</v>
      </c>
      <c r="C461" s="16" t="s">
        <v>58</v>
      </c>
      <c r="D461" s="16" t="s">
        <v>341</v>
      </c>
      <c r="E461" s="16" t="s">
        <v>91</v>
      </c>
      <c r="F461" s="18"/>
      <c r="G461" s="18"/>
      <c r="H461" s="16"/>
      <c r="I461" s="16" t="n">
        <f aca="false">INDEX(Prozesse!$S$2:$S$125,MATCH(A461,Prozesse!$A$2:$A$125,0))</f>
        <v>1</v>
      </c>
    </row>
    <row r="462" customFormat="false" ht="15" hidden="false" customHeight="false" outlineLevel="0" collapsed="false">
      <c r="A462" s="16" t="n">
        <v>116</v>
      </c>
      <c r="B462" s="16" t="s">
        <v>320</v>
      </c>
      <c r="C462" s="16" t="s">
        <v>58</v>
      </c>
      <c r="D462" s="16" t="s">
        <v>34</v>
      </c>
      <c r="E462" s="16" t="s">
        <v>48</v>
      </c>
      <c r="F462" s="18" t="n">
        <v>45972</v>
      </c>
      <c r="G462" s="18" t="n">
        <v>46001</v>
      </c>
      <c r="H462" s="16" t="n">
        <v>22</v>
      </c>
      <c r="I462" s="16" t="n">
        <f aca="false">INDEX(Prozesse!$S$2:$S$125,MATCH(A462,Prozesse!$A$2:$A$125,0))</f>
        <v>1</v>
      </c>
    </row>
    <row r="463" customFormat="false" ht="15" hidden="false" customHeight="false" outlineLevel="0" collapsed="false">
      <c r="A463" s="16" t="n">
        <v>116</v>
      </c>
      <c r="B463" s="16" t="s">
        <v>320</v>
      </c>
      <c r="C463" s="16" t="s">
        <v>58</v>
      </c>
      <c r="D463" s="16" t="s">
        <v>339</v>
      </c>
      <c r="E463" s="16" t="s">
        <v>91</v>
      </c>
      <c r="F463" s="18"/>
      <c r="G463" s="18"/>
      <c r="H463" s="16"/>
      <c r="I463" s="16" t="n">
        <f aca="false">INDEX(Prozesse!$S$2:$S$125,MATCH(A463,Prozesse!$A$2:$A$125,0))</f>
        <v>1</v>
      </c>
    </row>
    <row r="464" customFormat="false" ht="15" hidden="false" customHeight="false" outlineLevel="0" collapsed="false">
      <c r="A464" s="16" t="n">
        <v>116</v>
      </c>
      <c r="B464" s="16" t="s">
        <v>320</v>
      </c>
      <c r="C464" s="16" t="s">
        <v>58</v>
      </c>
      <c r="D464" s="16" t="s">
        <v>340</v>
      </c>
      <c r="E464" s="16" t="s">
        <v>91</v>
      </c>
      <c r="F464" s="18"/>
      <c r="G464" s="18"/>
      <c r="H464" s="16"/>
      <c r="I464" s="16" t="n">
        <f aca="false">INDEX(Prozesse!$S$2:$S$125,MATCH(A464,Prozesse!$A$2:$A$125,0))</f>
        <v>1</v>
      </c>
    </row>
    <row r="465" customFormat="false" ht="15" hidden="false" customHeight="false" outlineLevel="0" collapsed="false">
      <c r="A465" s="16" t="n">
        <v>116</v>
      </c>
      <c r="B465" s="16" t="s">
        <v>320</v>
      </c>
      <c r="C465" s="16" t="s">
        <v>58</v>
      </c>
      <c r="D465" s="16" t="s">
        <v>341</v>
      </c>
      <c r="E465" s="16" t="s">
        <v>91</v>
      </c>
      <c r="F465" s="18"/>
      <c r="G465" s="18"/>
      <c r="H465" s="16"/>
      <c r="I465" s="16" t="n">
        <f aca="false">INDEX(Prozesse!$S$2:$S$125,MATCH(A465,Prozesse!$A$2:$A$125,0))</f>
        <v>1</v>
      </c>
    </row>
    <row r="466" customFormat="false" ht="15" hidden="false" customHeight="false" outlineLevel="0" collapsed="false">
      <c r="A466" s="16" t="n">
        <v>117</v>
      </c>
      <c r="B466" s="16" t="s">
        <v>322</v>
      </c>
      <c r="C466" s="16" t="s">
        <v>43</v>
      </c>
      <c r="D466" s="16" t="s">
        <v>34</v>
      </c>
      <c r="E466" s="16" t="s">
        <v>48</v>
      </c>
      <c r="F466" s="18" t="n">
        <v>46034</v>
      </c>
      <c r="G466" s="18" t="n">
        <v>46099</v>
      </c>
      <c r="H466" s="16" t="n">
        <v>48</v>
      </c>
      <c r="I466" s="16" t="n">
        <f aca="false">INDEX(Prozesse!$S$2:$S$125,MATCH(A466,Prozesse!$A$2:$A$125,0))</f>
        <v>1</v>
      </c>
    </row>
    <row r="467" customFormat="false" ht="15" hidden="false" customHeight="false" outlineLevel="0" collapsed="false">
      <c r="A467" s="16" t="n">
        <v>117</v>
      </c>
      <c r="B467" s="16" t="s">
        <v>322</v>
      </c>
      <c r="C467" s="16" t="s">
        <v>43</v>
      </c>
      <c r="D467" s="16" t="s">
        <v>339</v>
      </c>
      <c r="E467" s="16" t="s">
        <v>281</v>
      </c>
      <c r="F467" s="18"/>
      <c r="G467" s="18"/>
      <c r="H467" s="16"/>
      <c r="I467" s="16" t="n">
        <f aca="false">INDEX(Prozesse!$S$2:$S$125,MATCH(A467,Prozesse!$A$2:$A$125,0))</f>
        <v>1</v>
      </c>
    </row>
    <row r="468" customFormat="false" ht="15" hidden="false" customHeight="false" outlineLevel="0" collapsed="false">
      <c r="A468" s="16" t="n">
        <v>117</v>
      </c>
      <c r="B468" s="16" t="s">
        <v>322</v>
      </c>
      <c r="C468" s="16" t="s">
        <v>43</v>
      </c>
      <c r="D468" s="16" t="s">
        <v>340</v>
      </c>
      <c r="E468" s="16" t="s">
        <v>281</v>
      </c>
      <c r="F468" s="18"/>
      <c r="G468" s="18"/>
      <c r="H468" s="16"/>
      <c r="I468" s="16" t="n">
        <f aca="false">INDEX(Prozesse!$S$2:$S$125,MATCH(A468,Prozesse!$A$2:$A$125,0))</f>
        <v>1</v>
      </c>
    </row>
    <row r="469" customFormat="false" ht="15" hidden="false" customHeight="false" outlineLevel="0" collapsed="false">
      <c r="A469" s="16" t="n">
        <v>117</v>
      </c>
      <c r="B469" s="16" t="s">
        <v>322</v>
      </c>
      <c r="C469" s="16" t="s">
        <v>43</v>
      </c>
      <c r="D469" s="16" t="s">
        <v>341</v>
      </c>
      <c r="E469" s="16" t="s">
        <v>281</v>
      </c>
      <c r="F469" s="18"/>
      <c r="G469" s="18"/>
      <c r="H469" s="16"/>
      <c r="I469" s="16" t="n">
        <f aca="false">INDEX(Prozesse!$S$2:$S$125,MATCH(A469,Prozesse!$A$2:$A$125,0))</f>
        <v>1</v>
      </c>
    </row>
    <row r="470" customFormat="false" ht="15" hidden="false" customHeight="false" outlineLevel="0" collapsed="false">
      <c r="A470" s="16" t="n">
        <v>118</v>
      </c>
      <c r="B470" s="16" t="s">
        <v>324</v>
      </c>
      <c r="C470" s="16" t="s">
        <v>89</v>
      </c>
      <c r="D470" s="16" t="s">
        <v>34</v>
      </c>
      <c r="E470" s="16" t="s">
        <v>48</v>
      </c>
      <c r="F470" s="18" t="n">
        <v>45931</v>
      </c>
      <c r="G470" s="18" t="n">
        <v>45931</v>
      </c>
      <c r="H470" s="16" t="n">
        <v>1</v>
      </c>
      <c r="I470" s="16" t="n">
        <f aca="false">INDEX(Prozesse!$S$2:$S$125,MATCH(A470,Prozesse!$A$2:$A$125,0))</f>
        <v>1</v>
      </c>
    </row>
    <row r="471" customFormat="false" ht="15" hidden="false" customHeight="false" outlineLevel="0" collapsed="false">
      <c r="A471" s="16" t="n">
        <v>118</v>
      </c>
      <c r="B471" s="16" t="s">
        <v>324</v>
      </c>
      <c r="C471" s="16" t="s">
        <v>89</v>
      </c>
      <c r="D471" s="16" t="s">
        <v>339</v>
      </c>
      <c r="E471" s="16" t="s">
        <v>91</v>
      </c>
      <c r="F471" s="18"/>
      <c r="G471" s="18"/>
      <c r="H471" s="16"/>
      <c r="I471" s="16" t="n">
        <f aca="false">INDEX(Prozesse!$S$2:$S$125,MATCH(A471,Prozesse!$A$2:$A$125,0))</f>
        <v>1</v>
      </c>
    </row>
    <row r="472" customFormat="false" ht="15" hidden="false" customHeight="false" outlineLevel="0" collapsed="false">
      <c r="A472" s="16" t="n">
        <v>118</v>
      </c>
      <c r="B472" s="16" t="s">
        <v>324</v>
      </c>
      <c r="C472" s="16" t="s">
        <v>89</v>
      </c>
      <c r="D472" s="16" t="s">
        <v>340</v>
      </c>
      <c r="E472" s="16" t="s">
        <v>91</v>
      </c>
      <c r="F472" s="18"/>
      <c r="G472" s="18"/>
      <c r="H472" s="16"/>
      <c r="I472" s="16" t="n">
        <f aca="false">INDEX(Prozesse!$S$2:$S$125,MATCH(A472,Prozesse!$A$2:$A$125,0))</f>
        <v>1</v>
      </c>
    </row>
    <row r="473" customFormat="false" ht="15" hidden="false" customHeight="false" outlineLevel="0" collapsed="false">
      <c r="A473" s="16" t="n">
        <v>118</v>
      </c>
      <c r="B473" s="16" t="s">
        <v>324</v>
      </c>
      <c r="C473" s="16" t="s">
        <v>89</v>
      </c>
      <c r="D473" s="16" t="s">
        <v>341</v>
      </c>
      <c r="E473" s="16" t="s">
        <v>91</v>
      </c>
      <c r="F473" s="18"/>
      <c r="G473" s="18"/>
      <c r="H473" s="16"/>
      <c r="I473" s="16" t="n">
        <f aca="false">INDEX(Prozesse!$S$2:$S$125,MATCH(A473,Prozesse!$A$2:$A$125,0))</f>
        <v>1</v>
      </c>
    </row>
    <row r="474" customFormat="false" ht="15" hidden="false" customHeight="false" outlineLevel="0" collapsed="false">
      <c r="A474" s="16" t="n">
        <v>119</v>
      </c>
      <c r="B474" s="16" t="s">
        <v>326</v>
      </c>
      <c r="C474" s="16" t="s">
        <v>43</v>
      </c>
      <c r="D474" s="16" t="s">
        <v>34</v>
      </c>
      <c r="E474" s="16" t="s">
        <v>48</v>
      </c>
      <c r="F474" s="18" t="n">
        <v>45931</v>
      </c>
      <c r="G474" s="18" t="n">
        <v>46014</v>
      </c>
      <c r="H474" s="16" t="n">
        <v>1</v>
      </c>
      <c r="I474" s="16" t="n">
        <f aca="false">INDEX(Prozesse!$S$2:$S$125,MATCH(A474,Prozesse!$A$2:$A$125,0))</f>
        <v>1</v>
      </c>
    </row>
    <row r="475" customFormat="false" ht="15" hidden="false" customHeight="false" outlineLevel="0" collapsed="false">
      <c r="A475" s="16" t="n">
        <v>119</v>
      </c>
      <c r="B475" s="16" t="s">
        <v>326</v>
      </c>
      <c r="C475" s="16" t="s">
        <v>43</v>
      </c>
      <c r="D475" s="16" t="s">
        <v>339</v>
      </c>
      <c r="E475" s="16" t="s">
        <v>91</v>
      </c>
      <c r="F475" s="18" t="n">
        <v>46069</v>
      </c>
      <c r="G475" s="18" t="n">
        <v>46142</v>
      </c>
      <c r="H475" s="16" t="n">
        <v>0</v>
      </c>
      <c r="I475" s="16" t="n">
        <f aca="false">INDEX(Prozesse!$S$2:$S$125,MATCH(A475,Prozesse!$A$2:$A$125,0))</f>
        <v>1</v>
      </c>
    </row>
    <row r="476" customFormat="false" ht="15" hidden="false" customHeight="false" outlineLevel="0" collapsed="false">
      <c r="A476" s="16" t="n">
        <v>119</v>
      </c>
      <c r="B476" s="16" t="s">
        <v>326</v>
      </c>
      <c r="C476" s="16" t="s">
        <v>43</v>
      </c>
      <c r="D476" s="16" t="s">
        <v>340</v>
      </c>
      <c r="E476" s="16" t="s">
        <v>91</v>
      </c>
      <c r="F476" s="18"/>
      <c r="G476" s="18"/>
      <c r="H476" s="16"/>
      <c r="I476" s="16" t="n">
        <f aca="false">INDEX(Prozesse!$S$2:$S$125,MATCH(A476,Prozesse!$A$2:$A$125,0))</f>
        <v>1</v>
      </c>
    </row>
    <row r="477" customFormat="false" ht="15" hidden="false" customHeight="false" outlineLevel="0" collapsed="false">
      <c r="A477" s="16" t="n">
        <v>119</v>
      </c>
      <c r="B477" s="16" t="s">
        <v>326</v>
      </c>
      <c r="C477" s="16" t="s">
        <v>43</v>
      </c>
      <c r="D477" s="16" t="s">
        <v>341</v>
      </c>
      <c r="E477" s="16" t="s">
        <v>91</v>
      </c>
      <c r="F477" s="18"/>
      <c r="G477" s="18"/>
      <c r="H477" s="16"/>
      <c r="I477" s="16" t="n">
        <f aca="false">INDEX(Prozesse!$S$2:$S$125,MATCH(A477,Prozesse!$A$2:$A$125,0))</f>
        <v>1</v>
      </c>
    </row>
    <row r="478" customFormat="false" ht="15" hidden="false" customHeight="false" outlineLevel="0" collapsed="false">
      <c r="A478" s="16" t="n">
        <v>120</v>
      </c>
      <c r="B478" s="16" t="s">
        <v>328</v>
      </c>
      <c r="C478" s="16" t="s">
        <v>58</v>
      </c>
      <c r="D478" s="16" t="s">
        <v>34</v>
      </c>
      <c r="E478" s="16" t="s">
        <v>48</v>
      </c>
      <c r="F478" s="18" t="n">
        <v>45972</v>
      </c>
      <c r="G478" s="18" t="n">
        <v>46001</v>
      </c>
      <c r="H478" s="16" t="n">
        <v>22</v>
      </c>
      <c r="I478" s="16" t="n">
        <f aca="false">INDEX(Prozesse!$S$2:$S$125,MATCH(A478,Prozesse!$A$2:$A$125,0))</f>
        <v>1</v>
      </c>
    </row>
    <row r="479" customFormat="false" ht="15" hidden="false" customHeight="false" outlineLevel="0" collapsed="false">
      <c r="A479" s="16" t="n">
        <v>120</v>
      </c>
      <c r="B479" s="16" t="s">
        <v>328</v>
      </c>
      <c r="C479" s="16" t="s">
        <v>58</v>
      </c>
      <c r="D479" s="16" t="s">
        <v>339</v>
      </c>
      <c r="E479" s="16" t="s">
        <v>91</v>
      </c>
      <c r="F479" s="18"/>
      <c r="G479" s="18"/>
      <c r="H479" s="16"/>
      <c r="I479" s="16" t="n">
        <f aca="false">INDEX(Prozesse!$S$2:$S$125,MATCH(A479,Prozesse!$A$2:$A$125,0))</f>
        <v>1</v>
      </c>
    </row>
    <row r="480" customFormat="false" ht="15" hidden="false" customHeight="false" outlineLevel="0" collapsed="false">
      <c r="A480" s="16" t="n">
        <v>120</v>
      </c>
      <c r="B480" s="16" t="s">
        <v>328</v>
      </c>
      <c r="C480" s="16" t="s">
        <v>58</v>
      </c>
      <c r="D480" s="16" t="s">
        <v>340</v>
      </c>
      <c r="E480" s="16" t="s">
        <v>91</v>
      </c>
      <c r="F480" s="18"/>
      <c r="G480" s="18"/>
      <c r="H480" s="16"/>
      <c r="I480" s="16" t="n">
        <f aca="false">INDEX(Prozesse!$S$2:$S$125,MATCH(A480,Prozesse!$A$2:$A$125,0))</f>
        <v>1</v>
      </c>
    </row>
    <row r="481" customFormat="false" ht="15" hidden="false" customHeight="false" outlineLevel="0" collapsed="false">
      <c r="A481" s="16" t="n">
        <v>120</v>
      </c>
      <c r="B481" s="16" t="s">
        <v>328</v>
      </c>
      <c r="C481" s="16" t="s">
        <v>58</v>
      </c>
      <c r="D481" s="16" t="s">
        <v>341</v>
      </c>
      <c r="E481" s="16" t="s">
        <v>91</v>
      </c>
      <c r="F481" s="18"/>
      <c r="G481" s="18"/>
      <c r="H481" s="16"/>
      <c r="I481" s="16" t="n">
        <f aca="false">INDEX(Prozesse!$S$2:$S$125,MATCH(A481,Prozesse!$A$2:$A$125,0))</f>
        <v>1</v>
      </c>
    </row>
    <row r="482" customFormat="false" ht="15" hidden="false" customHeight="false" outlineLevel="0" collapsed="false">
      <c r="A482" s="16" t="n">
        <v>121</v>
      </c>
      <c r="B482" s="16" t="s">
        <v>330</v>
      </c>
      <c r="C482" s="16" t="s">
        <v>43</v>
      </c>
      <c r="D482" s="16" t="s">
        <v>34</v>
      </c>
      <c r="E482" s="16" t="s">
        <v>48</v>
      </c>
      <c r="F482" s="18" t="n">
        <v>45931</v>
      </c>
      <c r="G482" s="18" t="n">
        <v>46014</v>
      </c>
      <c r="H482" s="16" t="n">
        <v>1</v>
      </c>
      <c r="I482" s="16" t="n">
        <f aca="false">INDEX(Prozesse!$S$2:$S$125,MATCH(A482,Prozesse!$A$2:$A$125,0))</f>
        <v>1</v>
      </c>
    </row>
    <row r="483" customFormat="false" ht="15" hidden="false" customHeight="false" outlineLevel="0" collapsed="false">
      <c r="A483" s="16" t="n">
        <v>121</v>
      </c>
      <c r="B483" s="16" t="s">
        <v>330</v>
      </c>
      <c r="C483" s="16" t="s">
        <v>43</v>
      </c>
      <c r="D483" s="16" t="s">
        <v>339</v>
      </c>
      <c r="E483" s="16" t="s">
        <v>91</v>
      </c>
      <c r="F483" s="18" t="n">
        <v>46069</v>
      </c>
      <c r="G483" s="18" t="n">
        <v>46142</v>
      </c>
      <c r="H483" s="16" t="n">
        <v>0</v>
      </c>
      <c r="I483" s="16" t="n">
        <f aca="false">INDEX(Prozesse!$S$2:$S$125,MATCH(A483,Prozesse!$A$2:$A$125,0))</f>
        <v>1</v>
      </c>
    </row>
    <row r="484" customFormat="false" ht="15" hidden="false" customHeight="false" outlineLevel="0" collapsed="false">
      <c r="A484" s="16" t="n">
        <v>121</v>
      </c>
      <c r="B484" s="16" t="s">
        <v>330</v>
      </c>
      <c r="C484" s="16" t="s">
        <v>43</v>
      </c>
      <c r="D484" s="16" t="s">
        <v>340</v>
      </c>
      <c r="E484" s="16" t="s">
        <v>91</v>
      </c>
      <c r="F484" s="18"/>
      <c r="G484" s="18"/>
      <c r="H484" s="16"/>
      <c r="I484" s="16" t="n">
        <f aca="false">INDEX(Prozesse!$S$2:$S$125,MATCH(A484,Prozesse!$A$2:$A$125,0))</f>
        <v>1</v>
      </c>
    </row>
    <row r="485" customFormat="false" ht="15" hidden="false" customHeight="false" outlineLevel="0" collapsed="false">
      <c r="A485" s="16" t="n">
        <v>121</v>
      </c>
      <c r="B485" s="16" t="s">
        <v>330</v>
      </c>
      <c r="C485" s="16" t="s">
        <v>43</v>
      </c>
      <c r="D485" s="16" t="s">
        <v>341</v>
      </c>
      <c r="E485" s="16" t="s">
        <v>91</v>
      </c>
      <c r="F485" s="18"/>
      <c r="G485" s="18"/>
      <c r="H485" s="16"/>
      <c r="I485" s="16" t="n">
        <f aca="false">INDEX(Prozesse!$S$2:$S$125,MATCH(A485,Prozesse!$A$2:$A$125,0))</f>
        <v>1</v>
      </c>
    </row>
    <row r="486" customFormat="false" ht="15" hidden="false" customHeight="false" outlineLevel="0" collapsed="false">
      <c r="A486" s="16" t="n">
        <v>122</v>
      </c>
      <c r="B486" s="16" t="s">
        <v>332</v>
      </c>
      <c r="C486" s="16" t="s">
        <v>43</v>
      </c>
      <c r="D486" s="16" t="s">
        <v>34</v>
      </c>
      <c r="E486" s="16" t="s">
        <v>48</v>
      </c>
      <c r="F486" s="18" t="n">
        <v>45931</v>
      </c>
      <c r="G486" s="18" t="n">
        <v>46014</v>
      </c>
      <c r="H486" s="16" t="n">
        <v>1</v>
      </c>
      <c r="I486" s="16" t="n">
        <f aca="false">INDEX(Prozesse!$S$2:$S$125,MATCH(A486,Prozesse!$A$2:$A$125,0))</f>
        <v>1</v>
      </c>
    </row>
    <row r="487" customFormat="false" ht="15" hidden="false" customHeight="false" outlineLevel="0" collapsed="false">
      <c r="A487" s="16" t="n">
        <v>122</v>
      </c>
      <c r="B487" s="16" t="s">
        <v>332</v>
      </c>
      <c r="C487" s="16" t="s">
        <v>43</v>
      </c>
      <c r="D487" s="16" t="s">
        <v>339</v>
      </c>
      <c r="E487" s="16" t="s">
        <v>91</v>
      </c>
      <c r="F487" s="18" t="n">
        <v>46069</v>
      </c>
      <c r="G487" s="18" t="n">
        <v>46142</v>
      </c>
      <c r="H487" s="16" t="n">
        <v>0</v>
      </c>
      <c r="I487" s="16" t="n">
        <f aca="false">INDEX(Prozesse!$S$2:$S$125,MATCH(A487,Prozesse!$A$2:$A$125,0))</f>
        <v>1</v>
      </c>
    </row>
    <row r="488" customFormat="false" ht="15" hidden="false" customHeight="false" outlineLevel="0" collapsed="false">
      <c r="A488" s="16" t="n">
        <v>122</v>
      </c>
      <c r="B488" s="16" t="s">
        <v>332</v>
      </c>
      <c r="C488" s="16" t="s">
        <v>43</v>
      </c>
      <c r="D488" s="16" t="s">
        <v>340</v>
      </c>
      <c r="E488" s="16" t="s">
        <v>91</v>
      </c>
      <c r="F488" s="18"/>
      <c r="G488" s="18"/>
      <c r="H488" s="16"/>
      <c r="I488" s="16" t="n">
        <f aca="false">INDEX(Prozesse!$S$2:$S$125,MATCH(A488,Prozesse!$A$2:$A$125,0))</f>
        <v>1</v>
      </c>
    </row>
    <row r="489" customFormat="false" ht="15" hidden="false" customHeight="false" outlineLevel="0" collapsed="false">
      <c r="A489" s="16" t="n">
        <v>122</v>
      </c>
      <c r="B489" s="16" t="s">
        <v>332</v>
      </c>
      <c r="C489" s="16" t="s">
        <v>43</v>
      </c>
      <c r="D489" s="16" t="s">
        <v>341</v>
      </c>
      <c r="E489" s="16" t="s">
        <v>91</v>
      </c>
      <c r="F489" s="18"/>
      <c r="G489" s="18"/>
      <c r="H489" s="16"/>
      <c r="I489" s="16" t="n">
        <f aca="false">INDEX(Prozesse!$S$2:$S$125,MATCH(A489,Prozesse!$A$2:$A$125,0))</f>
        <v>1</v>
      </c>
    </row>
    <row r="490" customFormat="false" ht="15" hidden="false" customHeight="false" outlineLevel="0" collapsed="false">
      <c r="A490" s="16" t="n">
        <v>123</v>
      </c>
      <c r="B490" s="16" t="s">
        <v>334</v>
      </c>
      <c r="C490" s="16" t="s">
        <v>58</v>
      </c>
      <c r="D490" s="16" t="s">
        <v>34</v>
      </c>
      <c r="E490" s="16" t="s">
        <v>48</v>
      </c>
      <c r="F490" s="18" t="n">
        <v>45972</v>
      </c>
      <c r="G490" s="18" t="n">
        <v>46001</v>
      </c>
      <c r="H490" s="16" t="n">
        <v>22</v>
      </c>
      <c r="I490" s="16" t="n">
        <f aca="false">INDEX(Prozesse!$S$2:$S$125,MATCH(A490,Prozesse!$A$2:$A$125,0))</f>
        <v>1</v>
      </c>
    </row>
    <row r="491" customFormat="false" ht="15" hidden="false" customHeight="false" outlineLevel="0" collapsed="false">
      <c r="A491" s="16" t="n">
        <v>123</v>
      </c>
      <c r="B491" s="16" t="s">
        <v>334</v>
      </c>
      <c r="C491" s="16" t="s">
        <v>58</v>
      </c>
      <c r="D491" s="16" t="s">
        <v>339</v>
      </c>
      <c r="E491" s="16" t="s">
        <v>91</v>
      </c>
      <c r="F491" s="18"/>
      <c r="G491" s="18"/>
      <c r="H491" s="16"/>
      <c r="I491" s="16" t="n">
        <f aca="false">INDEX(Prozesse!$S$2:$S$125,MATCH(A491,Prozesse!$A$2:$A$125,0))</f>
        <v>1</v>
      </c>
    </row>
    <row r="492" customFormat="false" ht="15" hidden="false" customHeight="false" outlineLevel="0" collapsed="false">
      <c r="A492" s="16" t="n">
        <v>123</v>
      </c>
      <c r="B492" s="16" t="s">
        <v>334</v>
      </c>
      <c r="C492" s="16" t="s">
        <v>58</v>
      </c>
      <c r="D492" s="16" t="s">
        <v>340</v>
      </c>
      <c r="E492" s="16" t="s">
        <v>91</v>
      </c>
      <c r="F492" s="18"/>
      <c r="G492" s="18"/>
      <c r="H492" s="16"/>
      <c r="I492" s="16" t="n">
        <f aca="false">INDEX(Prozesse!$S$2:$S$125,MATCH(A492,Prozesse!$A$2:$A$125,0))</f>
        <v>1</v>
      </c>
    </row>
    <row r="493" customFormat="false" ht="15" hidden="false" customHeight="false" outlineLevel="0" collapsed="false">
      <c r="A493" s="16" t="n">
        <v>123</v>
      </c>
      <c r="B493" s="16" t="s">
        <v>334</v>
      </c>
      <c r="C493" s="16" t="s">
        <v>58</v>
      </c>
      <c r="D493" s="16" t="s">
        <v>341</v>
      </c>
      <c r="E493" s="16" t="s">
        <v>91</v>
      </c>
      <c r="F493" s="18"/>
      <c r="G493" s="18"/>
      <c r="H493" s="16"/>
      <c r="I493" s="16" t="n">
        <f aca="false">INDEX(Prozesse!$S$2:$S$125,MATCH(A493,Prozesse!$A$2:$A$125,0))</f>
        <v>1</v>
      </c>
    </row>
    <row r="494" customFormat="false" ht="15" hidden="false" customHeight="false" outlineLevel="0" collapsed="false">
      <c r="A494" s="16" t="n">
        <v>124</v>
      </c>
      <c r="B494" s="16" t="s">
        <v>336</v>
      </c>
      <c r="C494" s="16" t="s">
        <v>43</v>
      </c>
      <c r="D494" s="16" t="s">
        <v>34</v>
      </c>
      <c r="E494" s="16" t="s">
        <v>48</v>
      </c>
      <c r="F494" s="18" t="n">
        <v>45931</v>
      </c>
      <c r="G494" s="18" t="n">
        <v>46014</v>
      </c>
      <c r="H494" s="16" t="n">
        <v>1</v>
      </c>
      <c r="I494" s="16" t="n">
        <f aca="false">INDEX(Prozesse!$S$2:$S$125,MATCH(A494,Prozesse!$A$2:$A$125,0))</f>
        <v>1</v>
      </c>
    </row>
    <row r="495" customFormat="false" ht="15" hidden="false" customHeight="false" outlineLevel="0" collapsed="false">
      <c r="A495" s="16" t="n">
        <v>124</v>
      </c>
      <c r="B495" s="16" t="s">
        <v>336</v>
      </c>
      <c r="C495" s="16" t="s">
        <v>43</v>
      </c>
      <c r="D495" s="16" t="s">
        <v>339</v>
      </c>
      <c r="E495" s="16" t="s">
        <v>91</v>
      </c>
      <c r="F495" s="18" t="n">
        <v>46069</v>
      </c>
      <c r="G495" s="18" t="n">
        <v>46142</v>
      </c>
      <c r="H495" s="16" t="n">
        <v>0</v>
      </c>
      <c r="I495" s="16" t="n">
        <f aca="false">INDEX(Prozesse!$S$2:$S$125,MATCH(A495,Prozesse!$A$2:$A$125,0))</f>
        <v>1</v>
      </c>
    </row>
    <row r="496" customFormat="false" ht="15" hidden="false" customHeight="false" outlineLevel="0" collapsed="false">
      <c r="A496" s="16" t="n">
        <v>124</v>
      </c>
      <c r="B496" s="16" t="s">
        <v>336</v>
      </c>
      <c r="C496" s="16" t="s">
        <v>43</v>
      </c>
      <c r="D496" s="16" t="s">
        <v>340</v>
      </c>
      <c r="E496" s="16" t="s">
        <v>91</v>
      </c>
      <c r="F496" s="18"/>
      <c r="G496" s="18"/>
      <c r="H496" s="16"/>
      <c r="I496" s="16" t="n">
        <f aca="false">INDEX(Prozesse!$S$2:$S$125,MATCH(A496,Prozesse!$A$2:$A$125,0))</f>
        <v>1</v>
      </c>
    </row>
    <row r="497" customFormat="false" ht="15" hidden="false" customHeight="false" outlineLevel="0" collapsed="false">
      <c r="A497" s="16" t="n">
        <v>124</v>
      </c>
      <c r="B497" s="16" t="s">
        <v>336</v>
      </c>
      <c r="C497" s="16" t="s">
        <v>43</v>
      </c>
      <c r="D497" s="16" t="s">
        <v>341</v>
      </c>
      <c r="E497" s="16" t="s">
        <v>91</v>
      </c>
      <c r="F497" s="18"/>
      <c r="G497" s="18"/>
      <c r="H497" s="16"/>
      <c r="I497" s="16" t="n">
        <f aca="false">INDEX(Prozesse!$S$2:$S$125,MATCH(A497,Prozesse!$A$2:$A$125,0))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30"/>
  </cols>
  <sheetData>
    <row r="1" customFormat="false" ht="15" hidden="false" customHeight="false" outlineLevel="0" collapsed="false">
      <c r="A1" s="19" t="s">
        <v>342</v>
      </c>
    </row>
    <row r="2" customFormat="false" ht="15" hidden="false" customHeight="false" outlineLevel="0" collapsed="false">
      <c r="A2" s="20" t="s">
        <v>343</v>
      </c>
      <c r="B2" s="20" t="s">
        <v>28</v>
      </c>
      <c r="C2" s="20" t="s">
        <v>29</v>
      </c>
      <c r="D2" s="20" t="s">
        <v>30</v>
      </c>
      <c r="E2" s="20" t="s">
        <v>22</v>
      </c>
      <c r="F2" s="20" t="s">
        <v>25</v>
      </c>
    </row>
    <row r="3" customFormat="false" ht="15" hidden="false" customHeight="false" outlineLevel="0" collapsed="false">
      <c r="A3" s="16" t="s">
        <v>11</v>
      </c>
      <c r="B3" s="16" t="s">
        <v>11</v>
      </c>
      <c r="C3" s="16" t="s">
        <v>11</v>
      </c>
      <c r="D3" s="16" t="s">
        <v>11</v>
      </c>
      <c r="E3" s="16" t="s">
        <v>11</v>
      </c>
      <c r="F3" s="16" t="s">
        <v>11</v>
      </c>
    </row>
    <row r="4" customFormat="false" ht="15" hidden="false" customHeight="false" outlineLevel="0" collapsed="false">
      <c r="A4" s="16" t="s">
        <v>43</v>
      </c>
      <c r="B4" s="16" t="s">
        <v>66</v>
      </c>
      <c r="C4" s="16" t="s">
        <v>67</v>
      </c>
      <c r="D4" s="16" t="s">
        <v>73</v>
      </c>
      <c r="E4" s="16" t="s">
        <v>47</v>
      </c>
      <c r="F4" s="16" t="s">
        <v>50</v>
      </c>
    </row>
    <row r="5" customFormat="false" ht="15" hidden="false" customHeight="false" outlineLevel="0" collapsed="false">
      <c r="A5" s="16" t="s">
        <v>89</v>
      </c>
      <c r="B5" s="16" t="s">
        <v>162</v>
      </c>
      <c r="C5" s="16" t="s">
        <v>81</v>
      </c>
      <c r="D5" s="16" t="s">
        <v>54</v>
      </c>
      <c r="E5" s="16" t="s">
        <v>61</v>
      </c>
      <c r="F5" s="16" t="s">
        <v>165</v>
      </c>
    </row>
    <row r="6" customFormat="false" ht="15" hidden="false" customHeight="false" outlineLevel="0" collapsed="false">
      <c r="A6" s="16" t="s">
        <v>58</v>
      </c>
      <c r="B6" s="16" t="s">
        <v>44</v>
      </c>
      <c r="C6" s="16" t="s">
        <v>180</v>
      </c>
      <c r="D6" s="16" t="s">
        <v>46</v>
      </c>
      <c r="E6" s="16" t="s">
        <v>266</v>
      </c>
      <c r="F6" s="16" t="s">
        <v>146</v>
      </c>
    </row>
    <row r="7" customFormat="false" ht="15" hidden="false" customHeight="false" outlineLevel="0" collapsed="false">
      <c r="B7" s="16" t="s">
        <v>59</v>
      </c>
      <c r="C7" s="16" t="s">
        <v>71</v>
      </c>
      <c r="D7" s="16" t="s">
        <v>313</v>
      </c>
      <c r="E7" s="16" t="s">
        <v>48</v>
      </c>
      <c r="F7" s="16" t="s">
        <v>69</v>
      </c>
    </row>
    <row r="8" customFormat="false" ht="15" hidden="false" customHeight="false" outlineLevel="0" collapsed="false">
      <c r="B8" s="16" t="s">
        <v>143</v>
      </c>
      <c r="C8" s="16" t="s">
        <v>205</v>
      </c>
      <c r="E8" s="16" t="s">
        <v>281</v>
      </c>
      <c r="F8" s="16" t="s">
        <v>115</v>
      </c>
    </row>
    <row r="9" customFormat="false" ht="15" hidden="false" customHeight="false" outlineLevel="0" collapsed="false">
      <c r="B9" s="16" t="s">
        <v>102</v>
      </c>
      <c r="C9" s="16" t="s">
        <v>90</v>
      </c>
      <c r="F9" s="16" t="s">
        <v>86</v>
      </c>
    </row>
    <row r="10" customFormat="false" ht="15" hidden="false" customHeight="false" outlineLevel="0" collapsed="false">
      <c r="B10" s="16" t="s">
        <v>72</v>
      </c>
      <c r="C10" s="16" t="s">
        <v>98</v>
      </c>
      <c r="F10" s="16" t="s">
        <v>82</v>
      </c>
    </row>
    <row r="11" customFormat="false" ht="15" hidden="false" customHeight="false" outlineLevel="0" collapsed="false">
      <c r="B11" s="16" t="s">
        <v>181</v>
      </c>
      <c r="C11" s="16" t="s">
        <v>103</v>
      </c>
      <c r="F11" s="16" t="s">
        <v>75</v>
      </c>
    </row>
    <row r="12" customFormat="false" ht="15" hidden="false" customHeight="false" outlineLevel="0" collapsed="false">
      <c r="B12" s="16" t="s">
        <v>218</v>
      </c>
      <c r="C12" s="16" t="s">
        <v>114</v>
      </c>
      <c r="F12" s="16" t="s">
        <v>151</v>
      </c>
    </row>
    <row r="13" customFormat="false" ht="15" hidden="false" customHeight="false" outlineLevel="0" collapsed="false">
      <c r="C13" s="16" t="s">
        <v>308</v>
      </c>
      <c r="F13" s="16" t="s">
        <v>74</v>
      </c>
    </row>
    <row r="14" customFormat="false" ht="15" hidden="false" customHeight="false" outlineLevel="0" collapsed="false">
      <c r="C14" s="16" t="s">
        <v>163</v>
      </c>
    </row>
    <row r="15" customFormat="false" ht="15" hidden="false" customHeight="false" outlineLevel="0" collapsed="false">
      <c r="C15" s="16" t="s">
        <v>226</v>
      </c>
    </row>
    <row r="16" customFormat="false" ht="15" hidden="false" customHeight="false" outlineLevel="0" collapsed="false">
      <c r="C16" s="16" t="s">
        <v>110</v>
      </c>
    </row>
    <row r="17" customFormat="false" ht="15" hidden="false" customHeight="false" outlineLevel="0" collapsed="false">
      <c r="C17" s="16" t="s">
        <v>229</v>
      </c>
    </row>
    <row r="18" customFormat="false" ht="15" hidden="false" customHeight="false" outlineLevel="0" collapsed="false">
      <c r="C18" s="16" t="s">
        <v>144</v>
      </c>
    </row>
    <row r="19" customFormat="false" ht="15" hidden="false" customHeight="false" outlineLevel="0" collapsed="false">
      <c r="C19" s="16" t="s">
        <v>117</v>
      </c>
    </row>
    <row r="20" customFormat="false" ht="15" hidden="false" customHeight="false" outlineLevel="0" collapsed="false">
      <c r="C20" s="16" t="s">
        <v>45</v>
      </c>
    </row>
    <row r="21" customFormat="false" ht="15" hidden="false" customHeight="false" outlineLevel="0" collapsed="false">
      <c r="C21" s="16" t="s">
        <v>60</v>
      </c>
    </row>
    <row r="22" customFormat="false" ht="15" hidden="false" customHeight="false" outlineLevel="0" collapsed="false">
      <c r="C22" s="16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22"/>
    <col collapsed="false" customWidth="true" hidden="false" outlineLevel="0" max="9" min="5" style="0" width="14"/>
  </cols>
  <sheetData>
    <row r="1" customFormat="false" ht="15" hidden="false" customHeight="false" outlineLevel="0" collapsed="false">
      <c r="A1" s="21" t="s">
        <v>344</v>
      </c>
    </row>
    <row r="3" customFormat="false" ht="15" hidden="false" customHeight="false" outlineLevel="0" collapsed="false">
      <c r="A3" s="22" t="s">
        <v>22</v>
      </c>
      <c r="B3" s="22" t="s">
        <v>345</v>
      </c>
      <c r="D3" s="22" t="s">
        <v>343</v>
      </c>
      <c r="E3" s="22" t="s">
        <v>47</v>
      </c>
      <c r="F3" s="22" t="s">
        <v>61</v>
      </c>
      <c r="G3" s="22" t="s">
        <v>266</v>
      </c>
      <c r="H3" s="22" t="s">
        <v>48</v>
      </c>
      <c r="I3" s="22" t="s">
        <v>281</v>
      </c>
    </row>
    <row r="4" customFormat="false" ht="15" hidden="false" customHeight="false" outlineLevel="0" collapsed="false">
      <c r="A4" s="22" t="s">
        <v>47</v>
      </c>
      <c r="B4" s="16" t="n">
        <f aca="false">SUMPRODUCT(Prozesse!$S$2:$S$125,--(Prozesse!$H$2:$H$125=$A4))</f>
        <v>29</v>
      </c>
      <c r="C4" s="16" t="s">
        <v>89</v>
      </c>
      <c r="D4" s="22" t="s">
        <v>346</v>
      </c>
      <c r="E4" s="22" t="n">
        <f aca="false">SUMPRODUCT(Prozesse!$S$2:$S$125,--(Prozesse!$D$2:$D$125=$C4),--(Prozesse!$H$2:$H$125=E$3))</f>
        <v>6</v>
      </c>
      <c r="F4" s="16" t="n">
        <f aca="false">SUMPRODUCT(Prozesse!$S$2:$S$125,--(Prozesse!$D$2:$D$125=$C4),--(Prozesse!$H$2:$H$125=F$3))</f>
        <v>39</v>
      </c>
      <c r="G4" s="16" t="n">
        <f aca="false">SUMPRODUCT(Prozesse!$S$2:$S$125,--(Prozesse!$D$2:$D$125=$C4),--(Prozesse!$H$2:$H$125=G$3))</f>
        <v>1</v>
      </c>
      <c r="H4" s="16" t="n">
        <f aca="false">SUMPRODUCT(Prozesse!$S$2:$S$125,--(Prozesse!$D$2:$D$125=$C4),--(Prozesse!$H$2:$H$125=H$3))</f>
        <v>3</v>
      </c>
      <c r="I4" s="16" t="n">
        <f aca="false">SUMPRODUCT(Prozesse!$S$2:$S$125,--(Prozesse!$D$2:$D$125=$C4),--(Prozesse!$H$2:$H$125=I$3))</f>
        <v>2</v>
      </c>
    </row>
    <row r="5" customFormat="false" ht="15" hidden="false" customHeight="false" outlineLevel="0" collapsed="false">
      <c r="A5" s="22" t="s">
        <v>61</v>
      </c>
      <c r="B5" s="16" t="n">
        <f aca="false">SUMPRODUCT(Prozesse!$S$2:$S$125,--(Prozesse!$H$2:$H$125=$A5))</f>
        <v>59</v>
      </c>
      <c r="C5" s="16" t="s">
        <v>43</v>
      </c>
      <c r="D5" s="22" t="s">
        <v>347</v>
      </c>
      <c r="E5" s="22" t="n">
        <f aca="false">SUMPRODUCT(Prozesse!$S$2:$S$125,--(Prozesse!$D$2:$D$125=$C5),--(Prozesse!$H$2:$H$125=E$3))</f>
        <v>12</v>
      </c>
      <c r="F5" s="16" t="n">
        <f aca="false">SUMPRODUCT(Prozesse!$S$2:$S$125,--(Prozesse!$D$2:$D$125=$C5),--(Prozesse!$H$2:$H$125=F$3))</f>
        <v>10</v>
      </c>
      <c r="G5" s="16" t="n">
        <f aca="false">SUMPRODUCT(Prozesse!$S$2:$S$125,--(Prozesse!$D$2:$D$125=$C5),--(Prozesse!$H$2:$H$125=G$3))</f>
        <v>3</v>
      </c>
      <c r="H5" s="16" t="n">
        <f aca="false">SUMPRODUCT(Prozesse!$S$2:$S$125,--(Prozesse!$D$2:$D$125=$C5),--(Prozesse!$H$2:$H$125=H$3))</f>
        <v>7</v>
      </c>
      <c r="I5" s="16" t="n">
        <f aca="false">SUMPRODUCT(Prozesse!$S$2:$S$125,--(Prozesse!$D$2:$D$125=$C5),--(Prozesse!$H$2:$H$125=I$3))</f>
        <v>10</v>
      </c>
    </row>
    <row r="6" customFormat="false" ht="15" hidden="false" customHeight="false" outlineLevel="0" collapsed="false">
      <c r="A6" s="22" t="s">
        <v>266</v>
      </c>
      <c r="B6" s="16" t="n">
        <f aca="false">SUMPRODUCT(Prozesse!$S$2:$S$125,--(Prozesse!$H$2:$H$125=$A6))</f>
        <v>7</v>
      </c>
      <c r="C6" s="16" t="s">
        <v>58</v>
      </c>
      <c r="D6" s="22" t="s">
        <v>348</v>
      </c>
      <c r="E6" s="22" t="n">
        <f aca="false">SUMPRODUCT(Prozesse!$S$2:$S$125,--(Prozesse!$D$2:$D$125=$C6),--(Prozesse!$H$2:$H$125=E$3))</f>
        <v>11</v>
      </c>
      <c r="F6" s="16" t="n">
        <f aca="false">SUMPRODUCT(Prozesse!$S$2:$S$125,--(Prozesse!$D$2:$D$125=$C6),--(Prozesse!$H$2:$H$125=F$3))</f>
        <v>10</v>
      </c>
      <c r="G6" s="16" t="n">
        <f aca="false">SUMPRODUCT(Prozesse!$S$2:$S$125,--(Prozesse!$D$2:$D$125=$C6),--(Prozesse!$H$2:$H$125=G$3))</f>
        <v>3</v>
      </c>
      <c r="H6" s="16" t="n">
        <f aca="false">SUMPRODUCT(Prozesse!$S$2:$S$125,--(Prozesse!$D$2:$D$125=$C6),--(Prozesse!$H$2:$H$125=H$3))</f>
        <v>7</v>
      </c>
      <c r="I6" s="16" t="n">
        <f aca="false">SUMPRODUCT(Prozesse!$S$2:$S$125,--(Prozesse!$D$2:$D$125=$C6),--(Prozesse!$H$2:$H$125=I$3))</f>
        <v>0</v>
      </c>
    </row>
    <row r="7" customFormat="false" ht="15" hidden="false" customHeight="false" outlineLevel="0" collapsed="false">
      <c r="A7" s="22" t="s">
        <v>48</v>
      </c>
      <c r="B7" s="16" t="n">
        <f aca="false">SUMPRODUCT(Prozesse!$S$2:$S$125,--(Prozesse!$H$2:$H$125=$A7))</f>
        <v>17</v>
      </c>
    </row>
    <row r="8" customFormat="false" ht="15" hidden="false" customHeight="false" outlineLevel="0" collapsed="false">
      <c r="A8" s="22" t="s">
        <v>281</v>
      </c>
      <c r="B8" s="16" t="n">
        <f aca="false">SUMPRODUCT(Prozesse!$S$2:$S$125,--(Prozesse!$H$2:$H$125=$A8))</f>
        <v>12</v>
      </c>
    </row>
    <row r="10" customFormat="false" ht="15" hidden="false" customHeight="false" outlineLevel="0" collapsed="false">
      <c r="A10" s="22" t="s">
        <v>28</v>
      </c>
      <c r="B10" s="22" t="s">
        <v>349</v>
      </c>
      <c r="C10" s="22" t="s">
        <v>350</v>
      </c>
      <c r="E10" s="22" t="s">
        <v>351</v>
      </c>
      <c r="F10" s="22" t="s">
        <v>352</v>
      </c>
    </row>
    <row r="11" customFormat="false" ht="15" hidden="false" customHeight="false" outlineLevel="0" collapsed="false">
      <c r="A11" s="22" t="s">
        <v>66</v>
      </c>
      <c r="B11" s="17" t="n">
        <f aca="false">IFERROR(SUMPRODUCT(Prozesse!$S$2:$S$125,--(Prozesse!$E$2:$E$125=$A11),Prozesse!$I$2:$I$125)/SUMPRODUCT(Prozesse!$S$2:$S$125,--(Prozesse!$E$2:$E$125=$A11)),0)</f>
        <v>0.928571428571429</v>
      </c>
      <c r="C11" s="16" t="n">
        <f aca="false">SUMPRODUCT(Prozesse!$S$2:$S$125,--(Prozesse!$E$2:$E$125=$A11))</f>
        <v>7</v>
      </c>
      <c r="E11" s="22" t="s">
        <v>60</v>
      </c>
      <c r="F11" s="16" t="n">
        <f aca="false">SUMPRODUCT(Prozesse!$S$2:$S$125,--(Prozesse!$F$2:$F$125=$E11),--(Prozesse!$H$2:$H$125="Verzögert"))</f>
        <v>9</v>
      </c>
    </row>
    <row r="12" customFormat="false" ht="15" hidden="false" customHeight="false" outlineLevel="0" collapsed="false">
      <c r="A12" s="22" t="s">
        <v>162</v>
      </c>
      <c r="B12" s="17" t="n">
        <f aca="false">IFERROR(SUMPRODUCT(Prozesse!$S$2:$S$125,--(Prozesse!$E$2:$E$125=$A12),Prozesse!$I$2:$I$125)/SUMPRODUCT(Prozesse!$S$2:$S$125,--(Prozesse!$E$2:$E$125=$A12)),0)</f>
        <v>0.21875</v>
      </c>
      <c r="C12" s="16" t="n">
        <f aca="false">SUMPRODUCT(Prozesse!$S$2:$S$125,--(Prozesse!$E$2:$E$125=$A12))</f>
        <v>8</v>
      </c>
      <c r="E12" s="22" t="s">
        <v>45</v>
      </c>
      <c r="F12" s="16" t="n">
        <f aca="false">SUMPRODUCT(Prozesse!$S$2:$S$125,--(Prozesse!$F$2:$F$125=$E12),--(Prozesse!$H$2:$H$125="Verzögert"))</f>
        <v>5</v>
      </c>
    </row>
    <row r="13" customFormat="false" ht="15" hidden="false" customHeight="false" outlineLevel="0" collapsed="false">
      <c r="A13" s="22" t="s">
        <v>44</v>
      </c>
      <c r="B13" s="17" t="n">
        <f aca="false">IFERROR(SUMPRODUCT(Prozesse!$S$2:$S$125,--(Prozesse!$E$2:$E$125=$A13),Prozesse!$I$2:$I$125)/SUMPRODUCT(Prozesse!$S$2:$S$125,--(Prozesse!$E$2:$E$125=$A13)),0)</f>
        <v>0.568181818181818</v>
      </c>
      <c r="C13" s="16" t="n">
        <f aca="false">SUMPRODUCT(Prozesse!$S$2:$S$125,--(Prozesse!$E$2:$E$125=$A13))</f>
        <v>11</v>
      </c>
      <c r="E13" s="22" t="s">
        <v>122</v>
      </c>
      <c r="F13" s="16" t="n">
        <f aca="false">SUMPRODUCT(Prozesse!$S$2:$S$125,--(Prozesse!$F$2:$F$125=$E13),--(Prozesse!$H$2:$H$125="Verzögert"))</f>
        <v>3</v>
      </c>
    </row>
    <row r="14" customFormat="false" ht="15" hidden="false" customHeight="false" outlineLevel="0" collapsed="false">
      <c r="A14" s="22" t="s">
        <v>59</v>
      </c>
      <c r="B14" s="17" t="n">
        <f aca="false">IFERROR(SUMPRODUCT(Prozesse!$S$2:$S$125,--(Prozesse!$E$2:$E$125=$A14),Prozesse!$I$2:$I$125)/SUMPRODUCT(Prozesse!$S$2:$S$125,--(Prozesse!$E$2:$E$125=$A14)),0)</f>
        <v>0.126111111111111</v>
      </c>
      <c r="C14" s="16" t="n">
        <f aca="false">SUMPRODUCT(Prozesse!$S$2:$S$125,--(Prozesse!$E$2:$E$125=$A14))</f>
        <v>18</v>
      </c>
      <c r="E14" s="22" t="s">
        <v>81</v>
      </c>
      <c r="F14" s="16" t="n">
        <f aca="false">SUMPRODUCT(Prozesse!$S$2:$S$125,--(Prozesse!$F$2:$F$125=$E14),--(Prozesse!$H$2:$H$125="Verzögert"))</f>
        <v>2</v>
      </c>
    </row>
    <row r="15" customFormat="false" ht="15" hidden="false" customHeight="false" outlineLevel="0" collapsed="false">
      <c r="A15" s="22" t="s">
        <v>143</v>
      </c>
      <c r="B15" s="17" t="n">
        <f aca="false">IFERROR(SUMPRODUCT(Prozesse!$S$2:$S$125,--(Prozesse!$E$2:$E$125=$A15),Prozesse!$I$2:$I$125)/SUMPRODUCT(Prozesse!$S$2:$S$125,--(Prozesse!$E$2:$E$125=$A15)),0)</f>
        <v>0.5</v>
      </c>
      <c r="C15" s="16" t="n">
        <f aca="false">SUMPRODUCT(Prozesse!$S$2:$S$125,--(Prozesse!$E$2:$E$125=$A15))</f>
        <v>21</v>
      </c>
      <c r="E15" s="22" t="s">
        <v>67</v>
      </c>
      <c r="F15" s="16" t="n">
        <f aca="false">SUMPRODUCT(Prozesse!$S$2:$S$125,--(Prozesse!$F$2:$F$125=$E15),--(Prozesse!$H$2:$H$125="Verzögert"))</f>
        <v>2</v>
      </c>
    </row>
    <row r="16" customFormat="false" ht="15" hidden="false" customHeight="false" outlineLevel="0" collapsed="false">
      <c r="A16" s="22" t="s">
        <v>102</v>
      </c>
      <c r="B16" s="17" t="n">
        <f aca="false">IFERROR(SUMPRODUCT(Prozesse!$S$2:$S$125,--(Prozesse!$E$2:$E$125=$A16),Prozesse!$I$2:$I$125)/SUMPRODUCT(Prozesse!$S$2:$S$125,--(Prozesse!$E$2:$E$125=$A16)),0)</f>
        <v>1</v>
      </c>
      <c r="C16" s="16" t="n">
        <f aca="false">SUMPRODUCT(Prozesse!$S$2:$S$125,--(Prozesse!$E$2:$E$125=$A16))</f>
        <v>8</v>
      </c>
      <c r="E16" s="22" t="s">
        <v>117</v>
      </c>
      <c r="F16" s="16" t="n">
        <f aca="false">SUMPRODUCT(Prozesse!$S$2:$S$125,--(Prozesse!$F$2:$F$125=$E16),--(Prozesse!$H$2:$H$125="Verzögert"))</f>
        <v>2</v>
      </c>
    </row>
    <row r="17" customFormat="false" ht="15" hidden="false" customHeight="false" outlineLevel="0" collapsed="false">
      <c r="A17" s="22" t="s">
        <v>72</v>
      </c>
      <c r="B17" s="17" t="n">
        <f aca="false">IFERROR(SUMPRODUCT(Prozesse!$S$2:$S$125,--(Prozesse!$E$2:$E$125=$A17),Prozesse!$I$2:$I$125)/SUMPRODUCT(Prozesse!$S$2:$S$125,--(Prozesse!$E$2:$E$125=$A17)),0)</f>
        <v>0.283333333333333</v>
      </c>
      <c r="C17" s="16" t="n">
        <f aca="false">SUMPRODUCT(Prozesse!$S$2:$S$125,--(Prozesse!$E$2:$E$125=$A17))</f>
        <v>48</v>
      </c>
      <c r="E17" s="22" t="s">
        <v>71</v>
      </c>
      <c r="F17" s="16" t="n">
        <f aca="false">SUMPRODUCT(Prozesse!$S$2:$S$125,--(Prozesse!$F$2:$F$125=$E17),--(Prozesse!$H$2:$H$125="Verzögert"))</f>
        <v>1</v>
      </c>
    </row>
    <row r="18" customFormat="false" ht="15" hidden="false" customHeight="false" outlineLevel="0" collapsed="false">
      <c r="A18" s="22" t="s">
        <v>181</v>
      </c>
      <c r="B18" s="17" t="n">
        <f aca="false">IFERROR(SUMPRODUCT(Prozesse!$S$2:$S$125,--(Prozesse!$E$2:$E$125=$A18),Prozesse!$I$2:$I$125)/SUMPRODUCT(Prozesse!$S$2:$S$125,--(Prozesse!$E$2:$E$125=$A18)),0)</f>
        <v>0.5</v>
      </c>
      <c r="C18" s="16" t="n">
        <f aca="false">SUMPRODUCT(Prozesse!$S$2:$S$125,--(Prozesse!$E$2:$E$125=$A18))</f>
        <v>2</v>
      </c>
      <c r="E18" s="22" t="s">
        <v>114</v>
      </c>
      <c r="F18" s="16" t="n">
        <f aca="false">SUMPRODUCT(Prozesse!$S$2:$S$125,--(Prozesse!$F$2:$F$125=$E18),--(Prozesse!$H$2:$H$125="Verzögert"))</f>
        <v>1</v>
      </c>
    </row>
    <row r="19" customFormat="false" ht="15" hidden="false" customHeight="false" outlineLevel="0" collapsed="false">
      <c r="A19" s="22" t="s">
        <v>218</v>
      </c>
      <c r="B19" s="17" t="n">
        <f aca="false">IFERROR(SUMPRODUCT(Prozesse!$S$2:$S$125,--(Prozesse!$E$2:$E$125=$A19),Prozesse!$I$2:$I$125)/SUMPRODUCT(Prozesse!$S$2:$S$125,--(Prozesse!$E$2:$E$125=$A19)),0)</f>
        <v>0.22</v>
      </c>
      <c r="C19" s="16" t="n">
        <f aca="false">SUMPRODUCT(Prozesse!$S$2:$S$125,--(Prozesse!$E$2:$E$125=$A19))</f>
        <v>1</v>
      </c>
      <c r="E19" s="22" t="s">
        <v>98</v>
      </c>
      <c r="F19" s="16" t="n">
        <f aca="false">SUMPRODUCT(Prozesse!$S$2:$S$125,--(Prozesse!$F$2:$F$125=$E19),--(Prozesse!$H$2:$H$125="Verzögert"))</f>
        <v>1</v>
      </c>
    </row>
    <row r="20" customFormat="false" ht="15" hidden="false" customHeight="false" outlineLevel="0" collapsed="false">
      <c r="E20" s="22" t="s">
        <v>103</v>
      </c>
      <c r="F20" s="16" t="n">
        <f aca="false">SUMPRODUCT(Prozesse!$S$2:$S$125,--(Prozesse!$F$2:$F$125=$E20),--(Prozesse!$H$2:$H$125="Verzögert"))</f>
        <v>1</v>
      </c>
    </row>
    <row r="23" customFormat="false" ht="15" hidden="false" customHeight="false" outlineLevel="0" collapsed="false">
      <c r="A23" s="22" t="s">
        <v>338</v>
      </c>
      <c r="B23" s="22" t="s">
        <v>353</v>
      </c>
      <c r="C23" s="22" t="s">
        <v>354</v>
      </c>
    </row>
    <row r="24" customFormat="false" ht="15" hidden="false" customHeight="false" outlineLevel="0" collapsed="false">
      <c r="A24" s="22" t="s">
        <v>34</v>
      </c>
      <c r="B24" s="16" t="n">
        <f aca="false">SUMPRODUCT(Phasen!$I$2:$I$497,--(Phasen!$D$2:$D$497=$A24),--(Phasen!$F$2:$F$497&lt;&gt;""))</f>
        <v>104</v>
      </c>
      <c r="C24" s="16" t="n">
        <f aca="false">SUMPRODUCT(Phasen!$I$2:$I$497,--(Phasen!$D$2:$D$497=$A24),--(Phasen!$E$2:$E$497="Abgeschlossen"))</f>
        <v>30</v>
      </c>
    </row>
    <row r="25" customFormat="false" ht="15" hidden="false" customHeight="false" outlineLevel="0" collapsed="false">
      <c r="A25" s="22" t="s">
        <v>339</v>
      </c>
      <c r="B25" s="16" t="n">
        <f aca="false">SUMPRODUCT(Phasen!$I$2:$I$497,--(Phasen!$D$2:$D$497=$A25),--(Phasen!$F$2:$F$497&lt;&gt;""))</f>
        <v>30</v>
      </c>
      <c r="C25" s="16" t="n">
        <f aca="false">SUMPRODUCT(Phasen!$I$2:$I$497,--(Phasen!$D$2:$D$497=$A25),--(Phasen!$E$2:$E$497="Abgeschlossen"))</f>
        <v>0</v>
      </c>
    </row>
    <row r="26" customFormat="false" ht="15" hidden="false" customHeight="false" outlineLevel="0" collapsed="false">
      <c r="A26" s="22" t="s">
        <v>340</v>
      </c>
      <c r="B26" s="16" t="n">
        <f aca="false">SUMPRODUCT(Phasen!$I$2:$I$497,--(Phasen!$D$2:$D$497=$A26),--(Phasen!$F$2:$F$497&lt;&gt;""))</f>
        <v>4</v>
      </c>
      <c r="C26" s="16" t="n">
        <f aca="false">SUMPRODUCT(Phasen!$I$2:$I$497,--(Phasen!$D$2:$D$497=$A26),--(Phasen!$E$2:$E$497="Abgeschlossen"))</f>
        <v>0</v>
      </c>
    </row>
    <row r="27" customFormat="false" ht="15" hidden="false" customHeight="false" outlineLevel="0" collapsed="false">
      <c r="A27" s="22" t="s">
        <v>341</v>
      </c>
      <c r="B27" s="16" t="n">
        <f aca="false">SUMPRODUCT(Phasen!$I$2:$I$497,--(Phasen!$D$2:$D$497=$A27),--(Phasen!$F$2:$F$497&lt;&gt;""))</f>
        <v>12</v>
      </c>
      <c r="C27" s="16" t="n">
        <f aca="false">SUMPRODUCT(Phasen!$I$2:$I$497,--(Phasen!$D$2:$D$497=$A27),--(Phasen!$E$2:$E$497="Abgeschlossen"))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18.55" hidden="false" customHeight="false" outlineLevel="0" collapsed="false">
      <c r="B2" s="23" t="s">
        <v>1</v>
      </c>
    </row>
    <row r="3" customFormat="false" ht="15" hidden="false" customHeight="false" outlineLevel="0" collapsed="false">
      <c r="B3" s="16"/>
    </row>
    <row r="4" customFormat="false" ht="15" hidden="false" customHeight="false" outlineLevel="0" collapsed="false">
      <c r="B4" s="24" t="s">
        <v>355</v>
      </c>
    </row>
    <row r="5" customFormat="false" ht="15" hidden="false" customHeight="false" outlineLevel="0" collapsed="false">
      <c r="B5" s="16" t="s">
        <v>356</v>
      </c>
    </row>
    <row r="6" customFormat="false" ht="15" hidden="false" customHeight="false" outlineLevel="0" collapsed="false">
      <c r="B6" s="16" t="s">
        <v>357</v>
      </c>
    </row>
    <row r="7" customFormat="false" ht="15" hidden="false" customHeight="false" outlineLevel="0" collapsed="false">
      <c r="B7" s="16" t="s">
        <v>358</v>
      </c>
    </row>
    <row r="8" customFormat="false" ht="15" hidden="false" customHeight="false" outlineLevel="0" collapsed="false">
      <c r="B8" s="16" t="s">
        <v>359</v>
      </c>
    </row>
    <row r="9" customFormat="false" ht="15" hidden="false" customHeight="false" outlineLevel="0" collapsed="false">
      <c r="B9" s="16" t="s">
        <v>360</v>
      </c>
    </row>
    <row r="10" customFormat="false" ht="15" hidden="false" customHeight="false" outlineLevel="0" collapsed="false">
      <c r="B10" s="16"/>
    </row>
    <row r="11" customFormat="false" ht="15" hidden="false" customHeight="false" outlineLevel="0" collapsed="false">
      <c r="B11" s="24" t="s">
        <v>361</v>
      </c>
    </row>
    <row r="12" customFormat="false" ht="15" hidden="false" customHeight="false" outlineLevel="0" collapsed="false">
      <c r="B12" s="16" t="s">
        <v>362</v>
      </c>
    </row>
    <row r="13" customFormat="false" ht="15" hidden="false" customHeight="false" outlineLevel="0" collapsed="false">
      <c r="B13" s="16" t="s">
        <v>363</v>
      </c>
    </row>
    <row r="14" customFormat="false" ht="15" hidden="false" customHeight="false" outlineLevel="0" collapsed="false">
      <c r="B14" s="16" t="s">
        <v>364</v>
      </c>
    </row>
    <row r="15" customFormat="false" ht="15" hidden="false" customHeight="false" outlineLevel="0" collapsed="false">
      <c r="B15" s="16"/>
    </row>
    <row r="16" customFormat="false" ht="15" hidden="false" customHeight="false" outlineLevel="0" collapsed="false">
      <c r="B16" s="24" t="s">
        <v>365</v>
      </c>
    </row>
    <row r="17" customFormat="false" ht="15" hidden="false" customHeight="false" outlineLevel="0" collapsed="false">
      <c r="B17" s="16" t="s">
        <v>366</v>
      </c>
    </row>
    <row r="18" customFormat="false" ht="15" hidden="false" customHeight="false" outlineLevel="0" collapsed="false">
      <c r="B18" s="16" t="s">
        <v>367</v>
      </c>
    </row>
    <row r="19" customFormat="false" ht="15" hidden="false" customHeight="false" outlineLevel="0" collapsed="false">
      <c r="B19" s="16" t="s">
        <v>368</v>
      </c>
    </row>
    <row r="20" customFormat="false" ht="15" hidden="false" customHeight="false" outlineLevel="0" collapsed="false">
      <c r="B20" s="16" t="s">
        <v>369</v>
      </c>
    </row>
    <row r="21" customFormat="false" ht="15" hidden="false" customHeight="false" outlineLevel="0" collapsed="false">
      <c r="B21" s="16" t="s">
        <v>370</v>
      </c>
    </row>
    <row r="22" customFormat="false" ht="15" hidden="false" customHeight="false" outlineLevel="0" collapsed="false">
      <c r="B22" s="16" t="s">
        <v>371</v>
      </c>
    </row>
    <row r="23" customFormat="false" ht="15" hidden="false" customHeight="false" outlineLevel="0" collapsed="false">
      <c r="B23" s="16"/>
    </row>
    <row r="24" customFormat="false" ht="15" hidden="false" customHeight="false" outlineLevel="0" collapsed="false">
      <c r="B24" s="16" t="s">
        <v>372</v>
      </c>
    </row>
    <row r="25" customFormat="false" ht="15" hidden="false" customHeight="false" outlineLevel="0" collapsed="false">
      <c r="B25" s="16" t="s">
        <v>373</v>
      </c>
    </row>
    <row r="26" customFormat="false" ht="15" hidden="false" customHeight="false" outlineLevel="0" collapsed="false">
      <c r="B26" s="16"/>
    </row>
    <row r="27" customFormat="false" ht="15" hidden="false" customHeight="false" outlineLevel="0" collapsed="false">
      <c r="B27" s="24" t="s">
        <v>374</v>
      </c>
    </row>
    <row r="28" customFormat="false" ht="15" hidden="false" customHeight="false" outlineLevel="0" collapsed="false">
      <c r="B28" s="16" t="s">
        <v>375</v>
      </c>
    </row>
    <row r="29" customFormat="false" ht="15" hidden="false" customHeight="false" outlineLevel="0" collapsed="false">
      <c r="B29" s="16" t="s">
        <v>376</v>
      </c>
    </row>
    <row r="30" customFormat="false" ht="15" hidden="false" customHeight="false" outlineLevel="0" collapsed="false">
      <c r="B30" s="16" t="s">
        <v>377</v>
      </c>
    </row>
    <row r="31" customFormat="false" ht="15" hidden="false" customHeight="false" outlineLevel="0" collapsed="false">
      <c r="B31" s="16" t="s">
        <v>378</v>
      </c>
    </row>
    <row r="32" customFormat="false" ht="15" hidden="false" customHeight="false" outlineLevel="0" collapsed="false">
      <c r="B32" s="16" t="s">
        <v>379</v>
      </c>
    </row>
    <row r="33" customFormat="false" ht="15" hidden="false" customHeight="false" outlineLevel="0" collapsed="false">
      <c r="B33" s="16"/>
    </row>
    <row r="34" customFormat="false" ht="15" hidden="false" customHeight="false" outlineLevel="0" collapsed="false">
      <c r="B34" s="25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2026-09-01T11:58:38Z</dcterms:created>
  <dc:creator>openpyxl</dc:creator>
  <dc:description/>
  <dc:language>en-US</dc:language>
  <cp:lastModifiedBy/>
  <dcterms:modified xsi:type="dcterms:W3CDTF">2026-09-01T11:58:40Z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